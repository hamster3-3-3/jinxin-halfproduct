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5733724\Documents\GitHub\jinxin-halfproduct\data\2026\"/>
    </mc:Choice>
  </mc:AlternateContent>
  <bookViews>
    <workbookView xWindow="0" yWindow="0" windowWidth="14490" windowHeight="11640" tabRatio="924" firstSheet="19" activeTab="29"/>
  </bookViews>
  <sheets>
    <sheet name="填寫舉例" sheetId="1" state="hidden" r:id="rId1"/>
    <sheet name="生產管理報表(月)" sheetId="13" r:id="rId2"/>
    <sheet name="生產管理報表(週) " sheetId="39" state="hidden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K35" i="48" l="1"/>
  <c r="I35" i="48"/>
  <c r="G35" i="48"/>
  <c r="E35" i="48"/>
  <c r="C35" i="48"/>
  <c r="B35" i="48"/>
  <c r="O30" i="48"/>
  <c r="N30" i="48"/>
  <c r="M30" i="48"/>
  <c r="O23" i="48"/>
  <c r="N23" i="48"/>
  <c r="M23" i="48"/>
  <c r="O16" i="48"/>
  <c r="N16" i="48"/>
  <c r="M16" i="48"/>
  <c r="O9" i="48"/>
  <c r="N9" i="48"/>
  <c r="M9" i="48"/>
  <c r="O4" i="48"/>
  <c r="N4" i="48"/>
  <c r="M4" i="48"/>
  <c r="AM101" i="37" l="1"/>
  <c r="AH101" i="37"/>
  <c r="AC101" i="37"/>
  <c r="X101" i="37"/>
  <c r="S101" i="37"/>
  <c r="AM100" i="37"/>
  <c r="AH100" i="37"/>
  <c r="AC100" i="37"/>
  <c r="X100" i="37"/>
  <c r="S100" i="37"/>
  <c r="AM99" i="37"/>
  <c r="AH99" i="37"/>
  <c r="AC99" i="37"/>
  <c r="X99" i="37"/>
  <c r="S99" i="37"/>
  <c r="AM98" i="37"/>
  <c r="AH98" i="37"/>
  <c r="AC98" i="37"/>
  <c r="X98" i="37"/>
  <c r="S98" i="37"/>
  <c r="AM97" i="37"/>
  <c r="AH97" i="37"/>
  <c r="AC97" i="37"/>
  <c r="X97" i="37"/>
  <c r="S97" i="37"/>
  <c r="AM96" i="37"/>
  <c r="AH96" i="37"/>
  <c r="AC96" i="37"/>
  <c r="X96" i="37"/>
  <c r="S96" i="37"/>
  <c r="AM95" i="37"/>
  <c r="AH95" i="37"/>
  <c r="AC95" i="37"/>
  <c r="X95" i="37"/>
  <c r="S95" i="37"/>
  <c r="AM94" i="37"/>
  <c r="AH94" i="37"/>
  <c r="AC94" i="37"/>
  <c r="X94" i="37"/>
  <c r="S94" i="37"/>
  <c r="AM93" i="37"/>
  <c r="AH93" i="37"/>
  <c r="AC93" i="37"/>
  <c r="X93" i="37"/>
  <c r="S93" i="37"/>
  <c r="K93" i="37"/>
  <c r="J93" i="37"/>
  <c r="I93" i="37"/>
  <c r="AM92" i="37"/>
  <c r="AH92" i="37"/>
  <c r="AC92" i="37"/>
  <c r="X92" i="37"/>
  <c r="S92" i="37"/>
  <c r="K92" i="37"/>
  <c r="J92" i="37"/>
  <c r="I92" i="37"/>
  <c r="AM91" i="37"/>
  <c r="AH91" i="37"/>
  <c r="AC91" i="37"/>
  <c r="X91" i="37"/>
  <c r="S91" i="37"/>
  <c r="K91" i="37"/>
  <c r="J91" i="37"/>
  <c r="I91" i="37"/>
  <c r="AM90" i="37"/>
  <c r="AH90" i="37"/>
  <c r="AC90" i="37"/>
  <c r="X90" i="37"/>
  <c r="S90" i="37"/>
  <c r="K90" i="37"/>
  <c r="J90" i="37"/>
  <c r="I90" i="37"/>
  <c r="AM89" i="37"/>
  <c r="AH89" i="37"/>
  <c r="AC89" i="37"/>
  <c r="X89" i="37"/>
  <c r="S89" i="37"/>
  <c r="K89" i="37"/>
  <c r="J89" i="37"/>
  <c r="I89" i="37"/>
  <c r="AM88" i="37"/>
  <c r="AH88" i="37"/>
  <c r="AC88" i="37"/>
  <c r="X88" i="37"/>
  <c r="S88" i="37"/>
  <c r="K88" i="37"/>
  <c r="J88" i="37"/>
  <c r="I88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M101" i="36"/>
  <c r="AH101" i="36"/>
  <c r="AC101" i="36"/>
  <c r="X101" i="36"/>
  <c r="S101" i="36"/>
  <c r="AM100" i="36"/>
  <c r="AH100" i="36"/>
  <c r="AC100" i="36"/>
  <c r="X100" i="36"/>
  <c r="S100" i="36"/>
  <c r="AM99" i="36"/>
  <c r="AH99" i="36"/>
  <c r="AC99" i="36"/>
  <c r="X99" i="36"/>
  <c r="S99" i="36"/>
  <c r="AM98" i="36"/>
  <c r="AH98" i="36"/>
  <c r="AC98" i="36"/>
  <c r="X98" i="36"/>
  <c r="S98" i="36"/>
  <c r="AM97" i="36"/>
  <c r="AH97" i="36"/>
  <c r="AC97" i="36"/>
  <c r="X97" i="36"/>
  <c r="S97" i="36"/>
  <c r="AM96" i="36"/>
  <c r="AH96" i="36"/>
  <c r="AC96" i="36"/>
  <c r="X96" i="36"/>
  <c r="S96" i="36"/>
  <c r="AM95" i="36"/>
  <c r="AH95" i="36"/>
  <c r="AC95" i="36"/>
  <c r="X95" i="36"/>
  <c r="S95" i="36"/>
  <c r="AM94" i="36"/>
  <c r="AH94" i="36"/>
  <c r="AC94" i="36"/>
  <c r="X94" i="36"/>
  <c r="S94" i="36"/>
  <c r="AM93" i="36"/>
  <c r="AH93" i="36"/>
  <c r="AC93" i="36"/>
  <c r="X93" i="36"/>
  <c r="S93" i="36"/>
  <c r="AM92" i="36"/>
  <c r="AH92" i="36"/>
  <c r="AC92" i="36"/>
  <c r="X92" i="36"/>
  <c r="S92" i="36"/>
  <c r="AM91" i="36"/>
  <c r="AH91" i="36"/>
  <c r="AC91" i="36"/>
  <c r="X91" i="36"/>
  <c r="S91" i="36"/>
  <c r="K91" i="36"/>
  <c r="J91" i="36"/>
  <c r="I91" i="36"/>
  <c r="AM90" i="36"/>
  <c r="AH90" i="36"/>
  <c r="AC90" i="36"/>
  <c r="X90" i="36"/>
  <c r="S90" i="36"/>
  <c r="K90" i="36"/>
  <c r="J90" i="36"/>
  <c r="I90" i="36"/>
  <c r="AM89" i="36"/>
  <c r="AH89" i="36"/>
  <c r="AC89" i="36"/>
  <c r="X89" i="36"/>
  <c r="S89" i="36"/>
  <c r="K89" i="36"/>
  <c r="J89" i="36"/>
  <c r="I89" i="36"/>
  <c r="AM88" i="36"/>
  <c r="AH88" i="36"/>
  <c r="AC88" i="36"/>
  <c r="X88" i="36"/>
  <c r="S88" i="36"/>
  <c r="K88" i="36"/>
  <c r="J88" i="36"/>
  <c r="I88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M101" i="35"/>
  <c r="AH101" i="35"/>
  <c r="AC101" i="35"/>
  <c r="X101" i="35"/>
  <c r="S101" i="35"/>
  <c r="AM100" i="35"/>
  <c r="AH100" i="35"/>
  <c r="AC100" i="35"/>
  <c r="X100" i="35"/>
  <c r="S100" i="35"/>
  <c r="AM99" i="35"/>
  <c r="AH99" i="35"/>
  <c r="AC99" i="35"/>
  <c r="X99" i="35"/>
  <c r="S99" i="35"/>
  <c r="AM98" i="35"/>
  <c r="AH98" i="35"/>
  <c r="AC98" i="35"/>
  <c r="X98" i="35"/>
  <c r="S98" i="35"/>
  <c r="AM97" i="35"/>
  <c r="AH97" i="35"/>
  <c r="AC97" i="35"/>
  <c r="X97" i="35"/>
  <c r="S97" i="35"/>
  <c r="AM96" i="35"/>
  <c r="AH96" i="35"/>
  <c r="AC96" i="35"/>
  <c r="X96" i="35"/>
  <c r="S96" i="35"/>
  <c r="AM95" i="35"/>
  <c r="AH95" i="35"/>
  <c r="AC95" i="35"/>
  <c r="X95" i="35"/>
  <c r="S95" i="35"/>
  <c r="AM94" i="35"/>
  <c r="AH94" i="35"/>
  <c r="AC94" i="35"/>
  <c r="X94" i="35"/>
  <c r="S94" i="35"/>
  <c r="AM93" i="35"/>
  <c r="AH93" i="35"/>
  <c r="AC93" i="35"/>
  <c r="X93" i="35"/>
  <c r="S93" i="35"/>
  <c r="AM92" i="35"/>
  <c r="AH92" i="35"/>
  <c r="AC92" i="35"/>
  <c r="X92" i="35"/>
  <c r="S92" i="35"/>
  <c r="K92" i="35"/>
  <c r="J92" i="35"/>
  <c r="I92" i="35"/>
  <c r="AM91" i="35"/>
  <c r="AH91" i="35"/>
  <c r="AC91" i="35"/>
  <c r="X91" i="35"/>
  <c r="S91" i="35"/>
  <c r="K91" i="35"/>
  <c r="J91" i="35"/>
  <c r="I91" i="35"/>
  <c r="AM90" i="35"/>
  <c r="AH90" i="35"/>
  <c r="AC90" i="35"/>
  <c r="X90" i="35"/>
  <c r="S90" i="35"/>
  <c r="K90" i="35"/>
  <c r="J90" i="35"/>
  <c r="I90" i="35"/>
  <c r="AM89" i="35"/>
  <c r="AH89" i="35"/>
  <c r="AC89" i="35"/>
  <c r="X89" i="35"/>
  <c r="S89" i="35"/>
  <c r="K89" i="35"/>
  <c r="J89" i="35"/>
  <c r="I89" i="35"/>
  <c r="AM88" i="35"/>
  <c r="AH88" i="35"/>
  <c r="AC88" i="35"/>
  <c r="X88" i="35"/>
  <c r="S88" i="35"/>
  <c r="K88" i="35"/>
  <c r="M89" i="35" s="1"/>
  <c r="J88" i="35"/>
  <c r="I88" i="35"/>
  <c r="AN87" i="35"/>
  <c r="AM87" i="35"/>
  <c r="AI87" i="35"/>
  <c r="AH87" i="35"/>
  <c r="AD87" i="35"/>
  <c r="AC87" i="35"/>
  <c r="Y87" i="35"/>
  <c r="X87" i="35"/>
  <c r="T87" i="35"/>
  <c r="S87" i="35"/>
  <c r="L87" i="35"/>
  <c r="K87" i="35"/>
  <c r="M101" i="35" s="1"/>
  <c r="J87" i="35"/>
  <c r="I87" i="35"/>
  <c r="H87" i="35"/>
  <c r="AM101" i="34"/>
  <c r="AH101" i="34"/>
  <c r="AC101" i="34"/>
  <c r="X101" i="34"/>
  <c r="S101" i="34"/>
  <c r="AM100" i="34"/>
  <c r="AH100" i="34"/>
  <c r="AC100" i="34"/>
  <c r="X100" i="34"/>
  <c r="S100" i="34"/>
  <c r="AM99" i="34"/>
  <c r="AH99" i="34"/>
  <c r="AC99" i="34"/>
  <c r="X99" i="34"/>
  <c r="S99" i="34"/>
  <c r="AM98" i="34"/>
  <c r="AH98" i="34"/>
  <c r="AC98" i="34"/>
  <c r="X98" i="34"/>
  <c r="S98" i="34"/>
  <c r="AM97" i="34"/>
  <c r="AH97" i="34"/>
  <c r="AC97" i="34"/>
  <c r="X97" i="34"/>
  <c r="S97" i="34"/>
  <c r="K97" i="34"/>
  <c r="J97" i="34"/>
  <c r="I97" i="34"/>
  <c r="AM96" i="34"/>
  <c r="AH96" i="34"/>
  <c r="AC96" i="34"/>
  <c r="X96" i="34"/>
  <c r="S96" i="34"/>
  <c r="K96" i="34"/>
  <c r="J96" i="34"/>
  <c r="I96" i="34"/>
  <c r="AM95" i="34"/>
  <c r="AH95" i="34"/>
  <c r="AC95" i="34"/>
  <c r="X95" i="34"/>
  <c r="S95" i="34"/>
  <c r="K95" i="34"/>
  <c r="J95" i="34"/>
  <c r="I95" i="34"/>
  <c r="AM94" i="34"/>
  <c r="AH94" i="34"/>
  <c r="AC94" i="34"/>
  <c r="X94" i="34"/>
  <c r="S94" i="34"/>
  <c r="K94" i="34"/>
  <c r="J94" i="34"/>
  <c r="I94" i="34"/>
  <c r="AM93" i="34"/>
  <c r="AH93" i="34"/>
  <c r="AC93" i="34"/>
  <c r="X93" i="34"/>
  <c r="S93" i="34"/>
  <c r="K93" i="34"/>
  <c r="J93" i="34"/>
  <c r="I93" i="34"/>
  <c r="AM92" i="34"/>
  <c r="AH92" i="34"/>
  <c r="AC92" i="34"/>
  <c r="X92" i="34"/>
  <c r="S92" i="34"/>
  <c r="K92" i="34"/>
  <c r="J92" i="34"/>
  <c r="I92" i="34"/>
  <c r="AM91" i="34"/>
  <c r="AH91" i="34"/>
  <c r="AC91" i="34"/>
  <c r="X91" i="34"/>
  <c r="S91" i="34"/>
  <c r="K91" i="34"/>
  <c r="J91" i="34"/>
  <c r="I91" i="34"/>
  <c r="AM90" i="34"/>
  <c r="AH90" i="34"/>
  <c r="AC90" i="34"/>
  <c r="X90" i="34"/>
  <c r="S90" i="34"/>
  <c r="K90" i="34"/>
  <c r="J90" i="34"/>
  <c r="I90" i="34"/>
  <c r="AM89" i="34"/>
  <c r="AH89" i="34"/>
  <c r="AC89" i="34"/>
  <c r="X89" i="34"/>
  <c r="S89" i="34"/>
  <c r="K89" i="34"/>
  <c r="M89" i="34" s="1"/>
  <c r="J89" i="34"/>
  <c r="I89" i="34"/>
  <c r="AM88" i="34"/>
  <c r="AH88" i="34"/>
  <c r="AC88" i="34"/>
  <c r="X88" i="34"/>
  <c r="S88" i="34"/>
  <c r="K88" i="34"/>
  <c r="M88" i="34" s="1"/>
  <c r="J88" i="34"/>
  <c r="I88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M176" i="33"/>
  <c r="AH176" i="33"/>
  <c r="AC176" i="33"/>
  <c r="X176" i="33"/>
  <c r="S176" i="33"/>
  <c r="K176" i="33"/>
  <c r="J176" i="33"/>
  <c r="I176" i="33"/>
  <c r="AM175" i="33"/>
  <c r="AH175" i="33"/>
  <c r="AC175" i="33"/>
  <c r="X175" i="33"/>
  <c r="S175" i="33"/>
  <c r="K175" i="33"/>
  <c r="J175" i="33"/>
  <c r="I175" i="33"/>
  <c r="AM174" i="33"/>
  <c r="AH174" i="33"/>
  <c r="AC174" i="33"/>
  <c r="X174" i="33"/>
  <c r="S174" i="33"/>
  <c r="K174" i="33"/>
  <c r="J174" i="33"/>
  <c r="I174" i="33"/>
  <c r="AM173" i="33"/>
  <c r="AH173" i="33"/>
  <c r="AC173" i="33"/>
  <c r="X173" i="33"/>
  <c r="S173" i="33"/>
  <c r="K173" i="33"/>
  <c r="J173" i="33"/>
  <c r="I173" i="33"/>
  <c r="AM172" i="33"/>
  <c r="AH172" i="33"/>
  <c r="AC172" i="33"/>
  <c r="X172" i="33"/>
  <c r="S172" i="33"/>
  <c r="K172" i="33"/>
  <c r="J172" i="33"/>
  <c r="I172" i="33"/>
  <c r="AM171" i="33"/>
  <c r="AH171" i="33"/>
  <c r="AC171" i="33"/>
  <c r="X171" i="33"/>
  <c r="S171" i="33"/>
  <c r="K171" i="33"/>
  <c r="J171" i="33"/>
  <c r="I171" i="33"/>
  <c r="AM170" i="33"/>
  <c r="AH170" i="33"/>
  <c r="AC170" i="33"/>
  <c r="X170" i="33"/>
  <c r="S170" i="33"/>
  <c r="K170" i="33"/>
  <c r="J170" i="33"/>
  <c r="I170" i="33"/>
  <c r="AM169" i="33"/>
  <c r="AH169" i="33"/>
  <c r="AC169" i="33"/>
  <c r="X169" i="33"/>
  <c r="S169" i="33"/>
  <c r="K169" i="33"/>
  <c r="J169" i="33"/>
  <c r="I169" i="33"/>
  <c r="AM168" i="33"/>
  <c r="AH168" i="33"/>
  <c r="AC168" i="33"/>
  <c r="X168" i="33"/>
  <c r="S168" i="33"/>
  <c r="K168" i="33"/>
  <c r="J168" i="33"/>
  <c r="I168" i="33"/>
  <c r="AM167" i="33"/>
  <c r="AH167" i="33"/>
  <c r="AC167" i="33"/>
  <c r="X167" i="33"/>
  <c r="S167" i="33"/>
  <c r="K167" i="33"/>
  <c r="J167" i="33"/>
  <c r="I167" i="33"/>
  <c r="AM166" i="33"/>
  <c r="AH166" i="33"/>
  <c r="AC166" i="33"/>
  <c r="X166" i="33"/>
  <c r="S166" i="33"/>
  <c r="K166" i="33"/>
  <c r="J166" i="33"/>
  <c r="I166" i="33"/>
  <c r="AM165" i="33"/>
  <c r="AH165" i="33"/>
  <c r="AC165" i="33"/>
  <c r="X165" i="33"/>
  <c r="S165" i="33"/>
  <c r="K165" i="33"/>
  <c r="J165" i="33"/>
  <c r="I165" i="33"/>
  <c r="AM164" i="33"/>
  <c r="AH164" i="33"/>
  <c r="AC164" i="33"/>
  <c r="X164" i="33"/>
  <c r="S164" i="33"/>
  <c r="K164" i="33"/>
  <c r="J164" i="33"/>
  <c r="I164" i="33"/>
  <c r="AM163" i="33"/>
  <c r="AH163" i="33"/>
  <c r="AC163" i="33"/>
  <c r="X163" i="33"/>
  <c r="S163" i="33"/>
  <c r="K163" i="33"/>
  <c r="J163" i="33"/>
  <c r="I163" i="33"/>
  <c r="AM162" i="33"/>
  <c r="AH162" i="33"/>
  <c r="AC162" i="33"/>
  <c r="X162" i="33"/>
  <c r="S162" i="33"/>
  <c r="K162" i="33"/>
  <c r="J162" i="33"/>
  <c r="I162" i="33"/>
  <c r="AM161" i="33"/>
  <c r="AH161" i="33"/>
  <c r="AC161" i="33"/>
  <c r="X161" i="33"/>
  <c r="S161" i="33"/>
  <c r="K161" i="33"/>
  <c r="J161" i="33"/>
  <c r="I161" i="33"/>
  <c r="AM160" i="33"/>
  <c r="AH160" i="33"/>
  <c r="AC160" i="33"/>
  <c r="X160" i="33"/>
  <c r="S160" i="33"/>
  <c r="K160" i="33"/>
  <c r="J160" i="33"/>
  <c r="I160" i="33"/>
  <c r="AM159" i="33"/>
  <c r="AH159" i="33"/>
  <c r="AC159" i="33"/>
  <c r="X159" i="33"/>
  <c r="S159" i="33"/>
  <c r="K159" i="33"/>
  <c r="J159" i="33"/>
  <c r="I159" i="33"/>
  <c r="AM158" i="33"/>
  <c r="AH158" i="33"/>
  <c r="AC158" i="33"/>
  <c r="X158" i="33"/>
  <c r="S158" i="33"/>
  <c r="K158" i="33"/>
  <c r="J158" i="33"/>
  <c r="I158" i="33"/>
  <c r="AM157" i="33"/>
  <c r="AH157" i="33"/>
  <c r="AC157" i="33"/>
  <c r="X157" i="33"/>
  <c r="S157" i="33"/>
  <c r="K157" i="33"/>
  <c r="J157" i="33"/>
  <c r="I157" i="33"/>
  <c r="AM156" i="33"/>
  <c r="AH156" i="33"/>
  <c r="AC156" i="33"/>
  <c r="X156" i="33"/>
  <c r="S156" i="33"/>
  <c r="K156" i="33"/>
  <c r="J156" i="33"/>
  <c r="I156" i="33"/>
  <c r="AM155" i="33"/>
  <c r="AH155" i="33"/>
  <c r="AC155" i="33"/>
  <c r="X155" i="33"/>
  <c r="S155" i="33"/>
  <c r="K155" i="33"/>
  <c r="J155" i="33"/>
  <c r="I155" i="33"/>
  <c r="AM154" i="33"/>
  <c r="AH154" i="33"/>
  <c r="AC154" i="33"/>
  <c r="X154" i="33"/>
  <c r="S154" i="33"/>
  <c r="K154" i="33"/>
  <c r="J154" i="33"/>
  <c r="I154" i="33"/>
  <c r="AM153" i="33"/>
  <c r="AH153" i="33"/>
  <c r="AC153" i="33"/>
  <c r="X153" i="33"/>
  <c r="S153" i="33"/>
  <c r="K153" i="33"/>
  <c r="M153" i="33" s="1"/>
  <c r="J153" i="33"/>
  <c r="I153" i="33"/>
  <c r="AM152" i="33"/>
  <c r="AH152" i="33"/>
  <c r="AC152" i="33"/>
  <c r="X152" i="33"/>
  <c r="S152" i="33"/>
  <c r="K152" i="33"/>
  <c r="M152" i="33" s="1"/>
  <c r="J152" i="33"/>
  <c r="I152" i="33"/>
  <c r="AM151" i="33"/>
  <c r="AH151" i="33"/>
  <c r="AC151" i="33"/>
  <c r="X151" i="33"/>
  <c r="S151" i="33"/>
  <c r="K151" i="33"/>
  <c r="M151" i="33" s="1"/>
  <c r="J151" i="33"/>
  <c r="I151" i="33"/>
  <c r="AM150" i="33"/>
  <c r="AH150" i="33"/>
  <c r="AC150" i="33"/>
  <c r="X150" i="33"/>
  <c r="S150" i="33"/>
  <c r="K150" i="33"/>
  <c r="J150" i="33"/>
  <c r="I150" i="33"/>
  <c r="AM149" i="33"/>
  <c r="AH149" i="33"/>
  <c r="AC149" i="33"/>
  <c r="X149" i="33"/>
  <c r="S149" i="33"/>
  <c r="K149" i="33"/>
  <c r="J149" i="33"/>
  <c r="I149" i="33"/>
  <c r="AM148" i="33"/>
  <c r="AH148" i="33"/>
  <c r="AC148" i="33"/>
  <c r="X148" i="33"/>
  <c r="S148" i="33"/>
  <c r="K148" i="33"/>
  <c r="J148" i="33"/>
  <c r="I148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P22" i="31"/>
  <c r="AM101" i="31"/>
  <c r="AH101" i="31"/>
  <c r="AC101" i="31"/>
  <c r="X101" i="31"/>
  <c r="S101" i="31"/>
  <c r="AM100" i="31"/>
  <c r="AH100" i="31"/>
  <c r="AC100" i="31"/>
  <c r="X100" i="31"/>
  <c r="S100" i="31"/>
  <c r="AM99" i="31"/>
  <c r="AH99" i="31"/>
  <c r="AC99" i="31"/>
  <c r="X99" i="31"/>
  <c r="S99" i="31"/>
  <c r="AM98" i="31"/>
  <c r="AH98" i="31"/>
  <c r="AC98" i="31"/>
  <c r="X98" i="31"/>
  <c r="S98" i="31"/>
  <c r="AM97" i="31"/>
  <c r="AH97" i="31"/>
  <c r="AC97" i="31"/>
  <c r="X97" i="31"/>
  <c r="S97" i="31"/>
  <c r="AM96" i="31"/>
  <c r="AH96" i="31"/>
  <c r="AC96" i="31"/>
  <c r="X96" i="31"/>
  <c r="S96" i="31"/>
  <c r="AM95" i="31"/>
  <c r="AH95" i="31"/>
  <c r="AC95" i="31"/>
  <c r="X95" i="31"/>
  <c r="S95" i="31"/>
  <c r="AM94" i="31"/>
  <c r="AH94" i="31"/>
  <c r="AC94" i="31"/>
  <c r="X94" i="31"/>
  <c r="S94" i="31"/>
  <c r="AM93" i="31"/>
  <c r="AH93" i="31"/>
  <c r="AC93" i="31"/>
  <c r="X93" i="31"/>
  <c r="S93" i="31"/>
  <c r="AM92" i="31"/>
  <c r="AH92" i="31"/>
  <c r="AC92" i="31"/>
  <c r="X92" i="31"/>
  <c r="S92" i="31"/>
  <c r="AM91" i="31"/>
  <c r="AH91" i="31"/>
  <c r="AC91" i="31"/>
  <c r="X91" i="31"/>
  <c r="S91" i="31"/>
  <c r="AM90" i="31"/>
  <c r="AH90" i="31"/>
  <c r="AC90" i="31"/>
  <c r="X90" i="31"/>
  <c r="S90" i="31"/>
  <c r="AM89" i="31"/>
  <c r="AH89" i="31"/>
  <c r="AC89" i="31"/>
  <c r="X89" i="31"/>
  <c r="S89" i="31"/>
  <c r="AM88" i="31"/>
  <c r="AH88" i="31"/>
  <c r="AC88" i="31"/>
  <c r="S88" i="31"/>
  <c r="K88" i="31"/>
  <c r="M88" i="31" s="1"/>
  <c r="J88" i="31"/>
  <c r="I88" i="31"/>
  <c r="AN87" i="31"/>
  <c r="AM87" i="31"/>
  <c r="AI87" i="31"/>
  <c r="AH87" i="31"/>
  <c r="AD87" i="31"/>
  <c r="AC87" i="31"/>
  <c r="Y87" i="31"/>
  <c r="T87" i="31"/>
  <c r="S87" i="31"/>
  <c r="K87" i="31"/>
  <c r="J87" i="31"/>
  <c r="I87" i="31"/>
  <c r="H87" i="31"/>
  <c r="AM101" i="32"/>
  <c r="AH101" i="32"/>
  <c r="AC101" i="32"/>
  <c r="X101" i="32"/>
  <c r="S101" i="32"/>
  <c r="AM100" i="32"/>
  <c r="AH100" i="32"/>
  <c r="AC100" i="32"/>
  <c r="X100" i="32"/>
  <c r="S100" i="32"/>
  <c r="AM99" i="32"/>
  <c r="AH99" i="32"/>
  <c r="AC99" i="32"/>
  <c r="X99" i="32"/>
  <c r="S99" i="32"/>
  <c r="AM98" i="32"/>
  <c r="AH98" i="32"/>
  <c r="AC98" i="32"/>
  <c r="X98" i="32"/>
  <c r="S98" i="32"/>
  <c r="K98" i="32"/>
  <c r="J98" i="32"/>
  <c r="I98" i="32"/>
  <c r="AM97" i="32"/>
  <c r="AH97" i="32"/>
  <c r="AC97" i="32"/>
  <c r="X97" i="32"/>
  <c r="S97" i="32"/>
  <c r="K97" i="32"/>
  <c r="J97" i="32"/>
  <c r="I97" i="32"/>
  <c r="AM96" i="32"/>
  <c r="AH96" i="32"/>
  <c r="AC96" i="32"/>
  <c r="X96" i="32"/>
  <c r="S96" i="32"/>
  <c r="K96" i="32"/>
  <c r="J96" i="32"/>
  <c r="I96" i="32"/>
  <c r="AM95" i="32"/>
  <c r="AH95" i="32"/>
  <c r="AC95" i="32"/>
  <c r="X95" i="32"/>
  <c r="S95" i="32"/>
  <c r="K95" i="32"/>
  <c r="J95" i="32"/>
  <c r="I95" i="32"/>
  <c r="AM94" i="32"/>
  <c r="AH94" i="32"/>
  <c r="AC94" i="32"/>
  <c r="X94" i="32"/>
  <c r="S94" i="32"/>
  <c r="K94" i="32"/>
  <c r="J94" i="32"/>
  <c r="I94" i="32"/>
  <c r="AM93" i="32"/>
  <c r="AH93" i="32"/>
  <c r="AC93" i="32"/>
  <c r="X93" i="32"/>
  <c r="S93" i="32"/>
  <c r="K93" i="32"/>
  <c r="J93" i="32"/>
  <c r="I93" i="32"/>
  <c r="AM92" i="32"/>
  <c r="AH92" i="32"/>
  <c r="AC92" i="32"/>
  <c r="X92" i="32"/>
  <c r="S92" i="32"/>
  <c r="K92" i="32"/>
  <c r="J92" i="32"/>
  <c r="I92" i="32"/>
  <c r="AM91" i="32"/>
  <c r="AH91" i="32"/>
  <c r="AC91" i="32"/>
  <c r="X91" i="32"/>
  <c r="S91" i="32"/>
  <c r="K91" i="32"/>
  <c r="J91" i="32"/>
  <c r="I91" i="32"/>
  <c r="AM90" i="32"/>
  <c r="AH90" i="32"/>
  <c r="AC90" i="32"/>
  <c r="X90" i="32"/>
  <c r="S90" i="32"/>
  <c r="K90" i="32"/>
  <c r="J90" i="32"/>
  <c r="I90" i="32"/>
  <c r="AM89" i="32"/>
  <c r="AH89" i="32"/>
  <c r="AC89" i="32"/>
  <c r="X89" i="32"/>
  <c r="S89" i="32"/>
  <c r="K89" i="32"/>
  <c r="J89" i="32"/>
  <c r="I89" i="32"/>
  <c r="AM88" i="32"/>
  <c r="AH88" i="32"/>
  <c r="AC88" i="32"/>
  <c r="X88" i="32"/>
  <c r="S88" i="32"/>
  <c r="K88" i="32"/>
  <c r="J88" i="32"/>
  <c r="I88" i="32"/>
  <c r="AN87" i="32"/>
  <c r="AM87" i="32"/>
  <c r="AI87" i="32"/>
  <c r="AH87" i="32"/>
  <c r="AD87" i="32"/>
  <c r="AC87" i="32"/>
  <c r="Y87" i="32"/>
  <c r="X87" i="32"/>
  <c r="T87" i="32"/>
  <c r="S87" i="32"/>
  <c r="K87" i="32"/>
  <c r="M101" i="32" s="1"/>
  <c r="J87" i="32"/>
  <c r="I87" i="32"/>
  <c r="H87" i="32"/>
  <c r="AM101" i="30"/>
  <c r="AH101" i="30"/>
  <c r="AC101" i="30"/>
  <c r="X101" i="30"/>
  <c r="S101" i="30"/>
  <c r="AM100" i="30"/>
  <c r="AH100" i="30"/>
  <c r="AC100" i="30"/>
  <c r="X100" i="30"/>
  <c r="S100" i="30"/>
  <c r="AM99" i="30"/>
  <c r="AH99" i="30"/>
  <c r="AC99" i="30"/>
  <c r="X99" i="30"/>
  <c r="S99" i="30"/>
  <c r="AM98" i="30"/>
  <c r="AH98" i="30"/>
  <c r="AC98" i="30"/>
  <c r="X98" i="30"/>
  <c r="S98" i="30"/>
  <c r="AM97" i="30"/>
  <c r="AH97" i="30"/>
  <c r="AC97" i="30"/>
  <c r="X97" i="30"/>
  <c r="S97" i="30"/>
  <c r="AM96" i="30"/>
  <c r="AH96" i="30"/>
  <c r="AC96" i="30"/>
  <c r="X96" i="30"/>
  <c r="S96" i="30"/>
  <c r="AM95" i="30"/>
  <c r="AH95" i="30"/>
  <c r="AC95" i="30"/>
  <c r="X95" i="30"/>
  <c r="S95" i="30"/>
  <c r="AM94" i="30"/>
  <c r="AH94" i="30"/>
  <c r="AC94" i="30"/>
  <c r="X94" i="30"/>
  <c r="S94" i="30"/>
  <c r="AM93" i="30"/>
  <c r="AH93" i="30"/>
  <c r="AC93" i="30"/>
  <c r="X93" i="30"/>
  <c r="S93" i="30"/>
  <c r="AM92" i="30"/>
  <c r="AH92" i="30"/>
  <c r="AC92" i="30"/>
  <c r="X92" i="30"/>
  <c r="S92" i="30"/>
  <c r="K92" i="30"/>
  <c r="J92" i="30"/>
  <c r="I92" i="30"/>
  <c r="AM91" i="30"/>
  <c r="AH91" i="30"/>
  <c r="AC91" i="30"/>
  <c r="X91" i="30"/>
  <c r="S91" i="30"/>
  <c r="K91" i="30"/>
  <c r="J91" i="30"/>
  <c r="I91" i="30"/>
  <c r="AM90" i="30"/>
  <c r="AH90" i="30"/>
  <c r="AC90" i="30"/>
  <c r="X90" i="30"/>
  <c r="S90" i="30"/>
  <c r="K90" i="30"/>
  <c r="J90" i="30"/>
  <c r="I90" i="30"/>
  <c r="AM89" i="30"/>
  <c r="AH89" i="30"/>
  <c r="AC89" i="30"/>
  <c r="X89" i="30"/>
  <c r="S89" i="30"/>
  <c r="K89" i="30"/>
  <c r="J89" i="30"/>
  <c r="I89" i="30"/>
  <c r="AM88" i="30"/>
  <c r="AH88" i="30"/>
  <c r="AC88" i="30"/>
  <c r="X88" i="30"/>
  <c r="S88" i="30"/>
  <c r="K88" i="30"/>
  <c r="J88" i="30"/>
  <c r="I88" i="30"/>
  <c r="AN87" i="30"/>
  <c r="AM87" i="30"/>
  <c r="AI87" i="30"/>
  <c r="AH87" i="30"/>
  <c r="AD87" i="30"/>
  <c r="AC87" i="30"/>
  <c r="Y87" i="30"/>
  <c r="X87" i="30"/>
  <c r="T87" i="30"/>
  <c r="S87" i="30"/>
  <c r="K87" i="30"/>
  <c r="M100" i="30" s="1"/>
  <c r="J87" i="30"/>
  <c r="I87" i="30"/>
  <c r="H87" i="30"/>
  <c r="K168" i="8"/>
  <c r="J168" i="8"/>
  <c r="I168" i="8"/>
  <c r="K167" i="8"/>
  <c r="J167" i="8"/>
  <c r="I167" i="8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M101" i="30" l="1"/>
  <c r="M89" i="30"/>
  <c r="L87" i="32"/>
  <c r="M90" i="30"/>
  <c r="M99" i="30"/>
  <c r="M92" i="30"/>
  <c r="M148" i="33"/>
  <c r="M149" i="33"/>
  <c r="M89" i="36"/>
  <c r="M91" i="36"/>
  <c r="M89" i="37"/>
  <c r="M91" i="37"/>
  <c r="M93" i="37"/>
  <c r="M159" i="33"/>
  <c r="M167" i="33"/>
  <c r="M172" i="33"/>
  <c r="M87" i="30"/>
  <c r="M173" i="33"/>
  <c r="M101" i="34"/>
  <c r="M90" i="34"/>
  <c r="M91" i="34"/>
  <c r="M92" i="34"/>
  <c r="M94" i="34"/>
  <c r="M95" i="34"/>
  <c r="M96" i="34"/>
  <c r="M156" i="33"/>
  <c r="M160" i="33"/>
  <c r="M164" i="33"/>
  <c r="M147" i="33"/>
  <c r="L87" i="34"/>
  <c r="M101" i="36"/>
  <c r="M101" i="37"/>
  <c r="M150" i="33"/>
  <c r="M155" i="33"/>
  <c r="M161" i="33"/>
  <c r="M165" i="33"/>
  <c r="M175" i="33"/>
  <c r="M89" i="32"/>
  <c r="M90" i="32"/>
  <c r="M92" i="32"/>
  <c r="M94" i="32"/>
  <c r="M96" i="32"/>
  <c r="M98" i="32"/>
  <c r="M101" i="31"/>
  <c r="M87" i="34"/>
  <c r="M157" i="33"/>
  <c r="M163" i="33"/>
  <c r="M168" i="33"/>
  <c r="M171" i="33"/>
  <c r="M176" i="33"/>
  <c r="M159" i="8"/>
  <c r="M90" i="35"/>
  <c r="M92" i="35"/>
  <c r="M87" i="37"/>
  <c r="M90" i="37"/>
  <c r="M94" i="37"/>
  <c r="M96" i="37"/>
  <c r="M98" i="37"/>
  <c r="M100" i="37"/>
  <c r="M92" i="37"/>
  <c r="M88" i="37"/>
  <c r="L87" i="37"/>
  <c r="M95" i="37"/>
  <c r="M97" i="37"/>
  <c r="M99" i="37"/>
  <c r="M88" i="36"/>
  <c r="L87" i="36"/>
  <c r="M92" i="36"/>
  <c r="M94" i="36"/>
  <c r="M96" i="36"/>
  <c r="M98" i="36"/>
  <c r="M100" i="36"/>
  <c r="M87" i="36"/>
  <c r="M90" i="36"/>
  <c r="M93" i="36"/>
  <c r="M95" i="36"/>
  <c r="M97" i="36"/>
  <c r="M99" i="36"/>
  <c r="M91" i="35"/>
  <c r="M88" i="35"/>
  <c r="M94" i="35"/>
  <c r="M96" i="35"/>
  <c r="M98" i="35"/>
  <c r="M100" i="35"/>
  <c r="M87" i="35"/>
  <c r="M93" i="35"/>
  <c r="M95" i="35"/>
  <c r="M97" i="35"/>
  <c r="M99" i="35"/>
  <c r="M98" i="34"/>
  <c r="M100" i="34"/>
  <c r="M93" i="34"/>
  <c r="M97" i="34"/>
  <c r="M99" i="34"/>
  <c r="M154" i="33"/>
  <c r="M158" i="33"/>
  <c r="M166" i="33"/>
  <c r="M162" i="33"/>
  <c r="M170" i="33"/>
  <c r="M174" i="33"/>
  <c r="L147" i="33"/>
  <c r="M169" i="33"/>
  <c r="L87" i="31"/>
  <c r="M87" i="31"/>
  <c r="M90" i="31"/>
  <c r="M92" i="31"/>
  <c r="M94" i="31"/>
  <c r="M96" i="31"/>
  <c r="M98" i="31"/>
  <c r="M100" i="31"/>
  <c r="M89" i="31"/>
  <c r="M91" i="31"/>
  <c r="M93" i="31"/>
  <c r="M95" i="31"/>
  <c r="M97" i="31"/>
  <c r="M99" i="31"/>
  <c r="M93" i="32"/>
  <c r="M97" i="32"/>
  <c r="M87" i="32"/>
  <c r="M100" i="32"/>
  <c r="M91" i="32"/>
  <c r="M95" i="32"/>
  <c r="M88" i="32"/>
  <c r="M99" i="32"/>
  <c r="M93" i="30"/>
  <c r="M91" i="30"/>
  <c r="M88" i="30"/>
  <c r="M94" i="30"/>
  <c r="M96" i="30"/>
  <c r="M98" i="30"/>
  <c r="L87" i="30"/>
  <c r="M95" i="30"/>
  <c r="M97" i="30"/>
  <c r="M155" i="8"/>
  <c r="M163" i="8"/>
  <c r="L147" i="8"/>
  <c r="M150" i="8"/>
  <c r="M152" i="8"/>
  <c r="M154" i="8"/>
  <c r="M156" i="8"/>
  <c r="M158" i="8"/>
  <c r="M160" i="8"/>
  <c r="M162" i="8"/>
  <c r="M164" i="8"/>
  <c r="M166" i="8"/>
  <c r="M148" i="8"/>
  <c r="M147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M165" i="8"/>
  <c r="M151" i="8"/>
  <c r="AW81" i="37" l="1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K73" i="37"/>
  <c r="J73" i="37"/>
  <c r="I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M71" i="37" s="1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54" i="37"/>
  <c r="AR54" i="37"/>
  <c r="AM54" i="37"/>
  <c r="AH54" i="37"/>
  <c r="AC54" i="37"/>
  <c r="X54" i="37"/>
  <c r="S54" i="37"/>
  <c r="K54" i="37"/>
  <c r="J54" i="37"/>
  <c r="I54" i="37"/>
  <c r="AW53" i="37"/>
  <c r="AR53" i="37"/>
  <c r="AM53" i="37"/>
  <c r="AH53" i="37"/>
  <c r="AC53" i="37"/>
  <c r="X53" i="37"/>
  <c r="S53" i="37"/>
  <c r="K53" i="37"/>
  <c r="J53" i="37"/>
  <c r="I53" i="37"/>
  <c r="AW52" i="37"/>
  <c r="AR52" i="37"/>
  <c r="AM52" i="37"/>
  <c r="AH52" i="37"/>
  <c r="AC52" i="37"/>
  <c r="X52" i="37"/>
  <c r="S52" i="37"/>
  <c r="K52" i="37"/>
  <c r="J52" i="37"/>
  <c r="I52" i="37"/>
  <c r="AW51" i="37"/>
  <c r="AR51" i="37"/>
  <c r="AM51" i="37"/>
  <c r="AH51" i="37"/>
  <c r="AC51" i="37"/>
  <c r="X51" i="37"/>
  <c r="S51" i="37"/>
  <c r="K51" i="37"/>
  <c r="J51" i="37"/>
  <c r="I51" i="37"/>
  <c r="AW50" i="37"/>
  <c r="AR50" i="37"/>
  <c r="AM50" i="37"/>
  <c r="AH50" i="37"/>
  <c r="AC50" i="37"/>
  <c r="X50" i="37"/>
  <c r="S50" i="37"/>
  <c r="K50" i="37"/>
  <c r="M50" i="37" s="1"/>
  <c r="J50" i="37"/>
  <c r="I50" i="37"/>
  <c r="AW49" i="37"/>
  <c r="AR49" i="37"/>
  <c r="AM49" i="37"/>
  <c r="AH49" i="37"/>
  <c r="AC49" i="37"/>
  <c r="X49" i="37"/>
  <c r="S49" i="37"/>
  <c r="K49" i="37"/>
  <c r="J49" i="37"/>
  <c r="I49" i="37"/>
  <c r="AW48" i="37"/>
  <c r="AR48" i="37"/>
  <c r="AM48" i="37"/>
  <c r="AH48" i="37"/>
  <c r="AC48" i="37"/>
  <c r="X48" i="37"/>
  <c r="S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K34" i="37"/>
  <c r="J34" i="37"/>
  <c r="I34" i="37"/>
  <c r="AW33" i="37"/>
  <c r="AR33" i="37"/>
  <c r="AM33" i="37"/>
  <c r="AH33" i="37"/>
  <c r="AC33" i="37"/>
  <c r="X33" i="37"/>
  <c r="S33" i="37"/>
  <c r="K33" i="37"/>
  <c r="J33" i="37"/>
  <c r="I33" i="37"/>
  <c r="AW32" i="37"/>
  <c r="AR32" i="37"/>
  <c r="AM32" i="37"/>
  <c r="AH32" i="37"/>
  <c r="AC32" i="37"/>
  <c r="X32" i="37"/>
  <c r="S32" i="37"/>
  <c r="K32" i="37"/>
  <c r="J32" i="37"/>
  <c r="I32" i="37"/>
  <c r="AW31" i="37"/>
  <c r="AR31" i="37"/>
  <c r="AM31" i="37"/>
  <c r="AH31" i="37"/>
  <c r="AC31" i="37"/>
  <c r="X31" i="37"/>
  <c r="S31" i="37"/>
  <c r="K31" i="37"/>
  <c r="M31" i="37" s="1"/>
  <c r="J31" i="37"/>
  <c r="I31" i="37"/>
  <c r="AW30" i="37"/>
  <c r="AR30" i="37"/>
  <c r="AM30" i="37"/>
  <c r="AH30" i="37"/>
  <c r="AC30" i="37"/>
  <c r="X30" i="37"/>
  <c r="S30" i="37"/>
  <c r="K30" i="37"/>
  <c r="J30" i="37"/>
  <c r="I30" i="37"/>
  <c r="AW29" i="37"/>
  <c r="AR29" i="37"/>
  <c r="AM29" i="37"/>
  <c r="AH29" i="37"/>
  <c r="AC29" i="37"/>
  <c r="X29" i="37"/>
  <c r="S29" i="37"/>
  <c r="K29" i="37"/>
  <c r="J29" i="37"/>
  <c r="I29" i="37"/>
  <c r="AW28" i="37"/>
  <c r="AR28" i="37"/>
  <c r="AM28" i="37"/>
  <c r="AH28" i="37"/>
  <c r="AC28" i="37"/>
  <c r="X28" i="37"/>
  <c r="S28" i="37"/>
  <c r="K28" i="37"/>
  <c r="J28" i="37"/>
  <c r="I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I27" i="37"/>
  <c r="H27" i="37"/>
  <c r="AW21" i="37"/>
  <c r="AR21" i="37"/>
  <c r="AM21" i="37"/>
  <c r="AH21" i="37"/>
  <c r="AC21" i="37"/>
  <c r="X21" i="37"/>
  <c r="S21" i="37"/>
  <c r="AW20" i="37"/>
  <c r="AR20" i="37"/>
  <c r="AM20" i="37"/>
  <c r="AH20" i="37"/>
  <c r="AC20" i="37"/>
  <c r="X20" i="37"/>
  <c r="S20" i="37"/>
  <c r="AW19" i="37"/>
  <c r="AR19" i="37"/>
  <c r="AM19" i="37"/>
  <c r="AH19" i="37"/>
  <c r="AC19" i="37"/>
  <c r="X19" i="37"/>
  <c r="S19" i="37"/>
  <c r="AW18" i="37"/>
  <c r="AR18" i="37"/>
  <c r="AM18" i="37"/>
  <c r="AH18" i="37"/>
  <c r="AC18" i="37"/>
  <c r="X18" i="37"/>
  <c r="S18" i="37"/>
  <c r="AW17" i="37"/>
  <c r="AR17" i="37"/>
  <c r="AM17" i="37"/>
  <c r="AH17" i="37"/>
  <c r="AC17" i="37"/>
  <c r="X17" i="37"/>
  <c r="S17" i="37"/>
  <c r="AW16" i="37"/>
  <c r="AR16" i="37"/>
  <c r="AM16" i="37"/>
  <c r="AH16" i="37"/>
  <c r="AC16" i="37"/>
  <c r="X16" i="37"/>
  <c r="S16" i="37"/>
  <c r="AW15" i="37"/>
  <c r="AR15" i="37"/>
  <c r="AM15" i="37"/>
  <c r="AH15" i="37"/>
  <c r="AC15" i="37"/>
  <c r="X15" i="37"/>
  <c r="S15" i="37"/>
  <c r="AW14" i="37"/>
  <c r="AR14" i="37"/>
  <c r="AM14" i="37"/>
  <c r="AH14" i="37"/>
  <c r="AC14" i="37"/>
  <c r="X14" i="37"/>
  <c r="S14" i="37"/>
  <c r="K14" i="37"/>
  <c r="J14" i="37"/>
  <c r="I14" i="37"/>
  <c r="AW13" i="37"/>
  <c r="AR13" i="37"/>
  <c r="AM13" i="37"/>
  <c r="AH13" i="37"/>
  <c r="AC13" i="37"/>
  <c r="X13" i="37"/>
  <c r="S13" i="37"/>
  <c r="K13" i="37"/>
  <c r="J13" i="37"/>
  <c r="I13" i="37"/>
  <c r="AW12" i="37"/>
  <c r="AR12" i="37"/>
  <c r="AM12" i="37"/>
  <c r="AH12" i="37"/>
  <c r="AC12" i="37"/>
  <c r="X12" i="37"/>
  <c r="S12" i="37"/>
  <c r="K12" i="37"/>
  <c r="J12" i="37"/>
  <c r="I12" i="37"/>
  <c r="AW11" i="37"/>
  <c r="AR11" i="37"/>
  <c r="AM11" i="37"/>
  <c r="AH11" i="37"/>
  <c r="AC11" i="37"/>
  <c r="X11" i="37"/>
  <c r="S11" i="37"/>
  <c r="K11" i="37"/>
  <c r="J11" i="37"/>
  <c r="I11" i="37"/>
  <c r="AW10" i="37"/>
  <c r="AR10" i="37"/>
  <c r="AM10" i="37"/>
  <c r="AH10" i="37"/>
  <c r="AC10" i="37"/>
  <c r="X10" i="37"/>
  <c r="S10" i="37"/>
  <c r="K10" i="37"/>
  <c r="J10" i="37"/>
  <c r="I10" i="37"/>
  <c r="AW9" i="37"/>
  <c r="AR9" i="37"/>
  <c r="AM9" i="37"/>
  <c r="AH9" i="37"/>
  <c r="AC9" i="37"/>
  <c r="X9" i="37"/>
  <c r="S9" i="37"/>
  <c r="K9" i="37"/>
  <c r="J9" i="37"/>
  <c r="I9" i="37"/>
  <c r="AW8" i="37"/>
  <c r="AR8" i="37"/>
  <c r="AM8" i="37"/>
  <c r="AH8" i="37"/>
  <c r="AC8" i="37"/>
  <c r="X8" i="37"/>
  <c r="S8" i="37"/>
  <c r="K8" i="37"/>
  <c r="J8" i="37"/>
  <c r="I8" i="37"/>
  <c r="AX7" i="37"/>
  <c r="AW7" i="37"/>
  <c r="AS7" i="37"/>
  <c r="AR7" i="37"/>
  <c r="AN7" i="37"/>
  <c r="AM7" i="37"/>
  <c r="AI7" i="37"/>
  <c r="AH7" i="37"/>
  <c r="AD7" i="37"/>
  <c r="AC7" i="37"/>
  <c r="Y7" i="37"/>
  <c r="X7" i="37"/>
  <c r="T7" i="37"/>
  <c r="S7" i="37"/>
  <c r="K7" i="37"/>
  <c r="J7" i="37"/>
  <c r="I7" i="37"/>
  <c r="H7" i="37"/>
  <c r="Z2" i="37"/>
  <c r="AE2" i="37" s="1"/>
  <c r="AJ2" i="37" s="1"/>
  <c r="AO2" i="37" s="1"/>
  <c r="AT2" i="37" s="1"/>
  <c r="P22" i="37" s="1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J71" i="36"/>
  <c r="I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M68" i="36" s="1"/>
  <c r="J67" i="36"/>
  <c r="I67" i="36"/>
  <c r="H67" i="36"/>
  <c r="AW51" i="36"/>
  <c r="AR51" i="36"/>
  <c r="AM51" i="36"/>
  <c r="AH51" i="36"/>
  <c r="AC51" i="36"/>
  <c r="X51" i="36"/>
  <c r="S51" i="36"/>
  <c r="K51" i="36"/>
  <c r="J51" i="36"/>
  <c r="I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K31" i="36"/>
  <c r="J31" i="36"/>
  <c r="I31" i="36"/>
  <c r="AW30" i="36"/>
  <c r="AR30" i="36"/>
  <c r="AM30" i="36"/>
  <c r="AH30" i="36"/>
  <c r="AC30" i="36"/>
  <c r="X30" i="36"/>
  <c r="S30" i="36"/>
  <c r="K30" i="36"/>
  <c r="J30" i="36"/>
  <c r="I30" i="36"/>
  <c r="AW29" i="36"/>
  <c r="AR29" i="36"/>
  <c r="AM29" i="36"/>
  <c r="AH29" i="36"/>
  <c r="AC29" i="36"/>
  <c r="X29" i="36"/>
  <c r="S29" i="36"/>
  <c r="K29" i="36"/>
  <c r="M29" i="36" s="1"/>
  <c r="J29" i="36"/>
  <c r="I29" i="36"/>
  <c r="AW28" i="36"/>
  <c r="AR28" i="36"/>
  <c r="AM28" i="36"/>
  <c r="AH28" i="36"/>
  <c r="AC28" i="36"/>
  <c r="X28" i="36"/>
  <c r="S28" i="36"/>
  <c r="K28" i="36"/>
  <c r="J28" i="36"/>
  <c r="I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AW15" i="36"/>
  <c r="AR15" i="36"/>
  <c r="AM15" i="36"/>
  <c r="AH15" i="36"/>
  <c r="AC15" i="36"/>
  <c r="X15" i="36"/>
  <c r="S15" i="36"/>
  <c r="AW14" i="36"/>
  <c r="AR14" i="36"/>
  <c r="AM14" i="36"/>
  <c r="AH14" i="36"/>
  <c r="AC14" i="36"/>
  <c r="X14" i="36"/>
  <c r="S14" i="36"/>
  <c r="AW13" i="36"/>
  <c r="AR13" i="36"/>
  <c r="AM13" i="36"/>
  <c r="AH13" i="36"/>
  <c r="AC13" i="36"/>
  <c r="X13" i="36"/>
  <c r="S13" i="36"/>
  <c r="AW12" i="36"/>
  <c r="AR12" i="36"/>
  <c r="AM12" i="36"/>
  <c r="AH12" i="36"/>
  <c r="AC12" i="36"/>
  <c r="X12" i="36"/>
  <c r="S12" i="36"/>
  <c r="AW11" i="36"/>
  <c r="AR11" i="36"/>
  <c r="AM11" i="36"/>
  <c r="AH11" i="36"/>
  <c r="AC11" i="36"/>
  <c r="X11" i="36"/>
  <c r="S11" i="36"/>
  <c r="K11" i="36"/>
  <c r="J11" i="36"/>
  <c r="I11" i="36"/>
  <c r="AW10" i="36"/>
  <c r="AR10" i="36"/>
  <c r="AM10" i="36"/>
  <c r="AH10" i="36"/>
  <c r="AC10" i="36"/>
  <c r="X10" i="36"/>
  <c r="S10" i="36"/>
  <c r="K10" i="36"/>
  <c r="J10" i="36"/>
  <c r="I10" i="36"/>
  <c r="AW9" i="36"/>
  <c r="AR9" i="36"/>
  <c r="AM9" i="36"/>
  <c r="AH9" i="36"/>
  <c r="AC9" i="36"/>
  <c r="X9" i="36"/>
  <c r="S9" i="36"/>
  <c r="K9" i="36"/>
  <c r="J9" i="36"/>
  <c r="I9" i="36"/>
  <c r="AW8" i="36"/>
  <c r="AR8" i="36"/>
  <c r="AM8" i="36"/>
  <c r="AH8" i="36"/>
  <c r="AC8" i="36"/>
  <c r="X8" i="36"/>
  <c r="S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U2" i="36"/>
  <c r="Z2" i="36" s="1"/>
  <c r="AE2" i="36" s="1"/>
  <c r="AJ2" i="36" s="1"/>
  <c r="AO2" i="36" s="1"/>
  <c r="AT2" i="36" s="1"/>
  <c r="P22" i="36" s="1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AW73" i="35"/>
  <c r="AR73" i="35"/>
  <c r="AM73" i="35"/>
  <c r="AH73" i="35"/>
  <c r="AC73" i="35"/>
  <c r="X73" i="35"/>
  <c r="S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M81" i="35" s="1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K54" i="35"/>
  <c r="J54" i="35"/>
  <c r="I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M53" i="35" s="1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K35" i="35"/>
  <c r="J35" i="35"/>
  <c r="I35" i="35"/>
  <c r="AW34" i="35"/>
  <c r="AR34" i="35"/>
  <c r="AM34" i="35"/>
  <c r="AH34" i="35"/>
  <c r="AC34" i="35"/>
  <c r="X34" i="35"/>
  <c r="S34" i="35"/>
  <c r="K34" i="35"/>
  <c r="J34" i="35"/>
  <c r="I34" i="35"/>
  <c r="AW33" i="35"/>
  <c r="AR33" i="35"/>
  <c r="AM33" i="35"/>
  <c r="AH33" i="35"/>
  <c r="AC33" i="35"/>
  <c r="X33" i="35"/>
  <c r="S33" i="35"/>
  <c r="K33" i="35"/>
  <c r="J33" i="35"/>
  <c r="I33" i="35"/>
  <c r="AW32" i="35"/>
  <c r="AR32" i="35"/>
  <c r="AM32" i="35"/>
  <c r="AH32" i="35"/>
  <c r="AC32" i="35"/>
  <c r="X32" i="35"/>
  <c r="S32" i="35"/>
  <c r="K32" i="35"/>
  <c r="J32" i="35"/>
  <c r="I32" i="35"/>
  <c r="AW31" i="35"/>
  <c r="AR31" i="35"/>
  <c r="AM31" i="35"/>
  <c r="AH31" i="35"/>
  <c r="AC31" i="35"/>
  <c r="X31" i="35"/>
  <c r="S31" i="35"/>
  <c r="K31" i="35"/>
  <c r="M31" i="35" s="1"/>
  <c r="J31" i="35"/>
  <c r="I31" i="35"/>
  <c r="AW30" i="35"/>
  <c r="AR30" i="35"/>
  <c r="AM30" i="35"/>
  <c r="AH30" i="35"/>
  <c r="AC30" i="35"/>
  <c r="X30" i="35"/>
  <c r="S30" i="35"/>
  <c r="K30" i="35"/>
  <c r="J30" i="35"/>
  <c r="I30" i="35"/>
  <c r="AW29" i="35"/>
  <c r="AR29" i="35"/>
  <c r="AM29" i="35"/>
  <c r="AH29" i="35"/>
  <c r="AC29" i="35"/>
  <c r="X29" i="35"/>
  <c r="S29" i="35"/>
  <c r="K29" i="35"/>
  <c r="J29" i="35"/>
  <c r="I29" i="35"/>
  <c r="AW28" i="35"/>
  <c r="AR28" i="35"/>
  <c r="AM28" i="35"/>
  <c r="AH28" i="35"/>
  <c r="AC28" i="35"/>
  <c r="X28" i="35"/>
  <c r="S28" i="35"/>
  <c r="K28" i="35"/>
  <c r="J28" i="35"/>
  <c r="I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I27" i="35"/>
  <c r="H27" i="35"/>
  <c r="AW21" i="35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AW19" i="35"/>
  <c r="AR19" i="35"/>
  <c r="AM19" i="35"/>
  <c r="AH19" i="35"/>
  <c r="AC19" i="35"/>
  <c r="X19" i="35"/>
  <c r="S19" i="35"/>
  <c r="AW18" i="35"/>
  <c r="AR18" i="35"/>
  <c r="AM18" i="35"/>
  <c r="AH18" i="35"/>
  <c r="AC18" i="35"/>
  <c r="X18" i="35"/>
  <c r="S18" i="35"/>
  <c r="AW17" i="35"/>
  <c r="AR17" i="35"/>
  <c r="AM17" i="35"/>
  <c r="AH17" i="35"/>
  <c r="AC17" i="35"/>
  <c r="X17" i="35"/>
  <c r="S17" i="35"/>
  <c r="AW16" i="35"/>
  <c r="AR16" i="35"/>
  <c r="AM16" i="35"/>
  <c r="AH16" i="35"/>
  <c r="AC16" i="35"/>
  <c r="X16" i="35"/>
  <c r="S16" i="35"/>
  <c r="AW15" i="35"/>
  <c r="AR15" i="35"/>
  <c r="AM15" i="35"/>
  <c r="AH15" i="35"/>
  <c r="AC15" i="35"/>
  <c r="X15" i="35"/>
  <c r="S15" i="35"/>
  <c r="K15" i="35"/>
  <c r="J15" i="35"/>
  <c r="I15" i="35"/>
  <c r="AW14" i="35"/>
  <c r="AR14" i="35"/>
  <c r="AM14" i="35"/>
  <c r="AH14" i="35"/>
  <c r="AC14" i="35"/>
  <c r="X14" i="35"/>
  <c r="S14" i="35"/>
  <c r="K14" i="35"/>
  <c r="J14" i="35"/>
  <c r="I14" i="35"/>
  <c r="AW13" i="35"/>
  <c r="AR13" i="35"/>
  <c r="AM13" i="35"/>
  <c r="AH13" i="35"/>
  <c r="AC13" i="35"/>
  <c r="X13" i="35"/>
  <c r="S13" i="35"/>
  <c r="K13" i="35"/>
  <c r="J13" i="35"/>
  <c r="I13" i="35"/>
  <c r="AW12" i="35"/>
  <c r="AR12" i="35"/>
  <c r="AM12" i="35"/>
  <c r="AH12" i="35"/>
  <c r="AC12" i="35"/>
  <c r="X12" i="35"/>
  <c r="S12" i="35"/>
  <c r="K12" i="35"/>
  <c r="J12" i="35"/>
  <c r="I12" i="35"/>
  <c r="AW11" i="35"/>
  <c r="AR11" i="35"/>
  <c r="AM11" i="35"/>
  <c r="AH11" i="35"/>
  <c r="AC11" i="35"/>
  <c r="X11" i="35"/>
  <c r="S11" i="35"/>
  <c r="K11" i="35"/>
  <c r="J11" i="35"/>
  <c r="I11" i="35"/>
  <c r="AW10" i="35"/>
  <c r="AR10" i="35"/>
  <c r="AM10" i="35"/>
  <c r="AH10" i="35"/>
  <c r="AC10" i="35"/>
  <c r="X10" i="35"/>
  <c r="S10" i="35"/>
  <c r="K10" i="35"/>
  <c r="J10" i="35"/>
  <c r="I10" i="35"/>
  <c r="AW9" i="35"/>
  <c r="AR9" i="35"/>
  <c r="AM9" i="35"/>
  <c r="AH9" i="35"/>
  <c r="AC9" i="35"/>
  <c r="X9" i="35"/>
  <c r="S9" i="35"/>
  <c r="K9" i="35"/>
  <c r="J9" i="35"/>
  <c r="I9" i="35"/>
  <c r="AW8" i="35"/>
  <c r="AR8" i="35"/>
  <c r="AM8" i="35"/>
  <c r="AH8" i="35"/>
  <c r="AC8" i="35"/>
  <c r="X8" i="35"/>
  <c r="S8" i="35"/>
  <c r="K8" i="35"/>
  <c r="J8" i="35"/>
  <c r="I8" i="35"/>
  <c r="AX7" i="35"/>
  <c r="AW7" i="35"/>
  <c r="AS7" i="35"/>
  <c r="AR7" i="35"/>
  <c r="AN7" i="35"/>
  <c r="AM7" i="35"/>
  <c r="AI7" i="35"/>
  <c r="AH7" i="35"/>
  <c r="AD7" i="35"/>
  <c r="AC7" i="35"/>
  <c r="Y7" i="35"/>
  <c r="X7" i="35"/>
  <c r="T7" i="35"/>
  <c r="S7" i="35"/>
  <c r="K7" i="35"/>
  <c r="L7" i="35" s="1"/>
  <c r="J7" i="35"/>
  <c r="I7" i="35"/>
  <c r="H7" i="35"/>
  <c r="Z2" i="35"/>
  <c r="AE2" i="35" s="1"/>
  <c r="AJ2" i="35" s="1"/>
  <c r="AO2" i="35" s="1"/>
  <c r="AT2" i="35" s="1"/>
  <c r="P22" i="35" s="1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K77" i="34"/>
  <c r="J77" i="34"/>
  <c r="I77" i="34"/>
  <c r="AW76" i="34"/>
  <c r="AR76" i="34"/>
  <c r="AM76" i="34"/>
  <c r="AH76" i="34"/>
  <c r="AC76" i="34"/>
  <c r="X76" i="34"/>
  <c r="S76" i="34"/>
  <c r="K76" i="34"/>
  <c r="J76" i="34"/>
  <c r="I76" i="34"/>
  <c r="AW75" i="34"/>
  <c r="AR75" i="34"/>
  <c r="AM75" i="34"/>
  <c r="AH75" i="34"/>
  <c r="AC75" i="34"/>
  <c r="X75" i="34"/>
  <c r="S75" i="34"/>
  <c r="K75" i="34"/>
  <c r="J75" i="34"/>
  <c r="I75" i="34"/>
  <c r="AW74" i="34"/>
  <c r="AR74" i="34"/>
  <c r="AM74" i="34"/>
  <c r="AH74" i="34"/>
  <c r="AC74" i="34"/>
  <c r="X74" i="34"/>
  <c r="S74" i="34"/>
  <c r="K74" i="34"/>
  <c r="J74" i="34"/>
  <c r="I74" i="34"/>
  <c r="AW73" i="34"/>
  <c r="AR73" i="34"/>
  <c r="AM73" i="34"/>
  <c r="AH73" i="34"/>
  <c r="AC73" i="34"/>
  <c r="X73" i="34"/>
  <c r="S73" i="34"/>
  <c r="K73" i="34"/>
  <c r="J73" i="34"/>
  <c r="I73" i="34"/>
  <c r="AW72" i="34"/>
  <c r="AR72" i="34"/>
  <c r="AM72" i="34"/>
  <c r="AH72" i="34"/>
  <c r="AC72" i="34"/>
  <c r="X72" i="34"/>
  <c r="S72" i="34"/>
  <c r="K72" i="34"/>
  <c r="J72" i="34"/>
  <c r="I72" i="34"/>
  <c r="AW71" i="34"/>
  <c r="AR71" i="34"/>
  <c r="AM71" i="34"/>
  <c r="AH71" i="34"/>
  <c r="AC71" i="34"/>
  <c r="X71" i="34"/>
  <c r="S71" i="34"/>
  <c r="K71" i="34"/>
  <c r="J71" i="34"/>
  <c r="I71" i="34"/>
  <c r="AW70" i="34"/>
  <c r="AR70" i="34"/>
  <c r="AM70" i="34"/>
  <c r="AH70" i="34"/>
  <c r="AC70" i="34"/>
  <c r="X70" i="34"/>
  <c r="S70" i="34"/>
  <c r="K70" i="34"/>
  <c r="J70" i="34"/>
  <c r="I70" i="34"/>
  <c r="AW69" i="34"/>
  <c r="AR69" i="34"/>
  <c r="AM69" i="34"/>
  <c r="AH69" i="34"/>
  <c r="AC69" i="34"/>
  <c r="X69" i="34"/>
  <c r="S69" i="34"/>
  <c r="K69" i="34"/>
  <c r="J69" i="34"/>
  <c r="I69" i="34"/>
  <c r="AW68" i="34"/>
  <c r="AR68" i="34"/>
  <c r="AM68" i="34"/>
  <c r="AH68" i="34"/>
  <c r="AC68" i="34"/>
  <c r="X68" i="34"/>
  <c r="S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K67" i="34"/>
  <c r="M76" i="34" s="1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K57" i="34"/>
  <c r="J57" i="34"/>
  <c r="I57" i="34"/>
  <c r="AW56" i="34"/>
  <c r="AR56" i="34"/>
  <c r="AM56" i="34"/>
  <c r="AH56" i="34"/>
  <c r="AC56" i="34"/>
  <c r="X56" i="34"/>
  <c r="S56" i="34"/>
  <c r="K56" i="34"/>
  <c r="J56" i="34"/>
  <c r="I56" i="34"/>
  <c r="AW55" i="34"/>
  <c r="AR55" i="34"/>
  <c r="AM55" i="34"/>
  <c r="AH55" i="34"/>
  <c r="AC55" i="34"/>
  <c r="X55" i="34"/>
  <c r="S55" i="34"/>
  <c r="K55" i="34"/>
  <c r="J55" i="34"/>
  <c r="I55" i="34"/>
  <c r="AW54" i="34"/>
  <c r="AR54" i="34"/>
  <c r="AM54" i="34"/>
  <c r="AH54" i="34"/>
  <c r="AC54" i="34"/>
  <c r="X54" i="34"/>
  <c r="S54" i="34"/>
  <c r="K54" i="34"/>
  <c r="J54" i="34"/>
  <c r="I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M49" i="34" s="1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K37" i="34"/>
  <c r="J37" i="34"/>
  <c r="I37" i="34"/>
  <c r="AW36" i="34"/>
  <c r="AR36" i="34"/>
  <c r="AM36" i="34"/>
  <c r="AH36" i="34"/>
  <c r="AC36" i="34"/>
  <c r="X36" i="34"/>
  <c r="S36" i="34"/>
  <c r="K36" i="34"/>
  <c r="J36" i="34"/>
  <c r="I36" i="34"/>
  <c r="AW35" i="34"/>
  <c r="AR35" i="34"/>
  <c r="AM35" i="34"/>
  <c r="AH35" i="34"/>
  <c r="AC35" i="34"/>
  <c r="X35" i="34"/>
  <c r="S35" i="34"/>
  <c r="K35" i="34"/>
  <c r="J35" i="34"/>
  <c r="I35" i="34"/>
  <c r="AW34" i="34"/>
  <c r="AR34" i="34"/>
  <c r="AM34" i="34"/>
  <c r="AH34" i="34"/>
  <c r="AC34" i="34"/>
  <c r="X34" i="34"/>
  <c r="S34" i="34"/>
  <c r="K34" i="34"/>
  <c r="J34" i="34"/>
  <c r="I34" i="34"/>
  <c r="AW33" i="34"/>
  <c r="AR33" i="34"/>
  <c r="AM33" i="34"/>
  <c r="AH33" i="34"/>
  <c r="AC33" i="34"/>
  <c r="X33" i="34"/>
  <c r="S33" i="34"/>
  <c r="K33" i="34"/>
  <c r="J33" i="34"/>
  <c r="I33" i="34"/>
  <c r="AW32" i="34"/>
  <c r="AR32" i="34"/>
  <c r="AM32" i="34"/>
  <c r="AH32" i="34"/>
  <c r="AC32" i="34"/>
  <c r="X32" i="34"/>
  <c r="S32" i="34"/>
  <c r="K32" i="34"/>
  <c r="J32" i="34"/>
  <c r="I32" i="34"/>
  <c r="AW31" i="34"/>
  <c r="AR31" i="34"/>
  <c r="AM31" i="34"/>
  <c r="AH31" i="34"/>
  <c r="AC31" i="34"/>
  <c r="X31" i="34"/>
  <c r="S31" i="34"/>
  <c r="K31" i="34"/>
  <c r="J31" i="34"/>
  <c r="I31" i="34"/>
  <c r="AW30" i="34"/>
  <c r="AR30" i="34"/>
  <c r="AM30" i="34"/>
  <c r="AH30" i="34"/>
  <c r="AC30" i="34"/>
  <c r="X30" i="34"/>
  <c r="S30" i="34"/>
  <c r="K30" i="34"/>
  <c r="M30" i="34" s="1"/>
  <c r="J30" i="34"/>
  <c r="I30" i="34"/>
  <c r="AW29" i="34"/>
  <c r="AR29" i="34"/>
  <c r="AM29" i="34"/>
  <c r="AH29" i="34"/>
  <c r="AC29" i="34"/>
  <c r="X29" i="34"/>
  <c r="S29" i="34"/>
  <c r="K29" i="34"/>
  <c r="J29" i="34"/>
  <c r="I29" i="34"/>
  <c r="AW28" i="34"/>
  <c r="AR28" i="34"/>
  <c r="AM28" i="34"/>
  <c r="AH28" i="34"/>
  <c r="AC28" i="34"/>
  <c r="X28" i="34"/>
  <c r="S28" i="34"/>
  <c r="K28" i="34"/>
  <c r="J28" i="34"/>
  <c r="I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I27" i="34"/>
  <c r="H27" i="34"/>
  <c r="AW21" i="34"/>
  <c r="AR21" i="34"/>
  <c r="AM21" i="34"/>
  <c r="AH21" i="34"/>
  <c r="AC21" i="34"/>
  <c r="X21" i="34"/>
  <c r="S21" i="34"/>
  <c r="AW20" i="34"/>
  <c r="AR20" i="34"/>
  <c r="AM20" i="34"/>
  <c r="AH20" i="34"/>
  <c r="AC20" i="34"/>
  <c r="X20" i="34"/>
  <c r="S20" i="34"/>
  <c r="AW19" i="34"/>
  <c r="AR19" i="34"/>
  <c r="AM19" i="34"/>
  <c r="AH19" i="34"/>
  <c r="AC19" i="34"/>
  <c r="X19" i="34"/>
  <c r="S19" i="34"/>
  <c r="AW18" i="34"/>
  <c r="AR18" i="34"/>
  <c r="AM18" i="34"/>
  <c r="AH18" i="34"/>
  <c r="AC18" i="34"/>
  <c r="X18" i="34"/>
  <c r="S18" i="34"/>
  <c r="AW17" i="34"/>
  <c r="AR17" i="34"/>
  <c r="AM17" i="34"/>
  <c r="AH17" i="34"/>
  <c r="AC17" i="34"/>
  <c r="X17" i="34"/>
  <c r="S17" i="34"/>
  <c r="AW16" i="34"/>
  <c r="AR16" i="34"/>
  <c r="AM16" i="34"/>
  <c r="AH16" i="34"/>
  <c r="AC16" i="34"/>
  <c r="X16" i="34"/>
  <c r="S16" i="34"/>
  <c r="K16" i="34"/>
  <c r="J16" i="34"/>
  <c r="I16" i="34"/>
  <c r="AW15" i="34"/>
  <c r="AR15" i="34"/>
  <c r="AM15" i="34"/>
  <c r="AH15" i="34"/>
  <c r="AC15" i="34"/>
  <c r="X15" i="34"/>
  <c r="S15" i="34"/>
  <c r="K15" i="34"/>
  <c r="J15" i="34"/>
  <c r="I15" i="34"/>
  <c r="AW14" i="34"/>
  <c r="AR14" i="34"/>
  <c r="AM14" i="34"/>
  <c r="AH14" i="34"/>
  <c r="AC14" i="34"/>
  <c r="X14" i="34"/>
  <c r="S14" i="34"/>
  <c r="K14" i="34"/>
  <c r="J14" i="34"/>
  <c r="I14" i="34"/>
  <c r="AW13" i="34"/>
  <c r="AR13" i="34"/>
  <c r="AM13" i="34"/>
  <c r="AH13" i="34"/>
  <c r="AC13" i="34"/>
  <c r="X13" i="34"/>
  <c r="S13" i="34"/>
  <c r="K13" i="34"/>
  <c r="J13" i="34"/>
  <c r="I13" i="34"/>
  <c r="AW12" i="34"/>
  <c r="AR12" i="34"/>
  <c r="AM12" i="34"/>
  <c r="AH12" i="34"/>
  <c r="AC12" i="34"/>
  <c r="X12" i="34"/>
  <c r="S12" i="34"/>
  <c r="K12" i="34"/>
  <c r="J12" i="34"/>
  <c r="I12" i="34"/>
  <c r="AW11" i="34"/>
  <c r="AR11" i="34"/>
  <c r="AM11" i="34"/>
  <c r="AH11" i="34"/>
  <c r="AC11" i="34"/>
  <c r="X11" i="34"/>
  <c r="S11" i="34"/>
  <c r="K11" i="34"/>
  <c r="J11" i="34"/>
  <c r="I11" i="34"/>
  <c r="AW10" i="34"/>
  <c r="AR10" i="34"/>
  <c r="AM10" i="34"/>
  <c r="AH10" i="34"/>
  <c r="AC10" i="34"/>
  <c r="X10" i="34"/>
  <c r="S10" i="34"/>
  <c r="K10" i="34"/>
  <c r="J10" i="34"/>
  <c r="I10" i="34"/>
  <c r="AW9" i="34"/>
  <c r="AR9" i="34"/>
  <c r="AM9" i="34"/>
  <c r="AH9" i="34"/>
  <c r="AC9" i="34"/>
  <c r="X9" i="34"/>
  <c r="S9" i="34"/>
  <c r="K9" i="34"/>
  <c r="J9" i="34"/>
  <c r="I9" i="34"/>
  <c r="AW8" i="34"/>
  <c r="AR8" i="34"/>
  <c r="AM8" i="34"/>
  <c r="AH8" i="34"/>
  <c r="AC8" i="34"/>
  <c r="X8" i="34"/>
  <c r="S8" i="34"/>
  <c r="K8" i="34"/>
  <c r="J8" i="34"/>
  <c r="I8" i="34"/>
  <c r="AX7" i="34"/>
  <c r="AW7" i="34"/>
  <c r="AS7" i="34"/>
  <c r="AR7" i="34"/>
  <c r="AN7" i="34"/>
  <c r="AM7" i="34"/>
  <c r="AI7" i="34"/>
  <c r="AH7" i="34"/>
  <c r="AD7" i="34"/>
  <c r="AC7" i="34"/>
  <c r="Y7" i="34"/>
  <c r="X7" i="34"/>
  <c r="T7" i="34"/>
  <c r="S7" i="34"/>
  <c r="K7" i="34"/>
  <c r="J7" i="34"/>
  <c r="I7" i="34"/>
  <c r="H7" i="34"/>
  <c r="U2" i="34"/>
  <c r="Z2" i="34" s="1"/>
  <c r="AE2" i="34" s="1"/>
  <c r="AJ2" i="34" s="1"/>
  <c r="AO2" i="34" s="1"/>
  <c r="AT2" i="34" s="1"/>
  <c r="P22" i="34" s="1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K138" i="33"/>
  <c r="J138" i="33"/>
  <c r="I138" i="33"/>
  <c r="AW137" i="33"/>
  <c r="AR137" i="33"/>
  <c r="AM137" i="33"/>
  <c r="AH137" i="33"/>
  <c r="AC137" i="33"/>
  <c r="X137" i="33"/>
  <c r="S137" i="33"/>
  <c r="K137" i="33"/>
  <c r="J137" i="33"/>
  <c r="I137" i="33"/>
  <c r="AW136" i="33"/>
  <c r="AR136" i="33"/>
  <c r="AM136" i="33"/>
  <c r="AH136" i="33"/>
  <c r="AC136" i="33"/>
  <c r="X136" i="33"/>
  <c r="S136" i="33"/>
  <c r="K136" i="33"/>
  <c r="J136" i="33"/>
  <c r="I136" i="33"/>
  <c r="AW135" i="33"/>
  <c r="AR135" i="33"/>
  <c r="AM135" i="33"/>
  <c r="AH135" i="33"/>
  <c r="AC135" i="33"/>
  <c r="X135" i="33"/>
  <c r="S135" i="33"/>
  <c r="K135" i="33"/>
  <c r="J135" i="33"/>
  <c r="I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M113" i="33" s="1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M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K104" i="33"/>
  <c r="J104" i="33"/>
  <c r="I104" i="33"/>
  <c r="AW103" i="33"/>
  <c r="AR103" i="33"/>
  <c r="AM103" i="33"/>
  <c r="AH103" i="33"/>
  <c r="AC103" i="33"/>
  <c r="X103" i="33"/>
  <c r="S103" i="33"/>
  <c r="K103" i="33"/>
  <c r="J103" i="33"/>
  <c r="I103" i="33"/>
  <c r="AW102" i="33"/>
  <c r="AR102" i="33"/>
  <c r="AM102" i="33"/>
  <c r="AH102" i="33"/>
  <c r="AC102" i="33"/>
  <c r="X102" i="33"/>
  <c r="S102" i="33"/>
  <c r="K102" i="33"/>
  <c r="J102" i="33"/>
  <c r="I102" i="33"/>
  <c r="AW101" i="33"/>
  <c r="AR101" i="33"/>
  <c r="AM101" i="33"/>
  <c r="AH101" i="33"/>
  <c r="AC101" i="33"/>
  <c r="X101" i="33"/>
  <c r="S101" i="33"/>
  <c r="K101" i="33"/>
  <c r="J101" i="33"/>
  <c r="I101" i="33"/>
  <c r="AW100" i="33"/>
  <c r="AR100" i="33"/>
  <c r="AM100" i="33"/>
  <c r="AH100" i="33"/>
  <c r="AC100" i="33"/>
  <c r="X100" i="33"/>
  <c r="S100" i="33"/>
  <c r="K100" i="33"/>
  <c r="J100" i="33"/>
  <c r="I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M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K70" i="33"/>
  <c r="J70" i="33"/>
  <c r="I70" i="33"/>
  <c r="AW69" i="33"/>
  <c r="AR69" i="33"/>
  <c r="AM69" i="33"/>
  <c r="AH69" i="33"/>
  <c r="AC69" i="33"/>
  <c r="X69" i="33"/>
  <c r="S69" i="33"/>
  <c r="K69" i="33"/>
  <c r="J69" i="33"/>
  <c r="I69" i="33"/>
  <c r="AW68" i="33"/>
  <c r="AR68" i="33"/>
  <c r="AM68" i="33"/>
  <c r="AH68" i="33"/>
  <c r="AC68" i="33"/>
  <c r="X68" i="33"/>
  <c r="S68" i="33"/>
  <c r="K68" i="33"/>
  <c r="J68" i="33"/>
  <c r="I68" i="33"/>
  <c r="AW67" i="33"/>
  <c r="AR67" i="33"/>
  <c r="AM67" i="33"/>
  <c r="AH67" i="33"/>
  <c r="AC67" i="33"/>
  <c r="X67" i="33"/>
  <c r="S67" i="33"/>
  <c r="K67" i="33"/>
  <c r="J67" i="33"/>
  <c r="I67" i="33"/>
  <c r="AW66" i="33"/>
  <c r="AR66" i="33"/>
  <c r="AM66" i="33"/>
  <c r="AH66" i="33"/>
  <c r="AC66" i="33"/>
  <c r="X66" i="33"/>
  <c r="S66" i="33"/>
  <c r="K66" i="33"/>
  <c r="J66" i="33"/>
  <c r="I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J51" i="33"/>
  <c r="I51" i="33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AW36" i="33"/>
  <c r="AR36" i="33"/>
  <c r="AM36" i="33"/>
  <c r="AH36" i="33"/>
  <c r="AC36" i="33"/>
  <c r="X36" i="33"/>
  <c r="S36" i="33"/>
  <c r="AW35" i="33"/>
  <c r="AR35" i="33"/>
  <c r="AM35" i="33"/>
  <c r="AH35" i="33"/>
  <c r="AC35" i="33"/>
  <c r="X35" i="33"/>
  <c r="S35" i="33"/>
  <c r="AW34" i="33"/>
  <c r="AR34" i="33"/>
  <c r="AM34" i="33"/>
  <c r="AH34" i="33"/>
  <c r="AC34" i="33"/>
  <c r="X34" i="33"/>
  <c r="S34" i="33"/>
  <c r="AW33" i="33"/>
  <c r="AR33" i="33"/>
  <c r="AM33" i="33"/>
  <c r="AH33" i="33"/>
  <c r="AC33" i="33"/>
  <c r="X33" i="33"/>
  <c r="S33" i="33"/>
  <c r="AW32" i="33"/>
  <c r="AR32" i="33"/>
  <c r="AM32" i="33"/>
  <c r="AH32" i="33"/>
  <c r="AC32" i="33"/>
  <c r="X32" i="33"/>
  <c r="S32" i="33"/>
  <c r="AW31" i="33"/>
  <c r="AR31" i="33"/>
  <c r="AM31" i="33"/>
  <c r="AH31" i="33"/>
  <c r="AC31" i="33"/>
  <c r="X31" i="33"/>
  <c r="S31" i="33"/>
  <c r="AW30" i="33"/>
  <c r="AR30" i="33"/>
  <c r="AM30" i="33"/>
  <c r="AH30" i="33"/>
  <c r="AC30" i="33"/>
  <c r="X30" i="33"/>
  <c r="S30" i="33"/>
  <c r="K30" i="33"/>
  <c r="J30" i="33"/>
  <c r="I30" i="33"/>
  <c r="AW29" i="33"/>
  <c r="AR29" i="33"/>
  <c r="AM29" i="33"/>
  <c r="AH29" i="33"/>
  <c r="AC29" i="33"/>
  <c r="X29" i="33"/>
  <c r="S29" i="33"/>
  <c r="K29" i="33"/>
  <c r="J29" i="33"/>
  <c r="I29" i="33"/>
  <c r="AW28" i="33"/>
  <c r="AR28" i="33"/>
  <c r="AM28" i="33"/>
  <c r="AH28" i="33"/>
  <c r="AC28" i="33"/>
  <c r="X28" i="33"/>
  <c r="S28" i="33"/>
  <c r="K28" i="33"/>
  <c r="J28" i="33"/>
  <c r="I28" i="33"/>
  <c r="AW27" i="33"/>
  <c r="AR27" i="33"/>
  <c r="AM27" i="33"/>
  <c r="AH27" i="33"/>
  <c r="AC27" i="33"/>
  <c r="X27" i="33"/>
  <c r="S27" i="33"/>
  <c r="K27" i="33"/>
  <c r="J27" i="33"/>
  <c r="I27" i="33"/>
  <c r="AW26" i="33"/>
  <c r="AR26" i="33"/>
  <c r="AM26" i="33"/>
  <c r="AH26" i="33"/>
  <c r="AC26" i="33"/>
  <c r="X26" i="33"/>
  <c r="S26" i="33"/>
  <c r="K26" i="33"/>
  <c r="J26" i="33"/>
  <c r="I26" i="33"/>
  <c r="AW25" i="33"/>
  <c r="AR25" i="33"/>
  <c r="AM25" i="33"/>
  <c r="AH25" i="33"/>
  <c r="AC25" i="33"/>
  <c r="X25" i="33"/>
  <c r="S25" i="33"/>
  <c r="K25" i="33"/>
  <c r="J25" i="33"/>
  <c r="I25" i="33"/>
  <c r="AW24" i="33"/>
  <c r="AR24" i="33"/>
  <c r="AM24" i="33"/>
  <c r="AH24" i="33"/>
  <c r="AC24" i="33"/>
  <c r="X24" i="33"/>
  <c r="S24" i="33"/>
  <c r="K24" i="33"/>
  <c r="J24" i="33"/>
  <c r="I24" i="33"/>
  <c r="AW23" i="33"/>
  <c r="AR23" i="33"/>
  <c r="AM23" i="33"/>
  <c r="AH23" i="33"/>
  <c r="AC23" i="33"/>
  <c r="X23" i="33"/>
  <c r="S23" i="33"/>
  <c r="K23" i="33"/>
  <c r="J23" i="33"/>
  <c r="I23" i="33"/>
  <c r="AW22" i="33"/>
  <c r="AR22" i="33"/>
  <c r="AM22" i="33"/>
  <c r="AH22" i="33"/>
  <c r="AC22" i="33"/>
  <c r="X22" i="33"/>
  <c r="S22" i="33"/>
  <c r="K22" i="33"/>
  <c r="J22" i="33"/>
  <c r="I22" i="33"/>
  <c r="AW21" i="33"/>
  <c r="AR21" i="33"/>
  <c r="AM21" i="33"/>
  <c r="AH21" i="33"/>
  <c r="AC21" i="33"/>
  <c r="X21" i="33"/>
  <c r="S21" i="33"/>
  <c r="K21" i="33"/>
  <c r="J21" i="33"/>
  <c r="I21" i="33"/>
  <c r="AW20" i="33"/>
  <c r="AR20" i="33"/>
  <c r="AM20" i="33"/>
  <c r="AH20" i="33"/>
  <c r="AC20" i="33"/>
  <c r="X20" i="33"/>
  <c r="S20" i="33"/>
  <c r="K20" i="33"/>
  <c r="J20" i="33"/>
  <c r="I20" i="33"/>
  <c r="AW19" i="33"/>
  <c r="AR19" i="33"/>
  <c r="AM19" i="33"/>
  <c r="AH19" i="33"/>
  <c r="AC19" i="33"/>
  <c r="X19" i="33"/>
  <c r="S19" i="33"/>
  <c r="K19" i="33"/>
  <c r="J19" i="33"/>
  <c r="I19" i="33"/>
  <c r="AW18" i="33"/>
  <c r="AR18" i="33"/>
  <c r="AM18" i="33"/>
  <c r="AH18" i="33"/>
  <c r="AC18" i="33"/>
  <c r="X18" i="33"/>
  <c r="S18" i="33"/>
  <c r="K18" i="33"/>
  <c r="J18" i="33"/>
  <c r="I18" i="33"/>
  <c r="AW17" i="33"/>
  <c r="AR17" i="33"/>
  <c r="AM17" i="33"/>
  <c r="AH17" i="33"/>
  <c r="AC17" i="33"/>
  <c r="X17" i="33"/>
  <c r="S17" i="33"/>
  <c r="K17" i="33"/>
  <c r="J17" i="33"/>
  <c r="I17" i="33"/>
  <c r="AW16" i="33"/>
  <c r="AR16" i="33"/>
  <c r="AM16" i="33"/>
  <c r="AH16" i="33"/>
  <c r="AC16" i="33"/>
  <c r="X16" i="33"/>
  <c r="S16" i="33"/>
  <c r="K16" i="33"/>
  <c r="J16" i="33"/>
  <c r="I16" i="33"/>
  <c r="AW15" i="33"/>
  <c r="AR15" i="33"/>
  <c r="AM15" i="33"/>
  <c r="AH15" i="33"/>
  <c r="AC15" i="33"/>
  <c r="X15" i="33"/>
  <c r="S15" i="33"/>
  <c r="K15" i="33"/>
  <c r="J15" i="33"/>
  <c r="I15" i="33"/>
  <c r="AW14" i="33"/>
  <c r="AR14" i="33"/>
  <c r="AM14" i="33"/>
  <c r="AH14" i="33"/>
  <c r="AC14" i="33"/>
  <c r="X14" i="33"/>
  <c r="S14" i="33"/>
  <c r="K14" i="33"/>
  <c r="J14" i="33"/>
  <c r="I14" i="33"/>
  <c r="AW13" i="33"/>
  <c r="AR13" i="33"/>
  <c r="AM13" i="33"/>
  <c r="AH13" i="33"/>
  <c r="AC13" i="33"/>
  <c r="X13" i="33"/>
  <c r="S13" i="33"/>
  <c r="K13" i="33"/>
  <c r="J13" i="33"/>
  <c r="I13" i="33"/>
  <c r="AW12" i="33"/>
  <c r="AR12" i="33"/>
  <c r="AM12" i="33"/>
  <c r="AH12" i="33"/>
  <c r="AC12" i="33"/>
  <c r="X12" i="33"/>
  <c r="S12" i="33"/>
  <c r="K12" i="33"/>
  <c r="J12" i="33"/>
  <c r="I12" i="33"/>
  <c r="AW11" i="33"/>
  <c r="AR11" i="33"/>
  <c r="AM11" i="33"/>
  <c r="AH11" i="33"/>
  <c r="AC11" i="33"/>
  <c r="X11" i="33"/>
  <c r="S11" i="33"/>
  <c r="K11" i="33"/>
  <c r="J11" i="33"/>
  <c r="I11" i="33"/>
  <c r="AW10" i="33"/>
  <c r="AR10" i="33"/>
  <c r="AM10" i="33"/>
  <c r="AH10" i="33"/>
  <c r="AC10" i="33"/>
  <c r="X10" i="33"/>
  <c r="S10" i="33"/>
  <c r="K10" i="33"/>
  <c r="J10" i="33"/>
  <c r="I10" i="33"/>
  <c r="AW9" i="33"/>
  <c r="AR9" i="33"/>
  <c r="AM9" i="33"/>
  <c r="AH9" i="33"/>
  <c r="AC9" i="33"/>
  <c r="X9" i="33"/>
  <c r="S9" i="33"/>
  <c r="K9" i="33"/>
  <c r="J9" i="33"/>
  <c r="I9" i="33"/>
  <c r="AW8" i="33"/>
  <c r="AR8" i="33"/>
  <c r="AM8" i="33"/>
  <c r="AH8" i="33"/>
  <c r="AC8" i="33"/>
  <c r="X8" i="33"/>
  <c r="S8" i="33"/>
  <c r="K8" i="33"/>
  <c r="J8" i="33"/>
  <c r="I8" i="33"/>
  <c r="AX7" i="33"/>
  <c r="AW7" i="33"/>
  <c r="AS7" i="33"/>
  <c r="AR7" i="33"/>
  <c r="AN7" i="33"/>
  <c r="AM7" i="33"/>
  <c r="AI7" i="33"/>
  <c r="AH7" i="33"/>
  <c r="AD7" i="33"/>
  <c r="AC7" i="33"/>
  <c r="Y7" i="33"/>
  <c r="X7" i="33"/>
  <c r="T7" i="33"/>
  <c r="S7" i="33"/>
  <c r="K7" i="33"/>
  <c r="J7" i="33"/>
  <c r="I7" i="33"/>
  <c r="H7" i="33"/>
  <c r="Z2" i="33"/>
  <c r="AE2" i="33" s="1"/>
  <c r="AJ2" i="33" s="1"/>
  <c r="AO2" i="33" s="1"/>
  <c r="AT2" i="33" s="1"/>
  <c r="P37" i="33" s="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S61" i="31"/>
  <c r="AW60" i="31"/>
  <c r="AR60" i="31"/>
  <c r="AM60" i="31"/>
  <c r="AH60" i="31"/>
  <c r="AC60" i="31"/>
  <c r="X60" i="31"/>
  <c r="S60" i="31"/>
  <c r="AW59" i="31"/>
  <c r="AR59" i="31"/>
  <c r="AM59" i="31"/>
  <c r="AH59" i="31"/>
  <c r="AC59" i="31"/>
  <c r="X59" i="31"/>
  <c r="S59" i="31"/>
  <c r="AW58" i="31"/>
  <c r="AR58" i="31"/>
  <c r="AM58" i="31"/>
  <c r="AH58" i="31"/>
  <c r="AC58" i="31"/>
  <c r="X58" i="31"/>
  <c r="S58" i="31"/>
  <c r="AW57" i="31"/>
  <c r="AR57" i="31"/>
  <c r="AM57" i="31"/>
  <c r="AH57" i="31"/>
  <c r="AC57" i="31"/>
  <c r="X57" i="31"/>
  <c r="S57" i="31"/>
  <c r="AW56" i="31"/>
  <c r="AR56" i="31"/>
  <c r="AM56" i="31"/>
  <c r="AH56" i="31"/>
  <c r="AC56" i="31"/>
  <c r="X56" i="31"/>
  <c r="S56" i="31"/>
  <c r="AW55" i="31"/>
  <c r="AR55" i="31"/>
  <c r="AM55" i="31"/>
  <c r="AH55" i="31"/>
  <c r="AC55" i="31"/>
  <c r="X55" i="31"/>
  <c r="S55" i="31"/>
  <c r="AW54" i="31"/>
  <c r="AR54" i="31"/>
  <c r="AM54" i="31"/>
  <c r="AH54" i="31"/>
  <c r="AC54" i="31"/>
  <c r="X54" i="31"/>
  <c r="S54" i="31"/>
  <c r="AW53" i="31"/>
  <c r="AR53" i="31"/>
  <c r="AM53" i="31"/>
  <c r="AH53" i="31"/>
  <c r="AC53" i="31"/>
  <c r="X53" i="31"/>
  <c r="S53" i="31"/>
  <c r="AW52" i="31"/>
  <c r="AR52" i="31"/>
  <c r="AM52" i="31"/>
  <c r="AH52" i="31"/>
  <c r="AC52" i="31"/>
  <c r="X52" i="31"/>
  <c r="S52" i="31"/>
  <c r="AW51" i="31"/>
  <c r="AR51" i="31"/>
  <c r="AM51" i="31"/>
  <c r="AH51" i="31"/>
  <c r="AC51" i="31"/>
  <c r="X51" i="31"/>
  <c r="S51" i="31"/>
  <c r="AW50" i="31"/>
  <c r="AR50" i="31"/>
  <c r="AM50" i="31"/>
  <c r="AH50" i="31"/>
  <c r="AC50" i="31"/>
  <c r="X50" i="31"/>
  <c r="S50" i="31"/>
  <c r="AW49" i="31"/>
  <c r="AR49" i="31"/>
  <c r="AM49" i="31"/>
  <c r="AH49" i="31"/>
  <c r="AC49" i="31"/>
  <c r="X49" i="31"/>
  <c r="S49" i="31"/>
  <c r="AW48" i="31"/>
  <c r="AR48" i="31"/>
  <c r="AM48" i="31"/>
  <c r="AH48" i="31"/>
  <c r="AC48" i="31"/>
  <c r="X48" i="31"/>
  <c r="S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T47" i="31"/>
  <c r="S47" i="31"/>
  <c r="L47" i="31"/>
  <c r="K47" i="31"/>
  <c r="M47" i="31" s="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P42" i="31"/>
  <c r="AW21" i="31"/>
  <c r="AR21" i="31"/>
  <c r="AM21" i="31"/>
  <c r="AH21" i="31"/>
  <c r="AC21" i="31"/>
  <c r="X21" i="31"/>
  <c r="S21" i="31"/>
  <c r="AW20" i="31"/>
  <c r="AR20" i="31"/>
  <c r="AM20" i="31"/>
  <c r="AH20" i="31"/>
  <c r="AC20" i="31"/>
  <c r="X20" i="31"/>
  <c r="S20" i="31"/>
  <c r="AW19" i="31"/>
  <c r="AR19" i="31"/>
  <c r="AM19" i="31"/>
  <c r="AH19" i="31"/>
  <c r="AC19" i="31"/>
  <c r="X19" i="31"/>
  <c r="S19" i="31"/>
  <c r="AW18" i="31"/>
  <c r="AR18" i="31"/>
  <c r="AM18" i="31"/>
  <c r="AH18" i="31"/>
  <c r="AC18" i="31"/>
  <c r="X18" i="31"/>
  <c r="S18" i="31"/>
  <c r="AW17" i="31"/>
  <c r="AR17" i="31"/>
  <c r="AM17" i="31"/>
  <c r="AH17" i="31"/>
  <c r="AC17" i="31"/>
  <c r="X17" i="31"/>
  <c r="S17" i="31"/>
  <c r="AW16" i="31"/>
  <c r="AR16" i="31"/>
  <c r="AM16" i="31"/>
  <c r="AH16" i="31"/>
  <c r="AC16" i="31"/>
  <c r="X16" i="31"/>
  <c r="S16" i="31"/>
  <c r="AW15" i="31"/>
  <c r="AR15" i="31"/>
  <c r="AM15" i="31"/>
  <c r="AH15" i="31"/>
  <c r="AC15" i="31"/>
  <c r="X15" i="31"/>
  <c r="S15" i="31"/>
  <c r="AW14" i="31"/>
  <c r="AR14" i="31"/>
  <c r="AM14" i="31"/>
  <c r="AH14" i="31"/>
  <c r="AC14" i="31"/>
  <c r="X14" i="31"/>
  <c r="S14" i="31"/>
  <c r="AW13" i="31"/>
  <c r="AR13" i="31"/>
  <c r="AM13" i="31"/>
  <c r="AH13" i="31"/>
  <c r="AC13" i="31"/>
  <c r="X13" i="31"/>
  <c r="S13" i="31"/>
  <c r="AW12" i="31"/>
  <c r="AR12" i="31"/>
  <c r="AM12" i="31"/>
  <c r="AH12" i="31"/>
  <c r="AC12" i="31"/>
  <c r="X12" i="31"/>
  <c r="S12" i="31"/>
  <c r="AW11" i="31"/>
  <c r="AR11" i="31"/>
  <c r="AM11" i="31"/>
  <c r="AH11" i="31"/>
  <c r="AC11" i="31"/>
  <c r="X11" i="31"/>
  <c r="S11" i="31"/>
  <c r="AW10" i="31"/>
  <c r="AR10" i="31"/>
  <c r="AM10" i="31"/>
  <c r="AH10" i="31"/>
  <c r="AC10" i="31"/>
  <c r="X10" i="31"/>
  <c r="S10" i="31"/>
  <c r="AW9" i="31"/>
  <c r="AR9" i="31"/>
  <c r="AM9" i="31"/>
  <c r="AH9" i="31"/>
  <c r="AC9" i="31"/>
  <c r="X9" i="31"/>
  <c r="S9" i="31"/>
  <c r="AW8" i="31"/>
  <c r="AR8" i="31"/>
  <c r="AM8" i="31"/>
  <c r="AH8" i="31"/>
  <c r="AC8" i="31"/>
  <c r="X8" i="31"/>
  <c r="S8" i="31"/>
  <c r="K8" i="31"/>
  <c r="M21" i="31" s="1"/>
  <c r="J8" i="31"/>
  <c r="I8" i="31"/>
  <c r="AX7" i="31"/>
  <c r="AW7" i="31"/>
  <c r="AS7" i="31"/>
  <c r="AR7" i="31"/>
  <c r="AN7" i="31"/>
  <c r="AM7" i="31"/>
  <c r="AI7" i="31"/>
  <c r="AH7" i="31"/>
  <c r="AD7" i="31"/>
  <c r="AC7" i="31"/>
  <c r="Y7" i="31"/>
  <c r="X7" i="31"/>
  <c r="T7" i="31"/>
  <c r="S7" i="31"/>
  <c r="M7" i="31"/>
  <c r="L7" i="31"/>
  <c r="H7" i="31"/>
  <c r="Z2" i="31"/>
  <c r="AE2" i="31" s="1"/>
  <c r="AJ2" i="31" s="1"/>
  <c r="AO2" i="31" s="1"/>
  <c r="AT2" i="31" s="1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K78" i="32"/>
  <c r="J78" i="32"/>
  <c r="I78" i="32"/>
  <c r="AW77" i="32"/>
  <c r="AR77" i="32"/>
  <c r="AM77" i="32"/>
  <c r="AH77" i="32"/>
  <c r="AC77" i="32"/>
  <c r="X77" i="32"/>
  <c r="S77" i="32"/>
  <c r="K77" i="32"/>
  <c r="J77" i="32"/>
  <c r="I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M70" i="32" s="1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K58" i="32"/>
  <c r="J58" i="32"/>
  <c r="I58" i="32"/>
  <c r="AW57" i="32"/>
  <c r="AR57" i="32"/>
  <c r="AM57" i="32"/>
  <c r="AH57" i="32"/>
  <c r="AC57" i="32"/>
  <c r="X57" i="32"/>
  <c r="S57" i="32"/>
  <c r="K57" i="32"/>
  <c r="J57" i="32"/>
  <c r="I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K38" i="32"/>
  <c r="J38" i="32"/>
  <c r="I38" i="32"/>
  <c r="AM37" i="32"/>
  <c r="AH37" i="32"/>
  <c r="AC37" i="32"/>
  <c r="X37" i="32"/>
  <c r="S37" i="32"/>
  <c r="K37" i="32"/>
  <c r="J37" i="32"/>
  <c r="I37" i="32"/>
  <c r="AM36" i="32"/>
  <c r="AH36" i="32"/>
  <c r="AC36" i="32"/>
  <c r="X36" i="32"/>
  <c r="S36" i="32"/>
  <c r="K36" i="32"/>
  <c r="J36" i="32"/>
  <c r="I36" i="32"/>
  <c r="AM35" i="32"/>
  <c r="AH35" i="32"/>
  <c r="AC35" i="32"/>
  <c r="X35" i="32"/>
  <c r="S35" i="32"/>
  <c r="K35" i="32"/>
  <c r="J35" i="32"/>
  <c r="I35" i="32"/>
  <c r="AM34" i="32"/>
  <c r="AH34" i="32"/>
  <c r="AC34" i="32"/>
  <c r="X34" i="32"/>
  <c r="S34" i="32"/>
  <c r="K34" i="32"/>
  <c r="J34" i="32"/>
  <c r="I34" i="32"/>
  <c r="AM33" i="32"/>
  <c r="AH33" i="32"/>
  <c r="AC33" i="32"/>
  <c r="X33" i="32"/>
  <c r="S33" i="32"/>
  <c r="K33" i="32"/>
  <c r="J33" i="32"/>
  <c r="I33" i="32"/>
  <c r="AM32" i="32"/>
  <c r="AH32" i="32"/>
  <c r="AC32" i="32"/>
  <c r="X32" i="32"/>
  <c r="S32" i="32"/>
  <c r="K32" i="32"/>
  <c r="J32" i="32"/>
  <c r="I32" i="32"/>
  <c r="AM31" i="32"/>
  <c r="AH31" i="32"/>
  <c r="AC31" i="32"/>
  <c r="X31" i="32"/>
  <c r="S31" i="32"/>
  <c r="K31" i="32"/>
  <c r="J31" i="32"/>
  <c r="I31" i="32"/>
  <c r="AM30" i="32"/>
  <c r="AH30" i="32"/>
  <c r="AC30" i="32"/>
  <c r="X30" i="32"/>
  <c r="S30" i="32"/>
  <c r="K30" i="32"/>
  <c r="J30" i="32"/>
  <c r="I30" i="32"/>
  <c r="AM29" i="32"/>
  <c r="AH29" i="32"/>
  <c r="AC29" i="32"/>
  <c r="X29" i="32"/>
  <c r="S29" i="32"/>
  <c r="K29" i="32"/>
  <c r="J29" i="32"/>
  <c r="I29" i="32"/>
  <c r="AM28" i="32"/>
  <c r="AH28" i="32"/>
  <c r="AC28" i="32"/>
  <c r="X28" i="32"/>
  <c r="S28" i="32"/>
  <c r="K28" i="32"/>
  <c r="M28" i="32" s="1"/>
  <c r="J28" i="32"/>
  <c r="I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27" i="32"/>
  <c r="M40" i="32" s="1"/>
  <c r="J27" i="32"/>
  <c r="I27" i="32"/>
  <c r="H27" i="32"/>
  <c r="P22" i="32"/>
  <c r="U22" i="32" s="1"/>
  <c r="Z22" i="32" s="1"/>
  <c r="AE22" i="32" s="1"/>
  <c r="AJ22" i="32" s="1"/>
  <c r="AO22" i="32" s="1"/>
  <c r="AT22" i="32" s="1"/>
  <c r="AW21" i="32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AW19" i="32"/>
  <c r="AR19" i="32"/>
  <c r="AM19" i="32"/>
  <c r="AH19" i="32"/>
  <c r="AC19" i="32"/>
  <c r="X19" i="32"/>
  <c r="S19" i="32"/>
  <c r="AW18" i="32"/>
  <c r="AR18" i="32"/>
  <c r="AM18" i="32"/>
  <c r="AH18" i="32"/>
  <c r="AC18" i="32"/>
  <c r="X18" i="32"/>
  <c r="S18" i="32"/>
  <c r="AW17" i="32"/>
  <c r="AR17" i="32"/>
  <c r="AM17" i="32"/>
  <c r="AH17" i="32"/>
  <c r="AC17" i="32"/>
  <c r="X17" i="32"/>
  <c r="S17" i="32"/>
  <c r="K17" i="32"/>
  <c r="J17" i="32"/>
  <c r="I17" i="32"/>
  <c r="AW16" i="32"/>
  <c r="AR16" i="32"/>
  <c r="AM16" i="32"/>
  <c r="AH16" i="32"/>
  <c r="AC16" i="32"/>
  <c r="X16" i="32"/>
  <c r="S16" i="32"/>
  <c r="K16" i="32"/>
  <c r="J16" i="32"/>
  <c r="I16" i="32"/>
  <c r="AW15" i="32"/>
  <c r="AR15" i="32"/>
  <c r="AM15" i="32"/>
  <c r="AH15" i="32"/>
  <c r="AC15" i="32"/>
  <c r="X15" i="32"/>
  <c r="S15" i="32"/>
  <c r="K15" i="32"/>
  <c r="J15" i="32"/>
  <c r="I15" i="32"/>
  <c r="AW14" i="32"/>
  <c r="AR14" i="32"/>
  <c r="AM14" i="32"/>
  <c r="AH14" i="32"/>
  <c r="AC14" i="32"/>
  <c r="X14" i="32"/>
  <c r="S14" i="32"/>
  <c r="K14" i="32"/>
  <c r="J14" i="32"/>
  <c r="I14" i="32"/>
  <c r="AW13" i="32"/>
  <c r="AR13" i="32"/>
  <c r="AM13" i="32"/>
  <c r="AH13" i="32"/>
  <c r="AC13" i="32"/>
  <c r="X13" i="32"/>
  <c r="S13" i="32"/>
  <c r="K13" i="32"/>
  <c r="J13" i="32"/>
  <c r="I13" i="32"/>
  <c r="AW12" i="32"/>
  <c r="AR12" i="32"/>
  <c r="AM12" i="32"/>
  <c r="AH12" i="32"/>
  <c r="AC12" i="32"/>
  <c r="X12" i="32"/>
  <c r="S12" i="32"/>
  <c r="K12" i="32"/>
  <c r="J12" i="32"/>
  <c r="I12" i="32"/>
  <c r="AW11" i="32"/>
  <c r="AR11" i="32"/>
  <c r="AM11" i="32"/>
  <c r="AH11" i="32"/>
  <c r="AC11" i="32"/>
  <c r="X11" i="32"/>
  <c r="S11" i="32"/>
  <c r="K11" i="32"/>
  <c r="J11" i="32"/>
  <c r="I11" i="32"/>
  <c r="AW10" i="32"/>
  <c r="AR10" i="32"/>
  <c r="AM10" i="32"/>
  <c r="AH10" i="32"/>
  <c r="AC10" i="32"/>
  <c r="X10" i="32"/>
  <c r="S10" i="32"/>
  <c r="K10" i="32"/>
  <c r="J10" i="32"/>
  <c r="I10" i="32"/>
  <c r="AW9" i="32"/>
  <c r="AR9" i="32"/>
  <c r="AM9" i="32"/>
  <c r="AH9" i="32"/>
  <c r="AC9" i="32"/>
  <c r="X9" i="32"/>
  <c r="S9" i="32"/>
  <c r="K9" i="32"/>
  <c r="J9" i="32"/>
  <c r="I9" i="32"/>
  <c r="AW8" i="32"/>
  <c r="AR8" i="32"/>
  <c r="AM8" i="32"/>
  <c r="AH8" i="32"/>
  <c r="AC8" i="32"/>
  <c r="X8" i="32"/>
  <c r="S8" i="32"/>
  <c r="K8" i="32"/>
  <c r="J8" i="32"/>
  <c r="I8" i="32"/>
  <c r="AX7" i="32"/>
  <c r="AW7" i="32"/>
  <c r="AS7" i="32"/>
  <c r="AR7" i="32"/>
  <c r="AN7" i="32"/>
  <c r="AM7" i="32"/>
  <c r="AI7" i="32"/>
  <c r="AH7" i="32"/>
  <c r="AD7" i="32"/>
  <c r="AC7" i="32"/>
  <c r="Y7" i="32"/>
  <c r="X7" i="32"/>
  <c r="T7" i="32"/>
  <c r="S7" i="32"/>
  <c r="K7" i="32"/>
  <c r="J7" i="32"/>
  <c r="I7" i="32"/>
  <c r="H7" i="32"/>
  <c r="Z2" i="32"/>
  <c r="AE2" i="32" s="1"/>
  <c r="AJ2" i="32" s="1"/>
  <c r="AO2" i="32" s="1"/>
  <c r="AT2" i="32" s="1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M60" i="30" s="1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K33" i="30"/>
  <c r="J33" i="30"/>
  <c r="I33" i="30"/>
  <c r="G33" i="30"/>
  <c r="F33" i="30"/>
  <c r="E33" i="30"/>
  <c r="AW32" i="30"/>
  <c r="AR32" i="30"/>
  <c r="AM32" i="30"/>
  <c r="AH32" i="30"/>
  <c r="AC32" i="30"/>
  <c r="X32" i="30"/>
  <c r="S32" i="30"/>
  <c r="K32" i="30"/>
  <c r="J32" i="30"/>
  <c r="I32" i="30"/>
  <c r="G32" i="30"/>
  <c r="F32" i="30"/>
  <c r="E32" i="30"/>
  <c r="AW31" i="30"/>
  <c r="AR31" i="30"/>
  <c r="AM31" i="30"/>
  <c r="AH31" i="30"/>
  <c r="AC31" i="30"/>
  <c r="X31" i="30"/>
  <c r="S31" i="30"/>
  <c r="K31" i="30"/>
  <c r="J31" i="30"/>
  <c r="I31" i="30"/>
  <c r="G31" i="30"/>
  <c r="F31" i="30"/>
  <c r="E31" i="30"/>
  <c r="AW30" i="30"/>
  <c r="AR30" i="30"/>
  <c r="AM30" i="30"/>
  <c r="AH30" i="30"/>
  <c r="AC30" i="30"/>
  <c r="X30" i="30"/>
  <c r="S30" i="30"/>
  <c r="K30" i="30"/>
  <c r="J30" i="30"/>
  <c r="I30" i="30"/>
  <c r="G30" i="30"/>
  <c r="F30" i="30"/>
  <c r="E30" i="30"/>
  <c r="AW29" i="30"/>
  <c r="AR29" i="30"/>
  <c r="AM29" i="30"/>
  <c r="AH29" i="30"/>
  <c r="AC29" i="30"/>
  <c r="X29" i="30"/>
  <c r="S29" i="30"/>
  <c r="K29" i="30"/>
  <c r="L27" i="30" s="1"/>
  <c r="J29" i="30"/>
  <c r="I29" i="30"/>
  <c r="G29" i="30"/>
  <c r="F29" i="30"/>
  <c r="E29" i="30"/>
  <c r="AW28" i="30"/>
  <c r="AR28" i="30"/>
  <c r="AM28" i="30"/>
  <c r="AH28" i="30"/>
  <c r="AC28" i="30"/>
  <c r="X28" i="30"/>
  <c r="S28" i="30"/>
  <c r="K28" i="30"/>
  <c r="M28" i="30" s="1"/>
  <c r="J28" i="30"/>
  <c r="I28" i="30"/>
  <c r="G28" i="30"/>
  <c r="F28" i="30"/>
  <c r="E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G27" i="30"/>
  <c r="F27" i="30"/>
  <c r="E27" i="30"/>
  <c r="AW21" i="30"/>
  <c r="AR21" i="30"/>
  <c r="AM21" i="30"/>
  <c r="AH21" i="30"/>
  <c r="AC21" i="30"/>
  <c r="X21" i="30"/>
  <c r="S21" i="30"/>
  <c r="AW20" i="30"/>
  <c r="AR20" i="30"/>
  <c r="AM20" i="30"/>
  <c r="AH20" i="30"/>
  <c r="AC20" i="30"/>
  <c r="X20" i="30"/>
  <c r="S20" i="30"/>
  <c r="AW19" i="30"/>
  <c r="AR19" i="30"/>
  <c r="AM19" i="30"/>
  <c r="AH19" i="30"/>
  <c r="AC19" i="30"/>
  <c r="X19" i="30"/>
  <c r="S19" i="30"/>
  <c r="AW18" i="30"/>
  <c r="AR18" i="30"/>
  <c r="AM18" i="30"/>
  <c r="AH18" i="30"/>
  <c r="AC18" i="30"/>
  <c r="X18" i="30"/>
  <c r="S18" i="30"/>
  <c r="AW17" i="30"/>
  <c r="AR17" i="30"/>
  <c r="AM17" i="30"/>
  <c r="AH17" i="30"/>
  <c r="AC17" i="30"/>
  <c r="X17" i="30"/>
  <c r="S17" i="30"/>
  <c r="AW16" i="30"/>
  <c r="AR16" i="30"/>
  <c r="AM16" i="30"/>
  <c r="AH16" i="30"/>
  <c r="AC16" i="30"/>
  <c r="X16" i="30"/>
  <c r="S16" i="30"/>
  <c r="AW15" i="30"/>
  <c r="AR15" i="30"/>
  <c r="AM15" i="30"/>
  <c r="AH15" i="30"/>
  <c r="AC15" i="30"/>
  <c r="X15" i="30"/>
  <c r="S15" i="30"/>
  <c r="AW14" i="30"/>
  <c r="AR14" i="30"/>
  <c r="AM14" i="30"/>
  <c r="AH14" i="30"/>
  <c r="AC14" i="30"/>
  <c r="X14" i="30"/>
  <c r="S14" i="30"/>
  <c r="AW13" i="30"/>
  <c r="AR13" i="30"/>
  <c r="AM13" i="30"/>
  <c r="AH13" i="30"/>
  <c r="AC13" i="30"/>
  <c r="X13" i="30"/>
  <c r="S13" i="30"/>
  <c r="K13" i="30"/>
  <c r="J13" i="30"/>
  <c r="I13" i="30"/>
  <c r="AW12" i="30"/>
  <c r="AR12" i="30"/>
  <c r="AM12" i="30"/>
  <c r="AH12" i="30"/>
  <c r="AC12" i="30"/>
  <c r="X12" i="30"/>
  <c r="S12" i="30"/>
  <c r="K12" i="30"/>
  <c r="J12" i="30"/>
  <c r="I12" i="30"/>
  <c r="AW11" i="30"/>
  <c r="AR11" i="30"/>
  <c r="AM11" i="30"/>
  <c r="AH11" i="30"/>
  <c r="AC11" i="30"/>
  <c r="X11" i="30"/>
  <c r="S11" i="30"/>
  <c r="K11" i="30"/>
  <c r="J11" i="30"/>
  <c r="I11" i="30"/>
  <c r="AW10" i="30"/>
  <c r="AR10" i="30"/>
  <c r="AM10" i="30"/>
  <c r="AH10" i="30"/>
  <c r="AC10" i="30"/>
  <c r="X10" i="30"/>
  <c r="S10" i="30"/>
  <c r="K10" i="30"/>
  <c r="J10" i="30"/>
  <c r="I10" i="30"/>
  <c r="AW9" i="30"/>
  <c r="AR9" i="30"/>
  <c r="AM9" i="30"/>
  <c r="AH9" i="30"/>
  <c r="AC9" i="30"/>
  <c r="X9" i="30"/>
  <c r="S9" i="30"/>
  <c r="K9" i="30"/>
  <c r="J9" i="30"/>
  <c r="I9" i="30"/>
  <c r="AW8" i="30"/>
  <c r="AR8" i="30"/>
  <c r="AM8" i="30"/>
  <c r="AH8" i="30"/>
  <c r="AC8" i="30"/>
  <c r="X8" i="30"/>
  <c r="S8" i="30"/>
  <c r="K8" i="30"/>
  <c r="M7" i="30" s="1"/>
  <c r="J8" i="30"/>
  <c r="I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T7" i="30"/>
  <c r="S7" i="30"/>
  <c r="K7" i="30"/>
  <c r="J7" i="30"/>
  <c r="I7" i="30"/>
  <c r="H7" i="30"/>
  <c r="Z2" i="30"/>
  <c r="AE2" i="30" s="1"/>
  <c r="AJ2" i="30" s="1"/>
  <c r="AO2" i="30" s="1"/>
  <c r="AT2" i="30" s="1"/>
  <c r="P22" i="30" s="1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K135" i="8"/>
  <c r="J135" i="8"/>
  <c r="I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M132" i="8" s="1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K99" i="8"/>
  <c r="J99" i="8"/>
  <c r="I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M96" i="8" s="1"/>
  <c r="J77" i="8"/>
  <c r="I77" i="8"/>
  <c r="H77" i="8"/>
  <c r="AW71" i="8"/>
  <c r="AR71" i="8"/>
  <c r="AM71" i="8"/>
  <c r="AH71" i="8"/>
  <c r="AC71" i="8"/>
  <c r="X71" i="8"/>
  <c r="S71" i="8"/>
  <c r="AW70" i="8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AW61" i="8"/>
  <c r="AR61" i="8"/>
  <c r="AM61" i="8"/>
  <c r="AH61" i="8"/>
  <c r="AC61" i="8"/>
  <c r="X61" i="8"/>
  <c r="S61" i="8"/>
  <c r="AW60" i="8"/>
  <c r="AR60" i="8"/>
  <c r="AM60" i="8"/>
  <c r="AH60" i="8"/>
  <c r="AC60" i="8"/>
  <c r="X60" i="8"/>
  <c r="S60" i="8"/>
  <c r="K60" i="8"/>
  <c r="J60" i="8"/>
  <c r="I60" i="8"/>
  <c r="AW59" i="8"/>
  <c r="AR59" i="8"/>
  <c r="AM59" i="8"/>
  <c r="AH59" i="8"/>
  <c r="AC59" i="8"/>
  <c r="X59" i="8"/>
  <c r="S59" i="8"/>
  <c r="K59" i="8"/>
  <c r="J59" i="8"/>
  <c r="I59" i="8"/>
  <c r="AW58" i="8"/>
  <c r="AR58" i="8"/>
  <c r="AM58" i="8"/>
  <c r="AH58" i="8"/>
  <c r="AC58" i="8"/>
  <c r="X58" i="8"/>
  <c r="S58" i="8"/>
  <c r="K58" i="8"/>
  <c r="J58" i="8"/>
  <c r="I58" i="8"/>
  <c r="AW57" i="8"/>
  <c r="AR57" i="8"/>
  <c r="AM57" i="8"/>
  <c r="AH57" i="8"/>
  <c r="AC57" i="8"/>
  <c r="X57" i="8"/>
  <c r="S57" i="8"/>
  <c r="K57" i="8"/>
  <c r="J57" i="8"/>
  <c r="I57" i="8"/>
  <c r="AW56" i="8"/>
  <c r="AR56" i="8"/>
  <c r="AM56" i="8"/>
  <c r="AH56" i="8"/>
  <c r="AC56" i="8"/>
  <c r="X56" i="8"/>
  <c r="S56" i="8"/>
  <c r="K56" i="8"/>
  <c r="J56" i="8"/>
  <c r="I56" i="8"/>
  <c r="AW55" i="8"/>
  <c r="AR55" i="8"/>
  <c r="AM55" i="8"/>
  <c r="AH55" i="8"/>
  <c r="AC55" i="8"/>
  <c r="X55" i="8"/>
  <c r="S55" i="8"/>
  <c r="K55" i="8"/>
  <c r="J55" i="8"/>
  <c r="I55" i="8"/>
  <c r="AW54" i="8"/>
  <c r="AR54" i="8"/>
  <c r="AM54" i="8"/>
  <c r="AH54" i="8"/>
  <c r="AC54" i="8"/>
  <c r="X54" i="8"/>
  <c r="S54" i="8"/>
  <c r="K54" i="8"/>
  <c r="J54" i="8"/>
  <c r="I54" i="8"/>
  <c r="AW53" i="8"/>
  <c r="AR53" i="8"/>
  <c r="AM53" i="8"/>
  <c r="AH53" i="8"/>
  <c r="AC53" i="8"/>
  <c r="X53" i="8"/>
  <c r="S53" i="8"/>
  <c r="K53" i="8"/>
  <c r="J53" i="8"/>
  <c r="I53" i="8"/>
  <c r="AW52" i="8"/>
  <c r="AR52" i="8"/>
  <c r="AM52" i="8"/>
  <c r="AH52" i="8"/>
  <c r="AC52" i="8"/>
  <c r="X52" i="8"/>
  <c r="S52" i="8"/>
  <c r="K52" i="8"/>
  <c r="J52" i="8"/>
  <c r="I52" i="8"/>
  <c r="AW51" i="8"/>
  <c r="AR51" i="8"/>
  <c r="AM51" i="8"/>
  <c r="AH51" i="8"/>
  <c r="AC51" i="8"/>
  <c r="X51" i="8"/>
  <c r="S51" i="8"/>
  <c r="K51" i="8"/>
  <c r="J51" i="8"/>
  <c r="I51" i="8"/>
  <c r="AW50" i="8"/>
  <c r="AR50" i="8"/>
  <c r="AM50" i="8"/>
  <c r="AH50" i="8"/>
  <c r="AC50" i="8"/>
  <c r="X50" i="8"/>
  <c r="S50" i="8"/>
  <c r="K50" i="8"/>
  <c r="J50" i="8"/>
  <c r="I50" i="8"/>
  <c r="AW49" i="8"/>
  <c r="AR49" i="8"/>
  <c r="AM49" i="8"/>
  <c r="AH49" i="8"/>
  <c r="AC49" i="8"/>
  <c r="X49" i="8"/>
  <c r="S49" i="8"/>
  <c r="K49" i="8"/>
  <c r="J49" i="8"/>
  <c r="I49" i="8"/>
  <c r="AW48" i="8"/>
  <c r="AR48" i="8"/>
  <c r="AM48" i="8"/>
  <c r="AH48" i="8"/>
  <c r="AC48" i="8"/>
  <c r="X48" i="8"/>
  <c r="S48" i="8"/>
  <c r="K48" i="8"/>
  <c r="J48" i="8"/>
  <c r="I48" i="8"/>
  <c r="AW47" i="8"/>
  <c r="AR47" i="8"/>
  <c r="AM47" i="8"/>
  <c r="AH47" i="8"/>
  <c r="AC47" i="8"/>
  <c r="X47" i="8"/>
  <c r="S47" i="8"/>
  <c r="K47" i="8"/>
  <c r="J47" i="8"/>
  <c r="I47" i="8"/>
  <c r="AW46" i="8"/>
  <c r="AR46" i="8"/>
  <c r="AM46" i="8"/>
  <c r="AH46" i="8"/>
  <c r="AC46" i="8"/>
  <c r="X46" i="8"/>
  <c r="S46" i="8"/>
  <c r="K46" i="8"/>
  <c r="J46" i="8"/>
  <c r="I46" i="8"/>
  <c r="AW45" i="8"/>
  <c r="AR45" i="8"/>
  <c r="AM45" i="8"/>
  <c r="AH45" i="8"/>
  <c r="AC45" i="8"/>
  <c r="X45" i="8"/>
  <c r="S45" i="8"/>
  <c r="K45" i="8"/>
  <c r="J45" i="8"/>
  <c r="I45" i="8"/>
  <c r="AW44" i="8"/>
  <c r="AR44" i="8"/>
  <c r="AM44" i="8"/>
  <c r="AH44" i="8"/>
  <c r="AC44" i="8"/>
  <c r="X44" i="8"/>
  <c r="S44" i="8"/>
  <c r="K44" i="8"/>
  <c r="J44" i="8"/>
  <c r="I44" i="8"/>
  <c r="AW43" i="8"/>
  <c r="AR43" i="8"/>
  <c r="AM43" i="8"/>
  <c r="AH43" i="8"/>
  <c r="AC43" i="8"/>
  <c r="X43" i="8"/>
  <c r="S43" i="8"/>
  <c r="K43" i="8"/>
  <c r="J43" i="8"/>
  <c r="I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T42" i="8"/>
  <c r="S42" i="8"/>
  <c r="L42" i="8"/>
  <c r="K42" i="8"/>
  <c r="J42" i="8"/>
  <c r="I42" i="8"/>
  <c r="H42" i="8"/>
  <c r="U37" i="8"/>
  <c r="Z37" i="8" s="1"/>
  <c r="AE37" i="8" s="1"/>
  <c r="AJ37" i="8" s="1"/>
  <c r="AO37" i="8" s="1"/>
  <c r="AT37" i="8" s="1"/>
  <c r="P37" i="8"/>
  <c r="P72" i="8" s="1"/>
  <c r="AW36" i="8"/>
  <c r="AR36" i="8"/>
  <c r="AM36" i="8"/>
  <c r="AH36" i="8"/>
  <c r="AC36" i="8"/>
  <c r="X36" i="8"/>
  <c r="S36" i="8"/>
  <c r="AW35" i="8"/>
  <c r="AR35" i="8"/>
  <c r="AM35" i="8"/>
  <c r="AH35" i="8"/>
  <c r="AC35" i="8"/>
  <c r="X35" i="8"/>
  <c r="S35" i="8"/>
  <c r="AW34" i="8"/>
  <c r="AR34" i="8"/>
  <c r="AM34" i="8"/>
  <c r="AH34" i="8"/>
  <c r="AC34" i="8"/>
  <c r="X34" i="8"/>
  <c r="S34" i="8"/>
  <c r="AW33" i="8"/>
  <c r="AR33" i="8"/>
  <c r="AM33" i="8"/>
  <c r="AH33" i="8"/>
  <c r="AC33" i="8"/>
  <c r="X33" i="8"/>
  <c r="S33" i="8"/>
  <c r="AW32" i="8"/>
  <c r="AR32" i="8"/>
  <c r="AM32" i="8"/>
  <c r="AH32" i="8"/>
  <c r="AC32" i="8"/>
  <c r="X32" i="8"/>
  <c r="S32" i="8"/>
  <c r="AW31" i="8"/>
  <c r="AR31" i="8"/>
  <c r="AM31" i="8"/>
  <c r="AH31" i="8"/>
  <c r="AC31" i="8"/>
  <c r="X31" i="8"/>
  <c r="S31" i="8"/>
  <c r="AW30" i="8"/>
  <c r="AR30" i="8"/>
  <c r="AM30" i="8"/>
  <c r="AH30" i="8"/>
  <c r="AC30" i="8"/>
  <c r="X30" i="8"/>
  <c r="S30" i="8"/>
  <c r="AW29" i="8"/>
  <c r="AR29" i="8"/>
  <c r="AM29" i="8"/>
  <c r="AH29" i="8"/>
  <c r="AC29" i="8"/>
  <c r="X29" i="8"/>
  <c r="S29" i="8"/>
  <c r="AW28" i="8"/>
  <c r="AR28" i="8"/>
  <c r="AM28" i="8"/>
  <c r="AH28" i="8"/>
  <c r="AC28" i="8"/>
  <c r="X28" i="8"/>
  <c r="S28" i="8"/>
  <c r="AW27" i="8"/>
  <c r="AR27" i="8"/>
  <c r="AM27" i="8"/>
  <c r="AH27" i="8"/>
  <c r="AC27" i="8"/>
  <c r="X27" i="8"/>
  <c r="S27" i="8"/>
  <c r="K27" i="8"/>
  <c r="J27" i="8"/>
  <c r="I27" i="8"/>
  <c r="AW26" i="8"/>
  <c r="AR26" i="8"/>
  <c r="AM26" i="8"/>
  <c r="AH26" i="8"/>
  <c r="AC26" i="8"/>
  <c r="X26" i="8"/>
  <c r="S26" i="8"/>
  <c r="K26" i="8"/>
  <c r="J26" i="8"/>
  <c r="I26" i="8"/>
  <c r="AW25" i="8"/>
  <c r="AR25" i="8"/>
  <c r="AM25" i="8"/>
  <c r="AH25" i="8"/>
  <c r="AC25" i="8"/>
  <c r="X25" i="8"/>
  <c r="S25" i="8"/>
  <c r="K25" i="8"/>
  <c r="J25" i="8"/>
  <c r="I25" i="8"/>
  <c r="AW24" i="8"/>
  <c r="AR24" i="8"/>
  <c r="AM24" i="8"/>
  <c r="AH24" i="8"/>
  <c r="AC24" i="8"/>
  <c r="X24" i="8"/>
  <c r="S24" i="8"/>
  <c r="K24" i="8"/>
  <c r="J24" i="8"/>
  <c r="I24" i="8"/>
  <c r="AW23" i="8"/>
  <c r="AR23" i="8"/>
  <c r="AM23" i="8"/>
  <c r="AH23" i="8"/>
  <c r="AC23" i="8"/>
  <c r="X23" i="8"/>
  <c r="S23" i="8"/>
  <c r="K23" i="8"/>
  <c r="J23" i="8"/>
  <c r="I23" i="8"/>
  <c r="AW22" i="8"/>
  <c r="AR22" i="8"/>
  <c r="AM22" i="8"/>
  <c r="AH22" i="8"/>
  <c r="AC22" i="8"/>
  <c r="X22" i="8"/>
  <c r="S22" i="8"/>
  <c r="K22" i="8"/>
  <c r="J22" i="8"/>
  <c r="I22" i="8"/>
  <c r="AW21" i="8"/>
  <c r="AR21" i="8"/>
  <c r="AM21" i="8"/>
  <c r="AH21" i="8"/>
  <c r="AC21" i="8"/>
  <c r="X21" i="8"/>
  <c r="S21" i="8"/>
  <c r="K21" i="8"/>
  <c r="J21" i="8"/>
  <c r="I21" i="8"/>
  <c r="AW20" i="8"/>
  <c r="AR20" i="8"/>
  <c r="AM20" i="8"/>
  <c r="AH20" i="8"/>
  <c r="AC20" i="8"/>
  <c r="X20" i="8"/>
  <c r="S20" i="8"/>
  <c r="K20" i="8"/>
  <c r="J20" i="8"/>
  <c r="I20" i="8"/>
  <c r="AW19" i="8"/>
  <c r="AR19" i="8"/>
  <c r="AM19" i="8"/>
  <c r="AH19" i="8"/>
  <c r="AC19" i="8"/>
  <c r="X19" i="8"/>
  <c r="S19" i="8"/>
  <c r="K19" i="8"/>
  <c r="J19" i="8"/>
  <c r="I19" i="8"/>
  <c r="AW18" i="8"/>
  <c r="AR18" i="8"/>
  <c r="AM18" i="8"/>
  <c r="AH18" i="8"/>
  <c r="AC18" i="8"/>
  <c r="X18" i="8"/>
  <c r="S18" i="8"/>
  <c r="K18" i="8"/>
  <c r="J18" i="8"/>
  <c r="I18" i="8"/>
  <c r="AW17" i="8"/>
  <c r="AR17" i="8"/>
  <c r="AM17" i="8"/>
  <c r="AH17" i="8"/>
  <c r="AC17" i="8"/>
  <c r="X17" i="8"/>
  <c r="S17" i="8"/>
  <c r="K17" i="8"/>
  <c r="J17" i="8"/>
  <c r="I17" i="8"/>
  <c r="AW16" i="8"/>
  <c r="AR16" i="8"/>
  <c r="AM16" i="8"/>
  <c r="AH16" i="8"/>
  <c r="AC16" i="8"/>
  <c r="X16" i="8"/>
  <c r="S16" i="8"/>
  <c r="K16" i="8"/>
  <c r="J16" i="8"/>
  <c r="I16" i="8"/>
  <c r="AW15" i="8"/>
  <c r="AR15" i="8"/>
  <c r="AM15" i="8"/>
  <c r="AH15" i="8"/>
  <c r="AC15" i="8"/>
  <c r="X15" i="8"/>
  <c r="S15" i="8"/>
  <c r="K15" i="8"/>
  <c r="J15" i="8"/>
  <c r="I15" i="8"/>
  <c r="AW14" i="8"/>
  <c r="AR14" i="8"/>
  <c r="AM14" i="8"/>
  <c r="AH14" i="8"/>
  <c r="AC14" i="8"/>
  <c r="X14" i="8"/>
  <c r="S14" i="8"/>
  <c r="K14" i="8"/>
  <c r="J14" i="8"/>
  <c r="I14" i="8"/>
  <c r="AW13" i="8"/>
  <c r="AR13" i="8"/>
  <c r="AM13" i="8"/>
  <c r="AH13" i="8"/>
  <c r="AC13" i="8"/>
  <c r="X13" i="8"/>
  <c r="S13" i="8"/>
  <c r="K13" i="8"/>
  <c r="J13" i="8"/>
  <c r="I13" i="8"/>
  <c r="AW12" i="8"/>
  <c r="AR12" i="8"/>
  <c r="AM12" i="8"/>
  <c r="AH12" i="8"/>
  <c r="AC12" i="8"/>
  <c r="X12" i="8"/>
  <c r="S12" i="8"/>
  <c r="K12" i="8"/>
  <c r="J12" i="8"/>
  <c r="I12" i="8"/>
  <c r="AW11" i="8"/>
  <c r="AR11" i="8"/>
  <c r="AM11" i="8"/>
  <c r="AH11" i="8"/>
  <c r="AC11" i="8"/>
  <c r="X11" i="8"/>
  <c r="S11" i="8"/>
  <c r="K11" i="8"/>
  <c r="J11" i="8"/>
  <c r="I11" i="8"/>
  <c r="AW10" i="8"/>
  <c r="AR10" i="8"/>
  <c r="AM10" i="8"/>
  <c r="AH10" i="8"/>
  <c r="AC10" i="8"/>
  <c r="X10" i="8"/>
  <c r="S10" i="8"/>
  <c r="K10" i="8"/>
  <c r="J10" i="8"/>
  <c r="I10" i="8"/>
  <c r="AW9" i="8"/>
  <c r="AR9" i="8"/>
  <c r="AM9" i="8"/>
  <c r="AH9" i="8"/>
  <c r="AC9" i="8"/>
  <c r="X9" i="8"/>
  <c r="S9" i="8"/>
  <c r="K9" i="8"/>
  <c r="J9" i="8"/>
  <c r="I9" i="8"/>
  <c r="AW8" i="8"/>
  <c r="AR8" i="8"/>
  <c r="AM8" i="8"/>
  <c r="AH8" i="8"/>
  <c r="AC8" i="8"/>
  <c r="X8" i="8"/>
  <c r="S8" i="8"/>
  <c r="K8" i="8"/>
  <c r="J8" i="8"/>
  <c r="I8" i="8"/>
  <c r="AX7" i="8"/>
  <c r="AW7" i="8"/>
  <c r="AS7" i="8"/>
  <c r="AR7" i="8"/>
  <c r="AN7" i="8"/>
  <c r="AM7" i="8"/>
  <c r="AI7" i="8"/>
  <c r="AH7" i="8"/>
  <c r="AD7" i="8"/>
  <c r="AC7" i="8"/>
  <c r="Y7" i="8"/>
  <c r="X7" i="8"/>
  <c r="T7" i="8"/>
  <c r="S7" i="8"/>
  <c r="K7" i="8"/>
  <c r="J7" i="8"/>
  <c r="I7" i="8"/>
  <c r="H7" i="8"/>
  <c r="AE2" i="8"/>
  <c r="AJ2" i="8" s="1"/>
  <c r="AO2" i="8" s="1"/>
  <c r="AT2" i="8" s="1"/>
  <c r="M48" i="33" l="1"/>
  <c r="M52" i="33"/>
  <c r="M56" i="33"/>
  <c r="M60" i="33"/>
  <c r="M64" i="33"/>
  <c r="M68" i="33"/>
  <c r="M34" i="34"/>
  <c r="M52" i="35"/>
  <c r="M54" i="37"/>
  <c r="M73" i="37"/>
  <c r="M51" i="30"/>
  <c r="M74" i="32"/>
  <c r="M78" i="32"/>
  <c r="M86" i="33"/>
  <c r="M90" i="33"/>
  <c r="M94" i="33"/>
  <c r="M98" i="33"/>
  <c r="M102" i="33"/>
  <c r="M117" i="33"/>
  <c r="M121" i="33"/>
  <c r="M125" i="33"/>
  <c r="M129" i="33"/>
  <c r="M133" i="33"/>
  <c r="M53" i="34"/>
  <c r="M57" i="34"/>
  <c r="L67" i="34"/>
  <c r="M35" i="35"/>
  <c r="L67" i="35"/>
  <c r="M97" i="8"/>
  <c r="M77" i="8"/>
  <c r="M112" i="8"/>
  <c r="M29" i="30"/>
  <c r="M47" i="30"/>
  <c r="M45" i="33"/>
  <c r="M49" i="33"/>
  <c r="M53" i="33"/>
  <c r="M57" i="33"/>
  <c r="M61" i="33"/>
  <c r="M65" i="33"/>
  <c r="M69" i="33"/>
  <c r="M31" i="34"/>
  <c r="M35" i="34"/>
  <c r="M67" i="34"/>
  <c r="M34" i="35"/>
  <c r="M69" i="35"/>
  <c r="M72" i="35"/>
  <c r="L27" i="37"/>
  <c r="M51" i="37"/>
  <c r="M70" i="37"/>
  <c r="M81" i="8"/>
  <c r="M93" i="8"/>
  <c r="M45" i="8"/>
  <c r="M49" i="8"/>
  <c r="M53" i="8"/>
  <c r="M57" i="8"/>
  <c r="M78" i="8"/>
  <c r="M82" i="8"/>
  <c r="M86" i="8"/>
  <c r="M90" i="8"/>
  <c r="M94" i="8"/>
  <c r="M98" i="8"/>
  <c r="M116" i="8"/>
  <c r="M117" i="8"/>
  <c r="M121" i="8"/>
  <c r="M125" i="8"/>
  <c r="M129" i="8"/>
  <c r="M133" i="8"/>
  <c r="M58" i="30"/>
  <c r="M52" i="30"/>
  <c r="M27" i="32"/>
  <c r="M29" i="32"/>
  <c r="M30" i="32"/>
  <c r="M31" i="32"/>
  <c r="M33" i="32"/>
  <c r="M34" i="32"/>
  <c r="M35" i="32"/>
  <c r="M37" i="32"/>
  <c r="M38" i="32"/>
  <c r="M71" i="32"/>
  <c r="M75" i="32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M89" i="33"/>
  <c r="M83" i="33"/>
  <c r="M87" i="33"/>
  <c r="M91" i="33"/>
  <c r="M95" i="33"/>
  <c r="M99" i="33"/>
  <c r="M103" i="33"/>
  <c r="M124" i="33"/>
  <c r="M118" i="33"/>
  <c r="M122" i="33"/>
  <c r="M126" i="33"/>
  <c r="M130" i="33"/>
  <c r="M134" i="33"/>
  <c r="M138" i="33"/>
  <c r="M41" i="34"/>
  <c r="M50" i="36"/>
  <c r="M69" i="36"/>
  <c r="M58" i="37"/>
  <c r="M72" i="37"/>
  <c r="M50" i="32"/>
  <c r="M54" i="32"/>
  <c r="M58" i="32"/>
  <c r="L67" i="32"/>
  <c r="M46" i="33"/>
  <c r="M50" i="33"/>
  <c r="M54" i="33"/>
  <c r="M58" i="33"/>
  <c r="M62" i="33"/>
  <c r="M66" i="33"/>
  <c r="M70" i="33"/>
  <c r="M21" i="34"/>
  <c r="M28" i="34"/>
  <c r="M32" i="34"/>
  <c r="M36" i="34"/>
  <c r="M50" i="35"/>
  <c r="M54" i="35"/>
  <c r="M31" i="36"/>
  <c r="L67" i="37"/>
  <c r="M85" i="8"/>
  <c r="M89" i="8"/>
  <c r="M9" i="8"/>
  <c r="M71" i="8"/>
  <c r="M79" i="8"/>
  <c r="M83" i="8"/>
  <c r="M87" i="8"/>
  <c r="M91" i="8"/>
  <c r="L112" i="8"/>
  <c r="M118" i="8"/>
  <c r="M122" i="8"/>
  <c r="M126" i="8"/>
  <c r="M130" i="8"/>
  <c r="M134" i="8"/>
  <c r="M41" i="30"/>
  <c r="M49" i="30"/>
  <c r="M53" i="30"/>
  <c r="M71" i="33"/>
  <c r="M80" i="33"/>
  <c r="M84" i="33"/>
  <c r="M88" i="33"/>
  <c r="M92" i="33"/>
  <c r="M96" i="33"/>
  <c r="M100" i="33"/>
  <c r="M104" i="33"/>
  <c r="M115" i="33"/>
  <c r="M119" i="33"/>
  <c r="M123" i="33"/>
  <c r="M127" i="33"/>
  <c r="M131" i="33"/>
  <c r="M135" i="33"/>
  <c r="L47" i="34"/>
  <c r="M51" i="34"/>
  <c r="M55" i="34"/>
  <c r="M75" i="34"/>
  <c r="M73" i="34"/>
  <c r="M77" i="34"/>
  <c r="M29" i="35"/>
  <c r="M33" i="35"/>
  <c r="M7" i="36"/>
  <c r="M28" i="36"/>
  <c r="M59" i="36"/>
  <c r="M67" i="37"/>
  <c r="M51" i="32"/>
  <c r="M55" i="32"/>
  <c r="M106" i="33"/>
  <c r="M136" i="33"/>
  <c r="M47" i="34"/>
  <c r="M61" i="35"/>
  <c r="M70" i="35"/>
  <c r="L47" i="36"/>
  <c r="M53" i="37"/>
  <c r="M44" i="8"/>
  <c r="M47" i="8"/>
  <c r="M51" i="8"/>
  <c r="M55" i="8"/>
  <c r="M59" i="8"/>
  <c r="M135" i="8"/>
  <c r="M27" i="30"/>
  <c r="M21" i="32"/>
  <c r="L47" i="32"/>
  <c r="M69" i="32"/>
  <c r="L77" i="33"/>
  <c r="L112" i="33"/>
  <c r="M61" i="34"/>
  <c r="M52" i="34"/>
  <c r="M56" i="34"/>
  <c r="M70" i="34"/>
  <c r="M74" i="34"/>
  <c r="L47" i="35"/>
  <c r="M60" i="36"/>
  <c r="M71" i="36"/>
  <c r="M30" i="37"/>
  <c r="M34" i="37"/>
  <c r="H27" i="30"/>
  <c r="M7" i="34"/>
  <c r="M8" i="34"/>
  <c r="M10" i="34"/>
  <c r="M12" i="34"/>
  <c r="M14" i="34"/>
  <c r="M16" i="34"/>
  <c r="L7" i="34"/>
  <c r="M15" i="34"/>
  <c r="M13" i="34"/>
  <c r="L7" i="36"/>
  <c r="M9" i="36"/>
  <c r="M10" i="36"/>
  <c r="L7" i="37"/>
  <c r="M11" i="37"/>
  <c r="M10" i="37"/>
  <c r="M14" i="37"/>
  <c r="U22" i="37"/>
  <c r="Z22" i="37" s="1"/>
  <c r="AE22" i="37" s="1"/>
  <c r="AJ22" i="37" s="1"/>
  <c r="AO22" i="37" s="1"/>
  <c r="AT22" i="37" s="1"/>
  <c r="P42" i="37"/>
  <c r="M7" i="37"/>
  <c r="M15" i="37"/>
  <c r="M16" i="37"/>
  <c r="M17" i="37"/>
  <c r="M18" i="37"/>
  <c r="M19" i="37"/>
  <c r="M20" i="37"/>
  <c r="M21" i="37"/>
  <c r="M27" i="37"/>
  <c r="M35" i="37"/>
  <c r="M36" i="37"/>
  <c r="M37" i="37"/>
  <c r="M38" i="37"/>
  <c r="M39" i="37"/>
  <c r="M40" i="37"/>
  <c r="M41" i="37"/>
  <c r="M47" i="37"/>
  <c r="M55" i="37"/>
  <c r="M59" i="37"/>
  <c r="M69" i="37"/>
  <c r="M74" i="37"/>
  <c r="M75" i="37"/>
  <c r="M76" i="37"/>
  <c r="M77" i="37"/>
  <c r="M78" i="37"/>
  <c r="M79" i="37"/>
  <c r="M80" i="37"/>
  <c r="M81" i="37"/>
  <c r="M9" i="37"/>
  <c r="M13" i="37"/>
  <c r="M29" i="37"/>
  <c r="M33" i="37"/>
  <c r="M49" i="37"/>
  <c r="M56" i="37"/>
  <c r="M60" i="37"/>
  <c r="M68" i="37"/>
  <c r="M8" i="37"/>
  <c r="M12" i="37"/>
  <c r="M28" i="37"/>
  <c r="M32" i="37"/>
  <c r="M48" i="37"/>
  <c r="M52" i="37"/>
  <c r="M57" i="37"/>
  <c r="M61" i="37"/>
  <c r="L47" i="37"/>
  <c r="U22" i="36"/>
  <c r="Z22" i="36" s="1"/>
  <c r="AE22" i="36" s="1"/>
  <c r="AJ22" i="36" s="1"/>
  <c r="AO22" i="36" s="1"/>
  <c r="AT22" i="36" s="1"/>
  <c r="P42" i="36"/>
  <c r="M8" i="36"/>
  <c r="L27" i="36"/>
  <c r="M32" i="36"/>
  <c r="M33" i="36"/>
  <c r="M34" i="36"/>
  <c r="M35" i="36"/>
  <c r="M36" i="36"/>
  <c r="M37" i="36"/>
  <c r="M38" i="36"/>
  <c r="M39" i="36"/>
  <c r="M40" i="36"/>
  <c r="M41" i="36"/>
  <c r="M47" i="36"/>
  <c r="M53" i="36"/>
  <c r="M57" i="36"/>
  <c r="M61" i="36"/>
  <c r="L67" i="36"/>
  <c r="M72" i="36"/>
  <c r="M73" i="36"/>
  <c r="M74" i="36"/>
  <c r="M75" i="36"/>
  <c r="M76" i="36"/>
  <c r="M77" i="36"/>
  <c r="M78" i="36"/>
  <c r="M79" i="36"/>
  <c r="M80" i="36"/>
  <c r="M81" i="36"/>
  <c r="M11" i="36"/>
  <c r="M12" i="36"/>
  <c r="M13" i="36"/>
  <c r="M14" i="36"/>
  <c r="M15" i="36"/>
  <c r="M16" i="36"/>
  <c r="M17" i="36"/>
  <c r="M18" i="36"/>
  <c r="M19" i="36"/>
  <c r="M20" i="36"/>
  <c r="M21" i="36"/>
  <c r="M27" i="36"/>
  <c r="M30" i="36"/>
  <c r="M49" i="36"/>
  <c r="M54" i="36"/>
  <c r="M58" i="36"/>
  <c r="M67" i="36"/>
  <c r="M70" i="36"/>
  <c r="M48" i="36"/>
  <c r="M55" i="36"/>
  <c r="M51" i="36"/>
  <c r="M52" i="36"/>
  <c r="M56" i="36"/>
  <c r="M21" i="35"/>
  <c r="M10" i="35"/>
  <c r="M12" i="35"/>
  <c r="M14" i="35"/>
  <c r="P42" i="35"/>
  <c r="U22" i="35"/>
  <c r="Z22" i="35" s="1"/>
  <c r="AE22" i="35" s="1"/>
  <c r="AJ22" i="35" s="1"/>
  <c r="AO22" i="35" s="1"/>
  <c r="AT22" i="35" s="1"/>
  <c r="M7" i="35"/>
  <c r="M48" i="35"/>
  <c r="M68" i="35"/>
  <c r="M73" i="35"/>
  <c r="M74" i="35"/>
  <c r="M75" i="35"/>
  <c r="M76" i="35"/>
  <c r="M77" i="35"/>
  <c r="M78" i="35"/>
  <c r="M79" i="35"/>
  <c r="M80" i="35"/>
  <c r="M9" i="35"/>
  <c r="M13" i="35"/>
  <c r="M28" i="35"/>
  <c r="M32" i="35"/>
  <c r="M51" i="35"/>
  <c r="M71" i="35"/>
  <c r="M8" i="35"/>
  <c r="L27" i="35"/>
  <c r="M36" i="35"/>
  <c r="M37" i="35"/>
  <c r="M38" i="35"/>
  <c r="M39" i="35"/>
  <c r="M40" i="35"/>
  <c r="M41" i="35"/>
  <c r="M47" i="35"/>
  <c r="M55" i="35"/>
  <c r="M56" i="35"/>
  <c r="M57" i="35"/>
  <c r="M58" i="35"/>
  <c r="M59" i="35"/>
  <c r="M60" i="35"/>
  <c r="M67" i="35"/>
  <c r="M11" i="35"/>
  <c r="M15" i="35"/>
  <c r="M16" i="35"/>
  <c r="M17" i="35"/>
  <c r="M18" i="35"/>
  <c r="M19" i="35"/>
  <c r="M20" i="35"/>
  <c r="M27" i="35"/>
  <c r="M30" i="35"/>
  <c r="M49" i="35"/>
  <c r="P42" i="34"/>
  <c r="U22" i="34"/>
  <c r="Z22" i="34" s="1"/>
  <c r="AE22" i="34" s="1"/>
  <c r="AJ22" i="34" s="1"/>
  <c r="AO22" i="34" s="1"/>
  <c r="AT22" i="34" s="1"/>
  <c r="M9" i="34"/>
  <c r="L27" i="34"/>
  <c r="M48" i="34"/>
  <c r="M69" i="34"/>
  <c r="M78" i="34"/>
  <c r="M79" i="34"/>
  <c r="M80" i="34"/>
  <c r="M81" i="34"/>
  <c r="M17" i="34"/>
  <c r="M18" i="34"/>
  <c r="M19" i="34"/>
  <c r="M20" i="34"/>
  <c r="M27" i="34"/>
  <c r="M68" i="34"/>
  <c r="M72" i="34"/>
  <c r="M11" i="34"/>
  <c r="M29" i="34"/>
  <c r="M33" i="34"/>
  <c r="M37" i="34"/>
  <c r="M38" i="34"/>
  <c r="M39" i="34"/>
  <c r="M40" i="34"/>
  <c r="M50" i="34"/>
  <c r="M54" i="34"/>
  <c r="M71" i="34"/>
  <c r="M58" i="34"/>
  <c r="M59" i="34"/>
  <c r="M60" i="34"/>
  <c r="M28" i="33"/>
  <c r="M10" i="33"/>
  <c r="M14" i="33"/>
  <c r="M18" i="33"/>
  <c r="M22" i="33"/>
  <c r="M26" i="33"/>
  <c r="M30" i="33"/>
  <c r="M11" i="33"/>
  <c r="M15" i="33"/>
  <c r="M19" i="33"/>
  <c r="M23" i="33"/>
  <c r="M27" i="33"/>
  <c r="P72" i="33"/>
  <c r="U37" i="33"/>
  <c r="Z37" i="33" s="1"/>
  <c r="AE37" i="33" s="1"/>
  <c r="AJ37" i="33" s="1"/>
  <c r="AO37" i="33" s="1"/>
  <c r="AT37" i="33" s="1"/>
  <c r="L7" i="33"/>
  <c r="M7" i="33"/>
  <c r="M31" i="33"/>
  <c r="M32" i="33"/>
  <c r="M33" i="33"/>
  <c r="M34" i="33"/>
  <c r="M35" i="33"/>
  <c r="M36" i="33"/>
  <c r="M42" i="33"/>
  <c r="M79" i="33"/>
  <c r="M114" i="33"/>
  <c r="M139" i="33"/>
  <c r="M140" i="33"/>
  <c r="M141" i="33"/>
  <c r="M9" i="33"/>
  <c r="M13" i="33"/>
  <c r="M17" i="33"/>
  <c r="M21" i="33"/>
  <c r="M25" i="33"/>
  <c r="M29" i="33"/>
  <c r="M44" i="33"/>
  <c r="M78" i="33"/>
  <c r="M82" i="33"/>
  <c r="M137" i="33"/>
  <c r="M8" i="33"/>
  <c r="M12" i="33"/>
  <c r="M16" i="33"/>
  <c r="M20" i="33"/>
  <c r="M24" i="33"/>
  <c r="M43" i="33"/>
  <c r="M47" i="33"/>
  <c r="M51" i="33"/>
  <c r="M55" i="33"/>
  <c r="M59" i="33"/>
  <c r="M63" i="33"/>
  <c r="M67" i="33"/>
  <c r="M81" i="33"/>
  <c r="M85" i="33"/>
  <c r="M93" i="33"/>
  <c r="M97" i="33"/>
  <c r="M101" i="33"/>
  <c r="M116" i="33"/>
  <c r="M120" i="33"/>
  <c r="M128" i="33"/>
  <c r="M132" i="33"/>
  <c r="L42" i="33"/>
  <c r="M105" i="33"/>
  <c r="U42" i="31"/>
  <c r="Z42" i="31" s="1"/>
  <c r="AE42" i="31" s="1"/>
  <c r="AJ42" i="31" s="1"/>
  <c r="AO42" i="31" s="1"/>
  <c r="AT42" i="31" s="1"/>
  <c r="P62" i="31"/>
  <c r="U62" i="31" s="1"/>
  <c r="Z62" i="31" s="1"/>
  <c r="AE62" i="31" s="1"/>
  <c r="AJ62" i="31" s="1"/>
  <c r="AO62" i="31" s="1"/>
  <c r="AT62" i="31" s="1"/>
  <c r="U22" i="31"/>
  <c r="Z22" i="31" s="1"/>
  <c r="AE22" i="31" s="1"/>
  <c r="AJ22" i="31" s="1"/>
  <c r="AO22" i="31" s="1"/>
  <c r="AT22" i="31" s="1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11" i="32"/>
  <c r="M15" i="32"/>
  <c r="M9" i="32"/>
  <c r="M10" i="32"/>
  <c r="M12" i="32"/>
  <c r="M14" i="32"/>
  <c r="M16" i="32"/>
  <c r="L7" i="32"/>
  <c r="P42" i="32"/>
  <c r="M47" i="32"/>
  <c r="M59" i="32"/>
  <c r="M60" i="32"/>
  <c r="M61" i="32"/>
  <c r="M67" i="32"/>
  <c r="M79" i="32"/>
  <c r="M80" i="32"/>
  <c r="M81" i="32"/>
  <c r="M8" i="32"/>
  <c r="M7" i="32"/>
  <c r="L27" i="32"/>
  <c r="M49" i="32"/>
  <c r="M53" i="32"/>
  <c r="M57" i="32"/>
  <c r="M73" i="32"/>
  <c r="M77" i="32"/>
  <c r="M13" i="32"/>
  <c r="M17" i="32"/>
  <c r="M18" i="32"/>
  <c r="M19" i="32"/>
  <c r="M20" i="32"/>
  <c r="M32" i="32"/>
  <c r="M36" i="32"/>
  <c r="M39" i="32"/>
  <c r="M41" i="32"/>
  <c r="M48" i="32"/>
  <c r="M52" i="32"/>
  <c r="M56" i="32"/>
  <c r="M68" i="32"/>
  <c r="M72" i="32"/>
  <c r="M76" i="32"/>
  <c r="M10" i="30"/>
  <c r="M12" i="30"/>
  <c r="P42" i="30"/>
  <c r="U22" i="30"/>
  <c r="Z22" i="30" s="1"/>
  <c r="AE22" i="30" s="1"/>
  <c r="AJ22" i="30" s="1"/>
  <c r="AO22" i="30" s="1"/>
  <c r="AT22" i="30" s="1"/>
  <c r="M13" i="30"/>
  <c r="M14" i="30"/>
  <c r="M15" i="30"/>
  <c r="M16" i="30"/>
  <c r="M17" i="30"/>
  <c r="M18" i="30"/>
  <c r="M19" i="30"/>
  <c r="M20" i="30"/>
  <c r="M21" i="30"/>
  <c r="M30" i="30"/>
  <c r="M32" i="30"/>
  <c r="M48" i="30"/>
  <c r="M55" i="30"/>
  <c r="M59" i="30"/>
  <c r="M9" i="30"/>
  <c r="M8" i="30"/>
  <c r="L47" i="30"/>
  <c r="M56" i="30"/>
  <c r="M11" i="30"/>
  <c r="M31" i="30"/>
  <c r="M33" i="30"/>
  <c r="M34" i="30"/>
  <c r="M35" i="30"/>
  <c r="M36" i="30"/>
  <c r="M37" i="30"/>
  <c r="M38" i="30"/>
  <c r="M39" i="30"/>
  <c r="M40" i="30"/>
  <c r="M50" i="30"/>
  <c r="M57" i="30"/>
  <c r="M61" i="30"/>
  <c r="L7" i="30"/>
  <c r="M54" i="30"/>
  <c r="M12" i="8"/>
  <c r="M14" i="8"/>
  <c r="M16" i="8"/>
  <c r="M18" i="8"/>
  <c r="M20" i="8"/>
  <c r="M22" i="8"/>
  <c r="M24" i="8"/>
  <c r="M26" i="8"/>
  <c r="M8" i="8"/>
  <c r="M10" i="8"/>
  <c r="M15" i="8"/>
  <c r="M17" i="8"/>
  <c r="M19" i="8"/>
  <c r="M21" i="8"/>
  <c r="M23" i="8"/>
  <c r="M25" i="8"/>
  <c r="M27" i="8"/>
  <c r="M11" i="8"/>
  <c r="M13" i="8"/>
  <c r="L7" i="8"/>
  <c r="M29" i="8"/>
  <c r="M33" i="8"/>
  <c r="M30" i="8"/>
  <c r="M34" i="8"/>
  <c r="M7" i="8"/>
  <c r="M31" i="8"/>
  <c r="M35" i="8"/>
  <c r="M28" i="8"/>
  <c r="M32" i="8"/>
  <c r="M36" i="8"/>
  <c r="P107" i="8"/>
  <c r="U107" i="8" s="1"/>
  <c r="Z107" i="8" s="1"/>
  <c r="AE107" i="8" s="1"/>
  <c r="AJ107" i="8" s="1"/>
  <c r="AO107" i="8" s="1"/>
  <c r="AT107" i="8" s="1"/>
  <c r="U72" i="8"/>
  <c r="Z72" i="8" s="1"/>
  <c r="AE72" i="8" s="1"/>
  <c r="AJ72" i="8" s="1"/>
  <c r="AO72" i="8" s="1"/>
  <c r="AT72" i="8" s="1"/>
  <c r="M43" i="8"/>
  <c r="M95" i="8"/>
  <c r="M99" i="8"/>
  <c r="M100" i="8"/>
  <c r="M101" i="8"/>
  <c r="M102" i="8"/>
  <c r="M103" i="8"/>
  <c r="M104" i="8"/>
  <c r="M105" i="8"/>
  <c r="M106" i="8"/>
  <c r="M115" i="8"/>
  <c r="M119" i="8"/>
  <c r="M123" i="8"/>
  <c r="M127" i="8"/>
  <c r="M131" i="8"/>
  <c r="M136" i="8"/>
  <c r="M137" i="8"/>
  <c r="M138" i="8"/>
  <c r="M139" i="8"/>
  <c r="M140" i="8"/>
  <c r="M141" i="8"/>
  <c r="M46" i="8"/>
  <c r="M50" i="8"/>
  <c r="M54" i="8"/>
  <c r="M58" i="8"/>
  <c r="M114" i="8"/>
  <c r="M42" i="8"/>
  <c r="L77" i="8"/>
  <c r="M113" i="8"/>
  <c r="M48" i="8"/>
  <c r="M52" i="8"/>
  <c r="M56" i="8"/>
  <c r="M60" i="8"/>
  <c r="M61" i="8"/>
  <c r="M62" i="8"/>
  <c r="M63" i="8"/>
  <c r="M64" i="8"/>
  <c r="M65" i="8"/>
  <c r="M66" i="8"/>
  <c r="M67" i="8"/>
  <c r="M68" i="8"/>
  <c r="M69" i="8"/>
  <c r="M70" i="8"/>
  <c r="M80" i="8"/>
  <c r="M84" i="8"/>
  <c r="M88" i="8"/>
  <c r="M92" i="8"/>
  <c r="M120" i="8"/>
  <c r="M124" i="8"/>
  <c r="M128" i="8"/>
  <c r="P62" i="37" l="1"/>
  <c r="U62" i="37" s="1"/>
  <c r="Z62" i="37" s="1"/>
  <c r="AE62" i="37" s="1"/>
  <c r="AJ62" i="37" s="1"/>
  <c r="AO62" i="37" s="1"/>
  <c r="AT62" i="37" s="1"/>
  <c r="U42" i="37"/>
  <c r="Z42" i="37" s="1"/>
  <c r="AE42" i="37" s="1"/>
  <c r="AJ42" i="37" s="1"/>
  <c r="AO42" i="37" s="1"/>
  <c r="AT42" i="37" s="1"/>
  <c r="P62" i="36"/>
  <c r="U62" i="36" s="1"/>
  <c r="Z62" i="36" s="1"/>
  <c r="AE62" i="36" s="1"/>
  <c r="AJ62" i="36" s="1"/>
  <c r="AO62" i="36" s="1"/>
  <c r="AT62" i="36" s="1"/>
  <c r="U42" i="36"/>
  <c r="Z42" i="36" s="1"/>
  <c r="AE42" i="36" s="1"/>
  <c r="AJ42" i="36" s="1"/>
  <c r="AO42" i="36" s="1"/>
  <c r="AT42" i="36" s="1"/>
  <c r="U42" i="35"/>
  <c r="Z42" i="35" s="1"/>
  <c r="AE42" i="35" s="1"/>
  <c r="AJ42" i="35" s="1"/>
  <c r="AO42" i="35" s="1"/>
  <c r="AT42" i="35" s="1"/>
  <c r="P62" i="35"/>
  <c r="U62" i="35" s="1"/>
  <c r="Z62" i="35" s="1"/>
  <c r="AE62" i="35" s="1"/>
  <c r="AJ62" i="35" s="1"/>
  <c r="AO62" i="35" s="1"/>
  <c r="AT62" i="35" s="1"/>
  <c r="P62" i="34"/>
  <c r="U62" i="34" s="1"/>
  <c r="Z62" i="34" s="1"/>
  <c r="AE62" i="34" s="1"/>
  <c r="AJ62" i="34" s="1"/>
  <c r="AO62" i="34" s="1"/>
  <c r="AT62" i="34" s="1"/>
  <c r="U42" i="34"/>
  <c r="Z42" i="34" s="1"/>
  <c r="AE42" i="34" s="1"/>
  <c r="AJ42" i="34" s="1"/>
  <c r="AO42" i="34" s="1"/>
  <c r="AT42" i="34" s="1"/>
  <c r="P107" i="33"/>
  <c r="U107" i="33" s="1"/>
  <c r="Z107" i="33" s="1"/>
  <c r="AE107" i="33" s="1"/>
  <c r="AJ107" i="33" s="1"/>
  <c r="AO107" i="33" s="1"/>
  <c r="AT107" i="33" s="1"/>
  <c r="U72" i="33"/>
  <c r="Z72" i="33" s="1"/>
  <c r="AE72" i="33" s="1"/>
  <c r="AJ72" i="33" s="1"/>
  <c r="AO72" i="33" s="1"/>
  <c r="AT72" i="33" s="1"/>
  <c r="U42" i="32"/>
  <c r="Z42" i="32" s="1"/>
  <c r="AE42" i="32" s="1"/>
  <c r="AJ42" i="32" s="1"/>
  <c r="AO42" i="32" s="1"/>
  <c r="AT42" i="32" s="1"/>
  <c r="P62" i="32"/>
  <c r="U62" i="32" s="1"/>
  <c r="Z62" i="32" s="1"/>
  <c r="AE62" i="32" s="1"/>
  <c r="AJ62" i="32" s="1"/>
  <c r="AO62" i="32" s="1"/>
  <c r="AT62" i="32" s="1"/>
  <c r="P62" i="30"/>
  <c r="U62" i="30" s="1"/>
  <c r="Z62" i="30" s="1"/>
  <c r="AE62" i="30" s="1"/>
  <c r="AJ62" i="30" s="1"/>
  <c r="AO62" i="30" s="1"/>
  <c r="AT62" i="30" s="1"/>
  <c r="U42" i="30"/>
  <c r="Z42" i="30" s="1"/>
  <c r="AE42" i="30" s="1"/>
  <c r="AJ42" i="30" s="1"/>
  <c r="AO42" i="30" s="1"/>
  <c r="AT42" i="30" s="1"/>
  <c r="D11" i="6" l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11" i="7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9" i="5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9" i="3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J138" i="32" l="1"/>
  <c r="I138" i="32"/>
  <c r="X121" i="37"/>
  <c r="S121" i="37"/>
  <c r="X120" i="37"/>
  <c r="S120" i="37"/>
  <c r="X119" i="37"/>
  <c r="S119" i="37"/>
  <c r="X118" i="37"/>
  <c r="S118" i="37"/>
  <c r="X117" i="37"/>
  <c r="S117" i="37"/>
  <c r="X116" i="37"/>
  <c r="S116" i="37"/>
  <c r="X115" i="37"/>
  <c r="S115" i="37"/>
  <c r="X114" i="37"/>
  <c r="S114" i="37"/>
  <c r="K114" i="37"/>
  <c r="J114" i="37"/>
  <c r="I114" i="37"/>
  <c r="X113" i="37"/>
  <c r="S113" i="37"/>
  <c r="K113" i="37"/>
  <c r="J113" i="37"/>
  <c r="I113" i="37"/>
  <c r="X112" i="37"/>
  <c r="S112" i="37"/>
  <c r="K112" i="37"/>
  <c r="J112" i="37"/>
  <c r="I112" i="37"/>
  <c r="X111" i="37"/>
  <c r="S111" i="37"/>
  <c r="K111" i="37"/>
  <c r="J111" i="37"/>
  <c r="I111" i="37"/>
  <c r="X110" i="37"/>
  <c r="S110" i="37"/>
  <c r="K110" i="37"/>
  <c r="J110" i="37"/>
  <c r="I110" i="37"/>
  <c r="X109" i="37"/>
  <c r="S109" i="37"/>
  <c r="K109" i="37"/>
  <c r="M109" i="37" s="1"/>
  <c r="J109" i="37"/>
  <c r="I109" i="37"/>
  <c r="X108" i="37"/>
  <c r="S108" i="37"/>
  <c r="K108" i="37"/>
  <c r="J108" i="37"/>
  <c r="I108" i="37"/>
  <c r="Y107" i="37"/>
  <c r="X107" i="37"/>
  <c r="T107" i="37"/>
  <c r="S107" i="37"/>
  <c r="K107" i="37"/>
  <c r="J107" i="37"/>
  <c r="I107" i="37"/>
  <c r="H107" i="37"/>
  <c r="X121" i="36"/>
  <c r="S121" i="36"/>
  <c r="X120" i="36"/>
  <c r="S120" i="36"/>
  <c r="X119" i="36"/>
  <c r="S119" i="36"/>
  <c r="X118" i="36"/>
  <c r="S118" i="36"/>
  <c r="X117" i="36"/>
  <c r="S117" i="36"/>
  <c r="X116" i="36"/>
  <c r="S116" i="36"/>
  <c r="X115" i="36"/>
  <c r="S115" i="36"/>
  <c r="X114" i="36"/>
  <c r="S114" i="36"/>
  <c r="X113" i="36"/>
  <c r="S113" i="36"/>
  <c r="X112" i="36"/>
  <c r="S112" i="36"/>
  <c r="X111" i="36"/>
  <c r="S111" i="36"/>
  <c r="K111" i="36"/>
  <c r="J111" i="36"/>
  <c r="I111" i="36"/>
  <c r="X110" i="36"/>
  <c r="S110" i="36"/>
  <c r="K110" i="36"/>
  <c r="J110" i="36"/>
  <c r="I110" i="36"/>
  <c r="X109" i="36"/>
  <c r="S109" i="36"/>
  <c r="K109" i="36"/>
  <c r="J109" i="36"/>
  <c r="I109" i="36"/>
  <c r="X108" i="36"/>
  <c r="S108" i="36"/>
  <c r="K108" i="36"/>
  <c r="J108" i="36"/>
  <c r="I108" i="36"/>
  <c r="Y107" i="36"/>
  <c r="X107" i="36"/>
  <c r="T107" i="36"/>
  <c r="S107" i="36"/>
  <c r="K107" i="36"/>
  <c r="J107" i="36"/>
  <c r="I107" i="36"/>
  <c r="H107" i="36"/>
  <c r="X121" i="35"/>
  <c r="S121" i="35"/>
  <c r="M121" i="35"/>
  <c r="X120" i="35"/>
  <c r="S120" i="35"/>
  <c r="M120" i="35"/>
  <c r="X119" i="35"/>
  <c r="S119" i="35"/>
  <c r="M119" i="35"/>
  <c r="X118" i="35"/>
  <c r="S118" i="35"/>
  <c r="M118" i="35"/>
  <c r="X117" i="35"/>
  <c r="S117" i="35"/>
  <c r="M117" i="35"/>
  <c r="X116" i="35"/>
  <c r="S116" i="35"/>
  <c r="M116" i="35"/>
  <c r="X115" i="35"/>
  <c r="S115" i="35"/>
  <c r="K115" i="35"/>
  <c r="M115" i="35" s="1"/>
  <c r="J115" i="35"/>
  <c r="I115" i="35"/>
  <c r="X114" i="35"/>
  <c r="S114" i="35"/>
  <c r="K114" i="35"/>
  <c r="M114" i="35" s="1"/>
  <c r="J114" i="35"/>
  <c r="I114" i="35"/>
  <c r="X113" i="35"/>
  <c r="S113" i="35"/>
  <c r="K113" i="35"/>
  <c r="M113" i="35" s="1"/>
  <c r="J113" i="35"/>
  <c r="I113" i="35"/>
  <c r="X112" i="35"/>
  <c r="S112" i="35"/>
  <c r="K112" i="35"/>
  <c r="M112" i="35" s="1"/>
  <c r="J112" i="35"/>
  <c r="I112" i="35"/>
  <c r="X111" i="35"/>
  <c r="S111" i="35"/>
  <c r="K111" i="35"/>
  <c r="M111" i="35" s="1"/>
  <c r="J111" i="35"/>
  <c r="I111" i="35"/>
  <c r="X110" i="35"/>
  <c r="S110" i="35"/>
  <c r="K110" i="35"/>
  <c r="M110" i="35" s="1"/>
  <c r="J110" i="35"/>
  <c r="I110" i="35"/>
  <c r="X109" i="35"/>
  <c r="S109" i="35"/>
  <c r="K109" i="35"/>
  <c r="M109" i="35" s="1"/>
  <c r="J109" i="35"/>
  <c r="I109" i="35"/>
  <c r="X108" i="35"/>
  <c r="S108" i="35"/>
  <c r="K108" i="35"/>
  <c r="M108" i="35" s="1"/>
  <c r="J108" i="35"/>
  <c r="I108" i="35"/>
  <c r="Y107" i="35"/>
  <c r="X107" i="35"/>
  <c r="T107" i="35"/>
  <c r="S107" i="35"/>
  <c r="K107" i="35"/>
  <c r="M107" i="35" s="1"/>
  <c r="J107" i="35"/>
  <c r="I107" i="35"/>
  <c r="H107" i="35"/>
  <c r="X121" i="34"/>
  <c r="S121" i="34"/>
  <c r="X120" i="34"/>
  <c r="S120" i="34"/>
  <c r="X119" i="34"/>
  <c r="S119" i="34"/>
  <c r="X118" i="34"/>
  <c r="S118" i="34"/>
  <c r="X117" i="34"/>
  <c r="S117" i="34"/>
  <c r="K117" i="34"/>
  <c r="J117" i="34"/>
  <c r="I117" i="34"/>
  <c r="X116" i="34"/>
  <c r="S116" i="34"/>
  <c r="K116" i="34"/>
  <c r="J116" i="34"/>
  <c r="I116" i="34"/>
  <c r="X115" i="34"/>
  <c r="S115" i="34"/>
  <c r="K115" i="34"/>
  <c r="J115" i="34"/>
  <c r="I115" i="34"/>
  <c r="X114" i="34"/>
  <c r="S114" i="34"/>
  <c r="K114" i="34"/>
  <c r="J114" i="34"/>
  <c r="I114" i="34"/>
  <c r="X113" i="34"/>
  <c r="S113" i="34"/>
  <c r="K113" i="34"/>
  <c r="J113" i="34"/>
  <c r="I113" i="34"/>
  <c r="X112" i="34"/>
  <c r="S112" i="34"/>
  <c r="K112" i="34"/>
  <c r="J112" i="34"/>
  <c r="I112" i="34"/>
  <c r="X111" i="34"/>
  <c r="S111" i="34"/>
  <c r="K111" i="34"/>
  <c r="J111" i="34"/>
  <c r="I111" i="34"/>
  <c r="X110" i="34"/>
  <c r="S110" i="34"/>
  <c r="K110" i="34"/>
  <c r="M110" i="34" s="1"/>
  <c r="J110" i="34"/>
  <c r="I110" i="34"/>
  <c r="X109" i="34"/>
  <c r="S109" i="34"/>
  <c r="K109" i="34"/>
  <c r="J109" i="34"/>
  <c r="I109" i="34"/>
  <c r="X108" i="34"/>
  <c r="S108" i="34"/>
  <c r="K108" i="34"/>
  <c r="J108" i="34"/>
  <c r="I108" i="34"/>
  <c r="Y107" i="34"/>
  <c r="X107" i="34"/>
  <c r="T107" i="34"/>
  <c r="S107" i="34"/>
  <c r="K107" i="34"/>
  <c r="J107" i="34"/>
  <c r="I107" i="34"/>
  <c r="H107" i="34"/>
  <c r="X211" i="33"/>
  <c r="S211" i="33"/>
  <c r="G211" i="33"/>
  <c r="F211" i="33"/>
  <c r="E211" i="33"/>
  <c r="X210" i="33"/>
  <c r="S210" i="33"/>
  <c r="G210" i="33"/>
  <c r="H182" i="33" s="1"/>
  <c r="F210" i="33"/>
  <c r="E210" i="33"/>
  <c r="S209" i="33"/>
  <c r="K209" i="33"/>
  <c r="J209" i="33"/>
  <c r="I209" i="33"/>
  <c r="X208" i="33"/>
  <c r="S208" i="33"/>
  <c r="K208" i="33"/>
  <c r="J208" i="33"/>
  <c r="I208" i="33"/>
  <c r="S207" i="33"/>
  <c r="K207" i="33"/>
  <c r="J207" i="33"/>
  <c r="I207" i="33"/>
  <c r="X206" i="33"/>
  <c r="S206" i="33"/>
  <c r="K206" i="33"/>
  <c r="J206" i="33"/>
  <c r="I206" i="33"/>
  <c r="S205" i="33"/>
  <c r="K205" i="33"/>
  <c r="J205" i="33"/>
  <c r="I205" i="33"/>
  <c r="X204" i="33"/>
  <c r="S204" i="33"/>
  <c r="K204" i="33"/>
  <c r="J204" i="33"/>
  <c r="I204" i="33"/>
  <c r="S203" i="33"/>
  <c r="K203" i="33"/>
  <c r="J203" i="33"/>
  <c r="I203" i="33"/>
  <c r="X202" i="33"/>
  <c r="S202" i="33"/>
  <c r="K202" i="33"/>
  <c r="J202" i="33"/>
  <c r="I202" i="33"/>
  <c r="S201" i="33"/>
  <c r="K201" i="33"/>
  <c r="J201" i="33"/>
  <c r="I201" i="33"/>
  <c r="X200" i="33"/>
  <c r="S200" i="33"/>
  <c r="K200" i="33"/>
  <c r="J200" i="33"/>
  <c r="I200" i="33"/>
  <c r="S199" i="33"/>
  <c r="K199" i="33"/>
  <c r="J199" i="33"/>
  <c r="I199" i="33"/>
  <c r="X198" i="33"/>
  <c r="S198" i="33"/>
  <c r="K198" i="33"/>
  <c r="J198" i="33"/>
  <c r="I198" i="33"/>
  <c r="S197" i="33"/>
  <c r="K197" i="33"/>
  <c r="J197" i="33"/>
  <c r="I197" i="33"/>
  <c r="X196" i="33"/>
  <c r="S196" i="33"/>
  <c r="K196" i="33"/>
  <c r="J196" i="33"/>
  <c r="I196" i="33"/>
  <c r="S195" i="33"/>
  <c r="K195" i="33"/>
  <c r="J195" i="33"/>
  <c r="I195" i="33"/>
  <c r="X194" i="33"/>
  <c r="S194" i="33"/>
  <c r="K194" i="33"/>
  <c r="J194" i="33"/>
  <c r="I194" i="33"/>
  <c r="S193" i="33"/>
  <c r="K193" i="33"/>
  <c r="J193" i="33"/>
  <c r="I193" i="33"/>
  <c r="X192" i="33"/>
  <c r="S192" i="33"/>
  <c r="K192" i="33"/>
  <c r="J192" i="33"/>
  <c r="I192" i="33"/>
  <c r="S191" i="33"/>
  <c r="K191" i="33"/>
  <c r="J191" i="33"/>
  <c r="I191" i="33"/>
  <c r="X190" i="33"/>
  <c r="S190" i="33"/>
  <c r="K190" i="33"/>
  <c r="J190" i="33"/>
  <c r="I190" i="33"/>
  <c r="S189" i="33"/>
  <c r="K189" i="33"/>
  <c r="M189" i="33" s="1"/>
  <c r="J189" i="33"/>
  <c r="I189" i="33"/>
  <c r="X188" i="33"/>
  <c r="S188" i="33"/>
  <c r="K188" i="33"/>
  <c r="J188" i="33"/>
  <c r="I188" i="33"/>
  <c r="S187" i="33"/>
  <c r="K187" i="33"/>
  <c r="J187" i="33"/>
  <c r="I187" i="33"/>
  <c r="X186" i="33"/>
  <c r="S186" i="33"/>
  <c r="K186" i="33"/>
  <c r="J186" i="33"/>
  <c r="I186" i="33"/>
  <c r="S185" i="33"/>
  <c r="K185" i="33"/>
  <c r="J185" i="33"/>
  <c r="I185" i="33"/>
  <c r="X184" i="33"/>
  <c r="S184" i="33"/>
  <c r="K184" i="33"/>
  <c r="J184" i="33"/>
  <c r="I184" i="33"/>
  <c r="S183" i="33"/>
  <c r="K183" i="33"/>
  <c r="J183" i="33"/>
  <c r="I183" i="33"/>
  <c r="Y182" i="33"/>
  <c r="X182" i="33"/>
  <c r="S182" i="33"/>
  <c r="K182" i="33"/>
  <c r="J182" i="33"/>
  <c r="I182" i="33"/>
  <c r="X121" i="32"/>
  <c r="S121" i="32"/>
  <c r="X120" i="32"/>
  <c r="S120" i="32"/>
  <c r="X119" i="32"/>
  <c r="S119" i="32"/>
  <c r="X118" i="32"/>
  <c r="S118" i="32"/>
  <c r="X117" i="32"/>
  <c r="S117" i="32"/>
  <c r="K117" i="32"/>
  <c r="K138" i="32" s="1"/>
  <c r="J117" i="32"/>
  <c r="I117" i="32"/>
  <c r="X116" i="32"/>
  <c r="S116" i="32"/>
  <c r="K116" i="32"/>
  <c r="J116" i="32"/>
  <c r="I116" i="32"/>
  <c r="X115" i="32"/>
  <c r="S115" i="32"/>
  <c r="K115" i="32"/>
  <c r="M115" i="32" s="1"/>
  <c r="J115" i="32"/>
  <c r="I115" i="32"/>
  <c r="X114" i="32"/>
  <c r="S114" i="32"/>
  <c r="K114" i="32"/>
  <c r="M114" i="32" s="1"/>
  <c r="J114" i="32"/>
  <c r="I114" i="32"/>
  <c r="X113" i="32"/>
  <c r="S113" i="32"/>
  <c r="K113" i="32"/>
  <c r="M113" i="32" s="1"/>
  <c r="J113" i="32"/>
  <c r="I113" i="32"/>
  <c r="X112" i="32"/>
  <c r="S112" i="32"/>
  <c r="K112" i="32"/>
  <c r="J112" i="32"/>
  <c r="I112" i="32"/>
  <c r="X111" i="32"/>
  <c r="S111" i="32"/>
  <c r="K111" i="32"/>
  <c r="M111" i="32" s="1"/>
  <c r="J111" i="32"/>
  <c r="I111" i="32"/>
  <c r="X110" i="32"/>
  <c r="S110" i="32"/>
  <c r="K110" i="32"/>
  <c r="M110" i="32" s="1"/>
  <c r="J110" i="32"/>
  <c r="I110" i="32"/>
  <c r="X109" i="32"/>
  <c r="S109" i="32"/>
  <c r="K109" i="32"/>
  <c r="J109" i="32"/>
  <c r="I109" i="32"/>
  <c r="X108" i="32"/>
  <c r="S108" i="32"/>
  <c r="K108" i="32"/>
  <c r="J108" i="32"/>
  <c r="I108" i="32"/>
  <c r="Y107" i="32"/>
  <c r="X107" i="32"/>
  <c r="T107" i="32"/>
  <c r="S107" i="32"/>
  <c r="K107" i="32"/>
  <c r="M119" i="32" s="1"/>
  <c r="J107" i="32"/>
  <c r="I107" i="32"/>
  <c r="H107" i="32"/>
  <c r="X121" i="30"/>
  <c r="S121" i="30"/>
  <c r="X120" i="30"/>
  <c r="S120" i="30"/>
  <c r="X119" i="30"/>
  <c r="S119" i="30"/>
  <c r="X118" i="30"/>
  <c r="S118" i="30"/>
  <c r="X117" i="30"/>
  <c r="S117" i="30"/>
  <c r="X116" i="30"/>
  <c r="S116" i="30"/>
  <c r="X115" i="30"/>
  <c r="S115" i="30"/>
  <c r="X114" i="30"/>
  <c r="S114" i="30"/>
  <c r="X113" i="30"/>
  <c r="S113" i="30"/>
  <c r="K113" i="30"/>
  <c r="M113" i="30" s="1"/>
  <c r="J113" i="30"/>
  <c r="I113" i="30"/>
  <c r="X112" i="30"/>
  <c r="S112" i="30"/>
  <c r="K112" i="30"/>
  <c r="M112" i="30" s="1"/>
  <c r="J112" i="30"/>
  <c r="I112" i="30"/>
  <c r="X111" i="30"/>
  <c r="S111" i="30"/>
  <c r="K111" i="30"/>
  <c r="M110" i="30" s="1"/>
  <c r="J111" i="30"/>
  <c r="I111" i="30"/>
  <c r="X110" i="30"/>
  <c r="S110" i="30"/>
  <c r="K110" i="30"/>
  <c r="J110" i="30"/>
  <c r="I110" i="30"/>
  <c r="X109" i="30"/>
  <c r="S109" i="30"/>
  <c r="K109" i="30"/>
  <c r="M109" i="30" s="1"/>
  <c r="J109" i="30"/>
  <c r="I109" i="30"/>
  <c r="X108" i="30"/>
  <c r="S108" i="30"/>
  <c r="K108" i="30"/>
  <c r="M108" i="30" s="1"/>
  <c r="J108" i="30"/>
  <c r="I108" i="30"/>
  <c r="Y107" i="30"/>
  <c r="X107" i="30"/>
  <c r="T107" i="30"/>
  <c r="S107" i="30"/>
  <c r="K107" i="30"/>
  <c r="M119" i="30" s="1"/>
  <c r="J107" i="30"/>
  <c r="I107" i="30"/>
  <c r="H107" i="30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Y182" i="8"/>
  <c r="K182" i="8"/>
  <c r="J182" i="8"/>
  <c r="I182" i="8"/>
  <c r="M121" i="32" l="1"/>
  <c r="M114" i="30"/>
  <c r="M107" i="30"/>
  <c r="M111" i="30"/>
  <c r="M115" i="30"/>
  <c r="M118" i="30"/>
  <c r="M116" i="30"/>
  <c r="M120" i="30"/>
  <c r="M117" i="30"/>
  <c r="M121" i="30"/>
  <c r="H182" i="8"/>
  <c r="M113" i="37"/>
  <c r="M110" i="37"/>
  <c r="M114" i="37"/>
  <c r="M111" i="37"/>
  <c r="M120" i="37"/>
  <c r="M119" i="37"/>
  <c r="M112" i="37"/>
  <c r="M119" i="36"/>
  <c r="M111" i="34"/>
  <c r="M115" i="34"/>
  <c r="M114" i="34"/>
  <c r="M119" i="34"/>
  <c r="M108" i="34"/>
  <c r="M112" i="34"/>
  <c r="M116" i="34"/>
  <c r="M109" i="34"/>
  <c r="M113" i="34"/>
  <c r="M117" i="34"/>
  <c r="M190" i="33"/>
  <c r="M197" i="33"/>
  <c r="M211" i="33"/>
  <c r="M186" i="33"/>
  <c r="M194" i="33"/>
  <c r="M187" i="33"/>
  <c r="M188" i="33"/>
  <c r="M195" i="33"/>
  <c r="M196" i="33"/>
  <c r="M203" i="33"/>
  <c r="M204" i="33"/>
  <c r="M198" i="33"/>
  <c r="M205" i="33"/>
  <c r="M206" i="33"/>
  <c r="M183" i="33"/>
  <c r="M184" i="33"/>
  <c r="M191" i="33"/>
  <c r="M192" i="33"/>
  <c r="M199" i="33"/>
  <c r="M200" i="33"/>
  <c r="M207" i="33"/>
  <c r="M208" i="33"/>
  <c r="M185" i="33"/>
  <c r="M193" i="33"/>
  <c r="M201" i="33"/>
  <c r="M202" i="33"/>
  <c r="M209" i="33"/>
  <c r="M108" i="32"/>
  <c r="M109" i="32"/>
  <c r="M118" i="32"/>
  <c r="M107" i="32"/>
  <c r="M116" i="32"/>
  <c r="M120" i="32"/>
  <c r="M112" i="32"/>
  <c r="M117" i="32"/>
  <c r="M107" i="37"/>
  <c r="M108" i="37"/>
  <c r="M118" i="37"/>
  <c r="M117" i="37"/>
  <c r="M121" i="37"/>
  <c r="M116" i="37"/>
  <c r="M115" i="37"/>
  <c r="M114" i="36"/>
  <c r="M118" i="36"/>
  <c r="M107" i="36"/>
  <c r="M108" i="36"/>
  <c r="M110" i="36"/>
  <c r="M113" i="36"/>
  <c r="M117" i="36"/>
  <c r="M121" i="36"/>
  <c r="M112" i="36"/>
  <c r="M116" i="36"/>
  <c r="M120" i="36"/>
  <c r="M109" i="36"/>
  <c r="M111" i="36"/>
  <c r="M115" i="36"/>
  <c r="M118" i="34"/>
  <c r="M121" i="34"/>
  <c r="M120" i="34"/>
  <c r="M107" i="34"/>
  <c r="M182" i="33"/>
  <c r="T182" i="33"/>
  <c r="X183" i="33"/>
  <c r="X185" i="33"/>
  <c r="X187" i="33"/>
  <c r="X189" i="33"/>
  <c r="X191" i="33"/>
  <c r="X193" i="33"/>
  <c r="X195" i="33"/>
  <c r="X197" i="33"/>
  <c r="X199" i="33"/>
  <c r="X201" i="33"/>
  <c r="X203" i="33"/>
  <c r="X205" i="33"/>
  <c r="X207" i="33"/>
  <c r="X209" i="33"/>
  <c r="M210" i="33"/>
  <c r="K202" i="8"/>
  <c r="M190" i="8" s="1"/>
  <c r="T182" i="8"/>
  <c r="M205" i="8"/>
  <c r="M209" i="8" l="1"/>
  <c r="M196" i="8"/>
  <c r="M198" i="8"/>
  <c r="M208" i="8"/>
  <c r="M204" i="8"/>
  <c r="M194" i="8"/>
  <c r="M207" i="8"/>
  <c r="M203" i="8"/>
  <c r="M211" i="8"/>
  <c r="M188" i="8"/>
  <c r="M202" i="8"/>
  <c r="M193" i="8"/>
  <c r="M191" i="8"/>
  <c r="M189" i="8"/>
  <c r="M185" i="8"/>
  <c r="M183" i="8"/>
  <c r="M201" i="8"/>
  <c r="M199" i="8"/>
  <c r="M197" i="8"/>
  <c r="M195" i="8"/>
  <c r="M187" i="8"/>
  <c r="M182" i="8"/>
  <c r="M192" i="8"/>
  <c r="M210" i="8"/>
  <c r="M206" i="8"/>
  <c r="M200" i="8"/>
  <c r="M184" i="8"/>
  <c r="M186" i="8"/>
  <c r="K36" i="48" l="1"/>
  <c r="I36" i="48"/>
  <c r="G36" i="48"/>
  <c r="E36" i="48"/>
  <c r="C36" i="48"/>
  <c r="L36" i="48" s="1"/>
  <c r="B36" i="48"/>
  <c r="F36" i="48" s="1"/>
  <c r="J36" i="48"/>
  <c r="J35" i="48"/>
  <c r="H35" i="48"/>
  <c r="D3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M14" i="41"/>
  <c r="I10" i="41"/>
  <c r="G10" i="41"/>
  <c r="I9" i="41"/>
  <c r="G9" i="41"/>
  <c r="C9" i="41"/>
  <c r="H36" i="48" l="1"/>
  <c r="L35" i="48"/>
  <c r="F35" i="48"/>
  <c r="D36" i="48"/>
  <c r="C10" i="41"/>
  <c r="AW101" i="37"/>
  <c r="AR101" i="37"/>
  <c r="AW100" i="37"/>
  <c r="AR100" i="37"/>
  <c r="AW99" i="37"/>
  <c r="AR99" i="37"/>
  <c r="AW98" i="37"/>
  <c r="AR98" i="37"/>
  <c r="AW97" i="37"/>
  <c r="AR97" i="37"/>
  <c r="AW96" i="37"/>
  <c r="AR96" i="37"/>
  <c r="AW95" i="37"/>
  <c r="AR95" i="37"/>
  <c r="AW94" i="37"/>
  <c r="AR94" i="37"/>
  <c r="AW93" i="37"/>
  <c r="AR93" i="37"/>
  <c r="AW92" i="37"/>
  <c r="AR92" i="37"/>
  <c r="AW91" i="37"/>
  <c r="AR91" i="37"/>
  <c r="AW90" i="37"/>
  <c r="AR90" i="37"/>
  <c r="AW89" i="37"/>
  <c r="AR89" i="37"/>
  <c r="AW88" i="37"/>
  <c r="AR88" i="37"/>
  <c r="AX87" i="37"/>
  <c r="AW87" i="37"/>
  <c r="AS87" i="37"/>
  <c r="AR87" i="37"/>
  <c r="AW101" i="36"/>
  <c r="AR101" i="36"/>
  <c r="AW100" i="36"/>
  <c r="AR100" i="36"/>
  <c r="AW99" i="36"/>
  <c r="AR99" i="36"/>
  <c r="AW98" i="36"/>
  <c r="AR98" i="36"/>
  <c r="AW97" i="36"/>
  <c r="AR97" i="36"/>
  <c r="AW96" i="36"/>
  <c r="AR96" i="36"/>
  <c r="AW95" i="36"/>
  <c r="AR95" i="36"/>
  <c r="AW94" i="36"/>
  <c r="AR94" i="36"/>
  <c r="AW93" i="36"/>
  <c r="AR93" i="36"/>
  <c r="AW92" i="36"/>
  <c r="AR92" i="36"/>
  <c r="AW91" i="36"/>
  <c r="AR91" i="36"/>
  <c r="AW90" i="36"/>
  <c r="AR90" i="36"/>
  <c r="AW89" i="36"/>
  <c r="AR89" i="36"/>
  <c r="AW88" i="36"/>
  <c r="AR88" i="36"/>
  <c r="AX87" i="36"/>
  <c r="AW87" i="36"/>
  <c r="AS87" i="36"/>
  <c r="AR87" i="36"/>
  <c r="AW101" i="35"/>
  <c r="AR101" i="35"/>
  <c r="AW100" i="35"/>
  <c r="AR100" i="35"/>
  <c r="AW99" i="35"/>
  <c r="AR99" i="35"/>
  <c r="AW98" i="35"/>
  <c r="AR98" i="35"/>
  <c r="AW97" i="35"/>
  <c r="AR97" i="35"/>
  <c r="AW96" i="35"/>
  <c r="AR96" i="35"/>
  <c r="AW95" i="35"/>
  <c r="AR95" i="35"/>
  <c r="AW94" i="35"/>
  <c r="AR94" i="35"/>
  <c r="AW93" i="35"/>
  <c r="AR93" i="35"/>
  <c r="AW92" i="35"/>
  <c r="AR92" i="35"/>
  <c r="AW91" i="35"/>
  <c r="AR91" i="35"/>
  <c r="AW90" i="35"/>
  <c r="AR90" i="35"/>
  <c r="AW89" i="35"/>
  <c r="AR89" i="35"/>
  <c r="AW88" i="35"/>
  <c r="AR88" i="35"/>
  <c r="AX87" i="35"/>
  <c r="AW87" i="35"/>
  <c r="AS87" i="35"/>
  <c r="AR87" i="35"/>
  <c r="AW101" i="34"/>
  <c r="AR101" i="34"/>
  <c r="AW100" i="34"/>
  <c r="AR100" i="34"/>
  <c r="AW99" i="34"/>
  <c r="AR99" i="34"/>
  <c r="AW98" i="34"/>
  <c r="AR98" i="34"/>
  <c r="AW97" i="34"/>
  <c r="AR97" i="34"/>
  <c r="AW96" i="34"/>
  <c r="AR96" i="34"/>
  <c r="AW95" i="34"/>
  <c r="AR95" i="34"/>
  <c r="AW94" i="34"/>
  <c r="AR94" i="34"/>
  <c r="AW93" i="34"/>
  <c r="AR93" i="34"/>
  <c r="AW92" i="34"/>
  <c r="AR92" i="34"/>
  <c r="AW91" i="34"/>
  <c r="AR91" i="34"/>
  <c r="AW90" i="34"/>
  <c r="AR90" i="34"/>
  <c r="AW89" i="34"/>
  <c r="AR89" i="34"/>
  <c r="AW88" i="34"/>
  <c r="AR88" i="34"/>
  <c r="AX87" i="34"/>
  <c r="AW87" i="34"/>
  <c r="AS87" i="34"/>
  <c r="AR87" i="34"/>
  <c r="AW176" i="33"/>
  <c r="AR176" i="33"/>
  <c r="AW175" i="33"/>
  <c r="AR175" i="33"/>
  <c r="AW174" i="33"/>
  <c r="AR174" i="33"/>
  <c r="AW173" i="33"/>
  <c r="AR173" i="33"/>
  <c r="AW172" i="33"/>
  <c r="AR172" i="33"/>
  <c r="AW171" i="33"/>
  <c r="AR171" i="33"/>
  <c r="AW170" i="33"/>
  <c r="AR170" i="33"/>
  <c r="AW169" i="33"/>
  <c r="AR169" i="33"/>
  <c r="AW168" i="33"/>
  <c r="AR168" i="33"/>
  <c r="AW167" i="33"/>
  <c r="AR167" i="33"/>
  <c r="AW166" i="33"/>
  <c r="AR166" i="33"/>
  <c r="AW165" i="33"/>
  <c r="AR165" i="33"/>
  <c r="AW164" i="33"/>
  <c r="AR164" i="33"/>
  <c r="AW163" i="33"/>
  <c r="AR163" i="33"/>
  <c r="AW162" i="33"/>
  <c r="AR162" i="33"/>
  <c r="AW161" i="33"/>
  <c r="AR161" i="33"/>
  <c r="AW160" i="33"/>
  <c r="AR160" i="33"/>
  <c r="AW159" i="33"/>
  <c r="AR159" i="33"/>
  <c r="AW158" i="33"/>
  <c r="AR158" i="33"/>
  <c r="AW157" i="33"/>
  <c r="AR157" i="33"/>
  <c r="AW156" i="33"/>
  <c r="AR156" i="33"/>
  <c r="AW155" i="33"/>
  <c r="AR155" i="33"/>
  <c r="AW154" i="33"/>
  <c r="AR154" i="33"/>
  <c r="AW153" i="33"/>
  <c r="AR153" i="33"/>
  <c r="AW152" i="33"/>
  <c r="AR152" i="33"/>
  <c r="AW151" i="33"/>
  <c r="AR151" i="33"/>
  <c r="AW150" i="33"/>
  <c r="AR150" i="33"/>
  <c r="AW149" i="33"/>
  <c r="AR149" i="33"/>
  <c r="AW148" i="33"/>
  <c r="AR148" i="33"/>
  <c r="AX147" i="33"/>
  <c r="AW147" i="33"/>
  <c r="AS147" i="33"/>
  <c r="AR147" i="33"/>
  <c r="AW101" i="32"/>
  <c r="AR101" i="32"/>
  <c r="AW100" i="32"/>
  <c r="AR100" i="32"/>
  <c r="AW99" i="32"/>
  <c r="AR99" i="32"/>
  <c r="AW98" i="32"/>
  <c r="AR98" i="32"/>
  <c r="AW97" i="32"/>
  <c r="AR97" i="32"/>
  <c r="AW96" i="32"/>
  <c r="AR96" i="32"/>
  <c r="AW95" i="32"/>
  <c r="AR95" i="32"/>
  <c r="AW94" i="32"/>
  <c r="AR94" i="32"/>
  <c r="AW93" i="32"/>
  <c r="AR93" i="32"/>
  <c r="AW92" i="32"/>
  <c r="AR92" i="32"/>
  <c r="AW91" i="32"/>
  <c r="AR91" i="32"/>
  <c r="AW90" i="32"/>
  <c r="AR90" i="32"/>
  <c r="AW89" i="32"/>
  <c r="AR89" i="32"/>
  <c r="AW88" i="32"/>
  <c r="AR88" i="32"/>
  <c r="AX87" i="32"/>
  <c r="AW87" i="32"/>
  <c r="AS87" i="32"/>
  <c r="AR87" i="32"/>
  <c r="P82" i="32"/>
  <c r="U82" i="32" s="1"/>
  <c r="Z82" i="32" s="1"/>
  <c r="AE82" i="32" s="1"/>
  <c r="AJ82" i="32" s="1"/>
  <c r="AO82" i="32" s="1"/>
  <c r="AT82" i="32" s="1"/>
  <c r="AW101" i="30"/>
  <c r="AR101" i="30"/>
  <c r="AW100" i="30"/>
  <c r="AR100" i="30"/>
  <c r="AW99" i="30"/>
  <c r="AR99" i="30"/>
  <c r="AW98" i="30"/>
  <c r="AR98" i="30"/>
  <c r="AW97" i="30"/>
  <c r="AR97" i="30"/>
  <c r="AW96" i="30"/>
  <c r="AR96" i="30"/>
  <c r="AW95" i="30"/>
  <c r="AR95" i="30"/>
  <c r="AW94" i="30"/>
  <c r="AR94" i="30"/>
  <c r="AW93" i="30"/>
  <c r="AR93" i="30"/>
  <c r="AW92" i="30"/>
  <c r="AR92" i="30"/>
  <c r="AW91" i="30"/>
  <c r="AR91" i="30"/>
  <c r="AW90" i="30"/>
  <c r="AR90" i="30"/>
  <c r="AW89" i="30"/>
  <c r="AR89" i="30"/>
  <c r="AW88" i="30"/>
  <c r="AR88" i="30"/>
  <c r="AX87" i="30"/>
  <c r="AW87" i="30"/>
  <c r="AS87" i="30"/>
  <c r="AR87" i="30"/>
  <c r="N9" i="5"/>
  <c r="Q9" i="5"/>
  <c r="W9" i="5"/>
  <c r="T9" i="5"/>
  <c r="H9" i="5"/>
  <c r="T9" i="3"/>
  <c r="N9" i="3"/>
  <c r="K9" i="3"/>
  <c r="H9" i="3"/>
  <c r="M41" i="7"/>
  <c r="AC41" i="6"/>
  <c r="AB41" i="6"/>
  <c r="S41" i="6"/>
  <c r="R41" i="6"/>
  <c r="M41" i="6"/>
  <c r="S41" i="7"/>
  <c r="AC41" i="7"/>
  <c r="C1" i="37" l="1"/>
  <c r="C1" i="33"/>
  <c r="M71" i="30"/>
  <c r="M72" i="30"/>
  <c r="M67" i="30"/>
  <c r="L67" i="30"/>
  <c r="M81" i="30"/>
  <c r="M80" i="30"/>
  <c r="M79" i="30"/>
  <c r="M78" i="30"/>
  <c r="M77" i="30"/>
  <c r="M76" i="30"/>
  <c r="M75" i="30"/>
  <c r="M74" i="30"/>
  <c r="M68" i="30"/>
  <c r="M69" i="30"/>
  <c r="M70" i="30"/>
  <c r="M73" i="30"/>
  <c r="C1" i="8"/>
  <c r="P82" i="37"/>
  <c r="U82" i="37" s="1"/>
  <c r="Z82" i="37" s="1"/>
  <c r="AE82" i="37" s="1"/>
  <c r="AJ82" i="37" s="1"/>
  <c r="AO82" i="37" s="1"/>
  <c r="AT82" i="37" s="1"/>
  <c r="P82" i="36"/>
  <c r="U82" i="36" s="1"/>
  <c r="Z82" i="36" s="1"/>
  <c r="AE82" i="36" s="1"/>
  <c r="AJ82" i="36" s="1"/>
  <c r="AO82" i="36" s="1"/>
  <c r="AT82" i="36" s="1"/>
  <c r="C1" i="36"/>
  <c r="P82" i="35"/>
  <c r="U82" i="35" s="1"/>
  <c r="Z82" i="35" s="1"/>
  <c r="AE82" i="35" s="1"/>
  <c r="AJ82" i="35" s="1"/>
  <c r="AO82" i="35" s="1"/>
  <c r="AT82" i="35" s="1"/>
  <c r="C1" i="35"/>
  <c r="P82" i="34"/>
  <c r="U82" i="34" s="1"/>
  <c r="Z82" i="34" s="1"/>
  <c r="AE82" i="34" s="1"/>
  <c r="AJ82" i="34" s="1"/>
  <c r="AO82" i="34" s="1"/>
  <c r="AT82" i="34" s="1"/>
  <c r="C1" i="34"/>
  <c r="P142" i="33"/>
  <c r="U142" i="33" s="1"/>
  <c r="Z142" i="33" s="1"/>
  <c r="AE142" i="33" s="1"/>
  <c r="AJ142" i="33" s="1"/>
  <c r="AO142" i="33" s="1"/>
  <c r="AT142" i="33" s="1"/>
  <c r="C1" i="32"/>
  <c r="C1" i="30"/>
  <c r="F41" i="6"/>
  <c r="F41" i="7"/>
  <c r="U39" i="3"/>
  <c r="O39" i="3"/>
  <c r="AD41" i="6" l="1"/>
  <c r="AL41" i="6"/>
  <c r="AJ41" i="6"/>
  <c r="AH41" i="6"/>
  <c r="AF41" i="6"/>
  <c r="T41" i="6"/>
  <c r="V41" i="6"/>
  <c r="Z41" i="6"/>
  <c r="X41" i="6"/>
  <c r="N41" i="6"/>
  <c r="P41" i="6"/>
  <c r="L41" i="6"/>
  <c r="J41" i="6"/>
  <c r="AJ41" i="7"/>
  <c r="AH41" i="7"/>
  <c r="AF41" i="7"/>
  <c r="AL41" i="7"/>
  <c r="AD41" i="7"/>
  <c r="V41" i="7"/>
  <c r="N41" i="7"/>
  <c r="AB41" i="7"/>
  <c r="T41" i="7"/>
  <c r="L41" i="7"/>
  <c r="P41" i="7"/>
  <c r="Z41" i="7"/>
  <c r="R41" i="7"/>
  <c r="J41" i="7"/>
  <c r="X41" i="7"/>
  <c r="K135" i="37" l="1"/>
  <c r="J135" i="37"/>
  <c r="I135" i="37"/>
  <c r="K134" i="37"/>
  <c r="J134" i="37"/>
  <c r="I134" i="37"/>
  <c r="K138" i="35"/>
  <c r="J138" i="35"/>
  <c r="I138" i="35"/>
  <c r="K139" i="34"/>
  <c r="J139" i="34"/>
  <c r="I139" i="34"/>
  <c r="K138" i="34"/>
  <c r="J138" i="34"/>
  <c r="I138" i="34"/>
  <c r="K137" i="34"/>
  <c r="J137" i="34"/>
  <c r="I137" i="34"/>
  <c r="K136" i="34"/>
  <c r="J136" i="34"/>
  <c r="I136" i="34"/>
  <c r="K243" i="33"/>
  <c r="J243" i="33"/>
  <c r="I243" i="33"/>
  <c r="K242" i="33"/>
  <c r="J242" i="33"/>
  <c r="I242" i="33"/>
  <c r="K129" i="31"/>
  <c r="J129" i="31"/>
  <c r="I129" i="31"/>
  <c r="K135" i="30"/>
  <c r="J135" i="30"/>
  <c r="I135" i="30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AC13" i="6" l="1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3" i="7"/>
  <c r="S13" i="7"/>
  <c r="M13" i="7"/>
  <c r="AC12" i="7"/>
  <c r="S12" i="7"/>
  <c r="M12" i="7"/>
  <c r="AC11" i="7"/>
  <c r="S11" i="7"/>
  <c r="M11" i="7"/>
  <c r="B10" i="13"/>
  <c r="I11" i="13"/>
  <c r="I10" i="13"/>
  <c r="I9" i="13"/>
  <c r="I8" i="13"/>
  <c r="I6" i="13"/>
  <c r="B7" i="13"/>
  <c r="B6" i="13"/>
  <c r="AZ36" i="33" l="1"/>
  <c r="AZ36" i="8"/>
  <c r="H128" i="37" l="1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S33" i="3"/>
  <c r="B10" i="39" s="1"/>
  <c r="S26" i="3"/>
  <c r="S19" i="3"/>
  <c r="S12" i="3"/>
  <c r="M33" i="3"/>
  <c r="B8" i="39" s="1"/>
  <c r="M26" i="3"/>
  <c r="M19" i="3"/>
  <c r="M12" i="3"/>
  <c r="J33" i="3"/>
  <c r="B7" i="39" s="1"/>
  <c r="J26" i="3"/>
  <c r="J19" i="3"/>
  <c r="J12" i="3"/>
  <c r="G33" i="3"/>
  <c r="B6" i="39" s="1"/>
  <c r="G26" i="3"/>
  <c r="G19" i="3"/>
  <c r="G12" i="3"/>
  <c r="V33" i="5"/>
  <c r="I11" i="39" s="1"/>
  <c r="V26" i="5"/>
  <c r="V19" i="5"/>
  <c r="V12" i="5"/>
  <c r="K11" i="39"/>
  <c r="S33" i="5"/>
  <c r="S26" i="5"/>
  <c r="S19" i="5"/>
  <c r="S12" i="5"/>
  <c r="P33" i="5"/>
  <c r="I9" i="39" s="1"/>
  <c r="P26" i="5"/>
  <c r="P19" i="5"/>
  <c r="P12" i="5"/>
  <c r="K9" i="39"/>
  <c r="K8" i="39"/>
  <c r="M33" i="5"/>
  <c r="I8" i="39" s="1"/>
  <c r="M26" i="5"/>
  <c r="M19" i="5"/>
  <c r="M12" i="5"/>
  <c r="K6" i="39"/>
  <c r="G33" i="5"/>
  <c r="I6" i="39" s="1"/>
  <c r="G26" i="5"/>
  <c r="G19" i="5"/>
  <c r="G12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6" i="3" l="1"/>
  <c r="P33" i="3"/>
  <c r="B9" i="39" s="1"/>
  <c r="V26" i="3"/>
  <c r="V33" i="3"/>
  <c r="B11" i="39" s="1"/>
  <c r="AZ12" i="37"/>
  <c r="AZ15" i="35"/>
  <c r="AZ7" i="36"/>
  <c r="AZ9" i="37"/>
  <c r="AZ21" i="37"/>
  <c r="AZ18" i="34"/>
  <c r="AZ11" i="37"/>
  <c r="AZ9" i="34"/>
  <c r="AZ9" i="36"/>
  <c r="P12" i="3"/>
  <c r="P19" i="3"/>
  <c r="V19" i="3"/>
  <c r="V12" i="3"/>
  <c r="Q9" i="3"/>
  <c r="W9" i="3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E11" i="39" l="1"/>
  <c r="B11" i="13"/>
  <c r="E9" i="39"/>
  <c r="B9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AH115" i="34" l="1"/>
  <c r="AM119" i="34"/>
  <c r="AC118" i="34"/>
  <c r="AH117" i="34"/>
  <c r="AH121" i="34"/>
  <c r="AM107" i="34"/>
  <c r="AM120" i="34"/>
  <c r="AR119" i="34"/>
  <c r="AW118" i="34"/>
  <c r="AH107" i="34"/>
  <c r="AH120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AC117" i="37" l="1"/>
  <c r="AM115" i="37"/>
  <c r="AM119" i="37"/>
  <c r="AW117" i="37"/>
  <c r="AW121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AC116" i="37"/>
  <c r="AC120" i="37"/>
  <c r="AH115" i="37"/>
  <c r="AM114" i="37"/>
  <c r="AR117" i="37"/>
  <c r="AW116" i="37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AC113" i="36"/>
  <c r="AC117" i="36"/>
  <c r="AH107" i="36"/>
  <c r="AH114" i="36"/>
  <c r="AR112" i="36"/>
  <c r="AR116" i="36"/>
  <c r="AW113" i="36"/>
  <c r="AW117" i="36"/>
  <c r="I38" i="5" l="1"/>
  <c r="I37" i="5"/>
  <c r="I36" i="5"/>
  <c r="I35" i="5"/>
  <c r="I34" i="5"/>
  <c r="AX107" i="37" l="1"/>
  <c r="AS107" i="37"/>
  <c r="AN107" i="37"/>
  <c r="AI107" i="37"/>
  <c r="AD107" i="37"/>
  <c r="K130" i="36"/>
  <c r="J130" i="36"/>
  <c r="I130" i="36"/>
  <c r="H128" i="36"/>
  <c r="AX107" i="36"/>
  <c r="AS107" i="36"/>
  <c r="AN107" i="36"/>
  <c r="AI107" i="36"/>
  <c r="AD107" i="36"/>
  <c r="H128" i="35"/>
  <c r="AW121" i="35"/>
  <c r="AR121" i="35"/>
  <c r="AM121" i="35"/>
  <c r="AH121" i="35"/>
  <c r="AC121" i="35"/>
  <c r="AW120" i="35"/>
  <c r="AR120" i="35"/>
  <c r="AM120" i="35"/>
  <c r="AH120" i="35"/>
  <c r="AC120" i="35"/>
  <c r="AW119" i="35"/>
  <c r="AR119" i="35"/>
  <c r="AM119" i="35"/>
  <c r="AH119" i="35"/>
  <c r="AC119" i="35"/>
  <c r="AW118" i="35"/>
  <c r="AR118" i="35"/>
  <c r="AM118" i="35"/>
  <c r="AH118" i="35"/>
  <c r="AC118" i="35"/>
  <c r="AW117" i="35"/>
  <c r="AR117" i="35"/>
  <c r="AM117" i="35"/>
  <c r="AH117" i="35"/>
  <c r="AC117" i="35"/>
  <c r="AW116" i="35"/>
  <c r="AR116" i="35"/>
  <c r="AM116" i="35"/>
  <c r="AH116" i="35"/>
  <c r="AC116" i="35"/>
  <c r="J137" i="35"/>
  <c r="I137" i="35"/>
  <c r="AW115" i="35"/>
  <c r="AR115" i="35"/>
  <c r="AM115" i="35"/>
  <c r="AH115" i="35"/>
  <c r="AC115" i="35"/>
  <c r="J136" i="35"/>
  <c r="I136" i="35"/>
  <c r="AW114" i="35"/>
  <c r="AR114" i="35"/>
  <c r="AM114" i="35"/>
  <c r="AH114" i="35"/>
  <c r="AC114" i="35"/>
  <c r="AW113" i="35"/>
  <c r="AR113" i="35"/>
  <c r="AM113" i="35"/>
  <c r="AH113" i="35"/>
  <c r="AC113" i="35"/>
  <c r="AW112" i="35"/>
  <c r="AR112" i="35"/>
  <c r="AM112" i="35"/>
  <c r="AH112" i="35"/>
  <c r="AC112" i="35"/>
  <c r="AW111" i="35"/>
  <c r="AR111" i="35"/>
  <c r="AM111" i="35"/>
  <c r="AH111" i="35"/>
  <c r="AC111" i="35"/>
  <c r="AW110" i="35"/>
  <c r="AR110" i="35"/>
  <c r="AM110" i="35"/>
  <c r="AH110" i="35"/>
  <c r="AC110" i="35"/>
  <c r="J131" i="35"/>
  <c r="I131" i="35"/>
  <c r="AW109" i="35"/>
  <c r="AR109" i="35"/>
  <c r="AM109" i="35"/>
  <c r="AH109" i="35"/>
  <c r="AC109" i="35"/>
  <c r="AW108" i="35"/>
  <c r="AR108" i="35"/>
  <c r="AM108" i="35"/>
  <c r="AH108" i="35"/>
  <c r="AC108" i="35"/>
  <c r="AX107" i="35"/>
  <c r="AW107" i="35"/>
  <c r="AS107" i="35"/>
  <c r="AR107" i="35"/>
  <c r="AN107" i="35"/>
  <c r="AM107" i="35"/>
  <c r="AI107" i="35"/>
  <c r="AH107" i="35"/>
  <c r="AD107" i="35"/>
  <c r="AC107" i="35"/>
  <c r="H128" i="34"/>
  <c r="J135" i="34"/>
  <c r="I135" i="34"/>
  <c r="AX107" i="34"/>
  <c r="AS107" i="34"/>
  <c r="AN107" i="34"/>
  <c r="AI107" i="34"/>
  <c r="AD107" i="34"/>
  <c r="H218" i="33"/>
  <c r="AW211" i="33"/>
  <c r="AR211" i="33"/>
  <c r="AM211" i="33"/>
  <c r="AH211" i="33"/>
  <c r="AC211" i="33"/>
  <c r="AW210" i="33"/>
  <c r="AR210" i="33"/>
  <c r="AM210" i="33"/>
  <c r="AH210" i="33"/>
  <c r="AC210" i="33"/>
  <c r="AW209" i="33"/>
  <c r="AR209" i="33"/>
  <c r="AM209" i="33"/>
  <c r="AH209" i="33"/>
  <c r="AC209" i="33"/>
  <c r="AW208" i="33"/>
  <c r="AR208" i="33"/>
  <c r="AM208" i="33"/>
  <c r="AH208" i="33"/>
  <c r="AC208" i="33"/>
  <c r="AW207" i="33"/>
  <c r="AR207" i="33"/>
  <c r="AM207" i="33"/>
  <c r="AH207" i="33"/>
  <c r="AC207" i="33"/>
  <c r="AW206" i="33"/>
  <c r="AR206" i="33"/>
  <c r="AM206" i="33"/>
  <c r="AH206" i="33"/>
  <c r="AC206" i="33"/>
  <c r="AW205" i="33"/>
  <c r="AR205" i="33"/>
  <c r="AM205" i="33"/>
  <c r="AH205" i="33"/>
  <c r="AC205" i="33"/>
  <c r="AW204" i="33"/>
  <c r="AR204" i="33"/>
  <c r="AM204" i="33"/>
  <c r="AH204" i="33"/>
  <c r="AC204" i="33"/>
  <c r="AW203" i="33"/>
  <c r="AR203" i="33"/>
  <c r="AM203" i="33"/>
  <c r="AH203" i="33"/>
  <c r="AC203" i="33"/>
  <c r="AW202" i="33"/>
  <c r="AR202" i="33"/>
  <c r="AM202" i="33"/>
  <c r="AH202" i="33"/>
  <c r="AC202" i="33"/>
  <c r="AW201" i="33"/>
  <c r="AR201" i="33"/>
  <c r="AM201" i="33"/>
  <c r="AH201" i="33"/>
  <c r="AC201" i="33"/>
  <c r="AW200" i="33"/>
  <c r="AR200" i="33"/>
  <c r="AM200" i="33"/>
  <c r="AH200" i="33"/>
  <c r="AC200" i="33"/>
  <c r="AW199" i="33"/>
  <c r="AR199" i="33"/>
  <c r="AM199" i="33"/>
  <c r="AH199" i="33"/>
  <c r="AC199" i="33"/>
  <c r="AW198" i="33"/>
  <c r="AR198" i="33"/>
  <c r="AM198" i="33"/>
  <c r="AH198" i="33"/>
  <c r="AC198" i="33"/>
  <c r="AW197" i="33"/>
  <c r="AR197" i="33"/>
  <c r="AM197" i="33"/>
  <c r="AH197" i="33"/>
  <c r="AC197" i="33"/>
  <c r="AW196" i="33"/>
  <c r="AR196" i="33"/>
  <c r="AM196" i="33"/>
  <c r="AH196" i="33"/>
  <c r="AC196" i="33"/>
  <c r="AW195" i="33"/>
  <c r="AR195" i="33"/>
  <c r="AM195" i="33"/>
  <c r="AH195" i="33"/>
  <c r="AC195" i="33"/>
  <c r="AW194" i="33"/>
  <c r="AR194" i="33"/>
  <c r="AM194" i="33"/>
  <c r="AH194" i="33"/>
  <c r="AC194" i="33"/>
  <c r="AW193" i="33"/>
  <c r="AR193" i="33"/>
  <c r="AM193" i="33"/>
  <c r="AH193" i="33"/>
  <c r="AC193" i="33"/>
  <c r="AW192" i="33"/>
  <c r="AR192" i="33"/>
  <c r="AM192" i="33"/>
  <c r="AH192" i="33"/>
  <c r="AC192" i="33"/>
  <c r="AW191" i="33"/>
  <c r="AR191" i="33"/>
  <c r="AM191" i="33"/>
  <c r="AH191" i="33"/>
  <c r="AC191" i="33"/>
  <c r="AW190" i="33"/>
  <c r="AR190" i="33"/>
  <c r="AM190" i="33"/>
  <c r="AH190" i="33"/>
  <c r="AC190" i="33"/>
  <c r="AW189" i="33"/>
  <c r="AR189" i="33"/>
  <c r="AM189" i="33"/>
  <c r="AH189" i="33"/>
  <c r="AC189" i="33"/>
  <c r="AW188" i="33"/>
  <c r="AR188" i="33"/>
  <c r="AM188" i="33"/>
  <c r="AH188" i="33"/>
  <c r="AC188" i="33"/>
  <c r="AW187" i="33"/>
  <c r="AR187" i="33"/>
  <c r="AM187" i="33"/>
  <c r="AH187" i="33"/>
  <c r="AC187" i="33"/>
  <c r="AW186" i="33"/>
  <c r="AR186" i="33"/>
  <c r="AM186" i="33"/>
  <c r="AH186" i="33"/>
  <c r="AC186" i="33"/>
  <c r="AW185" i="33"/>
  <c r="AR185" i="33"/>
  <c r="AM185" i="33"/>
  <c r="AH185" i="33"/>
  <c r="AC185" i="33"/>
  <c r="AW184" i="33"/>
  <c r="AR184" i="33"/>
  <c r="AM184" i="33"/>
  <c r="AH184" i="33"/>
  <c r="AC184" i="33"/>
  <c r="AW183" i="33"/>
  <c r="AR183" i="33"/>
  <c r="AM183" i="33"/>
  <c r="AH183" i="33"/>
  <c r="AC183" i="33"/>
  <c r="AX182" i="33"/>
  <c r="AW182" i="33"/>
  <c r="AS182" i="33"/>
  <c r="AR182" i="33"/>
  <c r="AN182" i="33"/>
  <c r="AM182" i="33"/>
  <c r="AI182" i="33"/>
  <c r="AH182" i="33"/>
  <c r="AD182" i="33"/>
  <c r="AC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AX107" i="32"/>
  <c r="AS107" i="32"/>
  <c r="AN107" i="32"/>
  <c r="AI107" i="32"/>
  <c r="AD107" i="32"/>
  <c r="K132" i="30"/>
  <c r="J132" i="30"/>
  <c r="I132" i="30"/>
  <c r="AW121" i="30"/>
  <c r="AR121" i="30"/>
  <c r="AM121" i="30"/>
  <c r="AH121" i="30"/>
  <c r="AC121" i="30"/>
  <c r="AW120" i="30"/>
  <c r="AR120" i="30"/>
  <c r="AM120" i="30"/>
  <c r="AH120" i="30"/>
  <c r="AC120" i="30"/>
  <c r="AW119" i="30"/>
  <c r="AR119" i="30"/>
  <c r="AM119" i="30"/>
  <c r="AH119" i="30"/>
  <c r="AC119" i="30"/>
  <c r="AW118" i="30"/>
  <c r="AR118" i="30"/>
  <c r="AM118" i="30"/>
  <c r="AH118" i="30"/>
  <c r="AC118" i="30"/>
  <c r="AW117" i="30"/>
  <c r="AR117" i="30"/>
  <c r="AM117" i="30"/>
  <c r="AH117" i="30"/>
  <c r="AC117" i="30"/>
  <c r="AW116" i="30"/>
  <c r="AR116" i="30"/>
  <c r="AM116" i="30"/>
  <c r="AH116" i="30"/>
  <c r="AC116" i="30"/>
  <c r="AW115" i="30"/>
  <c r="AR115" i="30"/>
  <c r="AM115" i="30"/>
  <c r="AH115" i="30"/>
  <c r="AC115" i="30"/>
  <c r="AW114" i="30"/>
  <c r="AR114" i="30"/>
  <c r="AM114" i="30"/>
  <c r="AH114" i="30"/>
  <c r="AC114" i="30"/>
  <c r="AW113" i="30"/>
  <c r="AR113" i="30"/>
  <c r="AM113" i="30"/>
  <c r="AH113" i="30"/>
  <c r="AC113" i="30"/>
  <c r="AW112" i="30"/>
  <c r="AR112" i="30"/>
  <c r="AM112" i="30"/>
  <c r="AH112" i="30"/>
  <c r="AC112" i="30"/>
  <c r="AW111" i="30"/>
  <c r="AR111" i="30"/>
  <c r="AM111" i="30"/>
  <c r="AH111" i="30"/>
  <c r="AC111" i="30"/>
  <c r="AW110" i="30"/>
  <c r="AR110" i="30"/>
  <c r="AM110" i="30"/>
  <c r="AH110" i="30"/>
  <c r="AC110" i="30"/>
  <c r="AW109" i="30"/>
  <c r="AR109" i="30"/>
  <c r="AM109" i="30"/>
  <c r="AH109" i="30"/>
  <c r="AC109" i="30"/>
  <c r="AW108" i="30"/>
  <c r="AR108" i="30"/>
  <c r="AM108" i="30"/>
  <c r="AH108" i="30"/>
  <c r="AC108" i="30"/>
  <c r="AX107" i="30"/>
  <c r="AW107" i="30"/>
  <c r="AS107" i="30"/>
  <c r="AR107" i="30"/>
  <c r="AN107" i="30"/>
  <c r="AM107" i="30"/>
  <c r="AI107" i="30"/>
  <c r="AH107" i="30"/>
  <c r="AD107" i="30"/>
  <c r="AC107" i="30"/>
  <c r="AX182" i="8"/>
  <c r="AS182" i="8"/>
  <c r="AN182" i="8"/>
  <c r="AI182" i="8"/>
  <c r="AD182" i="8"/>
  <c r="K131" i="35" l="1"/>
  <c r="K137" i="35"/>
  <c r="K136" i="35"/>
  <c r="K135" i="34"/>
  <c r="H128" i="30"/>
  <c r="H218" i="8"/>
  <c r="L107" i="31"/>
  <c r="I33" i="5" l="1"/>
  <c r="J33" i="5" s="1"/>
  <c r="I7" i="39" s="1"/>
  <c r="I32" i="5"/>
  <c r="I31" i="5"/>
  <c r="I30" i="5"/>
  <c r="I29" i="5"/>
  <c r="I28" i="5"/>
  <c r="I27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K239" i="33"/>
  <c r="I239" i="33"/>
  <c r="K227" i="33"/>
  <c r="I227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AR101" i="31"/>
  <c r="AR100" i="31"/>
  <c r="AR99" i="31"/>
  <c r="AR98" i="31"/>
  <c r="AR97" i="31"/>
  <c r="AR96" i="31"/>
  <c r="AR95" i="31"/>
  <c r="AR94" i="31"/>
  <c r="AR93" i="31"/>
  <c r="AR92" i="31"/>
  <c r="AR91" i="31"/>
  <c r="AR90" i="31"/>
  <c r="AR89" i="31"/>
  <c r="AR88" i="31"/>
  <c r="AS87" i="31"/>
  <c r="AR87" i="3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R25" i="6"/>
  <c r="AC24" i="6"/>
  <c r="AB24" i="6"/>
  <c r="S24" i="6"/>
  <c r="R24" i="6"/>
  <c r="AC23" i="6"/>
  <c r="AB23" i="6"/>
  <c r="S23" i="6"/>
  <c r="R23" i="6"/>
  <c r="AC22" i="6"/>
  <c r="AB22" i="6"/>
  <c r="S22" i="6"/>
  <c r="R22" i="6"/>
  <c r="AC21" i="6"/>
  <c r="AB21" i="6"/>
  <c r="S21" i="6"/>
  <c r="R21" i="6"/>
  <c r="AC20" i="6"/>
  <c r="AB20" i="6"/>
  <c r="S20" i="6"/>
  <c r="R20" i="6"/>
  <c r="AC19" i="6"/>
  <c r="AB19" i="6"/>
  <c r="S19" i="6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K10" i="13"/>
  <c r="U40" i="3"/>
  <c r="O40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J24" i="39"/>
  <c r="D24" i="39"/>
  <c r="I22" i="39"/>
  <c r="K22" i="39" s="1"/>
  <c r="I18" i="39"/>
  <c r="K18" i="39" s="1"/>
  <c r="D8" i="39"/>
  <c r="J24" i="13"/>
  <c r="D24" i="13"/>
  <c r="E10" i="13"/>
  <c r="K9" i="13"/>
  <c r="K8" i="13"/>
  <c r="K6" i="13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K9" i="5" l="1"/>
  <c r="H18" i="13"/>
  <c r="E9" i="1"/>
  <c r="X42" i="1"/>
  <c r="V42" i="1" s="1"/>
  <c r="F19" i="6"/>
  <c r="X19" i="6" s="1"/>
  <c r="F22" i="6"/>
  <c r="AH22" i="6" s="1"/>
  <c r="F25" i="6"/>
  <c r="AH25" i="6" s="1"/>
  <c r="I7" i="13"/>
  <c r="AH13" i="6"/>
  <c r="X13" i="6"/>
  <c r="L13" i="6"/>
  <c r="P13" i="6"/>
  <c r="AF13" i="6"/>
  <c r="Z13" i="6"/>
  <c r="AL13" i="6"/>
  <c r="AJ13" i="6"/>
  <c r="V13" i="6"/>
  <c r="J13" i="6"/>
  <c r="N13" i="6"/>
  <c r="AD13" i="6"/>
  <c r="T13" i="6"/>
  <c r="AH11" i="6"/>
  <c r="AJ11" i="6"/>
  <c r="V11" i="6"/>
  <c r="J11" i="6"/>
  <c r="AF11" i="6"/>
  <c r="Z11" i="6"/>
  <c r="AL11" i="6"/>
  <c r="X11" i="6"/>
  <c r="L11" i="6"/>
  <c r="P11" i="6"/>
  <c r="AD11" i="6"/>
  <c r="N11" i="6"/>
  <c r="T11" i="6"/>
  <c r="AL12" i="6"/>
  <c r="X12" i="6"/>
  <c r="L12" i="6"/>
  <c r="AF12" i="6"/>
  <c r="AJ12" i="6"/>
  <c r="V12" i="6"/>
  <c r="P12" i="6"/>
  <c r="J12" i="6"/>
  <c r="AH12" i="6"/>
  <c r="Z12" i="6"/>
  <c r="AD12" i="6"/>
  <c r="N12" i="6"/>
  <c r="T12" i="6"/>
  <c r="F22" i="7"/>
  <c r="AH22" i="7" s="1"/>
  <c r="AH12" i="7"/>
  <c r="AB12" i="7"/>
  <c r="AF12" i="7"/>
  <c r="Z12" i="7"/>
  <c r="AL12" i="7"/>
  <c r="X12" i="7"/>
  <c r="R12" i="7"/>
  <c r="L12" i="7"/>
  <c r="AJ12" i="7"/>
  <c r="V12" i="7"/>
  <c r="P12" i="7"/>
  <c r="J12" i="7"/>
  <c r="AD12" i="7"/>
  <c r="T12" i="7"/>
  <c r="N12" i="7"/>
  <c r="X28" i="1"/>
  <c r="V28" i="1" s="1"/>
  <c r="D11" i="1"/>
  <c r="F45" i="6"/>
  <c r="AH45" i="6" s="1"/>
  <c r="O14" i="1"/>
  <c r="B23" i="13"/>
  <c r="C23" i="13" s="1"/>
  <c r="E23" i="13" s="1"/>
  <c r="F30" i="7"/>
  <c r="AH30" i="7" s="1"/>
  <c r="F27" i="6"/>
  <c r="AH27" i="6" s="1"/>
  <c r="F30" i="6"/>
  <c r="AF30" i="6" s="1"/>
  <c r="U14" i="1"/>
  <c r="F34" i="6"/>
  <c r="AF34" i="6" s="1"/>
  <c r="K228" i="33"/>
  <c r="H17" i="13"/>
  <c r="K133" i="32"/>
  <c r="I128" i="31"/>
  <c r="W9" i="1"/>
  <c r="Q11" i="1"/>
  <c r="J19" i="5"/>
  <c r="F44" i="6"/>
  <c r="AF44" i="6" s="1"/>
  <c r="J220" i="33"/>
  <c r="J232" i="33"/>
  <c r="J227" i="33"/>
  <c r="J239" i="33"/>
  <c r="K128" i="30"/>
  <c r="I221" i="33"/>
  <c r="I225" i="33"/>
  <c r="I233" i="33"/>
  <c r="I229" i="33"/>
  <c r="J131" i="32"/>
  <c r="J135" i="32"/>
  <c r="AZ20" i="31"/>
  <c r="J221" i="33"/>
  <c r="J225" i="33"/>
  <c r="J229" i="33"/>
  <c r="J233" i="33"/>
  <c r="J130" i="30"/>
  <c r="K221" i="33"/>
  <c r="K225" i="33"/>
  <c r="K229" i="33"/>
  <c r="K233" i="33"/>
  <c r="K237" i="33"/>
  <c r="K240" i="33"/>
  <c r="F35" i="6"/>
  <c r="AF35" i="6" s="1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4" i="7"/>
  <c r="AH34" i="7" s="1"/>
  <c r="F24" i="7"/>
  <c r="AD24" i="7" s="1"/>
  <c r="F28" i="7"/>
  <c r="AD28" i="7" s="1"/>
  <c r="D9" i="1"/>
  <c r="F32" i="7"/>
  <c r="AD32" i="7" s="1"/>
  <c r="K128" i="32"/>
  <c r="K132" i="32"/>
  <c r="K222" i="33"/>
  <c r="K226" i="33"/>
  <c r="K230" i="33"/>
  <c r="K234" i="33"/>
  <c r="K238" i="33"/>
  <c r="I241" i="33"/>
  <c r="AD45" i="6"/>
  <c r="I137" i="32"/>
  <c r="J241" i="33"/>
  <c r="F18" i="7"/>
  <c r="AB18" i="7" s="1"/>
  <c r="I131" i="32"/>
  <c r="F44" i="7"/>
  <c r="AH44" i="7" s="1"/>
  <c r="F17" i="6"/>
  <c r="L17" i="6" s="1"/>
  <c r="F23" i="6"/>
  <c r="V23" i="6" s="1"/>
  <c r="F26" i="6"/>
  <c r="AD26" i="6" s="1"/>
  <c r="F40" i="6"/>
  <c r="AJ40" i="6" s="1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K132" i="34"/>
  <c r="K134" i="34"/>
  <c r="K128" i="34"/>
  <c r="K130" i="34"/>
  <c r="I237" i="33"/>
  <c r="J235" i="33"/>
  <c r="J237" i="33"/>
  <c r="K241" i="33"/>
  <c r="K128" i="31"/>
  <c r="M135" i="31" s="1"/>
  <c r="J136" i="32"/>
  <c r="K136" i="32"/>
  <c r="I130" i="30"/>
  <c r="K131" i="30"/>
  <c r="I131" i="30"/>
  <c r="I133" i="30"/>
  <c r="K224" i="8"/>
  <c r="M228" i="8" s="1"/>
  <c r="K7" i="39"/>
  <c r="J12" i="5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B17" i="13"/>
  <c r="C17" i="13" s="1"/>
  <c r="E17" i="13" s="1"/>
  <c r="F14" i="7"/>
  <c r="F13" i="7"/>
  <c r="F11" i="7"/>
  <c r="F15" i="7"/>
  <c r="F19" i="7"/>
  <c r="N19" i="7" s="1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F21" i="7"/>
  <c r="T21" i="7" s="1"/>
  <c r="F25" i="7"/>
  <c r="AD25" i="7" s="1"/>
  <c r="F29" i="7"/>
  <c r="AD29" i="7" s="1"/>
  <c r="F33" i="7"/>
  <c r="AD33" i="7" s="1"/>
  <c r="AC46" i="7"/>
  <c r="B19" i="13" s="1"/>
  <c r="C19" i="13" s="1"/>
  <c r="E19" i="13" s="1"/>
  <c r="F43" i="7"/>
  <c r="N43" i="7" s="1"/>
  <c r="J26" i="6"/>
  <c r="P45" i="6"/>
  <c r="AJ45" i="6"/>
  <c r="J45" i="6"/>
  <c r="AL45" i="6"/>
  <c r="H23" i="13"/>
  <c r="F21" i="6"/>
  <c r="L21" i="6" s="1"/>
  <c r="F31" i="6"/>
  <c r="N31" i="6" s="1"/>
  <c r="L45" i="6"/>
  <c r="X45" i="6"/>
  <c r="N45" i="6"/>
  <c r="V45" i="6"/>
  <c r="F20" i="6"/>
  <c r="N20" i="6" s="1"/>
  <c r="AF22" i="6"/>
  <c r="AD22" i="6"/>
  <c r="AJ22" i="6"/>
  <c r="F24" i="6"/>
  <c r="N24" i="6" s="1"/>
  <c r="F14" i="6"/>
  <c r="F29" i="6"/>
  <c r="F16" i="6"/>
  <c r="N16" i="6" s="1"/>
  <c r="N44" i="6"/>
  <c r="T44" i="6"/>
  <c r="AH44" i="6"/>
  <c r="F33" i="6"/>
  <c r="F43" i="6"/>
  <c r="J44" i="6"/>
  <c r="P44" i="6"/>
  <c r="V44" i="6"/>
  <c r="AJ44" i="6"/>
  <c r="F28" i="6"/>
  <c r="N28" i="6" s="1"/>
  <c r="F32" i="6"/>
  <c r="N32" i="6" s="1"/>
  <c r="L44" i="6"/>
  <c r="X44" i="6"/>
  <c r="AD44" i="6"/>
  <c r="AL44" i="6"/>
  <c r="Z45" i="6"/>
  <c r="AF45" i="6"/>
  <c r="Z44" i="6"/>
  <c r="T45" i="6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J128" i="31"/>
  <c r="D10" i="39"/>
  <c r="K11" i="13"/>
  <c r="AC46" i="6"/>
  <c r="AC47" i="6" s="1"/>
  <c r="S46" i="6"/>
  <c r="S47" i="6" s="1"/>
  <c r="H16" i="13" s="1"/>
  <c r="F38" i="6"/>
  <c r="AH38" i="6" s="1"/>
  <c r="M46" i="6"/>
  <c r="M47" i="6" s="1"/>
  <c r="F37" i="6"/>
  <c r="N37" i="6" s="1"/>
  <c r="F39" i="6"/>
  <c r="N39" i="6" s="1"/>
  <c r="F42" i="7"/>
  <c r="AH42" i="7" s="1"/>
  <c r="S46" i="7"/>
  <c r="S47" i="7" s="1"/>
  <c r="F38" i="7"/>
  <c r="AH38" i="7" s="1"/>
  <c r="F37" i="7"/>
  <c r="N37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E6" i="13"/>
  <c r="D10" i="13"/>
  <c r="D11" i="39"/>
  <c r="B36" i="39"/>
  <c r="B35" i="39"/>
  <c r="B34" i="39"/>
  <c r="B33" i="39"/>
  <c r="B32" i="39"/>
  <c r="B30" i="39"/>
  <c r="B29" i="39"/>
  <c r="B28" i="39"/>
  <c r="AD19" i="6" l="1"/>
  <c r="M130" i="36"/>
  <c r="B31" i="39"/>
  <c r="C1" i="31"/>
  <c r="Z27" i="6"/>
  <c r="J22" i="6"/>
  <c r="V22" i="6"/>
  <c r="X22" i="6"/>
  <c r="P22" i="6"/>
  <c r="AL22" i="6"/>
  <c r="T22" i="6"/>
  <c r="AL17" i="6"/>
  <c r="L22" i="6"/>
  <c r="Z22" i="6"/>
  <c r="N22" i="6"/>
  <c r="V27" i="6"/>
  <c r="L27" i="6"/>
  <c r="T19" i="6"/>
  <c r="P25" i="6"/>
  <c r="AF19" i="6"/>
  <c r="AL19" i="6"/>
  <c r="N25" i="6"/>
  <c r="AF25" i="6"/>
  <c r="X25" i="6"/>
  <c r="P19" i="6"/>
  <c r="AJ25" i="6"/>
  <c r="AJ19" i="6"/>
  <c r="AL25" i="6"/>
  <c r="V19" i="6"/>
  <c r="J25" i="6"/>
  <c r="L25" i="6"/>
  <c r="Z25" i="6"/>
  <c r="J19" i="6"/>
  <c r="AH19" i="6"/>
  <c r="Z19" i="6"/>
  <c r="V25" i="6"/>
  <c r="AD25" i="6"/>
  <c r="T25" i="6"/>
  <c r="N19" i="6"/>
  <c r="L19" i="6"/>
  <c r="H11" i="6"/>
  <c r="AJ27" i="6"/>
  <c r="AL27" i="6"/>
  <c r="T27" i="6"/>
  <c r="AF27" i="6"/>
  <c r="V22" i="7"/>
  <c r="H11" i="7"/>
  <c r="M134" i="35"/>
  <c r="M242" i="33"/>
  <c r="M132" i="30"/>
  <c r="M136" i="30"/>
  <c r="N34" i="6"/>
  <c r="T30" i="6"/>
  <c r="Z17" i="6"/>
  <c r="M135" i="32"/>
  <c r="AL40" i="6"/>
  <c r="N35" i="6"/>
  <c r="AD30" i="6"/>
  <c r="V30" i="6"/>
  <c r="AB22" i="7"/>
  <c r="J22" i="7"/>
  <c r="N22" i="7"/>
  <c r="Z22" i="7"/>
  <c r="AL22" i="7"/>
  <c r="P22" i="7"/>
  <c r="AF22" i="7"/>
  <c r="L22" i="7"/>
  <c r="R22" i="7"/>
  <c r="AJ22" i="7"/>
  <c r="X22" i="7"/>
  <c r="AD22" i="7"/>
  <c r="X23" i="6"/>
  <c r="AD23" i="6"/>
  <c r="AF23" i="6"/>
  <c r="P23" i="6"/>
  <c r="AH23" i="6"/>
  <c r="AJ23" i="6"/>
  <c r="X27" i="6"/>
  <c r="AD27" i="6"/>
  <c r="N27" i="6"/>
  <c r="J27" i="6"/>
  <c r="P27" i="6"/>
  <c r="P18" i="7"/>
  <c r="V18" i="7"/>
  <c r="AL18" i="7"/>
  <c r="Z18" i="7"/>
  <c r="AH18" i="7"/>
  <c r="AH14" i="7"/>
  <c r="J17" i="6"/>
  <c r="P17" i="6"/>
  <c r="X17" i="6"/>
  <c r="N14" i="6"/>
  <c r="Z30" i="6"/>
  <c r="X30" i="6"/>
  <c r="P30" i="6"/>
  <c r="N30" i="6"/>
  <c r="AJ26" i="6"/>
  <c r="L30" i="6"/>
  <c r="J30" i="6"/>
  <c r="Z26" i="6"/>
  <c r="AL30" i="6"/>
  <c r="AJ30" i="6"/>
  <c r="AH30" i="6"/>
  <c r="AF26" i="6"/>
  <c r="T18" i="7"/>
  <c r="R34" i="7"/>
  <c r="J18" i="7"/>
  <c r="T22" i="7"/>
  <c r="N18" i="7"/>
  <c r="AF18" i="7"/>
  <c r="R18" i="7"/>
  <c r="N30" i="7"/>
  <c r="X18" i="7"/>
  <c r="AD18" i="7"/>
  <c r="AJ18" i="7"/>
  <c r="L18" i="7"/>
  <c r="J34" i="7"/>
  <c r="AL13" i="7"/>
  <c r="X13" i="7"/>
  <c r="R13" i="7"/>
  <c r="L13" i="7"/>
  <c r="AJ13" i="7"/>
  <c r="V13" i="7"/>
  <c r="P13" i="7"/>
  <c r="J13" i="7"/>
  <c r="AH13" i="7"/>
  <c r="AB13" i="7"/>
  <c r="AF13" i="7"/>
  <c r="Z13" i="7"/>
  <c r="AD13" i="7"/>
  <c r="T13" i="7"/>
  <c r="N13" i="7"/>
  <c r="AL11" i="7"/>
  <c r="X11" i="7"/>
  <c r="R11" i="7"/>
  <c r="L11" i="7"/>
  <c r="AJ11" i="7"/>
  <c r="V11" i="7"/>
  <c r="P11" i="7"/>
  <c r="J11" i="7"/>
  <c r="AH11" i="7"/>
  <c r="AB11" i="7"/>
  <c r="AF11" i="7"/>
  <c r="Z11" i="7"/>
  <c r="N11" i="7"/>
  <c r="AD11" i="7"/>
  <c r="T11" i="7"/>
  <c r="T35" i="6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B36" i="13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T18" i="6"/>
  <c r="N18" i="6"/>
  <c r="K7" i="13"/>
  <c r="AD27" i="7"/>
  <c r="AD23" i="7"/>
  <c r="AD19" i="7"/>
  <c r="T27" i="7"/>
  <c r="G14" i="7"/>
  <c r="AD45" i="7"/>
  <c r="N15" i="7"/>
  <c r="T19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D34" i="39"/>
  <c r="E34" i="39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X36" i="6"/>
  <c r="N36" i="6"/>
  <c r="J36" i="6"/>
  <c r="AD36" i="6"/>
  <c r="Z36" i="6"/>
  <c r="T36" i="6"/>
  <c r="L36" i="6"/>
  <c r="P36" i="6"/>
  <c r="AF36" i="6"/>
  <c r="AH36" i="6"/>
  <c r="V36" i="6"/>
  <c r="E9" i="13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I15" i="13"/>
  <c r="K15" i="13" s="1"/>
  <c r="D9" i="13"/>
  <c r="B34" i="13"/>
  <c r="D34" i="13" s="1"/>
  <c r="P82" i="31"/>
  <c r="P82" i="30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D36" i="13"/>
  <c r="E35" i="39"/>
  <c r="B35" i="13"/>
  <c r="E33" i="39"/>
  <c r="B33" i="13"/>
  <c r="B32" i="13"/>
  <c r="E32" i="39"/>
  <c r="E31" i="39"/>
  <c r="B31" i="13"/>
  <c r="B30" i="13"/>
  <c r="E30" i="39"/>
  <c r="D37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P102" i="37"/>
  <c r="U102" i="37" s="1"/>
  <c r="Z102" i="37" s="1"/>
  <c r="AE102" i="37" s="1"/>
  <c r="AJ102" i="37" s="1"/>
  <c r="AO102" i="37" s="1"/>
  <c r="AT102" i="37" s="1"/>
  <c r="P102" i="36"/>
  <c r="U102" i="36" s="1"/>
  <c r="Z102" i="36" s="1"/>
  <c r="AE102" i="36" s="1"/>
  <c r="AJ102" i="36" s="1"/>
  <c r="AO102" i="36" s="1"/>
  <c r="AT102" i="36" s="1"/>
  <c r="P102" i="35"/>
  <c r="U102" i="35" s="1"/>
  <c r="Z102" i="35" s="1"/>
  <c r="AE102" i="35" s="1"/>
  <c r="AJ102" i="35" s="1"/>
  <c r="AO102" i="35" s="1"/>
  <c r="AT102" i="35" s="1"/>
  <c r="P102" i="34"/>
  <c r="U102" i="34" s="1"/>
  <c r="Z102" i="34" s="1"/>
  <c r="AE102" i="34" s="1"/>
  <c r="AJ102" i="34" s="1"/>
  <c r="AO102" i="34" s="1"/>
  <c r="AT10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P102" i="32"/>
  <c r="U102" i="32" s="1"/>
  <c r="Z102" i="32" s="1"/>
  <c r="AE102" i="32" s="1"/>
  <c r="AJ102" i="32" s="1"/>
  <c r="AO102" i="32" s="1"/>
  <c r="AT10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U142" i="8"/>
  <c r="Z142" i="8" s="1"/>
  <c r="AE142" i="8" s="1"/>
  <c r="AJ142" i="8" s="1"/>
  <c r="AO142" i="8" s="1"/>
  <c r="P177" i="8"/>
  <c r="U177" i="8" s="1"/>
  <c r="Z177" i="8" s="1"/>
  <c r="AE177" i="8" s="1"/>
  <c r="AJ177" i="8" s="1"/>
  <c r="AO177" i="8" s="1"/>
  <c r="AT177" i="8" s="1"/>
  <c r="I24" i="13"/>
  <c r="D35" i="13"/>
  <c r="D33" i="13"/>
  <c r="D32" i="13"/>
  <c r="D31" i="13"/>
  <c r="D30" i="13"/>
  <c r="D29" i="13"/>
  <c r="D28" i="13"/>
  <c r="G15" i="41" l="1"/>
  <c r="I15" i="41"/>
  <c r="K10" i="41"/>
  <c r="K15" i="41"/>
  <c r="M10" i="41"/>
  <c r="M15" i="41"/>
  <c r="K9" i="41" l="1"/>
  <c r="I14" i="41" l="1"/>
  <c r="M9" i="41"/>
  <c r="K14" i="41"/>
  <c r="G14" i="4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<sst xmlns="http://schemas.openxmlformats.org/spreadsheetml/2006/main" count="7367" uniqueCount="957">
  <si>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</si>
  <si>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</si>
  <si>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</si>
  <si>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</si>
  <si>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</si>
  <si>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</si>
  <si>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</si>
  <si>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</si>
  <si>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</si>
  <si>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</si>
  <si>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</si>
  <si>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</si>
  <si>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</si>
  <si>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</si>
  <si>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</si>
  <si>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</si>
  <si>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</si>
  <si>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</si>
  <si>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</si>
  <si>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</si>
  <si>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</si>
  <si>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</si>
  <si>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</si>
  <si>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</si>
  <si>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</si>
  <si>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</si>
  <si>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</si>
  <si>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</si>
  <si>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</si>
  <si>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</si>
  <si>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</si>
  <si>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</si>
  <si>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</si>
  <si>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</si>
  <si>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</si>
  <si>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</si>
  <si>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</si>
  <si>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</si>
  <si>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</si>
  <si>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</si>
  <si>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</si>
  <si>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</si>
  <si>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</si>
  <si>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</si>
  <si>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</si>
  <si>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</si>
  <si>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</si>
  <si>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</si>
  <si>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</si>
  <si>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</si>
  <si>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</si>
  <si>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</si>
  <si>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</si>
  <si>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</si>
  <si>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</si>
  <si>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</si>
  <si>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</si>
  <si>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</si>
  <si>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</si>
  <si>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</si>
  <si>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</si>
  <si>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</si>
  <si>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</si>
  <si>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</si>
  <si>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</si>
  <si>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</si>
  <si>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</si>
  <si>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</si>
  <si>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</si>
  <si>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</si>
  <si>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</si>
  <si>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</si>
  <si>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</si>
  <si>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</si>
  <si>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</si>
  <si>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</si>
  <si>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</si>
  <si>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</si>
  <si>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</si>
  <si>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</si>
  <si>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</si>
  <si>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</si>
  <si>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</si>
  <si>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</si>
  <si>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</si>
  <si>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</si>
  <si>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</si>
  <si>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</si>
  <si>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</si>
  <si>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</si>
  <si>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</si>
  <si>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</si>
  <si>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</si>
  <si>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</si>
  <si>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</si>
  <si>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</si>
  <si>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</si>
  <si>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</si>
  <si>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</si>
  <si>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</si>
  <si>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</si>
  <si>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</si>
  <si>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</si>
  <si>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</si>
  <si>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</si>
  <si>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</si>
  <si>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</si>
  <si>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</si>
  <si>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</si>
  <si>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</si>
  <si>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</si>
  <si>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</si>
  <si>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</si>
  <si>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</si>
  <si>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</si>
  <si>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</si>
  <si>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</si>
  <si>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</si>
  <si>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</si>
  <si>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</si>
  <si>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</si>
  <si>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</si>
  <si>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</si>
  <si>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</si>
  <si>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</si>
  <si>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</si>
  <si>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</si>
  <si>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</si>
  <si>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</si>
  <si>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</si>
  <si>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</si>
  <si>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</si>
  <si>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</si>
  <si>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</si>
  <si>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</si>
  <si>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</si>
  <si>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</si>
  <si>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</si>
  <si>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</si>
  <si>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</si>
  <si>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</si>
  <si>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</si>
  <si>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</si>
  <si>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</si>
  <si>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</si>
  <si>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</si>
  <si>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</si>
  <si>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</si>
  <si>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</si>
  <si>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</si>
  <si>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</si>
  <si>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</si>
  <si>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</si>
  <si>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</si>
  <si>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</si>
  <si>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</si>
  <si>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</si>
  <si>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</si>
  <si>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</si>
  <si>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</si>
  <si>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</si>
  <si>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</si>
  <si>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</si>
  <si>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</si>
  <si>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</si>
  <si>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</si>
  <si>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</si>
  <si>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</si>
  <si>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</si>
  <si>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</si>
  <si>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</si>
  <si>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</si>
  <si>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</si>
  <si>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</si>
  <si>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</si>
  <si>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</si>
  <si>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</si>
  <si>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</si>
  <si>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</si>
  <si>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</si>
  <si>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</si>
  <si>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</si>
  <si>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</si>
  <si>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</si>
  <si>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</si>
  <si>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</si>
  <si>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</si>
  <si>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</si>
  <si>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</si>
  <si>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</si>
  <si>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</si>
  <si>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</si>
  <si>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</si>
  <si>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</si>
  <si>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</si>
  <si>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</si>
  <si>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</si>
  <si>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</si>
  <si>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</si>
  <si>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</si>
  <si>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</si>
  <si>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</si>
  <si>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</si>
  <si>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</si>
  <si>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</si>
  <si>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</si>
  <si>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</si>
  <si>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</si>
  <si>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</si>
  <si>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</si>
  <si>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</si>
  <si>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</si>
  <si>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</si>
  <si>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</si>
  <si>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</si>
  <si>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</si>
  <si>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</si>
  <si>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</si>
  <si>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</si>
  <si>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</si>
  <si>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</si>
  <si>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</si>
  <si>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</si>
  <si>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</si>
  <si>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</si>
  <si>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</si>
  <si>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</si>
  <si>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</si>
  <si>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</si>
  <si>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</si>
  <si>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</si>
  <si>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</si>
  <si>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</si>
  <si>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</si>
  <si>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</si>
  <si>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</si>
  <si>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</si>
  <si>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</si>
  <si>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</si>
  <si>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</si>
  <si>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</si>
  <si>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</si>
  <si>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</si>
  <si>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</si>
  <si>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</si>
  <si>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</si>
  <si>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</si>
  <si>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</si>
  <si>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</si>
  <si>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</si>
  <si>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</si>
  <si>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</si>
  <si>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</si>
  <si>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</si>
  <si>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</si>
  <si>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</si>
  <si>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</si>
  <si>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</si>
  <si>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</si>
  <si>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</si>
  <si>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</si>
  <si>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</si>
  <si>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</si>
  <si>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</si>
  <si>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</si>
  <si>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</si>
  <si>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</si>
  <si>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</si>
  <si>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</si>
  <si>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</si>
  <si>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</si>
  <si>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</si>
  <si>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</si>
  <si>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</si>
  <si>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</si>
  <si>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</si>
  <si>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</si>
  <si>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</si>
  <si>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</si>
  <si>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</si>
  <si>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</si>
  <si>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</si>
  <si>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</si>
  <si>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</si>
  <si>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</si>
  <si>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</si>
  <si>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</si>
  <si>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</si>
  <si>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</si>
  <si>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</si>
  <si>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</si>
  <si>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</si>
  <si>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</si>
  <si>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</si>
  <si>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</si>
  <si>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</si>
  <si>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</si>
  <si>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</si>
  <si>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</si>
  <si>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</si>
  <si>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</si>
  <si>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</si>
  <si>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</si>
  <si>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</si>
  <si>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</si>
  <si>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</si>
  <si>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</si>
  <si>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</si>
  <si>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</si>
  <si>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</si>
  <si>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</si>
  <si>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</si>
  <si>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</si>
  <si>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</si>
  <si>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</si>
  <si>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</si>
  <si>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</si>
  <si>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</si>
  <si>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</si>
  <si>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</si>
  <si>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</si>
  <si>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</si>
  <si>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</si>
  <si>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</si>
  <si>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</si>
  <si>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</si>
  <si>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</si>
  <si>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</si>
  <si>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</si>
  <si>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</si>
  <si>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</si>
  <si>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</si>
  <si>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</si>
  <si>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</si>
  <si>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</si>
  <si>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</si>
  <si>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</si>
  <si>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</si>
  <si>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</si>
  <si>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</si>
  <si>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</si>
  <si>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</si>
  <si>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</si>
  <si>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</si>
  <si>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</si>
  <si>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</si>
  <si>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</si>
  <si>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</si>
  <si>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</si>
  <si>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</si>
  <si>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</si>
  <si>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</si>
  <si>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</si>
  <si>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</si>
  <si>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</si>
  <si>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</si>
  <si>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</si>
  <si>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</si>
  <si>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</si>
  <si>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</si>
  <si>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</si>
  <si>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</si>
  <si>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</si>
  <si>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</si>
  <si>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</si>
  <si>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</si>
  <si>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</si>
  <si>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</si>
  <si>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</si>
  <si>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</si>
  <si>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</si>
  <si>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</si>
  <si>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</si>
  <si>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</si>
  <si>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</si>
  <si>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</si>
  <si>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</si>
  <si>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</si>
  <si>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</si>
  <si>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</si>
  <si>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</si>
  <si>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</si>
  <si>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</si>
  <si>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</si>
  <si>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</si>
  <si>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</si>
  <si>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</si>
  <si>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</si>
  <si>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</si>
  <si>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</si>
  <si>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</si>
  <si>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</si>
  <si>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</si>
  <si>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</si>
  <si>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</si>
  <si>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</si>
  <si>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</si>
  <si>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</si>
  <si>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</si>
  <si>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</si>
  <si>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</si>
  <si>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</si>
  <si>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</si>
  <si>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</si>
  <si>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</si>
  <si>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</si>
  <si>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</si>
  <si>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</si>
  <si>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</si>
  <si>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</si>
  <si>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</si>
  <si>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</si>
  <si>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</si>
  <si>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準備課</t>
  </si>
  <si>
    <t>壹號醬雞豚雙拼</t>
  </si>
  <si>
    <t>切-究極燒肉片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</si>
  <si>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</si>
  <si>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</si>
  <si>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</si>
  <si>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</si>
  <si>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</si>
  <si>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</si>
  <si>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</si>
  <si>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</si>
  <si>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</si>
  <si>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</si>
  <si>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</si>
  <si>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</si>
  <si>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</si>
  <si>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</si>
  <si>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</si>
  <si>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</si>
  <si>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</si>
  <si>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</si>
  <si>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</si>
  <si>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</si>
  <si>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</si>
  <si>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</si>
  <si>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</si>
  <si>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</si>
  <si>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</si>
  <si>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</si>
  <si>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燻之味-糖燻雞胗</t>
  </si>
  <si>
    <t>18切烤千層麵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</si>
  <si>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</si>
  <si>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</si>
  <si>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</si>
  <si>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</si>
  <si>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</si>
  <si>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</si>
  <si>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</si>
  <si>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季節調理麵</t>
    <phoneticPr fontId="11" type="noConversion"/>
  </si>
  <si>
    <t>糖燻野郎起司炙燒牛烤飯糰</t>
  </si>
  <si>
    <t>二配乳酪燻腸紅醬焗飯</t>
  </si>
  <si>
    <t>增加線上抽秤頻率</t>
  </si>
  <si>
    <t>博多明太子奶油飯糰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</si>
  <si>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</si>
  <si>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</si>
  <si>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</si>
  <si>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</si>
  <si>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</si>
  <si>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</si>
  <si>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</si>
  <si>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</si>
  <si>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</si>
  <si>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雙醬雞排鐵板麵</t>
  </si>
  <si>
    <t>照燒雞肉飯糰</t>
  </si>
  <si>
    <t>妮妮家漢堡排</t>
  </si>
  <si>
    <t>蒜泥狠台味三拼</t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</si>
  <si>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</si>
  <si>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</si>
  <si>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</si>
  <si>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</si>
  <si>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</si>
  <si>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</si>
  <si>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</si>
  <si>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</si>
  <si>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</si>
  <si>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</si>
  <si>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</si>
  <si>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</si>
  <si>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</si>
  <si>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</si>
  <si>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</si>
  <si>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</si>
  <si>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</si>
  <si>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</si>
  <si>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</si>
  <si>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</si>
  <si>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</si>
  <si>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</si>
  <si>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</si>
  <si>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</si>
  <si>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</si>
  <si>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</si>
  <si>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</si>
  <si>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</si>
  <si>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</si>
  <si>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</si>
  <si>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</si>
  <si>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</si>
  <si>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</si>
  <si>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</si>
  <si>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</si>
  <si>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</si>
  <si>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</si>
  <si>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</si>
  <si>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</si>
  <si>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</si>
  <si>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</si>
  <si>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</si>
  <si>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</si>
  <si>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</si>
  <si>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</si>
  <si>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</si>
  <si>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</si>
  <si>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</si>
  <si>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</si>
  <si>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</si>
  <si>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</si>
  <si>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</si>
  <si>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</si>
  <si>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</si>
  <si>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</si>
  <si>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</si>
  <si>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</si>
  <si>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</si>
  <si>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</si>
  <si>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</si>
  <si>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</si>
  <si>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</si>
  <si>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</si>
  <si>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</si>
  <si>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</si>
  <si>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</si>
  <si>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</si>
  <si>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</si>
  <si>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</si>
  <si>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</si>
  <si>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</si>
  <si>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</si>
  <si>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</si>
  <si>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</si>
  <si>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</si>
  <si>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</si>
  <si>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</si>
  <si>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</si>
  <si>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</si>
  <si>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</si>
  <si>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</si>
  <si>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</si>
  <si>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</si>
  <si>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</si>
  <si>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t>壽喜燒牛五花</t>
  </si>
  <si>
    <t>切博多明太子</t>
  </si>
  <si>
    <t>油蔥雞汁飯糰(區)</t>
  </si>
  <si>
    <t>雙鬆細卷</t>
  </si>
  <si>
    <t>蕃茄起司手工千層麵(區2)</t>
  </si>
  <si>
    <t>明太子玉子脆卷</t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</si>
  <si>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</si>
  <si>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</si>
  <si>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</si>
  <si>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麻油鹽炙烤豬肉飯卷</t>
  </si>
  <si>
    <t>二配泰式綠咖哩雞</t>
  </si>
  <si>
    <t>香腸腿排雙拼便當</t>
  </si>
  <si>
    <t>日式蕎麥沾麵</t>
  </si>
  <si>
    <t>日式壽喜燒</t>
  </si>
  <si>
    <t>二配泰式椰香綠咖哩醬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</si>
  <si>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</si>
  <si>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</si>
  <si>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</si>
  <si>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</si>
  <si>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</si>
  <si>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</si>
  <si>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</si>
  <si>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</si>
  <si>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</si>
  <si>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</si>
  <si>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</si>
  <si>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</si>
  <si>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</si>
  <si>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</si>
  <si>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</si>
  <si>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</si>
  <si>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</si>
  <si>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</si>
  <si>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</si>
  <si>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</si>
  <si>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t>二配金咖哩濃厚辛口咖哩飯</t>
  </si>
  <si>
    <t>二配厚香料咖哩雞排飯</t>
  </si>
  <si>
    <t>蒜炒紅K高麗菜(111年)</t>
  </si>
  <si>
    <t>香料咖哩烤雞飯卷</t>
  </si>
  <si>
    <t>清洗蔥花</t>
  </si>
  <si>
    <t>二配蒸果香甘口咖哩腿丁</t>
  </si>
  <si>
    <t>二配北海道秋鮭親子飯糰</t>
  </si>
  <si>
    <t>二配解凍-醬油漬鮭魚卵</t>
  </si>
  <si>
    <t>川燙青花菜</t>
  </si>
  <si>
    <t>(V)煮麻婆豆腐燴料(114年)</t>
  </si>
  <si>
    <t>麻婆豆腐波浪麵</t>
  </si>
  <si>
    <t>二配雞肉香料咖哩</t>
  </si>
  <si>
    <t>香料咖哩炸雞烤飯糰</t>
  </si>
  <si>
    <t>日式野菜烘蛋燴飯</t>
  </si>
  <si>
    <t>二配起司控培根白醬焗烤飯</t>
  </si>
  <si>
    <t>東京豚骨風味拉麵</t>
  </si>
  <si>
    <t>二配烤鹹蛋黃碎</t>
  </si>
  <si>
    <t>香烤藍尾鱈魚五行餐盒</t>
  </si>
  <si>
    <t>二配炒培根片</t>
  </si>
  <si>
    <t>二配蒸海鮮醬(料)</t>
  </si>
  <si>
    <t>W4</t>
    <phoneticPr fontId="11" type="noConversion"/>
  </si>
  <si>
    <t>濃厚豚骨拉麵</t>
  </si>
  <si>
    <t>二配歐姆蛋(111年版)</t>
  </si>
  <si>
    <t>蔥蔥玉子拌麵</t>
  </si>
  <si>
    <t>煮無敵家日式肉燥</t>
  </si>
  <si>
    <t>二配濃辛辣咖哩醬(114年)</t>
  </si>
  <si>
    <t>煮無敵家拌麵醬</t>
  </si>
  <si>
    <t>明太子雞叉燒拌麵</t>
  </si>
  <si>
    <t>二配大飯糰韓式蒜烤豬五花</t>
  </si>
  <si>
    <t>和風牛肉咖哩炸飯糰</t>
  </si>
  <si>
    <t>醬油叉燒拉麵</t>
  </si>
  <si>
    <t>▲</t>
    <phoneticPr fontId="11" type="noConversion"/>
  </si>
  <si>
    <t>▼</t>
    <phoneticPr fontId="11" type="noConversion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</si>
  <si>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</si>
  <si>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</si>
  <si>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</si>
  <si>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</si>
  <si>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</si>
  <si>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</si>
  <si>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</si>
  <si>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</si>
  <si>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</si>
  <si>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二配大飯糰滷肉飯加蛋</t>
  </si>
  <si>
    <t>核桃腰果稻荷壽司組</t>
  </si>
  <si>
    <t>大口起司熔岩白醬炸魚飯糰</t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</si>
  <si>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</si>
  <si>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</si>
  <si>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</si>
  <si>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產能／時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</si>
  <si>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</si>
  <si>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</si>
  <si>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</si>
  <si>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</si>
  <si>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</si>
  <si>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</si>
  <si>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</si>
  <si>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</si>
  <si>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</si>
  <si>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</si>
  <si>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</si>
  <si>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</si>
  <si>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</si>
  <si>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</si>
  <si>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</si>
  <si>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</si>
  <si>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</si>
  <si>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</si>
  <si>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</si>
  <si>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</si>
  <si>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</si>
  <si>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</si>
  <si>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二配失控起司薯餅焗飯</t>
  </si>
  <si>
    <t>二配蒙古風味烤肉飯</t>
  </si>
  <si>
    <t>二配麻油雞燴飯</t>
  </si>
  <si>
    <t>二配鮭魚蛋炒飯</t>
  </si>
  <si>
    <t>柚子雞白湯拉麵</t>
  </si>
  <si>
    <t>愛恨椒芝麵</t>
  </si>
  <si>
    <t>業績金額</t>
    <phoneticPr fontId="11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</si>
  <si>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</si>
  <si>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</si>
  <si>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</si>
  <si>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</si>
  <si>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</si>
  <si>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</si>
  <si>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</si>
  <si>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</si>
  <si>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</si>
  <si>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</si>
  <si>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</si>
  <si>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</si>
  <si>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</si>
  <si>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煮愛恨椒麻湯凍</t>
  </si>
  <si>
    <t>炒蒜味青花菜</t>
  </si>
  <si>
    <t>二配川燙枸杞</t>
  </si>
  <si>
    <t>二配鼎泰豐-麻婆豆腐燴汁(113年)</t>
  </si>
  <si>
    <t>二配鼎泰豐-煮麻婆豆腐(113年)</t>
  </si>
  <si>
    <t>雞肉飯醬汁(113年)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</si>
  <si>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</si>
  <si>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</si>
  <si>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</si>
  <si>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</si>
  <si>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</si>
  <si>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</si>
  <si>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</si>
  <si>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</si>
  <si>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</si>
  <si>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</si>
  <si>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</si>
  <si>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</si>
  <si>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</si>
  <si>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</si>
  <si>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鮭魚奶油醬油飯糰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</si>
  <si>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</si>
  <si>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</si>
  <si>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便當</t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</si>
  <si>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</si>
  <si>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</si>
  <si>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</si>
  <si>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</si>
  <si>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</si>
  <si>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</si>
  <si>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</si>
  <si>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</si>
  <si>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</si>
  <si>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</si>
  <si>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</si>
  <si>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</si>
  <si>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</si>
  <si>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</si>
  <si>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</si>
  <si>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</si>
  <si>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  <charset val="128"/>
      </rPr>
      <t>比</t>
    </r>
    <phoneticPr fontId="11" type="noConversion"/>
  </si>
  <si>
    <t>主要原因&amp;對策</t>
    <phoneticPr fontId="8"/>
  </si>
  <si>
    <t>－</t>
    <phoneticPr fontId="11" type="noConversion"/>
  </si>
  <si>
    <t>▼1</t>
    <phoneticPr fontId="8"/>
  </si>
  <si>
    <t>▼2</t>
    <phoneticPr fontId="8"/>
  </si>
  <si>
    <t>▼3</t>
    <phoneticPr fontId="8"/>
  </si>
  <si>
    <t>對比上月差異小</t>
    <phoneticPr fontId="11" type="noConversion"/>
  </si>
  <si>
    <t>▼4</t>
    <phoneticPr fontId="8"/>
  </si>
  <si>
    <t>▼5</t>
    <phoneticPr fontId="8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</si>
  <si>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</si>
  <si>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</si>
  <si>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</si>
  <si>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</si>
  <si>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</si>
  <si>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</si>
  <si>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</si>
  <si>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</si>
  <si>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</si>
  <si>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</si>
  <si>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</si>
  <si>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</si>
  <si>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</si>
  <si>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</si>
  <si>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</si>
  <si>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</si>
  <si>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</si>
  <si>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</si>
  <si>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</si>
  <si>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</si>
  <si>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</si>
  <si>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</si>
  <si>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</si>
  <si>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</si>
  <si>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</si>
  <si>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</si>
  <si>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</si>
  <si>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明太子乳酪起司沙拉飯糰</t>
  </si>
  <si>
    <t>日報</t>
    <phoneticPr fontId="11" type="noConversion"/>
  </si>
  <si>
    <t>平均人時性</t>
    <phoneticPr fontId="11" type="noConversion"/>
  </si>
  <si>
    <t>實際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</si>
  <si>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</si>
  <si>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</si>
  <si>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</si>
  <si>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產線配置圖</t>
    <phoneticPr fontId="11" type="noConversion"/>
  </si>
  <si>
    <t>真明太子玉子飯糰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</si>
  <si>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</si>
  <si>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</si>
  <si>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</si>
  <si>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</si>
  <si>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</si>
  <si>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</si>
  <si>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</si>
  <si>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</si>
  <si>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</si>
  <si>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</si>
  <si>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</si>
  <si>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</si>
  <si>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</si>
  <si>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</si>
  <si>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</si>
  <si>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</si>
  <si>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</si>
  <si>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</si>
  <si>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鴻運烏魚子紹興飯糰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</si>
  <si>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</si>
  <si>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</si>
  <si>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明太子奶油炸飯糰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</si>
  <si>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</si>
  <si>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明太子泡菜牛飯卷</t>
  </si>
  <si>
    <t>主食</t>
    <phoneticPr fontId="11" type="noConversion"/>
  </si>
  <si>
    <t>好多蒜燒豚飯</t>
  </si>
  <si>
    <t>二配紅燒牛肉燴飯</t>
  </si>
  <si>
    <t>美乃炙烤雞肉飯</t>
  </si>
  <si>
    <t>便當</t>
    <phoneticPr fontId="11" type="noConversion"/>
  </si>
  <si>
    <t>福氣魚四喜開運便當</t>
  </si>
  <si>
    <t>熱食義麵</t>
    <phoneticPr fontId="11" type="noConversion"/>
  </si>
  <si>
    <t>鮑滿福氣中華燴麵</t>
  </si>
  <si>
    <t>鴻運番茄湯麵</t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</si>
  <si>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</si>
  <si>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</si>
  <si>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</si>
  <si>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</si>
  <si>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</si>
  <si>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</si>
  <si>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</si>
  <si>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</si>
  <si>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</si>
  <si>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</si>
  <si>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</si>
  <si>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季節調理麵</t>
    <phoneticPr fontId="11" type="noConversion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</si>
  <si>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</si>
  <si>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</si>
  <si>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</si>
  <si>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季節調理麵</t>
    <phoneticPr fontId="11" type="noConversion"/>
  </si>
  <si>
    <t>古早味炒炊粉</t>
    <phoneticPr fontId="11" type="noConversion"/>
  </si>
  <si>
    <t>韓式部隊鍋</t>
    <phoneticPr fontId="11" type="noConversion"/>
  </si>
  <si>
    <t>日式壽喜燒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</si>
  <si>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</si>
  <si>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</si>
  <si>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</si>
  <si>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</si>
  <si>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</si>
  <si>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</si>
  <si>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平均人時性</t>
    <phoneticPr fontId="11" type="noConversion"/>
  </si>
  <si>
    <t>日報</t>
    <phoneticPr fontId="11" type="noConversion"/>
  </si>
  <si>
    <t>實際</t>
    <phoneticPr fontId="11" type="noConversion"/>
  </si>
  <si>
    <t>實際</t>
    <phoneticPr fontId="11" type="noConversion"/>
  </si>
  <si>
    <t>實際</t>
    <phoneticPr fontId="11" type="noConversion"/>
  </si>
  <si>
    <t>平均人時性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</si>
  <si>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</si>
  <si>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</si>
  <si>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</si>
  <si>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</si>
  <si>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</si>
  <si>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</si>
  <si>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</si>
  <si>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</si>
  <si>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</si>
  <si>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</si>
  <si>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人數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</si>
  <si>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</si>
  <si>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</si>
  <si>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</si>
  <si>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</si>
  <si>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</si>
  <si>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</si>
  <si>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</si>
  <si>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雙倍德腸飯卷</t>
  </si>
  <si>
    <t>主食</t>
    <phoneticPr fontId="11" type="noConversion"/>
  </si>
  <si>
    <t>便當</t>
    <phoneticPr fontId="11" type="noConversion"/>
  </si>
  <si>
    <t>熱食義麵</t>
    <phoneticPr fontId="11" type="noConversion"/>
  </si>
  <si>
    <t>季節調理麵</t>
    <phoneticPr fontId="11" type="noConversion"/>
  </si>
  <si>
    <t>微波小吃</t>
    <phoneticPr fontId="11" type="noConversion"/>
  </si>
  <si>
    <t>媽媽煮藝-(區)香滷牛肚絲</t>
  </si>
  <si>
    <t>－</t>
    <phoneticPr fontId="11" type="noConversion"/>
  </si>
  <si>
    <t>▲</t>
    <phoneticPr fontId="11" type="noConversion"/>
  </si>
  <si>
    <t>人員熟悉度增加，對比上月產能及人時生產性提升</t>
    <phoneticPr fontId="11" type="noConversion"/>
  </si>
  <si>
    <t>對比上月產能及人時生產性提升</t>
    <phoneticPr fontId="11" type="noConversion"/>
  </si>
  <si>
    <t>訂單量下降</t>
    <phoneticPr fontId="11" type="noConversion"/>
  </si>
  <si>
    <t>－</t>
    <phoneticPr fontId="11" type="noConversion"/>
  </si>
  <si>
    <t>▲</t>
    <phoneticPr fontId="11" type="noConversion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</si>
  <si>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</t>
    </r>
    <r>
      <rPr>
        <sz val="11"/>
        <color theme="1"/>
        <rFont val="細明體"/>
        <family val="3"/>
        <charset val="136"/>
      </rPr>
      <t>人時生產性差異小</t>
    </r>
    <r>
      <rPr>
        <sz val="11"/>
        <color theme="1"/>
        <rFont val="Meiryo UI"/>
        <family val="2"/>
      </rPr>
      <t>。</t>
    </r>
    <phoneticPr fontId="11" type="noConversion"/>
  </si>
  <si>
    <t>▼</t>
    <phoneticPr fontId="11" type="noConversion"/>
  </si>
  <si>
    <t>對比上月差異小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</si>
  <si>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</si>
  <si>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</si>
  <si>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</si>
  <si>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</si>
  <si>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</si>
  <si>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雙倍德腸飯卷</t>
    <phoneticPr fontId="11" type="noConversion"/>
  </si>
  <si>
    <r>
      <t>1/27新品，為機台生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飯捲，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能差異小，主要差異在</t>
    </r>
    <r>
      <rPr>
        <sz val="11"/>
        <color theme="1"/>
        <rFont val="細明體"/>
        <family val="3"/>
        <charset val="136"/>
      </rPr>
      <t>半成品數及使用人數</t>
    </r>
    <r>
      <rPr>
        <sz val="11"/>
        <color theme="1"/>
        <rFont val="Meiryo UI"/>
        <family val="2"/>
      </rPr>
      <t>。</t>
    </r>
    <phoneticPr fontId="11" type="noConversion"/>
  </si>
  <si>
    <r>
      <t>對比上</t>
    </r>
    <r>
      <rPr>
        <sz val="10"/>
        <color theme="1"/>
        <rFont val="細明體"/>
        <family val="3"/>
        <charset val="136"/>
      </rPr>
      <t>月</t>
    </r>
    <r>
      <rPr>
        <sz val="10"/>
        <color theme="1"/>
        <rFont val="Meiryo UI"/>
        <family val="2"/>
      </rPr>
      <t>差異小</t>
    </r>
    <phoneticPr fontId="11" type="noConversion"/>
  </si>
  <si>
    <r>
      <t>1/6</t>
    </r>
    <r>
      <rPr>
        <sz val="11"/>
        <color theme="1"/>
        <rFont val="細明體"/>
        <family val="3"/>
        <charset val="136"/>
      </rPr>
      <t>新品，為需要排肉商品，產能及人時生產性低</t>
    </r>
    <phoneticPr fontId="11" type="noConversion"/>
  </si>
  <si>
    <r>
      <t>1/20新品，工序較複雜，使用人數較多，人時生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性較低</t>
    </r>
    <phoneticPr fontId="11" type="noConversion"/>
  </si>
  <si>
    <t>訂單量對比上月下降</t>
    <phoneticPr fontId="11" type="noConversion"/>
  </si>
  <si>
    <t>最後幾名皆為須定位擺放、半成品數較多餐盒類商品，產能及人時生產性較低</t>
    <phoneticPr fontId="11" type="noConversion"/>
  </si>
  <si>
    <t>嫩烤香料雞胸排蔬滿盒</t>
    <phoneticPr fontId="11" type="noConversion"/>
  </si>
  <si>
    <t>訂單量少</t>
    <phoneticPr fontId="11" type="noConversion"/>
  </si>
  <si>
    <t>1/20新品，半成品數少，人時生產性較高。</t>
    <phoneticPr fontId="11" type="noConversion"/>
  </si>
  <si>
    <r>
      <t>1/20</t>
    </r>
    <r>
      <rPr>
        <sz val="10"/>
        <color theme="1"/>
        <rFont val="細明體"/>
        <family val="3"/>
        <charset val="136"/>
      </rPr>
      <t>上市，為L型封膜品項，產能及人時生產性較低</t>
    </r>
    <phoneticPr fontId="11" type="noConversion"/>
  </si>
  <si>
    <t>前三名皆為同性質涼麵商品，產能及人時生產性接近</t>
    <phoneticPr fontId="11" type="noConversion"/>
  </si>
  <si>
    <r>
      <t>八爪機作業，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能平均，</t>
    </r>
    <r>
      <rPr>
        <sz val="11"/>
        <color theme="1"/>
        <rFont val="細明體"/>
        <family val="3"/>
        <charset val="136"/>
      </rPr>
      <t>產能及人時生產性差異小</t>
    </r>
    <r>
      <rPr>
        <sz val="11"/>
        <color theme="1"/>
        <rFont val="Meiryo UI"/>
        <family val="2"/>
      </rPr>
      <t>。</t>
    </r>
    <phoneticPr fontId="11" type="noConversion"/>
  </si>
  <si>
    <t>八爪機作業，產能平均，產能及人時生產性差異小。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</si>
  <si>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原因別分析(1/01-1/31)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</si>
  <si>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</si>
  <si>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</si>
  <si>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</si>
  <si>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</si>
  <si>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</si>
  <si>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</si>
  <si>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</si>
  <si>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</si>
  <si>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</si>
  <si>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</si>
  <si>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</si>
  <si>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</si>
  <si>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烤冷凍蒜丁</t>
  </si>
  <si>
    <t>二配炒解凍11N培根片</t>
  </si>
  <si>
    <t>製程不穩</t>
    <phoneticPr fontId="11" type="noConversion"/>
  </si>
  <si>
    <t>確認備料量是否正確，調整出料率</t>
    <phoneticPr fontId="11" type="noConversion"/>
  </si>
  <si>
    <t>二配香炒沙茶豬肉飯</t>
  </si>
  <si>
    <t>二配滷-大白菜(115年)</t>
  </si>
  <si>
    <t>增加放料抽秤頻率</t>
    <phoneticPr fontId="11" type="noConversion"/>
  </si>
  <si>
    <t>煮愛恨芝麻醬</t>
  </si>
  <si>
    <t>混合愛恨椒芝椒麻油</t>
  </si>
  <si>
    <t>二配西班牙烤雞腿丁</t>
  </si>
  <si>
    <t>二配川燙青花菜</t>
  </si>
  <si>
    <t>碳香照燒雞腿丁</t>
  </si>
  <si>
    <t>不拆包加熱製程</t>
    <phoneticPr fontId="11" type="noConversion"/>
  </si>
  <si>
    <t>賣相設定</t>
  </si>
  <si>
    <t>賣相設定</t>
    <phoneticPr fontId="11" type="noConversion"/>
  </si>
  <si>
    <t>其他原因</t>
    <phoneticPr fontId="11" type="noConversion"/>
  </si>
  <si>
    <t>二配切-蒸滷牛腱</t>
  </si>
  <si>
    <t>單價高</t>
    <phoneticPr fontId="11" type="noConversion"/>
  </si>
  <si>
    <t>需求量少，單價高</t>
  </si>
  <si>
    <t>超用率</t>
    <phoneticPr fontId="8"/>
  </si>
  <si>
    <t>確認備料量是否正確，調整出料率</t>
  </si>
  <si>
    <t>二配薯餅焗飯-紅醬</t>
  </si>
  <si>
    <t>丼飯-滑蛋(112年)</t>
  </si>
  <si>
    <t>肉片大小差異</t>
    <phoneticPr fontId="11" type="noConversion"/>
  </si>
  <si>
    <t>不拆包加熱，調整用量</t>
  </si>
  <si>
    <t>單價高</t>
  </si>
  <si>
    <t>二配解凍-伊藤忠銀鮭碎肉</t>
  </si>
  <si>
    <t>二配川燙醃嫩化淨零碳排牛肉片</t>
  </si>
  <si>
    <t>不拆包加熱，調整用量</t>
    <phoneticPr fontId="11" type="noConversion"/>
  </si>
  <si>
    <t>拌屯京熱麵</t>
  </si>
  <si>
    <t>製程多出，調整用量</t>
    <phoneticPr fontId="11" type="noConversion"/>
  </si>
  <si>
    <t>紅運烏魚子紹興飯糰</t>
  </si>
  <si>
    <t>撥碎-解凍烏魚子丁</t>
  </si>
  <si>
    <t>半成品結凍強度影響擠醬機出料量</t>
  </si>
  <si>
    <t>生產前及生產中確認設定及實際出料狀況</t>
  </si>
  <si>
    <t>半成品均勻度影響放料量</t>
  </si>
  <si>
    <t>半成品使用前先攪拌均勻</t>
  </si>
  <si>
    <t>回饋研發，後續開發列入考量</t>
  </si>
  <si>
    <t>二配炒蒙古烤肉蔬菜</t>
  </si>
  <si>
    <t>菜梗、葉差異及均勻度，影響人員放料手感</t>
  </si>
  <si>
    <t>增加線上抽秤頻率，維持人員放料手感</t>
  </si>
  <si>
    <t>農產品原物料大小，影響分切步留率</t>
  </si>
  <si>
    <t>收集數據，調整出料率。</t>
  </si>
  <si>
    <t>大部分品項的單品用量少，取樣易有差異</t>
  </si>
  <si>
    <t>尋找設定使用的輔助工具，穩定取樣量</t>
  </si>
  <si>
    <t>冰杓放料，冰杓滿度差異</t>
  </si>
  <si>
    <t>確認輔助工具型號，使用前先攪拌均勻。生產前及生產中確認設定及實際出料狀況</t>
  </si>
  <si>
    <t>二配油亮後腿肉絲</t>
  </si>
  <si>
    <t>原物料肉片的大小及厚薄度差異</t>
  </si>
  <si>
    <t>回饋研發，後續開發列入考量，設定放料量範圍。</t>
  </si>
  <si>
    <t>糖鹽度在設定範圍內，但偏低，導致產出量多</t>
  </si>
  <si>
    <t>確認糖鹽度判定範圍，以中線作為判定標準</t>
  </si>
  <si>
    <t>二配川燙切片青江菜</t>
  </si>
  <si>
    <t>菜類川燙後容易含水，瀝水較不容易瀝除，導致製成差異</t>
    <phoneticPr fontId="11" type="noConversion"/>
  </si>
  <si>
    <t>在口味穩定的前提下，固定瀝水時間，穩定製成率</t>
  </si>
  <si>
    <t>二配奶香起司醬</t>
  </si>
  <si>
    <t>備料多異常導致出料偏多</t>
  </si>
  <si>
    <t>連動調理課級連續3天確認備料狀況並拍照留存</t>
  </si>
  <si>
    <t>肉片油脂、筋膜分布影響賣相狀況。</t>
  </si>
  <si>
    <t>農產品原物料的大小差異</t>
  </si>
  <si>
    <t>放料設定無範圍，肉片多一片超用，少一片不足</t>
  </si>
  <si>
    <t>原物料肉片的大小片及厚薄度差異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</si>
</sst>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rgb="FFFF0000"/>
      <name val="Meiryo UI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5" fillId="0" borderId="0"/>
    <xf numFmtId="9" fontId="95" fillId="0" borderId="0" applyFont="0" applyFill="0" applyBorder="0" applyAlignment="0" applyProtection="0"/>
    <xf numFmtId="0" fontId="96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7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196" fontId="97" fillId="0" borderId="0"/>
    <xf numFmtId="0" fontId="7" fillId="0" borderId="0"/>
    <xf numFmtId="0" fontId="95" fillId="0" borderId="0">
      <alignment vertical="center"/>
    </xf>
    <xf numFmtId="0" fontId="98" fillId="0" borderId="0"/>
    <xf numFmtId="42" fontId="96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>
      <alignment vertical="top"/>
    </xf>
    <xf numFmtId="0" fontId="7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101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5" fillId="0" borderId="0"/>
    <xf numFmtId="0" fontId="95" fillId="0" borderId="0"/>
    <xf numFmtId="0" fontId="101" fillId="0" borderId="0"/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/>
    <xf numFmtId="0" fontId="95" fillId="0" borderId="0"/>
    <xf numFmtId="0" fontId="1" fillId="0" borderId="0">
      <alignment vertical="center"/>
    </xf>
    <xf numFmtId="0" fontId="98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1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8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44" fontId="10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25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24" fillId="10" borderId="0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177" fontId="24" fillId="0" borderId="0" xfId="0" applyNumberFormat="1" applyFont="1" applyFill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2" xfId="0" applyNumberFormat="1" applyFont="1" applyFill="1" applyBorder="1" applyAlignment="1">
      <alignment vertical="center"/>
    </xf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0" borderId="30" xfId="15" applyNumberFormat="1" applyFont="1" applyBorder="1" applyAlignment="1">
      <alignment vertical="center"/>
    </xf>
    <xf numFmtId="189" fontId="92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2" fillId="0" borderId="27" xfId="11" applyBorder="1" applyAlignment="1">
      <alignment horizontal="left" vertical="center"/>
    </xf>
    <xf numFmtId="0" fontId="22" fillId="0" borderId="28" xfId="11" applyBorder="1" applyAlignment="1">
      <alignment horizontal="left" vertical="center"/>
    </xf>
    <xf numFmtId="0" fontId="22" fillId="0" borderId="25" xfId="11" applyBorder="1" applyAlignment="1">
      <alignment horizontal="left" vertical="center"/>
    </xf>
    <xf numFmtId="0" fontId="26" fillId="0" borderId="22" xfId="11" applyFont="1" applyBorder="1" applyAlignment="1">
      <alignment horizontal="center" vertical="center" shrinkToFit="1"/>
    </xf>
    <xf numFmtId="1" fontId="26" fillId="0" borderId="22" xfId="11" applyNumberFormat="1" applyFont="1" applyBorder="1" applyAlignment="1">
      <alignment horizontal="center" vertical="center" shrinkToFit="1"/>
    </xf>
    <xf numFmtId="0" fontId="76" fillId="0" borderId="22" xfId="11" applyFont="1" applyBorder="1" applyAlignment="1">
      <alignment horizontal="center" vertical="center" shrinkToFit="1"/>
    </xf>
    <xf numFmtId="0" fontId="31" fillId="0" borderId="27" xfId="11" applyFont="1" applyBorder="1" applyAlignment="1">
      <alignment horizontal="left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6" fillId="0" borderId="22" xfId="11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45" fillId="0" borderId="46" xfId="11" applyFont="1" applyBorder="1" applyAlignment="1">
      <alignment shrinkToFit="1"/>
    </xf>
    <xf numFmtId="184" fontId="63" fillId="18" borderId="47" xfId="11" applyNumberFormat="1" applyFont="1" applyFill="1" applyBorder="1" applyAlignment="1">
      <alignment shrinkToFit="1"/>
    </xf>
    <xf numFmtId="0" fontId="24" fillId="0" borderId="47" xfId="11" applyFont="1" applyBorder="1" applyAlignment="1">
      <alignment shrinkToFit="1"/>
    </xf>
    <xf numFmtId="0" fontId="26" fillId="0" borderId="50" xfId="11" applyFont="1" applyFill="1" applyBorder="1" applyAlignment="1">
      <alignment horizontal="center" vertical="center" shrinkToFit="1"/>
    </xf>
    <xf numFmtId="0" fontId="44" fillId="0" borderId="51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50" xfId="11" applyNumberFormat="1" applyFont="1" applyFill="1" applyBorder="1" applyAlignment="1">
      <alignment shrinkToFit="1"/>
    </xf>
    <xf numFmtId="0" fontId="44" fillId="0" borderId="52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53" xfId="11" applyFont="1" applyBorder="1" applyAlignment="1">
      <alignment shrinkToFit="1"/>
    </xf>
    <xf numFmtId="0" fontId="24" fillId="0" borderId="53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5" xfId="11" applyFont="1" applyFill="1" applyBorder="1" applyAlignment="1">
      <alignment shrinkToFit="1"/>
    </xf>
    <xf numFmtId="0" fontId="24" fillId="0" borderId="56" xfId="11" applyFont="1" applyFill="1" applyBorder="1" applyAlignment="1">
      <alignment shrinkToFit="1"/>
    </xf>
    <xf numFmtId="0" fontId="44" fillId="0" borderId="57" xfId="11" applyFont="1" applyFill="1" applyBorder="1" applyAlignment="1">
      <alignment horizontal="center" shrinkToFit="1"/>
    </xf>
    <xf numFmtId="3" fontId="26" fillId="7" borderId="42" xfId="11" applyNumberFormat="1" applyFont="1" applyFill="1" applyBorder="1" applyAlignment="1">
      <alignment shrinkToFit="1"/>
    </xf>
    <xf numFmtId="10" fontId="26" fillId="0" borderId="42" xfId="11" applyNumberFormat="1" applyFont="1" applyFill="1" applyBorder="1" applyAlignment="1">
      <alignment shrinkToFit="1"/>
    </xf>
    <xf numFmtId="10" fontId="26" fillId="0" borderId="58" xfId="11" applyNumberFormat="1" applyFont="1" applyFill="1" applyBorder="1" applyAlignment="1">
      <alignment shrinkToFit="1"/>
    </xf>
    <xf numFmtId="193" fontId="92" fillId="0" borderId="22" xfId="5" applyNumberFormat="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94" fontId="92" fillId="0" borderId="29" xfId="15" applyNumberFormat="1" applyFont="1" applyBorder="1" applyAlignment="1">
      <alignment vertical="center"/>
    </xf>
    <xf numFmtId="0" fontId="35" fillId="0" borderId="29" xfId="15" applyFont="1" applyBorder="1" applyAlignment="1">
      <alignment vertical="center"/>
    </xf>
    <xf numFmtId="0" fontId="35" fillId="0" borderId="30" xfId="15" applyFont="1" applyBorder="1" applyAlignment="1">
      <alignment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26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31" fillId="0" borderId="27" xfId="0" applyFont="1" applyBorder="1" applyAlignment="1">
      <alignment vertical="center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92" fontId="34" fillId="0" borderId="22" xfId="19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30" xfId="4" applyNumberFormat="1" applyFont="1" applyFill="1" applyBorder="1" applyAlignment="1">
      <alignment horizontal="center" vertical="center"/>
    </xf>
    <xf numFmtId="189" fontId="92" fillId="0" borderId="30" xfId="4" applyNumberFormat="1" applyFont="1" applyBorder="1" applyAlignment="1">
      <alignment horizontal="center" vertical="center"/>
    </xf>
    <xf numFmtId="194" fontId="92" fillId="8" borderId="30" xfId="6" applyNumberFormat="1" applyFont="1" applyFill="1" applyBorder="1" applyAlignment="1">
      <alignment horizontal="center" vertical="center"/>
    </xf>
    <xf numFmtId="189" fontId="92" fillId="0" borderId="30" xfId="3" applyNumberFormat="1" applyFont="1" applyBorder="1" applyAlignment="1">
      <alignment horizontal="center" vertical="center"/>
    </xf>
    <xf numFmtId="10" fontId="92" fillId="0" borderId="30" xfId="3" applyNumberFormat="1" applyFont="1" applyBorder="1" applyAlignment="1">
      <alignment horizontal="center" vertical="center"/>
    </xf>
    <xf numFmtId="194" fontId="92" fillId="8" borderId="30" xfId="3" applyNumberFormat="1" applyFont="1" applyFill="1" applyBorder="1" applyAlignment="1">
      <alignment horizontal="center" vertical="center"/>
    </xf>
    <xf numFmtId="195" fontId="92" fillId="8" borderId="30" xfId="4" applyNumberFormat="1" applyFont="1" applyFill="1" applyBorder="1" applyAlignment="1">
      <alignment horizontal="center" vertical="center"/>
    </xf>
    <xf numFmtId="10" fontId="92" fillId="0" borderId="30" xfId="4" applyNumberFormat="1" applyFont="1" applyBorder="1" applyAlignment="1">
      <alignment horizontal="center" vertical="center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4" borderId="27" xfId="0" applyNumberFormat="1" applyFont="1" applyFill="1" applyBorder="1" applyAlignment="1">
      <alignment horizontal="center" vertical="center"/>
    </xf>
    <xf numFmtId="179" fontId="31" fillId="14" borderId="28" xfId="0" applyNumberFormat="1" applyFont="1" applyFill="1" applyBorder="1" applyAlignment="1">
      <alignment horizontal="center" vertical="center"/>
    </xf>
    <xf numFmtId="179" fontId="31" fillId="14" borderId="25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0" borderId="27" xfId="11" applyFont="1" applyBorder="1" applyAlignment="1">
      <alignment shrinkToFit="1"/>
    </xf>
    <xf numFmtId="0" fontId="44" fillId="0" borderId="25" xfId="11" applyFont="1" applyBorder="1" applyAlignment="1">
      <alignment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2" fillId="0" borderId="27" xfId="11" applyFont="1" applyBorder="1" applyAlignment="1">
      <alignment shrinkToFit="1"/>
    </xf>
    <xf numFmtId="0" fontId="52" fillId="0" borderId="25" xfId="11" applyFont="1" applyBorder="1" applyAlignment="1">
      <alignment shrinkToFit="1"/>
    </xf>
    <xf numFmtId="0" fontId="44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52" fillId="0" borderId="22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68" fillId="0" borderId="22" xfId="0" applyFont="1" applyBorder="1" applyAlignment="1">
      <alignment shrinkToFit="1"/>
    </xf>
    <xf numFmtId="0" fontId="108" fillId="0" borderId="22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0" fillId="0" borderId="31" xfId="0" applyFont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0" fillId="0" borderId="27" xfId="0" applyFont="1" applyBorder="1" applyAlignment="1">
      <alignment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44" fillId="0" borderId="28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4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4" xfId="11" applyFont="1" applyBorder="1" applyAlignment="1">
      <alignment horizontal="center" vertical="center" shrinkToFit="1"/>
    </xf>
    <xf numFmtId="0" fontId="45" fillId="0" borderId="49" xfId="11" applyFont="1" applyFill="1" applyBorder="1" applyAlignment="1">
      <alignment horizontal="center" vertical="center"/>
    </xf>
    <xf numFmtId="0" fontId="26" fillId="0" borderId="56" xfId="11" applyFont="1" applyFill="1" applyBorder="1" applyAlignment="1">
      <alignment horizontal="center" vertical="center" shrinkToFit="1"/>
    </xf>
    <xf numFmtId="0" fontId="12" fillId="19" borderId="47" xfId="11" applyFont="1" applyFill="1" applyBorder="1" applyAlignment="1">
      <alignment horizontal="center" vertical="center" shrinkToFit="1"/>
    </xf>
    <xf numFmtId="0" fontId="12" fillId="19" borderId="48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24" fillId="0" borderId="50" xfId="11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43" xfId="0" applyFont="1" applyBorder="1" applyAlignment="1">
      <alignment shrinkToFit="1"/>
    </xf>
    <xf numFmtId="0" fontId="5" fillId="0" borderId="45" xfId="0" applyFont="1" applyBorder="1" applyAlignment="1">
      <alignment shrinkToFit="1"/>
    </xf>
    <xf numFmtId="0" fontId="5" fillId="0" borderId="44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43" xfId="0" applyFont="1" applyBorder="1" applyAlignment="1">
      <alignment horizontal="center" shrinkToFit="1"/>
    </xf>
    <xf numFmtId="0" fontId="9" fillId="0" borderId="44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194" fontId="92" fillId="0" borderId="23" xfId="15" applyNumberFormat="1" applyFont="1" applyBorder="1" applyAlignment="1">
      <alignment horizontal="center" vertical="center"/>
    </xf>
    <xf numFmtId="194" fontId="92" fillId="0" borderId="29" xfId="15" applyNumberFormat="1" applyFont="1" applyBorder="1" applyAlignment="1">
      <alignment horizontal="center" vertical="center"/>
    </xf>
    <xf numFmtId="194" fontId="35" fillId="0" borderId="23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1&#26376;\18&#24230;\&#26185;&#27427;18&#24230;&#24037;&#20316;&#26085;&#22577;&#34920;115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1&#26376;\4&#24230;\&#26185;&#27427;&#22235;&#24230;&#24037;&#20316;&#26085;&#22577;&#34920;115%2001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廠價總表"/>
      <sheetName val="ST總表"/>
      <sheetName val="晉欣18度C1230"/>
      <sheetName val="晉欣18度C1231"/>
      <sheetName val="晉欣18度C0101"/>
      <sheetName val="晉欣18度C0102"/>
      <sheetName val="晉欣18度C0103"/>
      <sheetName val="晉欣18度C0104"/>
      <sheetName val="晉欣18度C0105"/>
      <sheetName val="晉欣18度C0106"/>
      <sheetName val="晉欣18度C0107"/>
      <sheetName val="晉欣18度C0108"/>
      <sheetName val="晉欣18度C0109"/>
      <sheetName val="晉欣18度C0110"/>
      <sheetName val="晉欣18度C0111"/>
      <sheetName val="晉欣18度C0112"/>
      <sheetName val="工作表1"/>
      <sheetName val="晉欣18度C0113"/>
      <sheetName val="晉欣18度C0114"/>
      <sheetName val="晉欣18度C0115"/>
      <sheetName val="晉欣18度C0116"/>
      <sheetName val="晉欣18度C0117"/>
      <sheetName val="晉欣18度C0118"/>
      <sheetName val="晉欣18度C0119"/>
      <sheetName val="晉欣18度C0120"/>
      <sheetName val="晉欣18度C0121"/>
      <sheetName val="晉欣18度C0122"/>
      <sheetName val="晉欣18度C0123"/>
      <sheetName val="晉欣18度C0124"/>
      <sheetName val="晉欣18度C0125"/>
      <sheetName val="晉欣18度C0126"/>
      <sheetName val="晉欣18度C0127"/>
      <sheetName val="晉欣18度C0128"/>
      <sheetName val="晉欣18度C0129"/>
      <sheetName val="晉欣18度C0130"/>
      <sheetName val="晉欣18度C0131"/>
      <sheetName val="晉欣18度C0201"/>
      <sheetName val="晉欣18度C0202"/>
      <sheetName val="填寫舉例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18℃-飯糰）"/>
      <sheetName val="（５-2）品群別人時生產性（18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(報廢)"/>
      <sheetName val="生產管理報表 8-2(報廢)"/>
      <sheetName val="生產管理報表 8-3(超用)"/>
      <sheetName val="生產管理報表 8-4(超用)"/>
      <sheetName val="生產管理報表 9"/>
      <sheetName val="報廢20大－原因別分析"/>
      <sheetName val="超用20大－原因別分析"/>
      <sheetName val="日別報廢率總表  "/>
      <sheetName val="鮮食品群番"/>
    </sheetNames>
    <sheetDataSet>
      <sheetData sheetId="0" refreshError="1"/>
      <sheetData sheetId="1" refreshError="1">
        <row r="1">
          <cell r="A1" t="str">
            <v>品項</v>
          </cell>
        </row>
        <row r="2">
          <cell r="A2" t="str">
            <v>經典肉鬆飯糰</v>
          </cell>
          <cell r="B2">
            <v>4</v>
          </cell>
          <cell r="C2">
            <v>2200</v>
          </cell>
          <cell r="D2">
            <v>550</v>
          </cell>
        </row>
        <row r="3">
          <cell r="A3" t="str">
            <v>蔬食鮪魚飯糰</v>
          </cell>
          <cell r="B3">
            <v>3</v>
          </cell>
          <cell r="C3">
            <v>2700</v>
          </cell>
          <cell r="D3">
            <v>900</v>
          </cell>
        </row>
        <row r="4">
          <cell r="A4" t="str">
            <v>北海道秋鮭親子飯糰</v>
          </cell>
          <cell r="B4">
            <v>4</v>
          </cell>
          <cell r="C4">
            <v>3600</v>
          </cell>
          <cell r="D4">
            <v>900</v>
          </cell>
        </row>
        <row r="5">
          <cell r="A5" t="str">
            <v>熟成紅鮭飯糰</v>
          </cell>
          <cell r="B5">
            <v>4</v>
          </cell>
          <cell r="C5">
            <v>3600</v>
          </cell>
          <cell r="D5">
            <v>900</v>
          </cell>
        </row>
        <row r="6">
          <cell r="A6" t="str">
            <v>鮪魚飯糰</v>
          </cell>
          <cell r="B6">
            <v>3</v>
          </cell>
          <cell r="C6">
            <v>3600</v>
          </cell>
          <cell r="D6">
            <v>1200</v>
          </cell>
        </row>
        <row r="7">
          <cell r="A7" t="str">
            <v>贅沢鮭魚肚飯糰</v>
          </cell>
          <cell r="B7">
            <v>3</v>
          </cell>
          <cell r="C7">
            <v>3600</v>
          </cell>
          <cell r="D7">
            <v>1200</v>
          </cell>
        </row>
        <row r="8">
          <cell r="A8" t="str">
            <v>海老天婦羅飯糰</v>
          </cell>
          <cell r="B8">
            <v>4</v>
          </cell>
          <cell r="C8">
            <v>3600</v>
          </cell>
          <cell r="D8">
            <v>900</v>
          </cell>
        </row>
        <row r="9">
          <cell r="A9" t="str">
            <v>鮪魚飯糰</v>
          </cell>
          <cell r="B9">
            <v>3</v>
          </cell>
          <cell r="C9">
            <v>3600</v>
          </cell>
          <cell r="D9">
            <v>1200</v>
          </cell>
        </row>
        <row r="10">
          <cell r="A10" t="str">
            <v>贅沢鮭魚肚飯糰</v>
          </cell>
          <cell r="B10">
            <v>3</v>
          </cell>
          <cell r="C10">
            <v>3600</v>
          </cell>
          <cell r="D10">
            <v>1200</v>
          </cell>
        </row>
        <row r="11">
          <cell r="A11" t="str">
            <v>海老天婦羅飯糰</v>
          </cell>
          <cell r="B11">
            <v>4</v>
          </cell>
          <cell r="C11">
            <v>3600</v>
          </cell>
          <cell r="D11">
            <v>900</v>
          </cell>
        </row>
        <row r="12">
          <cell r="A12" t="str">
            <v>壹號醬炙烤牛飯糰</v>
          </cell>
          <cell r="B12">
            <v>4</v>
          </cell>
          <cell r="C12">
            <v>3300</v>
          </cell>
          <cell r="D12">
            <v>825</v>
          </cell>
        </row>
        <row r="13">
          <cell r="A13" t="str">
            <v>明太子龍蝦風味沙拉飯糰</v>
          </cell>
          <cell r="B13">
            <v>3</v>
          </cell>
          <cell r="C13">
            <v>3300</v>
          </cell>
          <cell r="D13">
            <v>1100</v>
          </cell>
        </row>
        <row r="14">
          <cell r="A14" t="str">
            <v>鹽蔥燒肉飯糰</v>
          </cell>
          <cell r="B14">
            <v>3</v>
          </cell>
          <cell r="C14">
            <v>3300</v>
          </cell>
          <cell r="D14">
            <v>1100</v>
          </cell>
        </row>
        <row r="15">
          <cell r="A15" t="str">
            <v>泰式酸辣雞絲飯糰(區)</v>
          </cell>
          <cell r="B15">
            <v>4</v>
          </cell>
          <cell r="C15">
            <v>3300</v>
          </cell>
          <cell r="D15">
            <v>825</v>
          </cell>
        </row>
        <row r="16">
          <cell r="A16" t="str">
            <v>香辣鹹水雞飯糰(區)</v>
          </cell>
          <cell r="B16">
            <v>4</v>
          </cell>
          <cell r="C16">
            <v>3300</v>
          </cell>
          <cell r="D16">
            <v>825</v>
          </cell>
        </row>
        <row r="17">
          <cell r="A17" t="str">
            <v>三杯辣海瓜子飯糰</v>
          </cell>
          <cell r="B17">
            <v>3</v>
          </cell>
          <cell r="C17">
            <v>3300</v>
          </cell>
          <cell r="D17">
            <v>1100</v>
          </cell>
        </row>
        <row r="18">
          <cell r="A18" t="str">
            <v>雞肉飯飯糰</v>
          </cell>
          <cell r="B18">
            <v>4</v>
          </cell>
          <cell r="C18">
            <v>3300</v>
          </cell>
          <cell r="D18">
            <v>825</v>
          </cell>
        </row>
        <row r="19">
          <cell r="A19" t="str">
            <v>碳烤燒肉飯飯糰(區)</v>
          </cell>
          <cell r="B19">
            <v>4</v>
          </cell>
          <cell r="C19">
            <v>3300</v>
          </cell>
          <cell r="D19">
            <v>825</v>
          </cell>
        </row>
        <row r="20">
          <cell r="A20" t="str">
            <v>二配芝麻香鬆飯糰</v>
          </cell>
          <cell r="B20">
            <v>4</v>
          </cell>
          <cell r="C20">
            <v>3600</v>
          </cell>
          <cell r="D20">
            <v>900</v>
          </cell>
        </row>
        <row r="21">
          <cell r="A21" t="str">
            <v>二配大飯糰韓式炸雞</v>
          </cell>
          <cell r="B21">
            <v>4</v>
          </cell>
          <cell r="C21">
            <v>3000</v>
          </cell>
          <cell r="D21">
            <v>750</v>
          </cell>
        </row>
        <row r="22">
          <cell r="A22" t="str">
            <v>二配大飯糰春川風味辣炒雞</v>
          </cell>
          <cell r="B22">
            <v>4</v>
          </cell>
          <cell r="C22">
            <v>3000</v>
          </cell>
          <cell r="D22">
            <v>750</v>
          </cell>
        </row>
        <row r="23">
          <cell r="A23" t="str">
            <v>二配大飯糰椒香鮪魚</v>
          </cell>
          <cell r="B23">
            <v>4</v>
          </cell>
          <cell r="C23">
            <v>3000</v>
          </cell>
          <cell r="D23">
            <v>750</v>
          </cell>
        </row>
        <row r="24">
          <cell r="A24" t="str">
            <v>二配油蔥G絲飯糰</v>
          </cell>
          <cell r="B24">
            <v>4</v>
          </cell>
          <cell r="C24">
            <v>3600</v>
          </cell>
          <cell r="D24">
            <v>900</v>
          </cell>
        </row>
        <row r="25">
          <cell r="A25" t="str">
            <v>胡麻鮮蔬雞絲飯糰(區)</v>
          </cell>
          <cell r="B25">
            <v>4</v>
          </cell>
          <cell r="C25">
            <v>2500</v>
          </cell>
          <cell r="D25">
            <v>625</v>
          </cell>
        </row>
        <row r="26">
          <cell r="A26" t="str">
            <v>哇沙米魚卵沙拉飯糰</v>
          </cell>
          <cell r="B26">
            <v>3</v>
          </cell>
          <cell r="C26">
            <v>2700</v>
          </cell>
          <cell r="D26">
            <v>900</v>
          </cell>
        </row>
        <row r="27">
          <cell r="A27" t="str">
            <v>照燒鰤魚大根飯糰</v>
          </cell>
          <cell r="B27">
            <v>4</v>
          </cell>
          <cell r="C27">
            <v>3000</v>
          </cell>
          <cell r="D27">
            <v>750</v>
          </cell>
        </row>
        <row r="28">
          <cell r="A28" t="str">
            <v>日式厚蛋脆卷</v>
          </cell>
          <cell r="B28">
            <v>15</v>
          </cell>
          <cell r="C28">
            <v>1200</v>
          </cell>
          <cell r="D28">
            <v>80</v>
          </cell>
        </row>
        <row r="29">
          <cell r="A29" t="str">
            <v>長野稻荷壽司</v>
          </cell>
          <cell r="B29">
            <v>10</v>
          </cell>
          <cell r="C29">
            <v>1500</v>
          </cell>
          <cell r="D29">
            <v>150</v>
          </cell>
        </row>
        <row r="30">
          <cell r="A30" t="str">
            <v>雙饗雙手卷</v>
          </cell>
          <cell r="B30">
            <v>15</v>
          </cell>
          <cell r="C30">
            <v>1800</v>
          </cell>
          <cell r="D30">
            <v>120</v>
          </cell>
        </row>
        <row r="31">
          <cell r="A31" t="str">
            <v>海饌雙手卷</v>
          </cell>
          <cell r="B31">
            <v>15</v>
          </cell>
          <cell r="C31">
            <v>1800</v>
          </cell>
          <cell r="D31">
            <v>120</v>
          </cell>
        </row>
        <row r="32">
          <cell r="A32" t="str">
            <v>芝麻海苔香鬆細卷</v>
          </cell>
          <cell r="B32">
            <v>6</v>
          </cell>
          <cell r="C32">
            <v>1500</v>
          </cell>
          <cell r="D32">
            <v>250</v>
          </cell>
        </row>
        <row r="33">
          <cell r="A33" t="str">
            <v>鮪魚沙拉細卷</v>
          </cell>
          <cell r="B33">
            <v>5</v>
          </cell>
          <cell r="C33">
            <v>1500</v>
          </cell>
          <cell r="D33">
            <v>300</v>
          </cell>
        </row>
        <row r="34">
          <cell r="A34" t="str">
            <v>炙烤焦糖鮭魚細卷</v>
          </cell>
          <cell r="B34">
            <v>5</v>
          </cell>
          <cell r="C34">
            <v>1500</v>
          </cell>
          <cell r="D34">
            <v>300</v>
          </cell>
        </row>
        <row r="35">
          <cell r="A35" t="str">
            <v>新之助の豆皮壽司喔</v>
          </cell>
          <cell r="B35">
            <v>10</v>
          </cell>
          <cell r="C35">
            <v>1500</v>
          </cell>
          <cell r="D35">
            <v>150</v>
          </cell>
        </row>
        <row r="36">
          <cell r="A36" t="str">
            <v>筋子銀鮭飯糰</v>
          </cell>
          <cell r="B36">
            <v>4</v>
          </cell>
          <cell r="C36">
            <v>3600</v>
          </cell>
          <cell r="D36">
            <v>900</v>
          </cell>
        </row>
        <row r="37">
          <cell r="A37" t="str">
            <v>博多明太子奶油飯糰</v>
          </cell>
          <cell r="B37">
            <v>4</v>
          </cell>
          <cell r="C37">
            <v>3600</v>
          </cell>
          <cell r="D37">
            <v>900</v>
          </cell>
        </row>
        <row r="38">
          <cell r="A38" t="str">
            <v>照燒雞肉飯糰</v>
          </cell>
          <cell r="B38">
            <v>4</v>
          </cell>
          <cell r="C38">
            <v>3300</v>
          </cell>
          <cell r="D38">
            <v>825</v>
          </cell>
        </row>
        <row r="39">
          <cell r="A39" t="str">
            <v>香濃起司蟹風味棒細卷</v>
          </cell>
          <cell r="B39">
            <v>5</v>
          </cell>
          <cell r="C39">
            <v>1500</v>
          </cell>
          <cell r="D39">
            <v>300</v>
          </cell>
        </row>
        <row r="40">
          <cell r="A40" t="str">
            <v>經典鮪魚沙拉細卷</v>
          </cell>
          <cell r="B40">
            <v>5</v>
          </cell>
          <cell r="C40">
            <v>1500</v>
          </cell>
          <cell r="D40">
            <v>300</v>
          </cell>
        </row>
        <row r="41">
          <cell r="A41" t="str">
            <v>雙鬆細卷</v>
          </cell>
          <cell r="B41">
            <v>5</v>
          </cell>
          <cell r="C41">
            <v>1500</v>
          </cell>
          <cell r="D41">
            <v>300</v>
          </cell>
        </row>
        <row r="42">
          <cell r="A42" t="str">
            <v>滿滿海鮮沙拉脆卷</v>
          </cell>
          <cell r="B42">
            <v>15</v>
          </cell>
          <cell r="C42">
            <v>1200</v>
          </cell>
          <cell r="D42">
            <v>80</v>
          </cell>
        </row>
        <row r="43">
          <cell r="A43" t="str">
            <v>椒鹽檸檬鯖魚飯糰</v>
          </cell>
          <cell r="B43">
            <v>3</v>
          </cell>
          <cell r="C43">
            <v>2800</v>
          </cell>
          <cell r="D43">
            <v>933.33333333333337</v>
          </cell>
        </row>
        <row r="44">
          <cell r="A44" t="str">
            <v>油蔥雞汁飯糰(區)</v>
          </cell>
          <cell r="B44">
            <v>4</v>
          </cell>
          <cell r="C44">
            <v>2800</v>
          </cell>
          <cell r="D44">
            <v>700</v>
          </cell>
        </row>
        <row r="45">
          <cell r="A45" t="str">
            <v>二配三杯醬爆菇菇飯糰</v>
          </cell>
          <cell r="B45">
            <v>3</v>
          </cell>
          <cell r="C45">
            <v>2800</v>
          </cell>
          <cell r="D45">
            <v>933.33333333333337</v>
          </cell>
        </row>
        <row r="46">
          <cell r="A46" t="str">
            <v>明太子玉子脆卷</v>
          </cell>
          <cell r="B46">
            <v>15</v>
          </cell>
          <cell r="C46">
            <v>1200</v>
          </cell>
          <cell r="D46">
            <v>80</v>
          </cell>
        </row>
        <row r="47">
          <cell r="A47" t="str">
            <v>二配大飯糰鮪魚昆布</v>
          </cell>
          <cell r="B47">
            <v>4</v>
          </cell>
          <cell r="C47">
            <v>3000</v>
          </cell>
          <cell r="D47">
            <v>750</v>
          </cell>
        </row>
        <row r="48">
          <cell r="A48" t="str">
            <v>二配大飯糰韓式蒜烤豬五花</v>
          </cell>
          <cell r="B48">
            <v>4</v>
          </cell>
          <cell r="C48">
            <v>3000</v>
          </cell>
          <cell r="D48">
            <v>750</v>
          </cell>
        </row>
        <row r="49">
          <cell r="A49" t="str">
            <v>二配大飯糰滷肉飯加蛋</v>
          </cell>
          <cell r="B49">
            <v>4</v>
          </cell>
          <cell r="C49">
            <v>3000</v>
          </cell>
          <cell r="D49">
            <v>750</v>
          </cell>
        </row>
        <row r="50">
          <cell r="A50" t="str">
            <v>鮭魚奶油醬油飯糰</v>
          </cell>
          <cell r="B50">
            <v>3</v>
          </cell>
          <cell r="C50">
            <v>2800</v>
          </cell>
          <cell r="D50">
            <v>933.33333333333337</v>
          </cell>
        </row>
        <row r="51">
          <cell r="A51" t="str">
            <v>明太子乳酪起司沙拉飯糰</v>
          </cell>
          <cell r="B51">
            <v>4</v>
          </cell>
          <cell r="C51">
            <v>2800</v>
          </cell>
          <cell r="D51">
            <v>700</v>
          </cell>
        </row>
        <row r="52">
          <cell r="A52" t="str">
            <v>真明太子玉子飯糰</v>
          </cell>
          <cell r="B52">
            <v>4</v>
          </cell>
          <cell r="C52">
            <v>2800</v>
          </cell>
          <cell r="D52">
            <v>700</v>
          </cell>
        </row>
        <row r="53">
          <cell r="A53" t="str">
            <v>香料咖哩烤雞飯卷</v>
          </cell>
          <cell r="B53">
            <v>13</v>
          </cell>
          <cell r="C53">
            <v>1500</v>
          </cell>
          <cell r="D53">
            <v>115.38461538461539</v>
          </cell>
        </row>
        <row r="54">
          <cell r="A54" t="str">
            <v>麻油鹽炙烤豬肉飯卷</v>
          </cell>
          <cell r="B54">
            <v>13</v>
          </cell>
          <cell r="C54">
            <v>1500</v>
          </cell>
          <cell r="D54">
            <v>115.38461538461539</v>
          </cell>
        </row>
        <row r="55">
          <cell r="A55" t="str">
            <v>兩粒飯糰(鮪魚.焦糖鮭魚)</v>
          </cell>
          <cell r="B55">
            <v>12</v>
          </cell>
          <cell r="C55">
            <v>1500</v>
          </cell>
          <cell r="D55">
            <v>125</v>
          </cell>
        </row>
        <row r="56">
          <cell r="A56" t="str">
            <v>麻油雞飯糰</v>
          </cell>
          <cell r="B56">
            <v>18</v>
          </cell>
          <cell r="C56">
            <v>1250</v>
          </cell>
          <cell r="D56">
            <v>69.444444444444443</v>
          </cell>
        </row>
        <row r="57">
          <cell r="A57" t="str">
            <v>德式酸菜燻腸飯卷</v>
          </cell>
          <cell r="B57">
            <v>13</v>
          </cell>
          <cell r="C57">
            <v>1500</v>
          </cell>
          <cell r="D57">
            <v>115.38461538461539</v>
          </cell>
        </row>
        <row r="58">
          <cell r="A58" t="str">
            <v>日式明太子炙烤牛飯卷</v>
          </cell>
          <cell r="B58">
            <v>13</v>
          </cell>
          <cell r="C58">
            <v>1500</v>
          </cell>
          <cell r="D58">
            <v>115.38461538461539</v>
          </cell>
        </row>
        <row r="59">
          <cell r="A59" t="str">
            <v>核桃腰果稻荷壽司組</v>
          </cell>
          <cell r="B59">
            <v>13</v>
          </cell>
          <cell r="C59">
            <v>1300</v>
          </cell>
          <cell r="D59">
            <v>100</v>
          </cell>
        </row>
        <row r="60">
          <cell r="A60" t="str">
            <v>明太子泡菜牛飯卷</v>
          </cell>
          <cell r="B60">
            <v>13</v>
          </cell>
          <cell r="C60">
            <v>1500</v>
          </cell>
          <cell r="D60">
            <v>115.38461538461539</v>
          </cell>
        </row>
        <row r="61">
          <cell r="A61" t="str">
            <v>鴻運烏魚子紹興飯糰</v>
          </cell>
          <cell r="B61">
            <v>4</v>
          </cell>
          <cell r="C61">
            <v>2800</v>
          </cell>
          <cell r="D61">
            <v>700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ST總表"/>
      <sheetName val="商品廠價總表"/>
      <sheetName val="全家類別表"/>
      <sheetName val="晉欣4度C1230"/>
      <sheetName val="晉欣4度C1231"/>
      <sheetName val="晉欣4度C0101"/>
      <sheetName val="晉欣4度C0102"/>
      <sheetName val="晉欣4度C0103"/>
      <sheetName val="晉欣4度C0104"/>
      <sheetName val="工作表1"/>
      <sheetName val="工作表4"/>
      <sheetName val="晉欣4度C0105"/>
      <sheetName val="晉欣4度C0106"/>
      <sheetName val="晉欣4度C0107"/>
      <sheetName val="晉欣4度C0108"/>
      <sheetName val="晉欣4度C0109"/>
      <sheetName val="晉欣4度C0110"/>
      <sheetName val="晉欣4度C0111"/>
      <sheetName val="晉欣4度C0112"/>
      <sheetName val="晉欣4度C0113"/>
      <sheetName val="晉欣4度C0114"/>
      <sheetName val="晉欣4度C0115"/>
      <sheetName val="晉欣4度C0116"/>
      <sheetName val="晉欣4度C0117"/>
      <sheetName val="晉欣4度C0118"/>
      <sheetName val="晉欣4度C0119"/>
      <sheetName val="晉欣4度C0120"/>
      <sheetName val="晉欣4度C0121"/>
      <sheetName val="晉欣4度C0122"/>
      <sheetName val="晉欣4度C0123"/>
      <sheetName val="晉欣4度C0124"/>
      <sheetName val="晉欣4度C0125"/>
      <sheetName val="晉欣4度C0126"/>
      <sheetName val="晉欣4度C0127"/>
      <sheetName val="晉欣4度C0128"/>
      <sheetName val="晉欣4度C0129"/>
      <sheetName val="晉欣4度C0130"/>
      <sheetName val="晉欣4度C0131"/>
      <sheetName val="晉欣4度C0201"/>
      <sheetName val="晉欣4度C0202"/>
    </sheetNames>
    <sheetDataSet>
      <sheetData sheetId="0" refreshError="1"/>
      <sheetData sheetId="1" refreshError="1">
        <row r="3">
          <cell r="B3" t="str">
            <v>椒麻香蔥雞涼拌麵</v>
          </cell>
          <cell r="C3">
            <v>20</v>
          </cell>
          <cell r="D3">
            <v>2400</v>
          </cell>
          <cell r="E3">
            <v>120</v>
          </cell>
          <cell r="F3">
            <v>0.91</v>
          </cell>
        </row>
        <row r="4">
          <cell r="B4" t="str">
            <v>大滿足香辣涼麵</v>
          </cell>
          <cell r="C4">
            <v>18</v>
          </cell>
          <cell r="D4">
            <v>3000</v>
          </cell>
          <cell r="E4">
            <v>166.7</v>
          </cell>
          <cell r="F4">
            <v>0.99</v>
          </cell>
        </row>
        <row r="5">
          <cell r="B5" t="str">
            <v>大滿足麻醬涼麵</v>
          </cell>
          <cell r="C5">
            <v>19</v>
          </cell>
          <cell r="D5">
            <v>3000</v>
          </cell>
          <cell r="E5">
            <v>157.9</v>
          </cell>
          <cell r="F5">
            <v>0.99</v>
          </cell>
        </row>
        <row r="6">
          <cell r="B6" t="str">
            <v>台式麻醬涼麵</v>
          </cell>
          <cell r="C6">
            <v>18</v>
          </cell>
          <cell r="D6">
            <v>3000</v>
          </cell>
          <cell r="E6">
            <v>166.7</v>
          </cell>
          <cell r="F6">
            <v>0.99</v>
          </cell>
        </row>
        <row r="7">
          <cell r="B7" t="str">
            <v>日式蕎麥沾麵</v>
          </cell>
          <cell r="C7">
            <v>20</v>
          </cell>
          <cell r="D7">
            <v>2250</v>
          </cell>
          <cell r="E7">
            <v>112.5</v>
          </cell>
          <cell r="F7">
            <v>0.92</v>
          </cell>
        </row>
        <row r="8">
          <cell r="B8" t="str">
            <v>東京豚骨風味拉麵</v>
          </cell>
          <cell r="C8">
            <v>21</v>
          </cell>
          <cell r="D8">
            <v>1385</v>
          </cell>
          <cell r="E8">
            <v>65.900000000000006</v>
          </cell>
          <cell r="F8">
            <v>0.71</v>
          </cell>
        </row>
        <row r="9">
          <cell r="B9" t="str">
            <v>醬油叉燒拉麵</v>
          </cell>
          <cell r="C9">
            <v>21</v>
          </cell>
          <cell r="D9">
            <v>1385</v>
          </cell>
          <cell r="E9">
            <v>65.900000000000006</v>
          </cell>
          <cell r="F9">
            <v>0.71</v>
          </cell>
        </row>
        <row r="10">
          <cell r="B10" t="str">
            <v>濃厚豚骨拉麵</v>
          </cell>
          <cell r="C10">
            <v>21</v>
          </cell>
          <cell r="D10">
            <v>1385</v>
          </cell>
          <cell r="E10">
            <v>65.900000000000006</v>
          </cell>
          <cell r="F10">
            <v>0.71</v>
          </cell>
        </row>
        <row r="11">
          <cell r="B11" t="str">
            <v>柚子雞白湯拉麵</v>
          </cell>
          <cell r="C11">
            <v>21</v>
          </cell>
          <cell r="D11">
            <v>1385</v>
          </cell>
          <cell r="E11">
            <v>65.900000000000006</v>
          </cell>
          <cell r="F11">
            <v>0.71</v>
          </cell>
        </row>
        <row r="12">
          <cell r="B12" t="str">
            <v>蕃茄起司手工千層麵(區2)</v>
          </cell>
          <cell r="C12">
            <v>14</v>
          </cell>
          <cell r="D12">
            <v>1500</v>
          </cell>
          <cell r="E12">
            <v>107.14285714285714</v>
          </cell>
          <cell r="F12">
            <v>0.8</v>
          </cell>
        </row>
        <row r="13">
          <cell r="B13" t="str">
            <v>麻婆豆腐波浪麵</v>
          </cell>
          <cell r="C13">
            <v>17</v>
          </cell>
          <cell r="D13">
            <v>1500</v>
          </cell>
          <cell r="E13">
            <v>88.235294117647058</v>
          </cell>
          <cell r="F13">
            <v>0.8</v>
          </cell>
        </row>
        <row r="14">
          <cell r="B14" t="str">
            <v>愛恨椒芝麵</v>
          </cell>
          <cell r="C14">
            <v>16</v>
          </cell>
          <cell r="D14">
            <v>1636</v>
          </cell>
          <cell r="E14">
            <v>102.25</v>
          </cell>
          <cell r="F14">
            <v>0.86</v>
          </cell>
        </row>
        <row r="15">
          <cell r="B15" t="str">
            <v>鮑滿福氣中華燴麵</v>
          </cell>
          <cell r="C15">
            <v>18</v>
          </cell>
          <cell r="D15">
            <v>1636</v>
          </cell>
          <cell r="E15">
            <v>90.888888888888886</v>
          </cell>
          <cell r="F15">
            <v>0.88</v>
          </cell>
        </row>
        <row r="16">
          <cell r="B16" t="str">
            <v>熱食義麵</v>
          </cell>
          <cell r="C16" t="str">
            <v>人數</v>
          </cell>
          <cell r="D16" t="str">
            <v>產能</v>
          </cell>
          <cell r="E16" t="str">
            <v>人時性</v>
          </cell>
          <cell r="F16" t="str">
            <v>編成率</v>
          </cell>
        </row>
        <row r="17">
          <cell r="B17" t="str">
            <v>沙茶豬肉炒麵</v>
          </cell>
          <cell r="C17">
            <v>19</v>
          </cell>
          <cell r="D17">
            <v>1636</v>
          </cell>
          <cell r="E17">
            <v>86.1</v>
          </cell>
          <cell r="F17">
            <v>0.84</v>
          </cell>
        </row>
        <row r="18">
          <cell r="B18" t="str">
            <v>府城鹽水意麵</v>
          </cell>
          <cell r="C18">
            <v>18</v>
          </cell>
          <cell r="D18">
            <v>1636</v>
          </cell>
          <cell r="E18">
            <v>90.9</v>
          </cell>
          <cell r="F18">
            <v>0.82</v>
          </cell>
        </row>
        <row r="19">
          <cell r="B19" t="str">
            <v>蔥蔥玉子拌麵</v>
          </cell>
          <cell r="C19">
            <v>18</v>
          </cell>
          <cell r="D19">
            <v>1500</v>
          </cell>
          <cell r="E19">
            <v>83.3</v>
          </cell>
          <cell r="F19">
            <v>0.82</v>
          </cell>
        </row>
        <row r="20">
          <cell r="B20" t="str">
            <v>雙醬雞排鐵板麵</v>
          </cell>
          <cell r="C20">
            <v>18</v>
          </cell>
          <cell r="D20">
            <v>1636</v>
          </cell>
          <cell r="E20">
            <v>90.9</v>
          </cell>
          <cell r="F20">
            <v>0.85</v>
          </cell>
        </row>
        <row r="21">
          <cell r="B21" t="str">
            <v>蛤蜊五目中華燴麵</v>
          </cell>
          <cell r="C21">
            <v>18</v>
          </cell>
          <cell r="D21">
            <v>1385</v>
          </cell>
          <cell r="E21">
            <v>76.900000000000006</v>
          </cell>
          <cell r="F21">
            <v>0.78</v>
          </cell>
        </row>
        <row r="22">
          <cell r="B22" t="str">
            <v>蕃茄起司手工千層麵(區2)</v>
          </cell>
          <cell r="C22">
            <v>14</v>
          </cell>
          <cell r="D22">
            <v>1500</v>
          </cell>
          <cell r="E22">
            <v>107.1</v>
          </cell>
          <cell r="F22">
            <v>0.82</v>
          </cell>
        </row>
        <row r="23">
          <cell r="B23" t="str">
            <v>麻婆豆腐波浪麵</v>
          </cell>
          <cell r="C23">
            <v>18</v>
          </cell>
          <cell r="D23">
            <v>1500</v>
          </cell>
          <cell r="E23">
            <v>83.3</v>
          </cell>
          <cell r="F23">
            <v>0.79</v>
          </cell>
        </row>
        <row r="24">
          <cell r="B24" t="str">
            <v>明太子雞叉燒拌麵</v>
          </cell>
          <cell r="C24">
            <v>19</v>
          </cell>
          <cell r="D24">
            <v>1385</v>
          </cell>
          <cell r="E24">
            <v>72.900000000000006</v>
          </cell>
          <cell r="F24">
            <v>0.78</v>
          </cell>
        </row>
        <row r="25">
          <cell r="B25" t="str">
            <v>愛恨椒芝麵</v>
          </cell>
          <cell r="C25">
            <v>17</v>
          </cell>
          <cell r="D25">
            <v>1636</v>
          </cell>
          <cell r="E25">
            <v>96.3</v>
          </cell>
          <cell r="F25">
            <v>0.89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小吃</v>
          </cell>
          <cell r="C28" t="str">
            <v>人數</v>
          </cell>
          <cell r="D28" t="str">
            <v>產能</v>
          </cell>
          <cell r="E28" t="str">
            <v>人時性</v>
          </cell>
          <cell r="F28" t="str">
            <v>編成率</v>
          </cell>
        </row>
        <row r="29">
          <cell r="B29" t="str">
            <v>古早味炒炊粉</v>
          </cell>
          <cell r="C29">
            <v>17</v>
          </cell>
          <cell r="D29">
            <v>1440</v>
          </cell>
          <cell r="E29">
            <v>84.7</v>
          </cell>
          <cell r="F29">
            <v>0.84</v>
          </cell>
        </row>
        <row r="30">
          <cell r="B30" t="str">
            <v>香辣醬粉絲煲</v>
          </cell>
          <cell r="C30">
            <v>19</v>
          </cell>
          <cell r="D30">
            <v>1500</v>
          </cell>
          <cell r="E30">
            <v>78.900000000000006</v>
          </cell>
          <cell r="F30">
            <v>0.84</v>
          </cell>
        </row>
        <row r="31">
          <cell r="B31" t="str">
            <v>蒜泥狠台味三拼</v>
          </cell>
          <cell r="C31">
            <v>19</v>
          </cell>
          <cell r="D31">
            <v>1440</v>
          </cell>
          <cell r="E31">
            <v>75.8</v>
          </cell>
          <cell r="F31">
            <v>0.85</v>
          </cell>
        </row>
        <row r="32">
          <cell r="B32" t="str">
            <v>韓式蒜味炸雞</v>
          </cell>
          <cell r="C32">
            <v>6</v>
          </cell>
          <cell r="D32">
            <v>1500</v>
          </cell>
          <cell r="E32">
            <v>250</v>
          </cell>
          <cell r="F32">
            <v>0.89</v>
          </cell>
        </row>
        <row r="33">
          <cell r="B33" t="str">
            <v>韓式部隊鍋</v>
          </cell>
          <cell r="C33">
            <v>21</v>
          </cell>
          <cell r="D33">
            <v>1385</v>
          </cell>
          <cell r="E33">
            <v>65.900000000000006</v>
          </cell>
          <cell r="F33">
            <v>0.71</v>
          </cell>
        </row>
        <row r="34">
          <cell r="B34" t="str">
            <v>日式壽喜燒</v>
          </cell>
          <cell r="C34">
            <v>21</v>
          </cell>
          <cell r="D34">
            <v>1385</v>
          </cell>
          <cell r="E34">
            <v>65.900000000000006</v>
          </cell>
          <cell r="F34">
            <v>0.71</v>
          </cell>
        </row>
        <row r="35">
          <cell r="B35" t="str">
            <v>燻之味-糖燻豬耳絲</v>
          </cell>
          <cell r="C35">
            <v>6</v>
          </cell>
          <cell r="D35">
            <v>1500</v>
          </cell>
          <cell r="E35">
            <v>250</v>
          </cell>
          <cell r="F35">
            <v>0.89</v>
          </cell>
        </row>
        <row r="36">
          <cell r="B36" t="str">
            <v>燻之味-糖燻雞胗</v>
          </cell>
          <cell r="C36">
            <v>6</v>
          </cell>
          <cell r="D36">
            <v>1500</v>
          </cell>
          <cell r="E36">
            <v>250</v>
          </cell>
          <cell r="F36">
            <v>0.89</v>
          </cell>
        </row>
        <row r="37">
          <cell r="B37" t="str">
            <v>糖燻豬耳絲</v>
          </cell>
          <cell r="C37">
            <v>6</v>
          </cell>
          <cell r="D37">
            <v>1500</v>
          </cell>
          <cell r="E37">
            <v>250</v>
          </cell>
          <cell r="F37">
            <v>0.89</v>
          </cell>
        </row>
        <row r="38">
          <cell r="B38" t="str">
            <v>虱目魚粥</v>
          </cell>
          <cell r="C38">
            <v>21</v>
          </cell>
          <cell r="D38">
            <v>1385</v>
          </cell>
          <cell r="E38">
            <v>65.900000000000006</v>
          </cell>
          <cell r="F38">
            <v>0.71</v>
          </cell>
        </row>
        <row r="39">
          <cell r="B39" t="str">
            <v>主食(二配)</v>
          </cell>
          <cell r="C39" t="str">
            <v>人數</v>
          </cell>
          <cell r="D39" t="str">
            <v>產能</v>
          </cell>
          <cell r="E39" t="str">
            <v>人時性</v>
          </cell>
          <cell r="F39" t="str">
            <v>編成率</v>
          </cell>
        </row>
        <row r="40">
          <cell r="B40" t="str">
            <v>二配香辣醬蒜味香腸蛋炒飯</v>
          </cell>
          <cell r="C40">
            <v>16</v>
          </cell>
          <cell r="D40">
            <v>1440</v>
          </cell>
          <cell r="E40">
            <v>90</v>
          </cell>
          <cell r="F40">
            <v>0.91</v>
          </cell>
        </row>
        <row r="41">
          <cell r="B41" t="str">
            <v>主食</v>
          </cell>
          <cell r="C41" t="str">
            <v>人數</v>
          </cell>
          <cell r="D41" t="str">
            <v>產能</v>
          </cell>
          <cell r="E41" t="str">
            <v>人時性</v>
          </cell>
          <cell r="F41" t="str">
            <v>編成率</v>
          </cell>
        </row>
        <row r="42">
          <cell r="B42" t="str">
            <v>鐵板滑蛋炸豬排丼</v>
          </cell>
          <cell r="C42">
            <v>16</v>
          </cell>
          <cell r="D42">
            <v>1565</v>
          </cell>
          <cell r="E42">
            <v>97.8</v>
          </cell>
          <cell r="F42">
            <v>0.84</v>
          </cell>
        </row>
        <row r="43">
          <cell r="B43" t="str">
            <v>極上炙烤親子丼</v>
          </cell>
          <cell r="C43">
            <v>16</v>
          </cell>
          <cell r="D43">
            <v>1500</v>
          </cell>
          <cell r="E43">
            <v>93.8</v>
          </cell>
          <cell r="F43">
            <v>0.83</v>
          </cell>
        </row>
        <row r="44">
          <cell r="B44" t="str">
            <v>蒜蒜燒豚飯</v>
          </cell>
          <cell r="C44">
            <v>21</v>
          </cell>
          <cell r="D44">
            <v>1500</v>
          </cell>
          <cell r="E44">
            <v>71.400000000000006</v>
          </cell>
          <cell r="F44">
            <v>0.84</v>
          </cell>
        </row>
        <row r="45">
          <cell r="B45" t="str">
            <v>壽喜燒牛丼</v>
          </cell>
          <cell r="C45">
            <v>17</v>
          </cell>
          <cell r="D45">
            <v>1500</v>
          </cell>
          <cell r="E45">
            <v>88.2</v>
          </cell>
          <cell r="F45">
            <v>0.86</v>
          </cell>
        </row>
        <row r="46">
          <cell r="B46" t="str">
            <v>壹號醬雞豚雙拼</v>
          </cell>
          <cell r="C46">
            <v>19</v>
          </cell>
          <cell r="D46">
            <v>1500</v>
          </cell>
          <cell r="E46">
            <v>78.900000000000006</v>
          </cell>
          <cell r="F46">
            <v>0.85</v>
          </cell>
        </row>
        <row r="47">
          <cell r="B47" t="str">
            <v>妮妮家漢堡排</v>
          </cell>
          <cell r="C47">
            <v>18</v>
          </cell>
          <cell r="D47">
            <v>1500</v>
          </cell>
          <cell r="E47">
            <v>83.3</v>
          </cell>
          <cell r="F47">
            <v>0.81</v>
          </cell>
        </row>
        <row r="48">
          <cell r="B48" t="str">
            <v>優質池上飯-機台</v>
          </cell>
          <cell r="C48">
            <v>6</v>
          </cell>
          <cell r="D48">
            <v>1500</v>
          </cell>
          <cell r="E48">
            <v>250</v>
          </cell>
          <cell r="F48">
            <v>0.88</v>
          </cell>
        </row>
        <row r="49">
          <cell r="B49" t="str">
            <v>日式野菜烘蛋燴飯</v>
          </cell>
          <cell r="C49">
            <v>16</v>
          </cell>
          <cell r="D49">
            <v>1500</v>
          </cell>
          <cell r="E49">
            <v>93.8</v>
          </cell>
          <cell r="F49">
            <v>0.86</v>
          </cell>
        </row>
        <row r="50">
          <cell r="B50" t="str">
            <v>多穀紫米飯</v>
          </cell>
          <cell r="C50">
            <v>6</v>
          </cell>
          <cell r="D50">
            <v>1500</v>
          </cell>
          <cell r="E50">
            <v>250</v>
          </cell>
          <cell r="F50">
            <v>0.93</v>
          </cell>
        </row>
        <row r="51">
          <cell r="B51" t="str">
            <v>二配西班牙風味海鮮燉飯</v>
          </cell>
          <cell r="C51">
            <v>17</v>
          </cell>
          <cell r="D51">
            <v>1385</v>
          </cell>
          <cell r="E51">
            <v>81.400000000000006</v>
          </cell>
          <cell r="F51">
            <v>0.82</v>
          </cell>
        </row>
        <row r="52">
          <cell r="B52" t="str">
            <v>二配粗飽系雞排炒飯</v>
          </cell>
          <cell r="C52">
            <v>16</v>
          </cell>
          <cell r="D52">
            <v>1440</v>
          </cell>
          <cell r="E52">
            <v>90</v>
          </cell>
          <cell r="F52">
            <v>0.8</v>
          </cell>
        </row>
        <row r="53">
          <cell r="B53" t="str">
            <v>二配泰式綠咖哩雞</v>
          </cell>
          <cell r="C53">
            <v>17</v>
          </cell>
          <cell r="D53">
            <v>1440</v>
          </cell>
          <cell r="E53">
            <v>84.7</v>
          </cell>
          <cell r="F53">
            <v>0.83</v>
          </cell>
        </row>
        <row r="54">
          <cell r="B54" t="str">
            <v>二配厚香料咖哩雞排飯</v>
          </cell>
          <cell r="C54">
            <v>17</v>
          </cell>
          <cell r="D54">
            <v>1500</v>
          </cell>
          <cell r="E54">
            <v>88.2</v>
          </cell>
          <cell r="F54">
            <v>0.84</v>
          </cell>
        </row>
        <row r="55">
          <cell r="B55" t="str">
            <v>二配起司控培根白醬焗烤飯</v>
          </cell>
          <cell r="C55">
            <v>20</v>
          </cell>
          <cell r="D55">
            <v>1500</v>
          </cell>
          <cell r="E55">
            <v>75</v>
          </cell>
          <cell r="F55">
            <v>0.88</v>
          </cell>
        </row>
        <row r="56">
          <cell r="B56" t="str">
            <v>二配失控起司薯餅焗飯</v>
          </cell>
          <cell r="C56">
            <v>16</v>
          </cell>
          <cell r="D56">
            <v>1565</v>
          </cell>
          <cell r="E56">
            <v>97.8</v>
          </cell>
          <cell r="F56">
            <v>0.84</v>
          </cell>
        </row>
        <row r="57">
          <cell r="B57" t="str">
            <v>主食(二配)</v>
          </cell>
          <cell r="C57" t="str">
            <v>人數</v>
          </cell>
          <cell r="D57" t="str">
            <v>產能</v>
          </cell>
          <cell r="E57" t="str">
            <v>人時性</v>
          </cell>
          <cell r="F57" t="str">
            <v>編成率</v>
          </cell>
        </row>
        <row r="58">
          <cell r="B58" t="str">
            <v>二配香辣醬蒜味香腸蛋炒飯</v>
          </cell>
          <cell r="C58">
            <v>16</v>
          </cell>
          <cell r="D58">
            <v>1440</v>
          </cell>
          <cell r="E58">
            <v>90</v>
          </cell>
          <cell r="F58">
            <v>0.91</v>
          </cell>
        </row>
        <row r="59">
          <cell r="B59" t="str">
            <v>二配香拌海鮮醬肉絲蛋炒飯</v>
          </cell>
          <cell r="C59">
            <v>14</v>
          </cell>
          <cell r="D59">
            <v>1440</v>
          </cell>
          <cell r="E59">
            <v>102.9</v>
          </cell>
          <cell r="F59">
            <v>0.89</v>
          </cell>
        </row>
        <row r="60">
          <cell r="B60" t="str">
            <v>二配金咖哩果香甘口咖哩飯</v>
          </cell>
          <cell r="C60">
            <v>17</v>
          </cell>
          <cell r="D60">
            <v>1440</v>
          </cell>
          <cell r="E60">
            <v>84.7</v>
          </cell>
          <cell r="F60">
            <v>0.84</v>
          </cell>
        </row>
        <row r="61">
          <cell r="B61" t="str">
            <v>二配金咖哩濃厚辛口咖哩飯</v>
          </cell>
          <cell r="C61">
            <v>18</v>
          </cell>
          <cell r="D61">
            <v>1440</v>
          </cell>
          <cell r="E61">
            <v>80</v>
          </cell>
          <cell r="F61">
            <v>0.83</v>
          </cell>
        </row>
        <row r="62">
          <cell r="B62" t="str">
            <v>二配川味麻婆燒豆腐燴飯</v>
          </cell>
          <cell r="C62">
            <v>15</v>
          </cell>
          <cell r="D62">
            <v>1440</v>
          </cell>
          <cell r="E62">
            <v>96</v>
          </cell>
          <cell r="F62">
            <v>0.83</v>
          </cell>
        </row>
        <row r="63">
          <cell r="B63" t="str">
            <v>二配里肌豬排可可咖哩歐姆蛋飯</v>
          </cell>
          <cell r="C63">
            <v>18</v>
          </cell>
          <cell r="D63">
            <v>1636</v>
          </cell>
          <cell r="E63">
            <v>90.9</v>
          </cell>
          <cell r="F63">
            <v>0.87</v>
          </cell>
        </row>
        <row r="64">
          <cell r="B64" t="str">
            <v>二配黃金雞排蘑菇白醬歐姆蛋飯</v>
          </cell>
          <cell r="C64">
            <v>18</v>
          </cell>
          <cell r="D64">
            <v>1636</v>
          </cell>
          <cell r="E64">
            <v>90.9</v>
          </cell>
          <cell r="F64">
            <v>0.88</v>
          </cell>
        </row>
        <row r="65">
          <cell r="B65" t="str">
            <v>二配煸椒烘蛋飯</v>
          </cell>
          <cell r="C65">
            <v>16</v>
          </cell>
          <cell r="D65">
            <v>1500</v>
          </cell>
          <cell r="E65">
            <v>93.8</v>
          </cell>
          <cell r="F65">
            <v>0.87</v>
          </cell>
        </row>
        <row r="66">
          <cell r="B66" t="str">
            <v>二配哞哞培根奶香海陸焗飯</v>
          </cell>
          <cell r="C66">
            <v>18</v>
          </cell>
          <cell r="D66">
            <v>1440</v>
          </cell>
          <cell r="E66">
            <v>80</v>
          </cell>
          <cell r="F66">
            <v>0.83</v>
          </cell>
        </row>
        <row r="67">
          <cell r="B67" t="str">
            <v>二配鐵板蘑菇肉醬起司焗飯</v>
          </cell>
          <cell r="C67">
            <v>17</v>
          </cell>
          <cell r="D67">
            <v>1636</v>
          </cell>
          <cell r="E67">
            <v>96.3</v>
          </cell>
          <cell r="F67">
            <v>0.83</v>
          </cell>
        </row>
        <row r="68">
          <cell r="B68" t="str">
            <v>二配港式香滑嫩蛋牛肉燴飯</v>
          </cell>
          <cell r="C68">
            <v>17</v>
          </cell>
          <cell r="D68">
            <v>1500</v>
          </cell>
          <cell r="E68">
            <v>88.2</v>
          </cell>
          <cell r="F68">
            <v>0.83</v>
          </cell>
        </row>
        <row r="69">
          <cell r="B69" t="str">
            <v>二配美味蟹煲</v>
          </cell>
          <cell r="C69">
            <v>18</v>
          </cell>
          <cell r="D69">
            <v>1500</v>
          </cell>
          <cell r="E69">
            <v>83.3</v>
          </cell>
          <cell r="F69">
            <v>0.85</v>
          </cell>
        </row>
        <row r="70">
          <cell r="B70" t="str">
            <v>二配乳酪燻腸紅醬焗飯</v>
          </cell>
          <cell r="C70">
            <v>17</v>
          </cell>
          <cell r="D70">
            <v>1440</v>
          </cell>
          <cell r="E70">
            <v>84.7</v>
          </cell>
          <cell r="F70">
            <v>0.81</v>
          </cell>
        </row>
        <row r="71">
          <cell r="B71" t="str">
            <v>二配西班牙風味海鮮燉飯</v>
          </cell>
          <cell r="C71">
            <v>18</v>
          </cell>
          <cell r="D71">
            <v>1385</v>
          </cell>
          <cell r="E71">
            <v>76.900000000000006</v>
          </cell>
          <cell r="F71">
            <v>0.81</v>
          </cell>
        </row>
        <row r="72">
          <cell r="B72" t="str">
            <v>二配粗飽系雞排炒飯</v>
          </cell>
          <cell r="C72">
            <v>18</v>
          </cell>
          <cell r="D72">
            <v>1440</v>
          </cell>
          <cell r="E72">
            <v>80</v>
          </cell>
          <cell r="F72">
            <v>0.8</v>
          </cell>
        </row>
        <row r="73">
          <cell r="B73" t="str">
            <v>二配泰式綠咖哩雞</v>
          </cell>
          <cell r="C73">
            <v>18</v>
          </cell>
          <cell r="D73">
            <v>1440</v>
          </cell>
          <cell r="E73">
            <v>80</v>
          </cell>
          <cell r="F73">
            <v>0.83</v>
          </cell>
        </row>
        <row r="74">
          <cell r="B74" t="str">
            <v>二配厚香料咖哩雞排飯</v>
          </cell>
          <cell r="C74">
            <v>15</v>
          </cell>
          <cell r="D74">
            <v>1500</v>
          </cell>
          <cell r="E74">
            <v>100</v>
          </cell>
          <cell r="F74">
            <v>0.82</v>
          </cell>
        </row>
        <row r="75">
          <cell r="B75" t="str">
            <v>二配起司控培根白醬焗烤飯</v>
          </cell>
          <cell r="C75">
            <v>20</v>
          </cell>
          <cell r="D75">
            <v>1500</v>
          </cell>
          <cell r="E75">
            <v>75</v>
          </cell>
          <cell r="F75">
            <v>0.87</v>
          </cell>
        </row>
        <row r="76">
          <cell r="B76" t="str">
            <v>二配失控起司薯餅焗飯</v>
          </cell>
          <cell r="C76">
            <v>17</v>
          </cell>
          <cell r="D76">
            <v>1440</v>
          </cell>
          <cell r="E76">
            <v>84.7</v>
          </cell>
          <cell r="F76">
            <v>0</v>
          </cell>
        </row>
        <row r="77">
          <cell r="B77" t="str">
            <v>二配麻油雞燴飯</v>
          </cell>
          <cell r="C77">
            <v>18</v>
          </cell>
          <cell r="D77">
            <v>1440</v>
          </cell>
          <cell r="E77">
            <v>80</v>
          </cell>
          <cell r="F77">
            <v>0.81</v>
          </cell>
        </row>
        <row r="78">
          <cell r="B78" t="str">
            <v>二配蒙古風味烤肉飯</v>
          </cell>
          <cell r="C78">
            <v>18</v>
          </cell>
          <cell r="D78">
            <v>1385</v>
          </cell>
          <cell r="E78">
            <v>76.900000000000006</v>
          </cell>
          <cell r="F78">
            <v>0.82</v>
          </cell>
        </row>
        <row r="79">
          <cell r="B79" t="str">
            <v>二配鮭魚蛋炒飯</v>
          </cell>
          <cell r="C79">
            <v>17</v>
          </cell>
          <cell r="D79">
            <v>1440</v>
          </cell>
          <cell r="E79">
            <v>84.7</v>
          </cell>
          <cell r="F79">
            <v>0.81</v>
          </cell>
        </row>
        <row r="80">
          <cell r="B80" t="str">
            <v>便當</v>
          </cell>
          <cell r="C80" t="str">
            <v>人數</v>
          </cell>
          <cell r="D80" t="str">
            <v>產能</v>
          </cell>
          <cell r="E80" t="str">
            <v>人時性</v>
          </cell>
          <cell r="F80" t="str">
            <v>編成率</v>
          </cell>
        </row>
        <row r="81">
          <cell r="B81" t="str">
            <v>新招牌腿排便當</v>
          </cell>
          <cell r="C81">
            <v>17</v>
          </cell>
          <cell r="D81">
            <v>1440</v>
          </cell>
          <cell r="E81">
            <v>84.7</v>
          </cell>
          <cell r="F81">
            <v>0.85</v>
          </cell>
        </row>
        <row r="82">
          <cell r="B82" t="str">
            <v>經典滷肉飯</v>
          </cell>
          <cell r="C82">
            <v>17</v>
          </cell>
          <cell r="D82">
            <v>1636</v>
          </cell>
          <cell r="E82">
            <v>96.3</v>
          </cell>
          <cell r="F82">
            <v>0.85</v>
          </cell>
        </row>
        <row r="83">
          <cell r="B83" t="str">
            <v>健身G肉餐盒</v>
          </cell>
          <cell r="C83">
            <v>19</v>
          </cell>
          <cell r="D83">
            <v>1385</v>
          </cell>
          <cell r="E83">
            <v>72.900000000000006</v>
          </cell>
          <cell r="F83">
            <v>0.79</v>
          </cell>
        </row>
        <row r="84">
          <cell r="B84" t="str">
            <v>烤蛋白餐盒</v>
          </cell>
          <cell r="C84">
            <v>19</v>
          </cell>
          <cell r="D84">
            <v>1440</v>
          </cell>
          <cell r="E84">
            <v>75.8</v>
          </cell>
          <cell r="F84">
            <v>0.83</v>
          </cell>
        </row>
        <row r="85">
          <cell r="B85" t="str">
            <v>美式雞丁餐盒</v>
          </cell>
          <cell r="C85">
            <v>17</v>
          </cell>
          <cell r="D85">
            <v>1440</v>
          </cell>
          <cell r="E85">
            <v>84.7</v>
          </cell>
          <cell r="F85">
            <v>0.84</v>
          </cell>
        </row>
        <row r="86">
          <cell r="B86" t="str">
            <v>嘉義劉里長雞肉飯</v>
          </cell>
          <cell r="C86">
            <v>18</v>
          </cell>
          <cell r="D86">
            <v>1440</v>
          </cell>
          <cell r="E86">
            <v>80</v>
          </cell>
          <cell r="F86">
            <v>0.81</v>
          </cell>
        </row>
        <row r="87">
          <cell r="B87" t="str">
            <v>嫩烤香料雞胸排蔬滿盒</v>
          </cell>
          <cell r="C87">
            <v>19</v>
          </cell>
          <cell r="D87">
            <v>1440</v>
          </cell>
          <cell r="E87">
            <v>75.8</v>
          </cell>
          <cell r="F87">
            <v>0.85</v>
          </cell>
        </row>
        <row r="88">
          <cell r="B88" t="str">
            <v>海陸雙拼肉肉餐盒</v>
          </cell>
          <cell r="C88">
            <v>17</v>
          </cell>
          <cell r="D88">
            <v>1385</v>
          </cell>
          <cell r="E88">
            <v>81.400000000000006</v>
          </cell>
          <cell r="F88">
            <v>0.79</v>
          </cell>
        </row>
        <row r="89">
          <cell r="B89" t="str">
            <v>蔬活腿排補力餐盒</v>
          </cell>
          <cell r="C89">
            <v>19</v>
          </cell>
          <cell r="D89">
            <v>1385</v>
          </cell>
          <cell r="E89">
            <v>72.900000000000006</v>
          </cell>
          <cell r="F89">
            <v>0.84</v>
          </cell>
        </row>
        <row r="90">
          <cell r="B90" t="str">
            <v>照燒豬排纖食餐盒</v>
          </cell>
          <cell r="C90">
            <v>15</v>
          </cell>
          <cell r="D90">
            <v>1565</v>
          </cell>
          <cell r="E90">
            <v>104.3</v>
          </cell>
          <cell r="F90">
            <v>0.88</v>
          </cell>
        </row>
        <row r="91">
          <cell r="B91" t="str">
            <v>香腸腿排雙拼便當</v>
          </cell>
          <cell r="C91">
            <v>16</v>
          </cell>
          <cell r="D91">
            <v>1440</v>
          </cell>
          <cell r="E91">
            <v>90</v>
          </cell>
          <cell r="F91">
            <v>0.82</v>
          </cell>
        </row>
        <row r="92">
          <cell r="B92" t="str">
            <v>香烤藍尾鱈魚五行餐盒</v>
          </cell>
          <cell r="C92">
            <v>16</v>
          </cell>
          <cell r="D92">
            <v>1440</v>
          </cell>
          <cell r="E92">
            <v>90</v>
          </cell>
          <cell r="F92">
            <v>0.83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B94" t="str">
            <v>大口</v>
          </cell>
          <cell r="C94" t="str">
            <v>人數</v>
          </cell>
          <cell r="D94" t="str">
            <v>產能</v>
          </cell>
          <cell r="E94" t="str">
            <v>人時性</v>
          </cell>
          <cell r="F94" t="str">
            <v>編成率</v>
          </cell>
        </row>
        <row r="95">
          <cell r="B95" t="str">
            <v>大口蒜味香腸燒肉雙拼飯糰</v>
          </cell>
          <cell r="C95">
            <v>12</v>
          </cell>
          <cell r="D95">
            <v>2250</v>
          </cell>
          <cell r="E95">
            <v>187.5</v>
          </cell>
          <cell r="F95">
            <v>0.89</v>
          </cell>
        </row>
        <row r="96">
          <cell r="B96" t="str">
            <v>大口義式香草雞腿排飯糰</v>
          </cell>
          <cell r="C96">
            <v>11</v>
          </cell>
          <cell r="D96">
            <v>2118</v>
          </cell>
          <cell r="E96">
            <v>192.5</v>
          </cell>
          <cell r="F96">
            <v>0.91</v>
          </cell>
        </row>
        <row r="97">
          <cell r="B97" t="str">
            <v>大口金黃薯牛堡飯糰</v>
          </cell>
          <cell r="C97">
            <v>14</v>
          </cell>
          <cell r="D97">
            <v>2118</v>
          </cell>
          <cell r="E97">
            <v>151.30000000000001</v>
          </cell>
          <cell r="F97">
            <v>0.85</v>
          </cell>
        </row>
        <row r="98">
          <cell r="B98" t="str">
            <v>大口日式塔塔醬蝦排飯糰</v>
          </cell>
          <cell r="C98">
            <v>13</v>
          </cell>
          <cell r="D98">
            <v>2118</v>
          </cell>
          <cell r="E98">
            <v>162.9</v>
          </cell>
          <cell r="F98">
            <v>0.81</v>
          </cell>
        </row>
        <row r="99">
          <cell r="B99" t="str">
            <v>大口歐風焙煎咖哩漢堡排飯糰</v>
          </cell>
          <cell r="C99">
            <v>11</v>
          </cell>
          <cell r="D99">
            <v>2250</v>
          </cell>
          <cell r="E99">
            <v>204.5</v>
          </cell>
          <cell r="F99">
            <v>0.83</v>
          </cell>
        </row>
        <row r="100">
          <cell r="B100" t="str">
            <v>香料咖哩炸雞烤飯糰</v>
          </cell>
          <cell r="C100">
            <v>6</v>
          </cell>
          <cell r="D100">
            <v>2000</v>
          </cell>
          <cell r="E100">
            <v>333.33333333333331</v>
          </cell>
          <cell r="F100">
            <v>0</v>
          </cell>
        </row>
        <row r="101">
          <cell r="B101" t="str">
            <v>鮭魚炙燒明太子烤飯糰</v>
          </cell>
          <cell r="C101">
            <v>4</v>
          </cell>
          <cell r="D101">
            <v>2000</v>
          </cell>
          <cell r="E101">
            <v>500</v>
          </cell>
          <cell r="F101">
            <v>0</v>
          </cell>
        </row>
        <row r="102">
          <cell r="B102" t="str">
            <v>淡麗清酒蒸蛤蜊烤飯糰</v>
          </cell>
          <cell r="C102">
            <v>4</v>
          </cell>
          <cell r="D102">
            <v>2000</v>
          </cell>
          <cell r="E102">
            <v>500</v>
          </cell>
          <cell r="F102">
            <v>0</v>
          </cell>
        </row>
        <row r="103">
          <cell r="B103" t="str">
            <v>糖燻野郎起司炙燒牛烤飯糰</v>
          </cell>
          <cell r="C103">
            <v>4</v>
          </cell>
          <cell r="D103">
            <v>2000</v>
          </cell>
          <cell r="E103">
            <v>500</v>
          </cell>
          <cell r="F103">
            <v>0</v>
          </cell>
        </row>
        <row r="104">
          <cell r="B104" t="str">
            <v>和風牛肉咖哩炸飯糰</v>
          </cell>
          <cell r="C104">
            <v>4</v>
          </cell>
          <cell r="D104">
            <v>2000</v>
          </cell>
          <cell r="E104">
            <v>500</v>
          </cell>
          <cell r="F104">
            <v>0</v>
          </cell>
        </row>
        <row r="105">
          <cell r="B105" t="str">
            <v>長野稻荷壽司</v>
          </cell>
          <cell r="C105">
            <v>10</v>
          </cell>
          <cell r="D105">
            <v>1500</v>
          </cell>
          <cell r="E105">
            <v>150</v>
          </cell>
          <cell r="F105">
            <v>0</v>
          </cell>
        </row>
        <row r="106">
          <cell r="B106" t="str">
            <v>二配兩粒飯糰(鮪魚.焦糖鮭魚)</v>
          </cell>
          <cell r="C106">
            <v>12</v>
          </cell>
          <cell r="D106">
            <v>1500</v>
          </cell>
          <cell r="E106">
            <v>125</v>
          </cell>
          <cell r="F106">
            <v>0</v>
          </cell>
        </row>
        <row r="107">
          <cell r="B107" t="str">
            <v>二配兔兔昆布飯糰</v>
          </cell>
          <cell r="C107">
            <v>8</v>
          </cell>
          <cell r="D107">
            <v>1800</v>
          </cell>
          <cell r="E107">
            <v>225</v>
          </cell>
          <cell r="F107">
            <v>0</v>
          </cell>
        </row>
        <row r="108">
          <cell r="B108" t="str">
            <v>優質池上飯</v>
          </cell>
          <cell r="C108">
            <v>6</v>
          </cell>
          <cell r="D108">
            <v>1500</v>
          </cell>
          <cell r="E108">
            <v>250</v>
          </cell>
          <cell r="F108">
            <v>0</v>
          </cell>
        </row>
        <row r="109">
          <cell r="B109" t="str">
            <v>(隨)優質池上飯</v>
          </cell>
          <cell r="C109">
            <v>6</v>
          </cell>
          <cell r="D109">
            <v>1500</v>
          </cell>
          <cell r="E109">
            <v>250</v>
          </cell>
          <cell r="F109">
            <v>0</v>
          </cell>
        </row>
        <row r="110">
          <cell r="B110" t="str">
            <v>大口起司熔岩白醬炸魚飯糰</v>
          </cell>
          <cell r="C110">
            <v>11</v>
          </cell>
          <cell r="D110">
            <v>2250</v>
          </cell>
          <cell r="E110">
            <v>192.5</v>
          </cell>
          <cell r="F110">
            <v>0</v>
          </cell>
        </row>
        <row r="111">
          <cell r="B111" t="str">
            <v>大口法式蕈菇起司雞排飯糰</v>
          </cell>
          <cell r="C111">
            <v>10</v>
          </cell>
          <cell r="D111">
            <v>2250</v>
          </cell>
          <cell r="E111">
            <v>225</v>
          </cell>
          <cell r="F111">
            <v>0</v>
          </cell>
        </row>
        <row r="112">
          <cell r="B112" t="str">
            <v>大口義式香草雞腿排飯糰</v>
          </cell>
          <cell r="C112">
            <v>9</v>
          </cell>
          <cell r="D112">
            <v>2796</v>
          </cell>
          <cell r="E112">
            <v>307.7</v>
          </cell>
          <cell r="F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霜降和牛飯糰</v>
          </cell>
          <cell r="C124">
            <v>11</v>
          </cell>
          <cell r="D124">
            <v>1800</v>
          </cell>
          <cell r="E124">
            <v>163.63636363636363</v>
          </cell>
          <cell r="F124">
            <v>0</v>
          </cell>
        </row>
        <row r="125">
          <cell r="B125" t="str">
            <v>二配兔兔昆布飯糰</v>
          </cell>
          <cell r="C125">
            <v>8</v>
          </cell>
          <cell r="D125">
            <v>1800</v>
          </cell>
          <cell r="E125">
            <v>225</v>
          </cell>
          <cell r="F125">
            <v>0</v>
          </cell>
        </row>
        <row r="126">
          <cell r="B126" t="str">
            <v>肉燥烤飯糰</v>
          </cell>
          <cell r="C126">
            <v>4</v>
          </cell>
          <cell r="D126">
            <v>2000</v>
          </cell>
          <cell r="E126">
            <v>500</v>
          </cell>
          <cell r="F126">
            <v>0</v>
          </cell>
        </row>
        <row r="127">
          <cell r="B127" t="str">
            <v>蒜泥狠台味三拼</v>
          </cell>
          <cell r="C127">
            <v>20</v>
          </cell>
          <cell r="D127">
            <v>1440</v>
          </cell>
          <cell r="E127">
            <v>72</v>
          </cell>
          <cell r="F127">
            <v>0</v>
          </cell>
        </row>
        <row r="128">
          <cell r="B128" t="str">
            <v>德式酸菜燻腸飯卷</v>
          </cell>
          <cell r="C128">
            <v>13</v>
          </cell>
          <cell r="D128">
            <v>1500</v>
          </cell>
          <cell r="E128">
            <v>115.38461538461539</v>
          </cell>
          <cell r="F128">
            <v>0</v>
          </cell>
        </row>
        <row r="129">
          <cell r="B129" t="str">
            <v>德腸烤飯糰雙拼餐盒</v>
          </cell>
          <cell r="C129">
            <v>15</v>
          </cell>
          <cell r="D129">
            <v>1500</v>
          </cell>
          <cell r="E129">
            <v>100</v>
          </cell>
          <cell r="F129">
            <v>0</v>
          </cell>
        </row>
        <row r="130">
          <cell r="B130" t="str">
            <v>韓式部隊鍋</v>
          </cell>
          <cell r="C130">
            <v>22</v>
          </cell>
          <cell r="D130">
            <v>1200</v>
          </cell>
          <cell r="E130">
            <v>54.545454545454547</v>
          </cell>
          <cell r="F130">
            <v>0</v>
          </cell>
        </row>
        <row r="131">
          <cell r="B131" t="str">
            <v>長野稻荷壽司</v>
          </cell>
          <cell r="C131">
            <v>10</v>
          </cell>
          <cell r="D131">
            <v>1500</v>
          </cell>
          <cell r="E131">
            <v>150</v>
          </cell>
          <cell r="F131">
            <v>0</v>
          </cell>
        </row>
        <row r="132">
          <cell r="B132" t="str">
            <v>二配兩粒飯糰(鮪魚.焦糖鮭魚)</v>
          </cell>
          <cell r="C132">
            <v>12</v>
          </cell>
          <cell r="D132">
            <v>1500</v>
          </cell>
          <cell r="E132">
            <v>125</v>
          </cell>
          <cell r="F132">
            <v>0</v>
          </cell>
        </row>
        <row r="133">
          <cell r="B133" t="str">
            <v>香料咖哩炸雞烤飯糰</v>
          </cell>
          <cell r="C133">
            <v>6</v>
          </cell>
          <cell r="D133">
            <v>2000</v>
          </cell>
          <cell r="E133">
            <v>333.33333333333331</v>
          </cell>
          <cell r="F133">
            <v>0</v>
          </cell>
        </row>
        <row r="134">
          <cell r="B134" t="str">
            <v>明太子奶油炸飯糰</v>
          </cell>
          <cell r="C134">
            <v>4</v>
          </cell>
          <cell r="D134">
            <v>2000</v>
          </cell>
          <cell r="E134">
            <v>500</v>
          </cell>
          <cell r="F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B146" t="str">
            <v>兩粒飯糰(鮪魚.焦糖鮭魚)</v>
          </cell>
          <cell r="C146">
            <v>12</v>
          </cell>
          <cell r="D146">
            <v>1500</v>
          </cell>
          <cell r="E146">
            <v>125</v>
          </cell>
          <cell r="F146">
            <v>0</v>
          </cell>
        </row>
        <row r="147">
          <cell r="B147" t="str">
            <v>預估產能</v>
          </cell>
          <cell r="C147">
            <v>0</v>
          </cell>
          <cell r="D147" t="str">
            <v>顆</v>
          </cell>
          <cell r="E147" t="str">
            <v>產能</v>
          </cell>
          <cell r="F147">
            <v>0</v>
          </cell>
        </row>
        <row r="148">
          <cell r="B148">
            <v>1300</v>
          </cell>
          <cell r="C148">
            <v>0</v>
          </cell>
          <cell r="D148">
            <v>20</v>
          </cell>
          <cell r="E148">
            <v>1200</v>
          </cell>
          <cell r="F148">
            <v>0</v>
          </cell>
        </row>
        <row r="149">
          <cell r="B149" t="str">
            <v>麵1400-1500</v>
          </cell>
          <cell r="C149">
            <v>0</v>
          </cell>
          <cell r="D149">
            <v>22</v>
          </cell>
          <cell r="E149">
            <v>1320</v>
          </cell>
          <cell r="F149">
            <v>0</v>
          </cell>
        </row>
        <row r="150">
          <cell r="F15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10" t="s">
        <v>12</v>
      </c>
      <c r="D21" s="493"/>
      <c r="E21" s="486"/>
      <c r="F21" s="50" t="s">
        <v>46</v>
      </c>
      <c r="G21" s="50" t="s">
        <v>48</v>
      </c>
      <c r="H21" s="50" t="s">
        <v>49</v>
      </c>
      <c r="I21" s="8" t="s">
        <v>13</v>
      </c>
      <c r="J21" s="502" t="s">
        <v>51</v>
      </c>
      <c r="K21" s="486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485" t="s">
        <v>14</v>
      </c>
      <c r="D22" s="493"/>
      <c r="E22" s="486"/>
      <c r="F22" s="4">
        <v>3</v>
      </c>
      <c r="G22" s="4">
        <v>3000</v>
      </c>
      <c r="H22" s="4">
        <v>1000</v>
      </c>
      <c r="I22" s="4">
        <v>10</v>
      </c>
      <c r="J22" s="492" t="s">
        <v>76</v>
      </c>
      <c r="K22" s="486"/>
      <c r="M22" s="53" t="s">
        <v>26</v>
      </c>
      <c r="N22" s="58" t="s">
        <v>47</v>
      </c>
      <c r="O22" s="498" t="s">
        <v>12</v>
      </c>
      <c r="P22" s="493"/>
      <c r="Q22" s="486"/>
      <c r="R22" s="504" t="s">
        <v>53</v>
      </c>
      <c r="S22" s="493"/>
      <c r="T22" s="486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02" t="s">
        <v>51</v>
      </c>
      <c r="AA22" s="486"/>
    </row>
    <row r="23" spans="1:27" ht="15.75" customHeight="1">
      <c r="A23" s="23"/>
      <c r="B23" s="6">
        <v>2</v>
      </c>
      <c r="C23" s="507"/>
      <c r="D23" s="493"/>
      <c r="E23" s="486"/>
      <c r="F23" s="4"/>
      <c r="G23" s="4"/>
      <c r="H23" s="4"/>
      <c r="I23" s="4"/>
      <c r="J23" s="507"/>
      <c r="K23" s="486"/>
      <c r="M23" s="57" t="s">
        <v>42</v>
      </c>
      <c r="N23" s="24">
        <v>1</v>
      </c>
      <c r="O23" s="492" t="s">
        <v>82</v>
      </c>
      <c r="P23" s="493"/>
      <c r="Q23" s="486"/>
      <c r="R23" s="492" t="s">
        <v>85</v>
      </c>
      <c r="S23" s="493"/>
      <c r="T23" s="48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92" t="s">
        <v>86</v>
      </c>
      <c r="AA23" s="486"/>
    </row>
    <row r="24" spans="1:27" ht="15.75" customHeight="1">
      <c r="A24" s="23"/>
      <c r="B24" s="6">
        <v>3</v>
      </c>
      <c r="C24" s="507"/>
      <c r="D24" s="493"/>
      <c r="E24" s="486"/>
      <c r="F24" s="4"/>
      <c r="G24" s="4"/>
      <c r="H24" s="4"/>
      <c r="I24" s="4"/>
      <c r="J24" s="507"/>
      <c r="K24" s="486"/>
      <c r="M24" s="25"/>
      <c r="N24" s="24">
        <v>2</v>
      </c>
      <c r="O24" s="485"/>
      <c r="P24" s="493"/>
      <c r="Q24" s="486"/>
      <c r="R24" s="485"/>
      <c r="S24" s="493"/>
      <c r="T24" s="486"/>
      <c r="U24" s="4"/>
      <c r="V24" s="14"/>
      <c r="W24" s="4"/>
      <c r="X24" s="16">
        <f>W24*U24</f>
        <v>0</v>
      </c>
      <c r="Y24" s="4"/>
      <c r="Z24" s="485"/>
      <c r="AA24" s="486"/>
    </row>
    <row r="25" spans="1:27" ht="15.75" customHeight="1">
      <c r="A25" s="23"/>
      <c r="B25" s="6">
        <v>4</v>
      </c>
      <c r="C25" s="507"/>
      <c r="D25" s="493"/>
      <c r="E25" s="486"/>
      <c r="F25" s="4"/>
      <c r="G25" s="4"/>
      <c r="H25" s="4"/>
      <c r="I25" s="4"/>
      <c r="J25" s="507"/>
      <c r="K25" s="486"/>
      <c r="M25" s="25"/>
      <c r="N25" s="24">
        <v>3</v>
      </c>
      <c r="O25" s="485"/>
      <c r="P25" s="493"/>
      <c r="Q25" s="486"/>
      <c r="R25" s="485"/>
      <c r="S25" s="493"/>
      <c r="T25" s="486"/>
      <c r="U25" s="4"/>
      <c r="V25" s="14"/>
      <c r="W25" s="4"/>
      <c r="X25" s="16">
        <f>W25*U25</f>
        <v>0</v>
      </c>
      <c r="Y25" s="4"/>
      <c r="Z25" s="485"/>
      <c r="AA25" s="486"/>
    </row>
    <row r="26" spans="1:27" ht="15.75" customHeight="1">
      <c r="A26" s="23"/>
      <c r="B26" s="26">
        <v>5</v>
      </c>
      <c r="C26" s="511"/>
      <c r="D26" s="494"/>
      <c r="E26" s="488"/>
      <c r="F26" s="27"/>
      <c r="G26" s="27"/>
      <c r="H26" s="27"/>
      <c r="I26" s="27"/>
      <c r="J26" s="511"/>
      <c r="K26" s="488"/>
      <c r="M26" s="25"/>
      <c r="N26" s="24">
        <v>4</v>
      </c>
      <c r="O26" s="485"/>
      <c r="P26" s="493"/>
      <c r="Q26" s="486"/>
      <c r="R26" s="485"/>
      <c r="S26" s="493"/>
      <c r="T26" s="486"/>
      <c r="U26" s="4"/>
      <c r="V26" s="14"/>
      <c r="W26" s="4"/>
      <c r="X26" s="16">
        <f>W26*U26</f>
        <v>0</v>
      </c>
      <c r="Y26" s="4"/>
      <c r="Z26" s="485"/>
      <c r="AA26" s="486"/>
    </row>
    <row r="27" spans="1:27" ht="15.75" customHeight="1">
      <c r="A27" s="23"/>
      <c r="B27" s="70" t="s">
        <v>101</v>
      </c>
      <c r="C27" s="495" t="s">
        <v>75</v>
      </c>
      <c r="D27" s="496"/>
      <c r="E27" s="497"/>
      <c r="F27" s="28">
        <v>4</v>
      </c>
      <c r="G27" s="28">
        <v>2800</v>
      </c>
      <c r="H27" s="28">
        <v>700</v>
      </c>
      <c r="I27" s="28" t="s">
        <v>15</v>
      </c>
      <c r="J27" s="495" t="s">
        <v>77</v>
      </c>
      <c r="K27" s="497"/>
      <c r="M27" s="25"/>
      <c r="N27" s="29">
        <v>5</v>
      </c>
      <c r="O27" s="487"/>
      <c r="P27" s="494"/>
      <c r="Q27" s="488"/>
      <c r="R27" s="487"/>
      <c r="S27" s="494"/>
      <c r="T27" s="488"/>
      <c r="U27" s="27"/>
      <c r="V27" s="30"/>
      <c r="W27" s="27"/>
      <c r="X27" s="31">
        <f>W27*U27</f>
        <v>0</v>
      </c>
      <c r="Y27" s="4"/>
      <c r="Z27" s="487"/>
      <c r="AA27" s="488"/>
    </row>
    <row r="28" spans="1:27" ht="15.75" customHeight="1">
      <c r="A28" s="23"/>
      <c r="B28" s="71" t="s">
        <v>102</v>
      </c>
      <c r="C28" s="507"/>
      <c r="D28" s="493"/>
      <c r="E28" s="486"/>
      <c r="F28" s="4"/>
      <c r="G28" s="4"/>
      <c r="H28" s="4"/>
      <c r="I28" s="4"/>
      <c r="J28" s="507"/>
      <c r="K28" s="486"/>
      <c r="M28" s="32"/>
      <c r="N28" s="56"/>
      <c r="O28" s="489"/>
      <c r="P28" s="493"/>
      <c r="Q28" s="493"/>
      <c r="R28" s="489"/>
      <c r="S28" s="493"/>
      <c r="T28" s="493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489"/>
      <c r="AA28" s="486"/>
    </row>
    <row r="29" spans="1:27" ht="15.75" customHeight="1">
      <c r="A29" s="23"/>
      <c r="B29" s="71" t="s">
        <v>100</v>
      </c>
      <c r="C29" s="507"/>
      <c r="D29" s="493"/>
      <c r="E29" s="486"/>
      <c r="F29" s="4"/>
      <c r="G29" s="4"/>
      <c r="H29" s="4"/>
      <c r="I29" s="4"/>
      <c r="J29" s="507"/>
      <c r="K29" s="486"/>
      <c r="M29" s="57" t="s">
        <v>43</v>
      </c>
      <c r="N29" s="24">
        <v>1</v>
      </c>
      <c r="O29" s="508" t="s">
        <v>16</v>
      </c>
      <c r="P29" s="509"/>
      <c r="Q29" s="491"/>
      <c r="R29" s="490" t="s">
        <v>87</v>
      </c>
      <c r="S29" s="509"/>
      <c r="T29" s="49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90" t="s">
        <v>88</v>
      </c>
      <c r="AA29" s="491"/>
    </row>
    <row r="30" spans="1:27" ht="15.75" customHeight="1">
      <c r="A30" s="23"/>
      <c r="B30" s="71" t="s">
        <v>99</v>
      </c>
      <c r="C30" s="507"/>
      <c r="D30" s="493"/>
      <c r="E30" s="486"/>
      <c r="F30" s="4"/>
      <c r="G30" s="4"/>
      <c r="H30" s="4"/>
      <c r="I30" s="4"/>
      <c r="J30" s="507"/>
      <c r="K30" s="486"/>
      <c r="M30" s="25"/>
      <c r="N30" s="24">
        <v>2</v>
      </c>
      <c r="O30" s="485"/>
      <c r="P30" s="493"/>
      <c r="Q30" s="486"/>
      <c r="R30" s="485"/>
      <c r="S30" s="493"/>
      <c r="T30" s="486"/>
      <c r="U30" s="4"/>
      <c r="V30" s="14"/>
      <c r="W30" s="4"/>
      <c r="X30" s="16">
        <f>W30*U30</f>
        <v>0</v>
      </c>
      <c r="Y30" s="4"/>
      <c r="Z30" s="485"/>
      <c r="AA30" s="486"/>
    </row>
    <row r="31" spans="1:27" ht="15.75" customHeight="1">
      <c r="A31" s="20"/>
      <c r="B31" s="71" t="s">
        <v>103</v>
      </c>
      <c r="C31" s="507"/>
      <c r="D31" s="493"/>
      <c r="E31" s="486"/>
      <c r="F31" s="4"/>
      <c r="G31" s="4"/>
      <c r="H31" s="4"/>
      <c r="I31" s="4"/>
      <c r="J31" s="507"/>
      <c r="K31" s="486"/>
      <c r="M31" s="25"/>
      <c r="N31" s="24">
        <v>3</v>
      </c>
      <c r="O31" s="485"/>
      <c r="P31" s="493"/>
      <c r="Q31" s="486"/>
      <c r="R31" s="485"/>
      <c r="S31" s="493"/>
      <c r="T31" s="486"/>
      <c r="U31" s="4"/>
      <c r="V31" s="14"/>
      <c r="W31" s="4"/>
      <c r="X31" s="16">
        <f>W31*U31</f>
        <v>0</v>
      </c>
      <c r="Y31" s="4"/>
      <c r="Z31" s="485"/>
      <c r="AA31" s="486"/>
    </row>
    <row r="32" spans="1:27" ht="15.75" customHeight="1">
      <c r="A32" s="68"/>
      <c r="M32" s="25"/>
      <c r="N32" s="24">
        <v>4</v>
      </c>
      <c r="O32" s="485"/>
      <c r="P32" s="493"/>
      <c r="Q32" s="486"/>
      <c r="R32" s="485"/>
      <c r="S32" s="493"/>
      <c r="T32" s="486"/>
      <c r="U32" s="4"/>
      <c r="V32" s="14"/>
      <c r="W32" s="4"/>
      <c r="X32" s="16">
        <f>W32*U32</f>
        <v>0</v>
      </c>
      <c r="Y32" s="4"/>
      <c r="Z32" s="485"/>
      <c r="AA32" s="486"/>
    </row>
    <row r="33" spans="1:27" ht="15.75" customHeight="1">
      <c r="A33" s="18"/>
      <c r="B33" s="50" t="s">
        <v>47</v>
      </c>
      <c r="C33" s="510" t="s">
        <v>12</v>
      </c>
      <c r="D33" s="493"/>
      <c r="E33" s="486"/>
      <c r="F33" s="50" t="s">
        <v>46</v>
      </c>
      <c r="G33" s="50" t="s">
        <v>48</v>
      </c>
      <c r="H33" s="50" t="s">
        <v>49</v>
      </c>
      <c r="I33" s="8" t="s">
        <v>13</v>
      </c>
      <c r="J33" s="502" t="s">
        <v>51</v>
      </c>
      <c r="K33" s="486"/>
      <c r="M33" s="25"/>
      <c r="N33" s="29">
        <v>5</v>
      </c>
      <c r="O33" s="485"/>
      <c r="P33" s="493"/>
      <c r="Q33" s="486"/>
      <c r="R33" s="485"/>
      <c r="S33" s="493"/>
      <c r="T33" s="486"/>
      <c r="U33" s="27"/>
      <c r="V33" s="30"/>
      <c r="W33" s="27"/>
      <c r="X33" s="31">
        <f>W33*U33</f>
        <v>0</v>
      </c>
      <c r="Y33" s="4"/>
      <c r="Z33" s="485"/>
      <c r="AA33" s="486"/>
    </row>
    <row r="34" spans="1:27" ht="15.75" customHeight="1">
      <c r="A34" s="53" t="s">
        <v>35</v>
      </c>
      <c r="B34" s="6">
        <v>1</v>
      </c>
      <c r="C34" s="492" t="s">
        <v>79</v>
      </c>
      <c r="D34" s="493"/>
      <c r="E34" s="486"/>
      <c r="F34" s="4">
        <v>3</v>
      </c>
      <c r="G34" s="4">
        <v>2500</v>
      </c>
      <c r="H34" s="4">
        <v>833.33</v>
      </c>
      <c r="I34" s="4">
        <v>20</v>
      </c>
      <c r="J34" s="492" t="s">
        <v>78</v>
      </c>
      <c r="K34" s="486"/>
      <c r="M34" s="69"/>
      <c r="N34" s="45"/>
      <c r="O34" s="489"/>
      <c r="P34" s="493"/>
      <c r="Q34" s="493"/>
      <c r="R34" s="489"/>
      <c r="S34" s="493"/>
      <c r="T34" s="493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489"/>
      <c r="AA34" s="486"/>
    </row>
    <row r="35" spans="1:27" ht="15.75" customHeight="1">
      <c r="A35" s="23"/>
      <c r="B35" s="6">
        <v>2</v>
      </c>
      <c r="C35" s="485"/>
      <c r="D35" s="493"/>
      <c r="E35" s="486"/>
      <c r="F35" s="4"/>
      <c r="G35" s="4"/>
      <c r="H35" s="4"/>
      <c r="I35" s="4"/>
      <c r="J35" s="485"/>
      <c r="K35" s="486"/>
      <c r="M35" s="1"/>
      <c r="N35" s="1"/>
      <c r="O35" s="500"/>
      <c r="P35" s="501"/>
      <c r="Q35" s="501"/>
      <c r="R35" s="500"/>
      <c r="S35" s="501"/>
      <c r="T35" s="501"/>
      <c r="U35" s="1"/>
      <c r="V35" s="38"/>
      <c r="W35" s="1"/>
      <c r="X35" s="1"/>
      <c r="Y35" s="500"/>
      <c r="Z35" s="501"/>
      <c r="AA35" s="501"/>
    </row>
    <row r="36" spans="1:27" ht="15.75" customHeight="1">
      <c r="A36" s="23"/>
      <c r="B36" s="6">
        <v>3</v>
      </c>
      <c r="C36" s="485"/>
      <c r="D36" s="493"/>
      <c r="E36" s="486"/>
      <c r="F36" s="4"/>
      <c r="G36" s="4"/>
      <c r="H36" s="4"/>
      <c r="I36" s="4"/>
      <c r="J36" s="485"/>
      <c r="K36" s="486"/>
      <c r="M36" s="53" t="s">
        <v>27</v>
      </c>
      <c r="N36" s="58" t="s">
        <v>47</v>
      </c>
      <c r="O36" s="498" t="s">
        <v>12</v>
      </c>
      <c r="P36" s="489"/>
      <c r="Q36" s="499"/>
      <c r="R36" s="504" t="s">
        <v>53</v>
      </c>
      <c r="S36" s="505"/>
      <c r="T36" s="506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02" t="s">
        <v>51</v>
      </c>
      <c r="AA36" s="503"/>
    </row>
    <row r="37" spans="1:27" ht="15.75" customHeight="1">
      <c r="A37" s="23"/>
      <c r="B37" s="6">
        <v>4</v>
      </c>
      <c r="C37" s="485"/>
      <c r="D37" s="493"/>
      <c r="E37" s="486"/>
      <c r="F37" s="4"/>
      <c r="G37" s="4"/>
      <c r="H37" s="4"/>
      <c r="I37" s="4"/>
      <c r="J37" s="485"/>
      <c r="K37" s="486"/>
      <c r="M37" s="57" t="s">
        <v>42</v>
      </c>
      <c r="N37" s="24">
        <v>1</v>
      </c>
      <c r="O37" s="492" t="s">
        <v>89</v>
      </c>
      <c r="P37" s="493"/>
      <c r="Q37" s="486"/>
      <c r="R37" s="492" t="s">
        <v>90</v>
      </c>
      <c r="S37" s="493"/>
      <c r="T37" s="48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92" t="s">
        <v>91</v>
      </c>
      <c r="AA37" s="486"/>
    </row>
    <row r="38" spans="1:27" ht="15.75" customHeight="1">
      <c r="A38" s="23"/>
      <c r="B38" s="26">
        <v>5</v>
      </c>
      <c r="C38" s="487"/>
      <c r="D38" s="494"/>
      <c r="E38" s="488"/>
      <c r="F38" s="27"/>
      <c r="G38" s="27"/>
      <c r="H38" s="27"/>
      <c r="I38" s="27"/>
      <c r="J38" s="487"/>
      <c r="K38" s="488"/>
      <c r="M38" s="25"/>
      <c r="N38" s="24">
        <v>2</v>
      </c>
      <c r="O38" s="485"/>
      <c r="P38" s="493"/>
      <c r="Q38" s="486"/>
      <c r="R38" s="485"/>
      <c r="S38" s="493"/>
      <c r="T38" s="486"/>
      <c r="U38" s="4"/>
      <c r="V38" s="14"/>
      <c r="W38" s="4"/>
      <c r="X38" s="16">
        <f>W38*U38</f>
        <v>0</v>
      </c>
      <c r="Y38" s="4"/>
      <c r="Z38" s="485"/>
      <c r="AA38" s="486"/>
    </row>
    <row r="39" spans="1:27" ht="14.25">
      <c r="A39" s="23"/>
      <c r="B39" s="70" t="s">
        <v>101</v>
      </c>
      <c r="C39" s="495" t="s">
        <v>80</v>
      </c>
      <c r="D39" s="496"/>
      <c r="E39" s="497"/>
      <c r="F39" s="28">
        <v>7</v>
      </c>
      <c r="G39" s="28">
        <v>2200</v>
      </c>
      <c r="H39" s="28">
        <v>314.29000000000002</v>
      </c>
      <c r="I39" s="28">
        <v>-15</v>
      </c>
      <c r="J39" s="495" t="s">
        <v>81</v>
      </c>
      <c r="K39" s="497"/>
      <c r="M39" s="25"/>
      <c r="N39" s="24">
        <v>3</v>
      </c>
      <c r="O39" s="485"/>
      <c r="P39" s="493"/>
      <c r="Q39" s="486"/>
      <c r="R39" s="485"/>
      <c r="S39" s="493"/>
      <c r="T39" s="486"/>
      <c r="U39" s="4"/>
      <c r="V39" s="14"/>
      <c r="W39" s="4"/>
      <c r="X39" s="16">
        <f>W39*U39</f>
        <v>0</v>
      </c>
      <c r="Y39" s="4"/>
      <c r="Z39" s="485"/>
      <c r="AA39" s="486"/>
    </row>
    <row r="40" spans="1:27" ht="14.25">
      <c r="A40" s="23"/>
      <c r="B40" s="71" t="s">
        <v>102</v>
      </c>
      <c r="C40" s="485"/>
      <c r="D40" s="493"/>
      <c r="E40" s="486"/>
      <c r="F40" s="4"/>
      <c r="G40" s="4"/>
      <c r="H40" s="4"/>
      <c r="I40" s="4"/>
      <c r="J40" s="485"/>
      <c r="K40" s="486"/>
      <c r="M40" s="25"/>
      <c r="N40" s="24">
        <v>4</v>
      </c>
      <c r="O40" s="485"/>
      <c r="P40" s="493"/>
      <c r="Q40" s="486"/>
      <c r="R40" s="485"/>
      <c r="S40" s="493"/>
      <c r="T40" s="486"/>
      <c r="U40" s="4"/>
      <c r="V40" s="14"/>
      <c r="W40" s="4"/>
      <c r="X40" s="16">
        <f>W40*U40</f>
        <v>0</v>
      </c>
      <c r="Y40" s="4"/>
      <c r="Z40" s="485"/>
      <c r="AA40" s="486"/>
    </row>
    <row r="41" spans="1:27" ht="14.25">
      <c r="A41" s="23"/>
      <c r="B41" s="71" t="s">
        <v>100</v>
      </c>
      <c r="C41" s="485"/>
      <c r="D41" s="493"/>
      <c r="E41" s="486"/>
      <c r="F41" s="4"/>
      <c r="G41" s="4"/>
      <c r="H41" s="4"/>
      <c r="I41" s="4"/>
      <c r="J41" s="485"/>
      <c r="K41" s="486"/>
      <c r="M41" s="25"/>
      <c r="N41" s="29">
        <v>5</v>
      </c>
      <c r="O41" s="487"/>
      <c r="P41" s="494"/>
      <c r="Q41" s="488"/>
      <c r="R41" s="487"/>
      <c r="S41" s="494"/>
      <c r="T41" s="488"/>
      <c r="U41" s="27"/>
      <c r="V41" s="30"/>
      <c r="W41" s="27"/>
      <c r="X41" s="31">
        <f>W41*U41</f>
        <v>0</v>
      </c>
      <c r="Y41" s="4"/>
      <c r="Z41" s="485"/>
      <c r="AA41" s="486"/>
    </row>
    <row r="42" spans="1:27" ht="14.25">
      <c r="A42" s="23"/>
      <c r="B42" s="71" t="s">
        <v>99</v>
      </c>
      <c r="C42" s="485"/>
      <c r="D42" s="493"/>
      <c r="E42" s="486"/>
      <c r="F42" s="4"/>
      <c r="G42" s="4"/>
      <c r="H42" s="4"/>
      <c r="I42" s="4"/>
      <c r="J42" s="485"/>
      <c r="K42" s="486"/>
      <c r="M42" s="32"/>
      <c r="N42" s="55"/>
      <c r="O42" s="489"/>
      <c r="P42" s="493"/>
      <c r="Q42" s="493"/>
      <c r="R42" s="489"/>
      <c r="S42" s="493"/>
      <c r="T42" s="493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489"/>
      <c r="AA42" s="486"/>
    </row>
    <row r="43" spans="1:27" ht="14.25">
      <c r="A43" s="20"/>
      <c r="B43" s="71" t="s">
        <v>103</v>
      </c>
      <c r="C43" s="485"/>
      <c r="D43" s="493"/>
      <c r="E43" s="486"/>
      <c r="F43" s="4"/>
      <c r="G43" s="4"/>
      <c r="H43" s="4"/>
      <c r="I43" s="4"/>
      <c r="J43" s="485"/>
      <c r="K43" s="486"/>
      <c r="M43" s="57" t="s">
        <v>43</v>
      </c>
      <c r="N43" s="24">
        <v>1</v>
      </c>
      <c r="O43" s="492" t="s">
        <v>89</v>
      </c>
      <c r="P43" s="493"/>
      <c r="Q43" s="486"/>
      <c r="R43" s="490" t="s">
        <v>93</v>
      </c>
      <c r="S43" s="509"/>
      <c r="T43" s="49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92" t="s">
        <v>92</v>
      </c>
      <c r="AA43" s="486"/>
    </row>
    <row r="44" spans="1:27" ht="14.25">
      <c r="A44" s="68"/>
      <c r="M44" s="25"/>
      <c r="N44" s="24">
        <v>2</v>
      </c>
      <c r="O44" s="485"/>
      <c r="P44" s="493"/>
      <c r="Q44" s="486"/>
      <c r="R44" s="485"/>
      <c r="S44" s="493"/>
      <c r="T44" s="486"/>
      <c r="U44" s="4"/>
      <c r="V44" s="14"/>
      <c r="W44" s="4"/>
      <c r="X44" s="37">
        <f>W44*U44</f>
        <v>0</v>
      </c>
      <c r="Y44" s="4"/>
      <c r="Z44" s="485"/>
      <c r="AA44" s="486"/>
    </row>
    <row r="45" spans="1:27" ht="14.25">
      <c r="A45" s="18"/>
      <c r="B45" s="50" t="s">
        <v>47</v>
      </c>
      <c r="C45" s="510" t="s">
        <v>12</v>
      </c>
      <c r="D45" s="493"/>
      <c r="E45" s="486"/>
      <c r="F45" s="50" t="s">
        <v>46</v>
      </c>
      <c r="G45" s="50" t="s">
        <v>48</v>
      </c>
      <c r="H45" s="50" t="s">
        <v>49</v>
      </c>
      <c r="I45" s="8" t="s">
        <v>13</v>
      </c>
      <c r="J45" s="502" t="s">
        <v>51</v>
      </c>
      <c r="K45" s="486"/>
      <c r="M45" s="25"/>
      <c r="N45" s="24">
        <v>3</v>
      </c>
      <c r="O45" s="485"/>
      <c r="P45" s="493"/>
      <c r="Q45" s="486"/>
      <c r="R45" s="485"/>
      <c r="S45" s="493"/>
      <c r="T45" s="486"/>
      <c r="U45" s="4"/>
      <c r="V45" s="14"/>
      <c r="W45" s="4"/>
      <c r="X45" s="37">
        <f>W45*U45</f>
        <v>0</v>
      </c>
      <c r="Y45" s="4"/>
      <c r="Z45" s="485"/>
      <c r="AA45" s="486"/>
    </row>
    <row r="46" spans="1:27" ht="14.25">
      <c r="A46" s="53" t="s">
        <v>36</v>
      </c>
      <c r="B46" s="6">
        <v>1</v>
      </c>
      <c r="C46" s="492" t="s">
        <v>82</v>
      </c>
      <c r="D46" s="493"/>
      <c r="E46" s="486"/>
      <c r="F46" s="4">
        <v>15</v>
      </c>
      <c r="G46" s="4">
        <v>1200</v>
      </c>
      <c r="H46" s="4">
        <v>80</v>
      </c>
      <c r="I46" s="4">
        <v>5</v>
      </c>
      <c r="J46" s="492" t="s">
        <v>83</v>
      </c>
      <c r="K46" s="486"/>
      <c r="M46" s="25"/>
      <c r="N46" s="24">
        <v>4</v>
      </c>
      <c r="O46" s="485"/>
      <c r="P46" s="493"/>
      <c r="Q46" s="486"/>
      <c r="R46" s="485"/>
      <c r="S46" s="493"/>
      <c r="T46" s="486"/>
      <c r="U46" s="4"/>
      <c r="V46" s="14"/>
      <c r="W46" s="4"/>
      <c r="X46" s="37">
        <f>W46*U46</f>
        <v>0</v>
      </c>
      <c r="Y46" s="4"/>
      <c r="Z46" s="485"/>
      <c r="AA46" s="486"/>
    </row>
    <row r="47" spans="1:27" ht="14.25">
      <c r="A47" s="23"/>
      <c r="B47" s="6">
        <v>2</v>
      </c>
      <c r="C47" s="485"/>
      <c r="D47" s="493"/>
      <c r="E47" s="486"/>
      <c r="F47" s="4"/>
      <c r="G47" s="4"/>
      <c r="H47" s="4"/>
      <c r="I47" s="4"/>
      <c r="J47" s="485"/>
      <c r="K47" s="486"/>
      <c r="M47" s="25"/>
      <c r="N47" s="29">
        <v>5</v>
      </c>
      <c r="O47" s="485"/>
      <c r="P47" s="493"/>
      <c r="Q47" s="486"/>
      <c r="R47" s="485"/>
      <c r="S47" s="493"/>
      <c r="T47" s="486"/>
      <c r="U47" s="27"/>
      <c r="V47" s="30"/>
      <c r="W47" s="27"/>
      <c r="X47" s="40">
        <f>W47*U47</f>
        <v>0</v>
      </c>
      <c r="Y47" s="4"/>
      <c r="Z47" s="485"/>
      <c r="AA47" s="486"/>
    </row>
    <row r="48" spans="1:27" ht="14.25">
      <c r="A48" s="23"/>
      <c r="B48" s="6">
        <v>3</v>
      </c>
      <c r="C48" s="485"/>
      <c r="D48" s="493"/>
      <c r="E48" s="486"/>
      <c r="F48" s="4"/>
      <c r="G48" s="4"/>
      <c r="H48" s="4"/>
      <c r="I48" s="4"/>
      <c r="J48" s="485"/>
      <c r="K48" s="486"/>
      <c r="M48" s="69"/>
      <c r="N48" s="45"/>
      <c r="O48" s="489"/>
      <c r="P48" s="493"/>
      <c r="Q48" s="493"/>
      <c r="R48" s="489"/>
      <c r="S48" s="493"/>
      <c r="T48" s="493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489"/>
      <c r="AA48" s="486"/>
    </row>
    <row r="49" spans="1:27" ht="14.25">
      <c r="A49" s="23"/>
      <c r="B49" s="6">
        <v>4</v>
      </c>
      <c r="C49" s="485"/>
      <c r="D49" s="493"/>
      <c r="E49" s="486"/>
      <c r="F49" s="4"/>
      <c r="G49" s="4"/>
      <c r="H49" s="4"/>
      <c r="I49" s="4"/>
      <c r="J49" s="485"/>
      <c r="K49" s="48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87"/>
      <c r="D50" s="494"/>
      <c r="E50" s="488"/>
      <c r="F50" s="27"/>
      <c r="G50" s="27"/>
      <c r="H50" s="27"/>
      <c r="I50" s="27"/>
      <c r="J50" s="487"/>
      <c r="K50" s="48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495" t="s">
        <v>89</v>
      </c>
      <c r="D51" s="496"/>
      <c r="E51" s="497"/>
      <c r="F51" s="28">
        <v>18</v>
      </c>
      <c r="G51" s="28">
        <v>800</v>
      </c>
      <c r="H51" s="28">
        <v>44.44</v>
      </c>
      <c r="I51" s="28">
        <v>-15</v>
      </c>
      <c r="J51" s="495" t="s">
        <v>84</v>
      </c>
      <c r="K51" s="497"/>
      <c r="M51" s="8"/>
      <c r="N51" s="8" t="s">
        <v>18</v>
      </c>
      <c r="O51" s="498" t="s">
        <v>12</v>
      </c>
      <c r="P51" s="489"/>
      <c r="Q51" s="499"/>
      <c r="R51" s="504" t="s">
        <v>53</v>
      </c>
      <c r="S51" s="505"/>
      <c r="T51" s="506"/>
      <c r="U51" s="58" t="s">
        <v>54</v>
      </c>
      <c r="V51" s="39" t="s">
        <v>19</v>
      </c>
      <c r="W51" s="58" t="s">
        <v>57</v>
      </c>
      <c r="X51" s="8" t="s">
        <v>2</v>
      </c>
      <c r="Y51" s="498" t="s">
        <v>50</v>
      </c>
      <c r="Z51" s="489"/>
      <c r="AA51" s="499"/>
    </row>
    <row r="52" spans="1:27" ht="14.25">
      <c r="A52" s="23"/>
      <c r="B52" s="71" t="s">
        <v>102</v>
      </c>
      <c r="C52" s="485"/>
      <c r="D52" s="493"/>
      <c r="E52" s="486"/>
      <c r="F52" s="4"/>
      <c r="G52" s="4"/>
      <c r="H52" s="4"/>
      <c r="I52" s="4"/>
      <c r="J52" s="485"/>
      <c r="K52" s="486"/>
      <c r="M52" s="57" t="s">
        <v>42</v>
      </c>
      <c r="N52" s="24">
        <v>1</v>
      </c>
      <c r="O52" s="492" t="s">
        <v>89</v>
      </c>
      <c r="P52" s="493"/>
      <c r="Q52" s="486"/>
      <c r="R52" s="490" t="s">
        <v>93</v>
      </c>
      <c r="S52" s="509"/>
      <c r="T52" s="49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92" t="s">
        <v>97</v>
      </c>
      <c r="Z52" s="493"/>
      <c r="AA52" s="486"/>
    </row>
    <row r="53" spans="1:27" ht="14.25">
      <c r="A53" s="23"/>
      <c r="B53" s="71" t="s">
        <v>100</v>
      </c>
      <c r="C53" s="485"/>
      <c r="D53" s="493"/>
      <c r="E53" s="486"/>
      <c r="F53" s="4"/>
      <c r="G53" s="4"/>
      <c r="H53" s="4"/>
      <c r="I53" s="4"/>
      <c r="J53" s="485"/>
      <c r="K53" s="486"/>
      <c r="M53" s="25"/>
      <c r="N53" s="29">
        <v>2</v>
      </c>
      <c r="O53" s="487"/>
      <c r="P53" s="494"/>
      <c r="Q53" s="488"/>
      <c r="R53" s="487"/>
      <c r="S53" s="494"/>
      <c r="T53" s="488"/>
      <c r="U53" s="27"/>
      <c r="V53" s="30"/>
      <c r="W53" s="30"/>
      <c r="X53" s="41">
        <f>W53-V53</f>
        <v>0</v>
      </c>
      <c r="Y53" s="487"/>
      <c r="Z53" s="494"/>
      <c r="AA53" s="488"/>
    </row>
    <row r="54" spans="1:27" ht="14.25">
      <c r="A54" s="23"/>
      <c r="B54" s="71" t="s">
        <v>99</v>
      </c>
      <c r="C54" s="485"/>
      <c r="D54" s="493"/>
      <c r="E54" s="486"/>
      <c r="F54" s="4"/>
      <c r="G54" s="4"/>
      <c r="H54" s="4"/>
      <c r="I54" s="4"/>
      <c r="J54" s="485"/>
      <c r="K54" s="486"/>
      <c r="M54" s="57" t="s">
        <v>43</v>
      </c>
      <c r="N54" s="42">
        <v>1</v>
      </c>
      <c r="O54" s="495" t="s">
        <v>94</v>
      </c>
      <c r="P54" s="496"/>
      <c r="Q54" s="497"/>
      <c r="R54" s="495" t="s">
        <v>95</v>
      </c>
      <c r="S54" s="496"/>
      <c r="T54" s="49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95" t="s">
        <v>96</v>
      </c>
      <c r="Z54" s="496"/>
      <c r="AA54" s="497"/>
    </row>
    <row r="55" spans="1:27" ht="14.25">
      <c r="A55" s="20"/>
      <c r="B55" s="71" t="s">
        <v>103</v>
      </c>
      <c r="C55" s="485"/>
      <c r="D55" s="493"/>
      <c r="E55" s="486"/>
      <c r="F55" s="4"/>
      <c r="G55" s="4"/>
      <c r="H55" s="4"/>
      <c r="I55" s="4"/>
      <c r="J55" s="485"/>
      <c r="K55" s="486"/>
      <c r="M55" s="22"/>
      <c r="N55" s="24">
        <v>2</v>
      </c>
      <c r="O55" s="485"/>
      <c r="P55" s="493"/>
      <c r="Q55" s="486"/>
      <c r="R55" s="485"/>
      <c r="S55" s="493"/>
      <c r="T55" s="486"/>
      <c r="U55" s="4"/>
      <c r="V55" s="14"/>
      <c r="W55" s="14"/>
      <c r="X55" s="13">
        <f>W55-V55</f>
        <v>0</v>
      </c>
      <c r="Y55" s="485"/>
      <c r="Z55" s="493"/>
      <c r="AA55" s="486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G27" sqref="G27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12" t="s">
        <v>407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120"/>
    </row>
    <row r="2" spans="1:12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</row>
    <row r="3" spans="1:12" ht="21.6" customHeight="1">
      <c r="A3" s="140" t="s">
        <v>322</v>
      </c>
      <c r="B3" s="141">
        <v>1</v>
      </c>
      <c r="C3" s="140" t="s">
        <v>20</v>
      </c>
      <c r="D3" s="513" t="s">
        <v>406</v>
      </c>
      <c r="E3" s="513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194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196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196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'（１）收支狀況'!H9/1000</f>
        <v>204598.72399999999</v>
      </c>
      <c r="C6" s="277">
        <v>219461.71599999999</v>
      </c>
      <c r="D6" s="143">
        <f t="shared" ref="D6:D11" si="0">B6-C6</f>
        <v>-14862.991999999998</v>
      </c>
      <c r="E6" s="143">
        <f t="shared" ref="E6:E11" si="1">B6</f>
        <v>204598.72399999999</v>
      </c>
      <c r="F6" s="134"/>
      <c r="G6" s="129" t="s">
        <v>197</v>
      </c>
      <c r="H6" s="280">
        <v>366</v>
      </c>
      <c r="I6" s="145">
        <f>'（２）ＫＰＩ達成進度'!H9</f>
        <v>325.42302479491974</v>
      </c>
      <c r="J6" s="284">
        <v>328.81665999046396</v>
      </c>
      <c r="K6" s="145">
        <f t="shared" ref="K6:K11" si="2">I6</f>
        <v>325.42302479491974</v>
      </c>
      <c r="L6" s="123" t="s">
        <v>193</v>
      </c>
    </row>
    <row r="7" spans="1:12" s="122" customFormat="1" ht="18" customHeight="1">
      <c r="A7" s="129" t="s">
        <v>25</v>
      </c>
      <c r="B7" s="143">
        <f>'（１）收支狀況'!K9</f>
        <v>6333014</v>
      </c>
      <c r="C7" s="277">
        <v>6618327</v>
      </c>
      <c r="D7" s="143">
        <f t="shared" si="0"/>
        <v>-285313</v>
      </c>
      <c r="E7" s="143">
        <f t="shared" si="1"/>
        <v>6333014</v>
      </c>
      <c r="F7" s="134"/>
      <c r="G7" s="129" t="s">
        <v>198</v>
      </c>
      <c r="H7" s="255">
        <v>0.8</v>
      </c>
      <c r="I7" s="144">
        <f>'（２）ＫＰＩ達成進度'!K9</f>
        <v>0.88947795387430384</v>
      </c>
      <c r="J7" s="278">
        <v>0.89819019563886016</v>
      </c>
      <c r="K7" s="144">
        <f t="shared" si="2"/>
        <v>0.88947795387430384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'（１）收支狀況'!N9/1000</f>
        <v>138760.36300000001</v>
      </c>
      <c r="C8" s="277">
        <v>148488.87100000001</v>
      </c>
      <c r="D8" s="143">
        <f>B8-C8</f>
        <v>-9728.5080000000016</v>
      </c>
      <c r="E8" s="143">
        <f t="shared" si="1"/>
        <v>138760.36300000001</v>
      </c>
      <c r="F8" s="134"/>
      <c r="G8" s="129" t="s">
        <v>199</v>
      </c>
      <c r="H8" s="250">
        <v>2.5000000000000001E-3</v>
      </c>
      <c r="I8" s="250">
        <f>'（２）ＫＰＩ達成進度'!N9</f>
        <v>2.4547774366926165E-3</v>
      </c>
      <c r="J8" s="285">
        <v>2.4556525658943427E-3</v>
      </c>
      <c r="K8" s="250">
        <f t="shared" si="2"/>
        <v>2.4547774366926165E-3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'（１）收支狀況'!Q9</f>
        <v>0.67820737239788453</v>
      </c>
      <c r="C9" s="278">
        <v>0.67660489358426412</v>
      </c>
      <c r="D9" s="144">
        <f t="shared" si="0"/>
        <v>1.6024788136204116E-3</v>
      </c>
      <c r="E9" s="144">
        <f t="shared" si="1"/>
        <v>0.67820737239788453</v>
      </c>
      <c r="F9" s="134"/>
      <c r="G9" s="129" t="s">
        <v>200</v>
      </c>
      <c r="H9" s="250">
        <v>2.5999999999999999E-3</v>
      </c>
      <c r="I9" s="250">
        <f>'（２）ＫＰＩ達成進度'!Q9</f>
        <v>2.234630637964113E-3</v>
      </c>
      <c r="J9" s="285">
        <v>2.097843269628437E-3</v>
      </c>
      <c r="K9" s="250">
        <f t="shared" si="2"/>
        <v>2.234630637964113E-3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'（１）收支狀況'!T9/1000</f>
        <v>30102.781930346478</v>
      </c>
      <c r="C10" s="277">
        <v>31527.948209333346</v>
      </c>
      <c r="D10" s="143">
        <f t="shared" si="0"/>
        <v>-1425.1662789868678</v>
      </c>
      <c r="E10" s="143">
        <f t="shared" si="1"/>
        <v>30102.781930346478</v>
      </c>
      <c r="F10" s="134"/>
      <c r="G10" s="129" t="s">
        <v>201</v>
      </c>
      <c r="H10" s="252">
        <v>0.8</v>
      </c>
      <c r="I10" s="252">
        <f>'（２）ＫＰＩ達成進度'!T9</f>
        <v>0.91666666666666707</v>
      </c>
      <c r="J10" s="286">
        <v>0.91666666666666707</v>
      </c>
      <c r="K10" s="252">
        <f t="shared" si="2"/>
        <v>0.91666666666666707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'（１）收支狀況'!W9</f>
        <v>0.14713083904837293</v>
      </c>
      <c r="C11" s="278">
        <v>0.14366035581956968</v>
      </c>
      <c r="D11" s="144">
        <f t="shared" si="0"/>
        <v>3.4704832288032506E-3</v>
      </c>
      <c r="E11" s="144">
        <f t="shared" si="1"/>
        <v>0.14713083904837293</v>
      </c>
      <c r="F11" s="134"/>
      <c r="G11" s="129" t="s">
        <v>202</v>
      </c>
      <c r="H11" s="252">
        <v>1</v>
      </c>
      <c r="I11" s="144">
        <f>'（２）ＫＰＩ達成進度'!W9</f>
        <v>4.1290322580645168E-2</v>
      </c>
      <c r="J11" s="278">
        <v>0.94496774193548394</v>
      </c>
      <c r="K11" s="144">
        <f t="shared" si="2"/>
        <v>4.1290322580645168E-2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622</v>
      </c>
      <c r="B15" s="143">
        <f>'（３）業績構成比'!M46/1000</f>
        <v>38257.101520441371</v>
      </c>
      <c r="C15" s="144">
        <f>IFERROR(B15/$B$6,"")</f>
        <v>0.18698602206552067</v>
      </c>
      <c r="D15" s="278">
        <v>0.17736700272520087</v>
      </c>
      <c r="E15" s="144">
        <f>IFERROR(C15-D15,"")</f>
        <v>9.6190193403198065E-3</v>
      </c>
      <c r="F15" s="134"/>
      <c r="G15" s="129" t="s">
        <v>621</v>
      </c>
      <c r="H15" s="143">
        <f>'（４）訂單數量構成比'!M46</f>
        <v>2013800</v>
      </c>
      <c r="I15" s="144">
        <f t="shared" ref="I15:I23" si="3">IFERROR(H15/$B$7,"")</f>
        <v>0.31798445416353099</v>
      </c>
      <c r="J15" s="278">
        <v>0.3116746875758783</v>
      </c>
      <c r="K15" s="144">
        <f t="shared" ref="K15:K23" si="4">IFERROR(I15-J15,"")</f>
        <v>6.3097665876526987E-3</v>
      </c>
    </row>
    <row r="16" spans="1:12" s="122" customFormat="1" ht="18" customHeight="1">
      <c r="A16" s="129" t="s">
        <v>221</v>
      </c>
      <c r="B16" s="143">
        <f>'（３）業績構成比'!S46/1000</f>
        <v>5853.3099786723269</v>
      </c>
      <c r="C16" s="144">
        <f t="shared" ref="C16:C23" si="5">IFERROR(B16/$B$6,"")</f>
        <v>2.8608731590487959E-2</v>
      </c>
      <c r="D16" s="278">
        <v>3.2498247918329635E-2</v>
      </c>
      <c r="E16" s="144">
        <f t="shared" ref="E16:E23" si="6">IFERROR(C16-D16,"")</f>
        <v>-3.8895163278416765E-3</v>
      </c>
      <c r="F16" s="134"/>
      <c r="G16" s="129" t="s">
        <v>248</v>
      </c>
      <c r="H16" s="143">
        <f>'（４）訂單數量構成比'!S47</f>
        <v>220848</v>
      </c>
      <c r="I16" s="144">
        <f t="shared" si="3"/>
        <v>3.4872495150018619E-2</v>
      </c>
      <c r="J16" s="278">
        <v>4.1693316150743231E-2</v>
      </c>
      <c r="K16" s="144">
        <f t="shared" si="4"/>
        <v>-6.8208210007246126E-3</v>
      </c>
    </row>
    <row r="17" spans="1:18" s="122" customFormat="1" ht="18" customHeight="1">
      <c r="A17" s="129" t="s">
        <v>217</v>
      </c>
      <c r="B17" s="143">
        <f>'（３）業績構成比'!U46/1000</f>
        <v>34792.162264592414</v>
      </c>
      <c r="C17" s="144">
        <f t="shared" si="5"/>
        <v>0.17005072946883293</v>
      </c>
      <c r="D17" s="278">
        <v>0.13031876151155225</v>
      </c>
      <c r="E17" s="144">
        <f t="shared" si="6"/>
        <v>3.9731967957280678E-2</v>
      </c>
      <c r="F17" s="134"/>
      <c r="G17" s="129" t="s">
        <v>230</v>
      </c>
      <c r="H17" s="143">
        <f>'（４）訂單數量構成比'!U46</f>
        <v>1075895</v>
      </c>
      <c r="I17" s="144">
        <f t="shared" si="3"/>
        <v>0.16988672376217706</v>
      </c>
      <c r="J17" s="278">
        <v>0.13271495953584644</v>
      </c>
      <c r="K17" s="144">
        <f t="shared" si="4"/>
        <v>3.7171764226330617E-2</v>
      </c>
    </row>
    <row r="18" spans="1:18" s="122" customFormat="1" ht="18" customHeight="1">
      <c r="A18" s="129" t="s">
        <v>219</v>
      </c>
      <c r="B18" s="143">
        <f>'（３）業績構成比'!W46/1000</f>
        <v>1612.6800549743559</v>
      </c>
      <c r="C18" s="144">
        <f t="shared" si="5"/>
        <v>7.8821608632043873E-3</v>
      </c>
      <c r="D18" s="278">
        <v>1.1788065640530563E-3</v>
      </c>
      <c r="E18" s="144">
        <f t="shared" si="6"/>
        <v>6.7033542991513312E-3</v>
      </c>
      <c r="F18" s="134"/>
      <c r="G18" s="129" t="s">
        <v>218</v>
      </c>
      <c r="H18" s="143">
        <f>'（４）訂單數量構成比'!W46</f>
        <v>53629</v>
      </c>
      <c r="I18" s="144">
        <f t="shared" si="3"/>
        <v>8.4681638158387151E-3</v>
      </c>
      <c r="J18" s="278">
        <v>1.4975083582301086E-3</v>
      </c>
      <c r="K18" s="144">
        <f t="shared" si="4"/>
        <v>6.9706554576086065E-3</v>
      </c>
    </row>
    <row r="19" spans="1:18" s="122" customFormat="1" ht="18" customHeight="1">
      <c r="A19" s="129" t="s">
        <v>223</v>
      </c>
      <c r="B19" s="143">
        <f>'（３）業績構成比'!AC46/1000</f>
        <v>56869.225661954799</v>
      </c>
      <c r="C19" s="144">
        <f t="shared" si="5"/>
        <v>0.27795493808629423</v>
      </c>
      <c r="D19" s="278">
        <v>0.25271513524430778</v>
      </c>
      <c r="E19" s="144">
        <f t="shared" si="6"/>
        <v>2.5239802841986458E-2</v>
      </c>
      <c r="F19" s="134"/>
      <c r="G19" s="129" t="s">
        <v>222</v>
      </c>
      <c r="H19" s="143">
        <f>'（４）訂單數量構成比'!AC46</f>
        <v>1405604</v>
      </c>
      <c r="I19" s="144">
        <f t="shared" si="3"/>
        <v>0.22194866456950829</v>
      </c>
      <c r="J19" s="278">
        <v>0.20982326802528797</v>
      </c>
      <c r="K19" s="144">
        <f t="shared" si="4"/>
        <v>1.2125396544220318E-2</v>
      </c>
    </row>
    <row r="20" spans="1:18" s="122" customFormat="1" ht="18" customHeight="1">
      <c r="A20" s="129" t="s">
        <v>225</v>
      </c>
      <c r="B20" s="143">
        <f>'（３）業績構成比'!AE46/1000</f>
        <v>26261.866286649249</v>
      </c>
      <c r="C20" s="144">
        <f t="shared" si="5"/>
        <v>0.12835791823730655</v>
      </c>
      <c r="D20" s="278">
        <v>0.12910260915006949</v>
      </c>
      <c r="E20" s="144">
        <f t="shared" si="6"/>
        <v>-7.4469091276294086E-4</v>
      </c>
      <c r="F20" s="134"/>
      <c r="G20" s="129" t="s">
        <v>224</v>
      </c>
      <c r="H20" s="143">
        <f>'（４）訂單數量構成比'!AE46</f>
        <v>468298</v>
      </c>
      <c r="I20" s="144">
        <f t="shared" si="3"/>
        <v>7.3945517884533338E-2</v>
      </c>
      <c r="J20" s="278">
        <v>7.6687507280918582E-2</v>
      </c>
      <c r="K20" s="144">
        <f t="shared" si="4"/>
        <v>-2.7419893963852443E-3</v>
      </c>
    </row>
    <row r="21" spans="1:18" s="122" customFormat="1" ht="18" customHeight="1">
      <c r="A21" s="129" t="s">
        <v>226</v>
      </c>
      <c r="B21" s="143">
        <f>'（３）業績構成比'!AG46/1000</f>
        <v>15985.000455963265</v>
      </c>
      <c r="C21" s="144">
        <f>IFERROR(B21/$B$6,"")</f>
        <v>7.8128544222803978E-2</v>
      </c>
      <c r="D21" s="278">
        <v>0.1298020025275595</v>
      </c>
      <c r="E21" s="144">
        <f>IFERROR(C21-D21,"")</f>
        <v>-5.1673458304755518E-2</v>
      </c>
      <c r="F21" s="134"/>
      <c r="G21" s="129" t="s">
        <v>231</v>
      </c>
      <c r="H21" s="143">
        <f>'（４）訂單數量構成比'!AG46</f>
        <v>321518</v>
      </c>
      <c r="I21" s="144">
        <f>IFERROR(H21/$B$7,"")</f>
        <v>5.076855980422592E-2</v>
      </c>
      <c r="J21" s="278">
        <v>8.2573133663537635E-2</v>
      </c>
      <c r="K21" s="144">
        <f>IFERROR(I21-J21,"")</f>
        <v>-3.1804573859311715E-2</v>
      </c>
    </row>
    <row r="22" spans="1:18" s="122" customFormat="1" ht="18" customHeight="1">
      <c r="A22" s="129" t="s">
        <v>227</v>
      </c>
      <c r="B22" s="143">
        <f>'（３）業績構成比'!AI46/1000</f>
        <v>12551.979385050314</v>
      </c>
      <c r="C22" s="144">
        <f t="shared" si="5"/>
        <v>6.1349255457968127E-2</v>
      </c>
      <c r="D22" s="278">
        <v>6.6157180855688849E-2</v>
      </c>
      <c r="E22" s="144">
        <f t="shared" si="6"/>
        <v>-4.807925397720722E-3</v>
      </c>
      <c r="F22" s="134"/>
      <c r="G22" s="129" t="s">
        <v>232</v>
      </c>
      <c r="H22" s="143">
        <f>'（４）訂單數量構成比'!AI46</f>
        <v>339077</v>
      </c>
      <c r="I22" s="144">
        <f t="shared" si="3"/>
        <v>5.3541173286526765E-2</v>
      </c>
      <c r="J22" s="278">
        <v>5.9577291965174882E-2</v>
      </c>
      <c r="K22" s="144">
        <f t="shared" si="4"/>
        <v>-6.0361186786481169E-3</v>
      </c>
    </row>
    <row r="23" spans="1:18" s="122" customFormat="1" ht="18" customHeight="1">
      <c r="A23" s="129" t="s">
        <v>229</v>
      </c>
      <c r="B23" s="143">
        <f>'（３）業績構成比'!AK46/1000</f>
        <v>12415.398391701914</v>
      </c>
      <c r="C23" s="144">
        <f t="shared" si="5"/>
        <v>6.0681700007581253E-2</v>
      </c>
      <c r="D23" s="278">
        <v>8.0860253503238597E-2</v>
      </c>
      <c r="E23" s="144">
        <f t="shared" si="6"/>
        <v>-2.0178553495657343E-2</v>
      </c>
      <c r="F23" s="134"/>
      <c r="G23" s="129" t="s">
        <v>228</v>
      </c>
      <c r="H23" s="143">
        <f>'（４）訂單數量構成比'!AK46</f>
        <v>434345</v>
      </c>
      <c r="I23" s="144">
        <f t="shared" si="3"/>
        <v>6.8584247563640316E-2</v>
      </c>
      <c r="J23" s="278">
        <v>8.3758327444382843E-2</v>
      </c>
      <c r="K23" s="144">
        <f t="shared" si="4"/>
        <v>-1.5174079880742528E-2</v>
      </c>
    </row>
    <row r="24" spans="1:18" s="122" customFormat="1" ht="15.75" customHeight="1">
      <c r="A24" s="134"/>
      <c r="B24" s="134"/>
      <c r="C24" s="138">
        <f>SUM(C15:C23)</f>
        <v>1.0000000000000002</v>
      </c>
      <c r="D24" s="138">
        <f>SUM(D15:D23)</f>
        <v>1</v>
      </c>
      <c r="E24" s="134"/>
      <c r="F24" s="134"/>
      <c r="G24" s="134"/>
      <c r="H24" s="134"/>
      <c r="I24" s="138">
        <f>SUM(I15:I23)</f>
        <v>0.99999999999999989</v>
      </c>
      <c r="J24" s="138">
        <f>SUM(J15:J23)</f>
        <v>0.99999999999999989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195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185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4"/>
      <c r="N27" s="134"/>
      <c r="O27" s="134"/>
      <c r="P27" s="134"/>
      <c r="Q27" s="134"/>
      <c r="R27" s="134"/>
    </row>
    <row r="28" spans="1:18" s="122" customFormat="1" ht="18" customHeight="1">
      <c r="A28" s="129" t="s">
        <v>621</v>
      </c>
      <c r="B28" s="279">
        <f>'（５-1）品群別人時生產性（18℃-飯糰）'!$C$1</f>
        <v>793.68170694178502</v>
      </c>
      <c r="C28" s="296">
        <v>785.96646199231202</v>
      </c>
      <c r="D28" s="245">
        <f t="shared" ref="D28:D36" si="7">B28-C28</f>
        <v>7.7152449494730035</v>
      </c>
      <c r="E28" s="279">
        <v>762.84776902034014</v>
      </c>
      <c r="F28" s="134"/>
      <c r="G28" s="148"/>
      <c r="H28" s="148"/>
      <c r="I28" s="148"/>
      <c r="M28" s="134"/>
      <c r="N28" s="134"/>
      <c r="O28" s="134"/>
      <c r="P28" s="134"/>
      <c r="Q28" s="134"/>
      <c r="R28" s="134"/>
    </row>
    <row r="29" spans="1:18" s="122" customFormat="1" ht="18" customHeight="1">
      <c r="A29" s="129" t="s">
        <v>220</v>
      </c>
      <c r="B29" s="279">
        <f>'（５-2）品群別人時生產性（18-壽司手卷)'!$C$1</f>
        <v>171.43329270106761</v>
      </c>
      <c r="C29" s="296">
        <v>184.98535195239651</v>
      </c>
      <c r="D29" s="245">
        <f t="shared" si="7"/>
        <v>-13.552059251328899</v>
      </c>
      <c r="E29" s="279">
        <v>186.87188481349031</v>
      </c>
      <c r="F29" s="134"/>
      <c r="G29" s="149"/>
      <c r="H29" s="149"/>
      <c r="I29" s="149"/>
      <c r="M29" s="134"/>
      <c r="N29" s="134"/>
      <c r="O29" s="134"/>
      <c r="P29" s="134"/>
      <c r="Q29" s="134"/>
      <c r="R29" s="134"/>
    </row>
    <row r="30" spans="1:18" s="122" customFormat="1" ht="18" customHeight="1">
      <c r="A30" s="129" t="s">
        <v>230</v>
      </c>
      <c r="B30" s="279">
        <f>'（５-3）品群別人時生產性（4℃-飯糰)'!$C$1</f>
        <v>255.36298275117537</v>
      </c>
      <c r="C30" s="296">
        <v>269.01436619965523</v>
      </c>
      <c r="D30" s="245">
        <f t="shared" si="7"/>
        <v>-13.651383448479862</v>
      </c>
      <c r="E30" s="279">
        <v>259.31354206818662</v>
      </c>
      <c r="F30" s="134"/>
      <c r="G30" s="134"/>
      <c r="H30" s="134"/>
      <c r="I30" s="134"/>
      <c r="M30" s="134"/>
      <c r="N30" s="134"/>
      <c r="O30" s="134"/>
      <c r="P30" s="134"/>
      <c r="Q30" s="134"/>
      <c r="R30" s="134"/>
    </row>
    <row r="31" spans="1:18" s="122" customFormat="1" ht="18" customHeight="1">
      <c r="A31" s="129" t="s">
        <v>218</v>
      </c>
      <c r="B31" s="279">
        <f>'（５-4）品群別人時生產性（4℃-壽司手卷)'!$C$1</f>
        <v>118.36196777858777</v>
      </c>
      <c r="C31" s="296">
        <v>114.26642916085584</v>
      </c>
      <c r="D31" s="245">
        <f t="shared" si="7"/>
        <v>4.0955386177319326</v>
      </c>
      <c r="E31" s="279">
        <v>113.60872254173186</v>
      </c>
      <c r="F31" s="134"/>
      <c r="G31" s="134"/>
      <c r="H31" s="134"/>
      <c r="I31" s="134"/>
      <c r="M31" s="134"/>
      <c r="N31" s="134"/>
      <c r="O31" s="134"/>
      <c r="P31" s="134"/>
      <c r="Q31" s="134"/>
      <c r="R31" s="134"/>
    </row>
    <row r="32" spans="1:18" s="122" customFormat="1" ht="18" customHeight="1">
      <c r="A32" s="129" t="s">
        <v>222</v>
      </c>
      <c r="B32" s="279">
        <f>'（５-5）品群別人時生產性(主食) '!$C$1</f>
        <v>82.894643494802764</v>
      </c>
      <c r="C32" s="296">
        <v>85.722401734426455</v>
      </c>
      <c r="D32" s="245">
        <f t="shared" si="7"/>
        <v>-2.8277582396236909</v>
      </c>
      <c r="E32" s="279">
        <v>86.05466609302394</v>
      </c>
      <c r="F32" s="134"/>
      <c r="G32" s="134"/>
      <c r="H32" s="134"/>
      <c r="I32" s="134"/>
      <c r="M32" s="134"/>
      <c r="N32" s="134"/>
      <c r="O32" s="134"/>
      <c r="P32" s="134"/>
      <c r="Q32" s="134"/>
      <c r="R32" s="134"/>
    </row>
    <row r="33" spans="1:18" s="122" customFormat="1" ht="18" customHeight="1">
      <c r="A33" s="129" t="s">
        <v>224</v>
      </c>
      <c r="B33" s="279">
        <f>'（５-6）品群別人時生產性(便當)'!$C$1</f>
        <v>68.391794846661682</v>
      </c>
      <c r="C33" s="296">
        <v>70.412868253133169</v>
      </c>
      <c r="D33" s="245">
        <f t="shared" si="7"/>
        <v>-2.021073406471487</v>
      </c>
      <c r="E33" s="279">
        <v>68.259506883551552</v>
      </c>
      <c r="F33" s="134"/>
      <c r="G33" s="134"/>
      <c r="H33" s="134"/>
      <c r="I33" s="134"/>
      <c r="M33" s="134"/>
      <c r="N33" s="134"/>
      <c r="O33" s="134"/>
      <c r="P33" s="134"/>
      <c r="Q33" s="134"/>
      <c r="R33" s="134"/>
    </row>
    <row r="34" spans="1:18" s="122" customFormat="1" ht="18" customHeight="1">
      <c r="A34" s="129" t="s">
        <v>231</v>
      </c>
      <c r="B34" s="279">
        <f>'（５-7）品群別人時生產性(熱食義麵) '!$C$1</f>
        <v>70.145844555570179</v>
      </c>
      <c r="C34" s="296">
        <v>70.92811787954497</v>
      </c>
      <c r="D34" s="245">
        <f t="shared" si="7"/>
        <v>-0.78227332397479188</v>
      </c>
      <c r="E34" s="279">
        <v>74.973677025912039</v>
      </c>
      <c r="F34" s="134"/>
      <c r="G34" s="134"/>
      <c r="H34" s="134"/>
      <c r="I34" s="134"/>
      <c r="M34" s="134"/>
      <c r="N34" s="134"/>
      <c r="O34" s="134"/>
      <c r="P34" s="134"/>
      <c r="Q34" s="134"/>
      <c r="R34" s="134"/>
    </row>
    <row r="35" spans="1:18" s="122" customFormat="1" ht="18" customHeight="1">
      <c r="A35" s="129" t="s">
        <v>232</v>
      </c>
      <c r="B35" s="279">
        <f>'（５-8）品群別人時生產性(季節調理麵) '!$C$1</f>
        <v>122.33833293709185</v>
      </c>
      <c r="C35" s="296">
        <v>120.54740919621163</v>
      </c>
      <c r="D35" s="245">
        <f t="shared" si="7"/>
        <v>1.790923740880217</v>
      </c>
      <c r="E35" s="279">
        <v>119.67352248972296</v>
      </c>
      <c r="F35" s="134"/>
      <c r="G35" s="134"/>
      <c r="H35" s="134"/>
      <c r="I35" s="134"/>
      <c r="M35" s="134"/>
      <c r="N35" s="134"/>
      <c r="O35" s="134"/>
      <c r="P35" s="134"/>
      <c r="Q35" s="134"/>
      <c r="R35" s="134"/>
    </row>
    <row r="36" spans="1:18" s="122" customFormat="1" ht="18" customHeight="1">
      <c r="A36" s="125" t="s">
        <v>228</v>
      </c>
      <c r="B36" s="279">
        <f>'（５-9）品群別人時生產性(微波小吃)'!$C$1</f>
        <v>124.77437732057501</v>
      </c>
      <c r="C36" s="296">
        <v>119.11370110269712</v>
      </c>
      <c r="D36" s="245">
        <f t="shared" si="7"/>
        <v>5.6606762178778922</v>
      </c>
      <c r="E36" s="279">
        <v>114.05811209869375</v>
      </c>
      <c r="F36" s="134"/>
      <c r="G36" s="134"/>
      <c r="H36" s="134"/>
      <c r="I36" s="134"/>
      <c r="M36" s="134"/>
      <c r="N36" s="134"/>
      <c r="O36" s="134"/>
      <c r="P36" s="134"/>
      <c r="Q36" s="134"/>
      <c r="R36" s="134"/>
    </row>
    <row r="37" spans="1:18" s="122" customFormat="1" ht="15.75" customHeight="1">
      <c r="M37" s="134"/>
      <c r="N37" s="134"/>
      <c r="O37" s="134"/>
      <c r="P37" s="134"/>
      <c r="Q37" s="134"/>
      <c r="R37" s="134"/>
    </row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B10" sqref="B10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12" t="s">
        <v>407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120"/>
    </row>
    <row r="2" spans="1:18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</row>
    <row r="3" spans="1:18" ht="21.6" customHeight="1">
      <c r="A3" s="140" t="s">
        <v>322</v>
      </c>
      <c r="B3" s="215">
        <v>11</v>
      </c>
      <c r="C3" s="217" t="s">
        <v>323</v>
      </c>
      <c r="D3" s="215" t="s">
        <v>608</v>
      </c>
      <c r="E3" s="140" t="s">
        <v>20</v>
      </c>
      <c r="F3" s="513" t="s">
        <v>406</v>
      </c>
      <c r="G3" s="513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194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196</v>
      </c>
      <c r="B5" s="147" t="s">
        <v>325</v>
      </c>
      <c r="C5" s="147" t="s">
        <v>327</v>
      </c>
      <c r="D5" s="142" t="s">
        <v>2</v>
      </c>
      <c r="E5" s="142" t="s">
        <v>3</v>
      </c>
      <c r="F5" s="136"/>
      <c r="G5" s="147" t="s">
        <v>196</v>
      </c>
      <c r="H5" s="142" t="s">
        <v>69</v>
      </c>
      <c r="I5" s="142" t="s">
        <v>324</v>
      </c>
      <c r="J5" s="142" t="s">
        <v>326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4">
        <f>'（１）收支狀況'!G33/1000</f>
        <v>45409.677000000003</v>
      </c>
      <c r="C6" s="256">
        <v>48568.542999999998</v>
      </c>
      <c r="D6" s="143">
        <f t="shared" ref="D6:D11" si="0">B6-C6</f>
        <v>-3158.8659999999945</v>
      </c>
      <c r="E6" s="236">
        <f>'（１）收支狀況'!H9/1000</f>
        <v>204598.72399999999</v>
      </c>
      <c r="F6" s="134"/>
      <c r="G6" s="129" t="s">
        <v>197</v>
      </c>
      <c r="H6" s="238">
        <v>366</v>
      </c>
      <c r="I6" s="261">
        <f>'（２）ＫＰＩ達成進度'!G33</f>
        <v>323.22182277780331</v>
      </c>
      <c r="J6" s="262">
        <v>342.32011489371604</v>
      </c>
      <c r="K6" s="263">
        <f>'（２）ＫＰＩ達成進度'!H9</f>
        <v>325.42302479491974</v>
      </c>
      <c r="L6" s="123" t="s">
        <v>193</v>
      </c>
    </row>
    <row r="7" spans="1:18" s="122" customFormat="1" ht="18" customHeight="1">
      <c r="A7" s="129" t="s">
        <v>25</v>
      </c>
      <c r="B7" s="224">
        <f>'（１）收支狀況'!J33</f>
        <v>1398601</v>
      </c>
      <c r="C7" s="256">
        <v>1467152</v>
      </c>
      <c r="D7" s="143">
        <f t="shared" si="0"/>
        <v>-68551</v>
      </c>
      <c r="E7" s="236">
        <f>'（１）收支狀況'!K9</f>
        <v>6333014</v>
      </c>
      <c r="F7" s="134"/>
      <c r="G7" s="129" t="s">
        <v>198</v>
      </c>
      <c r="H7" s="254">
        <v>0.8</v>
      </c>
      <c r="I7" s="252">
        <f>'（２）ＫＰＩ達成進度'!J33</f>
        <v>0.88383739724133459</v>
      </c>
      <c r="J7" s="259">
        <v>0.93530086036534432</v>
      </c>
      <c r="K7" s="255">
        <f>'（２）ＫＰＩ達成進度'!K9</f>
        <v>0.88947795387430384</v>
      </c>
      <c r="L7" s="123" t="s">
        <v>4</v>
      </c>
    </row>
    <row r="8" spans="1:18" s="122" customFormat="1" ht="18" customHeight="1">
      <c r="A8" s="129" t="s">
        <v>5</v>
      </c>
      <c r="B8" s="224">
        <f>'（１）收支狀況'!M33/1000</f>
        <v>30547.186000000002</v>
      </c>
      <c r="C8" s="256">
        <v>32511.102999999999</v>
      </c>
      <c r="D8" s="143">
        <f>B8-C8</f>
        <v>-1963.9169999999976</v>
      </c>
      <c r="E8" s="236">
        <f>'（１）收支狀況'!N9/1000</f>
        <v>138760.36300000001</v>
      </c>
      <c r="F8" s="134"/>
      <c r="G8" s="129" t="s">
        <v>199</v>
      </c>
      <c r="H8" s="237">
        <v>2.5000000000000001E-3</v>
      </c>
      <c r="I8" s="250">
        <f>'（２）ＫＰＩ達成進度'!M33</f>
        <v>2.4567444682047522E-3</v>
      </c>
      <c r="J8" s="258">
        <v>2.44992700831204E-3</v>
      </c>
      <c r="K8" s="250">
        <f>'（２）ＫＰＩ達成進度'!N9</f>
        <v>2.4547774366926165E-3</v>
      </c>
      <c r="L8" s="123" t="s">
        <v>55</v>
      </c>
    </row>
    <row r="9" spans="1:18" s="122" customFormat="1" ht="18" customHeight="1">
      <c r="A9" s="129" t="s">
        <v>6</v>
      </c>
      <c r="B9" s="225">
        <f>'（１）收支狀況'!P33</f>
        <v>0.67270212029915999</v>
      </c>
      <c r="C9" s="257">
        <v>0.66938600567037809</v>
      </c>
      <c r="D9" s="144">
        <f t="shared" si="0"/>
        <v>3.3161146287818966E-3</v>
      </c>
      <c r="E9" s="144">
        <f>'（１）收支狀況'!Q9</f>
        <v>0.67820737239788453</v>
      </c>
      <c r="F9" s="134"/>
      <c r="G9" s="129" t="s">
        <v>200</v>
      </c>
      <c r="H9" s="237">
        <v>2.5999999999999999E-3</v>
      </c>
      <c r="I9" s="250">
        <f>'（２）ＫＰＩ達成進度'!P33</f>
        <v>2.1972525969534379E-3</v>
      </c>
      <c r="J9" s="258">
        <v>2.2296455419316499E-3</v>
      </c>
      <c r="K9" s="250">
        <f>'（２）ＫＰＩ達成進度'!Q9</f>
        <v>2.234630637964113E-3</v>
      </c>
      <c r="L9" s="123" t="s">
        <v>98</v>
      </c>
    </row>
    <row r="10" spans="1:18" s="122" customFormat="1" ht="18" customHeight="1">
      <c r="A10" s="129" t="s">
        <v>64</v>
      </c>
      <c r="B10" s="224">
        <f>'（１）收支狀況'!S33/1000</f>
        <v>6388.9348844868391</v>
      </c>
      <c r="C10" s="256">
        <f>7059638.28/1000</f>
        <v>7059.6382800000001</v>
      </c>
      <c r="D10" s="143">
        <f t="shared" si="0"/>
        <v>-670.70339551316101</v>
      </c>
      <c r="E10" s="236">
        <f>'（１）收支狀況'!T9/1000</f>
        <v>30102.781930346478</v>
      </c>
      <c r="F10" s="134"/>
      <c r="G10" s="129" t="s">
        <v>201</v>
      </c>
      <c r="H10" s="251">
        <v>0.8</v>
      </c>
      <c r="I10" s="252">
        <v>0.91700000000000004</v>
      </c>
      <c r="J10" s="259">
        <v>0.91700000000000004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5">
        <f>'（１）收支狀況'!V33</f>
        <v>0.14069544878037427</v>
      </c>
      <c r="C11" s="257">
        <v>0.14535412931781796</v>
      </c>
      <c r="D11" s="144">
        <f t="shared" si="0"/>
        <v>-4.658680537443699E-3</v>
      </c>
      <c r="E11" s="144">
        <f>'（１）收支狀況'!W9</f>
        <v>0.14713083904837293</v>
      </c>
      <c r="F11" s="134"/>
      <c r="G11" s="129" t="s">
        <v>202</v>
      </c>
      <c r="H11" s="251">
        <v>1</v>
      </c>
      <c r="I11" s="252">
        <f>'（２）ＫＰＩ達成進度'!V33</f>
        <v>7.3285714285714287E-2</v>
      </c>
      <c r="J11" s="259">
        <v>0.90285714285714291</v>
      </c>
      <c r="K11" s="252">
        <f>'（２）ＫＰＩ達成進度'!W9</f>
        <v>4.1290322580645168E-2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8" t="s">
        <v>325</v>
      </c>
      <c r="C14" s="146" t="s">
        <v>66</v>
      </c>
      <c r="D14" s="218" t="s">
        <v>328</v>
      </c>
      <c r="E14" s="146" t="s">
        <v>68</v>
      </c>
      <c r="F14" s="137"/>
      <c r="G14" s="146"/>
      <c r="H14" s="218" t="s">
        <v>325</v>
      </c>
      <c r="I14" s="146" t="s">
        <v>66</v>
      </c>
      <c r="J14" s="218" t="s">
        <v>328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331</v>
      </c>
      <c r="B15" s="239">
        <f>SUM('（３）業績構成比'!I35:I41,'（３）業績構成比'!K35:K41)/1000</f>
        <v>8346.2306467511844</v>
      </c>
      <c r="C15" s="144">
        <f>IFERROR(B15/$B$6,"")</f>
        <v>0.18379850283346397</v>
      </c>
      <c r="D15" s="257">
        <v>0.18934667782754822</v>
      </c>
      <c r="E15" s="144">
        <f>IFERROR(C15-D15,"")</f>
        <v>-5.5481749940842484E-3</v>
      </c>
      <c r="F15" s="134"/>
      <c r="G15" s="129" t="s">
        <v>331</v>
      </c>
      <c r="H15" s="239">
        <f>SUM(,'（４）訂單數量構成比'!I35:I41,'（４）訂單數量構成比'!K35:K41)</f>
        <v>436739</v>
      </c>
      <c r="I15" s="144">
        <f t="shared" ref="I15:I23" si="1">IFERROR(H15/$B$7,"")</f>
        <v>0.31226847399651508</v>
      </c>
      <c r="J15" s="257">
        <v>0.32807711811727758</v>
      </c>
      <c r="K15" s="144">
        <f t="shared" ref="K15:K23" si="2">IFERROR(I15-J15,"")</f>
        <v>-1.5808644120762494E-2</v>
      </c>
    </row>
    <row r="16" spans="1:18" s="122" customFormat="1" ht="18" customHeight="1">
      <c r="A16" s="129" t="s">
        <v>221</v>
      </c>
      <c r="B16" s="239">
        <f>SUM('（３）業績構成比'!O35:O41,'（３）業績構成比'!Q35:Q41)/1000</f>
        <v>1213.0124162256732</v>
      </c>
      <c r="C16" s="144">
        <f t="shared" ref="C16:C23" si="3">IFERROR(B16/$B$6,"")</f>
        <v>2.6712641365532572E-2</v>
      </c>
      <c r="D16" s="257">
        <v>3.5232688102032263E-2</v>
      </c>
      <c r="E16" s="144">
        <f t="shared" ref="E16:E23" si="4">IFERROR(C16-D16,"")</f>
        <v>-8.520046736499691E-3</v>
      </c>
      <c r="F16" s="134"/>
      <c r="G16" s="129" t="s">
        <v>248</v>
      </c>
      <c r="H16" s="239">
        <f>SUM('（４）訂單數量構成比'!O35:O41,'（４）訂單數量構成比'!Q35:Q41)</f>
        <v>46111</v>
      </c>
      <c r="I16" s="144">
        <f t="shared" si="1"/>
        <v>3.2969374396271706E-2</v>
      </c>
      <c r="J16" s="257">
        <v>4.6813145468226874E-2</v>
      </c>
      <c r="K16" s="144">
        <f t="shared" si="2"/>
        <v>-1.3843771071955169E-2</v>
      </c>
    </row>
    <row r="17" spans="1:11" s="122" customFormat="1" ht="18" customHeight="1">
      <c r="A17" s="129" t="s">
        <v>217</v>
      </c>
      <c r="B17" s="239">
        <f>SUM('（３）業績構成比'!U35:U41)/1000</f>
        <v>7575.2146181554781</v>
      </c>
      <c r="C17" s="144">
        <f t="shared" si="3"/>
        <v>0.16681939002022581</v>
      </c>
      <c r="D17" s="257">
        <v>9.0034971565151903E-2</v>
      </c>
      <c r="E17" s="144">
        <f t="shared" si="4"/>
        <v>7.6784418455073902E-2</v>
      </c>
      <c r="F17" s="134"/>
      <c r="G17" s="129" t="s">
        <v>230</v>
      </c>
      <c r="H17" s="239">
        <f>SUM('（４）訂單數量構成比'!U35:U41)</f>
        <v>231671</v>
      </c>
      <c r="I17" s="144">
        <f t="shared" si="1"/>
        <v>0.16564481220877147</v>
      </c>
      <c r="J17" s="257">
        <v>8.4512034199592134E-2</v>
      </c>
      <c r="K17" s="144">
        <f t="shared" si="2"/>
        <v>8.113277800917934E-2</v>
      </c>
    </row>
    <row r="18" spans="1:11" s="122" customFormat="1" ht="18" customHeight="1">
      <c r="A18" s="129" t="s">
        <v>219</v>
      </c>
      <c r="B18" s="239">
        <f>SUM('（３）業績構成比'!W35:W41)/1000</f>
        <v>920.4793007434605</v>
      </c>
      <c r="C18" s="144">
        <f t="shared" si="3"/>
        <v>2.0270553801637049E-2</v>
      </c>
      <c r="D18" s="257">
        <v>1.1775084230339142E-2</v>
      </c>
      <c r="E18" s="144">
        <f t="shared" si="4"/>
        <v>8.4954695712979068E-3</v>
      </c>
      <c r="F18" s="134"/>
      <c r="G18" s="129" t="s">
        <v>218</v>
      </c>
      <c r="H18" s="239">
        <f>SUM('（４）訂單數量構成比'!W35:W41)</f>
        <v>27758</v>
      </c>
      <c r="I18" s="144">
        <f t="shared" si="1"/>
        <v>1.9846975656388061E-2</v>
      </c>
      <c r="J18" s="257">
        <v>1.917865360916933E-2</v>
      </c>
      <c r="K18" s="144">
        <f t="shared" si="2"/>
        <v>6.6832204721873137E-4</v>
      </c>
    </row>
    <row r="19" spans="1:11" s="122" customFormat="1" ht="18" customHeight="1">
      <c r="A19" s="129" t="s">
        <v>223</v>
      </c>
      <c r="B19" s="239">
        <f>SUM('（３）業績構成比'!Y35:Y41,'（３）業績構成比'!AA35:AA41)/1000</f>
        <v>12657.109336473883</v>
      </c>
      <c r="C19" s="144">
        <f t="shared" si="3"/>
        <v>0.27873154298089109</v>
      </c>
      <c r="D19" s="257">
        <v>0.28328980102486256</v>
      </c>
      <c r="E19" s="144">
        <f t="shared" si="4"/>
        <v>-4.5582580439714748E-3</v>
      </c>
      <c r="F19" s="134"/>
      <c r="G19" s="129" t="s">
        <v>222</v>
      </c>
      <c r="H19" s="239">
        <f>SUM('（４）訂單數量構成比'!Y35:Y41,'（４）訂單數量構成比'!AA35:AA41)</f>
        <v>314985</v>
      </c>
      <c r="I19" s="144">
        <f t="shared" si="1"/>
        <v>0.22521433918608666</v>
      </c>
      <c r="J19" s="257">
        <v>0.22873430973750505</v>
      </c>
      <c r="K19" s="144">
        <f t="shared" si="2"/>
        <v>-3.5199705514183943E-3</v>
      </c>
    </row>
    <row r="20" spans="1:11" s="122" customFormat="1" ht="18" customHeight="1">
      <c r="A20" s="129" t="s">
        <v>225</v>
      </c>
      <c r="B20" s="239">
        <f>SUM('（３）業績構成比'!AE35:AE41)/1000</f>
        <v>5966.1575308342626</v>
      </c>
      <c r="C20" s="144">
        <f t="shared" si="3"/>
        <v>0.13138515675489748</v>
      </c>
      <c r="D20" s="257">
        <v>0.1504046846615002</v>
      </c>
      <c r="E20" s="144">
        <f t="shared" si="4"/>
        <v>-1.9019527906602718E-2</v>
      </c>
      <c r="F20" s="134"/>
      <c r="G20" s="129" t="s">
        <v>224</v>
      </c>
      <c r="H20" s="239">
        <f>SUM('（４）訂單數量構成比'!AE35:AE41)</f>
        <v>105747</v>
      </c>
      <c r="I20" s="144">
        <f t="shared" si="1"/>
        <v>7.5609126548601066E-2</v>
      </c>
      <c r="J20" s="257">
        <v>8.9526511227193906E-2</v>
      </c>
      <c r="K20" s="144">
        <f t="shared" si="2"/>
        <v>-1.391738467859284E-2</v>
      </c>
    </row>
    <row r="21" spans="1:11" s="122" customFormat="1" ht="18" customHeight="1">
      <c r="A21" s="129" t="s">
        <v>226</v>
      </c>
      <c r="B21" s="239">
        <f>SUM('（３）業績構成比'!AG35:AG41)/1000</f>
        <v>3325.0285006208428</v>
      </c>
      <c r="C21" s="144">
        <f t="shared" si="3"/>
        <v>7.3222905783294656E-2</v>
      </c>
      <c r="D21" s="257">
        <v>0.11116644166551118</v>
      </c>
      <c r="E21" s="144">
        <f t="shared" si="4"/>
        <v>-3.7943535882216523E-2</v>
      </c>
      <c r="F21" s="134"/>
      <c r="G21" s="129" t="s">
        <v>231</v>
      </c>
      <c r="H21" s="239">
        <f>SUM('（４）訂單數量構成比'!AG35:AG41)</f>
        <v>66671</v>
      </c>
      <c r="I21" s="144">
        <f t="shared" si="1"/>
        <v>4.7669778585886897E-2</v>
      </c>
      <c r="J21" s="257">
        <v>7.3652218720350715E-2</v>
      </c>
      <c r="K21" s="144">
        <f t="shared" si="2"/>
        <v>-2.5982440134463818E-2</v>
      </c>
    </row>
    <row r="22" spans="1:11" s="122" customFormat="1" ht="18" customHeight="1">
      <c r="A22" s="129" t="s">
        <v>227</v>
      </c>
      <c r="B22" s="239">
        <f>SUM('（３）業績構成比'!AI35:AI41)/1000</f>
        <v>2919.9197657845234</v>
      </c>
      <c r="C22" s="144">
        <f t="shared" si="3"/>
        <v>6.430170744849216E-2</v>
      </c>
      <c r="D22" s="257">
        <v>4.6912393901251959E-2</v>
      </c>
      <c r="E22" s="144">
        <f t="shared" si="4"/>
        <v>1.7389313547240201E-2</v>
      </c>
      <c r="F22" s="134"/>
      <c r="G22" s="129" t="s">
        <v>232</v>
      </c>
      <c r="H22" s="239">
        <f>SUM('（４）訂單數量構成比'!AI35:AI41)</f>
        <v>78858</v>
      </c>
      <c r="I22" s="144">
        <f t="shared" si="1"/>
        <v>5.6383486069293533E-2</v>
      </c>
      <c r="J22" s="257">
        <v>4.1703245471498521E-2</v>
      </c>
      <c r="K22" s="144">
        <f t="shared" si="2"/>
        <v>1.4680240597795012E-2</v>
      </c>
    </row>
    <row r="23" spans="1:11" s="122" customFormat="1" ht="18" customHeight="1">
      <c r="A23" s="129" t="s">
        <v>229</v>
      </c>
      <c r="B23" s="239">
        <f>SUM('（３）業績構成比'!AK35:AK41)/1000</f>
        <v>2486.5248844106941</v>
      </c>
      <c r="C23" s="144">
        <f t="shared" si="3"/>
        <v>5.4757599011565176E-2</v>
      </c>
      <c r="D23" s="257">
        <v>8.1837257021802626E-2</v>
      </c>
      <c r="E23" s="144">
        <f t="shared" si="4"/>
        <v>-2.7079658010237449E-2</v>
      </c>
      <c r="F23" s="134"/>
      <c r="G23" s="129" t="s">
        <v>228</v>
      </c>
      <c r="H23" s="239">
        <f>SUM('（４）訂單數量構成比'!AK35:AK41)</f>
        <v>90061</v>
      </c>
      <c r="I23" s="144">
        <f t="shared" si="1"/>
        <v>6.4393633352185509E-2</v>
      </c>
      <c r="J23" s="257">
        <v>8.7802763449185903E-2</v>
      </c>
      <c r="K23" s="144">
        <f t="shared" si="2"/>
        <v>-2.3409130097000394E-2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456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185</v>
      </c>
      <c r="B27" s="219" t="s">
        <v>325</v>
      </c>
      <c r="C27" s="219" t="s">
        <v>327</v>
      </c>
      <c r="D27" s="129" t="s">
        <v>2</v>
      </c>
      <c r="E27" s="129" t="s">
        <v>408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331</v>
      </c>
      <c r="B28" s="244">
        <f>'（５-1）品群別人時生產性（18℃-飯糰）'!L147</f>
        <v>802.01754375755297</v>
      </c>
      <c r="C28" s="260">
        <v>773.28751168276119</v>
      </c>
      <c r="D28" s="245">
        <f t="shared" ref="D28:D36" si="5">B28-C28</f>
        <v>28.730032074791779</v>
      </c>
      <c r="E28" s="130">
        <f>'（５-1）品群別人時生產性（18℃-飯糰）'!C1</f>
        <v>793.68170694178502</v>
      </c>
      <c r="F28" s="264">
        <v>147</v>
      </c>
      <c r="G28" s="148"/>
      <c r="H28" s="148"/>
      <c r="I28" s="148"/>
      <c r="J28" s="148"/>
      <c r="K28" s="134"/>
    </row>
    <row r="29" spans="1:11" s="122" customFormat="1" ht="18" customHeight="1">
      <c r="A29" s="129" t="s">
        <v>220</v>
      </c>
      <c r="B29" s="244">
        <f>'（５-2）品群別人時生產性（18-壽司手卷)'!L87</f>
        <v>177.69821747751155</v>
      </c>
      <c r="C29" s="260">
        <v>182.60763657644188</v>
      </c>
      <c r="D29" s="245">
        <f t="shared" si="5"/>
        <v>-4.9094190989303286</v>
      </c>
      <c r="E29" s="130">
        <f>'（５-2）品群別人時生產性（18-壽司手卷)'!C1</f>
        <v>171.43329270106761</v>
      </c>
      <c r="F29" s="134">
        <v>87</v>
      </c>
      <c r="G29" s="149"/>
      <c r="H29" s="149"/>
      <c r="I29" s="150"/>
      <c r="J29" s="151"/>
      <c r="K29" s="134"/>
    </row>
    <row r="30" spans="1:11" s="122" customFormat="1" ht="18" customHeight="1">
      <c r="A30" s="129" t="s">
        <v>230</v>
      </c>
      <c r="B30" s="244">
        <f>'（５-3）品群別人時生產性（4℃-飯糰)'!L87</f>
        <v>254.61804773822141</v>
      </c>
      <c r="C30" s="260">
        <v>272.74108911147209</v>
      </c>
      <c r="D30" s="245">
        <f t="shared" si="5"/>
        <v>-18.123041373250686</v>
      </c>
      <c r="E30" s="130">
        <f>'（５-3）品群別人時生產性（4℃-飯糰)'!C1</f>
        <v>255.36298275117537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218</v>
      </c>
      <c r="B31" s="244">
        <f>'（５-4）品群別人時生產性（4℃-壽司手卷)'!L87</f>
        <v>124.99344230140571</v>
      </c>
      <c r="C31" s="260">
        <v>113.81516387747592</v>
      </c>
      <c r="D31" s="245">
        <f t="shared" si="5"/>
        <v>11.178278423929783</v>
      </c>
      <c r="E31" s="130">
        <f>'（５-4）品群別人時生產性（4℃-壽司手卷)'!C1</f>
        <v>118.36196777858777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222</v>
      </c>
      <c r="B32" s="244">
        <f>'（５-5）品群別人時生產性(主食) '!L147</f>
        <v>80.956380001470151</v>
      </c>
      <c r="C32" s="260">
        <v>86.027649035293493</v>
      </c>
      <c r="D32" s="245">
        <f t="shared" si="5"/>
        <v>-5.0712690338233415</v>
      </c>
      <c r="E32" s="130">
        <f>'（５-5）品群別人時生產性(主食) '!C1</f>
        <v>82.894643494802764</v>
      </c>
      <c r="F32" s="264"/>
      <c r="G32" s="134"/>
      <c r="H32" s="134"/>
      <c r="I32" s="134"/>
      <c r="J32" s="134"/>
      <c r="K32" s="134"/>
    </row>
    <row r="33" spans="1:11" s="122" customFormat="1" ht="18" customHeight="1">
      <c r="A33" s="129" t="s">
        <v>224</v>
      </c>
      <c r="B33" s="244">
        <f>'（５-6）品群別人時生產性(便當)'!L87</f>
        <v>67.823891917995013</v>
      </c>
      <c r="C33" s="260">
        <v>67.317862575497216</v>
      </c>
      <c r="D33" s="245">
        <f t="shared" si="5"/>
        <v>0.50602934249779707</v>
      </c>
      <c r="E33" s="130">
        <f>'（５-6）品群別人時生產性(便當)'!C1</f>
        <v>68.391794846661682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231</v>
      </c>
      <c r="B34" s="244">
        <f>'（５-7）品群別人時生產性(熱食義麵) '!L87</f>
        <v>74.697338866778452</v>
      </c>
      <c r="C34" s="260">
        <v>77.436510262417258</v>
      </c>
      <c r="D34" s="245">
        <f t="shared" si="5"/>
        <v>-2.739171395638806</v>
      </c>
      <c r="E34" s="130">
        <f>'（５-7）品群別人時生產性(熱食義麵) '!C1</f>
        <v>70.145844555570179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232</v>
      </c>
      <c r="B35" s="244">
        <f>'（５-8）品群別人時生產性(季節調理麵) '!L87</f>
        <v>119.96552648227539</v>
      </c>
      <c r="C35" s="260">
        <v>121.87280560095473</v>
      </c>
      <c r="D35" s="245">
        <f t="shared" si="5"/>
        <v>-1.907279118679341</v>
      </c>
      <c r="E35" s="130">
        <f>'（５-8）品群別人時生產性(季節調理麵) '!C1</f>
        <v>122.33833293709185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228</v>
      </c>
      <c r="B36" s="244">
        <f>'（５-9）品群別人時生產性(微波小吃)'!L87</f>
        <v>144.79668821138463</v>
      </c>
      <c r="C36" s="260">
        <v>115.15834330868617</v>
      </c>
      <c r="D36" s="245">
        <f t="shared" si="5"/>
        <v>29.638344902698464</v>
      </c>
      <c r="E36" s="130">
        <f>'（５-9）品群別人時生產性(微波小吃)'!C1</f>
        <v>124.77437732057501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289">
        <f>SUM(D28:D36)</f>
        <v>37.30250472359532</v>
      </c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9" sqref="H9"/>
    </sheetView>
  </sheetViews>
  <sheetFormatPr defaultColWidth="8.85546875" defaultRowHeight="12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515" t="s">
        <v>121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</row>
    <row r="3" spans="2:23" s="84" customFormat="1" ht="23.45" customHeight="1">
      <c r="B3" s="98"/>
      <c r="C3" s="519" t="s">
        <v>116</v>
      </c>
      <c r="D3" s="520" t="s">
        <v>105</v>
      </c>
      <c r="E3" s="520"/>
      <c r="F3" s="518" t="s">
        <v>354</v>
      </c>
      <c r="G3" s="518"/>
      <c r="H3" s="518"/>
      <c r="I3" s="516" t="s">
        <v>119</v>
      </c>
      <c r="J3" s="516"/>
      <c r="K3" s="516"/>
      <c r="L3" s="517" t="s">
        <v>120</v>
      </c>
      <c r="M3" s="517"/>
      <c r="N3" s="517"/>
      <c r="O3" s="514" t="s">
        <v>122</v>
      </c>
      <c r="P3" s="514"/>
      <c r="Q3" s="514"/>
      <c r="R3" s="521" t="s">
        <v>123</v>
      </c>
      <c r="S3" s="521"/>
      <c r="T3" s="521"/>
      <c r="U3" s="514" t="s">
        <v>124</v>
      </c>
      <c r="V3" s="514"/>
      <c r="W3" s="514"/>
    </row>
    <row r="4" spans="2:23" s="84" customFormat="1" ht="23.45" customHeight="1">
      <c r="B4" s="98"/>
      <c r="C4" s="519"/>
      <c r="D4" s="520"/>
      <c r="E4" s="520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293" t="s">
        <v>464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293" t="s">
        <v>464</v>
      </c>
    </row>
    <row r="5" spans="2:23">
      <c r="B5" s="98"/>
      <c r="C5" s="98"/>
      <c r="D5" s="86"/>
      <c r="E5" s="86"/>
      <c r="F5" s="230"/>
      <c r="G5" s="290"/>
      <c r="H5" s="319"/>
      <c r="I5" s="231"/>
      <c r="K5" s="320"/>
      <c r="L5" s="230"/>
      <c r="M5" s="290"/>
      <c r="N5" s="319"/>
      <c r="Q5" s="318"/>
      <c r="R5" s="232"/>
      <c r="S5" s="290"/>
      <c r="T5" s="319"/>
      <c r="V5" s="90"/>
      <c r="W5" s="318"/>
    </row>
    <row r="6" spans="2:23" ht="16.5" customHeight="1">
      <c r="B6" s="98"/>
      <c r="C6" s="98"/>
      <c r="D6" s="86"/>
      <c r="E6" s="86"/>
      <c r="F6" s="230"/>
      <c r="G6" s="290"/>
      <c r="I6" s="231"/>
      <c r="L6" s="230"/>
      <c r="M6" s="290"/>
      <c r="R6" s="232"/>
      <c r="S6" s="290"/>
      <c r="V6" s="90"/>
    </row>
    <row r="7" spans="2:23" ht="16.5" customHeight="1">
      <c r="B7" s="98"/>
      <c r="C7" s="98"/>
      <c r="D7" s="86"/>
      <c r="E7" s="86"/>
      <c r="F7" s="230"/>
      <c r="G7" s="290"/>
      <c r="H7" s="319"/>
      <c r="I7" s="231"/>
      <c r="K7" s="320"/>
      <c r="L7" s="230"/>
      <c r="M7" s="290"/>
      <c r="N7" s="319"/>
      <c r="Q7" s="318"/>
      <c r="R7" s="232"/>
      <c r="S7" s="290"/>
      <c r="T7" s="319"/>
      <c r="V7" s="90"/>
      <c r="W7" s="318"/>
    </row>
    <row r="8" spans="2:23" ht="16.5" customHeight="1">
      <c r="B8" s="98"/>
      <c r="C8" s="98"/>
      <c r="D8" s="86"/>
      <c r="E8" s="86"/>
      <c r="F8" s="230"/>
      <c r="G8" s="290"/>
      <c r="H8" s="319"/>
      <c r="I8" s="231"/>
      <c r="K8" s="320"/>
      <c r="L8" s="230"/>
      <c r="M8" s="290"/>
      <c r="N8" s="319"/>
      <c r="Q8" s="318"/>
      <c r="R8" s="232"/>
      <c r="S8" s="290"/>
      <c r="T8" s="319"/>
      <c r="V8" s="90"/>
      <c r="W8" s="318"/>
    </row>
    <row r="9" spans="2:23" ht="16.5" customHeight="1">
      <c r="B9" s="98"/>
      <c r="C9" s="98"/>
      <c r="D9" s="86">
        <f t="shared" ref="D9:D39" si="0">D8+1</f>
        <v>1</v>
      </c>
      <c r="E9" s="86" t="s">
        <v>460</v>
      </c>
      <c r="F9" s="230">
        <v>6681403</v>
      </c>
      <c r="G9" s="290"/>
      <c r="H9" s="319">
        <f>SUM(F9:F39)</f>
        <v>204598724</v>
      </c>
      <c r="I9" s="231">
        <v>205236</v>
      </c>
      <c r="K9" s="320">
        <f>SUM(I9:I39)</f>
        <v>6333014</v>
      </c>
      <c r="L9" s="230">
        <v>4898484</v>
      </c>
      <c r="M9" s="290"/>
      <c r="N9" s="319">
        <f>SUM(L9:L39)</f>
        <v>138760363</v>
      </c>
      <c r="O9" s="90">
        <f t="shared" ref="O9:O39" si="1">L9/F9</f>
        <v>0.73315200415242132</v>
      </c>
      <c r="Q9" s="318">
        <f>N9/H9</f>
        <v>0.67820737239788453</v>
      </c>
      <c r="R9" s="232">
        <v>1021360.6863552635</v>
      </c>
      <c r="S9" s="290"/>
      <c r="T9" s="319">
        <f>SUM(R9:R39)</f>
        <v>30102781.930346478</v>
      </c>
      <c r="U9" s="90">
        <f t="shared" ref="U9:U40" si="2">R9/F9</f>
        <v>0.152866199861805</v>
      </c>
      <c r="V9" s="90"/>
      <c r="W9" s="318">
        <f>T9/H9</f>
        <v>0.14713083904837293</v>
      </c>
    </row>
    <row r="10" spans="2:23" ht="16.5" customHeight="1">
      <c r="B10" s="98"/>
      <c r="C10" s="98"/>
      <c r="D10" s="86">
        <f t="shared" si="0"/>
        <v>2</v>
      </c>
      <c r="E10" s="86" t="s">
        <v>461</v>
      </c>
      <c r="F10" s="230">
        <v>5997913</v>
      </c>
      <c r="G10" s="290"/>
      <c r="H10" s="319"/>
      <c r="I10" s="231">
        <v>186163</v>
      </c>
      <c r="K10" s="320"/>
      <c r="L10" s="230">
        <v>4157041</v>
      </c>
      <c r="M10" s="290"/>
      <c r="N10" s="319"/>
      <c r="O10" s="90">
        <f t="shared" si="1"/>
        <v>0.69308124342583832</v>
      </c>
      <c r="Q10" s="318"/>
      <c r="R10" s="232">
        <v>971503.19302192936</v>
      </c>
      <c r="S10" s="290"/>
      <c r="T10" s="319"/>
      <c r="U10" s="90">
        <f t="shared" si="2"/>
        <v>0.1619735386328427</v>
      </c>
      <c r="V10" s="90"/>
      <c r="W10" s="318"/>
    </row>
    <row r="11" spans="2:23" ht="16.5" customHeight="1">
      <c r="B11" s="98"/>
      <c r="C11" s="98"/>
      <c r="D11" s="86">
        <f t="shared" si="0"/>
        <v>3</v>
      </c>
      <c r="E11" s="86" t="s">
        <v>462</v>
      </c>
      <c r="F11" s="230">
        <v>6555328</v>
      </c>
      <c r="G11" s="290"/>
      <c r="H11" s="319"/>
      <c r="I11" s="231">
        <v>199344</v>
      </c>
      <c r="K11" s="320"/>
      <c r="L11" s="230">
        <v>4222144</v>
      </c>
      <c r="M11" s="290"/>
      <c r="N11" s="319"/>
      <c r="O11" s="90">
        <f t="shared" si="1"/>
        <v>0.64407822156267391</v>
      </c>
      <c r="Q11" s="318"/>
      <c r="R11" s="232">
        <v>984039.03302192944</v>
      </c>
      <c r="S11" s="290"/>
      <c r="T11" s="319"/>
      <c r="U11" s="90">
        <f t="shared" si="2"/>
        <v>0.15011285980227526</v>
      </c>
      <c r="V11" s="90"/>
      <c r="W11" s="318"/>
    </row>
    <row r="12" spans="2:23" ht="16.5" customHeight="1">
      <c r="B12" s="98"/>
      <c r="C12" s="98"/>
      <c r="D12" s="86">
        <f t="shared" si="0"/>
        <v>4</v>
      </c>
      <c r="E12" s="86" t="s">
        <v>463</v>
      </c>
      <c r="F12" s="230">
        <v>7070659</v>
      </c>
      <c r="G12" s="290">
        <f>SUM(F12:F18)</f>
        <v>47812449</v>
      </c>
      <c r="H12" s="319"/>
      <c r="I12" s="231">
        <v>216721</v>
      </c>
      <c r="J12" s="88">
        <f>SUM(I12:I18)</f>
        <v>1483638</v>
      </c>
      <c r="K12" s="320"/>
      <c r="L12" s="230">
        <v>4831528</v>
      </c>
      <c r="M12" s="290">
        <f>SUM(L12:L18)</f>
        <v>32423250</v>
      </c>
      <c r="N12" s="319"/>
      <c r="O12" s="90">
        <f t="shared" si="1"/>
        <v>0.68332074846205992</v>
      </c>
      <c r="P12" s="90">
        <f>M12/G12</f>
        <v>0.67813405667632709</v>
      </c>
      <c r="Q12" s="318"/>
      <c r="R12" s="230">
        <v>993057.03302192921</v>
      </c>
      <c r="S12" s="290">
        <f>SUM(R12:R18)</f>
        <v>6928538.2978201751</v>
      </c>
      <c r="T12" s="319"/>
      <c r="U12" s="90">
        <f t="shared" si="2"/>
        <v>0.14044759237037582</v>
      </c>
      <c r="V12" s="90">
        <f>S12/G12</f>
        <v>0.14491075949320595</v>
      </c>
      <c r="W12" s="318"/>
    </row>
    <row r="13" spans="2:23" ht="16.5" customHeight="1">
      <c r="B13" s="98"/>
      <c r="C13" s="98"/>
      <c r="D13" s="86">
        <f t="shared" si="0"/>
        <v>5</v>
      </c>
      <c r="E13" s="86" t="s">
        <v>457</v>
      </c>
      <c r="F13" s="230">
        <v>7268569</v>
      </c>
      <c r="G13" s="290"/>
      <c r="H13" s="319"/>
      <c r="I13" s="231">
        <v>220993</v>
      </c>
      <c r="K13" s="320"/>
      <c r="L13" s="230">
        <v>4717441</v>
      </c>
      <c r="M13" s="290"/>
      <c r="N13" s="319"/>
      <c r="O13" s="90">
        <f t="shared" si="1"/>
        <v>0.64901922235312071</v>
      </c>
      <c r="Q13" s="318"/>
      <c r="R13" s="230">
        <v>997547.11302193021</v>
      </c>
      <c r="S13" s="290"/>
      <c r="T13" s="319"/>
      <c r="U13" s="90">
        <f t="shared" si="2"/>
        <v>0.13724119741064991</v>
      </c>
      <c r="V13" s="90"/>
      <c r="W13" s="318"/>
    </row>
    <row r="14" spans="2:23" ht="16.5" customHeight="1">
      <c r="B14" s="98"/>
      <c r="C14" s="98"/>
      <c r="D14" s="292">
        <f t="shared" si="0"/>
        <v>6</v>
      </c>
      <c r="E14" s="292" t="s">
        <v>458</v>
      </c>
      <c r="F14" s="230">
        <v>7452237</v>
      </c>
      <c r="G14" s="290"/>
      <c r="H14" s="319"/>
      <c r="I14" s="231">
        <v>233027</v>
      </c>
      <c r="K14" s="320"/>
      <c r="L14" s="230">
        <v>4938616</v>
      </c>
      <c r="M14" s="290"/>
      <c r="N14" s="319"/>
      <c r="O14" s="90">
        <f t="shared" si="1"/>
        <v>0.66270248785700181</v>
      </c>
      <c r="Q14" s="318"/>
      <c r="R14" s="230">
        <v>1014201.3130219304</v>
      </c>
      <c r="S14" s="290"/>
      <c r="T14" s="319"/>
      <c r="U14" s="90">
        <f t="shared" si="2"/>
        <v>0.13609353983534481</v>
      </c>
      <c r="V14" s="90"/>
      <c r="W14" s="318"/>
    </row>
    <row r="15" spans="2:23" ht="16.5" customHeight="1">
      <c r="B15" s="98"/>
      <c r="C15" s="98"/>
      <c r="D15" s="292">
        <f t="shared" si="0"/>
        <v>7</v>
      </c>
      <c r="E15" s="292" t="s">
        <v>459</v>
      </c>
      <c r="F15" s="230">
        <v>6995772</v>
      </c>
      <c r="G15" s="290"/>
      <c r="H15" s="319"/>
      <c r="I15" s="231">
        <v>220329</v>
      </c>
      <c r="K15" s="320"/>
      <c r="L15" s="230">
        <v>4783118</v>
      </c>
      <c r="M15" s="290"/>
      <c r="N15" s="319"/>
      <c r="O15" s="90">
        <f t="shared" si="1"/>
        <v>0.68371553561208109</v>
      </c>
      <c r="Q15" s="318"/>
      <c r="R15" s="230">
        <v>997329.87302193022</v>
      </c>
      <c r="S15" s="290"/>
      <c r="T15" s="319"/>
      <c r="U15" s="90">
        <f t="shared" si="2"/>
        <v>0.1425618034752891</v>
      </c>
      <c r="V15" s="90"/>
      <c r="W15" s="318"/>
    </row>
    <row r="16" spans="2:23" ht="16.5" customHeight="1">
      <c r="B16" s="98"/>
      <c r="C16" s="98"/>
      <c r="D16" s="292">
        <f t="shared" si="0"/>
        <v>8</v>
      </c>
      <c r="E16" s="292" t="s">
        <v>460</v>
      </c>
      <c r="F16" s="230">
        <v>6658240</v>
      </c>
      <c r="G16" s="290"/>
      <c r="H16" s="319"/>
      <c r="I16" s="231">
        <v>207527</v>
      </c>
      <c r="K16" s="320"/>
      <c r="L16" s="230">
        <v>4678074</v>
      </c>
      <c r="M16" s="290"/>
      <c r="N16" s="319"/>
      <c r="O16" s="90">
        <f t="shared" si="1"/>
        <v>0.70259918537030808</v>
      </c>
      <c r="Q16" s="318"/>
      <c r="R16" s="230">
        <v>992956.03302192991</v>
      </c>
      <c r="S16" s="290"/>
      <c r="T16" s="319"/>
      <c r="U16" s="90">
        <f t="shared" si="2"/>
        <v>0.14913190768460283</v>
      </c>
      <c r="V16" s="90"/>
      <c r="W16" s="318"/>
    </row>
    <row r="17" spans="2:23" ht="16.5" customHeight="1">
      <c r="B17" s="98"/>
      <c r="C17" s="98"/>
      <c r="D17" s="292">
        <f t="shared" si="0"/>
        <v>9</v>
      </c>
      <c r="E17" s="292" t="s">
        <v>461</v>
      </c>
      <c r="F17" s="230">
        <v>6093782</v>
      </c>
      <c r="G17" s="290"/>
      <c r="H17" s="319"/>
      <c r="I17" s="231">
        <v>189878</v>
      </c>
      <c r="K17" s="320"/>
      <c r="L17" s="230">
        <v>3986569</v>
      </c>
      <c r="M17" s="290"/>
      <c r="N17" s="319"/>
      <c r="O17" s="90">
        <f t="shared" si="1"/>
        <v>0.65420275946858619</v>
      </c>
      <c r="Q17" s="318"/>
      <c r="R17" s="230">
        <v>972209.47302192962</v>
      </c>
      <c r="S17" s="290"/>
      <c r="T17" s="319"/>
      <c r="U17" s="90">
        <f t="shared" si="2"/>
        <v>0.15954122957170599</v>
      </c>
      <c r="V17" s="90"/>
      <c r="W17" s="318"/>
    </row>
    <row r="18" spans="2:23" ht="16.5" customHeight="1">
      <c r="B18" s="98"/>
      <c r="C18" s="98"/>
      <c r="D18" s="292">
        <f t="shared" si="0"/>
        <v>10</v>
      </c>
      <c r="E18" s="292" t="s">
        <v>462</v>
      </c>
      <c r="F18" s="230">
        <v>6273190</v>
      </c>
      <c r="G18" s="290"/>
      <c r="H18" s="319"/>
      <c r="I18" s="231">
        <v>195163</v>
      </c>
      <c r="K18" s="320"/>
      <c r="L18" s="230">
        <v>4487904</v>
      </c>
      <c r="M18" s="290"/>
      <c r="N18" s="319"/>
      <c r="O18" s="90">
        <f t="shared" si="1"/>
        <v>0.71541018206048279</v>
      </c>
      <c r="Q18" s="318"/>
      <c r="R18" s="230">
        <v>961237.45968859643</v>
      </c>
      <c r="S18" s="290"/>
      <c r="T18" s="319"/>
      <c r="U18" s="90">
        <f t="shared" si="2"/>
        <v>0.15322945099520283</v>
      </c>
      <c r="V18" s="90"/>
      <c r="W18" s="318"/>
    </row>
    <row r="19" spans="2:23" ht="16.5" customHeight="1">
      <c r="B19" s="98"/>
      <c r="C19" s="98"/>
      <c r="D19" s="292">
        <f t="shared" si="0"/>
        <v>11</v>
      </c>
      <c r="E19" s="292" t="s">
        <v>463</v>
      </c>
      <c r="F19" s="230">
        <v>7385036</v>
      </c>
      <c r="G19" s="290">
        <f>SUM(F19:F25)</f>
        <v>45915038</v>
      </c>
      <c r="H19" s="319"/>
      <c r="I19" s="231">
        <v>229137</v>
      </c>
      <c r="J19" s="88">
        <f>SUM(I19:I25)</f>
        <v>1438916</v>
      </c>
      <c r="K19" s="320"/>
      <c r="L19" s="230">
        <v>4878046</v>
      </c>
      <c r="M19" s="290">
        <f>SUM(L19:L25)</f>
        <v>31295713</v>
      </c>
      <c r="N19" s="319"/>
      <c r="O19" s="90">
        <f t="shared" si="1"/>
        <v>0.66053110641573043</v>
      </c>
      <c r="P19" s="90">
        <f>M19/G19</f>
        <v>0.68160050308572107</v>
      </c>
      <c r="Q19" s="318"/>
      <c r="R19" s="230">
        <v>999979.29968859674</v>
      </c>
      <c r="S19" s="290">
        <f>SUM(R19:R25)</f>
        <v>6799742.7778201737</v>
      </c>
      <c r="T19" s="319"/>
      <c r="U19" s="90">
        <f t="shared" si="2"/>
        <v>0.13540615099081396</v>
      </c>
      <c r="V19" s="90">
        <f>S19/G19</f>
        <v>0.14809402483387193</v>
      </c>
      <c r="W19" s="318"/>
    </row>
    <row r="20" spans="2:23" ht="16.5" customHeight="1">
      <c r="B20" s="98"/>
      <c r="C20" s="98"/>
      <c r="D20" s="292">
        <f t="shared" si="0"/>
        <v>12</v>
      </c>
      <c r="E20" s="292" t="s">
        <v>457</v>
      </c>
      <c r="F20" s="230">
        <v>7002511</v>
      </c>
      <c r="G20" s="290"/>
      <c r="H20" s="319"/>
      <c r="I20" s="231">
        <v>217195</v>
      </c>
      <c r="K20" s="320"/>
      <c r="L20" s="230">
        <v>4645279</v>
      </c>
      <c r="M20" s="290"/>
      <c r="N20" s="319"/>
      <c r="O20" s="90">
        <f t="shared" si="1"/>
        <v>0.66337332422612405</v>
      </c>
      <c r="Q20" s="318"/>
      <c r="R20" s="230">
        <v>980214.61968859658</v>
      </c>
      <c r="S20" s="290"/>
      <c r="T20" s="319"/>
      <c r="U20" s="90">
        <f t="shared" si="2"/>
        <v>0.13998044696946518</v>
      </c>
      <c r="V20" s="90"/>
      <c r="W20" s="318"/>
    </row>
    <row r="21" spans="2:23" ht="16.5" customHeight="1">
      <c r="B21" s="98"/>
      <c r="C21" s="98"/>
      <c r="D21" s="448">
        <f t="shared" si="0"/>
        <v>13</v>
      </c>
      <c r="E21" s="448" t="s">
        <v>458</v>
      </c>
      <c r="F21" s="230">
        <v>6868111</v>
      </c>
      <c r="G21" s="290"/>
      <c r="H21" s="319"/>
      <c r="I21" s="231">
        <v>214686</v>
      </c>
      <c r="K21" s="320"/>
      <c r="L21" s="230">
        <v>4741632</v>
      </c>
      <c r="M21" s="290"/>
      <c r="N21" s="319"/>
      <c r="O21" s="90">
        <f t="shared" si="1"/>
        <v>0.69038371686188527</v>
      </c>
      <c r="Q21" s="318"/>
      <c r="R21" s="230">
        <v>969694.65968859661</v>
      </c>
      <c r="S21" s="290"/>
      <c r="T21" s="319"/>
      <c r="U21" s="90">
        <f t="shared" si="2"/>
        <v>0.14118797143619208</v>
      </c>
      <c r="V21" s="90"/>
      <c r="W21" s="318"/>
    </row>
    <row r="22" spans="2:23" ht="16.5" customHeight="1">
      <c r="B22" s="98"/>
      <c r="C22" s="98"/>
      <c r="D22" s="448">
        <f t="shared" si="0"/>
        <v>14</v>
      </c>
      <c r="E22" s="448" t="s">
        <v>459</v>
      </c>
      <c r="F22" s="230">
        <v>6627112</v>
      </c>
      <c r="G22" s="290"/>
      <c r="H22" s="319"/>
      <c r="I22" s="231">
        <v>207749</v>
      </c>
      <c r="K22" s="320"/>
      <c r="L22" s="230">
        <v>4500047</v>
      </c>
      <c r="M22" s="290"/>
      <c r="N22" s="319"/>
      <c r="O22" s="90">
        <f t="shared" si="1"/>
        <v>0.67903590583650919</v>
      </c>
      <c r="Q22" s="318"/>
      <c r="R22" s="230">
        <v>979629.88635526155</v>
      </c>
      <c r="S22" s="290"/>
      <c r="T22" s="319"/>
      <c r="U22" s="90">
        <f t="shared" si="2"/>
        <v>0.14782153770077547</v>
      </c>
      <c r="V22" s="90"/>
      <c r="W22" s="318"/>
    </row>
    <row r="23" spans="2:23" ht="16.5" customHeight="1">
      <c r="B23" s="98"/>
      <c r="C23" s="98"/>
      <c r="D23" s="448">
        <f t="shared" si="0"/>
        <v>15</v>
      </c>
      <c r="E23" s="448" t="s">
        <v>460</v>
      </c>
      <c r="F23" s="230">
        <v>6144184</v>
      </c>
      <c r="G23" s="290"/>
      <c r="H23" s="319"/>
      <c r="I23" s="231">
        <v>194623</v>
      </c>
      <c r="K23" s="320"/>
      <c r="L23" s="230">
        <v>4559519</v>
      </c>
      <c r="M23" s="290"/>
      <c r="N23" s="319"/>
      <c r="O23" s="90">
        <f t="shared" si="1"/>
        <v>0.74208698828029884</v>
      </c>
      <c r="Q23" s="318"/>
      <c r="R23" s="230">
        <v>973353.75302192825</v>
      </c>
      <c r="S23" s="290"/>
      <c r="T23" s="319"/>
      <c r="U23" s="90">
        <f t="shared" si="2"/>
        <v>0.15841871809534483</v>
      </c>
      <c r="V23" s="90"/>
      <c r="W23" s="318"/>
    </row>
    <row r="24" spans="2:23" ht="16.5" customHeight="1">
      <c r="B24" s="98"/>
      <c r="C24" s="98"/>
      <c r="D24" s="448">
        <f t="shared" si="0"/>
        <v>16</v>
      </c>
      <c r="E24" s="448" t="s">
        <v>461</v>
      </c>
      <c r="F24" s="230">
        <v>5795971</v>
      </c>
      <c r="G24" s="290"/>
      <c r="H24" s="319"/>
      <c r="I24" s="231">
        <v>183688</v>
      </c>
      <c r="K24" s="320"/>
      <c r="L24" s="230">
        <v>3930912</v>
      </c>
      <c r="M24" s="290"/>
      <c r="N24" s="319"/>
      <c r="O24" s="90">
        <f t="shared" si="1"/>
        <v>0.67821457353737624</v>
      </c>
      <c r="Q24" s="318"/>
      <c r="R24" s="230">
        <v>958231.65968859638</v>
      </c>
      <c r="S24" s="290"/>
      <c r="T24" s="319"/>
      <c r="U24" s="90">
        <f t="shared" si="2"/>
        <v>0.16532720051370106</v>
      </c>
      <c r="V24" s="90"/>
      <c r="W24" s="318"/>
    </row>
    <row r="25" spans="2:23" ht="16.5" customHeight="1">
      <c r="B25" s="98"/>
      <c r="C25" s="98"/>
      <c r="D25" s="448">
        <f t="shared" si="0"/>
        <v>17</v>
      </c>
      <c r="E25" s="448" t="s">
        <v>462</v>
      </c>
      <c r="F25" s="230">
        <v>6092113</v>
      </c>
      <c r="G25" s="290"/>
      <c r="H25" s="319"/>
      <c r="I25" s="231">
        <v>191838</v>
      </c>
      <c r="K25" s="320"/>
      <c r="L25" s="230">
        <v>4040278</v>
      </c>
      <c r="M25" s="290"/>
      <c r="N25" s="319"/>
      <c r="O25" s="90">
        <f t="shared" si="1"/>
        <v>0.66319813831424335</v>
      </c>
      <c r="Q25" s="318"/>
      <c r="R25" s="230">
        <v>938638.89968859637</v>
      </c>
      <c r="S25" s="290"/>
      <c r="T25" s="319"/>
      <c r="U25" s="90">
        <f t="shared" si="2"/>
        <v>0.1540744401308046</v>
      </c>
      <c r="V25" s="90"/>
      <c r="W25" s="318"/>
    </row>
    <row r="26" spans="2:23">
      <c r="B26" s="98"/>
      <c r="C26" s="98"/>
      <c r="D26" s="448">
        <f t="shared" si="0"/>
        <v>18</v>
      </c>
      <c r="E26" s="448" t="s">
        <v>463</v>
      </c>
      <c r="F26" s="230">
        <v>6822501</v>
      </c>
      <c r="G26" s="290">
        <f>SUM(F26:F32)</f>
        <v>46226916</v>
      </c>
      <c r="H26" s="319"/>
      <c r="I26" s="231">
        <v>212538</v>
      </c>
      <c r="J26" s="88">
        <f>SUM(I26:I32)</f>
        <v>1421116</v>
      </c>
      <c r="K26" s="320"/>
      <c r="L26" s="230">
        <v>4517752</v>
      </c>
      <c r="M26" s="290">
        <f>SUM(L26:L32)</f>
        <v>31216545</v>
      </c>
      <c r="N26" s="319"/>
      <c r="O26" s="90">
        <f t="shared" si="1"/>
        <v>0.66218414625369793</v>
      </c>
      <c r="P26" s="90">
        <f>M26/G26</f>
        <v>0.67528937037461034</v>
      </c>
      <c r="Q26" s="318"/>
      <c r="R26" s="230">
        <v>963726.7663552626</v>
      </c>
      <c r="S26" s="290">
        <f>SUM(R26:R32)</f>
        <v>7008663.057820172</v>
      </c>
      <c r="T26" s="319"/>
      <c r="U26" s="90">
        <f t="shared" si="2"/>
        <v>0.14125710884546042</v>
      </c>
      <c r="V26" s="90">
        <f>S26/G26</f>
        <v>0.15161433347230371</v>
      </c>
      <c r="W26" s="318"/>
    </row>
    <row r="27" spans="2:23">
      <c r="B27" s="98"/>
      <c r="C27" s="98"/>
      <c r="D27" s="448">
        <f t="shared" si="0"/>
        <v>19</v>
      </c>
      <c r="E27" s="448" t="s">
        <v>457</v>
      </c>
      <c r="F27" s="230">
        <v>6918537</v>
      </c>
      <c r="G27" s="290"/>
      <c r="H27" s="319"/>
      <c r="I27" s="231">
        <v>213785</v>
      </c>
      <c r="K27" s="320"/>
      <c r="L27" s="230">
        <v>4502191</v>
      </c>
      <c r="M27" s="290"/>
      <c r="N27" s="319"/>
      <c r="O27" s="90">
        <f t="shared" si="1"/>
        <v>0.65074321348574127</v>
      </c>
      <c r="Q27" s="318"/>
      <c r="R27" s="230">
        <v>950228.47302192915</v>
      </c>
      <c r="S27" s="290"/>
      <c r="T27" s="319"/>
      <c r="U27" s="90">
        <f t="shared" si="2"/>
        <v>0.1373452903441767</v>
      </c>
      <c r="V27" s="90"/>
      <c r="W27" s="318"/>
    </row>
    <row r="28" spans="2:23">
      <c r="B28" s="98"/>
      <c r="C28" s="98"/>
      <c r="D28" s="292">
        <f t="shared" si="0"/>
        <v>20</v>
      </c>
      <c r="E28" s="292" t="s">
        <v>458</v>
      </c>
      <c r="F28" s="230">
        <v>7713415</v>
      </c>
      <c r="G28" s="290"/>
      <c r="H28" s="319"/>
      <c r="I28" s="231">
        <v>228373</v>
      </c>
      <c r="K28" s="320"/>
      <c r="L28" s="230">
        <v>5217118</v>
      </c>
      <c r="M28" s="290"/>
      <c r="N28" s="319"/>
      <c r="O28" s="90">
        <f t="shared" si="1"/>
        <v>0.6763694161405811</v>
      </c>
      <c r="Q28" s="318"/>
      <c r="R28" s="230">
        <v>1114907.6596885959</v>
      </c>
      <c r="S28" s="290"/>
      <c r="T28" s="319"/>
      <c r="U28" s="90">
        <f t="shared" si="2"/>
        <v>0.14454138143592635</v>
      </c>
      <c r="V28" s="90"/>
      <c r="W28" s="318"/>
    </row>
    <row r="29" spans="2:23">
      <c r="B29" s="98"/>
      <c r="C29" s="98"/>
      <c r="D29" s="292">
        <f t="shared" si="0"/>
        <v>21</v>
      </c>
      <c r="E29" s="292" t="s">
        <v>459</v>
      </c>
      <c r="F29" s="230">
        <v>6863386</v>
      </c>
      <c r="G29" s="290"/>
      <c r="H29" s="319"/>
      <c r="I29" s="231">
        <v>211084</v>
      </c>
      <c r="K29" s="320"/>
      <c r="L29" s="230">
        <v>4747084</v>
      </c>
      <c r="M29" s="290"/>
      <c r="N29" s="319"/>
      <c r="O29" s="90">
        <f t="shared" si="1"/>
        <v>0.69165336176633518</v>
      </c>
      <c r="Q29" s="318"/>
      <c r="R29" s="230">
        <v>1096259.259688596</v>
      </c>
      <c r="S29" s="290"/>
      <c r="T29" s="319"/>
      <c r="U29" s="90">
        <f t="shared" si="2"/>
        <v>0.15972571842653116</v>
      </c>
      <c r="V29" s="90"/>
      <c r="W29" s="318"/>
    </row>
    <row r="30" spans="2:23">
      <c r="B30" s="98"/>
      <c r="C30" s="98"/>
      <c r="D30" s="292">
        <f t="shared" si="0"/>
        <v>22</v>
      </c>
      <c r="E30" s="292" t="s">
        <v>460</v>
      </c>
      <c r="F30" s="230">
        <v>6394057</v>
      </c>
      <c r="G30" s="290"/>
      <c r="H30" s="319"/>
      <c r="I30" s="231">
        <v>197525</v>
      </c>
      <c r="K30" s="320"/>
      <c r="L30" s="230">
        <v>4356271</v>
      </c>
      <c r="M30" s="290"/>
      <c r="N30" s="319"/>
      <c r="O30" s="90">
        <f t="shared" si="1"/>
        <v>0.6812999946669227</v>
      </c>
      <c r="Q30" s="318"/>
      <c r="R30" s="230">
        <v>1043314.1796885959</v>
      </c>
      <c r="S30" s="290"/>
      <c r="T30" s="319"/>
      <c r="U30" s="90">
        <f t="shared" si="2"/>
        <v>0.1631693586229519</v>
      </c>
      <c r="V30" s="90"/>
      <c r="W30" s="318"/>
    </row>
    <row r="31" spans="2:23">
      <c r="B31" s="98"/>
      <c r="C31" s="98"/>
      <c r="D31" s="292">
        <f t="shared" si="0"/>
        <v>23</v>
      </c>
      <c r="E31" s="292" t="s">
        <v>461</v>
      </c>
      <c r="F31" s="230">
        <v>5574275</v>
      </c>
      <c r="G31" s="290"/>
      <c r="H31" s="319"/>
      <c r="I31" s="231">
        <v>174499</v>
      </c>
      <c r="K31" s="320"/>
      <c r="L31" s="230">
        <v>3918701</v>
      </c>
      <c r="M31" s="290"/>
      <c r="N31" s="319"/>
      <c r="O31" s="90">
        <f t="shared" si="1"/>
        <v>0.70299743015907901</v>
      </c>
      <c r="Q31" s="318"/>
      <c r="R31" s="230">
        <v>915857.77968859556</v>
      </c>
      <c r="S31" s="290"/>
      <c r="T31" s="319"/>
      <c r="U31" s="90">
        <f t="shared" si="2"/>
        <v>0.16430078883596441</v>
      </c>
      <c r="V31" s="90"/>
      <c r="W31" s="318"/>
    </row>
    <row r="32" spans="2:23">
      <c r="B32" s="98"/>
      <c r="C32" s="98"/>
      <c r="D32" s="292">
        <f t="shared" si="0"/>
        <v>24</v>
      </c>
      <c r="E32" s="292" t="s">
        <v>462</v>
      </c>
      <c r="F32" s="230">
        <v>5940745</v>
      </c>
      <c r="G32" s="290"/>
      <c r="H32" s="319"/>
      <c r="I32" s="231">
        <v>183312</v>
      </c>
      <c r="K32" s="320"/>
      <c r="L32" s="230">
        <v>3957428</v>
      </c>
      <c r="M32" s="290"/>
      <c r="N32" s="319"/>
      <c r="O32" s="90">
        <f t="shared" si="1"/>
        <v>0.66615012090234471</v>
      </c>
      <c r="Q32" s="318"/>
      <c r="R32" s="230">
        <v>924368.93968859571</v>
      </c>
      <c r="S32" s="290"/>
      <c r="T32" s="319"/>
      <c r="U32" s="90">
        <f t="shared" si="2"/>
        <v>0.15559815135788452</v>
      </c>
      <c r="V32" s="90"/>
      <c r="W32" s="318"/>
    </row>
    <row r="33" spans="2:23">
      <c r="B33" s="98"/>
      <c r="C33" s="98"/>
      <c r="D33" s="292">
        <f t="shared" si="0"/>
        <v>25</v>
      </c>
      <c r="E33" s="292" t="s">
        <v>463</v>
      </c>
      <c r="F33" s="230">
        <v>7104289</v>
      </c>
      <c r="G33" s="290">
        <f>SUM(F33:F39)</f>
        <v>45409677</v>
      </c>
      <c r="H33" s="319"/>
      <c r="I33" s="231">
        <v>215741</v>
      </c>
      <c r="J33" s="88">
        <f>SUM(I33:I39)</f>
        <v>1398601</v>
      </c>
      <c r="K33" s="320"/>
      <c r="L33" s="230">
        <v>4675574</v>
      </c>
      <c r="M33" s="290">
        <f>SUM(L33:L39)</f>
        <v>30547186</v>
      </c>
      <c r="N33" s="319"/>
      <c r="O33" s="90">
        <f t="shared" si="1"/>
        <v>0.65813398075444285</v>
      </c>
      <c r="P33" s="90">
        <f>M33/G33</f>
        <v>0.67270212029915999</v>
      </c>
      <c r="Q33" s="318"/>
      <c r="R33" s="230">
        <v>933794.53968859604</v>
      </c>
      <c r="S33" s="290">
        <f>SUM(R33:R39)</f>
        <v>6388934.8844868392</v>
      </c>
      <c r="T33" s="319"/>
      <c r="U33" s="90">
        <f t="shared" si="2"/>
        <v>0.13144095625735328</v>
      </c>
      <c r="V33" s="90">
        <f>S33/G33</f>
        <v>0.14069544878037427</v>
      </c>
      <c r="W33" s="318"/>
    </row>
    <row r="34" spans="2:23">
      <c r="B34" s="98"/>
      <c r="C34" s="98"/>
      <c r="D34" s="292">
        <f t="shared" si="0"/>
        <v>26</v>
      </c>
      <c r="E34" s="292" t="s">
        <v>457</v>
      </c>
      <c r="F34" s="230">
        <v>6727500</v>
      </c>
      <c r="G34" s="290"/>
      <c r="H34" s="319"/>
      <c r="I34" s="231">
        <v>207209</v>
      </c>
      <c r="K34" s="320"/>
      <c r="L34" s="230">
        <v>4497709</v>
      </c>
      <c r="M34" s="290"/>
      <c r="N34" s="319"/>
      <c r="O34" s="90">
        <f t="shared" si="1"/>
        <v>0.6685557785209959</v>
      </c>
      <c r="Q34" s="318"/>
      <c r="R34" s="230">
        <v>934808.09968859632</v>
      </c>
      <c r="S34" s="290"/>
      <c r="T34" s="319"/>
      <c r="U34" s="90">
        <f t="shared" si="2"/>
        <v>0.13895326639741307</v>
      </c>
      <c r="V34" s="90"/>
      <c r="W34" s="318"/>
    </row>
    <row r="35" spans="2:23">
      <c r="B35" s="98"/>
      <c r="C35" s="98"/>
      <c r="D35" s="448">
        <f t="shared" si="0"/>
        <v>27</v>
      </c>
      <c r="E35" s="448" t="s">
        <v>458</v>
      </c>
      <c r="F35" s="230">
        <v>6872206</v>
      </c>
      <c r="G35" s="290"/>
      <c r="H35" s="319"/>
      <c r="I35" s="231">
        <v>211710</v>
      </c>
      <c r="K35" s="320"/>
      <c r="L35" s="230">
        <v>4655781</v>
      </c>
      <c r="M35" s="290"/>
      <c r="N35" s="319"/>
      <c r="O35" s="90">
        <f t="shared" si="1"/>
        <v>0.67747983689662383</v>
      </c>
      <c r="Q35" s="318"/>
      <c r="R35" s="230">
        <v>933528.55302192946</v>
      </c>
      <c r="S35" s="290"/>
      <c r="T35" s="319"/>
      <c r="U35" s="90">
        <f t="shared" si="2"/>
        <v>0.1358411772030596</v>
      </c>
      <c r="V35" s="90"/>
      <c r="W35" s="318"/>
    </row>
    <row r="36" spans="2:23">
      <c r="B36" s="98"/>
      <c r="D36" s="448">
        <f t="shared" si="0"/>
        <v>28</v>
      </c>
      <c r="E36" s="448" t="s">
        <v>459</v>
      </c>
      <c r="F36" s="230">
        <v>6605202</v>
      </c>
      <c r="G36" s="290"/>
      <c r="I36" s="231">
        <v>204232</v>
      </c>
      <c r="L36" s="230">
        <v>4451671</v>
      </c>
      <c r="M36" s="290"/>
      <c r="N36" s="87"/>
      <c r="O36" s="90">
        <f t="shared" si="1"/>
        <v>0.6739643995747594</v>
      </c>
      <c r="Q36" s="87"/>
      <c r="R36" s="230">
        <v>920479.37968859612</v>
      </c>
      <c r="S36" s="290"/>
      <c r="T36" s="87"/>
      <c r="U36" s="90">
        <f t="shared" si="2"/>
        <v>0.13935673423592437</v>
      </c>
      <c r="V36" s="90"/>
      <c r="W36" s="87"/>
    </row>
    <row r="37" spans="2:23">
      <c r="B37" s="98"/>
      <c r="D37" s="448">
        <f t="shared" si="0"/>
        <v>29</v>
      </c>
      <c r="E37" s="448" t="s">
        <v>460</v>
      </c>
      <c r="F37" s="230">
        <v>6259643</v>
      </c>
      <c r="G37" s="290"/>
      <c r="I37" s="231">
        <v>193710</v>
      </c>
      <c r="L37" s="230">
        <v>4342441</v>
      </c>
      <c r="M37" s="290"/>
      <c r="N37" s="87"/>
      <c r="O37" s="90">
        <f t="shared" si="1"/>
        <v>0.69372023292702156</v>
      </c>
      <c r="Q37" s="87"/>
      <c r="R37" s="230">
        <v>894537.73968859599</v>
      </c>
      <c r="S37" s="290"/>
      <c r="T37" s="87"/>
      <c r="U37" s="90">
        <f t="shared" si="2"/>
        <v>0.14290555223174803</v>
      </c>
      <c r="V37" s="90"/>
      <c r="W37" s="87"/>
    </row>
    <row r="38" spans="2:23">
      <c r="B38" s="98"/>
      <c r="D38" s="448">
        <f t="shared" si="0"/>
        <v>30</v>
      </c>
      <c r="E38" s="448" t="s">
        <v>461</v>
      </c>
      <c r="F38" s="230">
        <v>5783665</v>
      </c>
      <c r="G38" s="290"/>
      <c r="I38" s="231">
        <v>179197</v>
      </c>
      <c r="L38" s="230">
        <v>3841063</v>
      </c>
      <c r="M38" s="290"/>
      <c r="N38" s="87"/>
      <c r="O38" s="90">
        <f t="shared" si="1"/>
        <v>0.66412266270608689</v>
      </c>
      <c r="Q38" s="87"/>
      <c r="R38" s="230">
        <v>876306.7263552628</v>
      </c>
      <c r="S38" s="290"/>
      <c r="T38" s="87"/>
      <c r="U38" s="90">
        <f t="shared" si="2"/>
        <v>0.15151408775495517</v>
      </c>
      <c r="V38" s="90"/>
      <c r="W38" s="87"/>
    </row>
    <row r="39" spans="2:23">
      <c r="B39" s="98"/>
      <c r="D39" s="448">
        <f t="shared" si="0"/>
        <v>31</v>
      </c>
      <c r="E39" s="448" t="s">
        <v>462</v>
      </c>
      <c r="F39" s="230">
        <v>6057172</v>
      </c>
      <c r="G39" s="290"/>
      <c r="I39" s="231">
        <v>186802</v>
      </c>
      <c r="L39" s="230">
        <v>4082947</v>
      </c>
      <c r="M39" s="290"/>
      <c r="N39" s="87"/>
      <c r="O39" s="90">
        <f t="shared" si="1"/>
        <v>0.6740681955209461</v>
      </c>
      <c r="Q39" s="87"/>
      <c r="R39" s="230">
        <v>895479.84635526268</v>
      </c>
      <c r="S39" s="290"/>
      <c r="T39" s="87"/>
      <c r="U39" s="90">
        <f t="shared" si="2"/>
        <v>0.14783794258364508</v>
      </c>
      <c r="V39" s="90"/>
      <c r="W39" s="87"/>
    </row>
    <row r="40" spans="2:23">
      <c r="B40" s="98"/>
      <c r="D40" s="86"/>
      <c r="E40" s="86"/>
      <c r="F40" s="230"/>
      <c r="G40" s="290"/>
      <c r="I40" s="231"/>
      <c r="L40" s="230"/>
      <c r="M40" s="290"/>
      <c r="N40" s="87"/>
      <c r="O40" s="90" t="e">
        <f>L40/F40</f>
        <v>#DIV/0!</v>
      </c>
      <c r="Q40" s="87"/>
      <c r="R40" s="232"/>
      <c r="S40" s="290"/>
      <c r="T40" s="87"/>
      <c r="U40" s="90" t="e">
        <f t="shared" si="2"/>
        <v>#DIV/0!</v>
      </c>
      <c r="V40" s="90"/>
      <c r="W40" s="87"/>
    </row>
    <row r="41" spans="2:23">
      <c r="B41" s="98"/>
      <c r="D41" s="86"/>
      <c r="E41" s="86"/>
      <c r="G41" s="290"/>
      <c r="M41" s="290"/>
      <c r="N41" s="87"/>
      <c r="Q41" s="87"/>
      <c r="S41" s="290"/>
      <c r="T41" s="87"/>
      <c r="V41" s="90"/>
      <c r="W41" s="87"/>
    </row>
    <row r="42" spans="2:23">
      <c r="B42" s="98"/>
      <c r="D42" s="86"/>
      <c r="E42" s="86"/>
      <c r="G42" s="290"/>
      <c r="M42" s="290"/>
      <c r="N42" s="87"/>
      <c r="Q42" s="87"/>
      <c r="S42" s="290"/>
      <c r="T42" s="87"/>
      <c r="V42" s="90"/>
      <c r="W42" s="87"/>
    </row>
    <row r="43" spans="2:23">
      <c r="B43" s="98"/>
      <c r="D43" s="86"/>
      <c r="E43" s="86"/>
      <c r="G43" s="290"/>
      <c r="M43" s="290"/>
      <c r="N43" s="87"/>
      <c r="Q43" s="87"/>
      <c r="S43" s="290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S40" sqref="S40"/>
    </sheetView>
  </sheetViews>
  <sheetFormatPr defaultColWidth="8.85546875" defaultRowHeight="12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330</v>
      </c>
      <c r="C1" s="83">
        <v>366</v>
      </c>
    </row>
    <row r="2" spans="2:23" ht="38.1" customHeight="1">
      <c r="B2" s="515" t="s">
        <v>126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</row>
    <row r="3" spans="2:23" s="72" customFormat="1" ht="23.45" customHeight="1">
      <c r="B3" s="98"/>
      <c r="C3" s="519" t="s">
        <v>116</v>
      </c>
      <c r="D3" s="520" t="s">
        <v>105</v>
      </c>
      <c r="E3" s="520"/>
      <c r="F3" s="523" t="s">
        <v>107</v>
      </c>
      <c r="G3" s="523"/>
      <c r="H3" s="523"/>
      <c r="I3" s="525" t="s">
        <v>108</v>
      </c>
      <c r="J3" s="525"/>
      <c r="K3" s="525"/>
      <c r="L3" s="524" t="s">
        <v>321</v>
      </c>
      <c r="M3" s="524"/>
      <c r="N3" s="524"/>
      <c r="O3" s="524" t="s">
        <v>106</v>
      </c>
      <c r="P3" s="524"/>
      <c r="Q3" s="524"/>
      <c r="R3" s="524" t="s">
        <v>109</v>
      </c>
      <c r="S3" s="524"/>
      <c r="T3" s="524"/>
      <c r="U3" s="524" t="s">
        <v>110</v>
      </c>
      <c r="V3" s="524"/>
      <c r="W3" s="524"/>
    </row>
    <row r="4" spans="2:23" ht="15.75">
      <c r="B4" s="98"/>
      <c r="C4" s="519"/>
      <c r="D4" s="520"/>
      <c r="E4" s="520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/>
      <c r="E5" s="86"/>
      <c r="F5" s="229"/>
      <c r="G5" s="93"/>
      <c r="H5" s="93"/>
      <c r="I5" s="90"/>
      <c r="J5" s="214"/>
      <c r="K5" s="214"/>
      <c r="L5" s="249"/>
      <c r="M5" s="291"/>
      <c r="N5" s="291"/>
      <c r="O5" s="249"/>
      <c r="P5" s="291"/>
      <c r="Q5" s="291"/>
      <c r="R5" s="249"/>
      <c r="S5" s="291"/>
      <c r="T5" s="291"/>
      <c r="U5" s="249"/>
      <c r="V5" s="291"/>
      <c r="W5" s="291"/>
    </row>
    <row r="6" spans="2:23" ht="14.45" customHeight="1">
      <c r="B6" s="98"/>
      <c r="C6" s="98"/>
      <c r="D6" s="86"/>
      <c r="E6" s="86"/>
      <c r="F6" s="229"/>
      <c r="G6" s="93"/>
      <c r="I6" s="90"/>
      <c r="J6" s="214"/>
      <c r="L6" s="249"/>
      <c r="M6" s="291"/>
      <c r="O6" s="249"/>
      <c r="P6" s="291"/>
      <c r="R6" s="249"/>
      <c r="S6" s="291"/>
      <c r="U6" s="249"/>
      <c r="V6" s="291"/>
    </row>
    <row r="7" spans="2:23" ht="14.45" customHeight="1">
      <c r="B7" s="98"/>
      <c r="C7" s="98"/>
      <c r="D7" s="86"/>
      <c r="E7" s="86"/>
      <c r="F7" s="229"/>
      <c r="G7" s="93"/>
      <c r="H7" s="93"/>
      <c r="I7" s="90"/>
      <c r="J7" s="214"/>
      <c r="K7" s="214"/>
      <c r="L7" s="249"/>
      <c r="M7" s="291"/>
      <c r="N7" s="291"/>
      <c r="O7" s="249"/>
      <c r="P7" s="291"/>
      <c r="Q7" s="291"/>
      <c r="R7" s="249"/>
      <c r="S7" s="291"/>
      <c r="T7" s="291"/>
      <c r="U7" s="249"/>
      <c r="V7" s="291"/>
      <c r="W7" s="291"/>
    </row>
    <row r="8" spans="2:23" ht="14.45" customHeight="1">
      <c r="B8" s="98"/>
      <c r="C8" s="98"/>
      <c r="D8" s="86"/>
      <c r="E8" s="86"/>
      <c r="F8" s="229"/>
      <c r="G8" s="93"/>
      <c r="H8" s="93"/>
      <c r="I8" s="90"/>
      <c r="J8" s="214"/>
      <c r="K8" s="214"/>
      <c r="L8" s="249"/>
      <c r="M8" s="291"/>
      <c r="N8" s="291"/>
      <c r="O8" s="249"/>
      <c r="P8" s="291"/>
      <c r="Q8" s="291"/>
      <c r="R8" s="249"/>
      <c r="S8" s="291"/>
      <c r="T8" s="291"/>
      <c r="U8" s="249"/>
      <c r="V8" s="291"/>
      <c r="W8" s="291"/>
    </row>
    <row r="9" spans="2:23" ht="14.45" customHeight="1">
      <c r="B9" s="98"/>
      <c r="C9" s="98"/>
      <c r="D9" s="86">
        <f t="shared" ref="D9:D39" si="0">D8+1</f>
        <v>1</v>
      </c>
      <c r="E9" s="86" t="s">
        <v>460</v>
      </c>
      <c r="F9" s="229">
        <v>319.61672765301739</v>
      </c>
      <c r="G9" s="93"/>
      <c r="H9" s="93">
        <f>AVERAGE(F9:F39)</f>
        <v>325.42302479491974</v>
      </c>
      <c r="I9" s="90">
        <f t="shared" ref="I9:I38" si="1">F9/$C$1</f>
        <v>0.87326974768583987</v>
      </c>
      <c r="J9" s="214"/>
      <c r="K9" s="214">
        <f>AVERAGE(I9:I39)</f>
        <v>0.88947795387430384</v>
      </c>
      <c r="L9" s="249">
        <v>2.4777730066574341E-3</v>
      </c>
      <c r="M9" s="291"/>
      <c r="N9" s="291">
        <f>AVERAGE(L9:L39)</f>
        <v>2.4547774366926165E-3</v>
      </c>
      <c r="O9" s="249">
        <v>2.1782000528543337E-3</v>
      </c>
      <c r="P9" s="291"/>
      <c r="Q9" s="291">
        <f>AVERAGE(O9:O39)</f>
        <v>2.234630637964113E-3</v>
      </c>
      <c r="R9" s="233">
        <v>0.91666666666666663</v>
      </c>
      <c r="S9" s="291"/>
      <c r="T9" s="214">
        <f>AVERAGE(R9:R39)</f>
        <v>0.91666666666666707</v>
      </c>
      <c r="U9" s="233">
        <v>0</v>
      </c>
      <c r="V9" s="291"/>
      <c r="W9" s="214">
        <f>AVERAGE(U9:U39)</f>
        <v>4.1290322580645168E-2</v>
      </c>
    </row>
    <row r="10" spans="2:23" ht="14.45" customHeight="1">
      <c r="B10" s="98"/>
      <c r="C10" s="98"/>
      <c r="D10" s="86">
        <f t="shared" si="0"/>
        <v>2</v>
      </c>
      <c r="E10" s="86" t="s">
        <v>461</v>
      </c>
      <c r="F10" s="229">
        <v>326.96087015935308</v>
      </c>
      <c r="G10" s="93"/>
      <c r="H10" s="93"/>
      <c r="I10" s="90">
        <f t="shared" si="1"/>
        <v>0.89333571081790464</v>
      </c>
      <c r="J10" s="214"/>
      <c r="K10" s="214"/>
      <c r="L10" s="249">
        <v>2.4570213005757169E-3</v>
      </c>
      <c r="M10" s="291"/>
      <c r="N10" s="291"/>
      <c r="O10" s="249">
        <v>2.6228821055086374E-3</v>
      </c>
      <c r="P10" s="291"/>
      <c r="Q10" s="291"/>
      <c r="R10" s="233">
        <v>0.91666666666666663</v>
      </c>
      <c r="S10" s="291"/>
      <c r="T10" s="291"/>
      <c r="U10" s="233">
        <v>0</v>
      </c>
      <c r="V10" s="291"/>
      <c r="W10" s="291"/>
    </row>
    <row r="11" spans="2:23" ht="14.45" customHeight="1">
      <c r="B11" s="98"/>
      <c r="C11" s="98"/>
      <c r="D11" s="86">
        <f t="shared" si="0"/>
        <v>3</v>
      </c>
      <c r="E11" s="86" t="s">
        <v>462</v>
      </c>
      <c r="F11" s="229">
        <v>329.71489627395374</v>
      </c>
      <c r="G11" s="93"/>
      <c r="H11" s="93"/>
      <c r="I11" s="90">
        <f t="shared" si="1"/>
        <v>0.90086037233320693</v>
      </c>
      <c r="J11" s="214"/>
      <c r="K11" s="214"/>
      <c r="L11" s="249">
        <v>2.4390846651761743E-3</v>
      </c>
      <c r="M11" s="291"/>
      <c r="N11" s="291"/>
      <c r="O11" s="249">
        <v>2.4054394404528709E-3</v>
      </c>
      <c r="P11" s="291"/>
      <c r="Q11" s="291"/>
      <c r="R11" s="233">
        <v>0.91666666666666663</v>
      </c>
      <c r="S11" s="291"/>
      <c r="T11" s="291"/>
      <c r="U11" s="233">
        <v>0.01</v>
      </c>
      <c r="V11" s="291"/>
      <c r="W11" s="291"/>
    </row>
    <row r="12" spans="2:23" ht="14.45" customHeight="1">
      <c r="B12" s="98"/>
      <c r="C12" s="98"/>
      <c r="D12" s="86">
        <f t="shared" si="0"/>
        <v>4</v>
      </c>
      <c r="E12" s="86" t="s">
        <v>463</v>
      </c>
      <c r="F12" s="229">
        <v>330.80654178143351</v>
      </c>
      <c r="G12" s="93">
        <f>AVERAGE(F12:F18)</f>
        <v>330.74508852663377</v>
      </c>
      <c r="H12" s="93"/>
      <c r="I12" s="90">
        <f t="shared" si="1"/>
        <v>0.90384301033178549</v>
      </c>
      <c r="J12" s="214">
        <f>AVERAGE(I12:I18)</f>
        <v>0.90367510526402661</v>
      </c>
      <c r="K12" s="214"/>
      <c r="L12" s="249">
        <v>2.4610153028168944E-3</v>
      </c>
      <c r="M12" s="291">
        <f>AVERAGE(L12:L18)</f>
        <v>2.4507848828063958E-3</v>
      </c>
      <c r="N12" s="291"/>
      <c r="O12" s="249">
        <v>2.1868876468530778E-3</v>
      </c>
      <c r="P12" s="291">
        <f>AVERAGE(O12:O18)</f>
        <v>2.2422087232558574E-3</v>
      </c>
      <c r="Q12" s="291"/>
      <c r="R12" s="233">
        <v>0.91666666666666663</v>
      </c>
      <c r="S12" s="291">
        <f>AVERAGE(R12:R18)</f>
        <v>0.91666666666666674</v>
      </c>
      <c r="T12" s="291"/>
      <c r="U12" s="233">
        <v>0.01</v>
      </c>
      <c r="V12" s="291">
        <f>AVERAGE(U12:U18)</f>
        <v>1.6857142857142855E-2</v>
      </c>
      <c r="W12" s="291"/>
    </row>
    <row r="13" spans="2:23" ht="14.45" customHeight="1">
      <c r="B13" s="98"/>
      <c r="C13" s="98"/>
      <c r="D13" s="86">
        <f t="shared" si="0"/>
        <v>5</v>
      </c>
      <c r="E13" s="86" t="s">
        <v>457</v>
      </c>
      <c r="F13" s="229">
        <v>330.80654178143351</v>
      </c>
      <c r="G13" s="93"/>
      <c r="H13" s="93"/>
      <c r="I13" s="90">
        <f t="shared" si="1"/>
        <v>0.90384301033178549</v>
      </c>
      <c r="J13" s="214"/>
      <c r="K13" s="214"/>
      <c r="L13" s="249">
        <v>2.441746098853846E-3</v>
      </c>
      <c r="M13" s="291"/>
      <c r="N13" s="291"/>
      <c r="O13" s="249">
        <v>1.9413477193552947E-3</v>
      </c>
      <c r="P13" s="291"/>
      <c r="Q13" s="291"/>
      <c r="R13" s="233">
        <v>0.91666666666666663</v>
      </c>
      <c r="S13" s="291"/>
      <c r="T13" s="291"/>
      <c r="U13" s="233">
        <v>1.4999999999999999E-2</v>
      </c>
      <c r="V13" s="291"/>
      <c r="W13" s="291"/>
    </row>
    <row r="14" spans="2:23" ht="14.45" customHeight="1">
      <c r="B14" s="98"/>
      <c r="C14" s="98"/>
      <c r="D14" s="292">
        <f t="shared" si="0"/>
        <v>6</v>
      </c>
      <c r="E14" s="292" t="s">
        <v>458</v>
      </c>
      <c r="F14" s="229">
        <v>329.83194646189889</v>
      </c>
      <c r="G14" s="93"/>
      <c r="H14" s="93"/>
      <c r="I14" s="90">
        <f t="shared" si="1"/>
        <v>0.90118018158988766</v>
      </c>
      <c r="J14" s="214"/>
      <c r="K14" s="214"/>
      <c r="L14" s="249">
        <v>2.4500025965357784E-3</v>
      </c>
      <c r="M14" s="291"/>
      <c r="N14" s="291"/>
      <c r="O14" s="249">
        <v>1.9844693757792476E-3</v>
      </c>
      <c r="P14" s="291"/>
      <c r="Q14" s="291"/>
      <c r="R14" s="233">
        <v>0.91666666666666663</v>
      </c>
      <c r="S14" s="291"/>
      <c r="T14" s="291"/>
      <c r="U14" s="233">
        <v>1.2999999999999999E-2</v>
      </c>
      <c r="V14" s="291"/>
      <c r="W14" s="291"/>
    </row>
    <row r="15" spans="2:23" ht="14.45" customHeight="1">
      <c r="B15" s="98"/>
      <c r="C15" s="98"/>
      <c r="D15" s="292">
        <f t="shared" si="0"/>
        <v>7</v>
      </c>
      <c r="E15" s="292" t="s">
        <v>459</v>
      </c>
      <c r="F15" s="229">
        <v>334.61831671612242</v>
      </c>
      <c r="G15" s="93"/>
      <c r="H15" s="93"/>
      <c r="I15" s="90">
        <f t="shared" si="1"/>
        <v>0.91425769594568973</v>
      </c>
      <c r="J15" s="214"/>
      <c r="K15" s="214"/>
      <c r="L15" s="249">
        <v>2.449479485609308E-3</v>
      </c>
      <c r="M15" s="291"/>
      <c r="N15" s="291"/>
      <c r="O15" s="249">
        <v>2.2355922773871105E-3</v>
      </c>
      <c r="P15" s="291"/>
      <c r="Q15" s="291"/>
      <c r="R15" s="233">
        <v>0.91666666666666663</v>
      </c>
      <c r="S15" s="291"/>
      <c r="T15" s="291"/>
      <c r="U15" s="233">
        <v>1.6E-2</v>
      </c>
      <c r="V15" s="291"/>
      <c r="W15" s="291"/>
    </row>
    <row r="16" spans="2:23" ht="14.45" customHeight="1">
      <c r="B16" s="98"/>
      <c r="C16" s="98"/>
      <c r="D16" s="292">
        <f t="shared" si="0"/>
        <v>8</v>
      </c>
      <c r="E16" s="292" t="s">
        <v>460</v>
      </c>
      <c r="F16" s="229">
        <v>323.91023350004735</v>
      </c>
      <c r="G16" s="93"/>
      <c r="H16" s="93"/>
      <c r="I16" s="90">
        <f t="shared" si="1"/>
        <v>0.88500063797827144</v>
      </c>
      <c r="J16" s="214"/>
      <c r="K16" s="214"/>
      <c r="L16" s="249">
        <v>2.4308225597154806E-3</v>
      </c>
      <c r="M16" s="291"/>
      <c r="N16" s="291"/>
      <c r="O16" s="249">
        <v>2.2395440950140578E-3</v>
      </c>
      <c r="P16" s="291"/>
      <c r="Q16" s="291"/>
      <c r="R16" s="233">
        <v>0.91666666666666663</v>
      </c>
      <c r="S16" s="291"/>
      <c r="T16" s="291"/>
      <c r="U16" s="233">
        <v>1.9E-2</v>
      </c>
      <c r="V16" s="291"/>
      <c r="W16" s="291"/>
    </row>
    <row r="17" spans="2:23" ht="14.45" customHeight="1">
      <c r="B17" s="98"/>
      <c r="C17" s="98"/>
      <c r="D17" s="292">
        <f t="shared" si="0"/>
        <v>9</v>
      </c>
      <c r="E17" s="292" t="s">
        <v>461</v>
      </c>
      <c r="F17" s="229">
        <v>333.65176174251854</v>
      </c>
      <c r="G17" s="93"/>
      <c r="H17" s="93"/>
      <c r="I17" s="90">
        <f t="shared" si="1"/>
        <v>0.9116168353620725</v>
      </c>
      <c r="J17" s="214"/>
      <c r="K17" s="214"/>
      <c r="L17" s="249">
        <v>2.4822023498707372E-3</v>
      </c>
      <c r="M17" s="291"/>
      <c r="N17" s="291"/>
      <c r="O17" s="249">
        <v>2.6237838815297491E-3</v>
      </c>
      <c r="P17" s="291"/>
      <c r="Q17" s="291"/>
      <c r="R17" s="233">
        <v>0.91666666666666663</v>
      </c>
      <c r="S17" s="291"/>
      <c r="T17" s="291"/>
      <c r="U17" s="233">
        <v>2.1000000000000001E-2</v>
      </c>
      <c r="V17" s="291"/>
      <c r="W17" s="291"/>
    </row>
    <row r="18" spans="2:23" ht="14.45" customHeight="1">
      <c r="B18" s="98"/>
      <c r="C18" s="98"/>
      <c r="D18" s="292">
        <f t="shared" si="0"/>
        <v>10</v>
      </c>
      <c r="E18" s="292" t="s">
        <v>462</v>
      </c>
      <c r="F18" s="229">
        <v>331.59027770298172</v>
      </c>
      <c r="G18" s="93"/>
      <c r="H18" s="93"/>
      <c r="I18" s="90">
        <f t="shared" si="1"/>
        <v>0.9059843653086932</v>
      </c>
      <c r="J18" s="214"/>
      <c r="K18" s="214"/>
      <c r="L18" s="249">
        <v>2.4402257862427249E-3</v>
      </c>
      <c r="M18" s="291"/>
      <c r="N18" s="291"/>
      <c r="O18" s="249">
        <v>2.4838360668724604E-3</v>
      </c>
      <c r="P18" s="291"/>
      <c r="Q18" s="291"/>
      <c r="R18" s="233">
        <v>0.91666666666666663</v>
      </c>
      <c r="S18" s="291"/>
      <c r="T18" s="291"/>
      <c r="U18" s="233">
        <v>2.4E-2</v>
      </c>
      <c r="V18" s="291"/>
      <c r="W18" s="291"/>
    </row>
    <row r="19" spans="2:23" ht="14.45" customHeight="1">
      <c r="B19" s="98"/>
      <c r="C19" s="98"/>
      <c r="D19" s="292">
        <f t="shared" si="0"/>
        <v>11</v>
      </c>
      <c r="E19" s="292" t="s">
        <v>463</v>
      </c>
      <c r="F19" s="229">
        <v>335.9378374335526</v>
      </c>
      <c r="G19" s="93">
        <f>AVERAGE(F19:F25)</f>
        <v>327.1002630294488</v>
      </c>
      <c r="H19" s="93"/>
      <c r="I19" s="90">
        <f t="shared" si="1"/>
        <v>0.91786294380752076</v>
      </c>
      <c r="J19" s="214">
        <f>AVERAGE(I19:I25)</f>
        <v>0.89371656565423163</v>
      </c>
      <c r="K19" s="214"/>
      <c r="L19" s="249">
        <v>2.4308615421779933E-3</v>
      </c>
      <c r="M19" s="291">
        <f>AVERAGE(L19:L25)</f>
        <v>2.4545267477010754E-3</v>
      </c>
      <c r="N19" s="291"/>
      <c r="O19" s="249">
        <v>1.9629801524961147E-3</v>
      </c>
      <c r="P19" s="291">
        <f>AVERAGE(O19:O25)</f>
        <v>2.2726024112074438E-3</v>
      </c>
      <c r="Q19" s="291"/>
      <c r="R19" s="233">
        <v>0.91666666666666663</v>
      </c>
      <c r="S19" s="291">
        <f>AVERAGE(R19:R25)</f>
        <v>0.91666666666666674</v>
      </c>
      <c r="T19" s="291"/>
      <c r="U19" s="233">
        <v>2.7E-2</v>
      </c>
      <c r="V19" s="291">
        <f>AVERAGE(U19:U25)</f>
        <v>3.5142857142857142E-2</v>
      </c>
      <c r="W19" s="291"/>
    </row>
    <row r="20" spans="2:23" ht="14.45" customHeight="1">
      <c r="B20" s="98"/>
      <c r="C20" s="98"/>
      <c r="D20" s="292">
        <f t="shared" si="0"/>
        <v>12</v>
      </c>
      <c r="E20" s="292" t="s">
        <v>457</v>
      </c>
      <c r="F20" s="229">
        <v>331.78393830582252</v>
      </c>
      <c r="G20" s="93"/>
      <c r="H20" s="93"/>
      <c r="I20" s="90">
        <f t="shared" si="1"/>
        <v>0.90651349263885939</v>
      </c>
      <c r="J20" s="214"/>
      <c r="K20" s="214"/>
      <c r="L20" s="249">
        <v>2.4361261267565304E-3</v>
      </c>
      <c r="M20" s="291"/>
      <c r="N20" s="291"/>
      <c r="O20" s="249">
        <v>2.1963836827374066E-3</v>
      </c>
      <c r="P20" s="291"/>
      <c r="Q20" s="291"/>
      <c r="R20" s="233">
        <v>0.91666666666666663</v>
      </c>
      <c r="S20" s="291"/>
      <c r="T20" s="291"/>
      <c r="U20" s="233">
        <v>0.03</v>
      </c>
      <c r="V20" s="291"/>
      <c r="W20" s="291"/>
    </row>
    <row r="21" spans="2:23" ht="14.45" customHeight="1">
      <c r="B21" s="98"/>
      <c r="C21" s="98"/>
      <c r="D21" s="448">
        <f t="shared" si="0"/>
        <v>13</v>
      </c>
      <c r="E21" s="448" t="s">
        <v>458</v>
      </c>
      <c r="F21" s="229">
        <v>321.79723195702235</v>
      </c>
      <c r="G21" s="93"/>
      <c r="H21" s="93"/>
      <c r="I21" s="90">
        <f t="shared" si="1"/>
        <v>0.87922740971864033</v>
      </c>
      <c r="J21" s="214"/>
      <c r="K21" s="214"/>
      <c r="L21" s="249">
        <v>2.4498730436942561E-3</v>
      </c>
      <c r="M21" s="291"/>
      <c r="N21" s="291"/>
      <c r="O21" s="249">
        <v>2.1784537782493108E-3</v>
      </c>
      <c r="P21" s="291"/>
      <c r="Q21" s="291"/>
      <c r="R21" s="233">
        <v>0.91666666666666663</v>
      </c>
      <c r="S21" s="291"/>
      <c r="T21" s="291"/>
      <c r="U21" s="233">
        <v>3.2000000000000001E-2</v>
      </c>
      <c r="V21" s="291"/>
      <c r="W21" s="291"/>
    </row>
    <row r="22" spans="2:23" ht="14.45" customHeight="1">
      <c r="B22" s="98"/>
      <c r="C22" s="98"/>
      <c r="D22" s="448">
        <f t="shared" si="0"/>
        <v>14</v>
      </c>
      <c r="E22" s="448" t="s">
        <v>459</v>
      </c>
      <c r="F22" s="229">
        <v>328.96882914214865</v>
      </c>
      <c r="G22" s="93"/>
      <c r="H22" s="93"/>
      <c r="I22" s="90">
        <f t="shared" si="1"/>
        <v>0.89882193754685424</v>
      </c>
      <c r="J22" s="214"/>
      <c r="K22" s="214"/>
      <c r="L22" s="249">
        <v>2.4700050338669391E-3</v>
      </c>
      <c r="M22" s="291"/>
      <c r="N22" s="291"/>
      <c r="O22" s="249">
        <v>2.1811143420652213E-3</v>
      </c>
      <c r="P22" s="291"/>
      <c r="Q22" s="291"/>
      <c r="R22" s="233">
        <v>0.91666666666666663</v>
      </c>
      <c r="S22" s="291"/>
      <c r="T22" s="291"/>
      <c r="U22" s="233">
        <v>3.5000000000000003E-2</v>
      </c>
      <c r="V22" s="291"/>
      <c r="W22" s="291"/>
    </row>
    <row r="23" spans="2:23" ht="14.45" customHeight="1">
      <c r="B23" s="98"/>
      <c r="C23" s="98"/>
      <c r="D23" s="448">
        <f t="shared" si="0"/>
        <v>15</v>
      </c>
      <c r="E23" s="448" t="s">
        <v>460</v>
      </c>
      <c r="F23" s="229">
        <v>329.34008915170836</v>
      </c>
      <c r="G23" s="93"/>
      <c r="H23" s="93"/>
      <c r="I23" s="90">
        <f t="shared" si="1"/>
        <v>0.8998363091576731</v>
      </c>
      <c r="J23" s="214"/>
      <c r="K23" s="214"/>
      <c r="L23" s="249">
        <v>2.4335208711197451E-3</v>
      </c>
      <c r="M23" s="291"/>
      <c r="N23" s="291"/>
      <c r="O23" s="249">
        <v>2.5181628604668081E-3</v>
      </c>
      <c r="P23" s="291"/>
      <c r="Q23" s="291"/>
      <c r="R23" s="233">
        <v>0.91666666666666663</v>
      </c>
      <c r="S23" s="291"/>
      <c r="T23" s="291"/>
      <c r="U23" s="233">
        <v>3.7999999999999999E-2</v>
      </c>
      <c r="V23" s="291"/>
      <c r="W23" s="291"/>
    </row>
    <row r="24" spans="2:23" ht="14.45" customHeight="1">
      <c r="B24" s="98"/>
      <c r="C24" s="98"/>
      <c r="D24" s="448">
        <f t="shared" si="0"/>
        <v>16</v>
      </c>
      <c r="E24" s="448" t="s">
        <v>461</v>
      </c>
      <c r="F24" s="229">
        <v>317.64178396182717</v>
      </c>
      <c r="G24" s="93"/>
      <c r="H24" s="93"/>
      <c r="I24" s="90">
        <f t="shared" si="1"/>
        <v>0.86787372667165896</v>
      </c>
      <c r="J24" s="214"/>
      <c r="K24" s="214"/>
      <c r="L24" s="249">
        <v>2.4913858264646251E-3</v>
      </c>
      <c r="M24" s="291"/>
      <c r="N24" s="291"/>
      <c r="O24" s="249">
        <v>2.5781543340318742E-3</v>
      </c>
      <c r="P24" s="291"/>
      <c r="Q24" s="291"/>
      <c r="R24" s="233">
        <v>0.91666666666666663</v>
      </c>
      <c r="S24" s="291"/>
      <c r="T24" s="291"/>
      <c r="U24" s="233">
        <v>4.1000000000000002E-2</v>
      </c>
      <c r="V24" s="291"/>
      <c r="W24" s="291"/>
    </row>
    <row r="25" spans="2:23" ht="14.45" customHeight="1">
      <c r="B25" s="98"/>
      <c r="C25" s="98"/>
      <c r="D25" s="448">
        <f t="shared" si="0"/>
        <v>17</v>
      </c>
      <c r="E25" s="448" t="s">
        <v>462</v>
      </c>
      <c r="F25" s="229">
        <v>324.23213125405988</v>
      </c>
      <c r="G25" s="93"/>
      <c r="H25" s="93"/>
      <c r="I25" s="90">
        <f t="shared" si="1"/>
        <v>0.88588014003841498</v>
      </c>
      <c r="J25" s="214"/>
      <c r="K25" s="214"/>
      <c r="L25" s="249">
        <v>2.4699147898274375E-3</v>
      </c>
      <c r="M25" s="291"/>
      <c r="N25" s="291"/>
      <c r="O25" s="249">
        <v>2.2929677284053707E-3</v>
      </c>
      <c r="P25" s="291"/>
      <c r="Q25" s="291"/>
      <c r="R25" s="233">
        <v>0.91666666666666663</v>
      </c>
      <c r="S25" s="291"/>
      <c r="T25" s="291"/>
      <c r="U25" s="233">
        <v>4.2999999999999997E-2</v>
      </c>
      <c r="V25" s="291"/>
      <c r="W25" s="291"/>
    </row>
    <row r="26" spans="2:23" ht="14.45" customHeight="1">
      <c r="B26" s="98"/>
      <c r="C26" s="98"/>
      <c r="D26" s="448">
        <f t="shared" si="0"/>
        <v>18</v>
      </c>
      <c r="E26" s="448" t="s">
        <v>463</v>
      </c>
      <c r="F26" s="229">
        <v>324.76884984208004</v>
      </c>
      <c r="G26" s="93">
        <f>AVERAGE(F26:F32)</f>
        <v>320.62157917414106</v>
      </c>
      <c r="H26" s="93"/>
      <c r="I26" s="90">
        <f t="shared" si="1"/>
        <v>0.8873465842679783</v>
      </c>
      <c r="J26" s="214">
        <f>AVERAGE(I26:I32)</f>
        <v>0.87601524364519423</v>
      </c>
      <c r="K26" s="214"/>
      <c r="L26" s="249">
        <v>2.4602414862233074E-3</v>
      </c>
      <c r="M26" s="291">
        <f>AVERAGE(L26:L32)</f>
        <v>2.4556898391537444E-3</v>
      </c>
      <c r="N26" s="291"/>
      <c r="O26" s="249">
        <v>1.9762607144739723E-3</v>
      </c>
      <c r="P26" s="291">
        <f>AVERAGE(O26:O32)</f>
        <v>2.1546545797363524E-3</v>
      </c>
      <c r="Q26" s="291"/>
      <c r="R26" s="233">
        <v>0.91666666666666663</v>
      </c>
      <c r="S26" s="291">
        <f>AVERAGE(R26:R32)</f>
        <v>0.91666666666666674</v>
      </c>
      <c r="T26" s="291"/>
      <c r="U26" s="233">
        <v>4.5999999999999999E-2</v>
      </c>
      <c r="V26" s="291">
        <f>AVERAGE(U26:U32)</f>
        <v>5.6142857142857147E-2</v>
      </c>
      <c r="W26" s="291"/>
    </row>
    <row r="27" spans="2:23" ht="14.45" customHeight="1">
      <c r="B27" s="98"/>
      <c r="C27" s="98"/>
      <c r="D27" s="448">
        <f t="shared" si="0"/>
        <v>19</v>
      </c>
      <c r="E27" s="448" t="s">
        <v>457</v>
      </c>
      <c r="F27" s="229">
        <v>323.43519154221303</v>
      </c>
      <c r="G27" s="93"/>
      <c r="H27" s="93"/>
      <c r="I27" s="90">
        <f t="shared" si="1"/>
        <v>0.88370270913172955</v>
      </c>
      <c r="J27" s="214"/>
      <c r="K27" s="214"/>
      <c r="L27" s="249">
        <v>2.4402557939633769E-3</v>
      </c>
      <c r="M27" s="291"/>
      <c r="N27" s="291"/>
      <c r="O27" s="249">
        <v>2.1117988135969674E-3</v>
      </c>
      <c r="P27" s="291"/>
      <c r="Q27" s="291"/>
      <c r="R27" s="233">
        <v>0.91666666666666663</v>
      </c>
      <c r="S27" s="291"/>
      <c r="T27" s="291"/>
      <c r="U27" s="233">
        <v>4.8000000000000001E-2</v>
      </c>
      <c r="V27" s="291"/>
      <c r="W27" s="291"/>
    </row>
    <row r="28" spans="2:23" ht="14.45" customHeight="1">
      <c r="B28" s="98"/>
      <c r="C28" s="98"/>
      <c r="D28" s="292">
        <f t="shared" si="0"/>
        <v>20</v>
      </c>
      <c r="E28" s="292" t="s">
        <v>458</v>
      </c>
      <c r="F28" s="229">
        <v>321.76396377816479</v>
      </c>
      <c r="G28" s="93"/>
      <c r="H28" s="93"/>
      <c r="I28" s="90">
        <f t="shared" si="1"/>
        <v>0.8791365130550951</v>
      </c>
      <c r="J28" s="214"/>
      <c r="K28" s="214"/>
      <c r="L28" s="249">
        <v>2.4298564254613556E-3</v>
      </c>
      <c r="M28" s="291"/>
      <c r="N28" s="291"/>
      <c r="O28" s="249">
        <v>1.7515724483966992E-3</v>
      </c>
      <c r="P28" s="291"/>
      <c r="Q28" s="291"/>
      <c r="R28" s="233">
        <v>0.91666666666666663</v>
      </c>
      <c r="S28" s="291"/>
      <c r="T28" s="291"/>
      <c r="U28" s="233">
        <v>5.1999999999999998E-2</v>
      </c>
      <c r="V28" s="291"/>
      <c r="W28" s="291"/>
    </row>
    <row r="29" spans="2:23" ht="14.45" customHeight="1">
      <c r="B29" s="98"/>
      <c r="C29" s="98"/>
      <c r="D29" s="292">
        <f t="shared" si="0"/>
        <v>21</v>
      </c>
      <c r="E29" s="292" t="s">
        <v>459</v>
      </c>
      <c r="F29" s="229">
        <v>320.65281844443803</v>
      </c>
      <c r="G29" s="93"/>
      <c r="H29" s="93"/>
      <c r="I29" s="90">
        <f t="shared" si="1"/>
        <v>0.8761005968427269</v>
      </c>
      <c r="J29" s="214"/>
      <c r="K29" s="214"/>
      <c r="L29" s="249">
        <v>2.4843422765381401E-3</v>
      </c>
      <c r="M29" s="291"/>
      <c r="N29" s="291"/>
      <c r="O29" s="249">
        <v>1.9093945903005292E-3</v>
      </c>
      <c r="P29" s="291"/>
      <c r="Q29" s="291"/>
      <c r="R29" s="233">
        <v>0.91666666666666663</v>
      </c>
      <c r="S29" s="291"/>
      <c r="T29" s="291"/>
      <c r="U29" s="233">
        <v>5.8000000000000003E-2</v>
      </c>
      <c r="V29" s="291"/>
      <c r="W29" s="291"/>
    </row>
    <row r="30" spans="2:23" ht="14.45" customHeight="1">
      <c r="B30" s="98"/>
      <c r="C30" s="98"/>
      <c r="D30" s="292">
        <f t="shared" si="0"/>
        <v>22</v>
      </c>
      <c r="E30" s="292" t="s">
        <v>460</v>
      </c>
      <c r="F30" s="229">
        <v>313.7126633463937</v>
      </c>
      <c r="G30" s="93"/>
      <c r="H30" s="93"/>
      <c r="I30" s="90">
        <f t="shared" si="1"/>
        <v>0.85713842444369859</v>
      </c>
      <c r="J30" s="214"/>
      <c r="K30" s="214"/>
      <c r="L30" s="249">
        <v>2.4715137822512371E-3</v>
      </c>
      <c r="M30" s="291"/>
      <c r="N30" s="291"/>
      <c r="O30" s="249">
        <v>2.2602211147681457E-3</v>
      </c>
      <c r="P30" s="291"/>
      <c r="Q30" s="291"/>
      <c r="R30" s="233">
        <v>0.91666666666666663</v>
      </c>
      <c r="S30" s="291"/>
      <c r="T30" s="291"/>
      <c r="U30" s="233">
        <v>0.06</v>
      </c>
      <c r="V30" s="291"/>
      <c r="W30" s="291"/>
    </row>
    <row r="31" spans="2:23" ht="14.45" customHeight="1">
      <c r="B31" s="98"/>
      <c r="C31" s="98"/>
      <c r="D31" s="292">
        <f t="shared" si="0"/>
        <v>23</v>
      </c>
      <c r="E31" s="292" t="s">
        <v>461</v>
      </c>
      <c r="F31" s="229">
        <v>317.74451437437926</v>
      </c>
      <c r="G31" s="93"/>
      <c r="H31" s="93"/>
      <c r="I31" s="90">
        <f t="shared" si="1"/>
        <v>0.86815441085895972</v>
      </c>
      <c r="J31" s="214"/>
      <c r="K31" s="214"/>
      <c r="L31" s="249">
        <v>2.4699176126043295E-3</v>
      </c>
      <c r="M31" s="291"/>
      <c r="N31" s="291"/>
      <c r="O31" s="249">
        <v>2.5697546874420005E-3</v>
      </c>
      <c r="P31" s="291"/>
      <c r="Q31" s="291"/>
      <c r="R31" s="233">
        <v>0.91666666666666663</v>
      </c>
      <c r="S31" s="291"/>
      <c r="T31" s="291"/>
      <c r="U31" s="233">
        <v>6.3E-2</v>
      </c>
      <c r="V31" s="291"/>
      <c r="W31" s="291"/>
    </row>
    <row r="32" spans="2:23" ht="14.45" customHeight="1">
      <c r="B32" s="98"/>
      <c r="C32" s="98"/>
      <c r="D32" s="292">
        <f t="shared" si="0"/>
        <v>24</v>
      </c>
      <c r="E32" s="292" t="s">
        <v>462</v>
      </c>
      <c r="F32" s="229">
        <v>322.27305289131863</v>
      </c>
      <c r="G32" s="93"/>
      <c r="H32" s="93"/>
      <c r="I32" s="90">
        <f t="shared" si="1"/>
        <v>0.88052746691617112</v>
      </c>
      <c r="J32" s="214"/>
      <c r="K32" s="214"/>
      <c r="L32" s="249">
        <v>2.433701497034463E-3</v>
      </c>
      <c r="M32" s="291"/>
      <c r="N32" s="291"/>
      <c r="O32" s="249">
        <v>2.5035796891761568E-3</v>
      </c>
      <c r="P32" s="291"/>
      <c r="Q32" s="291"/>
      <c r="R32" s="233">
        <v>0.91666666666666663</v>
      </c>
      <c r="S32" s="291"/>
      <c r="T32" s="291"/>
      <c r="U32" s="233">
        <v>6.6000000000000003E-2</v>
      </c>
      <c r="V32" s="291"/>
      <c r="W32" s="291"/>
    </row>
    <row r="33" spans="2:23" ht="14.45" customHeight="1">
      <c r="B33" s="98"/>
      <c r="C33" s="98"/>
      <c r="D33" s="292">
        <f t="shared" si="0"/>
        <v>25</v>
      </c>
      <c r="E33" s="292" t="s">
        <v>463</v>
      </c>
      <c r="F33" s="229">
        <v>323.07436724508477</v>
      </c>
      <c r="G33" s="93">
        <f>AVERAGE(F33:F39)</f>
        <v>323.22182277780331</v>
      </c>
      <c r="H33" s="93"/>
      <c r="I33" s="90">
        <f t="shared" si="1"/>
        <v>0.88271685039640646</v>
      </c>
      <c r="J33" s="214">
        <f>AVERAGE(I33:I39)</f>
        <v>0.88383739724133459</v>
      </c>
      <c r="K33" s="214"/>
      <c r="L33" s="249">
        <v>2.4496469667830236E-3</v>
      </c>
      <c r="M33" s="291">
        <f>AVERAGE(L33:L39)</f>
        <v>2.4567444682047522E-3</v>
      </c>
      <c r="N33" s="291"/>
      <c r="O33" s="249">
        <v>1.8934425073250634E-3</v>
      </c>
      <c r="P33" s="291">
        <f>AVERAGE(O33:O39)</f>
        <v>2.1972525969534379E-3</v>
      </c>
      <c r="Q33" s="291"/>
      <c r="R33" s="233">
        <v>0.91666666666666663</v>
      </c>
      <c r="S33" s="291">
        <f>AVERAGE(R33:R39)</f>
        <v>0.91666666666666674</v>
      </c>
      <c r="T33" s="291"/>
      <c r="U33" s="233">
        <v>6.8000000000000005E-2</v>
      </c>
      <c r="V33" s="291">
        <f>AVERAGE(U33:U39)</f>
        <v>7.3285714285714287E-2</v>
      </c>
      <c r="W33" s="291"/>
    </row>
    <row r="34" spans="2:23" ht="14.45" customHeight="1">
      <c r="B34" s="98"/>
      <c r="C34" s="98"/>
      <c r="D34" s="292">
        <f t="shared" si="0"/>
        <v>26</v>
      </c>
      <c r="E34" s="292" t="s">
        <v>457</v>
      </c>
      <c r="F34" s="229">
        <v>318.17521342319355</v>
      </c>
      <c r="G34" s="93"/>
      <c r="H34" s="93"/>
      <c r="I34" s="90">
        <f t="shared" si="1"/>
        <v>0.86933118421637579</v>
      </c>
      <c r="J34" s="214"/>
      <c r="K34" s="214"/>
      <c r="L34" s="249">
        <v>2.4604979561501298E-3</v>
      </c>
      <c r="M34" s="291"/>
      <c r="N34" s="291"/>
      <c r="O34" s="249">
        <v>2.1519938118999601E-3</v>
      </c>
      <c r="P34" s="291"/>
      <c r="Q34" s="291"/>
      <c r="R34" s="233">
        <v>0.91666666666666663</v>
      </c>
      <c r="S34" s="291"/>
      <c r="T34" s="291"/>
      <c r="U34" s="233">
        <v>6.8000000000000005E-2</v>
      </c>
      <c r="V34" s="291"/>
      <c r="W34" s="291"/>
    </row>
    <row r="35" spans="2:23">
      <c r="B35" s="98"/>
      <c r="C35" s="98"/>
      <c r="D35" s="448">
        <f t="shared" si="0"/>
        <v>27</v>
      </c>
      <c r="E35" s="448" t="s">
        <v>458</v>
      </c>
      <c r="F35" s="229">
        <v>326.55429181540524</v>
      </c>
      <c r="G35" s="93"/>
      <c r="H35" s="93"/>
      <c r="I35" s="90">
        <f t="shared" si="1"/>
        <v>0.89222484102569732</v>
      </c>
      <c r="J35" s="214"/>
      <c r="K35" s="214"/>
      <c r="L35" s="249">
        <v>2.4638376672643397E-3</v>
      </c>
      <c r="M35" s="90"/>
      <c r="N35" s="291"/>
      <c r="O35" s="249">
        <v>2.0554465680411005E-3</v>
      </c>
      <c r="P35" s="90"/>
      <c r="Q35" s="291"/>
      <c r="R35" s="233">
        <v>0.91666666666666663</v>
      </c>
      <c r="S35" s="214"/>
      <c r="T35" s="214"/>
      <c r="U35" s="233">
        <v>7.0999999999999994E-2</v>
      </c>
      <c r="V35" s="214"/>
      <c r="W35" s="214"/>
    </row>
    <row r="36" spans="2:23">
      <c r="B36" s="98"/>
      <c r="D36" s="448">
        <f t="shared" si="0"/>
        <v>28</v>
      </c>
      <c r="E36" s="448" t="s">
        <v>459</v>
      </c>
      <c r="F36" s="229">
        <v>330.72932176494032</v>
      </c>
      <c r="G36" s="93"/>
      <c r="H36" s="93"/>
      <c r="I36" s="90">
        <f t="shared" si="1"/>
        <v>0.90363202668016485</v>
      </c>
      <c r="J36" s="214"/>
      <c r="K36" s="87"/>
      <c r="L36" s="249">
        <v>2.4303571639444185E-3</v>
      </c>
      <c r="M36" s="90"/>
      <c r="N36" s="90"/>
      <c r="O36" s="249">
        <v>2.1332330840709963E-3</v>
      </c>
      <c r="P36" s="90"/>
      <c r="Q36" s="90"/>
      <c r="R36" s="233">
        <v>0.91666666666666663</v>
      </c>
      <c r="S36" s="214"/>
      <c r="T36" s="214"/>
      <c r="U36" s="233">
        <v>7.3999999999999996E-2</v>
      </c>
      <c r="V36" s="214"/>
      <c r="W36" s="214"/>
    </row>
    <row r="37" spans="2:23">
      <c r="B37" s="98"/>
      <c r="D37" s="448">
        <f t="shared" si="0"/>
        <v>29</v>
      </c>
      <c r="E37" s="448" t="s">
        <v>460</v>
      </c>
      <c r="F37" s="229">
        <v>326.86094501816137</v>
      </c>
      <c r="G37" s="93"/>
      <c r="H37" s="93"/>
      <c r="I37" s="90">
        <f t="shared" si="1"/>
        <v>0.89306269130645188</v>
      </c>
      <c r="J37" s="214"/>
      <c r="K37" s="87"/>
      <c r="L37" s="249">
        <v>2.4611627212606214E-3</v>
      </c>
      <c r="M37" s="90"/>
      <c r="N37" s="90"/>
      <c r="O37" s="249">
        <v>2.2828115025488203E-3</v>
      </c>
      <c r="P37" s="90"/>
      <c r="Q37" s="90"/>
      <c r="R37" s="233">
        <v>0.91666666666666663</v>
      </c>
      <c r="S37" s="214"/>
      <c r="T37" s="214"/>
      <c r="U37" s="233">
        <v>7.5999999999999998E-2</v>
      </c>
      <c r="V37" s="214"/>
      <c r="W37" s="214"/>
    </row>
    <row r="38" spans="2:23">
      <c r="B38" s="98"/>
      <c r="D38" s="448">
        <f t="shared" si="0"/>
        <v>30</v>
      </c>
      <c r="E38" s="448" t="s">
        <v>461</v>
      </c>
      <c r="F38" s="229">
        <v>315.51278507518543</v>
      </c>
      <c r="G38" s="93"/>
      <c r="H38" s="93"/>
      <c r="I38" s="90">
        <f t="shared" si="1"/>
        <v>0.86205678982291101</v>
      </c>
      <c r="J38" s="214"/>
      <c r="K38" s="87"/>
      <c r="L38" s="249">
        <v>2.4394566421118789E-3</v>
      </c>
      <c r="M38" s="90"/>
      <c r="N38" s="90"/>
      <c r="O38" s="249">
        <v>2.534354131675228E-3</v>
      </c>
      <c r="P38" s="90"/>
      <c r="Q38" s="90"/>
      <c r="R38" s="233">
        <v>0.91666666666666663</v>
      </c>
      <c r="S38" s="214"/>
      <c r="T38" s="214"/>
      <c r="U38" s="233">
        <v>7.5999999999999998E-2</v>
      </c>
      <c r="V38" s="214"/>
      <c r="W38" s="214"/>
    </row>
    <row r="39" spans="2:23">
      <c r="B39" s="98"/>
      <c r="D39" s="448">
        <f t="shared" si="0"/>
        <v>31</v>
      </c>
      <c r="E39" s="448" t="s">
        <v>462</v>
      </c>
      <c r="F39" s="229">
        <v>321.64583510265231</v>
      </c>
      <c r="G39" s="93"/>
      <c r="H39" s="93"/>
      <c r="I39" s="90"/>
      <c r="J39" s="214"/>
      <c r="K39" s="87"/>
      <c r="L39" s="249">
        <v>2.4922521599188533E-3</v>
      </c>
      <c r="M39" s="90"/>
      <c r="N39" s="90"/>
      <c r="O39" s="249">
        <v>2.3294865731128978E-3</v>
      </c>
      <c r="P39" s="90"/>
      <c r="Q39" s="90"/>
      <c r="R39" s="233">
        <v>0.91666666666666663</v>
      </c>
      <c r="S39" s="214"/>
      <c r="T39" s="214"/>
      <c r="U39" s="233">
        <v>0.08</v>
      </c>
      <c r="V39" s="214"/>
      <c r="W39" s="214"/>
    </row>
    <row r="40" spans="2:23">
      <c r="B40" s="98"/>
    </row>
    <row r="41" spans="2:23">
      <c r="B41" s="98"/>
      <c r="D41" s="86"/>
      <c r="E41" s="86"/>
      <c r="F41" s="283"/>
      <c r="G41" s="93"/>
      <c r="H41" s="93"/>
      <c r="I41" s="90"/>
      <c r="J41" s="214"/>
      <c r="K41" s="87"/>
      <c r="L41" s="288"/>
      <c r="M41" s="90"/>
      <c r="N41" s="90"/>
      <c r="O41" s="288"/>
      <c r="P41" s="90"/>
      <c r="Q41" s="90"/>
      <c r="R41" s="287"/>
      <c r="S41" s="214"/>
      <c r="T41" s="214"/>
      <c r="U41" s="287"/>
      <c r="V41" s="214"/>
      <c r="W41" s="214"/>
    </row>
    <row r="42" spans="2:23">
      <c r="B42" s="98"/>
      <c r="D42" s="86"/>
      <c r="E42" s="86"/>
      <c r="F42" s="283"/>
      <c r="G42" s="93"/>
      <c r="H42" s="93"/>
      <c r="I42" s="90"/>
      <c r="J42" s="214"/>
      <c r="K42" s="87"/>
      <c r="L42" s="288"/>
      <c r="M42" s="90"/>
      <c r="N42" s="90"/>
      <c r="O42" s="288"/>
      <c r="P42" s="90"/>
      <c r="Q42" s="90"/>
      <c r="R42" s="287"/>
      <c r="S42" s="214"/>
      <c r="T42" s="214"/>
      <c r="U42" s="287"/>
      <c r="V42" s="214"/>
      <c r="W42" s="214"/>
    </row>
    <row r="43" spans="2:23">
      <c r="B43" s="98"/>
      <c r="D43" s="86"/>
      <c r="E43" s="86"/>
      <c r="F43" s="283"/>
      <c r="G43" s="93"/>
      <c r="H43" s="93"/>
      <c r="I43" s="90"/>
      <c r="J43" s="214"/>
      <c r="K43" s="87"/>
      <c r="L43" s="288"/>
      <c r="M43" s="90"/>
      <c r="N43" s="90"/>
      <c r="O43" s="288"/>
      <c r="P43" s="90"/>
      <c r="Q43" s="90"/>
      <c r="R43" s="287"/>
      <c r="S43" s="214"/>
      <c r="T43" s="214"/>
      <c r="U43" s="287"/>
      <c r="V43" s="214"/>
      <c r="W43" s="214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1" sqref="AK11:AK41"/>
    </sheetView>
  </sheetViews>
  <sheetFormatPr defaultColWidth="8.85546875" defaultRowHeight="14.2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29" t="s">
        <v>316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9"/>
      <c r="AB2" s="529"/>
      <c r="AC2" s="529"/>
      <c r="AD2" s="529"/>
      <c r="AE2" s="529"/>
      <c r="AF2" s="529"/>
      <c r="AG2" s="529"/>
      <c r="AH2" s="529"/>
      <c r="AI2" s="529"/>
      <c r="AJ2" s="529"/>
      <c r="AK2" s="529"/>
      <c r="AL2" s="529"/>
    </row>
    <row r="3" spans="1:38" ht="25.35" customHeight="1">
      <c r="B3" s="98"/>
      <c r="C3" s="530" t="s">
        <v>139</v>
      </c>
      <c r="D3" s="531" t="s">
        <v>105</v>
      </c>
      <c r="E3" s="531"/>
      <c r="F3" s="532" t="s">
        <v>355</v>
      </c>
      <c r="G3" s="532"/>
      <c r="H3" s="532"/>
      <c r="I3" s="533" t="s">
        <v>111</v>
      </c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</row>
    <row r="4" spans="1:38" ht="25.35" customHeight="1">
      <c r="B4" s="98"/>
      <c r="C4" s="530"/>
      <c r="D4" s="531"/>
      <c r="E4" s="531"/>
      <c r="F4" s="532"/>
      <c r="G4" s="532"/>
      <c r="H4" s="532"/>
      <c r="I4" s="527" t="s">
        <v>140</v>
      </c>
      <c r="J4" s="527"/>
      <c r="K4" s="527"/>
      <c r="L4" s="527"/>
      <c r="M4" s="527"/>
      <c r="N4" s="527"/>
      <c r="O4" s="527" t="s">
        <v>141</v>
      </c>
      <c r="P4" s="527"/>
      <c r="Q4" s="527"/>
      <c r="R4" s="527"/>
      <c r="S4" s="527"/>
      <c r="T4" s="527"/>
      <c r="U4" s="527" t="s">
        <v>338</v>
      </c>
      <c r="V4" s="527"/>
      <c r="W4" s="527" t="s">
        <v>143</v>
      </c>
      <c r="X4" s="527"/>
      <c r="Y4" s="527" t="s">
        <v>134</v>
      </c>
      <c r="Z4" s="527"/>
      <c r="AA4" s="527"/>
      <c r="AB4" s="527"/>
      <c r="AC4" s="527"/>
      <c r="AD4" s="527"/>
      <c r="AE4" s="527" t="s">
        <v>132</v>
      </c>
      <c r="AF4" s="527"/>
      <c r="AG4" s="527" t="s">
        <v>144</v>
      </c>
      <c r="AH4" s="527"/>
      <c r="AI4" s="527" t="s">
        <v>145</v>
      </c>
      <c r="AJ4" s="527"/>
      <c r="AK4" s="527" t="s">
        <v>138</v>
      </c>
      <c r="AL4" s="527"/>
    </row>
    <row r="5" spans="1:38" ht="25.35" customHeight="1">
      <c r="B5" s="98"/>
      <c r="C5" s="530"/>
      <c r="D5" s="531"/>
      <c r="E5" s="531"/>
      <c r="F5" s="526" t="s">
        <v>115</v>
      </c>
      <c r="G5" s="526" t="s">
        <v>117</v>
      </c>
      <c r="H5" s="526" t="s">
        <v>118</v>
      </c>
      <c r="I5" s="527" t="s">
        <v>129</v>
      </c>
      <c r="J5" s="527"/>
      <c r="K5" s="527" t="s">
        <v>130</v>
      </c>
      <c r="L5" s="527"/>
      <c r="M5" s="528" t="s">
        <v>146</v>
      </c>
      <c r="N5" s="527"/>
      <c r="O5" s="527" t="s">
        <v>129</v>
      </c>
      <c r="P5" s="527"/>
      <c r="Q5" s="527" t="s">
        <v>130</v>
      </c>
      <c r="R5" s="527"/>
      <c r="S5" s="528" t="s">
        <v>146</v>
      </c>
      <c r="T5" s="527"/>
      <c r="U5" s="527" t="s">
        <v>129</v>
      </c>
      <c r="V5" s="527"/>
      <c r="W5" s="527" t="s">
        <v>129</v>
      </c>
      <c r="X5" s="527"/>
      <c r="Y5" s="527" t="s">
        <v>129</v>
      </c>
      <c r="Z5" s="527"/>
      <c r="AA5" s="527" t="s">
        <v>130</v>
      </c>
      <c r="AB5" s="527"/>
      <c r="AC5" s="528" t="s">
        <v>146</v>
      </c>
      <c r="AD5" s="527"/>
      <c r="AE5" s="527" t="s">
        <v>129</v>
      </c>
      <c r="AF5" s="527"/>
      <c r="AG5" s="527" t="s">
        <v>129</v>
      </c>
      <c r="AH5" s="527"/>
      <c r="AI5" s="527" t="s">
        <v>129</v>
      </c>
      <c r="AJ5" s="527"/>
      <c r="AK5" s="527" t="s">
        <v>129</v>
      </c>
      <c r="AL5" s="527"/>
    </row>
    <row r="6" spans="1:38" s="80" customFormat="1" ht="23.45" customHeight="1">
      <c r="B6" s="98"/>
      <c r="C6" s="530"/>
      <c r="D6" s="531"/>
      <c r="E6" s="531"/>
      <c r="F6" s="526"/>
      <c r="G6" s="526"/>
      <c r="H6" s="526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384"/>
      <c r="D7" s="86"/>
      <c r="E7" s="86"/>
      <c r="F7" s="228"/>
      <c r="G7" s="290"/>
      <c r="H7" s="316"/>
      <c r="I7" s="234"/>
      <c r="J7" s="101"/>
      <c r="K7" s="234"/>
      <c r="L7" s="101"/>
      <c r="M7" s="227"/>
      <c r="N7" s="101"/>
      <c r="O7" s="234"/>
      <c r="P7" s="101"/>
      <c r="Q7" s="234"/>
      <c r="R7" s="101"/>
      <c r="S7" s="227"/>
      <c r="T7" s="101"/>
      <c r="U7" s="234"/>
      <c r="V7" s="101"/>
      <c r="W7" s="234"/>
      <c r="X7" s="101"/>
      <c r="Y7" s="234"/>
      <c r="Z7" s="101"/>
      <c r="AA7" s="234"/>
      <c r="AB7" s="101"/>
      <c r="AC7" s="227"/>
      <c r="AD7" s="101"/>
      <c r="AE7" s="234"/>
      <c r="AF7" s="101"/>
      <c r="AG7" s="234"/>
      <c r="AH7" s="101"/>
      <c r="AI7" s="234"/>
      <c r="AJ7" s="101"/>
      <c r="AK7" s="234"/>
      <c r="AL7" s="101"/>
    </row>
    <row r="8" spans="1:38" ht="12">
      <c r="B8" s="98"/>
      <c r="C8" s="98"/>
      <c r="D8" s="86"/>
      <c r="E8" s="86"/>
      <c r="F8" s="228"/>
      <c r="G8" s="290"/>
      <c r="I8" s="234"/>
      <c r="J8" s="101"/>
      <c r="K8" s="234"/>
      <c r="L8" s="101"/>
      <c r="M8" s="227"/>
      <c r="N8" s="101"/>
      <c r="O8" s="234"/>
      <c r="P8" s="101"/>
      <c r="Q8" s="234"/>
      <c r="R8" s="101"/>
      <c r="S8" s="227"/>
      <c r="T8" s="101"/>
      <c r="U8" s="234"/>
      <c r="V8" s="101"/>
      <c r="W8" s="234"/>
      <c r="X8" s="101"/>
      <c r="Y8" s="234"/>
      <c r="Z8" s="101"/>
      <c r="AA8" s="234"/>
      <c r="AB8" s="101"/>
      <c r="AC8" s="227"/>
      <c r="AD8" s="101"/>
      <c r="AE8" s="234"/>
      <c r="AF8" s="101"/>
      <c r="AG8" s="234"/>
      <c r="AH8" s="101"/>
      <c r="AI8" s="234"/>
      <c r="AJ8" s="101"/>
      <c r="AK8" s="234"/>
      <c r="AL8" s="101"/>
    </row>
    <row r="9" spans="1:38" ht="12">
      <c r="B9" s="98"/>
      <c r="C9" s="98"/>
      <c r="D9" s="86"/>
      <c r="E9" s="86"/>
      <c r="F9" s="228"/>
      <c r="G9" s="290"/>
      <c r="H9" s="317"/>
      <c r="I9" s="234"/>
      <c r="J9" s="101"/>
      <c r="K9" s="234"/>
      <c r="L9" s="101"/>
      <c r="M9" s="227"/>
      <c r="N9" s="101"/>
      <c r="O9" s="234"/>
      <c r="P9" s="101"/>
      <c r="Q9" s="234"/>
      <c r="R9" s="101"/>
      <c r="S9" s="227"/>
      <c r="T9" s="101"/>
      <c r="U9" s="234"/>
      <c r="V9" s="101"/>
      <c r="W9" s="234"/>
      <c r="X9" s="101"/>
      <c r="Y9" s="234"/>
      <c r="Z9" s="101"/>
      <c r="AA9" s="234"/>
      <c r="AB9" s="101"/>
      <c r="AC9" s="227"/>
      <c r="AD9" s="101"/>
      <c r="AE9" s="234"/>
      <c r="AF9" s="101"/>
      <c r="AG9" s="234"/>
      <c r="AH9" s="101"/>
      <c r="AI9" s="234"/>
      <c r="AJ9" s="101"/>
      <c r="AK9" s="234"/>
      <c r="AL9" s="101"/>
    </row>
    <row r="10" spans="1:38" ht="12">
      <c r="B10" s="98"/>
      <c r="C10" s="98"/>
      <c r="D10" s="86"/>
      <c r="E10" s="86"/>
      <c r="F10" s="228"/>
      <c r="G10" s="290"/>
      <c r="H10" s="317"/>
      <c r="I10" s="234"/>
      <c r="J10" s="101"/>
      <c r="K10" s="234"/>
      <c r="L10" s="101"/>
      <c r="M10" s="227"/>
      <c r="N10" s="101"/>
      <c r="O10" s="234"/>
      <c r="P10" s="101"/>
      <c r="Q10" s="234"/>
      <c r="R10" s="101"/>
      <c r="S10" s="227"/>
      <c r="T10" s="101"/>
      <c r="U10" s="234"/>
      <c r="V10" s="101"/>
      <c r="W10" s="234"/>
      <c r="X10" s="101"/>
      <c r="Y10" s="234"/>
      <c r="Z10" s="101"/>
      <c r="AA10" s="234"/>
      <c r="AB10" s="101"/>
      <c r="AC10" s="227"/>
      <c r="AD10" s="101"/>
      <c r="AE10" s="234"/>
      <c r="AF10" s="101"/>
      <c r="AG10" s="234"/>
      <c r="AH10" s="101"/>
      <c r="AI10" s="234"/>
      <c r="AJ10" s="101"/>
      <c r="AK10" s="234"/>
      <c r="AL10" s="101"/>
    </row>
    <row r="11" spans="1:38" ht="12">
      <c r="B11" s="98"/>
      <c r="C11" s="98"/>
      <c r="D11" s="86">
        <f t="shared" ref="D11:D41" si="0">D10+1</f>
        <v>1</v>
      </c>
      <c r="E11" s="86" t="s">
        <v>460</v>
      </c>
      <c r="F11" s="228">
        <f t="shared" ref="F11:F45" si="1">SUM(M11,S11,U11,W11,AC11,AE11,AG11,AI11,AK11)</f>
        <v>6681403</v>
      </c>
      <c r="G11" s="290"/>
      <c r="H11" s="317">
        <f>SUM(F11:F41)</f>
        <v>204598724</v>
      </c>
      <c r="I11" s="234">
        <v>491743.29415498569</v>
      </c>
      <c r="J11" s="101">
        <f t="shared" ref="J11:J12" si="2">I11/F11</f>
        <v>7.3598807638902447E-2</v>
      </c>
      <c r="K11" s="234">
        <v>679275.39758235659</v>
      </c>
      <c r="L11" s="101">
        <f t="shared" ref="L11:L12" si="3">K11/F11</f>
        <v>0.10166658074394803</v>
      </c>
      <c r="M11" s="227">
        <f t="shared" ref="M11:M12" si="4">SUM(I11+K11)</f>
        <v>1171018.6917373422</v>
      </c>
      <c r="N11" s="101">
        <f t="shared" ref="N11:N12" si="5">M11/F11</f>
        <v>0.17526538838285044</v>
      </c>
      <c r="O11" s="234">
        <v>158062.98474176024</v>
      </c>
      <c r="P11" s="101">
        <f t="shared" ref="P11:P12" si="6">O11/F11</f>
        <v>2.3657154753539075E-2</v>
      </c>
      <c r="Q11" s="234">
        <v>88205.259921850069</v>
      </c>
      <c r="R11" s="101">
        <f t="shared" ref="R11:R13" si="7">Q11/$F11</f>
        <v>1.3201607494990209E-2</v>
      </c>
      <c r="S11" s="227">
        <f t="shared" ref="S11:S13" si="8">SUM(O11+Q11)</f>
        <v>246268.2446636103</v>
      </c>
      <c r="T11" s="101">
        <f t="shared" ref="T11:T12" si="9">S11/F11</f>
        <v>3.6858762248529284E-2</v>
      </c>
      <c r="U11" s="234">
        <v>1122071.8975794495</v>
      </c>
      <c r="V11" s="101">
        <f t="shared" ref="V11:V12" si="10">U11/F11</f>
        <v>0.1679395626307004</v>
      </c>
      <c r="W11" s="234">
        <v>0</v>
      </c>
      <c r="X11" s="101">
        <f t="shared" ref="X11:X12" si="11">W11/F11</f>
        <v>0</v>
      </c>
      <c r="Y11" s="234">
        <v>504676.4523699719</v>
      </c>
      <c r="Z11" s="101">
        <f t="shared" ref="Z11:Z12" si="12">Y11/F11</f>
        <v>7.5534502614192242E-2</v>
      </c>
      <c r="AA11" s="234">
        <v>1219522.5109983906</v>
      </c>
      <c r="AB11" s="101">
        <f t="shared" ref="AB11:AB13" si="13">AA11/$F11</f>
        <v>0.18252491445260682</v>
      </c>
      <c r="AC11" s="227">
        <f t="shared" ref="AC11:AC12" si="14">SUM(Y11+AA11)</f>
        <v>1724198.9633683625</v>
      </c>
      <c r="AD11" s="101">
        <f t="shared" ref="AD11:AD12" si="15">AC11/F11</f>
        <v>0.25805941706679908</v>
      </c>
      <c r="AE11" s="234">
        <v>801115.99702017999</v>
      </c>
      <c r="AF11" s="101">
        <f t="shared" ref="AF11:AF12" si="16">AE11/F11</f>
        <v>0.11990236137831829</v>
      </c>
      <c r="AG11" s="234">
        <v>592123.52039401082</v>
      </c>
      <c r="AH11" s="101">
        <f t="shared" ref="AH11:AH12" si="17">AG11/F11</f>
        <v>8.8622632161839479E-2</v>
      </c>
      <c r="AI11" s="234">
        <v>425616.46466228098</v>
      </c>
      <c r="AJ11" s="101">
        <f t="shared" ref="AJ11:AJ12" si="18">AI11/F11</f>
        <v>6.370166036419013E-2</v>
      </c>
      <c r="AK11" s="234">
        <v>598989.22057476384</v>
      </c>
      <c r="AL11" s="101">
        <f t="shared" ref="AL11:AL12" si="19">AK11/F11</f>
        <v>8.9650215766772914E-2</v>
      </c>
    </row>
    <row r="12" spans="1:38" ht="12">
      <c r="B12" s="98"/>
      <c r="C12" s="98"/>
      <c r="D12" s="86">
        <f t="shared" si="0"/>
        <v>2</v>
      </c>
      <c r="E12" s="86" t="s">
        <v>461</v>
      </c>
      <c r="F12" s="228">
        <f t="shared" si="1"/>
        <v>5997912.9999999991</v>
      </c>
      <c r="G12" s="290"/>
      <c r="H12" s="317"/>
      <c r="I12" s="234">
        <v>473107.12508690241</v>
      </c>
      <c r="J12" s="101">
        <f t="shared" si="2"/>
        <v>7.8878624129243374E-2</v>
      </c>
      <c r="K12" s="234">
        <v>660367.11049256113</v>
      </c>
      <c r="L12" s="101">
        <f t="shared" si="3"/>
        <v>0.11009948135169037</v>
      </c>
      <c r="M12" s="227">
        <f t="shared" si="4"/>
        <v>1133474.2355794637</v>
      </c>
      <c r="N12" s="101">
        <f t="shared" si="5"/>
        <v>0.18897810548093374</v>
      </c>
      <c r="O12" s="234">
        <v>128017.28693426956</v>
      </c>
      <c r="P12" s="101">
        <f t="shared" si="6"/>
        <v>2.1343638517976101E-2</v>
      </c>
      <c r="Q12" s="234">
        <v>80333.770813462601</v>
      </c>
      <c r="R12" s="101">
        <f t="shared" si="7"/>
        <v>1.3393620549925052E-2</v>
      </c>
      <c r="S12" s="227">
        <f t="shared" si="8"/>
        <v>208351.05774773215</v>
      </c>
      <c r="T12" s="101">
        <f t="shared" si="9"/>
        <v>3.4737259067901149E-2</v>
      </c>
      <c r="U12" s="234">
        <v>966143.64131193829</v>
      </c>
      <c r="V12" s="101">
        <f t="shared" si="10"/>
        <v>0.16107996920127693</v>
      </c>
      <c r="W12" s="234">
        <v>0</v>
      </c>
      <c r="X12" s="101">
        <f t="shared" si="11"/>
        <v>0</v>
      </c>
      <c r="Y12" s="234">
        <v>457286.78440351458</v>
      </c>
      <c r="Z12" s="101">
        <f t="shared" si="12"/>
        <v>7.6240983222583367E-2</v>
      </c>
      <c r="AA12" s="234">
        <v>1263312.8425713398</v>
      </c>
      <c r="AB12" s="101">
        <f t="shared" si="13"/>
        <v>0.21062540296455451</v>
      </c>
      <c r="AC12" s="227">
        <f t="shared" si="14"/>
        <v>1720599.6269748544</v>
      </c>
      <c r="AD12" s="101">
        <f t="shared" si="15"/>
        <v>0.28686638618713789</v>
      </c>
      <c r="AE12" s="234">
        <v>666469.28438643331</v>
      </c>
      <c r="AF12" s="101">
        <f t="shared" si="16"/>
        <v>0.11111686421367456</v>
      </c>
      <c r="AG12" s="234">
        <v>481311.29036547453</v>
      </c>
      <c r="AH12" s="101">
        <f t="shared" si="17"/>
        <v>8.0246460788189922E-2</v>
      </c>
      <c r="AI12" s="234">
        <v>331582.71953186323</v>
      </c>
      <c r="AJ12" s="101">
        <f t="shared" si="18"/>
        <v>5.528301586432869E-2</v>
      </c>
      <c r="AK12" s="234">
        <v>489981.14410224021</v>
      </c>
      <c r="AL12" s="101">
        <f t="shared" si="19"/>
        <v>8.1691939196557248E-2</v>
      </c>
    </row>
    <row r="13" spans="1:38" ht="12">
      <c r="B13" s="98"/>
      <c r="C13" s="98"/>
      <c r="D13" s="86">
        <f t="shared" si="0"/>
        <v>3</v>
      </c>
      <c r="E13" s="86" t="s">
        <v>462</v>
      </c>
      <c r="F13" s="228">
        <f t="shared" si="1"/>
        <v>6555328.0000000019</v>
      </c>
      <c r="G13" s="290"/>
      <c r="H13" s="317"/>
      <c r="I13" s="234">
        <v>444610.647449576</v>
      </c>
      <c r="J13" s="101">
        <f>I13/F13</f>
        <v>6.7824317478786089E-2</v>
      </c>
      <c r="K13" s="234">
        <v>704497.64306309749</v>
      </c>
      <c r="L13" s="101">
        <f>K13/F13</f>
        <v>0.10746947262792911</v>
      </c>
      <c r="M13" s="227">
        <f>SUM(I13+K13)</f>
        <v>1149108.2905126736</v>
      </c>
      <c r="N13" s="101">
        <f>M13/F13</f>
        <v>0.17529379010671522</v>
      </c>
      <c r="O13" s="234">
        <v>109084.49278776276</v>
      </c>
      <c r="P13" s="101">
        <f>O13/F13</f>
        <v>1.6640585000134659E-2</v>
      </c>
      <c r="Q13" s="234">
        <v>71805.304593681532</v>
      </c>
      <c r="R13" s="101">
        <f t="shared" si="7"/>
        <v>1.0953731772640746E-2</v>
      </c>
      <c r="S13" s="227">
        <f t="shared" si="8"/>
        <v>180889.79738144431</v>
      </c>
      <c r="T13" s="101">
        <f>S13/F13</f>
        <v>2.7594316772775407E-2</v>
      </c>
      <c r="U13" s="234">
        <v>1070612.746427916</v>
      </c>
      <c r="V13" s="101">
        <f>U13/F13</f>
        <v>0.16331947790071155</v>
      </c>
      <c r="W13" s="234">
        <v>0</v>
      </c>
      <c r="X13" s="101">
        <f>W13/F13</f>
        <v>0</v>
      </c>
      <c r="Y13" s="234">
        <v>492092.62205229071</v>
      </c>
      <c r="Z13" s="101">
        <f>Y13/F13</f>
        <v>7.5067581980991727E-2</v>
      </c>
      <c r="AA13" s="234">
        <v>1332263.4938001761</v>
      </c>
      <c r="AB13" s="101">
        <f t="shared" si="13"/>
        <v>0.20323368926774918</v>
      </c>
      <c r="AC13" s="227">
        <f>SUM(Y13+AA13)</f>
        <v>1824356.1158524668</v>
      </c>
      <c r="AD13" s="101">
        <f>AC13/F13</f>
        <v>0.27830127124874093</v>
      </c>
      <c r="AE13" s="234">
        <v>793774.5936374662</v>
      </c>
      <c r="AF13" s="101">
        <f>AE13/F13</f>
        <v>0.12108846325271076</v>
      </c>
      <c r="AG13" s="234">
        <v>547389.77079727838</v>
      </c>
      <c r="AH13" s="101">
        <f>AG13/F13</f>
        <v>8.3503033074360009E-2</v>
      </c>
      <c r="AI13" s="234">
        <v>455203.42370130424</v>
      </c>
      <c r="AJ13" s="101">
        <f>AI13/F13</f>
        <v>6.9440220794642793E-2</v>
      </c>
      <c r="AK13" s="234">
        <v>533993.26168945164</v>
      </c>
      <c r="AL13" s="101">
        <f>AK13/F13</f>
        <v>8.1459426849343236E-2</v>
      </c>
    </row>
    <row r="14" spans="1:38" ht="12">
      <c r="B14" s="98"/>
      <c r="C14" s="98"/>
      <c r="D14" s="86">
        <f t="shared" si="0"/>
        <v>4</v>
      </c>
      <c r="E14" s="86" t="s">
        <v>463</v>
      </c>
      <c r="F14" s="228">
        <f t="shared" si="1"/>
        <v>7070659</v>
      </c>
      <c r="G14" s="290">
        <f>SUM(F14:F20)</f>
        <v>47812449</v>
      </c>
      <c r="H14" s="317"/>
      <c r="I14" s="234">
        <v>550250.59493639437</v>
      </c>
      <c r="J14" s="101">
        <f t="shared" ref="J14" si="20">I14/F14</f>
        <v>7.7821684645857536E-2</v>
      </c>
      <c r="K14" s="234">
        <v>720092.81790584745</v>
      </c>
      <c r="L14" s="101">
        <f t="shared" ref="L14" si="21">K14/F14</f>
        <v>0.10184239091516752</v>
      </c>
      <c r="M14" s="227">
        <f t="shared" ref="M14" si="22">SUM(I14+K14)</f>
        <v>1270343.4128422418</v>
      </c>
      <c r="N14" s="101">
        <f t="shared" ref="N14" si="23">M14/F14</f>
        <v>0.17966407556102504</v>
      </c>
      <c r="O14" s="234">
        <v>150632.3852062494</v>
      </c>
      <c r="P14" s="101">
        <f t="shared" ref="P14" si="24">O14/F14</f>
        <v>2.1303867886465658E-2</v>
      </c>
      <c r="Q14" s="234">
        <v>79783.238231079667</v>
      </c>
      <c r="R14" s="101">
        <f t="shared" ref="R14" si="25">Q14/$F14</f>
        <v>1.1283706120049017E-2</v>
      </c>
      <c r="S14" s="227">
        <f t="shared" ref="S14" si="26">SUM(O14+Q14)</f>
        <v>230415.62343732908</v>
      </c>
      <c r="T14" s="101">
        <f t="shared" ref="T14" si="27">S14/F14</f>
        <v>3.2587574006514679E-2</v>
      </c>
      <c r="U14" s="234">
        <v>1291141.8162516984</v>
      </c>
      <c r="V14" s="101">
        <f t="shared" ref="V14" si="28">U14/F14</f>
        <v>0.18260558404127514</v>
      </c>
      <c r="W14" s="234">
        <v>0</v>
      </c>
      <c r="X14" s="101">
        <f t="shared" ref="X14" si="29">W14/F14</f>
        <v>0</v>
      </c>
      <c r="Y14" s="234">
        <v>478059.15798108757</v>
      </c>
      <c r="Z14" s="101">
        <f t="shared" ref="Z14" si="30">Y14/F14</f>
        <v>6.7611683434470188E-2</v>
      </c>
      <c r="AA14" s="234">
        <v>1376471.8611064532</v>
      </c>
      <c r="AB14" s="101">
        <f t="shared" ref="AB14" si="31">AA14/$F14</f>
        <v>0.19467377243145981</v>
      </c>
      <c r="AC14" s="227">
        <f t="shared" ref="AC14" si="32">SUM(Y14+AA14)</f>
        <v>1854531.0190875409</v>
      </c>
      <c r="AD14" s="101">
        <f t="shared" ref="AD14" si="33">AC14/F14</f>
        <v>0.26228545586593005</v>
      </c>
      <c r="AE14" s="234">
        <v>925802.09655442229</v>
      </c>
      <c r="AF14" s="101">
        <f t="shared" ref="AF14" si="34">AE14/F14</f>
        <v>0.1309357581173724</v>
      </c>
      <c r="AG14" s="234">
        <v>624845.16216461582</v>
      </c>
      <c r="AH14" s="101">
        <f t="shared" ref="AH14" si="35">AG14/F14</f>
        <v>8.8371559449354833E-2</v>
      </c>
      <c r="AI14" s="234">
        <v>451315.77984218037</v>
      </c>
      <c r="AJ14" s="101">
        <f t="shared" ref="AJ14" si="36">AI14/F14</f>
        <v>6.3829379954850093E-2</v>
      </c>
      <c r="AK14" s="234">
        <v>422264.08981997211</v>
      </c>
      <c r="AL14" s="101">
        <f t="shared" ref="AL14" si="37">AK14/F14</f>
        <v>5.972061300367789E-2</v>
      </c>
    </row>
    <row r="15" spans="1:38" ht="12">
      <c r="B15" s="98"/>
      <c r="C15" s="98"/>
      <c r="D15" s="86">
        <f t="shared" si="0"/>
        <v>5</v>
      </c>
      <c r="E15" s="86" t="s">
        <v>457</v>
      </c>
      <c r="F15" s="228">
        <f t="shared" si="1"/>
        <v>7268569</v>
      </c>
      <c r="G15" s="290"/>
      <c r="H15" s="317"/>
      <c r="I15" s="234">
        <v>531376.28229124215</v>
      </c>
      <c r="J15" s="101">
        <f t="shared" ref="J15:J41" si="38">I15/F15</f>
        <v>7.3106038106158469E-2</v>
      </c>
      <c r="K15" s="234">
        <v>760067.12751826481</v>
      </c>
      <c r="L15" s="101">
        <f t="shared" ref="L15:L41" si="39">K15/F15</f>
        <v>0.10456901867730289</v>
      </c>
      <c r="M15" s="227">
        <f t="shared" ref="M15:M41" si="40">SUM(I15+K15)</f>
        <v>1291443.409809507</v>
      </c>
      <c r="N15" s="101">
        <f t="shared" ref="N15:N41" si="41">M15/F15</f>
        <v>0.17767505678346135</v>
      </c>
      <c r="O15" s="234">
        <v>137936.38330519645</v>
      </c>
      <c r="P15" s="101">
        <f t="shared" ref="P15:P41" si="42">O15/F15</f>
        <v>1.8977103100375939E-2</v>
      </c>
      <c r="Q15" s="234">
        <v>79980.185245983768</v>
      </c>
      <c r="R15" s="101">
        <f t="shared" ref="R15:R45" si="43">Q15/$F15</f>
        <v>1.1003566898241423E-2</v>
      </c>
      <c r="S15" s="227">
        <f t="shared" ref="S15:S45" si="44">SUM(O15+Q15)</f>
        <v>217916.56855118021</v>
      </c>
      <c r="T15" s="101">
        <f t="shared" ref="T15:T41" si="45">S15/F15</f>
        <v>2.9980669998617364E-2</v>
      </c>
      <c r="U15" s="234">
        <v>1219516.9012999875</v>
      </c>
      <c r="V15" s="101">
        <f t="shared" ref="V15:V41" si="46">U15/F15</f>
        <v>0.1677795039573797</v>
      </c>
      <c r="W15" s="234">
        <v>0</v>
      </c>
      <c r="X15" s="101">
        <f t="shared" ref="X15:X41" si="47">W15/F15</f>
        <v>0</v>
      </c>
      <c r="Y15" s="234">
        <v>481171.26612284128</v>
      </c>
      <c r="Z15" s="101">
        <f t="shared" ref="Z15:Z41" si="48">Y15/F15</f>
        <v>6.6198899139960188E-2</v>
      </c>
      <c r="AA15" s="234">
        <v>1682213.3553227494</v>
      </c>
      <c r="AB15" s="101">
        <f t="shared" ref="AB15:AB45" si="49">AA15/$F15</f>
        <v>0.23143666316199921</v>
      </c>
      <c r="AC15" s="227">
        <f t="shared" ref="AC15:AC41" si="50">SUM(Y15+AA15)</f>
        <v>2163384.6214455906</v>
      </c>
      <c r="AD15" s="101">
        <f t="shared" ref="AD15:AD41" si="51">AC15/F15</f>
        <v>0.29763556230195937</v>
      </c>
      <c r="AE15" s="234">
        <v>902168.50431179523</v>
      </c>
      <c r="AF15" s="101">
        <f t="shared" ref="AF15:AF41" si="52">AE15/F15</f>
        <v>0.12411913601037497</v>
      </c>
      <c r="AG15" s="234">
        <v>625249.2527024775</v>
      </c>
      <c r="AH15" s="101">
        <f t="shared" ref="AH15:AH41" si="53">AG15/F15</f>
        <v>8.602095580333316E-2</v>
      </c>
      <c r="AI15" s="234">
        <v>406782.650105907</v>
      </c>
      <c r="AJ15" s="101">
        <f t="shared" ref="AJ15:AJ41" si="54">AI15/F15</f>
        <v>5.5964612856520587E-2</v>
      </c>
      <c r="AK15" s="234">
        <v>442107.0917735555</v>
      </c>
      <c r="AL15" s="101">
        <f t="shared" ref="AL15:AL41" si="55">AK15/F15</f>
        <v>6.0824502288353524E-2</v>
      </c>
    </row>
    <row r="16" spans="1:38" ht="12">
      <c r="B16" s="98"/>
      <c r="C16" s="98"/>
      <c r="D16" s="292">
        <f t="shared" si="0"/>
        <v>6</v>
      </c>
      <c r="E16" s="292" t="s">
        <v>458</v>
      </c>
      <c r="F16" s="228">
        <f t="shared" si="1"/>
        <v>7452237</v>
      </c>
      <c r="G16" s="290"/>
      <c r="H16" s="317"/>
      <c r="I16" s="234">
        <v>603282.35352193681</v>
      </c>
      <c r="J16" s="101">
        <f t="shared" si="38"/>
        <v>8.095318942781031E-2</v>
      </c>
      <c r="K16" s="234">
        <v>753377.24911545508</v>
      </c>
      <c r="L16" s="101">
        <f t="shared" si="39"/>
        <v>0.10109410759688066</v>
      </c>
      <c r="M16" s="227">
        <f t="shared" si="40"/>
        <v>1356659.602637392</v>
      </c>
      <c r="N16" s="101">
        <f t="shared" si="41"/>
        <v>0.18204729702469097</v>
      </c>
      <c r="O16" s="234">
        <v>141358.87108499135</v>
      </c>
      <c r="P16" s="101">
        <f t="shared" si="42"/>
        <v>1.8968649424996997E-2</v>
      </c>
      <c r="Q16" s="234">
        <v>85540.988788600996</v>
      </c>
      <c r="R16" s="101">
        <f t="shared" si="43"/>
        <v>1.147856526685893E-2</v>
      </c>
      <c r="S16" s="227">
        <f t="shared" si="44"/>
        <v>226899.85987359233</v>
      </c>
      <c r="T16" s="101">
        <f t="shared" si="45"/>
        <v>3.0447214691855927E-2</v>
      </c>
      <c r="U16" s="234">
        <v>1356955.4148514206</v>
      </c>
      <c r="V16" s="101">
        <f t="shared" si="46"/>
        <v>0.1820869914431627</v>
      </c>
      <c r="W16" s="234">
        <v>50332.588602357231</v>
      </c>
      <c r="X16" s="101">
        <f t="shared" si="47"/>
        <v>6.7540241409870926E-3</v>
      </c>
      <c r="Y16" s="234">
        <v>583753.97342220147</v>
      </c>
      <c r="Z16" s="101">
        <f t="shared" si="48"/>
        <v>7.8332717199171398E-2</v>
      </c>
      <c r="AA16" s="234">
        <v>1631212.7277178757</v>
      </c>
      <c r="AB16" s="101">
        <f t="shared" si="49"/>
        <v>0.21888900308965961</v>
      </c>
      <c r="AC16" s="227">
        <f t="shared" si="50"/>
        <v>2214966.7011400773</v>
      </c>
      <c r="AD16" s="101">
        <f t="shared" si="51"/>
        <v>0.29722172028883104</v>
      </c>
      <c r="AE16" s="234">
        <v>870171.58241110435</v>
      </c>
      <c r="AF16" s="101">
        <f t="shared" si="52"/>
        <v>0.11676649339132725</v>
      </c>
      <c r="AG16" s="234">
        <v>580526.74412168772</v>
      </c>
      <c r="AH16" s="101">
        <f t="shared" si="53"/>
        <v>7.7899662090951713E-2</v>
      </c>
      <c r="AI16" s="234">
        <v>356945.88361870177</v>
      </c>
      <c r="AJ16" s="101">
        <f t="shared" si="54"/>
        <v>4.7897816939893589E-2</v>
      </c>
      <c r="AK16" s="234">
        <v>438778.62274366687</v>
      </c>
      <c r="AL16" s="101">
        <f t="shared" si="55"/>
        <v>5.887877998829974E-2</v>
      </c>
    </row>
    <row r="17" spans="2:38" ht="12">
      <c r="B17" s="98"/>
      <c r="C17" s="98"/>
      <c r="D17" s="292">
        <f t="shared" si="0"/>
        <v>7</v>
      </c>
      <c r="E17" s="292" t="s">
        <v>459</v>
      </c>
      <c r="F17" s="228">
        <f t="shared" si="1"/>
        <v>6995771.9999999991</v>
      </c>
      <c r="G17" s="290"/>
      <c r="H17" s="317"/>
      <c r="I17" s="234">
        <v>575546.65196503454</v>
      </c>
      <c r="J17" s="101">
        <f t="shared" si="38"/>
        <v>8.2270641748335233E-2</v>
      </c>
      <c r="K17" s="234">
        <v>746364.20907191525</v>
      </c>
      <c r="L17" s="101">
        <f t="shared" si="39"/>
        <v>0.10668789792919428</v>
      </c>
      <c r="M17" s="227">
        <f t="shared" si="40"/>
        <v>1321910.8610369498</v>
      </c>
      <c r="N17" s="101">
        <f t="shared" si="41"/>
        <v>0.18895853967752951</v>
      </c>
      <c r="O17" s="234">
        <v>136817.50488631724</v>
      </c>
      <c r="P17" s="101">
        <f t="shared" si="42"/>
        <v>1.9557170371807039E-2</v>
      </c>
      <c r="Q17" s="234">
        <v>88153.994446316123</v>
      </c>
      <c r="R17" s="101">
        <f t="shared" si="43"/>
        <v>1.2601038805483675E-2</v>
      </c>
      <c r="S17" s="227">
        <f t="shared" si="44"/>
        <v>224971.49933263336</v>
      </c>
      <c r="T17" s="101">
        <f t="shared" si="45"/>
        <v>3.215820917729071E-2</v>
      </c>
      <c r="U17" s="234">
        <v>1191405.6874180515</v>
      </c>
      <c r="V17" s="101">
        <f t="shared" si="46"/>
        <v>0.17030367590854187</v>
      </c>
      <c r="W17" s="234">
        <v>49323.245492273949</v>
      </c>
      <c r="X17" s="101">
        <f t="shared" si="47"/>
        <v>7.0504363910479009E-3</v>
      </c>
      <c r="Y17" s="234">
        <v>308367.72395467648</v>
      </c>
      <c r="Z17" s="101">
        <f t="shared" si="48"/>
        <v>4.4079155803630608E-2</v>
      </c>
      <c r="AA17" s="234">
        <v>1590712.9169230643</v>
      </c>
      <c r="AB17" s="101">
        <f t="shared" si="49"/>
        <v>0.22738204117044758</v>
      </c>
      <c r="AC17" s="227">
        <f t="shared" si="50"/>
        <v>1899080.6408777407</v>
      </c>
      <c r="AD17" s="101">
        <f t="shared" si="51"/>
        <v>0.27146119697407817</v>
      </c>
      <c r="AE17" s="234">
        <v>907626.80415322969</v>
      </c>
      <c r="AF17" s="101">
        <f t="shared" si="52"/>
        <v>0.12973933457997627</v>
      </c>
      <c r="AG17" s="234">
        <v>570297.38546868239</v>
      </c>
      <c r="AH17" s="101">
        <f t="shared" si="53"/>
        <v>8.1520293324122403E-2</v>
      </c>
      <c r="AI17" s="234">
        <v>381275.00508056505</v>
      </c>
      <c r="AJ17" s="101">
        <f t="shared" si="54"/>
        <v>5.4500776337560043E-2</v>
      </c>
      <c r="AK17" s="234">
        <v>449880.87113987323</v>
      </c>
      <c r="AL17" s="101">
        <f t="shared" si="55"/>
        <v>6.4307537629853181E-2</v>
      </c>
    </row>
    <row r="18" spans="2:38" ht="12">
      <c r="B18" s="98"/>
      <c r="C18" s="98"/>
      <c r="D18" s="292">
        <f t="shared" si="0"/>
        <v>8</v>
      </c>
      <c r="E18" s="292" t="s">
        <v>460</v>
      </c>
      <c r="F18" s="228">
        <f t="shared" si="1"/>
        <v>6658240</v>
      </c>
      <c r="G18" s="290"/>
      <c r="H18" s="317"/>
      <c r="I18" s="234">
        <v>541185.41612727672</v>
      </c>
      <c r="J18" s="101">
        <f t="shared" si="38"/>
        <v>8.1280551035600501E-2</v>
      </c>
      <c r="K18" s="234">
        <v>680572.15122804802</v>
      </c>
      <c r="L18" s="101">
        <f t="shared" si="39"/>
        <v>0.10221502247261259</v>
      </c>
      <c r="M18" s="227">
        <f t="shared" si="40"/>
        <v>1221757.5673553247</v>
      </c>
      <c r="N18" s="101">
        <f t="shared" si="41"/>
        <v>0.18349557350821311</v>
      </c>
      <c r="O18" s="234">
        <v>132149.32845116514</v>
      </c>
      <c r="P18" s="101">
        <f t="shared" si="42"/>
        <v>1.9847486490598889E-2</v>
      </c>
      <c r="Q18" s="234">
        <v>85844.700699804001</v>
      </c>
      <c r="R18" s="101">
        <f t="shared" si="43"/>
        <v>1.2893001859320782E-2</v>
      </c>
      <c r="S18" s="227">
        <f t="shared" si="44"/>
        <v>217994.02915096915</v>
      </c>
      <c r="T18" s="101">
        <f t="shared" si="45"/>
        <v>3.2740488349919668E-2</v>
      </c>
      <c r="U18" s="234">
        <v>1108960.3358012529</v>
      </c>
      <c r="V18" s="101">
        <f t="shared" si="46"/>
        <v>0.16655457535343468</v>
      </c>
      <c r="W18" s="234">
        <v>4237.1273277158134</v>
      </c>
      <c r="X18" s="101">
        <f t="shared" si="47"/>
        <v>6.3637347523006285E-4</v>
      </c>
      <c r="Y18" s="234">
        <v>591612.10311622638</v>
      </c>
      <c r="Z18" s="101">
        <f t="shared" si="48"/>
        <v>8.8854127084068216E-2</v>
      </c>
      <c r="AA18" s="234">
        <v>1285284.7768150524</v>
      </c>
      <c r="AB18" s="101">
        <f t="shared" si="49"/>
        <v>0.1930367149299293</v>
      </c>
      <c r="AC18" s="227">
        <f t="shared" si="50"/>
        <v>1876896.8799312788</v>
      </c>
      <c r="AD18" s="101">
        <f t="shared" si="51"/>
        <v>0.2818908420139975</v>
      </c>
      <c r="AE18" s="234">
        <v>849055.38045842899</v>
      </c>
      <c r="AF18" s="101">
        <f t="shared" si="52"/>
        <v>0.12751949170628107</v>
      </c>
      <c r="AG18" s="234">
        <v>538433.0074649438</v>
      </c>
      <c r="AH18" s="101">
        <f t="shared" si="53"/>
        <v>8.0867167219106514E-2</v>
      </c>
      <c r="AI18" s="234">
        <v>398818.32559787878</v>
      </c>
      <c r="AJ18" s="101">
        <f t="shared" si="54"/>
        <v>5.9898460493745913E-2</v>
      </c>
      <c r="AK18" s="234">
        <v>442087.34691220755</v>
      </c>
      <c r="AL18" s="101">
        <f t="shared" si="55"/>
        <v>6.6397027880071541E-2</v>
      </c>
    </row>
    <row r="19" spans="2:38" ht="12">
      <c r="B19" s="98"/>
      <c r="C19" s="98"/>
      <c r="D19" s="292">
        <f t="shared" si="0"/>
        <v>9</v>
      </c>
      <c r="E19" s="292" t="s">
        <v>461</v>
      </c>
      <c r="F19" s="228">
        <f t="shared" si="1"/>
        <v>6093782.0000000009</v>
      </c>
      <c r="G19" s="290"/>
      <c r="H19" s="317"/>
      <c r="I19" s="234">
        <v>498793.2358166771</v>
      </c>
      <c r="J19" s="101">
        <f t="shared" si="38"/>
        <v>8.1852819122291712E-2</v>
      </c>
      <c r="K19" s="234">
        <v>651766.02300706937</v>
      </c>
      <c r="L19" s="101">
        <f t="shared" si="39"/>
        <v>0.10695591391471984</v>
      </c>
      <c r="M19" s="227">
        <f t="shared" si="40"/>
        <v>1150559.2588237463</v>
      </c>
      <c r="N19" s="101">
        <f t="shared" si="41"/>
        <v>0.18880873303701154</v>
      </c>
      <c r="O19" s="234">
        <v>99252.633193168396</v>
      </c>
      <c r="P19" s="101">
        <f t="shared" si="42"/>
        <v>1.6287526070536882E-2</v>
      </c>
      <c r="Q19" s="234">
        <v>71008.623757839014</v>
      </c>
      <c r="R19" s="101">
        <f t="shared" si="43"/>
        <v>1.165263604077714E-2</v>
      </c>
      <c r="S19" s="227">
        <f t="shared" si="44"/>
        <v>170261.25695100741</v>
      </c>
      <c r="T19" s="101">
        <f t="shared" si="45"/>
        <v>2.7940162111314022E-2</v>
      </c>
      <c r="U19" s="234">
        <v>1052187.3706960925</v>
      </c>
      <c r="V19" s="101">
        <f t="shared" si="46"/>
        <v>0.17266573873106919</v>
      </c>
      <c r="W19" s="234">
        <v>26101.515226250805</v>
      </c>
      <c r="X19" s="101">
        <f t="shared" si="47"/>
        <v>4.2833030827572763E-3</v>
      </c>
      <c r="Y19" s="234">
        <v>502430.89363311732</v>
      </c>
      <c r="Z19" s="101">
        <f t="shared" si="48"/>
        <v>8.2449764962566313E-2</v>
      </c>
      <c r="AA19" s="234">
        <v>1286571.3982807829</v>
      </c>
      <c r="AB19" s="101">
        <f t="shared" si="49"/>
        <v>0.21112855666329755</v>
      </c>
      <c r="AC19" s="227">
        <f t="shared" si="50"/>
        <v>1789002.2919139001</v>
      </c>
      <c r="AD19" s="101">
        <f t="shared" si="51"/>
        <v>0.29357832162586384</v>
      </c>
      <c r="AE19" s="234">
        <v>726287.07264558168</v>
      </c>
      <c r="AF19" s="101">
        <f t="shared" si="52"/>
        <v>0.1191849450219226</v>
      </c>
      <c r="AG19" s="234">
        <v>451589.07002813357</v>
      </c>
      <c r="AH19" s="101">
        <f t="shared" si="53"/>
        <v>7.4106535157991135E-2</v>
      </c>
      <c r="AI19" s="234">
        <v>372093.15916833369</v>
      </c>
      <c r="AJ19" s="101">
        <f t="shared" si="54"/>
        <v>6.1061120855379077E-2</v>
      </c>
      <c r="AK19" s="234">
        <v>355701.0045469543</v>
      </c>
      <c r="AL19" s="101">
        <f t="shared" si="55"/>
        <v>5.8371140376691229E-2</v>
      </c>
    </row>
    <row r="20" spans="2:38" ht="12">
      <c r="B20" s="98"/>
      <c r="C20" s="98"/>
      <c r="D20" s="292">
        <f t="shared" si="0"/>
        <v>10</v>
      </c>
      <c r="E20" s="292" t="s">
        <v>462</v>
      </c>
      <c r="F20" s="228">
        <f t="shared" si="1"/>
        <v>6273190</v>
      </c>
      <c r="G20" s="290"/>
      <c r="H20" s="317"/>
      <c r="I20" s="234">
        <v>477105.81837825582</v>
      </c>
      <c r="J20" s="101">
        <f t="shared" si="38"/>
        <v>7.6054737442713488E-2</v>
      </c>
      <c r="K20" s="234">
        <v>680539.64289699658</v>
      </c>
      <c r="L20" s="101">
        <f t="shared" si="39"/>
        <v>0.10848382448116455</v>
      </c>
      <c r="M20" s="227">
        <f t="shared" si="40"/>
        <v>1157645.4612752525</v>
      </c>
      <c r="N20" s="101">
        <f t="shared" si="41"/>
        <v>0.18453856192387805</v>
      </c>
      <c r="O20" s="234">
        <v>88231.744393754401</v>
      </c>
      <c r="P20" s="101">
        <f t="shared" si="42"/>
        <v>1.4064892725033739E-2</v>
      </c>
      <c r="Q20" s="234">
        <v>66561.29917051176</v>
      </c>
      <c r="R20" s="101">
        <f t="shared" si="43"/>
        <v>1.0610438894806591E-2</v>
      </c>
      <c r="S20" s="227">
        <f t="shared" si="44"/>
        <v>154793.04356426618</v>
      </c>
      <c r="T20" s="101">
        <f t="shared" si="45"/>
        <v>2.4675331619840334E-2</v>
      </c>
      <c r="U20" s="234">
        <v>1085661.1754434609</v>
      </c>
      <c r="V20" s="101">
        <f t="shared" si="46"/>
        <v>0.17306365269399793</v>
      </c>
      <c r="W20" s="234">
        <v>37248.284388214823</v>
      </c>
      <c r="X20" s="101">
        <f t="shared" si="47"/>
        <v>5.9376942812532094E-3</v>
      </c>
      <c r="Y20" s="234">
        <v>536723.09380162344</v>
      </c>
      <c r="Z20" s="101">
        <f t="shared" si="48"/>
        <v>8.5558239715618919E-2</v>
      </c>
      <c r="AA20" s="234">
        <v>1296756.5134458127</v>
      </c>
      <c r="AB20" s="101">
        <f t="shared" si="49"/>
        <v>0.20671405033895238</v>
      </c>
      <c r="AC20" s="227">
        <f t="shared" si="50"/>
        <v>1833479.6072474362</v>
      </c>
      <c r="AD20" s="101">
        <f t="shared" si="51"/>
        <v>0.29227229005457128</v>
      </c>
      <c r="AE20" s="234">
        <v>786069.66690057144</v>
      </c>
      <c r="AF20" s="101">
        <f t="shared" si="52"/>
        <v>0.12530621054050195</v>
      </c>
      <c r="AG20" s="234">
        <v>482300.79058395245</v>
      </c>
      <c r="AH20" s="101">
        <f t="shared" si="53"/>
        <v>7.6882860328469638E-2</v>
      </c>
      <c r="AI20" s="234">
        <v>343831.96717964084</v>
      </c>
      <c r="AJ20" s="101">
        <f t="shared" si="54"/>
        <v>5.4809748657324395E-2</v>
      </c>
      <c r="AK20" s="234">
        <v>392160.00341720547</v>
      </c>
      <c r="AL20" s="101">
        <f t="shared" si="55"/>
        <v>6.2513649900163309E-2</v>
      </c>
    </row>
    <row r="21" spans="2:38" ht="12">
      <c r="B21" s="98"/>
      <c r="C21" s="98"/>
      <c r="D21" s="292">
        <f t="shared" si="0"/>
        <v>11</v>
      </c>
      <c r="E21" s="292" t="s">
        <v>463</v>
      </c>
      <c r="F21" s="228">
        <f t="shared" si="1"/>
        <v>7385036</v>
      </c>
      <c r="G21" s="290">
        <f>SUM(F21:F27)</f>
        <v>45915038</v>
      </c>
      <c r="H21" s="317"/>
      <c r="I21" s="234">
        <v>584834.50959372334</v>
      </c>
      <c r="J21" s="101">
        <f t="shared" si="38"/>
        <v>7.9191829206211498E-2</v>
      </c>
      <c r="K21" s="234">
        <v>713519.26444761711</v>
      </c>
      <c r="L21" s="101">
        <f t="shared" si="39"/>
        <v>9.6616897256508585E-2</v>
      </c>
      <c r="M21" s="227">
        <f t="shared" si="40"/>
        <v>1298353.7740413405</v>
      </c>
      <c r="N21" s="101">
        <f t="shared" si="41"/>
        <v>0.17580872646272008</v>
      </c>
      <c r="O21" s="234">
        <v>125779.41701330003</v>
      </c>
      <c r="P21" s="101">
        <f t="shared" si="42"/>
        <v>1.7031659292290523E-2</v>
      </c>
      <c r="Q21" s="234">
        <v>80290.23564714285</v>
      </c>
      <c r="R21" s="101">
        <f t="shared" si="43"/>
        <v>1.0872016825258922E-2</v>
      </c>
      <c r="S21" s="227">
        <f t="shared" si="44"/>
        <v>206069.65266044287</v>
      </c>
      <c r="T21" s="101">
        <f t="shared" si="45"/>
        <v>2.7903676117549441E-2</v>
      </c>
      <c r="U21" s="234">
        <v>1353696.6738393642</v>
      </c>
      <c r="V21" s="101">
        <f t="shared" si="46"/>
        <v>0.18330265063560477</v>
      </c>
      <c r="W21" s="234">
        <v>67719.202780584834</v>
      </c>
      <c r="X21" s="101">
        <f t="shared" si="47"/>
        <v>9.1697864141196926E-3</v>
      </c>
      <c r="Y21" s="234">
        <v>659684.75497905363</v>
      </c>
      <c r="Z21" s="101">
        <f t="shared" si="48"/>
        <v>8.9327222640357293E-2</v>
      </c>
      <c r="AA21" s="234">
        <v>1404710.6197621408</v>
      </c>
      <c r="AB21" s="101">
        <f t="shared" si="49"/>
        <v>0.19021039569233525</v>
      </c>
      <c r="AC21" s="227">
        <f t="shared" si="50"/>
        <v>2064395.3747411943</v>
      </c>
      <c r="AD21" s="101">
        <f t="shared" si="51"/>
        <v>0.27953761833269253</v>
      </c>
      <c r="AE21" s="234">
        <v>971918.59960077726</v>
      </c>
      <c r="AF21" s="101">
        <f t="shared" si="52"/>
        <v>0.13160648094346153</v>
      </c>
      <c r="AG21" s="234">
        <v>565670.31844931992</v>
      </c>
      <c r="AH21" s="101">
        <f t="shared" si="53"/>
        <v>7.6596826129123802E-2</v>
      </c>
      <c r="AI21" s="234">
        <v>443028.38723985624</v>
      </c>
      <c r="AJ21" s="101">
        <f t="shared" si="54"/>
        <v>5.9990010507715366E-2</v>
      </c>
      <c r="AK21" s="234">
        <v>414184.01664711925</v>
      </c>
      <c r="AL21" s="101">
        <f t="shared" si="55"/>
        <v>5.60842244570127E-2</v>
      </c>
    </row>
    <row r="22" spans="2:38" ht="12">
      <c r="B22" s="98"/>
      <c r="C22" s="98"/>
      <c r="D22" s="292">
        <f t="shared" si="0"/>
        <v>12</v>
      </c>
      <c r="E22" s="292" t="s">
        <v>457</v>
      </c>
      <c r="F22" s="228">
        <f t="shared" si="1"/>
        <v>7002511</v>
      </c>
      <c r="G22" s="290"/>
      <c r="H22" s="317"/>
      <c r="I22" s="234">
        <v>559588.1838458773</v>
      </c>
      <c r="J22" s="101">
        <f t="shared" si="38"/>
        <v>7.9912503364275661E-2</v>
      </c>
      <c r="K22" s="234">
        <v>703960.85437868687</v>
      </c>
      <c r="L22" s="101">
        <f t="shared" si="39"/>
        <v>0.10052977487342567</v>
      </c>
      <c r="M22" s="227">
        <f t="shared" si="40"/>
        <v>1263549.0382245642</v>
      </c>
      <c r="N22" s="101">
        <f t="shared" si="41"/>
        <v>0.18044227823770131</v>
      </c>
      <c r="O22" s="234">
        <v>115593.61640123493</v>
      </c>
      <c r="P22" s="101">
        <f t="shared" si="42"/>
        <v>1.6507452312639698E-2</v>
      </c>
      <c r="Q22" s="234">
        <v>79128.351906678858</v>
      </c>
      <c r="R22" s="101">
        <f t="shared" si="43"/>
        <v>1.1299996802101255E-2</v>
      </c>
      <c r="S22" s="227">
        <f t="shared" si="44"/>
        <v>194721.9683079138</v>
      </c>
      <c r="T22" s="101">
        <f t="shared" si="45"/>
        <v>2.7807449114740954E-2</v>
      </c>
      <c r="U22" s="234">
        <v>1277634.6765241721</v>
      </c>
      <c r="V22" s="101">
        <f t="shared" si="46"/>
        <v>0.18245379072223836</v>
      </c>
      <c r="W22" s="234">
        <v>41520.081305478598</v>
      </c>
      <c r="X22" s="101">
        <f t="shared" si="47"/>
        <v>5.9293132571271358E-3</v>
      </c>
      <c r="Y22" s="234">
        <v>503934.03795467905</v>
      </c>
      <c r="Z22" s="101">
        <f t="shared" si="48"/>
        <v>7.1964762062448603E-2</v>
      </c>
      <c r="AA22" s="234">
        <v>1363654.8135811877</v>
      </c>
      <c r="AB22" s="101">
        <f t="shared" si="49"/>
        <v>0.1947379752179165</v>
      </c>
      <c r="AC22" s="227">
        <f t="shared" si="50"/>
        <v>1867588.8515358667</v>
      </c>
      <c r="AD22" s="101">
        <f t="shared" si="51"/>
        <v>0.26670273728036509</v>
      </c>
      <c r="AE22" s="234">
        <v>905518.48895594873</v>
      </c>
      <c r="AF22" s="101">
        <f t="shared" si="52"/>
        <v>0.12931339757352023</v>
      </c>
      <c r="AG22" s="234">
        <v>568685.34086853859</v>
      </c>
      <c r="AH22" s="101">
        <f t="shared" si="53"/>
        <v>8.1211631208938997E-2</v>
      </c>
      <c r="AI22" s="234">
        <v>439668.371438061</v>
      </c>
      <c r="AJ22" s="101">
        <f t="shared" si="54"/>
        <v>6.2787244666671863E-2</v>
      </c>
      <c r="AK22" s="234">
        <v>443624.18283945648</v>
      </c>
      <c r="AL22" s="101">
        <f t="shared" si="55"/>
        <v>6.3352157938696058E-2</v>
      </c>
    </row>
    <row r="23" spans="2:38" ht="12">
      <c r="B23" s="98"/>
      <c r="C23" s="98"/>
      <c r="D23" s="448">
        <f t="shared" si="0"/>
        <v>13</v>
      </c>
      <c r="E23" s="448" t="s">
        <v>458</v>
      </c>
      <c r="F23" s="228">
        <f t="shared" si="1"/>
        <v>6868110.9999999991</v>
      </c>
      <c r="G23" s="290"/>
      <c r="H23" s="317"/>
      <c r="I23" s="234">
        <v>637939.78573145112</v>
      </c>
      <c r="J23" s="101">
        <f t="shared" si="38"/>
        <v>9.2884315022202055E-2</v>
      </c>
      <c r="K23" s="234">
        <v>696731.61186777777</v>
      </c>
      <c r="L23" s="101">
        <f t="shared" si="39"/>
        <v>0.10144443091670735</v>
      </c>
      <c r="M23" s="227">
        <f t="shared" si="40"/>
        <v>1334671.3975992289</v>
      </c>
      <c r="N23" s="101">
        <f t="shared" si="41"/>
        <v>0.19432874593890942</v>
      </c>
      <c r="O23" s="234">
        <v>112867.82274638391</v>
      </c>
      <c r="P23" s="101">
        <f t="shared" si="42"/>
        <v>1.6433604923738701E-2</v>
      </c>
      <c r="Q23" s="234">
        <v>79615.009188396754</v>
      </c>
      <c r="R23" s="101">
        <f t="shared" si="43"/>
        <v>1.15919805589043E-2</v>
      </c>
      <c r="S23" s="227">
        <f t="shared" si="44"/>
        <v>192482.83193478067</v>
      </c>
      <c r="T23" s="101">
        <f t="shared" si="45"/>
        <v>2.8025585482643001E-2</v>
      </c>
      <c r="U23" s="234">
        <v>1214873.6871010095</v>
      </c>
      <c r="V23" s="101">
        <f t="shared" si="46"/>
        <v>0.17688614629277391</v>
      </c>
      <c r="W23" s="234">
        <v>32435.872406724488</v>
      </c>
      <c r="X23" s="101">
        <f t="shared" si="47"/>
        <v>4.7226773718020126E-3</v>
      </c>
      <c r="Y23" s="234">
        <v>498611.29143047164</v>
      </c>
      <c r="Z23" s="101">
        <f t="shared" si="48"/>
        <v>7.2598024614114673E-2</v>
      </c>
      <c r="AA23" s="234">
        <v>1317767.4462140021</v>
      </c>
      <c r="AB23" s="101">
        <f t="shared" si="49"/>
        <v>0.19186752313904104</v>
      </c>
      <c r="AC23" s="227">
        <f t="shared" si="50"/>
        <v>1816378.7376444738</v>
      </c>
      <c r="AD23" s="101">
        <f t="shared" si="51"/>
        <v>0.26446554775315573</v>
      </c>
      <c r="AE23" s="234">
        <v>950478.60278435191</v>
      </c>
      <c r="AF23" s="101">
        <f t="shared" si="52"/>
        <v>0.13839010504989685</v>
      </c>
      <c r="AG23" s="234">
        <v>474005.3455225483</v>
      </c>
      <c r="AH23" s="101">
        <f t="shared" si="53"/>
        <v>6.9015388004437961E-2</v>
      </c>
      <c r="AI23" s="234">
        <v>436511.90311017324</v>
      </c>
      <c r="AJ23" s="101">
        <f t="shared" si="54"/>
        <v>6.355632620238276E-2</v>
      </c>
      <c r="AK23" s="234">
        <v>416272.62189670902</v>
      </c>
      <c r="AL23" s="101">
        <f t="shared" si="55"/>
        <v>6.0609477903998503E-2</v>
      </c>
    </row>
    <row r="24" spans="2:38" ht="12">
      <c r="B24" s="98"/>
      <c r="C24" s="98"/>
      <c r="D24" s="448">
        <f t="shared" si="0"/>
        <v>14</v>
      </c>
      <c r="E24" s="448" t="s">
        <v>459</v>
      </c>
      <c r="F24" s="228">
        <f t="shared" si="1"/>
        <v>6627112.0000000019</v>
      </c>
      <c r="G24" s="290"/>
      <c r="H24" s="317"/>
      <c r="I24" s="234">
        <v>593393.81546271674</v>
      </c>
      <c r="J24" s="101">
        <f t="shared" si="38"/>
        <v>8.9540333023301333E-2</v>
      </c>
      <c r="K24" s="234">
        <v>669673.83977919293</v>
      </c>
      <c r="L24" s="101">
        <f t="shared" si="39"/>
        <v>0.10105062956219735</v>
      </c>
      <c r="M24" s="227">
        <f t="shared" si="40"/>
        <v>1263067.6552419097</v>
      </c>
      <c r="N24" s="101">
        <f t="shared" si="41"/>
        <v>0.19059096258549868</v>
      </c>
      <c r="O24" s="234">
        <v>118471.51998808893</v>
      </c>
      <c r="P24" s="101">
        <f t="shared" si="42"/>
        <v>1.7876794595909785E-2</v>
      </c>
      <c r="Q24" s="234">
        <v>80488.419198086238</v>
      </c>
      <c r="R24" s="101">
        <f t="shared" si="43"/>
        <v>1.2145323513181339E-2</v>
      </c>
      <c r="S24" s="227">
        <f t="shared" si="44"/>
        <v>198959.93918617518</v>
      </c>
      <c r="T24" s="101">
        <f t="shared" si="45"/>
        <v>3.0022118109091129E-2</v>
      </c>
      <c r="U24" s="234">
        <v>1143978.4076400949</v>
      </c>
      <c r="V24" s="101">
        <f t="shared" si="46"/>
        <v>0.1726209558009725</v>
      </c>
      <c r="W24" s="234">
        <v>47201.598369191386</v>
      </c>
      <c r="X24" s="101">
        <f t="shared" si="47"/>
        <v>7.1224989662452319E-3</v>
      </c>
      <c r="Y24" s="234">
        <v>540101.28841914295</v>
      </c>
      <c r="Z24" s="101">
        <f t="shared" si="48"/>
        <v>8.1498741596511839E-2</v>
      </c>
      <c r="AA24" s="234">
        <v>1240840.407848337</v>
      </c>
      <c r="AB24" s="101">
        <f t="shared" si="49"/>
        <v>0.18723697560088567</v>
      </c>
      <c r="AC24" s="227">
        <f t="shared" si="50"/>
        <v>1780941.69626748</v>
      </c>
      <c r="AD24" s="101">
        <f t="shared" si="51"/>
        <v>0.26873571719739753</v>
      </c>
      <c r="AE24" s="234">
        <v>874310.67802148848</v>
      </c>
      <c r="AF24" s="101">
        <f t="shared" si="52"/>
        <v>0.13192936501171071</v>
      </c>
      <c r="AG24" s="234">
        <v>484486.48590541026</v>
      </c>
      <c r="AH24" s="101">
        <f t="shared" si="53"/>
        <v>7.3106729734673276E-2</v>
      </c>
      <c r="AI24" s="234">
        <v>416980.82820557413</v>
      </c>
      <c r="AJ24" s="101">
        <f t="shared" si="54"/>
        <v>6.2920443808037949E-2</v>
      </c>
      <c r="AK24" s="234">
        <v>417184.71116267657</v>
      </c>
      <c r="AL24" s="101">
        <f t="shared" si="55"/>
        <v>6.2951208786372781E-2</v>
      </c>
    </row>
    <row r="25" spans="2:38" ht="12">
      <c r="B25" s="98"/>
      <c r="C25" s="98"/>
      <c r="D25" s="448">
        <f t="shared" si="0"/>
        <v>15</v>
      </c>
      <c r="E25" s="448" t="s">
        <v>460</v>
      </c>
      <c r="F25" s="228">
        <f t="shared" si="1"/>
        <v>6144183.9999999991</v>
      </c>
      <c r="G25" s="290"/>
      <c r="H25" s="317"/>
      <c r="I25" s="234">
        <v>554882.18947214808</v>
      </c>
      <c r="J25" s="101">
        <f t="shared" si="38"/>
        <v>9.0310151758500101E-2</v>
      </c>
      <c r="K25" s="234">
        <v>640452.36022237525</v>
      </c>
      <c r="L25" s="101">
        <f t="shared" si="39"/>
        <v>0.10423717131882368</v>
      </c>
      <c r="M25" s="227">
        <f t="shared" si="40"/>
        <v>1195334.5496945232</v>
      </c>
      <c r="N25" s="101">
        <f t="shared" si="41"/>
        <v>0.19454732307732375</v>
      </c>
      <c r="O25" s="234">
        <v>116267.6574355693</v>
      </c>
      <c r="P25" s="101">
        <f t="shared" si="42"/>
        <v>1.8923205658484401E-2</v>
      </c>
      <c r="Q25" s="234">
        <v>81019.098209995209</v>
      </c>
      <c r="R25" s="101">
        <f t="shared" si="43"/>
        <v>1.3186307280184842E-2</v>
      </c>
      <c r="S25" s="227">
        <f t="shared" si="44"/>
        <v>197286.75564556452</v>
      </c>
      <c r="T25" s="101">
        <f t="shared" si="45"/>
        <v>3.2109512938669246E-2</v>
      </c>
      <c r="U25" s="234">
        <v>1104546.9371194732</v>
      </c>
      <c r="V25" s="101">
        <f t="shared" si="46"/>
        <v>0.17977113594245769</v>
      </c>
      <c r="W25" s="234">
        <v>35925.6909368017</v>
      </c>
      <c r="X25" s="101">
        <f t="shared" si="47"/>
        <v>5.8471053172889529E-3</v>
      </c>
      <c r="Y25" s="234">
        <v>550409.76416750159</v>
      </c>
      <c r="Z25" s="101">
        <f t="shared" si="48"/>
        <v>8.9582239751853407E-2</v>
      </c>
      <c r="AA25" s="234">
        <v>1067793.2491799151</v>
      </c>
      <c r="AB25" s="101">
        <f t="shared" si="49"/>
        <v>0.17378926952381557</v>
      </c>
      <c r="AC25" s="227">
        <f t="shared" si="50"/>
        <v>1618203.0133474167</v>
      </c>
      <c r="AD25" s="101">
        <f t="shared" si="51"/>
        <v>0.26337150927566899</v>
      </c>
      <c r="AE25" s="234">
        <v>787573.05017687054</v>
      </c>
      <c r="AF25" s="101">
        <f t="shared" si="52"/>
        <v>0.12818187902199391</v>
      </c>
      <c r="AG25" s="234">
        <v>367376.51035047241</v>
      </c>
      <c r="AH25" s="101">
        <f t="shared" si="53"/>
        <v>5.9792563235487817E-2</v>
      </c>
      <c r="AI25" s="234">
        <v>425649.63002483448</v>
      </c>
      <c r="AJ25" s="101">
        <f t="shared" si="54"/>
        <v>6.9276836439929948E-2</v>
      </c>
      <c r="AK25" s="234">
        <v>412287.8627040431</v>
      </c>
      <c r="AL25" s="101">
        <f t="shared" si="55"/>
        <v>6.7102134751179848E-2</v>
      </c>
    </row>
    <row r="26" spans="2:38" ht="12">
      <c r="B26" s="98"/>
      <c r="C26" s="98"/>
      <c r="D26" s="448">
        <f t="shared" si="0"/>
        <v>16</v>
      </c>
      <c r="E26" s="448" t="s">
        <v>461</v>
      </c>
      <c r="F26" s="228">
        <f t="shared" si="1"/>
        <v>5795970.9999999991</v>
      </c>
      <c r="G26" s="290"/>
      <c r="H26" s="317"/>
      <c r="I26" s="234">
        <v>543927.87252884626</v>
      </c>
      <c r="J26" s="101">
        <f t="shared" si="38"/>
        <v>9.3845858188187331E-2</v>
      </c>
      <c r="K26" s="234">
        <v>632000.63850623695</v>
      </c>
      <c r="L26" s="101">
        <f t="shared" si="39"/>
        <v>0.10904137348275847</v>
      </c>
      <c r="M26" s="227">
        <f t="shared" si="40"/>
        <v>1175928.5110350833</v>
      </c>
      <c r="N26" s="101">
        <f t="shared" si="41"/>
        <v>0.20288723167094583</v>
      </c>
      <c r="O26" s="234">
        <v>90042.906820249365</v>
      </c>
      <c r="P26" s="101">
        <f t="shared" si="42"/>
        <v>1.5535430874352094E-2</v>
      </c>
      <c r="Q26" s="234">
        <v>72480.936838515277</v>
      </c>
      <c r="R26" s="101">
        <f t="shared" si="43"/>
        <v>1.2505400188944232E-2</v>
      </c>
      <c r="S26" s="227">
        <f t="shared" si="44"/>
        <v>162523.84365876464</v>
      </c>
      <c r="T26" s="101">
        <f t="shared" si="45"/>
        <v>2.8040831063296325E-2</v>
      </c>
      <c r="U26" s="234">
        <v>963116.30386341852</v>
      </c>
      <c r="V26" s="101">
        <f t="shared" si="46"/>
        <v>0.16616996597522982</v>
      </c>
      <c r="W26" s="234">
        <v>35585.719196532307</v>
      </c>
      <c r="X26" s="101">
        <f t="shared" si="47"/>
        <v>6.1397338248470037E-3</v>
      </c>
      <c r="Y26" s="234">
        <v>527838.77686663275</v>
      </c>
      <c r="Z26" s="101">
        <f t="shared" si="48"/>
        <v>9.106994787700505E-2</v>
      </c>
      <c r="AA26" s="234">
        <v>1170671.0652075999</v>
      </c>
      <c r="AB26" s="101">
        <f t="shared" si="49"/>
        <v>0.2019801453816108</v>
      </c>
      <c r="AC26" s="227">
        <f t="shared" si="50"/>
        <v>1698509.8420742326</v>
      </c>
      <c r="AD26" s="101">
        <f t="shared" si="51"/>
        <v>0.29305009325861586</v>
      </c>
      <c r="AE26" s="234">
        <v>692951.65358855668</v>
      </c>
      <c r="AF26" s="101">
        <f t="shared" si="52"/>
        <v>0.11955747425039856</v>
      </c>
      <c r="AG26" s="234">
        <v>313779.97653176147</v>
      </c>
      <c r="AH26" s="101">
        <f t="shared" si="53"/>
        <v>5.4137602919642196E-2</v>
      </c>
      <c r="AI26" s="234">
        <v>410485.56154096697</v>
      </c>
      <c r="AJ26" s="101">
        <f t="shared" si="54"/>
        <v>7.0822569944012315E-2</v>
      </c>
      <c r="AK26" s="234">
        <v>343089.58851068321</v>
      </c>
      <c r="AL26" s="101">
        <f t="shared" si="55"/>
        <v>5.9194497093012242E-2</v>
      </c>
    </row>
    <row r="27" spans="2:38" ht="12">
      <c r="B27" s="98"/>
      <c r="C27" s="98"/>
      <c r="D27" s="448">
        <f t="shared" si="0"/>
        <v>17</v>
      </c>
      <c r="E27" s="448" t="s">
        <v>462</v>
      </c>
      <c r="F27" s="228">
        <f t="shared" si="1"/>
        <v>6092113</v>
      </c>
      <c r="G27" s="290"/>
      <c r="H27" s="317"/>
      <c r="I27" s="234">
        <v>516510.73747558892</v>
      </c>
      <c r="J27" s="101">
        <f t="shared" si="38"/>
        <v>8.4783512301165279E-2</v>
      </c>
      <c r="K27" s="234">
        <v>673138.59843666537</v>
      </c>
      <c r="L27" s="101">
        <f t="shared" si="39"/>
        <v>0.11049345250763822</v>
      </c>
      <c r="M27" s="227">
        <f t="shared" si="40"/>
        <v>1189649.3359122542</v>
      </c>
      <c r="N27" s="101">
        <f t="shared" si="41"/>
        <v>0.19527696480880347</v>
      </c>
      <c r="O27" s="234">
        <v>85219.196221544742</v>
      </c>
      <c r="P27" s="101">
        <f t="shared" si="42"/>
        <v>1.3988446409570003E-2</v>
      </c>
      <c r="Q27" s="234">
        <v>68790.209576007022</v>
      </c>
      <c r="R27" s="101">
        <f t="shared" si="43"/>
        <v>1.1291683128006165E-2</v>
      </c>
      <c r="S27" s="227">
        <f t="shared" si="44"/>
        <v>154009.40579755176</v>
      </c>
      <c r="T27" s="101">
        <f t="shared" si="45"/>
        <v>2.5280129537576169E-2</v>
      </c>
      <c r="U27" s="234">
        <v>1047789.6191055042</v>
      </c>
      <c r="V27" s="101">
        <f t="shared" si="46"/>
        <v>0.17199116613652837</v>
      </c>
      <c r="W27" s="234">
        <v>27925.586154515247</v>
      </c>
      <c r="X27" s="101">
        <f t="shared" si="47"/>
        <v>4.5838916898808752E-3</v>
      </c>
      <c r="Y27" s="234">
        <v>541843.43088097009</v>
      </c>
      <c r="Z27" s="101">
        <f t="shared" si="48"/>
        <v>8.8941789307087724E-2</v>
      </c>
      <c r="AA27" s="234">
        <v>1153597.5283822767</v>
      </c>
      <c r="AB27" s="101">
        <f t="shared" si="49"/>
        <v>0.18935918102344401</v>
      </c>
      <c r="AC27" s="227">
        <f t="shared" si="50"/>
        <v>1695440.9592632467</v>
      </c>
      <c r="AD27" s="101">
        <f t="shared" si="51"/>
        <v>0.27830097033053175</v>
      </c>
      <c r="AE27" s="234">
        <v>777702.15592115419</v>
      </c>
      <c r="AF27" s="101">
        <f t="shared" si="52"/>
        <v>0.12765721120424953</v>
      </c>
      <c r="AG27" s="234">
        <v>352423.83708306885</v>
      </c>
      <c r="AH27" s="101">
        <f t="shared" si="53"/>
        <v>5.7849195686795182E-2</v>
      </c>
      <c r="AI27" s="234">
        <v>462383.88399835728</v>
      </c>
      <c r="AJ27" s="101">
        <f t="shared" si="54"/>
        <v>7.5898770098052556E-2</v>
      </c>
      <c r="AK27" s="234">
        <v>384788.21676434757</v>
      </c>
      <c r="AL27" s="101">
        <f t="shared" si="55"/>
        <v>6.3161700507582116E-2</v>
      </c>
    </row>
    <row r="28" spans="2:38" ht="12">
      <c r="B28" s="98"/>
      <c r="C28" s="98"/>
      <c r="D28" s="448">
        <f t="shared" si="0"/>
        <v>18</v>
      </c>
      <c r="E28" s="448" t="s">
        <v>463</v>
      </c>
      <c r="F28" s="228">
        <f t="shared" si="1"/>
        <v>6822501</v>
      </c>
      <c r="G28" s="290">
        <f>SUM(F28:F34)</f>
        <v>46226916</v>
      </c>
      <c r="H28" s="317"/>
      <c r="I28" s="234">
        <v>613724.49472582003</v>
      </c>
      <c r="J28" s="101">
        <f t="shared" si="38"/>
        <v>8.9955940603866538E-2</v>
      </c>
      <c r="K28" s="234">
        <v>703542.97255103302</v>
      </c>
      <c r="L28" s="101">
        <f t="shared" si="39"/>
        <v>0.10312097756395096</v>
      </c>
      <c r="M28" s="227">
        <f t="shared" si="40"/>
        <v>1317267.467276853</v>
      </c>
      <c r="N28" s="101">
        <f t="shared" si="41"/>
        <v>0.1930769181678175</v>
      </c>
      <c r="O28" s="234">
        <v>114309.01326065423</v>
      </c>
      <c r="P28" s="101">
        <f t="shared" si="42"/>
        <v>1.6754708172362926E-2</v>
      </c>
      <c r="Q28" s="234">
        <v>77186.006790455242</v>
      </c>
      <c r="R28" s="101">
        <f t="shared" si="43"/>
        <v>1.1313447486552988E-2</v>
      </c>
      <c r="S28" s="227">
        <f t="shared" si="44"/>
        <v>191495.02005110949</v>
      </c>
      <c r="T28" s="101">
        <f t="shared" si="45"/>
        <v>2.8068155658915916E-2</v>
      </c>
      <c r="U28" s="234">
        <v>1272393.6543070304</v>
      </c>
      <c r="V28" s="101">
        <f t="shared" si="46"/>
        <v>0.18649959220336212</v>
      </c>
      <c r="W28" s="234">
        <v>38628.783844396792</v>
      </c>
      <c r="X28" s="101">
        <f t="shared" si="47"/>
        <v>5.6619682202167197E-3</v>
      </c>
      <c r="Y28" s="234">
        <v>532716.28558703815</v>
      </c>
      <c r="Z28" s="101">
        <f t="shared" si="48"/>
        <v>7.8082258337087554E-2</v>
      </c>
      <c r="AA28" s="234">
        <v>1270936.0740047935</v>
      </c>
      <c r="AB28" s="101">
        <f t="shared" si="49"/>
        <v>0.18628594909766866</v>
      </c>
      <c r="AC28" s="227">
        <f t="shared" si="50"/>
        <v>1803652.3595918317</v>
      </c>
      <c r="AD28" s="101">
        <f t="shared" si="51"/>
        <v>0.2643682074347562</v>
      </c>
      <c r="AE28" s="234">
        <v>917387.71252606739</v>
      </c>
      <c r="AF28" s="101">
        <f t="shared" si="52"/>
        <v>0.13446501693822652</v>
      </c>
      <c r="AG28" s="234">
        <v>403663.0384694339</v>
      </c>
      <c r="AH28" s="101">
        <f t="shared" si="53"/>
        <v>5.9166431557787079E-2</v>
      </c>
      <c r="AI28" s="234">
        <v>479746.36950137856</v>
      </c>
      <c r="AJ28" s="101">
        <f t="shared" si="54"/>
        <v>7.0318255651612011E-2</v>
      </c>
      <c r="AK28" s="234">
        <v>398266.59443189861</v>
      </c>
      <c r="AL28" s="101">
        <f t="shared" si="55"/>
        <v>5.8375454167305892E-2</v>
      </c>
    </row>
    <row r="29" spans="2:38" ht="12">
      <c r="B29" s="98"/>
      <c r="C29" s="98"/>
      <c r="D29" s="448">
        <f t="shared" si="0"/>
        <v>19</v>
      </c>
      <c r="E29" s="448" t="s">
        <v>457</v>
      </c>
      <c r="F29" s="228">
        <f t="shared" si="1"/>
        <v>6918537</v>
      </c>
      <c r="G29" s="290"/>
      <c r="H29" s="317"/>
      <c r="I29" s="234">
        <v>593452.0166429372</v>
      </c>
      <c r="J29" s="101">
        <f t="shared" si="38"/>
        <v>8.5777096609143982E-2</v>
      </c>
      <c r="K29" s="234">
        <v>710517.55925080623</v>
      </c>
      <c r="L29" s="101">
        <f t="shared" si="39"/>
        <v>0.10269765981605739</v>
      </c>
      <c r="M29" s="227">
        <f t="shared" si="40"/>
        <v>1303969.5758937434</v>
      </c>
      <c r="N29" s="101">
        <f t="shared" si="41"/>
        <v>0.18847475642520137</v>
      </c>
      <c r="O29" s="234">
        <v>105131.43279966009</v>
      </c>
      <c r="P29" s="101">
        <f t="shared" si="42"/>
        <v>1.5195616182967598E-2</v>
      </c>
      <c r="Q29" s="234">
        <v>77122.354500096088</v>
      </c>
      <c r="R29" s="101">
        <f t="shared" si="43"/>
        <v>1.1147205615883254E-2</v>
      </c>
      <c r="S29" s="227">
        <f t="shared" si="44"/>
        <v>182253.78729975619</v>
      </c>
      <c r="T29" s="101">
        <f t="shared" si="45"/>
        <v>2.6342821798850856E-2</v>
      </c>
      <c r="U29" s="234">
        <v>1214950.70228748</v>
      </c>
      <c r="V29" s="101">
        <f t="shared" si="46"/>
        <v>0.17560803711644241</v>
      </c>
      <c r="W29" s="234">
        <v>40438.730911887214</v>
      </c>
      <c r="X29" s="101">
        <f t="shared" si="47"/>
        <v>5.8449829656020075E-3</v>
      </c>
      <c r="Y29" s="234">
        <v>555802.10821918363</v>
      </c>
      <c r="Z29" s="101">
        <f t="shared" si="48"/>
        <v>8.0335207894267763E-2</v>
      </c>
      <c r="AA29" s="234">
        <v>1438624.4563813757</v>
      </c>
      <c r="AB29" s="101">
        <f t="shared" si="49"/>
        <v>0.20793766895824589</v>
      </c>
      <c r="AC29" s="227">
        <f t="shared" si="50"/>
        <v>1994426.5646005594</v>
      </c>
      <c r="AD29" s="101">
        <f t="shared" si="51"/>
        <v>0.28827287685251368</v>
      </c>
      <c r="AE29" s="234">
        <v>892361.80634455243</v>
      </c>
      <c r="AF29" s="101">
        <f t="shared" si="52"/>
        <v>0.12898128698951128</v>
      </c>
      <c r="AG29" s="234">
        <v>406850.77994884457</v>
      </c>
      <c r="AH29" s="101">
        <f t="shared" si="53"/>
        <v>5.88058978290995E-2</v>
      </c>
      <c r="AI29" s="234">
        <v>462046.08662906033</v>
      </c>
      <c r="AJ29" s="101">
        <f t="shared" si="54"/>
        <v>6.6783784870856414E-2</v>
      </c>
      <c r="AK29" s="234">
        <v>421238.96608411672</v>
      </c>
      <c r="AL29" s="101">
        <f t="shared" si="55"/>
        <v>6.0885555151922538E-2</v>
      </c>
    </row>
    <row r="30" spans="2:38" ht="12">
      <c r="B30" s="98"/>
      <c r="C30" s="98"/>
      <c r="D30" s="292">
        <f t="shared" si="0"/>
        <v>20</v>
      </c>
      <c r="E30" s="292" t="s">
        <v>458</v>
      </c>
      <c r="F30" s="228">
        <f t="shared" si="1"/>
        <v>7713414.9999999991</v>
      </c>
      <c r="G30" s="290"/>
      <c r="H30" s="317"/>
      <c r="I30" s="234">
        <v>702069.32007193298</v>
      </c>
      <c r="J30" s="101">
        <f t="shared" si="38"/>
        <v>9.1019259312760045E-2</v>
      </c>
      <c r="K30" s="234">
        <v>697330.13111630362</v>
      </c>
      <c r="L30" s="101">
        <f t="shared" si="39"/>
        <v>9.0404850655164237E-2</v>
      </c>
      <c r="M30" s="227">
        <f t="shared" si="40"/>
        <v>1399399.4511882365</v>
      </c>
      <c r="N30" s="101">
        <f t="shared" si="41"/>
        <v>0.18142410996792427</v>
      </c>
      <c r="O30" s="234">
        <v>109688.05482642134</v>
      </c>
      <c r="P30" s="101">
        <f t="shared" si="42"/>
        <v>1.4220426986804334E-2</v>
      </c>
      <c r="Q30" s="234">
        <v>82063.062294866788</v>
      </c>
      <c r="R30" s="101">
        <f t="shared" si="43"/>
        <v>1.0639005200014104E-2</v>
      </c>
      <c r="S30" s="227">
        <f t="shared" si="44"/>
        <v>191751.11712128815</v>
      </c>
      <c r="T30" s="101">
        <f t="shared" si="45"/>
        <v>2.485943218681844E-2</v>
      </c>
      <c r="U30" s="234">
        <v>1137014.226892058</v>
      </c>
      <c r="V30" s="101">
        <f t="shared" si="46"/>
        <v>0.1474073710402018</v>
      </c>
      <c r="W30" s="234">
        <v>43391.841371046139</v>
      </c>
      <c r="X30" s="101">
        <f t="shared" si="47"/>
        <v>5.6255032785149182E-3</v>
      </c>
      <c r="Y30" s="234">
        <v>706514.33956858353</v>
      </c>
      <c r="Z30" s="101">
        <f t="shared" si="48"/>
        <v>9.1595530587759585E-2</v>
      </c>
      <c r="AA30" s="234">
        <v>1396167.6500758934</v>
      </c>
      <c r="AB30" s="101">
        <f t="shared" si="49"/>
        <v>0.18100512549576206</v>
      </c>
      <c r="AC30" s="227">
        <f t="shared" si="50"/>
        <v>2102681.9896444771</v>
      </c>
      <c r="AD30" s="101">
        <f t="shared" si="51"/>
        <v>0.27260065608352169</v>
      </c>
      <c r="AE30" s="234">
        <v>1066112.927489277</v>
      </c>
      <c r="AF30" s="101">
        <f t="shared" si="52"/>
        <v>0.13821542435993359</v>
      </c>
      <c r="AG30" s="234">
        <v>1028753.4393246298</v>
      </c>
      <c r="AH30" s="101">
        <f t="shared" si="53"/>
        <v>0.13337198106475925</v>
      </c>
      <c r="AI30" s="234">
        <v>358978.35314842721</v>
      </c>
      <c r="AJ30" s="101">
        <f t="shared" si="54"/>
        <v>4.65394838924688E-2</v>
      </c>
      <c r="AK30" s="234">
        <v>385331.65382055967</v>
      </c>
      <c r="AL30" s="101">
        <f t="shared" si="55"/>
        <v>4.9956038125857319E-2</v>
      </c>
    </row>
    <row r="31" spans="2:38" ht="12">
      <c r="B31" s="98"/>
      <c r="C31" s="98"/>
      <c r="D31" s="292">
        <f t="shared" si="0"/>
        <v>21</v>
      </c>
      <c r="E31" s="292" t="s">
        <v>459</v>
      </c>
      <c r="F31" s="228">
        <f t="shared" si="1"/>
        <v>6863386.0000000019</v>
      </c>
      <c r="G31" s="290"/>
      <c r="H31" s="317"/>
      <c r="I31" s="234">
        <v>656712.90535357129</v>
      </c>
      <c r="J31" s="101">
        <f t="shared" si="38"/>
        <v>9.5683516176063993E-2</v>
      </c>
      <c r="K31" s="234">
        <v>686113.0060718609</v>
      </c>
      <c r="L31" s="101">
        <f t="shared" si="39"/>
        <v>9.9967130811506266E-2</v>
      </c>
      <c r="M31" s="227">
        <f t="shared" si="40"/>
        <v>1342825.9114254322</v>
      </c>
      <c r="N31" s="101">
        <f t="shared" si="41"/>
        <v>0.19565064698757026</v>
      </c>
      <c r="O31" s="234">
        <v>114490.38455579159</v>
      </c>
      <c r="P31" s="101">
        <f t="shared" si="42"/>
        <v>1.6681326761425273E-2</v>
      </c>
      <c r="Q31" s="234">
        <v>85351.413293159756</v>
      </c>
      <c r="R31" s="101">
        <f t="shared" si="43"/>
        <v>1.2435758864962532E-2</v>
      </c>
      <c r="S31" s="227">
        <f t="shared" si="44"/>
        <v>199841.79784895136</v>
      </c>
      <c r="T31" s="101">
        <f t="shared" si="45"/>
        <v>2.9117085626387807E-2</v>
      </c>
      <c r="U31" s="234">
        <v>1057843.3308562203</v>
      </c>
      <c r="V31" s="101">
        <f t="shared" si="46"/>
        <v>0.15412849151369601</v>
      </c>
      <c r="W31" s="234">
        <v>42757.166013198264</v>
      </c>
      <c r="X31" s="101">
        <f t="shared" si="47"/>
        <v>6.2297481175032634E-3</v>
      </c>
      <c r="Y31" s="234">
        <v>602761.04120218696</v>
      </c>
      <c r="Z31" s="101">
        <f t="shared" si="48"/>
        <v>8.782269293934318E-2</v>
      </c>
      <c r="AA31" s="234">
        <v>1317770.6404101853</v>
      </c>
      <c r="AB31" s="101">
        <f t="shared" si="49"/>
        <v>0.19200007698972271</v>
      </c>
      <c r="AC31" s="227">
        <f t="shared" si="50"/>
        <v>1920531.6816123724</v>
      </c>
      <c r="AD31" s="101">
        <f t="shared" si="51"/>
        <v>0.27982276992906591</v>
      </c>
      <c r="AE31" s="234">
        <v>860747.11472935788</v>
      </c>
      <c r="AF31" s="101">
        <f t="shared" si="52"/>
        <v>0.12541143900829091</v>
      </c>
      <c r="AG31" s="234">
        <v>707806.82148422056</v>
      </c>
      <c r="AH31" s="101">
        <f t="shared" si="53"/>
        <v>0.10312793444579983</v>
      </c>
      <c r="AI31" s="234">
        <v>352573.63985297526</v>
      </c>
      <c r="AJ31" s="101">
        <f t="shared" si="54"/>
        <v>5.1370218701523584E-2</v>
      </c>
      <c r="AK31" s="234">
        <v>378458.53617727384</v>
      </c>
      <c r="AL31" s="101">
        <f t="shared" si="55"/>
        <v>5.5141665670162474E-2</v>
      </c>
    </row>
    <row r="32" spans="2:38" ht="12">
      <c r="B32" s="98"/>
      <c r="C32" s="98"/>
      <c r="D32" s="292">
        <f t="shared" si="0"/>
        <v>22</v>
      </c>
      <c r="E32" s="292" t="s">
        <v>460</v>
      </c>
      <c r="F32" s="228">
        <f t="shared" si="1"/>
        <v>6394056.9999999981</v>
      </c>
      <c r="G32" s="290"/>
      <c r="H32" s="317"/>
      <c r="I32" s="234">
        <v>617272.73470177443</v>
      </c>
      <c r="J32" s="101">
        <f t="shared" si="38"/>
        <v>9.6538509854037058E-2</v>
      </c>
      <c r="K32" s="234">
        <v>642595.94104136643</v>
      </c>
      <c r="L32" s="101">
        <f t="shared" si="39"/>
        <v>0.100498938473862</v>
      </c>
      <c r="M32" s="227">
        <f t="shared" si="40"/>
        <v>1259868.6757431407</v>
      </c>
      <c r="N32" s="101">
        <f t="shared" si="41"/>
        <v>0.19703744832789905</v>
      </c>
      <c r="O32" s="234">
        <v>109744.63534934398</v>
      </c>
      <c r="P32" s="101">
        <f t="shared" si="42"/>
        <v>1.7163537226731636E-2</v>
      </c>
      <c r="Q32" s="234">
        <v>85730.432241600545</v>
      </c>
      <c r="R32" s="101">
        <f t="shared" si="43"/>
        <v>1.3407830465321246E-2</v>
      </c>
      <c r="S32" s="227">
        <f t="shared" si="44"/>
        <v>195475.06759094453</v>
      </c>
      <c r="T32" s="101">
        <f t="shared" si="45"/>
        <v>3.0571367692052882E-2</v>
      </c>
      <c r="U32" s="234">
        <v>1033179.1387995614</v>
      </c>
      <c r="V32" s="101">
        <f t="shared" si="46"/>
        <v>0.16158428659606283</v>
      </c>
      <c r="W32" s="234">
        <v>30793.222830730367</v>
      </c>
      <c r="X32" s="101">
        <f t="shared" si="47"/>
        <v>4.8159130941013472E-3</v>
      </c>
      <c r="Y32" s="234">
        <v>589331.7241041169</v>
      </c>
      <c r="Z32" s="101">
        <f t="shared" si="48"/>
        <v>9.2168669141378792E-2</v>
      </c>
      <c r="AA32" s="234">
        <v>1086425.2457924697</v>
      </c>
      <c r="AB32" s="101">
        <f t="shared" si="49"/>
        <v>0.16991172361967841</v>
      </c>
      <c r="AC32" s="227">
        <f t="shared" si="50"/>
        <v>1675756.9698965866</v>
      </c>
      <c r="AD32" s="101">
        <f t="shared" si="51"/>
        <v>0.26208039276105721</v>
      </c>
      <c r="AE32" s="234">
        <v>867027.8543424618</v>
      </c>
      <c r="AF32" s="101">
        <f t="shared" si="52"/>
        <v>0.13559901864222701</v>
      </c>
      <c r="AG32" s="234">
        <v>659002.34750216501</v>
      </c>
      <c r="AH32" s="101">
        <f t="shared" si="53"/>
        <v>0.1030648221469038</v>
      </c>
      <c r="AI32" s="234">
        <v>322012.38978507131</v>
      </c>
      <c r="AJ32" s="101">
        <f t="shared" si="54"/>
        <v>5.0361201000408883E-2</v>
      </c>
      <c r="AK32" s="234">
        <v>350941.33350933628</v>
      </c>
      <c r="AL32" s="101">
        <f t="shared" si="55"/>
        <v>5.4885549739287026E-2</v>
      </c>
    </row>
    <row r="33" spans="2:38" ht="12">
      <c r="B33" s="98"/>
      <c r="C33" s="98"/>
      <c r="D33" s="292">
        <f t="shared" si="0"/>
        <v>23</v>
      </c>
      <c r="E33" s="292" t="s">
        <v>461</v>
      </c>
      <c r="F33" s="228">
        <f t="shared" si="1"/>
        <v>5574275.0000000009</v>
      </c>
      <c r="G33" s="290"/>
      <c r="H33" s="317"/>
      <c r="I33" s="234">
        <v>566526.99129000586</v>
      </c>
      <c r="J33" s="101">
        <f t="shared" si="38"/>
        <v>0.10163240803333272</v>
      </c>
      <c r="K33" s="234">
        <v>606875.83017475263</v>
      </c>
      <c r="L33" s="101">
        <f t="shared" si="39"/>
        <v>0.10887080923972221</v>
      </c>
      <c r="M33" s="227">
        <f t="shared" si="40"/>
        <v>1173402.8214647584</v>
      </c>
      <c r="N33" s="101">
        <f t="shared" si="41"/>
        <v>0.2105032172730549</v>
      </c>
      <c r="O33" s="234">
        <v>82635.184172818888</v>
      </c>
      <c r="P33" s="101">
        <f t="shared" si="42"/>
        <v>1.4824382394628697E-2</v>
      </c>
      <c r="Q33" s="234">
        <v>70648.158579395822</v>
      </c>
      <c r="R33" s="101">
        <f t="shared" si="43"/>
        <v>1.2673963623860647E-2</v>
      </c>
      <c r="S33" s="227">
        <f t="shared" si="44"/>
        <v>153283.3427522147</v>
      </c>
      <c r="T33" s="101">
        <f t="shared" si="45"/>
        <v>2.7498346018489342E-2</v>
      </c>
      <c r="U33" s="234">
        <v>923583.96506124281</v>
      </c>
      <c r="V33" s="101">
        <f t="shared" si="46"/>
        <v>0.16568683193083272</v>
      </c>
      <c r="W33" s="234">
        <v>21514.630472705143</v>
      </c>
      <c r="X33" s="101">
        <f t="shared" si="47"/>
        <v>3.8596284669674781E-3</v>
      </c>
      <c r="Y33" s="234">
        <v>504502.74219797959</v>
      </c>
      <c r="Z33" s="101">
        <f t="shared" si="48"/>
        <v>9.050553519479744E-2</v>
      </c>
      <c r="AA33" s="234">
        <v>1114543.3478091941</v>
      </c>
      <c r="AB33" s="101">
        <f t="shared" si="49"/>
        <v>0.19994409099106053</v>
      </c>
      <c r="AC33" s="227">
        <f t="shared" si="50"/>
        <v>1619046.0900071738</v>
      </c>
      <c r="AD33" s="101">
        <f t="shared" si="51"/>
        <v>0.29044962618585801</v>
      </c>
      <c r="AE33" s="234">
        <v>709030.46768024738</v>
      </c>
      <c r="AF33" s="101">
        <f t="shared" si="52"/>
        <v>0.12719689424727831</v>
      </c>
      <c r="AG33" s="234">
        <v>396037.28258179862</v>
      </c>
      <c r="AH33" s="101">
        <f t="shared" si="53"/>
        <v>7.1047316930326995E-2</v>
      </c>
      <c r="AI33" s="234">
        <v>294659.966604808</v>
      </c>
      <c r="AJ33" s="101">
        <f t="shared" si="54"/>
        <v>5.2860679927848542E-2</v>
      </c>
      <c r="AK33" s="234">
        <v>283716.43337505113</v>
      </c>
      <c r="AL33" s="101">
        <f t="shared" si="55"/>
        <v>5.0897459019343519E-2</v>
      </c>
    </row>
    <row r="34" spans="2:38" ht="12">
      <c r="B34" s="98"/>
      <c r="C34" s="98"/>
      <c r="D34" s="292">
        <f t="shared" si="0"/>
        <v>24</v>
      </c>
      <c r="E34" s="292" t="s">
        <v>462</v>
      </c>
      <c r="F34" s="228">
        <f t="shared" si="1"/>
        <v>5940744.9999999991</v>
      </c>
      <c r="G34" s="290"/>
      <c r="H34" s="317"/>
      <c r="I34" s="234">
        <v>526931.18758485827</v>
      </c>
      <c r="J34" s="101">
        <f t="shared" si="38"/>
        <v>8.8697829579431259E-2</v>
      </c>
      <c r="K34" s="234">
        <v>642730.72975436423</v>
      </c>
      <c r="L34" s="101">
        <f t="shared" si="39"/>
        <v>0.10819025724119859</v>
      </c>
      <c r="M34" s="227">
        <f t="shared" si="40"/>
        <v>1169661.9173392225</v>
      </c>
      <c r="N34" s="101">
        <f t="shared" si="41"/>
        <v>0.19688808682062986</v>
      </c>
      <c r="O34" s="234">
        <v>76580.266939184701</v>
      </c>
      <c r="P34" s="101">
        <f t="shared" si="42"/>
        <v>1.2890684070631665E-2</v>
      </c>
      <c r="Q34" s="234">
        <v>64801.784998246672</v>
      </c>
      <c r="R34" s="101">
        <f t="shared" si="43"/>
        <v>1.0908023320012335E-2</v>
      </c>
      <c r="S34" s="227">
        <f t="shared" si="44"/>
        <v>141382.05193743139</v>
      </c>
      <c r="T34" s="101">
        <f t="shared" si="45"/>
        <v>2.3798707390644002E-2</v>
      </c>
      <c r="U34" s="234">
        <v>1007689.3359590402</v>
      </c>
      <c r="V34" s="101">
        <f t="shared" si="46"/>
        <v>0.16962339503867618</v>
      </c>
      <c r="W34" s="234">
        <v>19119.866600290268</v>
      </c>
      <c r="X34" s="101">
        <f t="shared" si="47"/>
        <v>3.2184291027960756E-3</v>
      </c>
      <c r="Y34" s="234">
        <v>546413.63145539514</v>
      </c>
      <c r="Z34" s="101">
        <f t="shared" si="48"/>
        <v>9.1977290971990089E-2</v>
      </c>
      <c r="AA34" s="234">
        <v>1107652.0959593565</v>
      </c>
      <c r="AB34" s="101">
        <f t="shared" si="49"/>
        <v>0.18645003210192607</v>
      </c>
      <c r="AC34" s="227">
        <f t="shared" si="50"/>
        <v>1654065.7274147517</v>
      </c>
      <c r="AD34" s="101">
        <f t="shared" si="51"/>
        <v>0.27842732307391616</v>
      </c>
      <c r="AE34" s="234">
        <v>794046.66117466276</v>
      </c>
      <c r="AF34" s="101">
        <f t="shared" si="52"/>
        <v>0.13366112519131235</v>
      </c>
      <c r="AG34" s="234">
        <v>437364.43722895189</v>
      </c>
      <c r="AH34" s="101">
        <f t="shared" si="53"/>
        <v>7.3621143009664949E-2</v>
      </c>
      <c r="AI34" s="234">
        <v>403868.86969759164</v>
      </c>
      <c r="AJ34" s="101">
        <f t="shared" si="54"/>
        <v>6.7982865734447728E-2</v>
      </c>
      <c r="AK34" s="234">
        <v>313546.13264805696</v>
      </c>
      <c r="AL34" s="101">
        <f t="shared" si="55"/>
        <v>5.2778924637912755E-2</v>
      </c>
    </row>
    <row r="35" spans="2:38" ht="12">
      <c r="B35" s="98"/>
      <c r="C35" s="98"/>
      <c r="D35" s="292">
        <f t="shared" si="0"/>
        <v>25</v>
      </c>
      <c r="E35" s="292" t="s">
        <v>463</v>
      </c>
      <c r="F35" s="228">
        <f t="shared" si="1"/>
        <v>7104289</v>
      </c>
      <c r="G35" s="290">
        <f>SUM(F35:F41)</f>
        <v>45409677</v>
      </c>
      <c r="H35" s="317"/>
      <c r="I35" s="234">
        <v>640435.32445509057</v>
      </c>
      <c r="J35" s="101">
        <f t="shared" si="38"/>
        <v>9.0147701544108158E-2</v>
      </c>
      <c r="K35" s="234">
        <v>676791.94143777469</v>
      </c>
      <c r="L35" s="101">
        <f t="shared" si="39"/>
        <v>9.5265260385349562E-2</v>
      </c>
      <c r="M35" s="227">
        <f t="shared" si="40"/>
        <v>1317227.2658928651</v>
      </c>
      <c r="N35" s="101">
        <f t="shared" si="41"/>
        <v>0.18541296192945769</v>
      </c>
      <c r="O35" s="234">
        <v>103979.5967352548</v>
      </c>
      <c r="P35" s="101">
        <f t="shared" si="42"/>
        <v>1.4636172139851687E-2</v>
      </c>
      <c r="Q35" s="234">
        <v>76176.964008492796</v>
      </c>
      <c r="R35" s="101">
        <f t="shared" si="43"/>
        <v>1.0722672460043896E-2</v>
      </c>
      <c r="S35" s="227">
        <f t="shared" si="44"/>
        <v>180156.5607437476</v>
      </c>
      <c r="T35" s="101">
        <f t="shared" si="45"/>
        <v>2.5358844599895583E-2</v>
      </c>
      <c r="U35" s="234">
        <v>1193445.7656160246</v>
      </c>
      <c r="V35" s="101">
        <f t="shared" si="46"/>
        <v>0.1679894730656403</v>
      </c>
      <c r="W35" s="234">
        <v>27537.660528200086</v>
      </c>
      <c r="X35" s="101">
        <f t="shared" si="47"/>
        <v>3.876202182681488E-3</v>
      </c>
      <c r="Y35" s="234">
        <v>649670.29592440033</v>
      </c>
      <c r="Z35" s="101">
        <f t="shared" si="48"/>
        <v>9.1447616492572353E-2</v>
      </c>
      <c r="AA35" s="234">
        <v>1251638.4639341624</v>
      </c>
      <c r="AB35" s="101">
        <f t="shared" si="49"/>
        <v>0.17618067957738803</v>
      </c>
      <c r="AC35" s="227">
        <f t="shared" si="50"/>
        <v>1901308.7598585626</v>
      </c>
      <c r="AD35" s="101">
        <f t="shared" si="51"/>
        <v>0.26762829606996036</v>
      </c>
      <c r="AE35" s="234">
        <v>1010680.9609132676</v>
      </c>
      <c r="AF35" s="101">
        <f t="shared" si="52"/>
        <v>0.14226349194314414</v>
      </c>
      <c r="AG35" s="234">
        <v>708705.4724194156</v>
      </c>
      <c r="AH35" s="101">
        <f t="shared" si="53"/>
        <v>9.9757410265744487E-2</v>
      </c>
      <c r="AI35" s="234">
        <v>431556.76977459743</v>
      </c>
      <c r="AJ35" s="101">
        <f t="shared" si="54"/>
        <v>6.0745947944206298E-2</v>
      </c>
      <c r="AK35" s="234">
        <v>333669.78425331961</v>
      </c>
      <c r="AL35" s="101">
        <f t="shared" si="55"/>
        <v>4.6967371999269682E-2</v>
      </c>
    </row>
    <row r="36" spans="2:38" ht="12">
      <c r="B36" s="98"/>
      <c r="C36" s="98"/>
      <c r="D36" s="292">
        <f t="shared" si="0"/>
        <v>26</v>
      </c>
      <c r="E36" s="292" t="s">
        <v>457</v>
      </c>
      <c r="F36" s="228">
        <f t="shared" si="1"/>
        <v>6727500</v>
      </c>
      <c r="G36" s="290"/>
      <c r="H36" s="317"/>
      <c r="I36" s="234">
        <v>585770.00490763306</v>
      </c>
      <c r="J36" s="101">
        <f t="shared" si="38"/>
        <v>8.7070978061335277E-2</v>
      </c>
      <c r="K36" s="234">
        <v>675163.05855183874</v>
      </c>
      <c r="L36" s="101">
        <f t="shared" si="39"/>
        <v>0.10035868577507823</v>
      </c>
      <c r="M36" s="227">
        <f t="shared" si="40"/>
        <v>1260933.0634594718</v>
      </c>
      <c r="N36" s="101">
        <f t="shared" si="41"/>
        <v>0.18742966383641349</v>
      </c>
      <c r="O36" s="234">
        <v>99919.90734970913</v>
      </c>
      <c r="P36" s="101">
        <f t="shared" si="42"/>
        <v>1.4852457428422018E-2</v>
      </c>
      <c r="Q36" s="234">
        <v>77689.129634817567</v>
      </c>
      <c r="R36" s="101">
        <f t="shared" si="43"/>
        <v>1.1547993999972882E-2</v>
      </c>
      <c r="S36" s="227">
        <f t="shared" si="44"/>
        <v>177609.0369845267</v>
      </c>
      <c r="T36" s="101">
        <f t="shared" si="45"/>
        <v>2.6400451428394901E-2</v>
      </c>
      <c r="U36" s="234">
        <v>1183259.6294515179</v>
      </c>
      <c r="V36" s="101">
        <f t="shared" si="46"/>
        <v>0.17588400289134418</v>
      </c>
      <c r="W36" s="234">
        <v>29040.002446335064</v>
      </c>
      <c r="X36" s="101">
        <f t="shared" si="47"/>
        <v>4.3166112889386939E-3</v>
      </c>
      <c r="Y36" s="234">
        <v>606620.30973094946</v>
      </c>
      <c r="Z36" s="101">
        <f t="shared" si="48"/>
        <v>9.0170242992337335E-2</v>
      </c>
      <c r="AA36" s="234">
        <v>1239627.7647682379</v>
      </c>
      <c r="AB36" s="101">
        <f t="shared" si="49"/>
        <v>0.18426276696666488</v>
      </c>
      <c r="AC36" s="227">
        <f t="shared" si="50"/>
        <v>1846248.0744991875</v>
      </c>
      <c r="AD36" s="101">
        <f t="shared" si="51"/>
        <v>0.27443300995900222</v>
      </c>
      <c r="AE36" s="234">
        <v>891413.35873234121</v>
      </c>
      <c r="AF36" s="101">
        <f t="shared" si="52"/>
        <v>0.13250291471309419</v>
      </c>
      <c r="AG36" s="234">
        <v>525325.49689224141</v>
      </c>
      <c r="AH36" s="101">
        <f t="shared" si="53"/>
        <v>7.8086287163469548E-2</v>
      </c>
      <c r="AI36" s="234">
        <v>458714.26050627296</v>
      </c>
      <c r="AJ36" s="101">
        <f t="shared" si="54"/>
        <v>6.8184951394466439E-2</v>
      </c>
      <c r="AK36" s="234">
        <v>354957.07702810469</v>
      </c>
      <c r="AL36" s="101">
        <f t="shared" si="55"/>
        <v>5.2762107324876205E-2</v>
      </c>
    </row>
    <row r="37" spans="2:38" ht="12">
      <c r="B37" s="98"/>
      <c r="C37" s="98"/>
      <c r="D37" s="448">
        <f t="shared" si="0"/>
        <v>27</v>
      </c>
      <c r="E37" s="448" t="s">
        <v>458</v>
      </c>
      <c r="F37" s="228">
        <f t="shared" si="1"/>
        <v>6872206.0000000009</v>
      </c>
      <c r="G37" s="290"/>
      <c r="H37" s="317"/>
      <c r="I37" s="234">
        <v>573333.08919171826</v>
      </c>
      <c r="J37" s="101">
        <f t="shared" si="38"/>
        <v>8.3427808943986576E-2</v>
      </c>
      <c r="K37" s="234">
        <v>660589.43542000384</v>
      </c>
      <c r="L37" s="101">
        <f t="shared" si="39"/>
        <v>9.6124801180291125E-2</v>
      </c>
      <c r="M37" s="227">
        <f t="shared" si="40"/>
        <v>1233922.5246117222</v>
      </c>
      <c r="N37" s="101">
        <f t="shared" si="41"/>
        <v>0.1795526101242777</v>
      </c>
      <c r="O37" s="234">
        <v>95306.100513795347</v>
      </c>
      <c r="P37" s="101">
        <f t="shared" si="42"/>
        <v>1.3868341623315036E-2</v>
      </c>
      <c r="Q37" s="234">
        <v>78188.193580996143</v>
      </c>
      <c r="R37" s="101">
        <f t="shared" si="43"/>
        <v>1.1377451953709788E-2</v>
      </c>
      <c r="S37" s="227">
        <f t="shared" si="44"/>
        <v>173494.29409479149</v>
      </c>
      <c r="T37" s="101">
        <f t="shared" si="45"/>
        <v>2.5245793577024826E-2</v>
      </c>
      <c r="U37" s="234">
        <v>1127678.3086297</v>
      </c>
      <c r="V37" s="101">
        <f t="shared" si="46"/>
        <v>0.16409262304268815</v>
      </c>
      <c r="W37" s="234">
        <v>319524.59250810085</v>
      </c>
      <c r="X37" s="101">
        <f t="shared" si="47"/>
        <v>4.6495200014100395E-2</v>
      </c>
      <c r="Y37" s="234">
        <v>580221.65909999446</v>
      </c>
      <c r="Z37" s="101">
        <f t="shared" si="48"/>
        <v>8.443019011653527E-2</v>
      </c>
      <c r="AA37" s="234">
        <v>1259803.6837065984</v>
      </c>
      <c r="AB37" s="101">
        <f t="shared" si="49"/>
        <v>0.18331867288416531</v>
      </c>
      <c r="AC37" s="227">
        <f t="shared" si="50"/>
        <v>1840025.3428065928</v>
      </c>
      <c r="AD37" s="101">
        <f t="shared" si="51"/>
        <v>0.26774886300070061</v>
      </c>
      <c r="AE37" s="234">
        <v>889703.28436802619</v>
      </c>
      <c r="AF37" s="101">
        <f t="shared" si="52"/>
        <v>0.12946400098716862</v>
      </c>
      <c r="AG37" s="234">
        <v>452563.33952621929</v>
      </c>
      <c r="AH37" s="101">
        <f t="shared" si="53"/>
        <v>6.5854157969976346E-2</v>
      </c>
      <c r="AI37" s="234">
        <v>441891.00162684888</v>
      </c>
      <c r="AJ37" s="101">
        <f t="shared" si="54"/>
        <v>6.430118678439628E-2</v>
      </c>
      <c r="AK37" s="234">
        <v>393403.31182799925</v>
      </c>
      <c r="AL37" s="101">
        <f t="shared" si="55"/>
        <v>5.7245564499667091E-2</v>
      </c>
    </row>
    <row r="38" spans="2:38" ht="12">
      <c r="B38" s="98"/>
      <c r="C38" s="83"/>
      <c r="D38" s="448">
        <f t="shared" si="0"/>
        <v>28</v>
      </c>
      <c r="E38" s="448" t="s">
        <v>459</v>
      </c>
      <c r="F38" s="228">
        <f t="shared" si="1"/>
        <v>6605202</v>
      </c>
      <c r="G38" s="290"/>
      <c r="H38" s="97"/>
      <c r="I38" s="234">
        <v>568111.15829931281</v>
      </c>
      <c r="J38" s="101">
        <f t="shared" si="38"/>
        <v>8.6009656979349425E-2</v>
      </c>
      <c r="K38" s="234">
        <v>648659.35141167103</v>
      </c>
      <c r="L38" s="101">
        <f t="shared" si="39"/>
        <v>9.8204317053690565E-2</v>
      </c>
      <c r="M38" s="227">
        <f t="shared" si="40"/>
        <v>1216770.5097109838</v>
      </c>
      <c r="N38" s="101">
        <f t="shared" si="41"/>
        <v>0.18421397403303999</v>
      </c>
      <c r="O38" s="234">
        <v>103820.92731357478</v>
      </c>
      <c r="P38" s="101">
        <f t="shared" si="42"/>
        <v>1.571805484731198E-2</v>
      </c>
      <c r="Q38" s="234">
        <v>79782.99172711531</v>
      </c>
      <c r="R38" s="101">
        <f t="shared" si="43"/>
        <v>1.2078811780035692E-2</v>
      </c>
      <c r="S38" s="227">
        <f t="shared" si="44"/>
        <v>183603.91904069009</v>
      </c>
      <c r="T38" s="101">
        <f t="shared" si="45"/>
        <v>2.779686662734767E-2</v>
      </c>
      <c r="U38" s="234">
        <v>1075620.740323076</v>
      </c>
      <c r="V38" s="101">
        <f t="shared" si="46"/>
        <v>0.16284448837795967</v>
      </c>
      <c r="W38" s="234">
        <v>188166.53156407917</v>
      </c>
      <c r="X38" s="101">
        <f t="shared" si="47"/>
        <v>2.8487627110280529E-2</v>
      </c>
      <c r="Y38" s="234">
        <v>572407.35821887711</v>
      </c>
      <c r="Z38" s="101">
        <f t="shared" si="48"/>
        <v>8.6660083706581126E-2</v>
      </c>
      <c r="AA38" s="234">
        <v>1273317.0190247113</v>
      </c>
      <c r="AB38" s="101">
        <f t="shared" si="49"/>
        <v>0.19277487940939753</v>
      </c>
      <c r="AC38" s="227">
        <f t="shared" si="50"/>
        <v>1845724.3772435884</v>
      </c>
      <c r="AD38" s="101">
        <f t="shared" si="51"/>
        <v>0.27943496311597865</v>
      </c>
      <c r="AE38" s="234">
        <v>867233.59939462214</v>
      </c>
      <c r="AF38" s="101">
        <f t="shared" si="52"/>
        <v>0.13129554544957475</v>
      </c>
      <c r="AG38" s="234">
        <v>447710.1606655647</v>
      </c>
      <c r="AH38" s="101">
        <f t="shared" si="53"/>
        <v>6.7781448722622664E-2</v>
      </c>
      <c r="AI38" s="234">
        <v>401515.82293139742</v>
      </c>
      <c r="AJ38" s="101">
        <f t="shared" si="54"/>
        <v>6.0787818893562592E-2</v>
      </c>
      <c r="AK38" s="234">
        <v>378856.33912599803</v>
      </c>
      <c r="AL38" s="101">
        <f t="shared" si="55"/>
        <v>5.7357267669633422E-2</v>
      </c>
    </row>
    <row r="39" spans="2:38" ht="12">
      <c r="B39" s="98"/>
      <c r="C39" s="83"/>
      <c r="D39" s="448">
        <f t="shared" si="0"/>
        <v>29</v>
      </c>
      <c r="E39" s="448" t="s">
        <v>460</v>
      </c>
      <c r="F39" s="228">
        <f t="shared" si="1"/>
        <v>6259643</v>
      </c>
      <c r="G39" s="290"/>
      <c r="H39" s="97"/>
      <c r="I39" s="234">
        <v>527809.58820991497</v>
      </c>
      <c r="J39" s="101">
        <f t="shared" si="38"/>
        <v>8.4319439337022087E-2</v>
      </c>
      <c r="K39" s="234">
        <v>610470.33652481751</v>
      </c>
      <c r="L39" s="101">
        <f t="shared" si="39"/>
        <v>9.7524784803992418E-2</v>
      </c>
      <c r="M39" s="227">
        <f t="shared" si="40"/>
        <v>1138279.9247347326</v>
      </c>
      <c r="N39" s="101">
        <f t="shared" si="41"/>
        <v>0.18184422414101453</v>
      </c>
      <c r="O39" s="234">
        <v>103941.62965368186</v>
      </c>
      <c r="P39" s="101">
        <f t="shared" si="42"/>
        <v>1.6605041158686183E-2</v>
      </c>
      <c r="Q39" s="234">
        <v>81998.092493116943</v>
      </c>
      <c r="R39" s="101">
        <f t="shared" si="43"/>
        <v>1.3099483867229639E-2</v>
      </c>
      <c r="S39" s="227">
        <f t="shared" si="44"/>
        <v>185939.7221467988</v>
      </c>
      <c r="T39" s="101">
        <f t="shared" si="45"/>
        <v>2.9704525025915824E-2</v>
      </c>
      <c r="U39" s="234">
        <v>1030626.3849107908</v>
      </c>
      <c r="V39" s="101">
        <f t="shared" si="46"/>
        <v>0.16464619226859917</v>
      </c>
      <c r="W39" s="234">
        <v>170870.64807844997</v>
      </c>
      <c r="X39" s="101">
        <f t="shared" si="47"/>
        <v>2.7297187408043874E-2</v>
      </c>
      <c r="Y39" s="234">
        <v>574878.56541320821</v>
      </c>
      <c r="Z39" s="101">
        <f t="shared" si="48"/>
        <v>9.1838874104035684E-2</v>
      </c>
      <c r="AA39" s="234">
        <v>1108307.6812603199</v>
      </c>
      <c r="AB39" s="101">
        <f t="shared" si="49"/>
        <v>0.17705605275897043</v>
      </c>
      <c r="AC39" s="227">
        <f t="shared" si="50"/>
        <v>1683186.2466735281</v>
      </c>
      <c r="AD39" s="101">
        <f t="shared" si="51"/>
        <v>0.26889492686300609</v>
      </c>
      <c r="AE39" s="234">
        <v>845247.15556716069</v>
      </c>
      <c r="AF39" s="101">
        <f t="shared" si="52"/>
        <v>0.13503120794063825</v>
      </c>
      <c r="AG39" s="234">
        <v>429111.62040125241</v>
      </c>
      <c r="AH39" s="101">
        <f t="shared" si="53"/>
        <v>6.8552091613092378E-2</v>
      </c>
      <c r="AI39" s="234">
        <v>408851.16147931886</v>
      </c>
      <c r="AJ39" s="101">
        <f t="shared" si="54"/>
        <v>6.5315411993833977E-2</v>
      </c>
      <c r="AK39" s="234">
        <v>367530.13600796787</v>
      </c>
      <c r="AL39" s="101">
        <f t="shared" si="55"/>
        <v>5.8714232745855931E-2</v>
      </c>
    </row>
    <row r="40" spans="2:38" ht="12">
      <c r="B40" s="98"/>
      <c r="C40" s="83"/>
      <c r="D40" s="448">
        <f t="shared" si="0"/>
        <v>30</v>
      </c>
      <c r="E40" s="448" t="s">
        <v>461</v>
      </c>
      <c r="F40" s="228">
        <f t="shared" si="1"/>
        <v>5783665.0000000009</v>
      </c>
      <c r="G40" s="290"/>
      <c r="H40" s="97"/>
      <c r="I40" s="234">
        <v>471708.56059890444</v>
      </c>
      <c r="J40" s="101">
        <f t="shared" si="38"/>
        <v>8.1558762583743075E-2</v>
      </c>
      <c r="K40" s="234">
        <v>603430.55011233885</v>
      </c>
      <c r="L40" s="101">
        <f t="shared" si="39"/>
        <v>0.10433359299204549</v>
      </c>
      <c r="M40" s="227">
        <f t="shared" si="40"/>
        <v>1075139.1107112432</v>
      </c>
      <c r="N40" s="101">
        <f t="shared" si="41"/>
        <v>0.18589235557578854</v>
      </c>
      <c r="O40" s="234">
        <v>86510.448153101446</v>
      </c>
      <c r="P40" s="101">
        <f t="shared" si="42"/>
        <v>1.4957721125463081E-2</v>
      </c>
      <c r="Q40" s="234">
        <v>73836.635236657006</v>
      </c>
      <c r="R40" s="101">
        <f t="shared" si="43"/>
        <v>1.2766409402456227E-2</v>
      </c>
      <c r="S40" s="227">
        <f t="shared" si="44"/>
        <v>160347.08338975845</v>
      </c>
      <c r="T40" s="101">
        <f t="shared" si="45"/>
        <v>2.7724130527919309E-2</v>
      </c>
      <c r="U40" s="234">
        <v>946352.51561166788</v>
      </c>
      <c r="V40" s="101">
        <f t="shared" si="46"/>
        <v>0.1636250570549414</v>
      </c>
      <c r="W40" s="234">
        <v>86382.411391232032</v>
      </c>
      <c r="X40" s="101">
        <f t="shared" si="47"/>
        <v>1.4935583473667998E-2</v>
      </c>
      <c r="Y40" s="234">
        <v>553608.8033212116</v>
      </c>
      <c r="Z40" s="101">
        <f t="shared" si="48"/>
        <v>9.5719375745519752E-2</v>
      </c>
      <c r="AA40" s="234">
        <v>1199340.2220393242</v>
      </c>
      <c r="AB40" s="101">
        <f t="shared" si="49"/>
        <v>0.20736682052631403</v>
      </c>
      <c r="AC40" s="227">
        <f t="shared" si="50"/>
        <v>1752949.0253605358</v>
      </c>
      <c r="AD40" s="101">
        <f t="shared" si="51"/>
        <v>0.30308619627183381</v>
      </c>
      <c r="AE40" s="234">
        <v>703972.73700162885</v>
      </c>
      <c r="AF40" s="101">
        <f t="shared" si="52"/>
        <v>0.12171741222937855</v>
      </c>
      <c r="AG40" s="234">
        <v>363896.29967498838</v>
      </c>
      <c r="AH40" s="101">
        <f t="shared" si="53"/>
        <v>6.2917942113692324E-2</v>
      </c>
      <c r="AI40" s="234">
        <v>380755.94313742273</v>
      </c>
      <c r="AJ40" s="101">
        <f t="shared" si="54"/>
        <v>6.5832987065713985E-2</v>
      </c>
      <c r="AK40" s="234">
        <v>313869.87372152298</v>
      </c>
      <c r="AL40" s="101">
        <f t="shared" si="55"/>
        <v>5.4268335687063983E-2</v>
      </c>
    </row>
    <row r="41" spans="2:38" ht="12">
      <c r="B41" s="98"/>
      <c r="C41" s="83"/>
      <c r="D41" s="448">
        <f t="shared" si="0"/>
        <v>31</v>
      </c>
      <c r="E41" s="448" t="s">
        <v>462</v>
      </c>
      <c r="F41" s="228">
        <f t="shared" si="1"/>
        <v>6057172.0000000009</v>
      </c>
      <c r="G41" s="290"/>
      <c r="H41" s="97"/>
      <c r="I41" s="234">
        <v>456591.7526463641</v>
      </c>
      <c r="J41" s="101">
        <f t="shared" si="38"/>
        <v>7.5380351201247711E-2</v>
      </c>
      <c r="K41" s="234">
        <v>647366.49498380232</v>
      </c>
      <c r="L41" s="101">
        <f t="shared" si="39"/>
        <v>0.10687602976831469</v>
      </c>
      <c r="M41" s="227">
        <f t="shared" si="40"/>
        <v>1103958.2476301664</v>
      </c>
      <c r="N41" s="101">
        <f t="shared" si="41"/>
        <v>0.1822563809695624</v>
      </c>
      <c r="O41" s="234">
        <v>81442.538172078945</v>
      </c>
      <c r="P41" s="101">
        <f t="shared" si="42"/>
        <v>1.3445637365437028E-2</v>
      </c>
      <c r="Q41" s="234">
        <v>70419.261653281006</v>
      </c>
      <c r="R41" s="101">
        <f t="shared" si="43"/>
        <v>1.1625765564075281E-2</v>
      </c>
      <c r="S41" s="227">
        <f t="shared" si="44"/>
        <v>151861.79982535995</v>
      </c>
      <c r="T41" s="101">
        <f t="shared" si="45"/>
        <v>2.5071402929512307E-2</v>
      </c>
      <c r="U41" s="234">
        <v>1018231.2736127004</v>
      </c>
      <c r="V41" s="101">
        <f t="shared" si="46"/>
        <v>0.16810341090078015</v>
      </c>
      <c r="W41" s="234">
        <v>98957.454227063325</v>
      </c>
      <c r="X41" s="101">
        <f t="shared" si="47"/>
        <v>1.6337236952667568E-2</v>
      </c>
      <c r="Y41" s="234">
        <v>582078.64997924143</v>
      </c>
      <c r="Z41" s="101">
        <f t="shared" si="48"/>
        <v>9.6097427971211874E-2</v>
      </c>
      <c r="AA41" s="234">
        <v>1205588.8600526447</v>
      </c>
      <c r="AB41" s="101">
        <f t="shared" si="49"/>
        <v>0.19903493908587119</v>
      </c>
      <c r="AC41" s="227">
        <f t="shared" si="50"/>
        <v>1787667.5100318862</v>
      </c>
      <c r="AD41" s="101">
        <f t="shared" si="51"/>
        <v>0.29513236705708307</v>
      </c>
      <c r="AE41" s="234">
        <v>757906.43485721608</v>
      </c>
      <c r="AF41" s="101">
        <f t="shared" si="52"/>
        <v>0.12512546033977837</v>
      </c>
      <c r="AG41" s="234">
        <v>397716.11104116146</v>
      </c>
      <c r="AH41" s="101">
        <f t="shared" si="53"/>
        <v>6.5660362796559416E-2</v>
      </c>
      <c r="AI41" s="234">
        <v>396634.80632866512</v>
      </c>
      <c r="AJ41" s="101">
        <f t="shared" si="54"/>
        <v>6.5481846368018778E-2</v>
      </c>
      <c r="AK41" s="234">
        <v>344238.36244578194</v>
      </c>
      <c r="AL41" s="101">
        <f t="shared" si="55"/>
        <v>5.6831531686037953E-2</v>
      </c>
    </row>
    <row r="42" spans="2:38" ht="12">
      <c r="B42" s="98"/>
      <c r="C42" s="83"/>
      <c r="D42" s="86"/>
      <c r="E42" s="86"/>
      <c r="F42" s="228">
        <f t="shared" si="1"/>
        <v>0</v>
      </c>
      <c r="G42" s="290"/>
      <c r="H42" s="97"/>
      <c r="I42" s="234"/>
      <c r="J42" s="101" t="e">
        <f>I42/F42</f>
        <v>#DIV/0!</v>
      </c>
      <c r="K42" s="234"/>
      <c r="L42" s="101" t="e">
        <f>K42/F42</f>
        <v>#DIV/0!</v>
      </c>
      <c r="M42" s="227">
        <f>SUM(I42+K42)</f>
        <v>0</v>
      </c>
      <c r="N42" s="101" t="e">
        <f>M42/F42</f>
        <v>#DIV/0!</v>
      </c>
      <c r="O42" s="234"/>
      <c r="P42" s="101" t="e">
        <f>O42/F42</f>
        <v>#DIV/0!</v>
      </c>
      <c r="Q42" s="234"/>
      <c r="R42" s="101" t="e">
        <f t="shared" si="43"/>
        <v>#DIV/0!</v>
      </c>
      <c r="S42" s="227">
        <f t="shared" si="44"/>
        <v>0</v>
      </c>
      <c r="T42" s="101" t="e">
        <f>S42/F42</f>
        <v>#DIV/0!</v>
      </c>
      <c r="U42" s="234"/>
      <c r="V42" s="101" t="e">
        <f>U42/F42</f>
        <v>#DIV/0!</v>
      </c>
      <c r="W42" s="234"/>
      <c r="X42" s="101" t="e">
        <f>W42/F42</f>
        <v>#DIV/0!</v>
      </c>
      <c r="Y42" s="234"/>
      <c r="Z42" s="101" t="e">
        <f>Y42/F42</f>
        <v>#DIV/0!</v>
      </c>
      <c r="AA42" s="234"/>
      <c r="AB42" s="101" t="e">
        <f t="shared" si="49"/>
        <v>#DIV/0!</v>
      </c>
      <c r="AC42" s="227">
        <f>SUM(Y42+AA42)</f>
        <v>0</v>
      </c>
      <c r="AD42" s="101" t="e">
        <f>AC42/F42</f>
        <v>#DIV/0!</v>
      </c>
      <c r="AE42" s="234"/>
      <c r="AF42" s="101" t="e">
        <f>AE42/F42</f>
        <v>#DIV/0!</v>
      </c>
      <c r="AG42" s="234"/>
      <c r="AH42" s="101" t="e">
        <f>AG42/F42</f>
        <v>#DIV/0!</v>
      </c>
      <c r="AI42" s="234"/>
      <c r="AJ42" s="101" t="e">
        <f>AI42/F42</f>
        <v>#DIV/0!</v>
      </c>
      <c r="AK42" s="234"/>
      <c r="AL42" s="101" t="e">
        <f>AK42/F42</f>
        <v>#DIV/0!</v>
      </c>
    </row>
    <row r="43" spans="2:38" ht="12">
      <c r="B43" s="98"/>
      <c r="C43" s="83"/>
      <c r="D43" s="86"/>
      <c r="E43" s="86"/>
      <c r="F43" s="228">
        <f t="shared" si="1"/>
        <v>0</v>
      </c>
      <c r="G43" s="228"/>
      <c r="H43" s="97"/>
      <c r="I43" s="234"/>
      <c r="J43" s="101" t="e">
        <f>I43/F43</f>
        <v>#DIV/0!</v>
      </c>
      <c r="K43" s="234"/>
      <c r="L43" s="101" t="e">
        <f>K43/F43</f>
        <v>#DIV/0!</v>
      </c>
      <c r="M43" s="227">
        <f>SUM(I43+K43)</f>
        <v>0</v>
      </c>
      <c r="N43" s="101" t="e">
        <f>M43/F43</f>
        <v>#DIV/0!</v>
      </c>
      <c r="O43" s="234"/>
      <c r="P43" s="101" t="e">
        <f>O43/F43</f>
        <v>#DIV/0!</v>
      </c>
      <c r="Q43" s="234"/>
      <c r="R43" s="101" t="e">
        <f t="shared" si="43"/>
        <v>#DIV/0!</v>
      </c>
      <c r="S43" s="227">
        <f t="shared" si="44"/>
        <v>0</v>
      </c>
      <c r="T43" s="101" t="e">
        <f>S43/F43</f>
        <v>#DIV/0!</v>
      </c>
      <c r="U43" s="234"/>
      <c r="V43" s="101" t="e">
        <f>U43/F43</f>
        <v>#DIV/0!</v>
      </c>
      <c r="W43" s="234"/>
      <c r="X43" s="101" t="e">
        <f>W43/F43</f>
        <v>#DIV/0!</v>
      </c>
      <c r="Y43" s="234"/>
      <c r="Z43" s="101" t="e">
        <f>Y43/F43</f>
        <v>#DIV/0!</v>
      </c>
      <c r="AA43" s="234"/>
      <c r="AB43" s="101" t="e">
        <f t="shared" si="49"/>
        <v>#DIV/0!</v>
      </c>
      <c r="AC43" s="227">
        <f>SUM(Y43+AA43)</f>
        <v>0</v>
      </c>
      <c r="AD43" s="101" t="e">
        <f>AC43/F43</f>
        <v>#DIV/0!</v>
      </c>
      <c r="AE43" s="234"/>
      <c r="AF43" s="101" t="e">
        <f>AE43/F43</f>
        <v>#DIV/0!</v>
      </c>
      <c r="AG43" s="234"/>
      <c r="AH43" s="101" t="e">
        <f>AG43/F43</f>
        <v>#DIV/0!</v>
      </c>
      <c r="AI43" s="234"/>
      <c r="AJ43" s="101" t="e">
        <f>AI43/F43</f>
        <v>#DIV/0!</v>
      </c>
      <c r="AK43" s="234"/>
      <c r="AL43" s="101" t="e">
        <f>AK43/F43</f>
        <v>#DIV/0!</v>
      </c>
    </row>
    <row r="44" spans="2:38" ht="12">
      <c r="B44" s="98"/>
      <c r="C44" s="83"/>
      <c r="D44" s="86"/>
      <c r="E44" s="86"/>
      <c r="F44" s="228">
        <f t="shared" si="1"/>
        <v>0</v>
      </c>
      <c r="G44" s="228"/>
      <c r="H44" s="97"/>
      <c r="I44" s="234"/>
      <c r="J44" s="101" t="e">
        <f>I44/F44</f>
        <v>#DIV/0!</v>
      </c>
      <c r="K44" s="234"/>
      <c r="L44" s="101" t="e">
        <f>K44/F44</f>
        <v>#DIV/0!</v>
      </c>
      <c r="M44" s="227">
        <f>SUM(I44+K44)</f>
        <v>0</v>
      </c>
      <c r="N44" s="101" t="e">
        <f>M44/F44</f>
        <v>#DIV/0!</v>
      </c>
      <c r="O44" s="234"/>
      <c r="P44" s="101" t="e">
        <f>O44/F44</f>
        <v>#DIV/0!</v>
      </c>
      <c r="Q44" s="234"/>
      <c r="R44" s="101" t="e">
        <f t="shared" si="43"/>
        <v>#DIV/0!</v>
      </c>
      <c r="S44" s="227">
        <f t="shared" si="44"/>
        <v>0</v>
      </c>
      <c r="T44" s="101" t="e">
        <f>S44/F44</f>
        <v>#DIV/0!</v>
      </c>
      <c r="U44" s="234"/>
      <c r="V44" s="101" t="e">
        <f>U44/F44</f>
        <v>#DIV/0!</v>
      </c>
      <c r="W44" s="234"/>
      <c r="X44" s="101" t="e">
        <f>W44/F44</f>
        <v>#DIV/0!</v>
      </c>
      <c r="Y44" s="234"/>
      <c r="Z44" s="101" t="e">
        <f>Y44/F44</f>
        <v>#DIV/0!</v>
      </c>
      <c r="AA44" s="234"/>
      <c r="AB44" s="101" t="e">
        <f t="shared" si="49"/>
        <v>#DIV/0!</v>
      </c>
      <c r="AC44" s="227">
        <f>SUM(Y44+AA44)</f>
        <v>0</v>
      </c>
      <c r="AD44" s="101" t="e">
        <f>AC44/F44</f>
        <v>#DIV/0!</v>
      </c>
      <c r="AE44" s="234"/>
      <c r="AF44" s="101" t="e">
        <f>AE44/F44</f>
        <v>#DIV/0!</v>
      </c>
      <c r="AG44" s="234"/>
      <c r="AH44" s="101" t="e">
        <f>AG44/F44</f>
        <v>#DIV/0!</v>
      </c>
      <c r="AI44" s="234"/>
      <c r="AJ44" s="101" t="e">
        <f>AI44/F44</f>
        <v>#DIV/0!</v>
      </c>
      <c r="AK44" s="234"/>
      <c r="AL44" s="101" t="e">
        <f>AK44/F44</f>
        <v>#DIV/0!</v>
      </c>
    </row>
    <row r="45" spans="2:38" ht="12">
      <c r="B45" s="98"/>
      <c r="C45" s="83"/>
      <c r="D45" s="86"/>
      <c r="E45" s="86"/>
      <c r="F45" s="228">
        <f t="shared" si="1"/>
        <v>0</v>
      </c>
      <c r="G45" s="228"/>
      <c r="H45" s="97"/>
      <c r="I45" s="234"/>
      <c r="J45" s="101" t="e">
        <f>I45/F45</f>
        <v>#DIV/0!</v>
      </c>
      <c r="K45" s="234"/>
      <c r="L45" s="101" t="e">
        <f>K45/F45</f>
        <v>#DIV/0!</v>
      </c>
      <c r="M45" s="227">
        <f>SUM(I45+K45)</f>
        <v>0</v>
      </c>
      <c r="N45" s="101" t="e">
        <f>M45/F45</f>
        <v>#DIV/0!</v>
      </c>
      <c r="O45" s="234"/>
      <c r="P45" s="101" t="e">
        <f>O45/F45</f>
        <v>#DIV/0!</v>
      </c>
      <c r="Q45" s="234"/>
      <c r="R45" s="101" t="e">
        <f t="shared" si="43"/>
        <v>#DIV/0!</v>
      </c>
      <c r="S45" s="227">
        <f t="shared" si="44"/>
        <v>0</v>
      </c>
      <c r="T45" s="101" t="e">
        <f>S45/F45</f>
        <v>#DIV/0!</v>
      </c>
      <c r="U45" s="234"/>
      <c r="V45" s="101" t="e">
        <f>U45/F45</f>
        <v>#DIV/0!</v>
      </c>
      <c r="W45" s="234"/>
      <c r="X45" s="101" t="e">
        <f>W45/F45</f>
        <v>#DIV/0!</v>
      </c>
      <c r="Y45" s="234"/>
      <c r="Z45" s="101" t="e">
        <f>Y45/F45</f>
        <v>#DIV/0!</v>
      </c>
      <c r="AA45" s="234"/>
      <c r="AB45" s="101" t="e">
        <f t="shared" si="49"/>
        <v>#DIV/0!</v>
      </c>
      <c r="AC45" s="227">
        <f>SUM(Y45+AA45)</f>
        <v>0</v>
      </c>
      <c r="AD45" s="101" t="e">
        <f>AC45/F45</f>
        <v>#DIV/0!</v>
      </c>
      <c r="AE45" s="234"/>
      <c r="AF45" s="101" t="e">
        <f>AE45/F45</f>
        <v>#DIV/0!</v>
      </c>
      <c r="AG45" s="234"/>
      <c r="AH45" s="101" t="e">
        <f>AG45/F45</f>
        <v>#DIV/0!</v>
      </c>
      <c r="AI45" s="234"/>
      <c r="AJ45" s="101" t="e">
        <f>AI45/F45</f>
        <v>#DIV/0!</v>
      </c>
      <c r="AK45" s="234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276">
        <f>SUM(I7:I45)</f>
        <v>17278527.642518476</v>
      </c>
      <c r="J46" s="272" t="e">
        <f>I46/$H$7</f>
        <v>#DIV/0!</v>
      </c>
      <c r="K46" s="276">
        <f>SUM(K7:K45)</f>
        <v>20978573.877922904</v>
      </c>
      <c r="L46" s="272" t="e">
        <f>K46/$H$7</f>
        <v>#DIV/0!</v>
      </c>
      <c r="M46" s="276">
        <f>SUM(M7:M45)</f>
        <v>38257101.520441368</v>
      </c>
      <c r="N46" s="272" t="e">
        <f>M46/$H$7</f>
        <v>#DIV/0!</v>
      </c>
      <c r="O46" s="276">
        <f>SUM(O7:O45)</f>
        <v>3433285.8714060765</v>
      </c>
      <c r="P46" s="272" t="e">
        <f>O46/$H$7</f>
        <v>#DIV/0!</v>
      </c>
      <c r="Q46" s="276">
        <f>SUM(Q7:Q45)</f>
        <v>2420024.1072662496</v>
      </c>
      <c r="R46" s="272" t="e">
        <f>Q46/$H$7</f>
        <v>#DIV/0!</v>
      </c>
      <c r="S46" s="276">
        <f>SUM(S7:S45)</f>
        <v>5853309.9786723265</v>
      </c>
      <c r="T46" s="272" t="e">
        <f>S46/$H$7</f>
        <v>#DIV/0!</v>
      </c>
      <c r="U46" s="276">
        <f>SUM(U7:U45)</f>
        <v>34792162.264592417</v>
      </c>
      <c r="V46" s="272" t="e">
        <f>U46/$H$7</f>
        <v>#DIV/0!</v>
      </c>
      <c r="W46" s="276">
        <f>SUM(W7:W45)</f>
        <v>1612680.054974356</v>
      </c>
      <c r="X46" s="272" t="e">
        <f>W46/$H$7</f>
        <v>#DIV/0!</v>
      </c>
      <c r="Y46" s="276">
        <f>SUM(Y7:Y45)</f>
        <v>16916124.929578371</v>
      </c>
      <c r="Z46" s="272" t="e">
        <f>Y46/$H$7</f>
        <v>#DIV/0!</v>
      </c>
      <c r="AA46" s="276">
        <f>SUM(AA7:AA45)</f>
        <v>39953100.732376426</v>
      </c>
      <c r="AB46" s="272" t="e">
        <f>AA46/$H$7</f>
        <v>#DIV/0!</v>
      </c>
      <c r="AC46" s="276">
        <f>SUM(AC7:AC45)</f>
        <v>56869225.661954798</v>
      </c>
      <c r="AD46" s="272" t="e">
        <f>AC46/$H$7</f>
        <v>#DIV/0!</v>
      </c>
      <c r="AE46" s="276">
        <f>SUM(AE7:AE45)</f>
        <v>26261866.286649249</v>
      </c>
      <c r="AF46" s="272" t="e">
        <f>AE46/$H$7</f>
        <v>#DIV/0!</v>
      </c>
      <c r="AG46" s="276">
        <f>SUM(AG7:AG45)</f>
        <v>15985000.455963265</v>
      </c>
      <c r="AH46" s="272" t="e">
        <f>AG46/$H$7</f>
        <v>#DIV/0!</v>
      </c>
      <c r="AI46" s="276">
        <f>SUM(AI7:AI45)</f>
        <v>12551979.385050314</v>
      </c>
      <c r="AJ46" s="272" t="e">
        <f>AI46/$H$7</f>
        <v>#DIV/0!</v>
      </c>
      <c r="AK46" s="276">
        <f>SUM(AK7:AK45)</f>
        <v>12415398.391701914</v>
      </c>
      <c r="AL46" s="272" t="e">
        <f>AK46/$H$7</f>
        <v>#DIV/0!</v>
      </c>
    </row>
    <row r="47" spans="2:38" ht="12">
      <c r="B47" s="98"/>
      <c r="C47" s="83"/>
      <c r="D47" s="84"/>
      <c r="F47" s="97"/>
      <c r="G47" s="97"/>
      <c r="H47" s="97"/>
      <c r="I47" s="273"/>
      <c r="J47" s="274"/>
      <c r="K47" s="273"/>
      <c r="L47" s="274"/>
      <c r="M47" s="275">
        <f>M46</f>
        <v>38257101.520441368</v>
      </c>
      <c r="N47" s="274"/>
      <c r="O47" s="273"/>
      <c r="P47" s="274"/>
      <c r="Q47" s="273"/>
      <c r="R47" s="274"/>
      <c r="S47" s="275">
        <f>S46</f>
        <v>5853309.9786723265</v>
      </c>
      <c r="T47" s="274"/>
      <c r="U47" s="275">
        <f>U46</f>
        <v>34792162.264592417</v>
      </c>
      <c r="V47" s="274"/>
      <c r="W47" s="275">
        <f>W46</f>
        <v>1612680.054974356</v>
      </c>
      <c r="X47" s="274"/>
      <c r="Y47" s="273"/>
      <c r="Z47" s="274"/>
      <c r="AA47" s="273"/>
      <c r="AB47" s="274"/>
      <c r="AC47" s="275">
        <f>AC46</f>
        <v>56869225.661954798</v>
      </c>
      <c r="AD47" s="274"/>
      <c r="AE47" s="275">
        <f>AE46</f>
        <v>26261866.286649249</v>
      </c>
      <c r="AF47" s="274"/>
      <c r="AG47" s="275">
        <f>AG46</f>
        <v>15985000.455963265</v>
      </c>
      <c r="AH47" s="274"/>
      <c r="AI47" s="275">
        <f>AI46</f>
        <v>12551979.385050314</v>
      </c>
      <c r="AJ47" s="274"/>
      <c r="AK47" s="275">
        <f>AK46</f>
        <v>12415398.391701914</v>
      </c>
      <c r="AL47" s="274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11" sqref="I11"/>
    </sheetView>
  </sheetViews>
  <sheetFormatPr defaultColWidth="8.85546875" defaultRowHeight="14.2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29" t="s">
        <v>317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9"/>
      <c r="AB2" s="529"/>
      <c r="AC2" s="529"/>
      <c r="AD2" s="529"/>
      <c r="AE2" s="529"/>
      <c r="AF2" s="529"/>
      <c r="AG2" s="529"/>
      <c r="AH2" s="529"/>
      <c r="AI2" s="529"/>
      <c r="AJ2" s="529"/>
      <c r="AK2" s="529"/>
      <c r="AL2" s="529"/>
    </row>
    <row r="3" spans="1:38" ht="25.35" customHeight="1">
      <c r="B3" s="98"/>
      <c r="C3" s="530" t="s">
        <v>139</v>
      </c>
      <c r="D3" s="531" t="s">
        <v>105</v>
      </c>
      <c r="E3" s="531"/>
      <c r="F3" s="538" t="s">
        <v>148</v>
      </c>
      <c r="G3" s="539"/>
      <c r="H3" s="539"/>
      <c r="I3" s="537" t="s">
        <v>315</v>
      </c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537"/>
      <c r="AA3" s="537"/>
      <c r="AB3" s="537"/>
      <c r="AC3" s="537"/>
      <c r="AD3" s="537"/>
      <c r="AE3" s="537"/>
      <c r="AF3" s="537"/>
      <c r="AG3" s="537"/>
      <c r="AH3" s="537"/>
      <c r="AI3" s="537"/>
      <c r="AJ3" s="537"/>
      <c r="AK3" s="537"/>
      <c r="AL3" s="537"/>
    </row>
    <row r="4" spans="1:38" ht="25.35" customHeight="1">
      <c r="B4" s="98"/>
      <c r="C4" s="530"/>
      <c r="D4" s="531"/>
      <c r="E4" s="531"/>
      <c r="F4" s="539"/>
      <c r="G4" s="539"/>
      <c r="H4" s="539"/>
      <c r="I4" s="534" t="s">
        <v>140</v>
      </c>
      <c r="J4" s="534"/>
      <c r="K4" s="534"/>
      <c r="L4" s="534"/>
      <c r="M4" s="534"/>
      <c r="N4" s="534"/>
      <c r="O4" s="534" t="s">
        <v>141</v>
      </c>
      <c r="P4" s="534"/>
      <c r="Q4" s="534"/>
      <c r="R4" s="534"/>
      <c r="S4" s="534"/>
      <c r="T4" s="534"/>
      <c r="U4" s="534" t="s">
        <v>142</v>
      </c>
      <c r="V4" s="534"/>
      <c r="W4" s="534" t="s">
        <v>143</v>
      </c>
      <c r="X4" s="534"/>
      <c r="Y4" s="534" t="s">
        <v>134</v>
      </c>
      <c r="Z4" s="534"/>
      <c r="AA4" s="534"/>
      <c r="AB4" s="534"/>
      <c r="AC4" s="534"/>
      <c r="AD4" s="534"/>
      <c r="AE4" s="534" t="s">
        <v>132</v>
      </c>
      <c r="AF4" s="534"/>
      <c r="AG4" s="534" t="s">
        <v>144</v>
      </c>
      <c r="AH4" s="534"/>
      <c r="AI4" s="534" t="s">
        <v>145</v>
      </c>
      <c r="AJ4" s="534"/>
      <c r="AK4" s="534" t="s">
        <v>138</v>
      </c>
      <c r="AL4" s="534"/>
    </row>
    <row r="5" spans="1:38" ht="25.35" customHeight="1">
      <c r="B5" s="98"/>
      <c r="C5" s="530"/>
      <c r="D5" s="531"/>
      <c r="E5" s="531"/>
      <c r="F5" s="536" t="s">
        <v>115</v>
      </c>
      <c r="G5" s="536" t="s">
        <v>117</v>
      </c>
      <c r="H5" s="536" t="s">
        <v>118</v>
      </c>
      <c r="I5" s="534" t="s">
        <v>129</v>
      </c>
      <c r="J5" s="534"/>
      <c r="K5" s="534" t="s">
        <v>130</v>
      </c>
      <c r="L5" s="534"/>
      <c r="M5" s="535" t="s">
        <v>146</v>
      </c>
      <c r="N5" s="534"/>
      <c r="O5" s="534" t="s">
        <v>129</v>
      </c>
      <c r="P5" s="534"/>
      <c r="Q5" s="534" t="s">
        <v>130</v>
      </c>
      <c r="R5" s="534"/>
      <c r="S5" s="535" t="s">
        <v>146</v>
      </c>
      <c r="T5" s="534"/>
      <c r="U5" s="534" t="s">
        <v>129</v>
      </c>
      <c r="V5" s="534"/>
      <c r="W5" s="534" t="s">
        <v>129</v>
      </c>
      <c r="X5" s="534"/>
      <c r="Y5" s="534" t="s">
        <v>129</v>
      </c>
      <c r="Z5" s="534"/>
      <c r="AA5" s="534" t="s">
        <v>130</v>
      </c>
      <c r="AB5" s="534"/>
      <c r="AC5" s="535" t="s">
        <v>146</v>
      </c>
      <c r="AD5" s="534"/>
      <c r="AE5" s="534" t="s">
        <v>129</v>
      </c>
      <c r="AF5" s="534"/>
      <c r="AG5" s="534" t="s">
        <v>129</v>
      </c>
      <c r="AH5" s="534"/>
      <c r="AI5" s="534" t="s">
        <v>129</v>
      </c>
      <c r="AJ5" s="534"/>
      <c r="AK5" s="534" t="s">
        <v>129</v>
      </c>
      <c r="AL5" s="534"/>
    </row>
    <row r="6" spans="1:38" s="80" customFormat="1" ht="23.45" customHeight="1">
      <c r="B6" s="98"/>
      <c r="C6" s="530"/>
      <c r="D6" s="531"/>
      <c r="E6" s="531"/>
      <c r="F6" s="536"/>
      <c r="G6" s="536"/>
      <c r="H6" s="536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86"/>
      <c r="E7" s="86"/>
      <c r="F7" s="88"/>
      <c r="G7" s="295"/>
      <c r="H7" s="315"/>
      <c r="I7" s="235"/>
      <c r="J7" s="101"/>
      <c r="K7" s="235"/>
      <c r="L7" s="101"/>
      <c r="M7" s="106"/>
      <c r="N7" s="101"/>
      <c r="O7" s="235"/>
      <c r="P7" s="101"/>
      <c r="Q7" s="235"/>
      <c r="R7" s="101"/>
      <c r="S7" s="106"/>
      <c r="T7" s="101"/>
      <c r="U7" s="235"/>
      <c r="V7" s="101"/>
      <c r="W7" s="235"/>
      <c r="X7" s="101"/>
      <c r="Y7" s="235"/>
      <c r="Z7" s="101"/>
      <c r="AA7" s="235"/>
      <c r="AB7" s="101"/>
      <c r="AC7" s="106"/>
      <c r="AD7" s="101"/>
      <c r="AE7" s="235"/>
      <c r="AF7" s="101"/>
      <c r="AG7" s="235"/>
      <c r="AH7" s="101"/>
      <c r="AI7" s="235"/>
      <c r="AJ7" s="101"/>
      <c r="AK7" s="235"/>
      <c r="AL7" s="101"/>
    </row>
    <row r="8" spans="1:38" ht="12">
      <c r="B8" s="98"/>
      <c r="C8" s="83"/>
      <c r="D8" s="86"/>
      <c r="E8" s="86"/>
      <c r="F8" s="88"/>
      <c r="G8" s="295"/>
      <c r="I8" s="235"/>
      <c r="J8" s="101"/>
      <c r="K8" s="235"/>
      <c r="L8" s="101"/>
      <c r="M8" s="106"/>
      <c r="N8" s="101"/>
      <c r="O8" s="235"/>
      <c r="P8" s="101"/>
      <c r="Q8" s="235"/>
      <c r="R8" s="101"/>
      <c r="S8" s="106"/>
      <c r="T8" s="101"/>
      <c r="U8" s="235"/>
      <c r="V8" s="101"/>
      <c r="W8" s="235"/>
      <c r="X8" s="101"/>
      <c r="Y8" s="235"/>
      <c r="Z8" s="101"/>
      <c r="AA8" s="235"/>
      <c r="AB8" s="101"/>
      <c r="AC8" s="106"/>
      <c r="AD8" s="101"/>
      <c r="AE8" s="235"/>
      <c r="AF8" s="101"/>
      <c r="AG8" s="235"/>
      <c r="AH8" s="101"/>
      <c r="AI8" s="235"/>
      <c r="AJ8" s="101"/>
      <c r="AK8" s="235"/>
      <c r="AL8" s="101"/>
    </row>
    <row r="9" spans="1:38" ht="12">
      <c r="B9" s="98"/>
      <c r="C9" s="83"/>
      <c r="D9" s="86"/>
      <c r="E9" s="86"/>
      <c r="F9" s="88"/>
      <c r="G9" s="295"/>
      <c r="H9" s="385"/>
      <c r="I9" s="235"/>
      <c r="J9" s="101"/>
      <c r="K9" s="235"/>
      <c r="L9" s="101"/>
      <c r="M9" s="106"/>
      <c r="N9" s="101"/>
      <c r="O9" s="235"/>
      <c r="P9" s="101"/>
      <c r="Q9" s="235"/>
      <c r="R9" s="101"/>
      <c r="S9" s="106"/>
      <c r="T9" s="101"/>
      <c r="U9" s="235"/>
      <c r="V9" s="101"/>
      <c r="W9" s="235"/>
      <c r="X9" s="101"/>
      <c r="Y9" s="235"/>
      <c r="Z9" s="101"/>
      <c r="AA9" s="235"/>
      <c r="AB9" s="101"/>
      <c r="AC9" s="106"/>
      <c r="AD9" s="101"/>
      <c r="AE9" s="235"/>
      <c r="AF9" s="101"/>
      <c r="AG9" s="235"/>
      <c r="AH9" s="101"/>
      <c r="AI9" s="235"/>
      <c r="AJ9" s="101"/>
      <c r="AK9" s="235"/>
      <c r="AL9" s="101"/>
    </row>
    <row r="10" spans="1:38" ht="12">
      <c r="B10" s="98"/>
      <c r="C10" s="83"/>
      <c r="D10" s="86"/>
      <c r="E10" s="86"/>
      <c r="F10" s="88"/>
      <c r="G10" s="295"/>
      <c r="H10" s="385"/>
      <c r="I10" s="376"/>
      <c r="J10" s="377"/>
      <c r="K10" s="376"/>
      <c r="L10" s="377"/>
      <c r="M10" s="378"/>
      <c r="N10" s="377"/>
      <c r="O10" s="376"/>
      <c r="P10" s="377"/>
      <c r="Q10" s="376"/>
      <c r="R10" s="377"/>
      <c r="S10" s="378"/>
      <c r="T10" s="377"/>
      <c r="U10" s="376"/>
      <c r="V10" s="377"/>
      <c r="W10" s="376"/>
      <c r="X10" s="377"/>
      <c r="Y10" s="376"/>
      <c r="Z10" s="377"/>
      <c r="AA10" s="376"/>
      <c r="AB10" s="377"/>
      <c r="AC10" s="378"/>
      <c r="AD10" s="377"/>
      <c r="AE10" s="376"/>
      <c r="AF10" s="377"/>
      <c r="AG10" s="376"/>
      <c r="AH10" s="377"/>
      <c r="AI10" s="376"/>
      <c r="AJ10" s="377"/>
      <c r="AK10" s="376"/>
      <c r="AL10" s="377"/>
    </row>
    <row r="11" spans="1:38" ht="12">
      <c r="B11" s="98"/>
      <c r="C11" s="83"/>
      <c r="D11" s="86">
        <f t="shared" ref="D11:D41" si="0">D10+1</f>
        <v>1</v>
      </c>
      <c r="E11" s="86" t="s">
        <v>460</v>
      </c>
      <c r="F11" s="88">
        <f t="shared" ref="F11:F45" si="1">SUM(M11,S11,U11,W11,AC11,AE11,AG11,AI11,AK11)</f>
        <v>205236</v>
      </c>
      <c r="G11" s="295"/>
      <c r="H11" s="385">
        <f>SUM(F11:F41)</f>
        <v>6333014</v>
      </c>
      <c r="I11" s="235">
        <v>25975</v>
      </c>
      <c r="J11" s="101">
        <f t="shared" ref="J11:J12" si="2">I11/F11</f>
        <v>0.12656161687033463</v>
      </c>
      <c r="K11" s="235">
        <v>36003</v>
      </c>
      <c r="L11" s="101">
        <f t="shared" ref="L11:L12" si="3">K11/F11</f>
        <v>0.17542244050751329</v>
      </c>
      <c r="M11" s="106">
        <f t="shared" ref="M11:M12" si="4">SUM(I11+K11)</f>
        <v>61978</v>
      </c>
      <c r="N11" s="101">
        <f t="shared" ref="N11:N12" si="5">M11/F11</f>
        <v>0.30198405737784795</v>
      </c>
      <c r="O11" s="235">
        <v>6148</v>
      </c>
      <c r="P11" s="101">
        <f t="shared" ref="P11:P12" si="6">O11/F11</f>
        <v>2.9955758249040128E-2</v>
      </c>
      <c r="Q11" s="235">
        <v>3063</v>
      </c>
      <c r="R11" s="101">
        <f t="shared" ref="R11:R12" si="7">Q11/D11</f>
        <v>3063</v>
      </c>
      <c r="S11" s="106">
        <f t="shared" ref="S11:S13" si="8">SUM(O11+Q11)</f>
        <v>9211</v>
      </c>
      <c r="T11" s="101">
        <f t="shared" ref="T11:T12" si="9">S11/F11</f>
        <v>4.4880040538696916E-2</v>
      </c>
      <c r="U11" s="235">
        <v>34321</v>
      </c>
      <c r="V11" s="101">
        <f t="shared" ref="V11:V12" si="10">U11/F11</f>
        <v>0.16722699721296458</v>
      </c>
      <c r="W11" s="235">
        <v>0</v>
      </c>
      <c r="X11" s="101">
        <f t="shared" ref="X11:X12" si="11">W11/F11</f>
        <v>0</v>
      </c>
      <c r="Y11" s="235">
        <v>21075</v>
      </c>
      <c r="Z11" s="101">
        <f t="shared" ref="Z11:Z12" si="12">Y11/F11</f>
        <v>0.1026866631585102</v>
      </c>
      <c r="AA11" s="235">
        <v>22860</v>
      </c>
      <c r="AB11" s="101">
        <f t="shared" ref="AB11:AB12" si="13">AA11/D11</f>
        <v>22860</v>
      </c>
      <c r="AC11" s="106">
        <f t="shared" ref="AC11:AC12" si="14">SUM(Y11+AA11)</f>
        <v>43935</v>
      </c>
      <c r="AD11" s="101">
        <f t="shared" ref="AD11:AD12" si="15">AC11/F11</f>
        <v>0.21407063088347072</v>
      </c>
      <c r="AE11" s="235">
        <v>14418</v>
      </c>
      <c r="AF11" s="101">
        <f t="shared" ref="AF11:AF12" si="16">AE11/F11</f>
        <v>7.0250833187160147E-2</v>
      </c>
      <c r="AG11" s="235">
        <v>11771</v>
      </c>
      <c r="AH11" s="101">
        <f t="shared" ref="AH11:AH12" si="17">AG11/F11</f>
        <v>5.7353485743241929E-2</v>
      </c>
      <c r="AI11" s="235">
        <v>11535</v>
      </c>
      <c r="AJ11" s="101">
        <f t="shared" ref="AJ11:AJ12" si="18">AI11/F11</f>
        <v>5.6203590013447935E-2</v>
      </c>
      <c r="AK11" s="235">
        <v>18067</v>
      </c>
      <c r="AL11" s="101">
        <f t="shared" ref="AL11:AL12" si="19">AK11/F11</f>
        <v>8.8030365043169814E-2</v>
      </c>
    </row>
    <row r="12" spans="1:38" ht="12">
      <c r="B12" s="98"/>
      <c r="C12" s="83"/>
      <c r="D12" s="86">
        <f t="shared" si="0"/>
        <v>2</v>
      </c>
      <c r="E12" s="86" t="s">
        <v>461</v>
      </c>
      <c r="F12" s="88">
        <f t="shared" si="1"/>
        <v>186163</v>
      </c>
      <c r="G12" s="295"/>
      <c r="H12" s="385"/>
      <c r="I12" s="235">
        <v>24907</v>
      </c>
      <c r="J12" s="101">
        <f t="shared" si="2"/>
        <v>0.13379135488792079</v>
      </c>
      <c r="K12" s="235">
        <v>35005</v>
      </c>
      <c r="L12" s="101">
        <f t="shared" si="3"/>
        <v>0.1880341421227634</v>
      </c>
      <c r="M12" s="106">
        <f t="shared" si="4"/>
        <v>59912</v>
      </c>
      <c r="N12" s="101">
        <f t="shared" si="5"/>
        <v>0.32182549701068419</v>
      </c>
      <c r="O12" s="235">
        <v>4951</v>
      </c>
      <c r="P12" s="101">
        <f t="shared" si="6"/>
        <v>2.6594973222391131E-2</v>
      </c>
      <c r="Q12" s="235">
        <v>2789</v>
      </c>
      <c r="R12" s="101">
        <f t="shared" si="7"/>
        <v>1394.5</v>
      </c>
      <c r="S12" s="106">
        <f t="shared" si="8"/>
        <v>7740</v>
      </c>
      <c r="T12" s="101">
        <f t="shared" si="9"/>
        <v>4.1576467934014816E-2</v>
      </c>
      <c r="U12" s="235">
        <v>29211</v>
      </c>
      <c r="V12" s="101">
        <f t="shared" si="10"/>
        <v>0.15691087917577606</v>
      </c>
      <c r="W12" s="235">
        <v>0</v>
      </c>
      <c r="X12" s="101">
        <f t="shared" si="11"/>
        <v>0</v>
      </c>
      <c r="Y12" s="235">
        <v>19654</v>
      </c>
      <c r="Z12" s="101">
        <f t="shared" si="12"/>
        <v>0.10557414738696734</v>
      </c>
      <c r="AA12" s="235">
        <v>23708</v>
      </c>
      <c r="AB12" s="101">
        <f t="shared" si="13"/>
        <v>11854</v>
      </c>
      <c r="AC12" s="106">
        <f t="shared" si="14"/>
        <v>43362</v>
      </c>
      <c r="AD12" s="101">
        <f t="shared" si="15"/>
        <v>0.23292490989079462</v>
      </c>
      <c r="AE12" s="235">
        <v>12079</v>
      </c>
      <c r="AF12" s="101">
        <f t="shared" si="16"/>
        <v>6.488399950580942E-2</v>
      </c>
      <c r="AG12" s="235">
        <v>9768</v>
      </c>
      <c r="AH12" s="101">
        <f t="shared" si="17"/>
        <v>5.2470147129128772E-2</v>
      </c>
      <c r="AI12" s="235">
        <v>8961</v>
      </c>
      <c r="AJ12" s="101">
        <f t="shared" si="18"/>
        <v>4.8135236325155914E-2</v>
      </c>
      <c r="AK12" s="235">
        <v>15130</v>
      </c>
      <c r="AL12" s="101">
        <f t="shared" si="19"/>
        <v>8.1272863028636191E-2</v>
      </c>
    </row>
    <row r="13" spans="1:38" ht="12">
      <c r="B13" s="98"/>
      <c r="C13" s="83"/>
      <c r="D13" s="86">
        <f t="shared" si="0"/>
        <v>3</v>
      </c>
      <c r="E13" s="86" t="s">
        <v>462</v>
      </c>
      <c r="F13" s="88">
        <f t="shared" si="1"/>
        <v>199344</v>
      </c>
      <c r="G13" s="295"/>
      <c r="H13" s="385"/>
      <c r="I13" s="235">
        <v>23447</v>
      </c>
      <c r="J13" s="101">
        <f>I13/F13</f>
        <v>0.11762079621157397</v>
      </c>
      <c r="K13" s="235">
        <v>37404</v>
      </c>
      <c r="L13" s="101">
        <f>K13/F13</f>
        <v>0.1876354442571635</v>
      </c>
      <c r="M13" s="106">
        <f>SUM(I13+K13)</f>
        <v>60851</v>
      </c>
      <c r="N13" s="101">
        <f>M13/F13</f>
        <v>0.30525624046873745</v>
      </c>
      <c r="O13" s="235">
        <v>4238</v>
      </c>
      <c r="P13" s="101">
        <f>O13/F13</f>
        <v>2.1259731920699895E-2</v>
      </c>
      <c r="Q13" s="235">
        <v>2492</v>
      </c>
      <c r="R13" s="101">
        <f>Q13/D13</f>
        <v>830.66666666666663</v>
      </c>
      <c r="S13" s="106">
        <f t="shared" si="8"/>
        <v>6730</v>
      </c>
      <c r="T13" s="101">
        <f>S13/F13</f>
        <v>3.3760735211493698E-2</v>
      </c>
      <c r="U13" s="235">
        <v>32498</v>
      </c>
      <c r="V13" s="101">
        <f>U13/F13</f>
        <v>0.16302472108515934</v>
      </c>
      <c r="W13" s="235">
        <v>0</v>
      </c>
      <c r="X13" s="101">
        <f>W13/F13</f>
        <v>0</v>
      </c>
      <c r="Y13" s="235">
        <v>20230</v>
      </c>
      <c r="Z13" s="101">
        <f>Y13/F13</f>
        <v>0.10148286379324184</v>
      </c>
      <c r="AA13" s="235">
        <v>24984</v>
      </c>
      <c r="AB13" s="101">
        <f>AA13/D13</f>
        <v>8328</v>
      </c>
      <c r="AC13" s="106">
        <f>SUM(Y13+AA13)</f>
        <v>45214</v>
      </c>
      <c r="AD13" s="101">
        <f>AC13/F13</f>
        <v>0.22681394975519706</v>
      </c>
      <c r="AE13" s="235">
        <v>14396</v>
      </c>
      <c r="AF13" s="101">
        <f>AE13/F13</f>
        <v>7.2216871337988597E-2</v>
      </c>
      <c r="AG13" s="235">
        <v>10954</v>
      </c>
      <c r="AH13" s="101">
        <f>AG13/F13</f>
        <v>5.4950236776627338E-2</v>
      </c>
      <c r="AI13" s="235">
        <v>12318</v>
      </c>
      <c r="AJ13" s="101">
        <f>AI13/F13</f>
        <v>6.1792679990368408E-2</v>
      </c>
      <c r="AK13" s="235">
        <v>16383</v>
      </c>
      <c r="AL13" s="101">
        <f>AK13/F13</f>
        <v>8.2184565374428128E-2</v>
      </c>
    </row>
    <row r="14" spans="1:38" ht="12">
      <c r="B14" s="98"/>
      <c r="C14" s="83"/>
      <c r="D14" s="86">
        <f t="shared" si="0"/>
        <v>4</v>
      </c>
      <c r="E14" s="86" t="s">
        <v>463</v>
      </c>
      <c r="F14" s="88">
        <f t="shared" si="1"/>
        <v>216721</v>
      </c>
      <c r="G14" s="295">
        <f>SUM(F14:F20)</f>
        <v>1483638</v>
      </c>
      <c r="H14" s="385"/>
      <c r="I14" s="235">
        <v>28967</v>
      </c>
      <c r="J14" s="101">
        <f t="shared" ref="J14" si="20">I14/F14</f>
        <v>0.13366032825614499</v>
      </c>
      <c r="K14" s="235">
        <v>38308</v>
      </c>
      <c r="L14" s="101">
        <f t="shared" ref="L14" si="21">K14/F14</f>
        <v>0.1767618274186627</v>
      </c>
      <c r="M14" s="106">
        <f t="shared" ref="M14" si="22">SUM(I14+K14)</f>
        <v>67275</v>
      </c>
      <c r="N14" s="101">
        <f t="shared" ref="N14" si="23">M14/F14</f>
        <v>0.31042215567480769</v>
      </c>
      <c r="O14" s="235">
        <v>5888</v>
      </c>
      <c r="P14" s="101">
        <f t="shared" ref="P14" si="24">O14/F14</f>
        <v>2.7168571573590008E-2</v>
      </c>
      <c r="Q14" s="235">
        <v>2772</v>
      </c>
      <c r="R14" s="101">
        <f t="shared" ref="R14" si="25">Q14/D14</f>
        <v>693</v>
      </c>
      <c r="S14" s="106">
        <f t="shared" ref="S14" si="26">SUM(O14+Q14)</f>
        <v>8660</v>
      </c>
      <c r="T14" s="101">
        <f t="shared" ref="T14" si="27">S14/F14</f>
        <v>3.9959210228819542E-2</v>
      </c>
      <c r="U14" s="235">
        <v>39158</v>
      </c>
      <c r="V14" s="101">
        <f t="shared" ref="V14" si="28">U14/F14</f>
        <v>0.18068392080139903</v>
      </c>
      <c r="W14" s="235">
        <v>0</v>
      </c>
      <c r="X14" s="101">
        <f t="shared" ref="X14" si="29">W14/F14</f>
        <v>0</v>
      </c>
      <c r="Y14" s="235">
        <v>19284</v>
      </c>
      <c r="Z14" s="101">
        <f t="shared" ref="Z14" si="30">Y14/F14</f>
        <v>8.8980763285514561E-2</v>
      </c>
      <c r="AA14" s="235">
        <v>25818</v>
      </c>
      <c r="AB14" s="101">
        <f t="shared" ref="AB14" si="31">AA14/D14</f>
        <v>6454.5</v>
      </c>
      <c r="AC14" s="106">
        <f t="shared" ref="AC14" si="32">SUM(Y14+AA14)</f>
        <v>45102</v>
      </c>
      <c r="AD14" s="101">
        <f t="shared" ref="AD14" si="33">AC14/F14</f>
        <v>0.20811088911549872</v>
      </c>
      <c r="AE14" s="235">
        <v>16716</v>
      </c>
      <c r="AF14" s="101">
        <f t="shared" ref="AF14" si="34">AE14/F14</f>
        <v>7.7131427042141737E-2</v>
      </c>
      <c r="AG14" s="235">
        <v>12830</v>
      </c>
      <c r="AH14" s="101">
        <f t="shared" ref="AH14" si="35">AG14/F14</f>
        <v>5.9200538941773066E-2</v>
      </c>
      <c r="AI14" s="235">
        <v>12183</v>
      </c>
      <c r="AJ14" s="101">
        <f t="shared" ref="AJ14" si="36">AI14/F14</f>
        <v>5.6215133743384355E-2</v>
      </c>
      <c r="AK14" s="235">
        <v>14797</v>
      </c>
      <c r="AL14" s="101">
        <f t="shared" ref="AL14" si="37">AK14/F14</f>
        <v>6.8276724452175835E-2</v>
      </c>
    </row>
    <row r="15" spans="1:38" ht="12">
      <c r="B15" s="98"/>
      <c r="C15" s="83"/>
      <c r="D15" s="86">
        <f t="shared" si="0"/>
        <v>5</v>
      </c>
      <c r="E15" s="86" t="s">
        <v>457</v>
      </c>
      <c r="F15" s="88">
        <f t="shared" si="1"/>
        <v>220993</v>
      </c>
      <c r="G15" s="295"/>
      <c r="H15" s="385"/>
      <c r="I15" s="235">
        <v>28010</v>
      </c>
      <c r="J15" s="101">
        <f t="shared" ref="J15:J41" si="38">I15/F15</f>
        <v>0.12674609603019099</v>
      </c>
      <c r="K15" s="235">
        <v>40874</v>
      </c>
      <c r="L15" s="101">
        <f t="shared" ref="L15:L41" si="39">K15/F15</f>
        <v>0.18495608458186458</v>
      </c>
      <c r="M15" s="106">
        <f t="shared" ref="M15:M40" si="40">SUM(I15+K15)</f>
        <v>68884</v>
      </c>
      <c r="N15" s="101">
        <f t="shared" ref="N15:N40" si="41">M15/F15</f>
        <v>0.31170218061205557</v>
      </c>
      <c r="O15" s="235">
        <v>5380</v>
      </c>
      <c r="P15" s="101">
        <f t="shared" ref="P15:P41" si="42">O15/F15</f>
        <v>2.4344662500622193E-2</v>
      </c>
      <c r="Q15" s="235">
        <v>2779</v>
      </c>
      <c r="R15" s="101">
        <f t="shared" ref="R15:R40" si="43">Q15/D15</f>
        <v>555.79999999999995</v>
      </c>
      <c r="S15" s="106">
        <f t="shared" ref="S15:S45" si="44">SUM(O15+Q15)</f>
        <v>8159</v>
      </c>
      <c r="T15" s="101">
        <f t="shared" ref="T15:T40" si="45">S15/F15</f>
        <v>3.6919721439140608E-2</v>
      </c>
      <c r="U15" s="235">
        <v>37100</v>
      </c>
      <c r="V15" s="101">
        <f t="shared" ref="V15:V41" si="46">U15/F15</f>
        <v>0.16787862058979244</v>
      </c>
      <c r="W15" s="235">
        <v>0</v>
      </c>
      <c r="X15" s="101">
        <f t="shared" ref="X15:X41" si="47">W15/F15</f>
        <v>0</v>
      </c>
      <c r="Y15" s="235">
        <v>19315</v>
      </c>
      <c r="Z15" s="101">
        <f t="shared" ref="Z15:Z41" si="48">Y15/F15</f>
        <v>8.7400958401397333E-2</v>
      </c>
      <c r="AA15" s="235">
        <v>32288</v>
      </c>
      <c r="AB15" s="101">
        <f t="shared" ref="AB15:AB40" si="49">AA15/D15</f>
        <v>6457.6</v>
      </c>
      <c r="AC15" s="106">
        <f t="shared" ref="AC15:AC40" si="50">SUM(Y15+AA15)</f>
        <v>51603</v>
      </c>
      <c r="AD15" s="101">
        <f t="shared" ref="AD15:AD40" si="51">AC15/F15</f>
        <v>0.23350513364676709</v>
      </c>
      <c r="AE15" s="235">
        <v>16327</v>
      </c>
      <c r="AF15" s="101">
        <f t="shared" ref="AF15:AF41" si="52">AE15/F15</f>
        <v>7.3880168150122397E-2</v>
      </c>
      <c r="AG15" s="235">
        <v>12596</v>
      </c>
      <c r="AH15" s="101">
        <f t="shared" ref="AH15:AH41" si="53">AG15/F15</f>
        <v>5.6997280456847051E-2</v>
      </c>
      <c r="AI15" s="235">
        <v>11004</v>
      </c>
      <c r="AJ15" s="101">
        <f t="shared" ref="AJ15:AJ41" si="54">AI15/F15</f>
        <v>4.979343237116108E-2</v>
      </c>
      <c r="AK15" s="235">
        <v>15320</v>
      </c>
      <c r="AL15" s="101">
        <f t="shared" ref="AL15:AL41" si="55">AK15/F15</f>
        <v>6.9323462734113744E-2</v>
      </c>
    </row>
    <row r="16" spans="1:38" ht="12">
      <c r="B16" s="98"/>
      <c r="C16" s="83"/>
      <c r="D16" s="292">
        <f t="shared" si="0"/>
        <v>6</v>
      </c>
      <c r="E16" s="292" t="s">
        <v>458</v>
      </c>
      <c r="F16" s="88">
        <f t="shared" si="1"/>
        <v>233027</v>
      </c>
      <c r="G16" s="295"/>
      <c r="H16" s="385"/>
      <c r="I16" s="235">
        <v>31949</v>
      </c>
      <c r="J16" s="101">
        <f t="shared" si="38"/>
        <v>0.13710428405292091</v>
      </c>
      <c r="K16" s="235">
        <v>40263</v>
      </c>
      <c r="L16" s="101">
        <f t="shared" si="39"/>
        <v>0.17278255309470578</v>
      </c>
      <c r="M16" s="106">
        <f t="shared" si="40"/>
        <v>72212</v>
      </c>
      <c r="N16" s="101">
        <f t="shared" si="41"/>
        <v>0.30988683714762666</v>
      </c>
      <c r="O16" s="235">
        <v>5500</v>
      </c>
      <c r="P16" s="101">
        <f t="shared" si="42"/>
        <v>2.3602415170774202E-2</v>
      </c>
      <c r="Q16" s="235">
        <v>2973</v>
      </c>
      <c r="R16" s="101">
        <f t="shared" si="43"/>
        <v>495.5</v>
      </c>
      <c r="S16" s="106">
        <f t="shared" si="44"/>
        <v>8473</v>
      </c>
      <c r="T16" s="101">
        <f t="shared" si="45"/>
        <v>3.6360593407630877E-2</v>
      </c>
      <c r="U16" s="235">
        <v>44501</v>
      </c>
      <c r="V16" s="101">
        <f t="shared" si="46"/>
        <v>0.19096928682084049</v>
      </c>
      <c r="W16" s="235">
        <v>1960</v>
      </c>
      <c r="X16" s="101">
        <f t="shared" si="47"/>
        <v>8.4110424972213514E-3</v>
      </c>
      <c r="Y16" s="235">
        <v>22207</v>
      </c>
      <c r="Z16" s="101">
        <f t="shared" si="48"/>
        <v>9.5297969763160489E-2</v>
      </c>
      <c r="AA16" s="235">
        <v>31308</v>
      </c>
      <c r="AB16" s="101">
        <f t="shared" si="49"/>
        <v>5218</v>
      </c>
      <c r="AC16" s="106">
        <f t="shared" si="50"/>
        <v>53515</v>
      </c>
      <c r="AD16" s="101">
        <f t="shared" si="51"/>
        <v>0.22965149961163298</v>
      </c>
      <c r="AE16" s="235">
        <v>15711</v>
      </c>
      <c r="AF16" s="101">
        <f t="shared" si="52"/>
        <v>6.7421371772369731E-2</v>
      </c>
      <c r="AG16" s="235">
        <v>11684</v>
      </c>
      <c r="AH16" s="101">
        <f t="shared" si="53"/>
        <v>5.014011251915014E-2</v>
      </c>
      <c r="AI16" s="235">
        <v>9645</v>
      </c>
      <c r="AJ16" s="101">
        <f t="shared" si="54"/>
        <v>4.1390053513112215E-2</v>
      </c>
      <c r="AK16" s="235">
        <v>15326</v>
      </c>
      <c r="AL16" s="101">
        <f t="shared" si="55"/>
        <v>6.5769202710415531E-2</v>
      </c>
    </row>
    <row r="17" spans="2:38" ht="12">
      <c r="B17" s="98"/>
      <c r="C17" s="83"/>
      <c r="D17" s="292">
        <f t="shared" si="0"/>
        <v>7</v>
      </c>
      <c r="E17" s="292" t="s">
        <v>459</v>
      </c>
      <c r="F17" s="88">
        <f t="shared" si="1"/>
        <v>220329</v>
      </c>
      <c r="G17" s="295"/>
      <c r="H17" s="385"/>
      <c r="I17" s="235">
        <v>30333</v>
      </c>
      <c r="J17" s="101">
        <f t="shared" si="38"/>
        <v>0.13767139141919585</v>
      </c>
      <c r="K17" s="235">
        <v>39873</v>
      </c>
      <c r="L17" s="101">
        <f t="shared" si="39"/>
        <v>0.18097027626867093</v>
      </c>
      <c r="M17" s="106">
        <f t="shared" si="40"/>
        <v>70206</v>
      </c>
      <c r="N17" s="101">
        <f t="shared" si="41"/>
        <v>0.31864166768786678</v>
      </c>
      <c r="O17" s="235">
        <v>5446</v>
      </c>
      <c r="P17" s="101">
        <f t="shared" si="42"/>
        <v>2.4717581435035788E-2</v>
      </c>
      <c r="Q17" s="235">
        <v>3063</v>
      </c>
      <c r="R17" s="101">
        <f t="shared" si="43"/>
        <v>437.57142857142856</v>
      </c>
      <c r="S17" s="106">
        <f t="shared" si="44"/>
        <v>8509</v>
      </c>
      <c r="T17" s="101">
        <f t="shared" si="45"/>
        <v>3.8619518992052793E-2</v>
      </c>
      <c r="U17" s="235">
        <v>38401</v>
      </c>
      <c r="V17" s="101">
        <f t="shared" si="46"/>
        <v>0.17428935818707478</v>
      </c>
      <c r="W17" s="235">
        <v>1921</v>
      </c>
      <c r="X17" s="101">
        <f t="shared" si="47"/>
        <v>8.7187796431699872E-3</v>
      </c>
      <c r="Y17" s="235">
        <v>17146</v>
      </c>
      <c r="Z17" s="101">
        <f t="shared" si="48"/>
        <v>7.7819987382505257E-2</v>
      </c>
      <c r="AA17" s="235">
        <v>30467</v>
      </c>
      <c r="AB17" s="101">
        <f t="shared" si="49"/>
        <v>4352.4285714285716</v>
      </c>
      <c r="AC17" s="106">
        <f t="shared" si="50"/>
        <v>47613</v>
      </c>
      <c r="AD17" s="101">
        <f t="shared" si="51"/>
        <v>0.21609956020315074</v>
      </c>
      <c r="AE17" s="235">
        <v>16349</v>
      </c>
      <c r="AF17" s="101">
        <f t="shared" si="52"/>
        <v>7.420266964403234E-2</v>
      </c>
      <c r="AG17" s="235">
        <v>11226</v>
      </c>
      <c r="AH17" s="101">
        <f t="shared" si="53"/>
        <v>5.09510777065207E-2</v>
      </c>
      <c r="AI17" s="235">
        <v>10312</v>
      </c>
      <c r="AJ17" s="101">
        <f t="shared" si="54"/>
        <v>4.680273590857309E-2</v>
      </c>
      <c r="AK17" s="235">
        <v>15792</v>
      </c>
      <c r="AL17" s="101">
        <f t="shared" si="55"/>
        <v>7.1674632027558791E-2</v>
      </c>
    </row>
    <row r="18" spans="2:38" ht="12">
      <c r="B18" s="98"/>
      <c r="C18" s="83"/>
      <c r="D18" s="292">
        <f t="shared" si="0"/>
        <v>8</v>
      </c>
      <c r="E18" s="292" t="s">
        <v>460</v>
      </c>
      <c r="F18" s="88">
        <f t="shared" si="1"/>
        <v>207527</v>
      </c>
      <c r="G18" s="295"/>
      <c r="H18" s="385"/>
      <c r="I18" s="235">
        <v>28577</v>
      </c>
      <c r="J18" s="101">
        <f t="shared" si="38"/>
        <v>0.13770256400372</v>
      </c>
      <c r="K18" s="235">
        <v>36237</v>
      </c>
      <c r="L18" s="101">
        <f t="shared" si="39"/>
        <v>0.17461342379545794</v>
      </c>
      <c r="M18" s="106">
        <f t="shared" si="40"/>
        <v>64814</v>
      </c>
      <c r="N18" s="101">
        <f t="shared" si="41"/>
        <v>0.31231598779917796</v>
      </c>
      <c r="O18" s="235">
        <v>5213</v>
      </c>
      <c r="P18" s="101">
        <f t="shared" si="42"/>
        <v>2.5119622988815912E-2</v>
      </c>
      <c r="Q18" s="235">
        <v>2984</v>
      </c>
      <c r="R18" s="101">
        <f t="shared" si="43"/>
        <v>373</v>
      </c>
      <c r="S18" s="106">
        <f t="shared" si="44"/>
        <v>8197</v>
      </c>
      <c r="T18" s="101">
        <f t="shared" si="45"/>
        <v>3.9498474897242286E-2</v>
      </c>
      <c r="U18" s="235">
        <v>35934</v>
      </c>
      <c r="V18" s="101">
        <f t="shared" si="46"/>
        <v>0.17315337281413984</v>
      </c>
      <c r="W18" s="235">
        <v>165</v>
      </c>
      <c r="X18" s="101">
        <f t="shared" si="47"/>
        <v>7.9507726705440739E-4</v>
      </c>
      <c r="Y18" s="235">
        <v>22070</v>
      </c>
      <c r="Z18" s="101">
        <f t="shared" si="48"/>
        <v>0.10634760778115619</v>
      </c>
      <c r="AA18" s="235">
        <v>24254</v>
      </c>
      <c r="AB18" s="101">
        <f t="shared" si="49"/>
        <v>3031.75</v>
      </c>
      <c r="AC18" s="106">
        <f t="shared" si="50"/>
        <v>46324</v>
      </c>
      <c r="AD18" s="101">
        <f t="shared" si="51"/>
        <v>0.22321914738805071</v>
      </c>
      <c r="AE18" s="235">
        <v>15213</v>
      </c>
      <c r="AF18" s="101">
        <f t="shared" si="52"/>
        <v>7.3306124022416361E-2</v>
      </c>
      <c r="AG18" s="235">
        <v>10676</v>
      </c>
      <c r="AH18" s="101">
        <f t="shared" si="53"/>
        <v>5.1443908503471837E-2</v>
      </c>
      <c r="AI18" s="235">
        <v>10794</v>
      </c>
      <c r="AJ18" s="101">
        <f t="shared" si="54"/>
        <v>5.2012509215668322E-2</v>
      </c>
      <c r="AK18" s="235">
        <v>15410</v>
      </c>
      <c r="AL18" s="101">
        <f t="shared" si="55"/>
        <v>7.4255398092778285E-2</v>
      </c>
    </row>
    <row r="19" spans="2:38" ht="12">
      <c r="B19" s="98"/>
      <c r="C19" s="83"/>
      <c r="D19" s="292">
        <f t="shared" si="0"/>
        <v>9</v>
      </c>
      <c r="E19" s="292" t="s">
        <v>461</v>
      </c>
      <c r="F19" s="88">
        <f t="shared" si="1"/>
        <v>189878</v>
      </c>
      <c r="G19" s="295"/>
      <c r="H19" s="385"/>
      <c r="I19" s="235">
        <v>26367</v>
      </c>
      <c r="J19" s="101">
        <f t="shared" si="38"/>
        <v>0.13886284877658286</v>
      </c>
      <c r="K19" s="235">
        <v>34768</v>
      </c>
      <c r="L19" s="101">
        <f t="shared" si="39"/>
        <v>0.18310704768324926</v>
      </c>
      <c r="M19" s="106">
        <f t="shared" si="40"/>
        <v>61135</v>
      </c>
      <c r="N19" s="101">
        <f t="shared" si="41"/>
        <v>0.32196989645983209</v>
      </c>
      <c r="O19" s="235">
        <v>3924</v>
      </c>
      <c r="P19" s="101">
        <f t="shared" si="42"/>
        <v>2.0665901262916189E-2</v>
      </c>
      <c r="Q19" s="235">
        <v>2467</v>
      </c>
      <c r="R19" s="101">
        <f t="shared" si="43"/>
        <v>274.11111111111109</v>
      </c>
      <c r="S19" s="106">
        <f t="shared" si="44"/>
        <v>6391</v>
      </c>
      <c r="T19" s="101">
        <f t="shared" si="45"/>
        <v>3.3658454375967727E-2</v>
      </c>
      <c r="U19" s="235">
        <v>32725</v>
      </c>
      <c r="V19" s="101">
        <f t="shared" si="46"/>
        <v>0.17234750734682269</v>
      </c>
      <c r="W19" s="235">
        <v>969</v>
      </c>
      <c r="X19" s="101">
        <f t="shared" si="47"/>
        <v>5.103276840918906E-3</v>
      </c>
      <c r="Y19" s="235">
        <v>19620</v>
      </c>
      <c r="Z19" s="101">
        <f t="shared" si="48"/>
        <v>0.10332950631458095</v>
      </c>
      <c r="AA19" s="235">
        <v>24189</v>
      </c>
      <c r="AB19" s="101">
        <f t="shared" si="49"/>
        <v>2687.6666666666665</v>
      </c>
      <c r="AC19" s="106">
        <f t="shared" si="50"/>
        <v>43809</v>
      </c>
      <c r="AD19" s="101">
        <f t="shared" si="51"/>
        <v>0.23072183191312318</v>
      </c>
      <c r="AE19" s="235">
        <v>13099</v>
      </c>
      <c r="AF19" s="101">
        <f t="shared" si="52"/>
        <v>6.8986401794836685E-2</v>
      </c>
      <c r="AG19" s="235">
        <v>9186</v>
      </c>
      <c r="AH19" s="101">
        <f t="shared" si="53"/>
        <v>4.8378432467163127E-2</v>
      </c>
      <c r="AI19" s="235">
        <v>10042</v>
      </c>
      <c r="AJ19" s="101">
        <f t="shared" si="54"/>
        <v>5.2886590336953199E-2</v>
      </c>
      <c r="AK19" s="235">
        <v>12522</v>
      </c>
      <c r="AL19" s="101">
        <f t="shared" si="55"/>
        <v>6.5947608464382398E-2</v>
      </c>
    </row>
    <row r="20" spans="2:38" ht="12">
      <c r="B20" s="98"/>
      <c r="C20" s="83"/>
      <c r="D20" s="292">
        <f t="shared" si="0"/>
        <v>10</v>
      </c>
      <c r="E20" s="292" t="s">
        <v>462</v>
      </c>
      <c r="F20" s="88">
        <f t="shared" si="1"/>
        <v>195163</v>
      </c>
      <c r="G20" s="295"/>
      <c r="H20" s="385"/>
      <c r="I20" s="235">
        <v>25286</v>
      </c>
      <c r="J20" s="101">
        <f t="shared" si="38"/>
        <v>0.12956349308014325</v>
      </c>
      <c r="K20" s="235">
        <v>36354</v>
      </c>
      <c r="L20" s="101">
        <f t="shared" si="39"/>
        <v>0.18627506238375102</v>
      </c>
      <c r="M20" s="106">
        <f t="shared" si="40"/>
        <v>61640</v>
      </c>
      <c r="N20" s="101">
        <f t="shared" si="41"/>
        <v>0.31583855546389428</v>
      </c>
      <c r="O20" s="235">
        <v>3485</v>
      </c>
      <c r="P20" s="101">
        <f t="shared" si="42"/>
        <v>1.7856868361318487E-2</v>
      </c>
      <c r="Q20" s="235">
        <v>2311</v>
      </c>
      <c r="R20" s="101">
        <f t="shared" si="43"/>
        <v>231.1</v>
      </c>
      <c r="S20" s="106">
        <f t="shared" si="44"/>
        <v>5796</v>
      </c>
      <c r="T20" s="101">
        <f t="shared" si="45"/>
        <v>2.9698252230187076E-2</v>
      </c>
      <c r="U20" s="235">
        <v>34027</v>
      </c>
      <c r="V20" s="101">
        <f t="shared" si="46"/>
        <v>0.17435169576200407</v>
      </c>
      <c r="W20" s="235">
        <v>1383</v>
      </c>
      <c r="X20" s="101">
        <f t="shared" si="47"/>
        <v>7.0863842019235207E-3</v>
      </c>
      <c r="Y20" s="235">
        <v>21140</v>
      </c>
      <c r="Z20" s="101">
        <f t="shared" si="48"/>
        <v>0.10831971224053739</v>
      </c>
      <c r="AA20" s="235">
        <v>24367</v>
      </c>
      <c r="AB20" s="101">
        <f t="shared" si="49"/>
        <v>2436.6999999999998</v>
      </c>
      <c r="AC20" s="106">
        <f t="shared" si="50"/>
        <v>45507</v>
      </c>
      <c r="AD20" s="101">
        <f t="shared" si="51"/>
        <v>0.23317432095222967</v>
      </c>
      <c r="AE20" s="235">
        <v>14207</v>
      </c>
      <c r="AF20" s="101">
        <f t="shared" si="52"/>
        <v>7.2795560633931639E-2</v>
      </c>
      <c r="AG20" s="235">
        <v>9673</v>
      </c>
      <c r="AH20" s="101">
        <f t="shared" si="53"/>
        <v>4.9563698037025462E-2</v>
      </c>
      <c r="AI20" s="235">
        <v>9303</v>
      </c>
      <c r="AJ20" s="101">
        <f t="shared" si="54"/>
        <v>4.7667846876713313E-2</v>
      </c>
      <c r="AK20" s="235">
        <v>13627</v>
      </c>
      <c r="AL20" s="101">
        <f t="shared" si="55"/>
        <v>6.9823685842090977E-2</v>
      </c>
    </row>
    <row r="21" spans="2:38" ht="12">
      <c r="B21" s="98"/>
      <c r="C21" s="83"/>
      <c r="D21" s="292">
        <f t="shared" si="0"/>
        <v>11</v>
      </c>
      <c r="E21" s="292" t="s">
        <v>463</v>
      </c>
      <c r="F21" s="88">
        <f t="shared" si="1"/>
        <v>229137</v>
      </c>
      <c r="G21" s="295">
        <f>SUM(F21:F27)</f>
        <v>1438916</v>
      </c>
      <c r="H21" s="385"/>
      <c r="I21" s="235">
        <v>30837</v>
      </c>
      <c r="J21" s="101">
        <f t="shared" si="38"/>
        <v>0.13457887639272575</v>
      </c>
      <c r="K21" s="235">
        <v>38139</v>
      </c>
      <c r="L21" s="101">
        <f t="shared" si="39"/>
        <v>0.16644627449953522</v>
      </c>
      <c r="M21" s="106">
        <f t="shared" si="40"/>
        <v>68976</v>
      </c>
      <c r="N21" s="101">
        <f t="shared" si="41"/>
        <v>0.30102515089226095</v>
      </c>
      <c r="O21" s="235">
        <v>5003</v>
      </c>
      <c r="P21" s="101">
        <f t="shared" si="42"/>
        <v>2.1834099250666632E-2</v>
      </c>
      <c r="Q21" s="235">
        <v>2786</v>
      </c>
      <c r="R21" s="101">
        <f t="shared" si="43"/>
        <v>253.27272727272728</v>
      </c>
      <c r="S21" s="106">
        <f t="shared" si="44"/>
        <v>7789</v>
      </c>
      <c r="T21" s="101">
        <f t="shared" si="45"/>
        <v>3.3992764154195963E-2</v>
      </c>
      <c r="U21" s="235">
        <v>42693</v>
      </c>
      <c r="V21" s="101">
        <f t="shared" si="46"/>
        <v>0.1863208473533301</v>
      </c>
      <c r="W21" s="235">
        <v>2513</v>
      </c>
      <c r="X21" s="101">
        <f t="shared" si="47"/>
        <v>1.0967237940620676E-2</v>
      </c>
      <c r="Y21" s="235">
        <v>24923</v>
      </c>
      <c r="Z21" s="101">
        <f t="shared" si="48"/>
        <v>0.10876898973103427</v>
      </c>
      <c r="AA21" s="235">
        <v>26403</v>
      </c>
      <c r="AB21" s="101">
        <f t="shared" si="49"/>
        <v>2400.2727272727275</v>
      </c>
      <c r="AC21" s="106">
        <f t="shared" si="50"/>
        <v>51326</v>
      </c>
      <c r="AD21" s="101">
        <f t="shared" si="51"/>
        <v>0.22399699742948542</v>
      </c>
      <c r="AE21" s="235">
        <v>17519</v>
      </c>
      <c r="AF21" s="101">
        <f t="shared" si="52"/>
        <v>7.6456443088632559E-2</v>
      </c>
      <c r="AG21" s="235">
        <v>11668</v>
      </c>
      <c r="AH21" s="101">
        <f t="shared" si="53"/>
        <v>5.0921501110689237E-2</v>
      </c>
      <c r="AI21" s="235">
        <v>11950</v>
      </c>
      <c r="AJ21" s="101">
        <f t="shared" si="54"/>
        <v>5.2152205885561916E-2</v>
      </c>
      <c r="AK21" s="235">
        <v>14703</v>
      </c>
      <c r="AL21" s="101">
        <f t="shared" si="55"/>
        <v>6.4166852145223163E-2</v>
      </c>
    </row>
    <row r="22" spans="2:38" ht="12">
      <c r="B22" s="98"/>
      <c r="C22" s="83"/>
      <c r="D22" s="292">
        <f t="shared" si="0"/>
        <v>12</v>
      </c>
      <c r="E22" s="292" t="s">
        <v>457</v>
      </c>
      <c r="F22" s="88">
        <f t="shared" si="1"/>
        <v>217195</v>
      </c>
      <c r="G22" s="295"/>
      <c r="H22" s="385"/>
      <c r="I22" s="235">
        <v>29565</v>
      </c>
      <c r="J22" s="101">
        <f t="shared" si="38"/>
        <v>0.13612191809203711</v>
      </c>
      <c r="K22" s="235">
        <v>37713</v>
      </c>
      <c r="L22" s="101">
        <f t="shared" si="39"/>
        <v>0.17363659384424135</v>
      </c>
      <c r="M22" s="106">
        <f t="shared" si="40"/>
        <v>67278</v>
      </c>
      <c r="N22" s="101">
        <f t="shared" si="41"/>
        <v>0.30975851193627846</v>
      </c>
      <c r="O22" s="235">
        <v>4586</v>
      </c>
      <c r="P22" s="101">
        <f t="shared" si="42"/>
        <v>2.1114666543889132E-2</v>
      </c>
      <c r="Q22" s="235">
        <v>2746</v>
      </c>
      <c r="R22" s="101">
        <f t="shared" si="43"/>
        <v>228.83333333333334</v>
      </c>
      <c r="S22" s="106">
        <f t="shared" si="44"/>
        <v>7332</v>
      </c>
      <c r="T22" s="101">
        <f t="shared" si="45"/>
        <v>3.3757683187918691E-2</v>
      </c>
      <c r="U22" s="235">
        <v>39358</v>
      </c>
      <c r="V22" s="101">
        <f t="shared" si="46"/>
        <v>0.18121043302101797</v>
      </c>
      <c r="W22" s="235">
        <v>1541</v>
      </c>
      <c r="X22" s="101">
        <f t="shared" si="47"/>
        <v>7.0950067911323923E-3</v>
      </c>
      <c r="Y22" s="235">
        <v>20825</v>
      </c>
      <c r="Z22" s="101">
        <f t="shared" si="48"/>
        <v>9.5881581067704141E-2</v>
      </c>
      <c r="AA22" s="235">
        <v>25645</v>
      </c>
      <c r="AB22" s="101">
        <f t="shared" si="49"/>
        <v>2137.0833333333335</v>
      </c>
      <c r="AC22" s="106">
        <f t="shared" si="50"/>
        <v>46470</v>
      </c>
      <c r="AD22" s="101">
        <f t="shared" si="51"/>
        <v>0.21395520154699693</v>
      </c>
      <c r="AE22" s="235">
        <v>16369</v>
      </c>
      <c r="AF22" s="101">
        <f t="shared" si="52"/>
        <v>7.5365455005870302E-2</v>
      </c>
      <c r="AG22" s="235">
        <v>11465</v>
      </c>
      <c r="AH22" s="101">
        <f t="shared" si="53"/>
        <v>5.2786666359722831E-2</v>
      </c>
      <c r="AI22" s="235">
        <v>11884</v>
      </c>
      <c r="AJ22" s="101">
        <f t="shared" si="54"/>
        <v>5.4715808374962593E-2</v>
      </c>
      <c r="AK22" s="235">
        <v>15498</v>
      </c>
      <c r="AL22" s="101">
        <f t="shared" si="55"/>
        <v>7.1355233776099813E-2</v>
      </c>
    </row>
    <row r="23" spans="2:38" ht="12">
      <c r="B23" s="98"/>
      <c r="C23" s="83"/>
      <c r="D23" s="448">
        <f t="shared" si="0"/>
        <v>13</v>
      </c>
      <c r="E23" s="448" t="s">
        <v>458</v>
      </c>
      <c r="F23" s="88">
        <f t="shared" si="1"/>
        <v>214686</v>
      </c>
      <c r="G23" s="295"/>
      <c r="H23" s="385"/>
      <c r="I23" s="235">
        <v>33071</v>
      </c>
      <c r="J23" s="101">
        <f t="shared" si="38"/>
        <v>0.15404357992603152</v>
      </c>
      <c r="K23" s="235">
        <v>37271</v>
      </c>
      <c r="L23" s="101">
        <f t="shared" si="39"/>
        <v>0.17360703539122252</v>
      </c>
      <c r="M23" s="106">
        <f t="shared" si="40"/>
        <v>70342</v>
      </c>
      <c r="N23" s="101">
        <f t="shared" si="41"/>
        <v>0.32765061531725403</v>
      </c>
      <c r="O23" s="235">
        <v>4483</v>
      </c>
      <c r="P23" s="101">
        <f t="shared" si="42"/>
        <v>2.0881659726297942E-2</v>
      </c>
      <c r="Q23" s="235">
        <v>2763</v>
      </c>
      <c r="R23" s="101">
        <f t="shared" si="43"/>
        <v>212.53846153846155</v>
      </c>
      <c r="S23" s="106">
        <f t="shared" si="44"/>
        <v>7246</v>
      </c>
      <c r="T23" s="101">
        <f t="shared" si="45"/>
        <v>3.3751618643041464E-2</v>
      </c>
      <c r="U23" s="235">
        <v>37212</v>
      </c>
      <c r="V23" s="101">
        <f t="shared" si="46"/>
        <v>0.17333221542159247</v>
      </c>
      <c r="W23" s="235">
        <v>1204</v>
      </c>
      <c r="X23" s="101">
        <f t="shared" si="47"/>
        <v>5.608190566688093E-3</v>
      </c>
      <c r="Y23" s="235">
        <v>21070</v>
      </c>
      <c r="Z23" s="101">
        <f t="shared" si="48"/>
        <v>9.8143334917041636E-2</v>
      </c>
      <c r="AA23" s="235">
        <v>24797</v>
      </c>
      <c r="AB23" s="101">
        <f t="shared" si="49"/>
        <v>1907.4615384615386</v>
      </c>
      <c r="AC23" s="106">
        <f t="shared" si="50"/>
        <v>45867</v>
      </c>
      <c r="AD23" s="101">
        <f t="shared" si="51"/>
        <v>0.21364690757664681</v>
      </c>
      <c r="AE23" s="235">
        <v>16985</v>
      </c>
      <c r="AF23" s="101">
        <f t="shared" si="52"/>
        <v>7.911554549434989E-2</v>
      </c>
      <c r="AG23" s="235">
        <v>9361</v>
      </c>
      <c r="AH23" s="101">
        <f t="shared" si="53"/>
        <v>4.3603215859441227E-2</v>
      </c>
      <c r="AI23" s="235">
        <v>11800</v>
      </c>
      <c r="AJ23" s="101">
        <f t="shared" si="54"/>
        <v>5.4963993926012873E-2</v>
      </c>
      <c r="AK23" s="235">
        <v>14669</v>
      </c>
      <c r="AL23" s="101">
        <f t="shared" si="55"/>
        <v>6.8327697194973128E-2</v>
      </c>
    </row>
    <row r="24" spans="2:38" ht="12">
      <c r="B24" s="98"/>
      <c r="C24" s="83"/>
      <c r="D24" s="448">
        <f t="shared" si="0"/>
        <v>14</v>
      </c>
      <c r="E24" s="448" t="s">
        <v>459</v>
      </c>
      <c r="F24" s="88">
        <f t="shared" si="1"/>
        <v>207749</v>
      </c>
      <c r="G24" s="295"/>
      <c r="H24" s="385"/>
      <c r="I24" s="235">
        <v>31002</v>
      </c>
      <c r="J24" s="101">
        <f t="shared" si="38"/>
        <v>0.14922815512950724</v>
      </c>
      <c r="K24" s="235">
        <v>35804</v>
      </c>
      <c r="L24" s="101">
        <f t="shared" si="39"/>
        <v>0.17234258648657755</v>
      </c>
      <c r="M24" s="106">
        <f t="shared" si="40"/>
        <v>66806</v>
      </c>
      <c r="N24" s="101">
        <f t="shared" si="41"/>
        <v>0.32157074161608479</v>
      </c>
      <c r="O24" s="235">
        <v>4768</v>
      </c>
      <c r="P24" s="101">
        <f t="shared" si="42"/>
        <v>2.2950772326220583E-2</v>
      </c>
      <c r="Q24" s="235">
        <v>2798</v>
      </c>
      <c r="R24" s="101">
        <f t="shared" si="43"/>
        <v>199.85714285714286</v>
      </c>
      <c r="S24" s="106">
        <f t="shared" si="44"/>
        <v>7566</v>
      </c>
      <c r="T24" s="101">
        <f t="shared" si="45"/>
        <v>3.6418947864971671E-2</v>
      </c>
      <c r="U24" s="235">
        <v>35316</v>
      </c>
      <c r="V24" s="101">
        <f t="shared" si="46"/>
        <v>0.16999359804379324</v>
      </c>
      <c r="W24" s="235">
        <v>1752</v>
      </c>
      <c r="X24" s="101">
        <f t="shared" si="47"/>
        <v>8.433253589668302E-3</v>
      </c>
      <c r="Y24" s="235">
        <v>21976</v>
      </c>
      <c r="Z24" s="101">
        <f t="shared" si="48"/>
        <v>0.10578149593981198</v>
      </c>
      <c r="AA24" s="235">
        <v>23359</v>
      </c>
      <c r="AB24" s="101">
        <f t="shared" si="49"/>
        <v>1668.5</v>
      </c>
      <c r="AC24" s="106">
        <f t="shared" si="50"/>
        <v>45335</v>
      </c>
      <c r="AD24" s="101">
        <f t="shared" si="51"/>
        <v>0.21822006363448199</v>
      </c>
      <c r="AE24" s="235">
        <v>15489</v>
      </c>
      <c r="AF24" s="101">
        <f t="shared" si="52"/>
        <v>7.4556315553865479E-2</v>
      </c>
      <c r="AG24" s="235">
        <v>9446</v>
      </c>
      <c r="AH24" s="101">
        <f t="shared" si="53"/>
        <v>4.5468329570780126E-2</v>
      </c>
      <c r="AI24" s="235">
        <v>11269</v>
      </c>
      <c r="AJ24" s="101">
        <f t="shared" si="54"/>
        <v>5.4243341724869915E-2</v>
      </c>
      <c r="AK24" s="235">
        <v>14770</v>
      </c>
      <c r="AL24" s="101">
        <f t="shared" si="55"/>
        <v>7.1095408401484483E-2</v>
      </c>
    </row>
    <row r="25" spans="2:38" ht="12">
      <c r="B25" s="98"/>
      <c r="C25" s="83"/>
      <c r="D25" s="448">
        <f t="shared" si="0"/>
        <v>15</v>
      </c>
      <c r="E25" s="448" t="s">
        <v>460</v>
      </c>
      <c r="F25" s="88">
        <f t="shared" si="1"/>
        <v>194623</v>
      </c>
      <c r="G25" s="295"/>
      <c r="H25" s="385"/>
      <c r="I25" s="235">
        <v>28792</v>
      </c>
      <c r="J25" s="101">
        <f t="shared" si="38"/>
        <v>0.14793729415331178</v>
      </c>
      <c r="K25" s="235">
        <v>34026</v>
      </c>
      <c r="L25" s="101">
        <f t="shared" si="39"/>
        <v>0.17483031296403817</v>
      </c>
      <c r="M25" s="106">
        <f t="shared" si="40"/>
        <v>62818</v>
      </c>
      <c r="N25" s="101">
        <f t="shared" si="41"/>
        <v>0.32276760711734997</v>
      </c>
      <c r="O25" s="235">
        <v>4622</v>
      </c>
      <c r="P25" s="101">
        <f t="shared" si="42"/>
        <v>2.3748477826361736E-2</v>
      </c>
      <c r="Q25" s="235">
        <v>2804</v>
      </c>
      <c r="R25" s="101">
        <f t="shared" si="43"/>
        <v>186.93333333333334</v>
      </c>
      <c r="S25" s="106">
        <f t="shared" si="44"/>
        <v>7426</v>
      </c>
      <c r="T25" s="101">
        <f t="shared" si="45"/>
        <v>3.8155819199169674E-2</v>
      </c>
      <c r="U25" s="235">
        <v>33955</v>
      </c>
      <c r="V25" s="101">
        <f t="shared" si="46"/>
        <v>0.17446550510474096</v>
      </c>
      <c r="W25" s="235">
        <v>1326</v>
      </c>
      <c r="X25" s="101">
        <f t="shared" si="47"/>
        <v>6.8131721327900612E-3</v>
      </c>
      <c r="Y25" s="235">
        <v>21757</v>
      </c>
      <c r="Z25" s="101">
        <f t="shared" si="48"/>
        <v>0.11179048724970841</v>
      </c>
      <c r="AA25" s="235">
        <v>19974</v>
      </c>
      <c r="AB25" s="101">
        <f t="shared" si="49"/>
        <v>1331.6</v>
      </c>
      <c r="AC25" s="106">
        <f t="shared" si="50"/>
        <v>41731</v>
      </c>
      <c r="AD25" s="101">
        <f t="shared" si="51"/>
        <v>0.21441967290607997</v>
      </c>
      <c r="AE25" s="235">
        <v>13835</v>
      </c>
      <c r="AF25" s="101">
        <f t="shared" si="52"/>
        <v>7.1086151174321641E-2</v>
      </c>
      <c r="AG25" s="235">
        <v>7618</v>
      </c>
      <c r="AH25" s="101">
        <f t="shared" si="53"/>
        <v>3.9142341860931136E-2</v>
      </c>
      <c r="AI25" s="235">
        <v>11452</v>
      </c>
      <c r="AJ25" s="101">
        <f t="shared" si="54"/>
        <v>5.8841966262980223E-2</v>
      </c>
      <c r="AK25" s="235">
        <v>14462</v>
      </c>
      <c r="AL25" s="101">
        <f t="shared" si="55"/>
        <v>7.430776424163639E-2</v>
      </c>
    </row>
    <row r="26" spans="2:38" ht="12">
      <c r="B26" s="98"/>
      <c r="C26" s="83"/>
      <c r="D26" s="448">
        <f t="shared" si="0"/>
        <v>16</v>
      </c>
      <c r="E26" s="448" t="s">
        <v>461</v>
      </c>
      <c r="F26" s="88">
        <f t="shared" si="1"/>
        <v>183688</v>
      </c>
      <c r="G26" s="295"/>
      <c r="H26" s="385"/>
      <c r="I26" s="235">
        <v>27950</v>
      </c>
      <c r="J26" s="101">
        <f t="shared" si="38"/>
        <v>0.15216018466094683</v>
      </c>
      <c r="K26" s="235">
        <v>33702</v>
      </c>
      <c r="L26" s="101">
        <f t="shared" si="39"/>
        <v>0.18347415182265581</v>
      </c>
      <c r="M26" s="106">
        <f t="shared" si="40"/>
        <v>61652</v>
      </c>
      <c r="N26" s="101">
        <f t="shared" si="41"/>
        <v>0.33563433648360264</v>
      </c>
      <c r="O26" s="235">
        <v>3564</v>
      </c>
      <c r="P26" s="101">
        <f t="shared" si="42"/>
        <v>1.9402465049431643E-2</v>
      </c>
      <c r="Q26" s="235">
        <v>2510</v>
      </c>
      <c r="R26" s="101">
        <f t="shared" si="43"/>
        <v>156.875</v>
      </c>
      <c r="S26" s="106">
        <f t="shared" si="44"/>
        <v>6074</v>
      </c>
      <c r="T26" s="101">
        <f t="shared" si="45"/>
        <v>3.3066939593223293E-2</v>
      </c>
      <c r="U26" s="235">
        <v>29778</v>
      </c>
      <c r="V26" s="101">
        <f t="shared" si="46"/>
        <v>0.16211184181873611</v>
      </c>
      <c r="W26" s="235">
        <v>1316</v>
      </c>
      <c r="X26" s="101">
        <f t="shared" si="47"/>
        <v>7.1643221114062973E-3</v>
      </c>
      <c r="Y26" s="235">
        <v>20714</v>
      </c>
      <c r="Z26" s="101">
        <f t="shared" si="48"/>
        <v>0.11276730107573713</v>
      </c>
      <c r="AA26" s="235">
        <v>21921</v>
      </c>
      <c r="AB26" s="101">
        <f t="shared" si="49"/>
        <v>1370.0625</v>
      </c>
      <c r="AC26" s="106">
        <f t="shared" si="50"/>
        <v>42635</v>
      </c>
      <c r="AD26" s="101">
        <f t="shared" si="51"/>
        <v>0.23210552676277166</v>
      </c>
      <c r="AE26" s="235">
        <v>12333</v>
      </c>
      <c r="AF26" s="101">
        <f t="shared" si="52"/>
        <v>6.7141021732502942E-2</v>
      </c>
      <c r="AG26" s="235">
        <v>6633</v>
      </c>
      <c r="AH26" s="101">
        <f t="shared" si="53"/>
        <v>3.6110143286442228E-2</v>
      </c>
      <c r="AI26" s="235">
        <v>11044</v>
      </c>
      <c r="AJ26" s="101">
        <f t="shared" si="54"/>
        <v>6.0123687992683243E-2</v>
      </c>
      <c r="AK26" s="235">
        <v>12223</v>
      </c>
      <c r="AL26" s="101">
        <f t="shared" si="55"/>
        <v>6.6542180218631591E-2</v>
      </c>
    </row>
    <row r="27" spans="2:38" ht="12">
      <c r="B27" s="98"/>
      <c r="C27" s="83"/>
      <c r="D27" s="448">
        <f t="shared" si="0"/>
        <v>17</v>
      </c>
      <c r="E27" s="448" t="s">
        <v>462</v>
      </c>
      <c r="F27" s="88">
        <f t="shared" si="1"/>
        <v>191838</v>
      </c>
      <c r="G27" s="295"/>
      <c r="H27" s="385"/>
      <c r="I27" s="235">
        <v>26696</v>
      </c>
      <c r="J27" s="101">
        <f t="shared" si="38"/>
        <v>0.13915908214222417</v>
      </c>
      <c r="K27" s="235">
        <v>36102</v>
      </c>
      <c r="L27" s="101">
        <f t="shared" si="39"/>
        <v>0.18819003534232009</v>
      </c>
      <c r="M27" s="106">
        <f t="shared" si="40"/>
        <v>62798</v>
      </c>
      <c r="N27" s="101">
        <f t="shared" si="41"/>
        <v>0.32734911748454426</v>
      </c>
      <c r="O27" s="235">
        <v>3392</v>
      </c>
      <c r="P27" s="101">
        <f t="shared" si="42"/>
        <v>1.7681585504436034E-2</v>
      </c>
      <c r="Q27" s="235">
        <v>2388</v>
      </c>
      <c r="R27" s="101">
        <f t="shared" si="43"/>
        <v>140.47058823529412</v>
      </c>
      <c r="S27" s="106">
        <f t="shared" si="44"/>
        <v>5780</v>
      </c>
      <c r="T27" s="101">
        <f t="shared" si="45"/>
        <v>3.0129588506969424E-2</v>
      </c>
      <c r="U27" s="235">
        <v>32496</v>
      </c>
      <c r="V27" s="101">
        <f t="shared" si="46"/>
        <v>0.1693929252807056</v>
      </c>
      <c r="W27" s="235">
        <v>1037</v>
      </c>
      <c r="X27" s="101">
        <f t="shared" si="47"/>
        <v>5.4056026438974551E-3</v>
      </c>
      <c r="Y27" s="235">
        <v>20787</v>
      </c>
      <c r="Z27" s="101">
        <f t="shared" si="48"/>
        <v>0.10835705126200232</v>
      </c>
      <c r="AA27" s="235">
        <v>21699</v>
      </c>
      <c r="AB27" s="101">
        <f t="shared" si="49"/>
        <v>1276.4117647058824</v>
      </c>
      <c r="AC27" s="106">
        <f t="shared" si="50"/>
        <v>42486</v>
      </c>
      <c r="AD27" s="101">
        <f t="shared" si="51"/>
        <v>0.22146811372095204</v>
      </c>
      <c r="AE27" s="235">
        <v>13870</v>
      </c>
      <c r="AF27" s="101">
        <f t="shared" si="52"/>
        <v>7.2300586953575413E-2</v>
      </c>
      <c r="AG27" s="235">
        <v>7381</v>
      </c>
      <c r="AH27" s="101">
        <f t="shared" si="53"/>
        <v>3.8475171759505419E-2</v>
      </c>
      <c r="AI27" s="235">
        <v>12503</v>
      </c>
      <c r="AJ27" s="101">
        <f t="shared" si="54"/>
        <v>6.5174782889729874E-2</v>
      </c>
      <c r="AK27" s="235">
        <v>13487</v>
      </c>
      <c r="AL27" s="101">
        <f t="shared" si="55"/>
        <v>7.0304110760120525E-2</v>
      </c>
    </row>
    <row r="28" spans="2:38" ht="12">
      <c r="B28" s="98"/>
      <c r="C28" s="83"/>
      <c r="D28" s="448">
        <f t="shared" si="0"/>
        <v>18</v>
      </c>
      <c r="E28" s="448" t="s">
        <v>463</v>
      </c>
      <c r="F28" s="88">
        <f t="shared" si="1"/>
        <v>212538</v>
      </c>
      <c r="G28" s="295">
        <f>SUM(F28:F34)</f>
        <v>1421116</v>
      </c>
      <c r="H28" s="385"/>
      <c r="I28" s="235">
        <v>31697</v>
      </c>
      <c r="J28" s="101">
        <f t="shared" si="38"/>
        <v>0.1491356839718074</v>
      </c>
      <c r="K28" s="235">
        <v>37713</v>
      </c>
      <c r="L28" s="101">
        <f t="shared" si="39"/>
        <v>0.17744121051294356</v>
      </c>
      <c r="M28" s="106">
        <f t="shared" si="40"/>
        <v>69410</v>
      </c>
      <c r="N28" s="101">
        <f t="shared" si="41"/>
        <v>0.32657689448475097</v>
      </c>
      <c r="O28" s="235">
        <v>4580</v>
      </c>
      <c r="P28" s="101">
        <f t="shared" si="42"/>
        <v>2.1549087692553801E-2</v>
      </c>
      <c r="Q28" s="235">
        <v>2681</v>
      </c>
      <c r="R28" s="101">
        <f t="shared" si="43"/>
        <v>148.94444444444446</v>
      </c>
      <c r="S28" s="106">
        <f t="shared" si="44"/>
        <v>7261</v>
      </c>
      <c r="T28" s="101">
        <f t="shared" si="45"/>
        <v>3.4163302562365321E-2</v>
      </c>
      <c r="U28" s="235">
        <v>39095</v>
      </c>
      <c r="V28" s="101">
        <f t="shared" si="46"/>
        <v>0.18394357714855697</v>
      </c>
      <c r="W28" s="235">
        <v>1434</v>
      </c>
      <c r="X28" s="101">
        <f t="shared" si="47"/>
        <v>6.7470287666205574E-3</v>
      </c>
      <c r="Y28" s="235">
        <v>19264</v>
      </c>
      <c r="Z28" s="101">
        <f t="shared" si="48"/>
        <v>9.0637909456191365E-2</v>
      </c>
      <c r="AA28" s="235">
        <v>23896</v>
      </c>
      <c r="AB28" s="101">
        <f t="shared" si="49"/>
        <v>1327.5555555555557</v>
      </c>
      <c r="AC28" s="106">
        <f t="shared" si="50"/>
        <v>43160</v>
      </c>
      <c r="AD28" s="101">
        <f t="shared" si="51"/>
        <v>0.2030695687359437</v>
      </c>
      <c r="AE28" s="235">
        <v>16376</v>
      </c>
      <c r="AF28" s="101">
        <f t="shared" si="52"/>
        <v>7.7049751103332106E-2</v>
      </c>
      <c r="AG28" s="235">
        <v>8587</v>
      </c>
      <c r="AH28" s="101">
        <f t="shared" si="53"/>
        <v>4.0402186903047928E-2</v>
      </c>
      <c r="AI28" s="235">
        <v>12947</v>
      </c>
      <c r="AJ28" s="101">
        <f t="shared" si="54"/>
        <v>6.0916165579802201E-2</v>
      </c>
      <c r="AK28" s="235">
        <v>14268</v>
      </c>
      <c r="AL28" s="101">
        <f t="shared" si="55"/>
        <v>6.7131524715580274E-2</v>
      </c>
    </row>
    <row r="29" spans="2:38" ht="12">
      <c r="B29" s="98"/>
      <c r="C29" s="83"/>
      <c r="D29" s="448">
        <f t="shared" si="0"/>
        <v>19</v>
      </c>
      <c r="E29" s="448" t="s">
        <v>457</v>
      </c>
      <c r="F29" s="88">
        <f t="shared" si="1"/>
        <v>213785</v>
      </c>
      <c r="G29" s="295"/>
      <c r="H29" s="385"/>
      <c r="I29" s="235">
        <v>30734</v>
      </c>
      <c r="J29" s="101">
        <f t="shared" si="38"/>
        <v>0.14376125546694107</v>
      </c>
      <c r="K29" s="235">
        <v>38342</v>
      </c>
      <c r="L29" s="101">
        <f t="shared" si="39"/>
        <v>0.17934841078653788</v>
      </c>
      <c r="M29" s="106">
        <f t="shared" si="40"/>
        <v>69076</v>
      </c>
      <c r="N29" s="101">
        <f t="shared" si="41"/>
        <v>0.32310966625347898</v>
      </c>
      <c r="O29" s="235">
        <v>4199</v>
      </c>
      <c r="P29" s="101">
        <f t="shared" si="42"/>
        <v>1.964122833688051E-2</v>
      </c>
      <c r="Q29" s="235">
        <v>2678</v>
      </c>
      <c r="R29" s="101">
        <f t="shared" si="43"/>
        <v>140.94736842105263</v>
      </c>
      <c r="S29" s="106">
        <f t="shared" si="44"/>
        <v>6877</v>
      </c>
      <c r="T29" s="101">
        <f t="shared" si="45"/>
        <v>3.2167832167832165E-2</v>
      </c>
      <c r="U29" s="235">
        <v>37541</v>
      </c>
      <c r="V29" s="101">
        <f t="shared" si="46"/>
        <v>0.17560165586921439</v>
      </c>
      <c r="W29" s="235">
        <v>1501</v>
      </c>
      <c r="X29" s="101">
        <f t="shared" si="47"/>
        <v>7.0210725729120379E-3</v>
      </c>
      <c r="Y29" s="235">
        <v>20054</v>
      </c>
      <c r="Z29" s="101">
        <f t="shared" si="48"/>
        <v>9.3804523235961362E-2</v>
      </c>
      <c r="AA29" s="235">
        <v>26947</v>
      </c>
      <c r="AB29" s="101">
        <f t="shared" si="49"/>
        <v>1418.2631578947369</v>
      </c>
      <c r="AC29" s="106">
        <f t="shared" si="50"/>
        <v>47001</v>
      </c>
      <c r="AD29" s="101">
        <f t="shared" si="51"/>
        <v>0.21985172018616836</v>
      </c>
      <c r="AE29" s="235">
        <v>15919</v>
      </c>
      <c r="AF29" s="101">
        <f t="shared" si="52"/>
        <v>7.4462661084734663E-2</v>
      </c>
      <c r="AG29" s="235">
        <v>8562</v>
      </c>
      <c r="AH29" s="101">
        <f t="shared" si="53"/>
        <v>4.004958252449891E-2</v>
      </c>
      <c r="AI29" s="235">
        <v>12471</v>
      </c>
      <c r="AJ29" s="101">
        <f t="shared" si="54"/>
        <v>5.8334307832635594E-2</v>
      </c>
      <c r="AK29" s="235">
        <v>14837</v>
      </c>
      <c r="AL29" s="101">
        <f t="shared" si="55"/>
        <v>6.9401501508524921E-2</v>
      </c>
    </row>
    <row r="30" spans="2:38" ht="12">
      <c r="B30" s="98"/>
      <c r="C30" s="83"/>
      <c r="D30" s="292">
        <f t="shared" si="0"/>
        <v>20</v>
      </c>
      <c r="E30" s="292" t="s">
        <v>458</v>
      </c>
      <c r="F30" s="88">
        <f t="shared" si="1"/>
        <v>228373</v>
      </c>
      <c r="G30" s="295"/>
      <c r="H30" s="385"/>
      <c r="I30" s="235">
        <v>34975</v>
      </c>
      <c r="J30" s="101">
        <f t="shared" si="38"/>
        <v>0.15314857710850233</v>
      </c>
      <c r="K30" s="235">
        <v>37369</v>
      </c>
      <c r="L30" s="101">
        <f t="shared" si="39"/>
        <v>0.16363142753302712</v>
      </c>
      <c r="M30" s="106">
        <f t="shared" si="40"/>
        <v>72344</v>
      </c>
      <c r="N30" s="101">
        <f t="shared" si="41"/>
        <v>0.31678000464152944</v>
      </c>
      <c r="O30" s="235">
        <v>4384</v>
      </c>
      <c r="P30" s="101">
        <f t="shared" si="42"/>
        <v>1.9196665104894185E-2</v>
      </c>
      <c r="Q30" s="235">
        <v>2852</v>
      </c>
      <c r="R30" s="101">
        <f t="shared" si="43"/>
        <v>142.6</v>
      </c>
      <c r="S30" s="106">
        <f t="shared" si="44"/>
        <v>7236</v>
      </c>
      <c r="T30" s="101">
        <f t="shared" si="45"/>
        <v>3.1685006546308014E-2</v>
      </c>
      <c r="U30" s="235">
        <v>34876</v>
      </c>
      <c r="V30" s="101">
        <f t="shared" si="46"/>
        <v>0.15271507577515731</v>
      </c>
      <c r="W30" s="235">
        <v>1610</v>
      </c>
      <c r="X30" s="101">
        <f t="shared" si="47"/>
        <v>7.0498701685400636E-3</v>
      </c>
      <c r="Y30" s="235">
        <v>23706</v>
      </c>
      <c r="Z30" s="101">
        <f t="shared" si="48"/>
        <v>0.10380386473006879</v>
      </c>
      <c r="AA30" s="235">
        <v>26148</v>
      </c>
      <c r="AB30" s="101">
        <f t="shared" si="49"/>
        <v>1307.4000000000001</v>
      </c>
      <c r="AC30" s="106">
        <f t="shared" si="50"/>
        <v>49854</v>
      </c>
      <c r="AD30" s="101">
        <f t="shared" si="51"/>
        <v>0.2183007623493145</v>
      </c>
      <c r="AE30" s="235">
        <v>18570</v>
      </c>
      <c r="AF30" s="101">
        <f t="shared" si="52"/>
        <v>8.1314341012291291E-2</v>
      </c>
      <c r="AG30" s="235">
        <v>20051</v>
      </c>
      <c r="AH30" s="101">
        <f t="shared" si="53"/>
        <v>8.7799345807078766E-2</v>
      </c>
      <c r="AI30" s="235">
        <v>9708</v>
      </c>
      <c r="AJ30" s="101">
        <f t="shared" si="54"/>
        <v>4.2509403475892507E-2</v>
      </c>
      <c r="AK30" s="235">
        <v>14124</v>
      </c>
      <c r="AL30" s="101">
        <f t="shared" si="55"/>
        <v>6.1846190223888112E-2</v>
      </c>
    </row>
    <row r="31" spans="2:38" ht="12">
      <c r="B31" s="98"/>
      <c r="C31" s="83"/>
      <c r="D31" s="292">
        <f t="shared" si="0"/>
        <v>21</v>
      </c>
      <c r="E31" s="292" t="s">
        <v>459</v>
      </c>
      <c r="F31" s="88">
        <f t="shared" si="1"/>
        <v>211084</v>
      </c>
      <c r="G31" s="295"/>
      <c r="H31" s="385"/>
      <c r="I31" s="235">
        <v>33073</v>
      </c>
      <c r="J31" s="101">
        <f t="shared" si="38"/>
        <v>0.15668170017623315</v>
      </c>
      <c r="K31" s="235">
        <v>36743</v>
      </c>
      <c r="L31" s="101">
        <f t="shared" si="39"/>
        <v>0.17406814348790056</v>
      </c>
      <c r="M31" s="106">
        <f t="shared" si="40"/>
        <v>69816</v>
      </c>
      <c r="N31" s="101">
        <f t="shared" si="41"/>
        <v>0.33074984366413374</v>
      </c>
      <c r="O31" s="235">
        <v>4677</v>
      </c>
      <c r="P31" s="101">
        <f t="shared" si="42"/>
        <v>2.2157055958765232E-2</v>
      </c>
      <c r="Q31" s="235">
        <v>2971</v>
      </c>
      <c r="R31" s="101">
        <f t="shared" si="43"/>
        <v>141.47619047619048</v>
      </c>
      <c r="S31" s="106">
        <f t="shared" si="44"/>
        <v>7648</v>
      </c>
      <c r="T31" s="101">
        <f t="shared" si="45"/>
        <v>3.6232021375376629E-2</v>
      </c>
      <c r="U31" s="235">
        <v>32646</v>
      </c>
      <c r="V31" s="101">
        <f t="shared" si="46"/>
        <v>0.15465880881544788</v>
      </c>
      <c r="W31" s="235">
        <v>1587</v>
      </c>
      <c r="X31" s="101">
        <f t="shared" si="47"/>
        <v>7.5183339334103962E-3</v>
      </c>
      <c r="Y31" s="235">
        <v>22122</v>
      </c>
      <c r="Z31" s="101">
        <f t="shared" si="48"/>
        <v>0.10480187982035588</v>
      </c>
      <c r="AA31" s="235">
        <v>24715</v>
      </c>
      <c r="AB31" s="101">
        <f t="shared" si="49"/>
        <v>1176.9047619047619</v>
      </c>
      <c r="AC31" s="106">
        <f t="shared" si="50"/>
        <v>46837</v>
      </c>
      <c r="AD31" s="101">
        <f t="shared" si="51"/>
        <v>0.22188796877072633</v>
      </c>
      <c r="AE31" s="235">
        <v>15064</v>
      </c>
      <c r="AF31" s="101">
        <f t="shared" si="52"/>
        <v>7.1364954236228226E-2</v>
      </c>
      <c r="AG31" s="235">
        <v>13960</v>
      </c>
      <c r="AH31" s="101">
        <f t="shared" si="53"/>
        <v>6.6134808891247093E-2</v>
      </c>
      <c r="AI31" s="235">
        <v>9531</v>
      </c>
      <c r="AJ31" s="101">
        <f t="shared" si="54"/>
        <v>4.5152640654905159E-2</v>
      </c>
      <c r="AK31" s="235">
        <v>13995</v>
      </c>
      <c r="AL31" s="101">
        <f t="shared" si="55"/>
        <v>6.6300619658524573E-2</v>
      </c>
    </row>
    <row r="32" spans="2:38" ht="12">
      <c r="B32" s="98"/>
      <c r="C32" s="83"/>
      <c r="D32" s="292">
        <f t="shared" si="0"/>
        <v>22</v>
      </c>
      <c r="E32" s="292" t="s">
        <v>460</v>
      </c>
      <c r="F32" s="88">
        <f t="shared" si="1"/>
        <v>197525</v>
      </c>
      <c r="G32" s="295"/>
      <c r="H32" s="385"/>
      <c r="I32" s="235">
        <v>30974</v>
      </c>
      <c r="J32" s="101">
        <f t="shared" si="38"/>
        <v>0.15681053031261866</v>
      </c>
      <c r="K32" s="235">
        <v>34321</v>
      </c>
      <c r="L32" s="101">
        <f t="shared" si="39"/>
        <v>0.17375522085811923</v>
      </c>
      <c r="M32" s="106">
        <f t="shared" si="40"/>
        <v>65295</v>
      </c>
      <c r="N32" s="101">
        <f t="shared" si="41"/>
        <v>0.33056575117073789</v>
      </c>
      <c r="O32" s="235">
        <v>4465</v>
      </c>
      <c r="P32" s="101">
        <f t="shared" si="42"/>
        <v>2.2604733578028096E-2</v>
      </c>
      <c r="Q32" s="235">
        <v>2985</v>
      </c>
      <c r="R32" s="101">
        <f t="shared" si="43"/>
        <v>135.68181818181819</v>
      </c>
      <c r="S32" s="106">
        <f t="shared" si="44"/>
        <v>7450</v>
      </c>
      <c r="T32" s="101">
        <f t="shared" si="45"/>
        <v>3.7716744715858751E-2</v>
      </c>
      <c r="U32" s="235">
        <v>32042</v>
      </c>
      <c r="V32" s="101">
        <f t="shared" si="46"/>
        <v>0.16221744083027465</v>
      </c>
      <c r="W32" s="235">
        <v>1143</v>
      </c>
      <c r="X32" s="101">
        <f t="shared" si="47"/>
        <v>5.7866092899632954E-3</v>
      </c>
      <c r="Y32" s="235">
        <v>21475</v>
      </c>
      <c r="Z32" s="101">
        <f t="shared" si="48"/>
        <v>0.10872041513732439</v>
      </c>
      <c r="AA32" s="235">
        <v>20314</v>
      </c>
      <c r="AB32" s="101">
        <f t="shared" si="49"/>
        <v>923.36363636363637</v>
      </c>
      <c r="AC32" s="106">
        <f t="shared" si="50"/>
        <v>41789</v>
      </c>
      <c r="AD32" s="101">
        <f t="shared" si="51"/>
        <v>0.21156309327933173</v>
      </c>
      <c r="AE32" s="235">
        <v>15124</v>
      </c>
      <c r="AF32" s="101">
        <f t="shared" si="52"/>
        <v>7.6567523098341986E-2</v>
      </c>
      <c r="AG32" s="235">
        <v>13010</v>
      </c>
      <c r="AH32" s="101">
        <f t="shared" si="53"/>
        <v>6.5865080369573475E-2</v>
      </c>
      <c r="AI32" s="235">
        <v>8706</v>
      </c>
      <c r="AJ32" s="101">
        <f t="shared" si="54"/>
        <v>4.4075433489431715E-2</v>
      </c>
      <c r="AK32" s="235">
        <v>12966</v>
      </c>
      <c r="AL32" s="101">
        <f t="shared" si="55"/>
        <v>6.5642323756486515E-2</v>
      </c>
    </row>
    <row r="33" spans="2:38" ht="12">
      <c r="B33" s="98"/>
      <c r="C33" s="83"/>
      <c r="D33" s="292">
        <f t="shared" si="0"/>
        <v>23</v>
      </c>
      <c r="E33" s="292" t="s">
        <v>461</v>
      </c>
      <c r="F33" s="88">
        <f t="shared" si="1"/>
        <v>174499</v>
      </c>
      <c r="G33" s="295"/>
      <c r="H33" s="385"/>
      <c r="I33" s="235">
        <v>28088</v>
      </c>
      <c r="J33" s="101">
        <f t="shared" si="38"/>
        <v>0.16096367314425872</v>
      </c>
      <c r="K33" s="235">
        <v>32560</v>
      </c>
      <c r="L33" s="101">
        <f t="shared" si="39"/>
        <v>0.18659132717092936</v>
      </c>
      <c r="M33" s="106">
        <f t="shared" si="40"/>
        <v>60648</v>
      </c>
      <c r="N33" s="101">
        <f t="shared" si="41"/>
        <v>0.34755500031518805</v>
      </c>
      <c r="O33" s="235">
        <v>3371</v>
      </c>
      <c r="P33" s="101">
        <f t="shared" si="42"/>
        <v>1.9318162281732273E-2</v>
      </c>
      <c r="Q33" s="235">
        <v>2458</v>
      </c>
      <c r="R33" s="101">
        <f t="shared" si="43"/>
        <v>106.8695652173913</v>
      </c>
      <c r="S33" s="106">
        <f t="shared" si="44"/>
        <v>5829</v>
      </c>
      <c r="T33" s="101">
        <f t="shared" si="45"/>
        <v>3.3404202889414841E-2</v>
      </c>
      <c r="U33" s="235">
        <v>28308</v>
      </c>
      <c r="V33" s="101">
        <f t="shared" si="46"/>
        <v>0.16222442535487308</v>
      </c>
      <c r="W33" s="235">
        <v>799</v>
      </c>
      <c r="X33" s="101">
        <f t="shared" si="47"/>
        <v>4.5788228012767981E-3</v>
      </c>
      <c r="Y33" s="235">
        <v>19068</v>
      </c>
      <c r="Z33" s="101">
        <f t="shared" si="48"/>
        <v>0.10927283250906882</v>
      </c>
      <c r="AA33" s="235">
        <v>20883</v>
      </c>
      <c r="AB33" s="101">
        <f t="shared" si="49"/>
        <v>907.95652173913038</v>
      </c>
      <c r="AC33" s="106">
        <f t="shared" si="50"/>
        <v>39951</v>
      </c>
      <c r="AD33" s="101">
        <f t="shared" si="51"/>
        <v>0.22894687075570633</v>
      </c>
      <c r="AE33" s="235">
        <v>12559</v>
      </c>
      <c r="AF33" s="101">
        <f t="shared" si="52"/>
        <v>7.1971759150482234E-2</v>
      </c>
      <c r="AG33" s="235">
        <v>7994</v>
      </c>
      <c r="AH33" s="101">
        <f t="shared" si="53"/>
        <v>4.5811150780233699E-2</v>
      </c>
      <c r="AI33" s="235">
        <v>7946</v>
      </c>
      <c r="AJ33" s="101">
        <f t="shared" si="54"/>
        <v>4.5536077570645102E-2</v>
      </c>
      <c r="AK33" s="235">
        <v>10465</v>
      </c>
      <c r="AL33" s="101">
        <f t="shared" si="55"/>
        <v>5.9971690382179837E-2</v>
      </c>
    </row>
    <row r="34" spans="2:38" ht="12">
      <c r="B34" s="98"/>
      <c r="C34" s="83"/>
      <c r="D34" s="292">
        <f t="shared" si="0"/>
        <v>24</v>
      </c>
      <c r="E34" s="292" t="s">
        <v>462</v>
      </c>
      <c r="F34" s="88">
        <f t="shared" si="1"/>
        <v>183312</v>
      </c>
      <c r="G34" s="295"/>
      <c r="H34" s="385"/>
      <c r="I34" s="235">
        <v>26307</v>
      </c>
      <c r="J34" s="101">
        <f t="shared" si="38"/>
        <v>0.14350942655145327</v>
      </c>
      <c r="K34" s="235">
        <v>34588</v>
      </c>
      <c r="L34" s="101">
        <f t="shared" si="39"/>
        <v>0.18868377411189666</v>
      </c>
      <c r="M34" s="106">
        <f t="shared" si="40"/>
        <v>60895</v>
      </c>
      <c r="N34" s="101">
        <f t="shared" si="41"/>
        <v>0.3321932006633499</v>
      </c>
      <c r="O34" s="235">
        <v>3105</v>
      </c>
      <c r="P34" s="101">
        <f t="shared" si="42"/>
        <v>1.6938334642576592E-2</v>
      </c>
      <c r="Q34" s="235">
        <v>2252</v>
      </c>
      <c r="R34" s="101">
        <f t="shared" si="43"/>
        <v>93.833333333333329</v>
      </c>
      <c r="S34" s="106">
        <f t="shared" si="44"/>
        <v>5357</v>
      </c>
      <c r="T34" s="101">
        <f t="shared" si="45"/>
        <v>2.9223400541153879E-2</v>
      </c>
      <c r="U34" s="235">
        <v>31032</v>
      </c>
      <c r="V34" s="101">
        <f t="shared" si="46"/>
        <v>0.16928515318146112</v>
      </c>
      <c r="W34" s="235">
        <v>710</v>
      </c>
      <c r="X34" s="101">
        <f t="shared" si="47"/>
        <v>3.8731779698001224E-3</v>
      </c>
      <c r="Y34" s="235">
        <v>19466</v>
      </c>
      <c r="Z34" s="101">
        <f t="shared" si="48"/>
        <v>0.1061905385353932</v>
      </c>
      <c r="AA34" s="235">
        <v>20727</v>
      </c>
      <c r="AB34" s="101">
        <f t="shared" si="49"/>
        <v>863.625</v>
      </c>
      <c r="AC34" s="106">
        <f t="shared" si="50"/>
        <v>40193</v>
      </c>
      <c r="AD34" s="101">
        <f t="shared" si="51"/>
        <v>0.21926005935236101</v>
      </c>
      <c r="AE34" s="235">
        <v>14024</v>
      </c>
      <c r="AF34" s="101">
        <f t="shared" si="52"/>
        <v>7.6503447673911151E-2</v>
      </c>
      <c r="AG34" s="235">
        <v>8747</v>
      </c>
      <c r="AH34" s="101">
        <f t="shared" si="53"/>
        <v>4.7716461551889675E-2</v>
      </c>
      <c r="AI34" s="235">
        <v>10911</v>
      </c>
      <c r="AJ34" s="101">
        <f t="shared" si="54"/>
        <v>5.9521471589421317E-2</v>
      </c>
      <c r="AK34" s="235">
        <v>11443</v>
      </c>
      <c r="AL34" s="101">
        <f t="shared" si="55"/>
        <v>6.2423627476651831E-2</v>
      </c>
    </row>
    <row r="35" spans="2:38" ht="12">
      <c r="B35" s="98"/>
      <c r="C35" s="83"/>
      <c r="D35" s="292">
        <f t="shared" si="0"/>
        <v>25</v>
      </c>
      <c r="E35" s="292" t="s">
        <v>463</v>
      </c>
      <c r="F35" s="88">
        <f t="shared" si="1"/>
        <v>215741</v>
      </c>
      <c r="G35" s="295">
        <f>SUM(F35:F41)</f>
        <v>1398601</v>
      </c>
      <c r="H35" s="385"/>
      <c r="I35" s="235">
        <v>31844</v>
      </c>
      <c r="J35" s="101">
        <f t="shared" si="38"/>
        <v>0.14760291275186452</v>
      </c>
      <c r="K35" s="235">
        <v>36348</v>
      </c>
      <c r="L35" s="101">
        <f t="shared" si="39"/>
        <v>0.16847979753500725</v>
      </c>
      <c r="M35" s="106">
        <f t="shared" si="40"/>
        <v>68192</v>
      </c>
      <c r="N35" s="101">
        <f t="shared" si="41"/>
        <v>0.31608271028687174</v>
      </c>
      <c r="O35" s="235">
        <v>4232</v>
      </c>
      <c r="P35" s="101">
        <f t="shared" si="42"/>
        <v>1.9616113766043542E-2</v>
      </c>
      <c r="Q35" s="235">
        <v>2650</v>
      </c>
      <c r="R35" s="101">
        <f t="shared" si="43"/>
        <v>106</v>
      </c>
      <c r="S35" s="106">
        <f t="shared" si="44"/>
        <v>6882</v>
      </c>
      <c r="T35" s="101">
        <f t="shared" si="45"/>
        <v>3.1899360807635078E-2</v>
      </c>
      <c r="U35" s="235">
        <v>36594</v>
      </c>
      <c r="V35" s="101">
        <f t="shared" si="46"/>
        <v>0.16962005367547198</v>
      </c>
      <c r="W35" s="235">
        <v>1022</v>
      </c>
      <c r="X35" s="101">
        <f t="shared" si="47"/>
        <v>4.7371616892477554E-3</v>
      </c>
      <c r="Y35" s="235">
        <v>24061</v>
      </c>
      <c r="Z35" s="101">
        <f t="shared" si="48"/>
        <v>0.1115272479500883</v>
      </c>
      <c r="AA35" s="235">
        <v>23418</v>
      </c>
      <c r="AB35" s="101">
        <f t="shared" si="49"/>
        <v>936.72</v>
      </c>
      <c r="AC35" s="106">
        <f t="shared" si="50"/>
        <v>47479</v>
      </c>
      <c r="AD35" s="101">
        <f t="shared" si="51"/>
        <v>0.22007407029725456</v>
      </c>
      <c r="AE35" s="235">
        <v>17704</v>
      </c>
      <c r="AF35" s="101">
        <f t="shared" si="52"/>
        <v>8.2061360612957199E-2</v>
      </c>
      <c r="AG35" s="235">
        <v>13907</v>
      </c>
      <c r="AH35" s="101">
        <f t="shared" si="53"/>
        <v>6.4461553436759814E-2</v>
      </c>
      <c r="AI35" s="235">
        <v>11631</v>
      </c>
      <c r="AJ35" s="101">
        <f t="shared" si="54"/>
        <v>5.3911866543679687E-2</v>
      </c>
      <c r="AK35" s="235">
        <v>12330</v>
      </c>
      <c r="AL35" s="101">
        <f t="shared" si="55"/>
        <v>5.7151862650122134E-2</v>
      </c>
    </row>
    <row r="36" spans="2:38" ht="12">
      <c r="B36" s="98"/>
      <c r="C36" s="83"/>
      <c r="D36" s="292">
        <f t="shared" si="0"/>
        <v>26</v>
      </c>
      <c r="E36" s="292" t="s">
        <v>457</v>
      </c>
      <c r="F36" s="88">
        <f t="shared" si="1"/>
        <v>207209</v>
      </c>
      <c r="G36" s="295"/>
      <c r="H36" s="385"/>
      <c r="I36" s="235">
        <v>29688</v>
      </c>
      <c r="J36" s="101">
        <f t="shared" si="38"/>
        <v>0.14327562991954981</v>
      </c>
      <c r="K36" s="235">
        <v>36298</v>
      </c>
      <c r="L36" s="101">
        <f t="shared" si="39"/>
        <v>0.17517578869643693</v>
      </c>
      <c r="M36" s="106">
        <f t="shared" si="40"/>
        <v>65986</v>
      </c>
      <c r="N36" s="101">
        <f t="shared" si="41"/>
        <v>0.31845141861598675</v>
      </c>
      <c r="O36" s="235">
        <v>4053</v>
      </c>
      <c r="P36" s="101">
        <f t="shared" si="42"/>
        <v>1.9559961198596584E-2</v>
      </c>
      <c r="Q36" s="235">
        <v>2701</v>
      </c>
      <c r="R36" s="101">
        <f t="shared" si="43"/>
        <v>103.88461538461539</v>
      </c>
      <c r="S36" s="106">
        <f t="shared" si="44"/>
        <v>6754</v>
      </c>
      <c r="T36" s="101">
        <f t="shared" si="45"/>
        <v>3.2595109285793573E-2</v>
      </c>
      <c r="U36" s="235">
        <v>36289</v>
      </c>
      <c r="V36" s="101">
        <f t="shared" si="46"/>
        <v>0.17513235428963028</v>
      </c>
      <c r="W36" s="235">
        <v>1078</v>
      </c>
      <c r="X36" s="101">
        <f t="shared" si="47"/>
        <v>5.2024767263970191E-3</v>
      </c>
      <c r="Y36" s="235">
        <v>22206</v>
      </c>
      <c r="Z36" s="101">
        <f t="shared" si="48"/>
        <v>0.10716715972761801</v>
      </c>
      <c r="AA36" s="235">
        <v>23190</v>
      </c>
      <c r="AB36" s="101">
        <f t="shared" si="49"/>
        <v>891.92307692307691</v>
      </c>
      <c r="AC36" s="106">
        <f t="shared" si="50"/>
        <v>45396</v>
      </c>
      <c r="AD36" s="101">
        <f t="shared" si="51"/>
        <v>0.21908314793276354</v>
      </c>
      <c r="AE36" s="235">
        <v>15789</v>
      </c>
      <c r="AF36" s="101">
        <f t="shared" si="52"/>
        <v>7.6198427674473601E-2</v>
      </c>
      <c r="AG36" s="235">
        <v>10543</v>
      </c>
      <c r="AH36" s="101">
        <f t="shared" si="53"/>
        <v>5.088099455139497E-2</v>
      </c>
      <c r="AI36" s="235">
        <v>12395</v>
      </c>
      <c r="AJ36" s="101">
        <f t="shared" si="54"/>
        <v>5.9818830263164244E-2</v>
      </c>
      <c r="AK36" s="235">
        <v>12979</v>
      </c>
      <c r="AL36" s="101">
        <f t="shared" si="55"/>
        <v>6.2637240660396026E-2</v>
      </c>
    </row>
    <row r="37" spans="2:38" ht="12">
      <c r="B37" s="98"/>
      <c r="C37" s="83"/>
      <c r="D37" s="448">
        <f t="shared" si="0"/>
        <v>27</v>
      </c>
      <c r="E37" s="448" t="s">
        <v>458</v>
      </c>
      <c r="F37" s="88">
        <f t="shared" si="1"/>
        <v>211710</v>
      </c>
      <c r="G37" s="295"/>
      <c r="H37" s="385"/>
      <c r="I37" s="235">
        <v>29056</v>
      </c>
      <c r="J37" s="101">
        <f t="shared" si="38"/>
        <v>0.1372443436776723</v>
      </c>
      <c r="K37" s="235">
        <v>35521</v>
      </c>
      <c r="L37" s="101">
        <f t="shared" si="39"/>
        <v>0.16778139908365217</v>
      </c>
      <c r="M37" s="106">
        <f t="shared" si="40"/>
        <v>64577</v>
      </c>
      <c r="N37" s="101">
        <f t="shared" si="41"/>
        <v>0.30502574276132444</v>
      </c>
      <c r="O37" s="235">
        <v>3860</v>
      </c>
      <c r="P37" s="101">
        <f t="shared" si="42"/>
        <v>1.8232487837135703E-2</v>
      </c>
      <c r="Q37" s="235">
        <v>2717</v>
      </c>
      <c r="R37" s="101">
        <f t="shared" si="43"/>
        <v>100.62962962962963</v>
      </c>
      <c r="S37" s="106">
        <f t="shared" si="44"/>
        <v>6577</v>
      </c>
      <c r="T37" s="101">
        <f t="shared" si="45"/>
        <v>3.1066080959803503E-2</v>
      </c>
      <c r="U37" s="235">
        <v>34463</v>
      </c>
      <c r="V37" s="101">
        <f t="shared" si="46"/>
        <v>0.16278399697699683</v>
      </c>
      <c r="W37" s="235">
        <v>9400</v>
      </c>
      <c r="X37" s="101">
        <f t="shared" si="47"/>
        <v>4.4400358981625809E-2</v>
      </c>
      <c r="Y37" s="235">
        <v>22246</v>
      </c>
      <c r="Z37" s="101">
        <f t="shared" si="48"/>
        <v>0.10507770062821785</v>
      </c>
      <c r="AA37" s="235">
        <v>23577</v>
      </c>
      <c r="AB37" s="101">
        <f t="shared" si="49"/>
        <v>873.22222222222217</v>
      </c>
      <c r="AC37" s="106">
        <f t="shared" si="50"/>
        <v>45823</v>
      </c>
      <c r="AD37" s="101">
        <f t="shared" si="51"/>
        <v>0.21644230315053611</v>
      </c>
      <c r="AE37" s="235">
        <v>15813</v>
      </c>
      <c r="AF37" s="101">
        <f t="shared" si="52"/>
        <v>7.4691795380473283E-2</v>
      </c>
      <c r="AG37" s="235">
        <v>9143</v>
      </c>
      <c r="AH37" s="101">
        <f t="shared" si="53"/>
        <v>4.318643427329838E-2</v>
      </c>
      <c r="AI37" s="235">
        <v>11932</v>
      </c>
      <c r="AJ37" s="101">
        <f t="shared" si="54"/>
        <v>5.6360115251995656E-2</v>
      </c>
      <c r="AK37" s="235">
        <v>13982</v>
      </c>
      <c r="AL37" s="101">
        <f t="shared" si="55"/>
        <v>6.604317226394596E-2</v>
      </c>
    </row>
    <row r="38" spans="2:38" s="379" customFormat="1" ht="12">
      <c r="B38" s="372"/>
      <c r="C38" s="373"/>
      <c r="D38" s="448">
        <f t="shared" si="0"/>
        <v>28</v>
      </c>
      <c r="E38" s="448" t="s">
        <v>459</v>
      </c>
      <c r="F38" s="374">
        <f t="shared" si="1"/>
        <v>204232</v>
      </c>
      <c r="G38" s="375"/>
      <c r="H38" s="385"/>
      <c r="I38" s="235">
        <v>28963</v>
      </c>
      <c r="J38" s="377">
        <f t="shared" si="38"/>
        <v>0.14181421128912217</v>
      </c>
      <c r="K38" s="235">
        <v>34859</v>
      </c>
      <c r="L38" s="377">
        <f t="shared" si="39"/>
        <v>0.17068334051470876</v>
      </c>
      <c r="M38" s="378">
        <f t="shared" si="40"/>
        <v>63822</v>
      </c>
      <c r="N38" s="377">
        <f t="shared" si="41"/>
        <v>0.31249755180383093</v>
      </c>
      <c r="O38" s="235">
        <v>4220</v>
      </c>
      <c r="P38" s="377">
        <f t="shared" si="42"/>
        <v>2.0662775666888636E-2</v>
      </c>
      <c r="Q38" s="235">
        <v>2774</v>
      </c>
      <c r="R38" s="377">
        <f t="shared" si="43"/>
        <v>99.071428571428569</v>
      </c>
      <c r="S38" s="378">
        <f t="shared" si="44"/>
        <v>6994</v>
      </c>
      <c r="T38" s="377">
        <f t="shared" si="45"/>
        <v>3.4245368012848131E-2</v>
      </c>
      <c r="U38" s="235">
        <v>32938</v>
      </c>
      <c r="V38" s="377">
        <f t="shared" si="46"/>
        <v>0.16127737083317012</v>
      </c>
      <c r="W38" s="235">
        <v>5629</v>
      </c>
      <c r="X38" s="377">
        <f t="shared" si="47"/>
        <v>2.7561792471307141E-2</v>
      </c>
      <c r="Y38" s="235">
        <v>22095</v>
      </c>
      <c r="Z38" s="377">
        <f t="shared" si="48"/>
        <v>0.10818578871087782</v>
      </c>
      <c r="AA38" s="235">
        <v>23849</v>
      </c>
      <c r="AB38" s="377">
        <f t="shared" si="49"/>
        <v>851.75</v>
      </c>
      <c r="AC38" s="378">
        <f t="shared" si="50"/>
        <v>45944</v>
      </c>
      <c r="AD38" s="377">
        <f t="shared" si="51"/>
        <v>0.22495984958282736</v>
      </c>
      <c r="AE38" s="235">
        <v>15358</v>
      </c>
      <c r="AF38" s="377">
        <f t="shared" si="52"/>
        <v>7.5198793528927887E-2</v>
      </c>
      <c r="AG38" s="235">
        <v>9024</v>
      </c>
      <c r="AH38" s="377">
        <f t="shared" si="53"/>
        <v>4.4185044459242429E-2</v>
      </c>
      <c r="AI38" s="235">
        <v>10845</v>
      </c>
      <c r="AJ38" s="377">
        <f t="shared" si="54"/>
        <v>5.3101374906968549E-2</v>
      </c>
      <c r="AK38" s="235">
        <v>13678</v>
      </c>
      <c r="AL38" s="377">
        <f t="shared" si="55"/>
        <v>6.6972854400877427E-2</v>
      </c>
    </row>
    <row r="39" spans="2:38" ht="12">
      <c r="B39" s="98"/>
      <c r="C39" s="83"/>
      <c r="D39" s="448">
        <f t="shared" si="0"/>
        <v>29</v>
      </c>
      <c r="E39" s="448" t="s">
        <v>460</v>
      </c>
      <c r="F39" s="88">
        <f t="shared" si="1"/>
        <v>193710</v>
      </c>
      <c r="G39" s="295"/>
      <c r="H39" s="88"/>
      <c r="I39" s="235">
        <v>26673</v>
      </c>
      <c r="J39" s="101">
        <f t="shared" si="38"/>
        <v>0.13769552423726189</v>
      </c>
      <c r="K39" s="235">
        <v>32739</v>
      </c>
      <c r="L39" s="101">
        <f t="shared" si="39"/>
        <v>0.16901037633575963</v>
      </c>
      <c r="M39" s="106">
        <f t="shared" si="40"/>
        <v>59412</v>
      </c>
      <c r="N39" s="101">
        <f t="shared" si="41"/>
        <v>0.30670590057302155</v>
      </c>
      <c r="O39" s="235">
        <v>4216</v>
      </c>
      <c r="P39" s="101">
        <f t="shared" si="42"/>
        <v>2.1764493314748851E-2</v>
      </c>
      <c r="Q39" s="235">
        <v>2854</v>
      </c>
      <c r="R39" s="101">
        <f t="shared" si="43"/>
        <v>98.41379310344827</v>
      </c>
      <c r="S39" s="106">
        <f t="shared" si="44"/>
        <v>7070</v>
      </c>
      <c r="T39" s="101">
        <f t="shared" si="45"/>
        <v>3.6497857622218778E-2</v>
      </c>
      <c r="U39" s="235">
        <v>31581</v>
      </c>
      <c r="V39" s="101">
        <f t="shared" si="46"/>
        <v>0.16303236797274276</v>
      </c>
      <c r="W39" s="235">
        <v>5131</v>
      </c>
      <c r="X39" s="101">
        <f t="shared" si="47"/>
        <v>2.6488049145630067E-2</v>
      </c>
      <c r="Y39" s="235">
        <v>21879</v>
      </c>
      <c r="Z39" s="101">
        <f t="shared" si="48"/>
        <v>0.11294718909710391</v>
      </c>
      <c r="AA39" s="235">
        <v>20761</v>
      </c>
      <c r="AB39" s="101">
        <f t="shared" si="49"/>
        <v>715.89655172413791</v>
      </c>
      <c r="AC39" s="106">
        <f t="shared" si="50"/>
        <v>42640</v>
      </c>
      <c r="AD39" s="101">
        <f t="shared" si="51"/>
        <v>0.2201228640751639</v>
      </c>
      <c r="AE39" s="235">
        <v>14946</v>
      </c>
      <c r="AF39" s="101">
        <f t="shared" si="52"/>
        <v>7.7156574260492494E-2</v>
      </c>
      <c r="AG39" s="235">
        <v>8615</v>
      </c>
      <c r="AH39" s="101">
        <f t="shared" si="53"/>
        <v>4.4473697795673943E-2</v>
      </c>
      <c r="AI39" s="235">
        <v>11058</v>
      </c>
      <c r="AJ39" s="101">
        <f t="shared" si="54"/>
        <v>5.7085333746321819E-2</v>
      </c>
      <c r="AK39" s="235">
        <v>13257</v>
      </c>
      <c r="AL39" s="101">
        <f t="shared" si="55"/>
        <v>6.843735480873471E-2</v>
      </c>
    </row>
    <row r="40" spans="2:38" ht="12">
      <c r="B40" s="98"/>
      <c r="C40" s="83"/>
      <c r="D40" s="448">
        <f t="shared" si="0"/>
        <v>30</v>
      </c>
      <c r="E40" s="448" t="s">
        <v>461</v>
      </c>
      <c r="F40" s="88">
        <f t="shared" si="1"/>
        <v>179197</v>
      </c>
      <c r="G40" s="295"/>
      <c r="H40" s="88"/>
      <c r="I40" s="235">
        <v>24072</v>
      </c>
      <c r="J40" s="101">
        <f t="shared" si="38"/>
        <v>0.13433260601460961</v>
      </c>
      <c r="K40" s="235">
        <v>32400</v>
      </c>
      <c r="L40" s="101">
        <f t="shared" si="39"/>
        <v>0.18080659832474874</v>
      </c>
      <c r="M40" s="106">
        <f t="shared" si="40"/>
        <v>56472</v>
      </c>
      <c r="N40" s="101">
        <f t="shared" si="41"/>
        <v>0.31513920433935838</v>
      </c>
      <c r="O40" s="235">
        <v>3513</v>
      </c>
      <c r="P40" s="101">
        <f t="shared" si="42"/>
        <v>1.960412283687785E-2</v>
      </c>
      <c r="Q40" s="235">
        <v>2571</v>
      </c>
      <c r="R40" s="101">
        <f t="shared" si="43"/>
        <v>85.7</v>
      </c>
      <c r="S40" s="106">
        <f t="shared" si="44"/>
        <v>6084</v>
      </c>
      <c r="T40" s="101">
        <f t="shared" si="45"/>
        <v>3.3951461240980599E-2</v>
      </c>
      <c r="U40" s="235">
        <v>28713</v>
      </c>
      <c r="V40" s="101">
        <f t="shared" si="46"/>
        <v>0.1602314770894602</v>
      </c>
      <c r="W40" s="235">
        <v>2572</v>
      </c>
      <c r="X40" s="101">
        <f t="shared" si="47"/>
        <v>1.4352918854668327E-2</v>
      </c>
      <c r="Y40" s="235">
        <v>21183</v>
      </c>
      <c r="Z40" s="101">
        <f t="shared" si="48"/>
        <v>0.11821068433065286</v>
      </c>
      <c r="AA40" s="235">
        <v>22491</v>
      </c>
      <c r="AB40" s="101">
        <f t="shared" si="49"/>
        <v>749.7</v>
      </c>
      <c r="AC40" s="106">
        <f t="shared" si="50"/>
        <v>43674</v>
      </c>
      <c r="AD40" s="101">
        <f t="shared" si="51"/>
        <v>0.24372059800108262</v>
      </c>
      <c r="AE40" s="235">
        <v>12558</v>
      </c>
      <c r="AF40" s="101">
        <f t="shared" si="52"/>
        <v>7.0079298202536874E-2</v>
      </c>
      <c r="AG40" s="235">
        <v>7390</v>
      </c>
      <c r="AH40" s="101">
        <f t="shared" si="53"/>
        <v>4.1239529679626331E-2</v>
      </c>
      <c r="AI40" s="235">
        <v>10274</v>
      </c>
      <c r="AJ40" s="101">
        <f t="shared" si="54"/>
        <v>5.7333549110755201E-2</v>
      </c>
      <c r="AK40" s="235">
        <v>11460</v>
      </c>
      <c r="AL40" s="101">
        <f t="shared" si="55"/>
        <v>6.3951963481531496E-2</v>
      </c>
    </row>
    <row r="41" spans="2:38" ht="12">
      <c r="B41" s="98"/>
      <c r="C41" s="83"/>
      <c r="D41" s="448">
        <f t="shared" si="0"/>
        <v>31</v>
      </c>
      <c r="E41" s="448" t="s">
        <v>462</v>
      </c>
      <c r="F41" s="88">
        <f t="shared" si="1"/>
        <v>186802</v>
      </c>
      <c r="G41" s="295"/>
      <c r="H41" s="88"/>
      <c r="I41" s="235">
        <v>23382</v>
      </c>
      <c r="J41" s="101">
        <f t="shared" si="38"/>
        <v>0.12516996606032055</v>
      </c>
      <c r="K41" s="235">
        <v>34896</v>
      </c>
      <c r="L41" s="101">
        <f t="shared" si="39"/>
        <v>0.18680742176207962</v>
      </c>
      <c r="M41" s="106">
        <f t="shared" ref="M41" si="56">SUM(I41+K41)</f>
        <v>58278</v>
      </c>
      <c r="N41" s="101">
        <f t="shared" ref="N41" si="57">M41/F41</f>
        <v>0.3119773878224002</v>
      </c>
      <c r="O41" s="235">
        <v>3301</v>
      </c>
      <c r="P41" s="101">
        <f t="shared" si="42"/>
        <v>1.7671117011595166E-2</v>
      </c>
      <c r="Q41" s="235">
        <v>2449</v>
      </c>
      <c r="R41" s="101">
        <f t="shared" ref="R41" si="58">Q41/D41</f>
        <v>79</v>
      </c>
      <c r="S41" s="106">
        <f t="shared" ref="S41" si="59">SUM(O41+Q41)</f>
        <v>5750</v>
      </c>
      <c r="T41" s="101">
        <f t="shared" ref="T41" si="60">S41/F41</f>
        <v>3.0781255018682882E-2</v>
      </c>
      <c r="U41" s="235">
        <v>31093</v>
      </c>
      <c r="V41" s="101">
        <f t="shared" si="46"/>
        <v>0.16644896735580988</v>
      </c>
      <c r="W41" s="235">
        <v>2926</v>
      </c>
      <c r="X41" s="101">
        <f t="shared" si="47"/>
        <v>1.5663643858202802E-2</v>
      </c>
      <c r="Y41" s="235">
        <v>21440</v>
      </c>
      <c r="Z41" s="101">
        <f t="shared" si="48"/>
        <v>0.1147739317566193</v>
      </c>
      <c r="AA41" s="235">
        <v>22589</v>
      </c>
      <c r="AB41" s="101">
        <f t="shared" ref="AB41" si="61">AA41/D41</f>
        <v>728.67741935483866</v>
      </c>
      <c r="AC41" s="106">
        <f t="shared" ref="AC41" si="62">SUM(Y41+AA41)</f>
        <v>44029</v>
      </c>
      <c r="AD41" s="101">
        <f t="shared" ref="AD41" si="63">AC41/F41</f>
        <v>0.23569876125523281</v>
      </c>
      <c r="AE41" s="235">
        <v>13579</v>
      </c>
      <c r="AF41" s="101">
        <f t="shared" si="52"/>
        <v>7.2691941199773027E-2</v>
      </c>
      <c r="AG41" s="235">
        <v>8049</v>
      </c>
      <c r="AH41" s="101">
        <f t="shared" si="53"/>
        <v>4.3088403764413655E-2</v>
      </c>
      <c r="AI41" s="235">
        <v>10723</v>
      </c>
      <c r="AJ41" s="101">
        <f t="shared" si="54"/>
        <v>5.7403025663536791E-2</v>
      </c>
      <c r="AK41" s="235">
        <v>12375</v>
      </c>
      <c r="AL41" s="101">
        <f t="shared" si="55"/>
        <v>6.6246614061947942E-2</v>
      </c>
    </row>
    <row r="42" spans="2:38" ht="12">
      <c r="B42" s="98"/>
      <c r="C42" s="83"/>
      <c r="D42" s="86"/>
      <c r="E42" s="86"/>
      <c r="F42" s="88"/>
      <c r="G42" s="295"/>
      <c r="H42" s="88"/>
      <c r="I42" s="235"/>
      <c r="J42" s="101"/>
      <c r="K42" s="235"/>
      <c r="L42" s="101"/>
      <c r="M42" s="106"/>
      <c r="N42" s="101"/>
      <c r="O42" s="235"/>
      <c r="P42" s="101"/>
      <c r="Q42" s="235"/>
      <c r="R42" s="101"/>
      <c r="S42" s="106"/>
      <c r="T42" s="101"/>
      <c r="U42" s="235"/>
      <c r="V42" s="101"/>
      <c r="W42" s="235"/>
      <c r="X42" s="101"/>
      <c r="Y42" s="235"/>
      <c r="Z42" s="101"/>
      <c r="AA42" s="235"/>
      <c r="AB42" s="101"/>
      <c r="AC42" s="106"/>
      <c r="AD42" s="101"/>
      <c r="AE42" s="235"/>
      <c r="AF42" s="101"/>
      <c r="AG42" s="235"/>
      <c r="AH42" s="101"/>
      <c r="AI42" s="235"/>
      <c r="AJ42" s="101"/>
      <c r="AK42" s="235"/>
      <c r="AL42" s="101"/>
    </row>
    <row r="43" spans="2:38" ht="12">
      <c r="B43" s="98"/>
      <c r="C43" s="83"/>
      <c r="D43" s="86"/>
      <c r="E43" s="86"/>
      <c r="F43" s="88">
        <f t="shared" si="1"/>
        <v>0</v>
      </c>
      <c r="G43" s="295"/>
      <c r="H43" s="88"/>
      <c r="I43" s="235"/>
      <c r="J43" s="101" t="e">
        <f>I43/F43</f>
        <v>#DIV/0!</v>
      </c>
      <c r="K43" s="235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>Q43/D43</f>
        <v>#DIV/0!</v>
      </c>
      <c r="S43" s="106">
        <f t="shared" si="44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1"/>
        <v>0</v>
      </c>
      <c r="G44" s="295"/>
      <c r="H44" s="88"/>
      <c r="I44" s="235"/>
      <c r="J44" s="101" t="e">
        <f>I44/F44</f>
        <v>#DIV/0!</v>
      </c>
      <c r="K44" s="235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>Q44/D44</f>
        <v>#DIV/0!</v>
      </c>
      <c r="S44" s="106">
        <f t="shared" si="44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1"/>
        <v>0</v>
      </c>
      <c r="G45" s="295"/>
      <c r="H45" s="88"/>
      <c r="I45" s="235"/>
      <c r="J45" s="101" t="e">
        <f>I45/F45</f>
        <v>#DIV/0!</v>
      </c>
      <c r="K45" s="235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>Q45/D45</f>
        <v>#DIV/0!</v>
      </c>
      <c r="S45" s="106">
        <f t="shared" si="44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70">
        <f>SUM(I7:I45)</f>
        <v>891257</v>
      </c>
      <c r="J46" s="269" t="e">
        <f>I46/$H$7</f>
        <v>#DIV/0!</v>
      </c>
      <c r="K46" s="270">
        <f>SUM(K7:K45)</f>
        <v>1122543</v>
      </c>
      <c r="L46" s="269" t="e">
        <f>K46/$H$7</f>
        <v>#DIV/0!</v>
      </c>
      <c r="M46" s="270">
        <f>SUM(M7:M45)</f>
        <v>2013800</v>
      </c>
      <c r="N46" s="269" t="e">
        <f>M46/$H$7</f>
        <v>#DIV/0!</v>
      </c>
      <c r="O46" s="270">
        <f>SUM(O7:O45)</f>
        <v>136767</v>
      </c>
      <c r="P46" s="269" t="e">
        <f>O46/$H$7</f>
        <v>#DIV/0!</v>
      </c>
      <c r="Q46" s="270">
        <f>SUM(Q7:Q45)</f>
        <v>84081</v>
      </c>
      <c r="R46" s="269" t="e">
        <f>Q46/$H$7</f>
        <v>#DIV/0!</v>
      </c>
      <c r="S46" s="270">
        <f>SUM(S7:S45)</f>
        <v>220848</v>
      </c>
      <c r="T46" s="269" t="e">
        <f>S46/$H$7</f>
        <v>#DIV/0!</v>
      </c>
      <c r="U46" s="270">
        <f>SUM(U7:U45)</f>
        <v>1075895</v>
      </c>
      <c r="V46" s="269" t="e">
        <f>U46/$H$7</f>
        <v>#DIV/0!</v>
      </c>
      <c r="W46" s="270">
        <f>SUM(W7:W45)</f>
        <v>53629</v>
      </c>
      <c r="X46" s="269" t="e">
        <f>W46/$H$7</f>
        <v>#DIV/0!</v>
      </c>
      <c r="Y46" s="270">
        <f>SUM(Y7:Y45)</f>
        <v>654058</v>
      </c>
      <c r="Z46" s="269" t="e">
        <f>Y46/$H$7</f>
        <v>#DIV/0!</v>
      </c>
      <c r="AA46" s="270">
        <f>SUM(AA7:AA45)</f>
        <v>751546</v>
      </c>
      <c r="AB46" s="269" t="e">
        <f>AA46/$H$7</f>
        <v>#DIV/0!</v>
      </c>
      <c r="AC46" s="270">
        <f>SUM(AC7:AC45)</f>
        <v>1405604</v>
      </c>
      <c r="AD46" s="269" t="e">
        <f>AC46/$H$7</f>
        <v>#DIV/0!</v>
      </c>
      <c r="AE46" s="270">
        <f>SUM(AE7:AE45)</f>
        <v>468298</v>
      </c>
      <c r="AF46" s="269" t="e">
        <f>AE46/$H$7</f>
        <v>#DIV/0!</v>
      </c>
      <c r="AG46" s="270">
        <f>SUM(AG7:AG45)</f>
        <v>321518</v>
      </c>
      <c r="AH46" s="269" t="e">
        <f>AG46/$H$7</f>
        <v>#DIV/0!</v>
      </c>
      <c r="AI46" s="270">
        <f>SUM(AI7:AI45)</f>
        <v>339077</v>
      </c>
      <c r="AJ46" s="269" t="e">
        <f>AI46/$H$7</f>
        <v>#DIV/0!</v>
      </c>
      <c r="AK46" s="270">
        <f>SUM(AK7:AK45)</f>
        <v>434345</v>
      </c>
      <c r="AL46" s="269" t="e">
        <f>AK46/$H$7</f>
        <v>#DIV/0!</v>
      </c>
    </row>
    <row r="47" spans="2:38" ht="12">
      <c r="B47" s="98"/>
      <c r="C47" s="83"/>
      <c r="D47" s="84"/>
      <c r="F47" s="88"/>
      <c r="G47" s="88"/>
      <c r="H47" s="88"/>
      <c r="M47" s="271">
        <f>M46</f>
        <v>2013800</v>
      </c>
      <c r="S47" s="271">
        <f>S46</f>
        <v>220848</v>
      </c>
      <c r="U47" s="271">
        <f>U46</f>
        <v>1075895</v>
      </c>
      <c r="W47" s="271">
        <f>W46</f>
        <v>53629</v>
      </c>
      <c r="Y47" s="271"/>
      <c r="AA47" s="271"/>
      <c r="AC47" s="271">
        <f>AC46</f>
        <v>1405604</v>
      </c>
      <c r="AE47" s="271">
        <f>AE46</f>
        <v>468298</v>
      </c>
      <c r="AG47" s="271">
        <f>AG46</f>
        <v>321518</v>
      </c>
      <c r="AI47" s="271">
        <f>AI46</f>
        <v>339077</v>
      </c>
      <c r="AK47" s="271">
        <f>AK46</f>
        <v>434345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51" zoomScale="55" zoomScaleNormal="55" workbookViewId="0">
      <pane xSplit="15" topLeftCell="P1" activePane="topRight" state="frozen"/>
      <selection activeCell="BB45" sqref="BB45"/>
      <selection pane="topRight" activeCell="L182" sqref="L182:L21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1" t="s">
        <v>730</v>
      </c>
      <c r="C1" s="220">
        <f>AVERAGE(L7,L42,L77,L112,L147,L182)</f>
        <v>793.68170694178502</v>
      </c>
    </row>
    <row r="2" spans="1:54" ht="15.75">
      <c r="A2" s="81"/>
      <c r="B2" s="576" t="s">
        <v>731</v>
      </c>
      <c r="C2" s="576"/>
      <c r="D2" s="576"/>
      <c r="E2" s="576"/>
      <c r="F2" s="576"/>
      <c r="G2" s="576"/>
      <c r="H2" s="576"/>
      <c r="I2" s="441"/>
      <c r="J2" s="441"/>
      <c r="K2" s="441"/>
      <c r="L2" s="441"/>
      <c r="M2" s="197"/>
      <c r="N2" s="565" t="s">
        <v>732</v>
      </c>
      <c r="O2" s="565" t="s">
        <v>733</v>
      </c>
      <c r="P2" s="594"/>
      <c r="Q2" s="595"/>
      <c r="R2" s="595"/>
      <c r="S2" s="595"/>
      <c r="T2" s="596"/>
      <c r="U2" s="568"/>
      <c r="V2" s="569"/>
      <c r="W2" s="569"/>
      <c r="X2" s="569"/>
      <c r="Y2" s="570"/>
      <c r="Z2" s="568">
        <v>46388</v>
      </c>
      <c r="AA2" s="569"/>
      <c r="AB2" s="569"/>
      <c r="AC2" s="569"/>
      <c r="AD2" s="570"/>
      <c r="AE2" s="568">
        <f>Z2+1</f>
        <v>46389</v>
      </c>
      <c r="AF2" s="569"/>
      <c r="AG2" s="569"/>
      <c r="AH2" s="569"/>
      <c r="AI2" s="570"/>
      <c r="AJ2" s="568">
        <f>AE2+1</f>
        <v>46390</v>
      </c>
      <c r="AK2" s="569"/>
      <c r="AL2" s="569"/>
      <c r="AM2" s="569"/>
      <c r="AN2" s="570"/>
      <c r="AO2" s="568">
        <f>AJ2+1</f>
        <v>46391</v>
      </c>
      <c r="AP2" s="569"/>
      <c r="AQ2" s="569"/>
      <c r="AR2" s="569"/>
      <c r="AS2" s="570"/>
      <c r="AT2" s="568">
        <f>AO2+1</f>
        <v>46392</v>
      </c>
      <c r="AU2" s="569"/>
      <c r="AV2" s="569"/>
      <c r="AW2" s="569"/>
      <c r="AX2" s="570"/>
    </row>
    <row r="3" spans="1:54" ht="15.75">
      <c r="A3" s="81"/>
      <c r="B3" s="597"/>
      <c r="C3" s="597"/>
      <c r="D3" s="597"/>
      <c r="E3" s="597"/>
      <c r="F3" s="597"/>
      <c r="G3" s="597"/>
      <c r="H3" s="597"/>
      <c r="I3" s="442"/>
      <c r="J3" s="442"/>
      <c r="K3" s="442"/>
      <c r="L3" s="442"/>
      <c r="M3" s="198"/>
      <c r="N3" s="567"/>
      <c r="O3" s="567"/>
      <c r="P3" s="571" t="s">
        <v>734</v>
      </c>
      <c r="Q3" s="572"/>
      <c r="R3" s="572"/>
      <c r="S3" s="572"/>
      <c r="T3" s="572"/>
      <c r="U3" s="571" t="s">
        <v>735</v>
      </c>
      <c r="V3" s="572"/>
      <c r="W3" s="572"/>
      <c r="X3" s="572"/>
      <c r="Y3" s="572"/>
      <c r="Z3" s="571" t="s">
        <v>736</v>
      </c>
      <c r="AA3" s="572"/>
      <c r="AB3" s="572"/>
      <c r="AC3" s="572"/>
      <c r="AD3" s="572"/>
      <c r="AE3" s="571" t="s">
        <v>737</v>
      </c>
      <c r="AF3" s="572"/>
      <c r="AG3" s="572"/>
      <c r="AH3" s="572"/>
      <c r="AI3" s="572"/>
      <c r="AJ3" s="571" t="s">
        <v>738</v>
      </c>
      <c r="AK3" s="572"/>
      <c r="AL3" s="572"/>
      <c r="AM3" s="572"/>
      <c r="AN3" s="572"/>
      <c r="AO3" s="571" t="s">
        <v>739</v>
      </c>
      <c r="AP3" s="572"/>
      <c r="AQ3" s="572"/>
      <c r="AR3" s="572"/>
      <c r="AS3" s="572"/>
      <c r="AT3" s="571" t="s">
        <v>740</v>
      </c>
      <c r="AU3" s="572"/>
      <c r="AV3" s="572"/>
      <c r="AW3" s="572"/>
      <c r="AX3" s="572"/>
    </row>
    <row r="4" spans="1:54">
      <c r="A4" s="81"/>
      <c r="B4" s="559" t="s">
        <v>741</v>
      </c>
      <c r="C4" s="559" t="s">
        <v>742</v>
      </c>
      <c r="D4" s="559"/>
      <c r="E4" s="559" t="s">
        <v>743</v>
      </c>
      <c r="F4" s="559"/>
      <c r="G4" s="559"/>
      <c r="H4" s="560" t="s">
        <v>744</v>
      </c>
      <c r="I4" s="559" t="s">
        <v>745</v>
      </c>
      <c r="J4" s="559"/>
      <c r="K4" s="559"/>
      <c r="L4" s="560" t="s">
        <v>744</v>
      </c>
      <c r="M4" s="565" t="s">
        <v>746</v>
      </c>
      <c r="N4" s="559"/>
      <c r="O4" s="559" t="s">
        <v>747</v>
      </c>
      <c r="P4" s="556" t="s">
        <v>748</v>
      </c>
      <c r="Q4" s="557"/>
      <c r="R4" s="557"/>
      <c r="S4" s="558"/>
      <c r="T4" s="559" t="s">
        <v>744</v>
      </c>
      <c r="U4" s="556" t="s">
        <v>748</v>
      </c>
      <c r="V4" s="557"/>
      <c r="W4" s="557"/>
      <c r="X4" s="558"/>
      <c r="Y4" s="559" t="s">
        <v>744</v>
      </c>
      <c r="Z4" s="556" t="s">
        <v>748</v>
      </c>
      <c r="AA4" s="557"/>
      <c r="AB4" s="557"/>
      <c r="AC4" s="558"/>
      <c r="AD4" s="559" t="s">
        <v>744</v>
      </c>
      <c r="AE4" s="556" t="s">
        <v>748</v>
      </c>
      <c r="AF4" s="557"/>
      <c r="AG4" s="557"/>
      <c r="AH4" s="558"/>
      <c r="AI4" s="559" t="s">
        <v>744</v>
      </c>
      <c r="AJ4" s="556" t="s">
        <v>748</v>
      </c>
      <c r="AK4" s="557"/>
      <c r="AL4" s="557"/>
      <c r="AM4" s="558"/>
      <c r="AN4" s="559" t="s">
        <v>744</v>
      </c>
      <c r="AO4" s="556" t="s">
        <v>748</v>
      </c>
      <c r="AP4" s="557"/>
      <c r="AQ4" s="557"/>
      <c r="AR4" s="558"/>
      <c r="AS4" s="559" t="s">
        <v>744</v>
      </c>
      <c r="AT4" s="585" t="s">
        <v>748</v>
      </c>
      <c r="AU4" s="586"/>
      <c r="AV4" s="586"/>
      <c r="AW4" s="587"/>
      <c r="AX4" s="583" t="s">
        <v>744</v>
      </c>
    </row>
    <row r="5" spans="1:54">
      <c r="A5" s="81"/>
      <c r="B5" s="559"/>
      <c r="C5" s="559"/>
      <c r="D5" s="559"/>
      <c r="E5" s="559" t="s">
        <v>749</v>
      </c>
      <c r="F5" s="559"/>
      <c r="G5" s="559"/>
      <c r="H5" s="561"/>
      <c r="I5" s="559" t="s">
        <v>749</v>
      </c>
      <c r="J5" s="559"/>
      <c r="K5" s="559"/>
      <c r="L5" s="561"/>
      <c r="M5" s="566"/>
      <c r="N5" s="559"/>
      <c r="O5" s="559"/>
      <c r="P5" s="556" t="s">
        <v>750</v>
      </c>
      <c r="Q5" s="557"/>
      <c r="R5" s="557"/>
      <c r="S5" s="558"/>
      <c r="T5" s="559"/>
      <c r="U5" s="556" t="s">
        <v>750</v>
      </c>
      <c r="V5" s="557"/>
      <c r="W5" s="557"/>
      <c r="X5" s="558"/>
      <c r="Y5" s="559"/>
      <c r="Z5" s="556" t="s">
        <v>750</v>
      </c>
      <c r="AA5" s="557"/>
      <c r="AB5" s="557"/>
      <c r="AC5" s="558"/>
      <c r="AD5" s="559"/>
      <c r="AE5" s="556" t="s">
        <v>750</v>
      </c>
      <c r="AF5" s="557"/>
      <c r="AG5" s="557"/>
      <c r="AH5" s="558"/>
      <c r="AI5" s="559"/>
      <c r="AJ5" s="556" t="s">
        <v>750</v>
      </c>
      <c r="AK5" s="557"/>
      <c r="AL5" s="557"/>
      <c r="AM5" s="558"/>
      <c r="AN5" s="559"/>
      <c r="AO5" s="556" t="s">
        <v>750</v>
      </c>
      <c r="AP5" s="557"/>
      <c r="AQ5" s="557"/>
      <c r="AR5" s="558"/>
      <c r="AS5" s="559"/>
      <c r="AT5" s="585" t="s">
        <v>750</v>
      </c>
      <c r="AU5" s="586"/>
      <c r="AV5" s="586"/>
      <c r="AW5" s="587"/>
      <c r="AX5" s="583"/>
    </row>
    <row r="6" spans="1:54">
      <c r="A6" s="79"/>
      <c r="B6" s="559"/>
      <c r="C6" s="559"/>
      <c r="D6" s="559"/>
      <c r="E6" s="440" t="s">
        <v>751</v>
      </c>
      <c r="F6" s="440" t="s">
        <v>752</v>
      </c>
      <c r="G6" s="440" t="s">
        <v>753</v>
      </c>
      <c r="H6" s="562"/>
      <c r="I6" s="440" t="s">
        <v>751</v>
      </c>
      <c r="J6" s="440" t="s">
        <v>752</v>
      </c>
      <c r="K6" s="440" t="s">
        <v>753</v>
      </c>
      <c r="L6" s="562"/>
      <c r="M6" s="567"/>
      <c r="N6" s="559"/>
      <c r="O6" s="559"/>
      <c r="P6" s="440" t="s">
        <v>751</v>
      </c>
      <c r="Q6" s="440" t="s">
        <v>752</v>
      </c>
      <c r="R6" s="440" t="s">
        <v>753</v>
      </c>
      <c r="S6" s="440" t="s">
        <v>746</v>
      </c>
      <c r="T6" s="559"/>
      <c r="U6" s="440" t="s">
        <v>751</v>
      </c>
      <c r="V6" s="440" t="s">
        <v>752</v>
      </c>
      <c r="W6" s="440" t="s">
        <v>753</v>
      </c>
      <c r="X6" s="440" t="s">
        <v>746</v>
      </c>
      <c r="Y6" s="559"/>
      <c r="Z6" s="440" t="s">
        <v>751</v>
      </c>
      <c r="AA6" s="440" t="s">
        <v>752</v>
      </c>
      <c r="AB6" s="440" t="s">
        <v>753</v>
      </c>
      <c r="AC6" s="440" t="s">
        <v>746</v>
      </c>
      <c r="AD6" s="559"/>
      <c r="AE6" s="440" t="s">
        <v>751</v>
      </c>
      <c r="AF6" s="440" t="s">
        <v>752</v>
      </c>
      <c r="AG6" s="440" t="s">
        <v>753</v>
      </c>
      <c r="AH6" s="440" t="s">
        <v>746</v>
      </c>
      <c r="AI6" s="559"/>
      <c r="AJ6" s="440" t="s">
        <v>751</v>
      </c>
      <c r="AK6" s="440" t="s">
        <v>752</v>
      </c>
      <c r="AL6" s="440" t="s">
        <v>753</v>
      </c>
      <c r="AM6" s="440" t="s">
        <v>746</v>
      </c>
      <c r="AN6" s="559"/>
      <c r="AO6" s="440" t="s">
        <v>751</v>
      </c>
      <c r="AP6" s="440" t="s">
        <v>752</v>
      </c>
      <c r="AQ6" s="440" t="s">
        <v>753</v>
      </c>
      <c r="AR6" s="440" t="s">
        <v>746</v>
      </c>
      <c r="AS6" s="559"/>
      <c r="AT6" s="460" t="s">
        <v>751</v>
      </c>
      <c r="AU6" s="460" t="s">
        <v>752</v>
      </c>
      <c r="AV6" s="460" t="s">
        <v>753</v>
      </c>
      <c r="AW6" s="460" t="s">
        <v>746</v>
      </c>
      <c r="AX6" s="583"/>
    </row>
    <row r="7" spans="1:54">
      <c r="A7" s="81"/>
      <c r="B7" s="598" t="s">
        <v>754</v>
      </c>
      <c r="C7" s="443">
        <v>1</v>
      </c>
      <c r="D7" s="443" t="s">
        <v>356</v>
      </c>
      <c r="E7" s="447">
        <v>4</v>
      </c>
      <c r="F7" s="447">
        <v>2200</v>
      </c>
      <c r="G7" s="447">
        <v>550</v>
      </c>
      <c r="H7" s="563">
        <f>AVERAGE(G7:G36)</f>
        <v>859.12698412698421</v>
      </c>
      <c r="I7" s="447">
        <f>AVERAGE(P7,U7,Z7,AE7,AJ7,AO7,AT7)</f>
        <v>3</v>
      </c>
      <c r="J7" s="447">
        <f>AVERAGE(Q7,V7,AA7,AF7,AK7,AP7,AU7)</f>
        <v>3132.6056085774667</v>
      </c>
      <c r="K7" s="439">
        <f>AVERAGE(R7,W7,AB7,AG7,AL7,AQ7,AV7)</f>
        <v>1044.2018695258225</v>
      </c>
      <c r="L7" s="563">
        <f>AVERAGE(K7:K36)</f>
        <v>782.40119823216355</v>
      </c>
      <c r="M7" s="447">
        <f>RANK(K7, K$7:$K$36)</f>
        <v>2</v>
      </c>
      <c r="N7" s="559"/>
      <c r="O7" s="559"/>
      <c r="P7" s="443"/>
      <c r="Q7" s="447"/>
      <c r="R7" s="447"/>
      <c r="S7" s="443" t="e">
        <f>RANK(R7, R$7:R$36)</f>
        <v>#N/A</v>
      </c>
      <c r="T7" s="588" t="e">
        <f>AVERAGE(R7:R36)</f>
        <v>#DIV/0!</v>
      </c>
      <c r="U7" s="443"/>
      <c r="V7" s="447"/>
      <c r="W7" s="439"/>
      <c r="X7" s="443" t="e">
        <f>RANK(W7, W$7:W$36)</f>
        <v>#N/A</v>
      </c>
      <c r="Y7" s="588" t="e">
        <f>AVERAGE(W7:W36)</f>
        <v>#DIV/0!</v>
      </c>
      <c r="Z7" s="443">
        <v>3</v>
      </c>
      <c r="AA7" s="447">
        <v>2811.2727272727293</v>
      </c>
      <c r="AB7" s="439">
        <v>937.0909090909098</v>
      </c>
      <c r="AC7" s="443">
        <f>RANK(AB7, AB$7:AB$36)</f>
        <v>2</v>
      </c>
      <c r="AD7" s="588">
        <f>AVERAGE(AB7:AB36)</f>
        <v>741.27956091527506</v>
      </c>
      <c r="AE7" s="443">
        <v>3</v>
      </c>
      <c r="AF7" s="447">
        <v>3186.9767441860458</v>
      </c>
      <c r="AG7" s="439">
        <v>1062.3255813953485</v>
      </c>
      <c r="AH7" s="443">
        <f>RANK(AG7, AG$7:AG$36)</f>
        <v>1</v>
      </c>
      <c r="AI7" s="588">
        <f>AVERAGE(AG7:AG36)</f>
        <v>795.93774932408769</v>
      </c>
      <c r="AJ7" s="443">
        <v>3</v>
      </c>
      <c r="AK7" s="447">
        <v>3181.4285714285643</v>
      </c>
      <c r="AL7" s="439">
        <v>1060.4761904761881</v>
      </c>
      <c r="AM7" s="443">
        <f>RANK(AL7, AL$7:AL$36)</f>
        <v>2</v>
      </c>
      <c r="AN7" s="588">
        <f>AVERAGE(AL7:AL36)</f>
        <v>798.04420079625095</v>
      </c>
      <c r="AO7" s="443">
        <v>3</v>
      </c>
      <c r="AP7" s="447">
        <v>3323.749999999995</v>
      </c>
      <c r="AQ7" s="439">
        <v>1107.9166666666649</v>
      </c>
      <c r="AR7" s="443">
        <f>RANK(AQ7, AQ$7:AQ$36)</f>
        <v>1</v>
      </c>
      <c r="AS7" s="588">
        <f>AVERAGE(AQ7:AQ36)</f>
        <v>795.96598312690651</v>
      </c>
      <c r="AT7" s="443">
        <v>3</v>
      </c>
      <c r="AU7" s="447">
        <v>3159.6000000000013</v>
      </c>
      <c r="AV7" s="439">
        <v>1053.2000000000005</v>
      </c>
      <c r="AW7" s="443">
        <f>RANK(AV7, AV$7:AV$36)</f>
        <v>2</v>
      </c>
      <c r="AX7" s="584">
        <f>AVERAGE(AV7:AV36)</f>
        <v>780.77849699829676</v>
      </c>
      <c r="AZ7" s="313" t="e">
        <f>RANK(AX7, $K$7:AX$36)</f>
        <v>#N/A</v>
      </c>
      <c r="BB7" s="311" t="e">
        <f t="shared" ref="BB7:BB36" si="0">RANK(BA7, BA$7:BA$36)</f>
        <v>#N/A</v>
      </c>
    </row>
    <row r="8" spans="1:54" ht="15" customHeight="1">
      <c r="A8" s="81"/>
      <c r="B8" s="599"/>
      <c r="C8" s="443">
        <v>2</v>
      </c>
      <c r="D8" s="443" t="s">
        <v>357</v>
      </c>
      <c r="E8" s="447">
        <v>3</v>
      </c>
      <c r="F8" s="447">
        <v>2700</v>
      </c>
      <c r="G8" s="447">
        <v>900</v>
      </c>
      <c r="H8" s="564"/>
      <c r="I8" s="447">
        <f t="shared" ref="I8:K23" si="1">AVERAGE(P8,U8,Z8,AE8,AJ8,AO8,AT8)</f>
        <v>3</v>
      </c>
      <c r="J8" s="447">
        <f t="shared" si="1"/>
        <v>2804.8941176470607</v>
      </c>
      <c r="K8" s="439">
        <f t="shared" si="1"/>
        <v>934.96470588235366</v>
      </c>
      <c r="L8" s="564"/>
      <c r="M8" s="447">
        <f>RANK(K8, K$7:$K$36)</f>
        <v>6</v>
      </c>
      <c r="N8" s="559"/>
      <c r="O8" s="559"/>
      <c r="P8" s="443"/>
      <c r="Q8" s="447"/>
      <c r="R8" s="447"/>
      <c r="S8" s="443" t="e">
        <f t="shared" ref="S8:S36" si="2">RANK(R8, R$7:R$36)</f>
        <v>#N/A</v>
      </c>
      <c r="T8" s="588"/>
      <c r="U8" s="443"/>
      <c r="V8" s="447"/>
      <c r="W8" s="439"/>
      <c r="X8" s="443" t="e">
        <f t="shared" ref="X8:X36" si="3">RANK(W8, W$7:W$36)</f>
        <v>#N/A</v>
      </c>
      <c r="Y8" s="588"/>
      <c r="Z8" s="443">
        <v>3</v>
      </c>
      <c r="AA8" s="447">
        <v>2507.9999999999991</v>
      </c>
      <c r="AB8" s="439">
        <v>835.99999999999966</v>
      </c>
      <c r="AC8" s="443">
        <f t="shared" ref="AC8:AC36" si="4">RANK(AB8, AB$7:AB$36)</f>
        <v>8</v>
      </c>
      <c r="AD8" s="588"/>
      <c r="AE8" s="443">
        <v>3</v>
      </c>
      <c r="AF8" s="447">
        <v>2940.0000000000032</v>
      </c>
      <c r="AG8" s="439">
        <v>980.00000000000102</v>
      </c>
      <c r="AH8" s="443">
        <f t="shared" ref="AH8:AH36" si="5">RANK(AG8, AG$7:AG$36)</f>
        <v>3</v>
      </c>
      <c r="AI8" s="588"/>
      <c r="AJ8" s="443">
        <v>3</v>
      </c>
      <c r="AK8" s="447">
        <v>2910.0000000000023</v>
      </c>
      <c r="AL8" s="439">
        <v>970.0000000000008</v>
      </c>
      <c r="AM8" s="443">
        <f t="shared" ref="AM8:AM36" si="6">RANK(AL8, AL$7:AL$36)</f>
        <v>5</v>
      </c>
      <c r="AN8" s="588"/>
      <c r="AO8" s="443">
        <v>3</v>
      </c>
      <c r="AP8" s="447">
        <v>2936.4705882352978</v>
      </c>
      <c r="AQ8" s="439">
        <v>978.82352941176589</v>
      </c>
      <c r="AR8" s="443">
        <f t="shared" ref="AR8:AR36" si="7">RANK(AQ8, AQ$7:AQ$36)</f>
        <v>3</v>
      </c>
      <c r="AS8" s="588"/>
      <c r="AT8" s="443">
        <v>3</v>
      </c>
      <c r="AU8" s="447">
        <v>2730.0000000000036</v>
      </c>
      <c r="AV8" s="439">
        <v>910.00000000000125</v>
      </c>
      <c r="AW8" s="443">
        <f t="shared" ref="AW8:AW36" si="8">RANK(AV8, AV$7:AV$36)</f>
        <v>7</v>
      </c>
      <c r="AX8" s="584"/>
      <c r="AZ8" s="313" t="e">
        <f>RANK(AX8, $K$7:AX$36)</f>
        <v>#N/A</v>
      </c>
      <c r="BB8" s="311" t="e">
        <f t="shared" si="0"/>
        <v>#N/A</v>
      </c>
    </row>
    <row r="9" spans="1:54">
      <c r="A9" s="81"/>
      <c r="B9" s="599"/>
      <c r="C9" s="443">
        <v>3</v>
      </c>
      <c r="D9" s="443" t="s">
        <v>343</v>
      </c>
      <c r="E9" s="447">
        <v>4</v>
      </c>
      <c r="F9" s="447">
        <v>3600</v>
      </c>
      <c r="G9" s="447">
        <v>900</v>
      </c>
      <c r="H9" s="564"/>
      <c r="I9" s="447">
        <f t="shared" si="1"/>
        <v>4</v>
      </c>
      <c r="J9" s="447">
        <f t="shared" si="1"/>
        <v>3199.0596491228075</v>
      </c>
      <c r="K9" s="439">
        <f t="shared" si="1"/>
        <v>799.76491228070188</v>
      </c>
      <c r="L9" s="564"/>
      <c r="M9" s="447">
        <f>RANK(K9, K$7:$K$36)</f>
        <v>9</v>
      </c>
      <c r="N9" s="559"/>
      <c r="O9" s="559"/>
      <c r="P9" s="443"/>
      <c r="Q9" s="447"/>
      <c r="R9" s="447"/>
      <c r="S9" s="443" t="e">
        <f t="shared" si="2"/>
        <v>#N/A</v>
      </c>
      <c r="T9" s="588"/>
      <c r="U9" s="443"/>
      <c r="V9" s="447"/>
      <c r="W9" s="439"/>
      <c r="X9" s="443" t="e">
        <f t="shared" si="3"/>
        <v>#N/A</v>
      </c>
      <c r="Y9" s="588"/>
      <c r="Z9" s="443">
        <v>4</v>
      </c>
      <c r="AA9" s="447">
        <v>2775.0000000000041</v>
      </c>
      <c r="AB9" s="439">
        <v>693.75000000000102</v>
      </c>
      <c r="AC9" s="443">
        <f t="shared" si="4"/>
        <v>13</v>
      </c>
      <c r="AD9" s="588"/>
      <c r="AE9" s="443">
        <v>4</v>
      </c>
      <c r="AF9" s="447">
        <v>3315.0000000000036</v>
      </c>
      <c r="AG9" s="439">
        <v>828.75000000000091</v>
      </c>
      <c r="AH9" s="443">
        <f t="shared" si="5"/>
        <v>10</v>
      </c>
      <c r="AI9" s="588"/>
      <c r="AJ9" s="443">
        <v>4</v>
      </c>
      <c r="AK9" s="447">
        <v>3295.9999999999941</v>
      </c>
      <c r="AL9" s="439">
        <v>823.99999999999852</v>
      </c>
      <c r="AM9" s="443">
        <f t="shared" si="6"/>
        <v>11</v>
      </c>
      <c r="AN9" s="588"/>
      <c r="AO9" s="443">
        <v>4</v>
      </c>
      <c r="AP9" s="447">
        <v>3476.6666666666642</v>
      </c>
      <c r="AQ9" s="439">
        <v>869.16666666666606</v>
      </c>
      <c r="AR9" s="443">
        <f t="shared" si="7"/>
        <v>9</v>
      </c>
      <c r="AS9" s="588"/>
      <c r="AT9" s="443">
        <v>4</v>
      </c>
      <c r="AU9" s="447">
        <v>3132.6315789473729</v>
      </c>
      <c r="AV9" s="439">
        <v>783.15789473684322</v>
      </c>
      <c r="AW9" s="443">
        <f t="shared" si="8"/>
        <v>13</v>
      </c>
      <c r="AX9" s="584"/>
      <c r="AZ9" s="313" t="e">
        <f>RANK(AX9, $K$7:AX$36)</f>
        <v>#N/A</v>
      </c>
      <c r="BB9" s="311" t="e">
        <f t="shared" si="0"/>
        <v>#N/A</v>
      </c>
    </row>
    <row r="10" spans="1:54">
      <c r="A10" s="81"/>
      <c r="B10" s="599"/>
      <c r="C10" s="443">
        <v>4</v>
      </c>
      <c r="D10" s="443" t="s">
        <v>359</v>
      </c>
      <c r="E10" s="447">
        <v>3</v>
      </c>
      <c r="F10" s="447">
        <v>3600</v>
      </c>
      <c r="G10" s="447">
        <v>1200</v>
      </c>
      <c r="H10" s="564"/>
      <c r="I10" s="447">
        <f t="shared" si="1"/>
        <v>3</v>
      </c>
      <c r="J10" s="447">
        <f t="shared" si="1"/>
        <v>3176.6059431083881</v>
      </c>
      <c r="K10" s="439">
        <f t="shared" si="1"/>
        <v>1058.8686477027961</v>
      </c>
      <c r="L10" s="564"/>
      <c r="M10" s="447">
        <f>RANK(K10, K$7:$K$36)</f>
        <v>1</v>
      </c>
      <c r="N10" s="559"/>
      <c r="O10" s="559"/>
      <c r="P10" s="443"/>
      <c r="Q10" s="447"/>
      <c r="R10" s="447"/>
      <c r="S10" s="443" t="e">
        <f t="shared" si="2"/>
        <v>#N/A</v>
      </c>
      <c r="T10" s="588"/>
      <c r="U10" s="443"/>
      <c r="V10" s="447"/>
      <c r="W10" s="439"/>
      <c r="X10" s="443" t="e">
        <f t="shared" si="3"/>
        <v>#N/A</v>
      </c>
      <c r="Y10" s="588"/>
      <c r="Z10" s="443">
        <v>3</v>
      </c>
      <c r="AA10" s="447">
        <v>3045.428571428572</v>
      </c>
      <c r="AB10" s="439">
        <v>1015.1428571428573</v>
      </c>
      <c r="AC10" s="443">
        <f t="shared" si="4"/>
        <v>1</v>
      </c>
      <c r="AD10" s="588"/>
      <c r="AE10" s="443">
        <v>3</v>
      </c>
      <c r="AF10" s="447">
        <v>3182.9508196721299</v>
      </c>
      <c r="AG10" s="439">
        <v>1060.9836065573766</v>
      </c>
      <c r="AH10" s="443">
        <f t="shared" si="5"/>
        <v>2</v>
      </c>
      <c r="AI10" s="588"/>
      <c r="AJ10" s="443">
        <v>3</v>
      </c>
      <c r="AK10" s="447">
        <v>3256.8421052631556</v>
      </c>
      <c r="AL10" s="439">
        <v>1085.6140350877185</v>
      </c>
      <c r="AM10" s="443">
        <f t="shared" si="6"/>
        <v>1</v>
      </c>
      <c r="AN10" s="588"/>
      <c r="AO10" s="443">
        <v>3</v>
      </c>
      <c r="AP10" s="447">
        <v>3221.0958904109593</v>
      </c>
      <c r="AQ10" s="439">
        <v>1073.6986301369864</v>
      </c>
      <c r="AR10" s="443">
        <f t="shared" si="7"/>
        <v>2</v>
      </c>
      <c r="AS10" s="588"/>
      <c r="AT10" s="443">
        <v>3</v>
      </c>
      <c r="AU10" s="447">
        <v>3176.7123287671238</v>
      </c>
      <c r="AV10" s="439">
        <v>1058.9041095890414</v>
      </c>
      <c r="AW10" s="443">
        <f t="shared" si="8"/>
        <v>1</v>
      </c>
      <c r="AX10" s="584"/>
      <c r="AZ10" s="313" t="e">
        <f>RANK(AX10, $K$7:AX$36)</f>
        <v>#N/A</v>
      </c>
      <c r="BB10" s="311" t="e">
        <f t="shared" si="0"/>
        <v>#N/A</v>
      </c>
    </row>
    <row r="11" spans="1:54">
      <c r="A11" s="81"/>
      <c r="B11" s="599"/>
      <c r="C11" s="443">
        <v>5</v>
      </c>
      <c r="D11" s="443" t="s">
        <v>360</v>
      </c>
      <c r="E11" s="447">
        <v>3</v>
      </c>
      <c r="F11" s="447">
        <v>3600</v>
      </c>
      <c r="G11" s="447">
        <v>1200</v>
      </c>
      <c r="H11" s="564"/>
      <c r="I11" s="447">
        <f t="shared" si="1"/>
        <v>4</v>
      </c>
      <c r="J11" s="447">
        <f t="shared" si="1"/>
        <v>3112.5687628500518</v>
      </c>
      <c r="K11" s="439">
        <f t="shared" si="1"/>
        <v>778.14219071251296</v>
      </c>
      <c r="L11" s="564"/>
      <c r="M11" s="447">
        <f>RANK(K11, K$7:$K$36)</f>
        <v>12</v>
      </c>
      <c r="N11" s="559"/>
      <c r="O11" s="559"/>
      <c r="P11" s="443"/>
      <c r="Q11" s="447"/>
      <c r="R11" s="447"/>
      <c r="S11" s="443" t="e">
        <f t="shared" si="2"/>
        <v>#N/A</v>
      </c>
      <c r="T11" s="588"/>
      <c r="U11" s="443"/>
      <c r="V11" s="447"/>
      <c r="W11" s="439"/>
      <c r="X11" s="443" t="e">
        <f t="shared" si="3"/>
        <v>#N/A</v>
      </c>
      <c r="Y11" s="588"/>
      <c r="Z11" s="443">
        <v>4</v>
      </c>
      <c r="AA11" s="447">
        <v>2653.7142857142831</v>
      </c>
      <c r="AB11" s="439">
        <v>663.42857142857076</v>
      </c>
      <c r="AC11" s="443">
        <f t="shared" si="4"/>
        <v>15</v>
      </c>
      <c r="AD11" s="588"/>
      <c r="AE11" s="443">
        <v>4</v>
      </c>
      <c r="AF11" s="447">
        <v>3276.9230769230735</v>
      </c>
      <c r="AG11" s="439">
        <v>819.23076923076837</v>
      </c>
      <c r="AH11" s="443">
        <f t="shared" si="5"/>
        <v>12</v>
      </c>
      <c r="AI11" s="588"/>
      <c r="AJ11" s="443">
        <v>4</v>
      </c>
      <c r="AK11" s="447">
        <v>3206.399999999996</v>
      </c>
      <c r="AL11" s="439">
        <v>801.599999999999</v>
      </c>
      <c r="AM11" s="443">
        <f t="shared" si="6"/>
        <v>12</v>
      </c>
      <c r="AN11" s="588"/>
      <c r="AO11" s="443">
        <v>4</v>
      </c>
      <c r="AP11" s="447">
        <v>3267.0967741935474</v>
      </c>
      <c r="AQ11" s="439">
        <v>816.77419354838685</v>
      </c>
      <c r="AR11" s="443">
        <f t="shared" si="7"/>
        <v>10</v>
      </c>
      <c r="AS11" s="588"/>
      <c r="AT11" s="443">
        <v>4</v>
      </c>
      <c r="AU11" s="447">
        <v>3158.7096774193574</v>
      </c>
      <c r="AV11" s="439">
        <v>789.67741935483934</v>
      </c>
      <c r="AW11" s="443">
        <f t="shared" si="8"/>
        <v>12</v>
      </c>
      <c r="AX11" s="584"/>
      <c r="AZ11" s="313" t="e">
        <f>RANK(AX11, $K$7:AX$36)</f>
        <v>#N/A</v>
      </c>
      <c r="BB11" s="311" t="e">
        <f t="shared" si="0"/>
        <v>#N/A</v>
      </c>
    </row>
    <row r="12" spans="1:54">
      <c r="A12" s="81"/>
      <c r="B12" s="599"/>
      <c r="C12" s="443">
        <v>6</v>
      </c>
      <c r="D12" s="443" t="s">
        <v>358</v>
      </c>
      <c r="E12" s="447">
        <v>4</v>
      </c>
      <c r="F12" s="447">
        <v>3600</v>
      </c>
      <c r="G12" s="447">
        <v>900</v>
      </c>
      <c r="H12" s="564"/>
      <c r="I12" s="447">
        <f t="shared" si="1"/>
        <v>4</v>
      </c>
      <c r="J12" s="447">
        <f t="shared" si="1"/>
        <v>3195.6545454545476</v>
      </c>
      <c r="K12" s="439">
        <f t="shared" si="1"/>
        <v>798.9136363636369</v>
      </c>
      <c r="L12" s="564"/>
      <c r="M12" s="447">
        <f>RANK(K12, K$7:$K$36)</f>
        <v>10</v>
      </c>
      <c r="N12" s="559"/>
      <c r="O12" s="559"/>
      <c r="P12" s="443"/>
      <c r="Q12" s="447"/>
      <c r="R12" s="447"/>
      <c r="S12" s="443" t="e">
        <f t="shared" si="2"/>
        <v>#N/A</v>
      </c>
      <c r="T12" s="588"/>
      <c r="U12" s="443"/>
      <c r="V12" s="447"/>
      <c r="W12" s="439"/>
      <c r="X12" s="443" t="e">
        <f t="shared" si="3"/>
        <v>#N/A</v>
      </c>
      <c r="Y12" s="588"/>
      <c r="Z12" s="443">
        <v>4</v>
      </c>
      <c r="AA12" s="447">
        <v>2960.0000000000027</v>
      </c>
      <c r="AB12" s="439">
        <v>740.00000000000068</v>
      </c>
      <c r="AC12" s="443">
        <f t="shared" si="4"/>
        <v>10</v>
      </c>
      <c r="AD12" s="588"/>
      <c r="AE12" s="443">
        <v>4</v>
      </c>
      <c r="AF12" s="447">
        <v>3305.0000000000009</v>
      </c>
      <c r="AG12" s="439">
        <v>826.25000000000023</v>
      </c>
      <c r="AH12" s="443">
        <f t="shared" si="5"/>
        <v>11</v>
      </c>
      <c r="AI12" s="588"/>
      <c r="AJ12" s="443">
        <v>4</v>
      </c>
      <c r="AK12" s="447">
        <v>3387.272727272727</v>
      </c>
      <c r="AL12" s="439">
        <v>846.81818181818176</v>
      </c>
      <c r="AM12" s="443">
        <f t="shared" si="6"/>
        <v>10</v>
      </c>
      <c r="AN12" s="588"/>
      <c r="AO12" s="443">
        <v>4</v>
      </c>
      <c r="AP12" s="447">
        <v>3116.0000000000027</v>
      </c>
      <c r="AQ12" s="439">
        <v>779.00000000000068</v>
      </c>
      <c r="AR12" s="443">
        <f t="shared" si="7"/>
        <v>12</v>
      </c>
      <c r="AS12" s="588"/>
      <c r="AT12" s="443">
        <v>4</v>
      </c>
      <c r="AU12" s="447">
        <v>3210.0000000000027</v>
      </c>
      <c r="AV12" s="439">
        <v>802.50000000000068</v>
      </c>
      <c r="AW12" s="443">
        <f t="shared" si="8"/>
        <v>10</v>
      </c>
      <c r="AX12" s="584"/>
      <c r="AZ12" s="313" t="e">
        <f>RANK(AX12, $K$7:AX$36)</f>
        <v>#N/A</v>
      </c>
      <c r="BB12" s="311" t="e">
        <f t="shared" si="0"/>
        <v>#N/A</v>
      </c>
    </row>
    <row r="13" spans="1:54">
      <c r="A13" s="81"/>
      <c r="B13" s="599"/>
      <c r="C13" s="443">
        <v>7</v>
      </c>
      <c r="D13" s="443" t="s">
        <v>455</v>
      </c>
      <c r="E13" s="447">
        <v>4</v>
      </c>
      <c r="F13" s="447">
        <v>3600</v>
      </c>
      <c r="G13" s="447">
        <v>900</v>
      </c>
      <c r="H13" s="564"/>
      <c r="I13" s="447">
        <f t="shared" si="1"/>
        <v>4</v>
      </c>
      <c r="J13" s="447">
        <f t="shared" si="1"/>
        <v>3171.6000000000004</v>
      </c>
      <c r="K13" s="439">
        <f t="shared" si="1"/>
        <v>792.90000000000009</v>
      </c>
      <c r="L13" s="564"/>
      <c r="M13" s="447">
        <f>RANK(K13, K$7:$K$36)</f>
        <v>11</v>
      </c>
      <c r="N13" s="559"/>
      <c r="O13" s="559"/>
      <c r="P13" s="443"/>
      <c r="Q13" s="447"/>
      <c r="R13" s="447"/>
      <c r="S13" s="443" t="e">
        <f t="shared" si="2"/>
        <v>#N/A</v>
      </c>
      <c r="T13" s="588"/>
      <c r="U13" s="443"/>
      <c r="V13" s="447"/>
      <c r="W13" s="439"/>
      <c r="X13" s="443" t="e">
        <f t="shared" si="3"/>
        <v>#N/A</v>
      </c>
      <c r="Y13" s="588"/>
      <c r="Z13" s="443">
        <v>4</v>
      </c>
      <c r="AA13" s="447">
        <v>2237.99999999999</v>
      </c>
      <c r="AB13" s="439">
        <v>559.4999999999975</v>
      </c>
      <c r="AC13" s="443">
        <f t="shared" si="4"/>
        <v>20</v>
      </c>
      <c r="AD13" s="588"/>
      <c r="AE13" s="443">
        <v>4</v>
      </c>
      <c r="AF13" s="447">
        <v>3780.0000000000136</v>
      </c>
      <c r="AG13" s="439">
        <v>945.00000000000341</v>
      </c>
      <c r="AH13" s="443">
        <f t="shared" si="5"/>
        <v>5</v>
      </c>
      <c r="AI13" s="588"/>
      <c r="AJ13" s="443">
        <v>4</v>
      </c>
      <c r="AK13" s="447">
        <v>3420.0000000000118</v>
      </c>
      <c r="AL13" s="439">
        <v>855.00000000000296</v>
      </c>
      <c r="AM13" s="443">
        <f t="shared" si="6"/>
        <v>9</v>
      </c>
      <c r="AN13" s="588"/>
      <c r="AO13" s="443">
        <v>4</v>
      </c>
      <c r="AP13" s="447">
        <v>3257.1428571428687</v>
      </c>
      <c r="AQ13" s="439">
        <v>814.28571428571718</v>
      </c>
      <c r="AR13" s="443">
        <f t="shared" si="7"/>
        <v>11</v>
      </c>
      <c r="AS13" s="588"/>
      <c r="AT13" s="443">
        <v>4</v>
      </c>
      <c r="AU13" s="447">
        <v>3162.8571428571177</v>
      </c>
      <c r="AV13" s="439">
        <v>790.71428571427941</v>
      </c>
      <c r="AW13" s="443">
        <f t="shared" si="8"/>
        <v>11</v>
      </c>
      <c r="AX13" s="584"/>
      <c r="AZ13" s="313" t="e">
        <f>RANK(AX13, $K$7:AX$36)</f>
        <v>#N/A</v>
      </c>
      <c r="BB13" s="311" t="e">
        <f t="shared" si="0"/>
        <v>#N/A</v>
      </c>
    </row>
    <row r="14" spans="1:54">
      <c r="A14" s="81"/>
      <c r="B14" s="599"/>
      <c r="C14" s="443">
        <v>8</v>
      </c>
      <c r="D14" s="443" t="s">
        <v>361</v>
      </c>
      <c r="E14" s="447">
        <v>4</v>
      </c>
      <c r="F14" s="447">
        <v>3300</v>
      </c>
      <c r="G14" s="447">
        <v>825</v>
      </c>
      <c r="H14" s="564"/>
      <c r="I14" s="447">
        <f t="shared" si="1"/>
        <v>4</v>
      </c>
      <c r="J14" s="447">
        <f t="shared" si="1"/>
        <v>2726.2461538461566</v>
      </c>
      <c r="K14" s="439">
        <f t="shared" si="1"/>
        <v>681.56153846153916</v>
      </c>
      <c r="L14" s="564"/>
      <c r="M14" s="447">
        <f>RANK(K14, K$7:$K$36)</f>
        <v>17</v>
      </c>
      <c r="N14" s="559"/>
      <c r="O14" s="559"/>
      <c r="P14" s="443"/>
      <c r="Q14" s="447"/>
      <c r="R14" s="447"/>
      <c r="S14" s="443" t="e">
        <f t="shared" si="2"/>
        <v>#N/A</v>
      </c>
      <c r="T14" s="588"/>
      <c r="U14" s="443"/>
      <c r="V14" s="447"/>
      <c r="W14" s="439"/>
      <c r="X14" s="443" t="e">
        <f t="shared" si="3"/>
        <v>#N/A</v>
      </c>
      <c r="Y14" s="588"/>
      <c r="Z14" s="443">
        <v>4</v>
      </c>
      <c r="AA14" s="447">
        <v>2420.0000000000023</v>
      </c>
      <c r="AB14" s="439">
        <v>605.00000000000057</v>
      </c>
      <c r="AC14" s="443">
        <f t="shared" si="4"/>
        <v>18</v>
      </c>
      <c r="AD14" s="588"/>
      <c r="AE14" s="443">
        <v>4</v>
      </c>
      <c r="AF14" s="447">
        <v>3054.0000000000109</v>
      </c>
      <c r="AG14" s="439">
        <v>763.50000000000273</v>
      </c>
      <c r="AH14" s="443">
        <f t="shared" si="5"/>
        <v>13</v>
      </c>
      <c r="AI14" s="588"/>
      <c r="AJ14" s="443">
        <v>4</v>
      </c>
      <c r="AK14" s="447">
        <v>2687.9999999999991</v>
      </c>
      <c r="AL14" s="439">
        <v>671.99999999999977</v>
      </c>
      <c r="AM14" s="443">
        <f t="shared" si="6"/>
        <v>17</v>
      </c>
      <c r="AN14" s="588"/>
      <c r="AO14" s="443">
        <v>4</v>
      </c>
      <c r="AP14" s="447">
        <v>2838.4615384615399</v>
      </c>
      <c r="AQ14" s="439">
        <v>709.61538461538498</v>
      </c>
      <c r="AR14" s="443">
        <f t="shared" si="7"/>
        <v>14</v>
      </c>
      <c r="AS14" s="588"/>
      <c r="AT14" s="443">
        <v>4</v>
      </c>
      <c r="AU14" s="447">
        <v>2630.7692307692323</v>
      </c>
      <c r="AV14" s="439">
        <v>657.69230769230808</v>
      </c>
      <c r="AW14" s="443">
        <f t="shared" si="8"/>
        <v>18</v>
      </c>
      <c r="AX14" s="584"/>
      <c r="AZ14" s="313" t="e">
        <f>RANK(AX14, $K$7:AX$36)</f>
        <v>#N/A</v>
      </c>
      <c r="BB14" s="311" t="e">
        <f t="shared" si="0"/>
        <v>#N/A</v>
      </c>
    </row>
    <row r="15" spans="1:54">
      <c r="A15" s="81"/>
      <c r="B15" s="599"/>
      <c r="C15" s="443">
        <v>9</v>
      </c>
      <c r="D15" s="443" t="s">
        <v>362</v>
      </c>
      <c r="E15" s="447">
        <v>3</v>
      </c>
      <c r="F15" s="447">
        <v>3300</v>
      </c>
      <c r="G15" s="447">
        <v>1100</v>
      </c>
      <c r="H15" s="564"/>
      <c r="I15" s="447">
        <f t="shared" si="1"/>
        <v>3</v>
      </c>
      <c r="J15" s="447">
        <f t="shared" si="1"/>
        <v>2814.2339784946248</v>
      </c>
      <c r="K15" s="439">
        <f t="shared" si="1"/>
        <v>938.07799283154168</v>
      </c>
      <c r="L15" s="564"/>
      <c r="M15" s="447">
        <f>RANK(K15, K$7:$K$36)</f>
        <v>3</v>
      </c>
      <c r="N15" s="559"/>
      <c r="O15" s="559"/>
      <c r="P15" s="443"/>
      <c r="Q15" s="447"/>
      <c r="R15" s="447"/>
      <c r="S15" s="443" t="e">
        <f t="shared" si="2"/>
        <v>#N/A</v>
      </c>
      <c r="T15" s="588"/>
      <c r="U15" s="443"/>
      <c r="V15" s="447"/>
      <c r="W15" s="439"/>
      <c r="X15" s="443" t="e">
        <f t="shared" si="3"/>
        <v>#N/A</v>
      </c>
      <c r="Y15" s="588"/>
      <c r="Z15" s="443">
        <v>3</v>
      </c>
      <c r="AA15" s="447">
        <v>2772.0000000000027</v>
      </c>
      <c r="AB15" s="439">
        <v>924.00000000000091</v>
      </c>
      <c r="AC15" s="443">
        <f t="shared" si="4"/>
        <v>4</v>
      </c>
      <c r="AD15" s="588"/>
      <c r="AE15" s="443">
        <v>3</v>
      </c>
      <c r="AF15" s="447">
        <v>2826.6666666666729</v>
      </c>
      <c r="AG15" s="439">
        <v>942.22222222222433</v>
      </c>
      <c r="AH15" s="443">
        <f t="shared" si="5"/>
        <v>6</v>
      </c>
      <c r="AI15" s="588"/>
      <c r="AJ15" s="443">
        <v>3</v>
      </c>
      <c r="AK15" s="447">
        <v>2853.5999999999963</v>
      </c>
      <c r="AL15" s="439">
        <v>951.19999999999879</v>
      </c>
      <c r="AM15" s="443">
        <f t="shared" si="6"/>
        <v>7</v>
      </c>
      <c r="AN15" s="588"/>
      <c r="AO15" s="443">
        <v>3</v>
      </c>
      <c r="AP15" s="447">
        <v>2885.9999999999986</v>
      </c>
      <c r="AQ15" s="439">
        <v>961.99999999999955</v>
      </c>
      <c r="AR15" s="443">
        <f t="shared" si="7"/>
        <v>4</v>
      </c>
      <c r="AS15" s="588"/>
      <c r="AT15" s="443">
        <v>3</v>
      </c>
      <c r="AU15" s="447">
        <v>2732.903225806454</v>
      </c>
      <c r="AV15" s="439">
        <v>910.9677419354847</v>
      </c>
      <c r="AW15" s="443">
        <f t="shared" si="8"/>
        <v>6</v>
      </c>
      <c r="AX15" s="584"/>
      <c r="AZ15" s="313" t="e">
        <f>RANK(AX15, $K$7:AX$36)</f>
        <v>#N/A</v>
      </c>
      <c r="BB15" s="311" t="e">
        <f t="shared" si="0"/>
        <v>#N/A</v>
      </c>
    </row>
    <row r="16" spans="1:54">
      <c r="A16" s="81"/>
      <c r="B16" s="599"/>
      <c r="C16" s="443">
        <v>10</v>
      </c>
      <c r="D16" s="443" t="s">
        <v>363</v>
      </c>
      <c r="E16" s="447">
        <v>3</v>
      </c>
      <c r="F16" s="447">
        <v>3300</v>
      </c>
      <c r="G16" s="447">
        <v>1100</v>
      </c>
      <c r="H16" s="564"/>
      <c r="I16" s="447">
        <f t="shared" si="1"/>
        <v>3</v>
      </c>
      <c r="J16" s="447">
        <f t="shared" si="1"/>
        <v>2812.571428571428</v>
      </c>
      <c r="K16" s="439">
        <f t="shared" si="1"/>
        <v>937.5238095238094</v>
      </c>
      <c r="L16" s="564"/>
      <c r="M16" s="447">
        <f>RANK(K16, K$7:$K$36)</f>
        <v>4</v>
      </c>
      <c r="N16" s="559"/>
      <c r="O16" s="559"/>
      <c r="P16" s="443"/>
      <c r="Q16" s="447"/>
      <c r="R16" s="447"/>
      <c r="S16" s="443" t="e">
        <f t="shared" si="2"/>
        <v>#N/A</v>
      </c>
      <c r="T16" s="588"/>
      <c r="U16" s="443"/>
      <c r="V16" s="447"/>
      <c r="W16" s="439"/>
      <c r="X16" s="443" t="e">
        <f t="shared" si="3"/>
        <v>#N/A</v>
      </c>
      <c r="Y16" s="588"/>
      <c r="Z16" s="443">
        <v>3</v>
      </c>
      <c r="AA16" s="447">
        <v>2686.2857142857147</v>
      </c>
      <c r="AB16" s="439">
        <v>895.42857142857156</v>
      </c>
      <c r="AC16" s="443">
        <f t="shared" si="4"/>
        <v>7</v>
      </c>
      <c r="AD16" s="588"/>
      <c r="AE16" s="443">
        <v>3</v>
      </c>
      <c r="AF16" s="447">
        <v>2865.9999999999986</v>
      </c>
      <c r="AG16" s="439">
        <v>955.33333333333292</v>
      </c>
      <c r="AH16" s="443">
        <f t="shared" si="5"/>
        <v>4</v>
      </c>
      <c r="AI16" s="588"/>
      <c r="AJ16" s="443">
        <v>3</v>
      </c>
      <c r="AK16" s="447">
        <v>2918.5714285714262</v>
      </c>
      <c r="AL16" s="439">
        <v>972.85714285714209</v>
      </c>
      <c r="AM16" s="443">
        <f t="shared" si="6"/>
        <v>4</v>
      </c>
      <c r="AN16" s="588"/>
      <c r="AO16" s="443">
        <v>3</v>
      </c>
      <c r="AP16" s="447">
        <v>2820.0000000000005</v>
      </c>
      <c r="AQ16" s="439">
        <v>940.00000000000011</v>
      </c>
      <c r="AR16" s="443">
        <f t="shared" si="7"/>
        <v>7</v>
      </c>
      <c r="AS16" s="588"/>
      <c r="AT16" s="443">
        <v>3</v>
      </c>
      <c r="AU16" s="447">
        <v>2772.0000000000005</v>
      </c>
      <c r="AV16" s="439">
        <v>924.00000000000011</v>
      </c>
      <c r="AW16" s="443">
        <f t="shared" si="8"/>
        <v>5</v>
      </c>
      <c r="AX16" s="584"/>
      <c r="AZ16" s="313" t="e">
        <f>RANK(AX16, $K$7:AX$36)</f>
        <v>#N/A</v>
      </c>
      <c r="BB16" s="311" t="e">
        <f t="shared" si="0"/>
        <v>#N/A</v>
      </c>
    </row>
    <row r="17" spans="2:54">
      <c r="B17" s="599"/>
      <c r="C17" s="443">
        <v>11</v>
      </c>
      <c r="D17" s="443" t="s">
        <v>364</v>
      </c>
      <c r="E17" s="447">
        <v>4</v>
      </c>
      <c r="F17" s="447">
        <v>3300</v>
      </c>
      <c r="G17" s="447">
        <v>825</v>
      </c>
      <c r="H17" s="564"/>
      <c r="I17" s="447">
        <f t="shared" si="1"/>
        <v>4</v>
      </c>
      <c r="J17" s="447">
        <f t="shared" si="1"/>
        <v>2813.9828162618987</v>
      </c>
      <c r="K17" s="439">
        <f t="shared" si="1"/>
        <v>703.49570406547468</v>
      </c>
      <c r="L17" s="564"/>
      <c r="M17" s="447">
        <f>RANK(K17, K$7:$K$36)</f>
        <v>15</v>
      </c>
      <c r="N17" s="559"/>
      <c r="O17" s="559"/>
      <c r="P17" s="443"/>
      <c r="Q17" s="447"/>
      <c r="R17" s="447"/>
      <c r="S17" s="443" t="e">
        <f t="shared" si="2"/>
        <v>#N/A</v>
      </c>
      <c r="T17" s="588"/>
      <c r="U17" s="443"/>
      <c r="V17" s="447"/>
      <c r="W17" s="439"/>
      <c r="X17" s="443" t="e">
        <f t="shared" si="3"/>
        <v>#N/A</v>
      </c>
      <c r="Y17" s="588"/>
      <c r="Z17" s="443">
        <v>4</v>
      </c>
      <c r="AA17" s="447">
        <v>2809.2000000000007</v>
      </c>
      <c r="AB17" s="439">
        <v>702.30000000000018</v>
      </c>
      <c r="AC17" s="443">
        <f t="shared" si="4"/>
        <v>12</v>
      </c>
      <c r="AD17" s="588"/>
      <c r="AE17" s="443">
        <v>4</v>
      </c>
      <c r="AF17" s="447">
        <v>2818.695652173913</v>
      </c>
      <c r="AG17" s="439">
        <v>704.67391304347825</v>
      </c>
      <c r="AH17" s="443">
        <f t="shared" si="5"/>
        <v>15</v>
      </c>
      <c r="AI17" s="588"/>
      <c r="AJ17" s="443">
        <v>4</v>
      </c>
      <c r="AK17" s="447">
        <v>2850.697674418604</v>
      </c>
      <c r="AL17" s="439">
        <v>712.67441860465101</v>
      </c>
      <c r="AM17" s="443">
        <f t="shared" si="6"/>
        <v>15</v>
      </c>
      <c r="AN17" s="588"/>
      <c r="AO17" s="443">
        <v>4</v>
      </c>
      <c r="AP17" s="447">
        <v>2832.4528301886767</v>
      </c>
      <c r="AQ17" s="439">
        <v>708.11320754716917</v>
      </c>
      <c r="AR17" s="443">
        <f t="shared" si="7"/>
        <v>15</v>
      </c>
      <c r="AS17" s="588"/>
      <c r="AT17" s="443">
        <v>4</v>
      </c>
      <c r="AU17" s="447">
        <v>2758.8679245282992</v>
      </c>
      <c r="AV17" s="439">
        <v>689.71698113207481</v>
      </c>
      <c r="AW17" s="443">
        <f t="shared" si="8"/>
        <v>16</v>
      </c>
      <c r="AX17" s="584"/>
      <c r="AZ17" s="313" t="e">
        <f>RANK(AX17, $K$7:AX$36)</f>
        <v>#N/A</v>
      </c>
      <c r="BB17" s="311" t="e">
        <f t="shared" si="0"/>
        <v>#N/A</v>
      </c>
    </row>
    <row r="18" spans="2:54">
      <c r="B18" s="599"/>
      <c r="C18" s="443">
        <v>12</v>
      </c>
      <c r="D18" s="443" t="s">
        <v>365</v>
      </c>
      <c r="E18" s="447">
        <v>4</v>
      </c>
      <c r="F18" s="447">
        <v>3300</v>
      </c>
      <c r="G18" s="447">
        <v>825</v>
      </c>
      <c r="H18" s="564"/>
      <c r="I18" s="447">
        <f t="shared" si="1"/>
        <v>4</v>
      </c>
      <c r="J18" s="447">
        <f t="shared" si="1"/>
        <v>2756.7826389067604</v>
      </c>
      <c r="K18" s="439">
        <f t="shared" si="1"/>
        <v>689.19565972669011</v>
      </c>
      <c r="L18" s="564"/>
      <c r="M18" s="447">
        <f>RANK(K18, K$7:$K$36)</f>
        <v>16</v>
      </c>
      <c r="N18" s="559"/>
      <c r="O18" s="559"/>
      <c r="P18" s="443"/>
      <c r="Q18" s="447"/>
      <c r="R18" s="447"/>
      <c r="S18" s="443" t="e">
        <f t="shared" si="2"/>
        <v>#N/A</v>
      </c>
      <c r="T18" s="588"/>
      <c r="U18" s="443"/>
      <c r="V18" s="447"/>
      <c r="W18" s="439"/>
      <c r="X18" s="443" t="e">
        <f t="shared" si="3"/>
        <v>#N/A</v>
      </c>
      <c r="Y18" s="588"/>
      <c r="Z18" s="443">
        <v>4</v>
      </c>
      <c r="AA18" s="447">
        <v>2656.9999999999986</v>
      </c>
      <c r="AB18" s="439">
        <v>664.24999999999966</v>
      </c>
      <c r="AC18" s="443">
        <f t="shared" si="4"/>
        <v>14</v>
      </c>
      <c r="AD18" s="588"/>
      <c r="AE18" s="443">
        <v>4</v>
      </c>
      <c r="AF18" s="447">
        <v>2793.4615384615399</v>
      </c>
      <c r="AG18" s="439">
        <v>698.36538461538498</v>
      </c>
      <c r="AH18" s="443">
        <f t="shared" si="5"/>
        <v>16</v>
      </c>
      <c r="AI18" s="588"/>
      <c r="AJ18" s="443">
        <v>4</v>
      </c>
      <c r="AK18" s="447">
        <v>2829.7959183673433</v>
      </c>
      <c r="AL18" s="439">
        <v>707.44897959183584</v>
      </c>
      <c r="AM18" s="443">
        <f t="shared" si="6"/>
        <v>16</v>
      </c>
      <c r="AN18" s="588"/>
      <c r="AO18" s="443">
        <v>4</v>
      </c>
      <c r="AP18" s="447">
        <v>2780.6557377049171</v>
      </c>
      <c r="AQ18" s="439">
        <v>695.16393442622928</v>
      </c>
      <c r="AR18" s="443">
        <f t="shared" si="7"/>
        <v>17</v>
      </c>
      <c r="AS18" s="588"/>
      <c r="AT18" s="443">
        <v>4</v>
      </c>
      <c r="AU18" s="447">
        <v>2723.0000000000027</v>
      </c>
      <c r="AV18" s="439">
        <v>680.75000000000068</v>
      </c>
      <c r="AW18" s="443">
        <f t="shared" si="8"/>
        <v>17</v>
      </c>
      <c r="AX18" s="584"/>
      <c r="AZ18" s="313" t="e">
        <f>RANK(AX18, $K$7:AX$36)</f>
        <v>#N/A</v>
      </c>
      <c r="BB18" s="311" t="e">
        <f t="shared" si="0"/>
        <v>#N/A</v>
      </c>
    </row>
    <row r="19" spans="2:54">
      <c r="B19" s="599"/>
      <c r="C19" s="443">
        <v>13</v>
      </c>
      <c r="D19" s="443" t="s">
        <v>555</v>
      </c>
      <c r="E19" s="447">
        <v>4</v>
      </c>
      <c r="F19" s="447">
        <v>2800</v>
      </c>
      <c r="G19" s="447">
        <v>700</v>
      </c>
      <c r="H19" s="564"/>
      <c r="I19" s="447">
        <f t="shared" si="1"/>
        <v>4</v>
      </c>
      <c r="J19" s="447">
        <f t="shared" si="1"/>
        <v>2868.8034632034614</v>
      </c>
      <c r="K19" s="439">
        <f t="shared" si="1"/>
        <v>717.20086580086536</v>
      </c>
      <c r="L19" s="564"/>
      <c r="M19" s="447">
        <f>RANK(K19, K$7:$K$36)</f>
        <v>14</v>
      </c>
      <c r="N19" s="559"/>
      <c r="O19" s="559"/>
      <c r="P19" s="443"/>
      <c r="Q19" s="447"/>
      <c r="R19" s="447"/>
      <c r="S19" s="443" t="e">
        <f t="shared" si="2"/>
        <v>#N/A</v>
      </c>
      <c r="T19" s="588"/>
      <c r="U19" s="443"/>
      <c r="V19" s="447"/>
      <c r="W19" s="439"/>
      <c r="X19" s="443" t="e">
        <f t="shared" si="3"/>
        <v>#N/A</v>
      </c>
      <c r="Y19" s="588"/>
      <c r="Z19" s="443">
        <v>4</v>
      </c>
      <c r="AA19" s="447">
        <v>2919.4285714285747</v>
      </c>
      <c r="AB19" s="439">
        <v>729.85714285714369</v>
      </c>
      <c r="AC19" s="443">
        <f t="shared" si="4"/>
        <v>11</v>
      </c>
      <c r="AD19" s="588"/>
      <c r="AE19" s="443">
        <v>4</v>
      </c>
      <c r="AF19" s="447">
        <v>2723.6363636363599</v>
      </c>
      <c r="AG19" s="439">
        <v>680.90909090908997</v>
      </c>
      <c r="AH19" s="443">
        <f t="shared" si="5"/>
        <v>17</v>
      </c>
      <c r="AI19" s="588"/>
      <c r="AJ19" s="443">
        <v>4</v>
      </c>
      <c r="AK19" s="447">
        <v>3093.3333333333353</v>
      </c>
      <c r="AL19" s="439">
        <v>773.33333333333383</v>
      </c>
      <c r="AM19" s="443">
        <f t="shared" si="6"/>
        <v>13</v>
      </c>
      <c r="AN19" s="588"/>
      <c r="AO19" s="443">
        <v>4</v>
      </c>
      <c r="AP19" s="447">
        <v>2813.3333333333248</v>
      </c>
      <c r="AQ19" s="439">
        <v>703.33333333333121</v>
      </c>
      <c r="AR19" s="443">
        <f t="shared" si="7"/>
        <v>16</v>
      </c>
      <c r="AS19" s="588"/>
      <c r="AT19" s="443">
        <v>4</v>
      </c>
      <c r="AU19" s="447">
        <v>2794.2857142857115</v>
      </c>
      <c r="AV19" s="439">
        <v>698.57142857142787</v>
      </c>
      <c r="AW19" s="443">
        <f t="shared" si="8"/>
        <v>15</v>
      </c>
      <c r="AX19" s="584"/>
      <c r="AZ19" s="313" t="e">
        <f>RANK(AX19, $K$7:AX$36)</f>
        <v>#N/A</v>
      </c>
      <c r="BB19" s="311" t="e">
        <f t="shared" si="0"/>
        <v>#N/A</v>
      </c>
    </row>
    <row r="20" spans="2:54">
      <c r="B20" s="599"/>
      <c r="C20" s="443">
        <v>14</v>
      </c>
      <c r="D20" s="443" t="s">
        <v>366</v>
      </c>
      <c r="E20" s="447">
        <v>4</v>
      </c>
      <c r="F20" s="447">
        <v>3600</v>
      </c>
      <c r="G20" s="447">
        <v>900</v>
      </c>
      <c r="H20" s="564"/>
      <c r="I20" s="447">
        <f t="shared" si="1"/>
        <v>4</v>
      </c>
      <c r="J20" s="447">
        <f t="shared" si="1"/>
        <v>2702.5999999999931</v>
      </c>
      <c r="K20" s="439">
        <f t="shared" si="1"/>
        <v>675.64999999999827</v>
      </c>
      <c r="L20" s="564"/>
      <c r="M20" s="447">
        <f>RANK(K20, K$7:$K$36)</f>
        <v>18</v>
      </c>
      <c r="N20" s="559"/>
      <c r="O20" s="559"/>
      <c r="P20" s="443"/>
      <c r="Q20" s="447"/>
      <c r="R20" s="447"/>
      <c r="S20" s="443" t="e">
        <f t="shared" si="2"/>
        <v>#N/A</v>
      </c>
      <c r="T20" s="588"/>
      <c r="U20" s="443"/>
      <c r="V20" s="447"/>
      <c r="W20" s="439"/>
      <c r="X20" s="443" t="e">
        <f t="shared" si="3"/>
        <v>#N/A</v>
      </c>
      <c r="Y20" s="588"/>
      <c r="Z20" s="443">
        <v>4</v>
      </c>
      <c r="AA20" s="447">
        <v>2636.9999999999882</v>
      </c>
      <c r="AB20" s="439">
        <v>659.24999999999704</v>
      </c>
      <c r="AC20" s="443">
        <f t="shared" si="4"/>
        <v>16</v>
      </c>
      <c r="AD20" s="588"/>
      <c r="AE20" s="443">
        <v>4</v>
      </c>
      <c r="AF20" s="447">
        <v>2540.9999999999886</v>
      </c>
      <c r="AG20" s="439">
        <v>635.24999999999716</v>
      </c>
      <c r="AH20" s="443">
        <f t="shared" si="5"/>
        <v>18</v>
      </c>
      <c r="AI20" s="588"/>
      <c r="AJ20" s="443">
        <v>4</v>
      </c>
      <c r="AK20" s="447">
        <v>2531.9999999999886</v>
      </c>
      <c r="AL20" s="439">
        <v>632.99999999999716</v>
      </c>
      <c r="AM20" s="443">
        <f t="shared" si="6"/>
        <v>18</v>
      </c>
      <c r="AN20" s="588"/>
      <c r="AO20" s="443">
        <v>4</v>
      </c>
      <c r="AP20" s="447">
        <v>2570.9999999999886</v>
      </c>
      <c r="AQ20" s="439">
        <v>642.74999999999716</v>
      </c>
      <c r="AR20" s="443">
        <f t="shared" si="7"/>
        <v>18</v>
      </c>
      <c r="AS20" s="588"/>
      <c r="AT20" s="443">
        <v>4</v>
      </c>
      <c r="AU20" s="447">
        <v>3232.0000000000114</v>
      </c>
      <c r="AV20" s="439">
        <v>808.00000000000284</v>
      </c>
      <c r="AW20" s="443">
        <f t="shared" si="8"/>
        <v>9</v>
      </c>
      <c r="AX20" s="584"/>
      <c r="AZ20" s="313" t="e">
        <f>RANK(AX20, $K$7:AX$36)</f>
        <v>#N/A</v>
      </c>
      <c r="BB20" s="311" t="e">
        <f t="shared" si="0"/>
        <v>#N/A</v>
      </c>
    </row>
    <row r="21" spans="2:54">
      <c r="B21" s="599"/>
      <c r="C21" s="443">
        <v>15</v>
      </c>
      <c r="D21" s="443" t="s">
        <v>367</v>
      </c>
      <c r="E21" s="447">
        <v>4</v>
      </c>
      <c r="F21" s="447">
        <v>3600</v>
      </c>
      <c r="G21" s="447">
        <v>900</v>
      </c>
      <c r="H21" s="564"/>
      <c r="I21" s="447">
        <f t="shared" si="1"/>
        <v>4</v>
      </c>
      <c r="J21" s="447">
        <f t="shared" si="1"/>
        <v>2436.0000000000009</v>
      </c>
      <c r="K21" s="439">
        <f t="shared" si="1"/>
        <v>609.00000000000023</v>
      </c>
      <c r="L21" s="564"/>
      <c r="M21" s="447">
        <f>RANK(K21, K$7:$K$36)</f>
        <v>19</v>
      </c>
      <c r="N21" s="559"/>
      <c r="O21" s="559"/>
      <c r="P21" s="443"/>
      <c r="Q21" s="447"/>
      <c r="R21" s="447"/>
      <c r="S21" s="443" t="e">
        <f t="shared" si="2"/>
        <v>#N/A</v>
      </c>
      <c r="T21" s="588"/>
      <c r="U21" s="443"/>
      <c r="V21" s="447"/>
      <c r="W21" s="439"/>
      <c r="X21" s="443" t="e">
        <f t="shared" si="3"/>
        <v>#N/A</v>
      </c>
      <c r="Y21" s="588"/>
      <c r="Z21" s="443">
        <v>4</v>
      </c>
      <c r="AA21" s="447">
        <v>2634.0000000000091</v>
      </c>
      <c r="AB21" s="439">
        <v>658.50000000000227</v>
      </c>
      <c r="AC21" s="443">
        <f t="shared" si="4"/>
        <v>17</v>
      </c>
      <c r="AD21" s="588"/>
      <c r="AE21" s="443">
        <v>4</v>
      </c>
      <c r="AF21" s="447">
        <v>2388.0000000000082</v>
      </c>
      <c r="AG21" s="439">
        <v>597.00000000000205</v>
      </c>
      <c r="AH21" s="443">
        <f t="shared" si="5"/>
        <v>19</v>
      </c>
      <c r="AI21" s="588"/>
      <c r="AJ21" s="443">
        <v>4</v>
      </c>
      <c r="AK21" s="447">
        <v>2412.0000000000086</v>
      </c>
      <c r="AL21" s="439">
        <v>603.00000000000216</v>
      </c>
      <c r="AM21" s="443">
        <f t="shared" si="6"/>
        <v>19</v>
      </c>
      <c r="AN21" s="588"/>
      <c r="AO21" s="443">
        <v>4</v>
      </c>
      <c r="AP21" s="447">
        <v>2406.0000000000086</v>
      </c>
      <c r="AQ21" s="439">
        <v>601.50000000000216</v>
      </c>
      <c r="AR21" s="443">
        <f t="shared" si="7"/>
        <v>19</v>
      </c>
      <c r="AS21" s="588"/>
      <c r="AT21" s="443">
        <v>4</v>
      </c>
      <c r="AU21" s="447">
        <v>2339.9999999999709</v>
      </c>
      <c r="AV21" s="439">
        <v>584.99999999999272</v>
      </c>
      <c r="AW21" s="443">
        <f t="shared" si="8"/>
        <v>19</v>
      </c>
      <c r="AX21" s="584"/>
      <c r="AZ21" s="313" t="e">
        <f>RANK(AX21, $K$7:AX$36)</f>
        <v>#N/A</v>
      </c>
      <c r="BB21" s="311" t="e">
        <f t="shared" si="0"/>
        <v>#N/A</v>
      </c>
    </row>
    <row r="22" spans="2:54">
      <c r="B22" s="599"/>
      <c r="C22" s="443">
        <v>16</v>
      </c>
      <c r="D22" s="443" t="s">
        <v>466</v>
      </c>
      <c r="E22" s="447">
        <v>4</v>
      </c>
      <c r="F22" s="447">
        <v>3300</v>
      </c>
      <c r="G22" s="447">
        <v>825</v>
      </c>
      <c r="H22" s="564"/>
      <c r="I22" s="447">
        <f t="shared" si="1"/>
        <v>3</v>
      </c>
      <c r="J22" s="447">
        <f t="shared" si="1"/>
        <v>2784.4018181818201</v>
      </c>
      <c r="K22" s="439">
        <f t="shared" si="1"/>
        <v>928.13393939393995</v>
      </c>
      <c r="L22" s="564"/>
      <c r="M22" s="447">
        <f>RANK(K22, K$7:$K$36)</f>
        <v>7</v>
      </c>
      <c r="N22" s="559"/>
      <c r="O22" s="559"/>
      <c r="P22" s="443"/>
      <c r="Q22" s="447"/>
      <c r="R22" s="447"/>
      <c r="S22" s="443" t="e">
        <f t="shared" si="2"/>
        <v>#N/A</v>
      </c>
      <c r="T22" s="588"/>
      <c r="U22" s="443"/>
      <c r="V22" s="447"/>
      <c r="W22" s="439"/>
      <c r="X22" s="443" t="e">
        <f t="shared" si="3"/>
        <v>#N/A</v>
      </c>
      <c r="Y22" s="588"/>
      <c r="Z22" s="443">
        <v>3</v>
      </c>
      <c r="AA22" s="447">
        <v>2733.6000000000008</v>
      </c>
      <c r="AB22" s="439">
        <v>911.20000000000027</v>
      </c>
      <c r="AC22" s="443">
        <f t="shared" si="4"/>
        <v>6</v>
      </c>
      <c r="AD22" s="588"/>
      <c r="AE22" s="443">
        <v>3</v>
      </c>
      <c r="AF22" s="447">
        <v>2710.909090909091</v>
      </c>
      <c r="AG22" s="439">
        <v>903.63636363636363</v>
      </c>
      <c r="AH22" s="443">
        <f t="shared" si="5"/>
        <v>8</v>
      </c>
      <c r="AI22" s="588"/>
      <c r="AJ22" s="443">
        <v>3</v>
      </c>
      <c r="AK22" s="447">
        <v>2919.9999999999977</v>
      </c>
      <c r="AL22" s="439">
        <v>973.33333333333258</v>
      </c>
      <c r="AM22" s="443">
        <f t="shared" si="6"/>
        <v>3</v>
      </c>
      <c r="AN22" s="588"/>
      <c r="AO22" s="443">
        <v>3</v>
      </c>
      <c r="AP22" s="447">
        <v>2867.5000000000009</v>
      </c>
      <c r="AQ22" s="439">
        <v>955.8333333333336</v>
      </c>
      <c r="AR22" s="443">
        <f t="shared" si="7"/>
        <v>5</v>
      </c>
      <c r="AS22" s="588"/>
      <c r="AT22" s="443">
        <v>3</v>
      </c>
      <c r="AU22" s="447">
        <v>2690.0000000000095</v>
      </c>
      <c r="AV22" s="439">
        <v>896.66666666666981</v>
      </c>
      <c r="AW22" s="443">
        <f t="shared" si="8"/>
        <v>8</v>
      </c>
      <c r="AX22" s="584"/>
      <c r="AZ22" s="313" t="e">
        <f>RANK(AX22, $K$7:AX$36)</f>
        <v>#N/A</v>
      </c>
      <c r="BB22" s="311" t="e">
        <f t="shared" si="0"/>
        <v>#N/A</v>
      </c>
    </row>
    <row r="23" spans="2:54">
      <c r="B23" s="599"/>
      <c r="C23" s="443">
        <v>17</v>
      </c>
      <c r="D23" s="443" t="s">
        <v>552</v>
      </c>
      <c r="E23" s="447">
        <v>3</v>
      </c>
      <c r="F23" s="447">
        <v>2800</v>
      </c>
      <c r="G23" s="447">
        <v>933.33333333333337</v>
      </c>
      <c r="H23" s="564"/>
      <c r="I23" s="447">
        <f t="shared" si="1"/>
        <v>3</v>
      </c>
      <c r="J23" s="447">
        <f t="shared" si="1"/>
        <v>2747.999999999995</v>
      </c>
      <c r="K23" s="439">
        <f t="shared" si="1"/>
        <v>915.99999999999841</v>
      </c>
      <c r="L23" s="564"/>
      <c r="M23" s="447">
        <f>RANK(K23, K$7:$K$36)</f>
        <v>8</v>
      </c>
      <c r="N23" s="559"/>
      <c r="O23" s="559"/>
      <c r="P23" s="443"/>
      <c r="Q23" s="447"/>
      <c r="R23" s="447"/>
      <c r="S23" s="443" t="e">
        <f t="shared" si="2"/>
        <v>#N/A</v>
      </c>
      <c r="T23" s="588"/>
      <c r="U23" s="443"/>
      <c r="V23" s="447"/>
      <c r="W23" s="439"/>
      <c r="X23" s="443" t="e">
        <f t="shared" si="3"/>
        <v>#N/A</v>
      </c>
      <c r="Y23" s="588"/>
      <c r="Z23" s="443">
        <v>3</v>
      </c>
      <c r="AA23" s="447">
        <v>2759.999999999995</v>
      </c>
      <c r="AB23" s="439">
        <v>919.99999999999829</v>
      </c>
      <c r="AC23" s="443">
        <f t="shared" si="4"/>
        <v>5</v>
      </c>
      <c r="AD23" s="588"/>
      <c r="AE23" s="443">
        <v>3</v>
      </c>
      <c r="AF23" s="447">
        <v>2651.9999999999955</v>
      </c>
      <c r="AG23" s="439">
        <v>883.99999999999852</v>
      </c>
      <c r="AH23" s="443">
        <f t="shared" si="5"/>
        <v>9</v>
      </c>
      <c r="AI23" s="588"/>
      <c r="AJ23" s="443">
        <v>3</v>
      </c>
      <c r="AK23" s="447">
        <v>2731.999999999995</v>
      </c>
      <c r="AL23" s="439">
        <v>910.66666666666504</v>
      </c>
      <c r="AM23" s="443">
        <f t="shared" si="6"/>
        <v>8</v>
      </c>
      <c r="AN23" s="588"/>
      <c r="AO23" s="443">
        <v>3</v>
      </c>
      <c r="AP23" s="447">
        <v>2815.999999999995</v>
      </c>
      <c r="AQ23" s="439">
        <v>938.66666666666504</v>
      </c>
      <c r="AR23" s="443">
        <f t="shared" si="7"/>
        <v>8</v>
      </c>
      <c r="AS23" s="588"/>
      <c r="AT23" s="443">
        <v>3</v>
      </c>
      <c r="AU23" s="447">
        <v>2779.999999999995</v>
      </c>
      <c r="AV23" s="439">
        <v>926.66666666666504</v>
      </c>
      <c r="AW23" s="443">
        <f t="shared" si="8"/>
        <v>3</v>
      </c>
      <c r="AX23" s="584"/>
      <c r="AZ23" s="313" t="e">
        <f>RANK(AX23, $K$7:AX$36)</f>
        <v>#N/A</v>
      </c>
      <c r="BB23" s="311" t="e">
        <f t="shared" si="0"/>
        <v>#N/A</v>
      </c>
    </row>
    <row r="24" spans="2:54">
      <c r="B24" s="599"/>
      <c r="C24" s="443">
        <v>18</v>
      </c>
      <c r="D24" s="443" t="s">
        <v>616</v>
      </c>
      <c r="E24" s="447">
        <v>4</v>
      </c>
      <c r="F24" s="447">
        <v>3000</v>
      </c>
      <c r="G24" s="447">
        <v>750</v>
      </c>
      <c r="H24" s="564"/>
      <c r="I24" s="447">
        <f t="shared" ref="I24:K27" si="9">AVERAGE(P24,U24,Z24,AE24,AJ24,AO24,AT24)</f>
        <v>3</v>
      </c>
      <c r="J24" s="447">
        <f t="shared" si="9"/>
        <v>2236.8000000000015</v>
      </c>
      <c r="K24" s="439">
        <f t="shared" si="9"/>
        <v>745.60000000000059</v>
      </c>
      <c r="L24" s="564"/>
      <c r="M24" s="447">
        <f>RANK(K24, K$7:$K$36)</f>
        <v>13</v>
      </c>
      <c r="N24" s="559"/>
      <c r="O24" s="559"/>
      <c r="P24" s="443"/>
      <c r="Q24" s="447"/>
      <c r="R24" s="447"/>
      <c r="S24" s="443" t="e">
        <f t="shared" si="2"/>
        <v>#N/A</v>
      </c>
      <c r="T24" s="588"/>
      <c r="U24" s="443"/>
      <c r="V24" s="447"/>
      <c r="W24" s="439"/>
      <c r="X24" s="443" t="e">
        <f t="shared" si="3"/>
        <v>#N/A</v>
      </c>
      <c r="Y24" s="588"/>
      <c r="Z24" s="443">
        <v>3</v>
      </c>
      <c r="AA24" s="447">
        <v>2288.7272727272743</v>
      </c>
      <c r="AB24" s="439">
        <v>762.90909090909145</v>
      </c>
      <c r="AC24" s="443">
        <f t="shared" si="4"/>
        <v>9</v>
      </c>
      <c r="AD24" s="588"/>
      <c r="AE24" s="443">
        <v>3</v>
      </c>
      <c r="AF24" s="447">
        <v>2229.8181818181829</v>
      </c>
      <c r="AG24" s="439">
        <v>743.27272727272759</v>
      </c>
      <c r="AH24" s="443">
        <f t="shared" si="5"/>
        <v>14</v>
      </c>
      <c r="AI24" s="588"/>
      <c r="AJ24" s="443">
        <v>3</v>
      </c>
      <c r="AK24" s="447">
        <v>2160.0000000000023</v>
      </c>
      <c r="AL24" s="439">
        <v>720.0000000000008</v>
      </c>
      <c r="AM24" s="443">
        <f t="shared" si="6"/>
        <v>14</v>
      </c>
      <c r="AN24" s="588"/>
      <c r="AO24" s="443">
        <v>3</v>
      </c>
      <c r="AP24" s="447">
        <v>2208.0000000000018</v>
      </c>
      <c r="AQ24" s="439">
        <v>736.00000000000057</v>
      </c>
      <c r="AR24" s="443">
        <f t="shared" si="7"/>
        <v>13</v>
      </c>
      <c r="AS24" s="588"/>
      <c r="AT24" s="443">
        <v>3</v>
      </c>
      <c r="AU24" s="447">
        <v>2297.4545454545469</v>
      </c>
      <c r="AV24" s="439">
        <v>765.81818181818232</v>
      </c>
      <c r="AW24" s="443">
        <f t="shared" si="8"/>
        <v>14</v>
      </c>
      <c r="AX24" s="584"/>
      <c r="AZ24" s="313" t="e">
        <f>RANK(AX24, $K$7:AX$36)</f>
        <v>#N/A</v>
      </c>
      <c r="BB24" s="311" t="e">
        <f t="shared" si="0"/>
        <v>#N/A</v>
      </c>
    </row>
    <row r="25" spans="2:54">
      <c r="B25" s="599"/>
      <c r="C25" s="443">
        <v>19</v>
      </c>
      <c r="D25" s="443" t="s">
        <v>560</v>
      </c>
      <c r="E25" s="447">
        <v>12</v>
      </c>
      <c r="F25" s="447">
        <v>1500</v>
      </c>
      <c r="G25" s="447">
        <v>125</v>
      </c>
      <c r="H25" s="564"/>
      <c r="I25" s="447">
        <f t="shared" si="9"/>
        <v>8</v>
      </c>
      <c r="J25" s="447">
        <f t="shared" si="9"/>
        <v>1512.6408575031523</v>
      </c>
      <c r="K25" s="439">
        <f t="shared" si="9"/>
        <v>189.08010718789404</v>
      </c>
      <c r="L25" s="564"/>
      <c r="M25" s="447">
        <f>RANK(K25, K$7:$K$36)</f>
        <v>21</v>
      </c>
      <c r="N25" s="559"/>
      <c r="O25" s="559"/>
      <c r="P25" s="443"/>
      <c r="Q25" s="447"/>
      <c r="R25" s="447"/>
      <c r="S25" s="443" t="e">
        <f t="shared" si="2"/>
        <v>#N/A</v>
      </c>
      <c r="T25" s="588"/>
      <c r="U25" s="443"/>
      <c r="V25" s="447"/>
      <c r="W25" s="439"/>
      <c r="X25" s="443" t="e">
        <f t="shared" si="3"/>
        <v>#N/A</v>
      </c>
      <c r="Y25" s="588"/>
      <c r="Z25" s="443">
        <v>8</v>
      </c>
      <c r="AA25" s="447">
        <v>1500.0000000000002</v>
      </c>
      <c r="AB25" s="439">
        <v>187.50000000000003</v>
      </c>
      <c r="AC25" s="443">
        <f t="shared" si="4"/>
        <v>21</v>
      </c>
      <c r="AD25" s="588"/>
      <c r="AE25" s="443">
        <v>8</v>
      </c>
      <c r="AF25" s="447">
        <v>1495.3846153846162</v>
      </c>
      <c r="AG25" s="439">
        <v>186.92307692307702</v>
      </c>
      <c r="AH25" s="443">
        <f t="shared" si="5"/>
        <v>21</v>
      </c>
      <c r="AI25" s="588"/>
      <c r="AJ25" s="443">
        <v>8</v>
      </c>
      <c r="AK25" s="447">
        <v>1510.8196721311479</v>
      </c>
      <c r="AL25" s="439">
        <v>188.85245901639348</v>
      </c>
      <c r="AM25" s="443">
        <f t="shared" si="6"/>
        <v>21</v>
      </c>
      <c r="AN25" s="588"/>
      <c r="AO25" s="443">
        <v>8</v>
      </c>
      <c r="AP25" s="447">
        <v>1571.9999999999993</v>
      </c>
      <c r="AQ25" s="439">
        <v>196.49999999999991</v>
      </c>
      <c r="AR25" s="443">
        <f t="shared" si="7"/>
        <v>21</v>
      </c>
      <c r="AS25" s="588"/>
      <c r="AT25" s="443">
        <v>8</v>
      </c>
      <c r="AU25" s="447">
        <v>1484.9999999999993</v>
      </c>
      <c r="AV25" s="439">
        <v>185.62499999999991</v>
      </c>
      <c r="AW25" s="443">
        <f t="shared" si="8"/>
        <v>21</v>
      </c>
      <c r="AX25" s="584"/>
      <c r="AZ25" s="313" t="e">
        <f>RANK(AX25, $K$7:AX$36)</f>
        <v>#N/A</v>
      </c>
      <c r="BB25" s="311" t="e">
        <f t="shared" si="0"/>
        <v>#N/A</v>
      </c>
    </row>
    <row r="26" spans="2:54">
      <c r="B26" s="599"/>
      <c r="C26" s="443">
        <v>20</v>
      </c>
      <c r="D26" s="443" t="s">
        <v>630</v>
      </c>
      <c r="E26" s="447">
        <v>4</v>
      </c>
      <c r="F26" s="447">
        <v>3000</v>
      </c>
      <c r="G26" s="447">
        <v>750</v>
      </c>
      <c r="H26" s="564"/>
      <c r="I26" s="447">
        <f t="shared" si="9"/>
        <v>4</v>
      </c>
      <c r="J26" s="447">
        <f t="shared" si="9"/>
        <v>2222.552727272724</v>
      </c>
      <c r="K26" s="439">
        <f t="shared" si="9"/>
        <v>555.63818181818101</v>
      </c>
      <c r="L26" s="564"/>
      <c r="M26" s="447">
        <f>RANK(K26, K$7:$K$36)</f>
        <v>20</v>
      </c>
      <c r="N26" s="559"/>
      <c r="O26" s="559"/>
      <c r="P26" s="443"/>
      <c r="Q26" s="447"/>
      <c r="R26" s="447"/>
      <c r="S26" s="443" t="e">
        <f t="shared" si="2"/>
        <v>#N/A</v>
      </c>
      <c r="T26" s="588"/>
      <c r="U26" s="443"/>
      <c r="V26" s="447"/>
      <c r="W26" s="439"/>
      <c r="X26" s="443" t="e">
        <f t="shared" si="3"/>
        <v>#N/A</v>
      </c>
      <c r="Y26" s="588"/>
      <c r="Z26" s="443">
        <v>4</v>
      </c>
      <c r="AA26" s="447">
        <v>2285.45454545454</v>
      </c>
      <c r="AB26" s="439">
        <v>571.36363636363501</v>
      </c>
      <c r="AC26" s="443">
        <f t="shared" si="4"/>
        <v>19</v>
      </c>
      <c r="AD26" s="588"/>
      <c r="AE26" s="443">
        <v>4</v>
      </c>
      <c r="AF26" s="447">
        <v>2275.1999999999939</v>
      </c>
      <c r="AG26" s="439">
        <v>568.79999999999848</v>
      </c>
      <c r="AH26" s="443">
        <f t="shared" si="5"/>
        <v>20</v>
      </c>
      <c r="AI26" s="588"/>
      <c r="AJ26" s="443">
        <v>4</v>
      </c>
      <c r="AK26" s="447">
        <v>2175.2727272727288</v>
      </c>
      <c r="AL26" s="439">
        <v>543.81818181818221</v>
      </c>
      <c r="AM26" s="443">
        <f t="shared" si="6"/>
        <v>20</v>
      </c>
      <c r="AN26" s="588"/>
      <c r="AO26" s="443">
        <v>4</v>
      </c>
      <c r="AP26" s="447">
        <v>2167.6363636363653</v>
      </c>
      <c r="AQ26" s="439">
        <v>541.90909090909133</v>
      </c>
      <c r="AR26" s="443">
        <f t="shared" si="7"/>
        <v>20</v>
      </c>
      <c r="AS26" s="588"/>
      <c r="AT26" s="443">
        <v>4</v>
      </c>
      <c r="AU26" s="447">
        <v>2209.1999999999935</v>
      </c>
      <c r="AV26" s="439">
        <v>552.29999999999836</v>
      </c>
      <c r="AW26" s="443">
        <f t="shared" si="8"/>
        <v>20</v>
      </c>
      <c r="AX26" s="584"/>
      <c r="AZ26" s="313" t="e">
        <f>RANK(AX26, $K$7:AX$36)</f>
        <v>#N/A</v>
      </c>
      <c r="BB26" s="311" t="e">
        <f t="shared" si="0"/>
        <v>#N/A</v>
      </c>
    </row>
    <row r="27" spans="2:54">
      <c r="B27" s="599"/>
      <c r="C27" s="443">
        <v>21</v>
      </c>
      <c r="D27" s="434" t="s">
        <v>699</v>
      </c>
      <c r="E27" s="447">
        <v>3</v>
      </c>
      <c r="F27" s="447">
        <v>2800</v>
      </c>
      <c r="G27" s="447">
        <v>933.33333333333337</v>
      </c>
      <c r="H27" s="564"/>
      <c r="I27" s="447">
        <f t="shared" si="9"/>
        <v>3</v>
      </c>
      <c r="J27" s="447">
        <f t="shared" si="9"/>
        <v>2809.5342047930276</v>
      </c>
      <c r="K27" s="439">
        <f t="shared" si="9"/>
        <v>936.51140159767601</v>
      </c>
      <c r="L27" s="564"/>
      <c r="M27" s="447">
        <f>RANK(K27, K$7:$K$36)</f>
        <v>5</v>
      </c>
      <c r="N27" s="559"/>
      <c r="O27" s="559"/>
      <c r="P27" s="443"/>
      <c r="Q27" s="447"/>
      <c r="R27" s="447"/>
      <c r="S27" s="443" t="e">
        <f t="shared" si="2"/>
        <v>#N/A</v>
      </c>
      <c r="T27" s="588"/>
      <c r="U27" s="443"/>
      <c r="V27" s="447"/>
      <c r="W27" s="439"/>
      <c r="X27" s="443" t="e">
        <f t="shared" si="3"/>
        <v>#N/A</v>
      </c>
      <c r="Y27" s="588"/>
      <c r="Z27" s="443">
        <v>3</v>
      </c>
      <c r="AA27" s="447">
        <v>2791.2000000000007</v>
      </c>
      <c r="AB27" s="439">
        <v>930.4000000000002</v>
      </c>
      <c r="AC27" s="443">
        <f t="shared" si="4"/>
        <v>3</v>
      </c>
      <c r="AD27" s="588"/>
      <c r="AE27" s="443">
        <v>3</v>
      </c>
      <c r="AF27" s="447">
        <v>2784.7999999999979</v>
      </c>
      <c r="AG27" s="439">
        <v>928.26666666666597</v>
      </c>
      <c r="AH27" s="443">
        <f t="shared" si="5"/>
        <v>7</v>
      </c>
      <c r="AI27" s="588"/>
      <c r="AJ27" s="443">
        <v>3</v>
      </c>
      <c r="AK27" s="447">
        <v>2859.7058823529374</v>
      </c>
      <c r="AL27" s="439">
        <v>953.23529411764582</v>
      </c>
      <c r="AM27" s="443">
        <f t="shared" si="6"/>
        <v>6</v>
      </c>
      <c r="AN27" s="588"/>
      <c r="AO27" s="443">
        <v>3</v>
      </c>
      <c r="AP27" s="447">
        <v>2832.7058823529433</v>
      </c>
      <c r="AQ27" s="439">
        <v>944.23529411764775</v>
      </c>
      <c r="AR27" s="443">
        <f t="shared" si="7"/>
        <v>6</v>
      </c>
      <c r="AS27" s="588"/>
      <c r="AT27" s="443">
        <v>3</v>
      </c>
      <c r="AU27" s="447">
        <v>2779.2592592592605</v>
      </c>
      <c r="AV27" s="439">
        <v>926.4197530864202</v>
      </c>
      <c r="AW27" s="443">
        <f t="shared" si="8"/>
        <v>4</v>
      </c>
      <c r="AX27" s="584"/>
      <c r="AZ27" s="313" t="e">
        <f>RANK(AX27, $K$7:AX$36)</f>
        <v>#N/A</v>
      </c>
      <c r="BB27" s="311" t="e">
        <f t="shared" si="0"/>
        <v>#N/A</v>
      </c>
    </row>
    <row r="28" spans="2:54">
      <c r="B28" s="599"/>
      <c r="C28" s="443">
        <v>22</v>
      </c>
      <c r="D28" s="443"/>
      <c r="E28" s="447" t="s">
        <v>561</v>
      </c>
      <c r="F28" s="447" t="s">
        <v>561</v>
      </c>
      <c r="G28" s="447" t="s">
        <v>561</v>
      </c>
      <c r="H28" s="564"/>
      <c r="I28" s="447"/>
      <c r="J28" s="447"/>
      <c r="K28" s="439"/>
      <c r="L28" s="564"/>
      <c r="M28" s="447" t="e">
        <f>RANK(K28, K$7:$K$36)</f>
        <v>#N/A</v>
      </c>
      <c r="N28" s="559"/>
      <c r="O28" s="559"/>
      <c r="P28" s="443"/>
      <c r="Q28" s="447"/>
      <c r="R28" s="439"/>
      <c r="S28" s="443" t="e">
        <f t="shared" si="2"/>
        <v>#N/A</v>
      </c>
      <c r="T28" s="588"/>
      <c r="U28" s="443"/>
      <c r="V28" s="447"/>
      <c r="W28" s="439"/>
      <c r="X28" s="443" t="e">
        <f t="shared" si="3"/>
        <v>#N/A</v>
      </c>
      <c r="Y28" s="588"/>
      <c r="Z28" s="443"/>
      <c r="AA28" s="447"/>
      <c r="AB28" s="439"/>
      <c r="AC28" s="443" t="e">
        <f t="shared" si="4"/>
        <v>#N/A</v>
      </c>
      <c r="AD28" s="588"/>
      <c r="AE28" s="443"/>
      <c r="AF28" s="447"/>
      <c r="AG28" s="439"/>
      <c r="AH28" s="443" t="e">
        <f t="shared" si="5"/>
        <v>#N/A</v>
      </c>
      <c r="AI28" s="588"/>
      <c r="AJ28" s="443"/>
      <c r="AK28" s="447"/>
      <c r="AL28" s="439"/>
      <c r="AM28" s="443" t="e">
        <f t="shared" si="6"/>
        <v>#N/A</v>
      </c>
      <c r="AN28" s="588"/>
      <c r="AO28" s="443"/>
      <c r="AP28" s="447"/>
      <c r="AQ28" s="439"/>
      <c r="AR28" s="443" t="e">
        <f t="shared" si="7"/>
        <v>#N/A</v>
      </c>
      <c r="AS28" s="588"/>
      <c r="AT28" s="443"/>
      <c r="AU28" s="447"/>
      <c r="AV28" s="439"/>
      <c r="AW28" s="443" t="e">
        <f t="shared" si="8"/>
        <v>#N/A</v>
      </c>
      <c r="AX28" s="584"/>
      <c r="AZ28" s="313" t="e">
        <f>RANK(AX28, $K$7:AX$36)</f>
        <v>#N/A</v>
      </c>
      <c r="BB28" s="311" t="e">
        <f t="shared" si="0"/>
        <v>#N/A</v>
      </c>
    </row>
    <row r="29" spans="2:54">
      <c r="B29" s="599"/>
      <c r="C29" s="443">
        <v>23</v>
      </c>
      <c r="D29" s="443"/>
      <c r="E29" s="447" t="s">
        <v>561</v>
      </c>
      <c r="F29" s="447" t="s">
        <v>561</v>
      </c>
      <c r="G29" s="447" t="s">
        <v>561</v>
      </c>
      <c r="H29" s="564"/>
      <c r="I29" s="447"/>
      <c r="J29" s="447"/>
      <c r="K29" s="439"/>
      <c r="L29" s="564"/>
      <c r="M29" s="447" t="e">
        <f>RANK(K29, K$7:$K$36)</f>
        <v>#N/A</v>
      </c>
      <c r="N29" s="559"/>
      <c r="O29" s="559"/>
      <c r="P29" s="443"/>
      <c r="Q29" s="447"/>
      <c r="R29" s="439"/>
      <c r="S29" s="443" t="e">
        <f t="shared" si="2"/>
        <v>#N/A</v>
      </c>
      <c r="T29" s="588"/>
      <c r="U29" s="443"/>
      <c r="V29" s="447"/>
      <c r="W29" s="439"/>
      <c r="X29" s="443" t="e">
        <f t="shared" si="3"/>
        <v>#N/A</v>
      </c>
      <c r="Y29" s="588"/>
      <c r="Z29" s="443"/>
      <c r="AA29" s="447"/>
      <c r="AB29" s="439"/>
      <c r="AC29" s="443" t="e">
        <f t="shared" si="4"/>
        <v>#N/A</v>
      </c>
      <c r="AD29" s="588"/>
      <c r="AE29" s="443"/>
      <c r="AF29" s="447"/>
      <c r="AG29" s="439"/>
      <c r="AH29" s="443" t="e">
        <f t="shared" si="5"/>
        <v>#N/A</v>
      </c>
      <c r="AI29" s="588"/>
      <c r="AJ29" s="443"/>
      <c r="AK29" s="447"/>
      <c r="AL29" s="439"/>
      <c r="AM29" s="443" t="e">
        <f t="shared" si="6"/>
        <v>#N/A</v>
      </c>
      <c r="AN29" s="588"/>
      <c r="AO29" s="443"/>
      <c r="AP29" s="447"/>
      <c r="AQ29" s="439"/>
      <c r="AR29" s="443" t="e">
        <f t="shared" si="7"/>
        <v>#N/A</v>
      </c>
      <c r="AS29" s="588"/>
      <c r="AT29" s="443"/>
      <c r="AU29" s="447"/>
      <c r="AV29" s="439"/>
      <c r="AW29" s="443" t="e">
        <f t="shared" si="8"/>
        <v>#N/A</v>
      </c>
      <c r="AX29" s="584"/>
      <c r="AZ29" s="313" t="e">
        <f>RANK(AX29, $K$7:AX$36)</f>
        <v>#N/A</v>
      </c>
      <c r="BB29" s="311" t="e">
        <f t="shared" si="0"/>
        <v>#N/A</v>
      </c>
    </row>
    <row r="30" spans="2:54">
      <c r="B30" s="599"/>
      <c r="C30" s="443">
        <v>24</v>
      </c>
      <c r="D30" s="440"/>
      <c r="E30" s="447" t="s">
        <v>561</v>
      </c>
      <c r="F30" s="447" t="s">
        <v>561</v>
      </c>
      <c r="G30" s="447" t="s">
        <v>561</v>
      </c>
      <c r="H30" s="564"/>
      <c r="I30" s="447"/>
      <c r="J30" s="447"/>
      <c r="K30" s="439"/>
      <c r="L30" s="564"/>
      <c r="M30" s="447" t="e">
        <f>RANK(K30, K$7:$K$36)</f>
        <v>#N/A</v>
      </c>
      <c r="N30" s="559"/>
      <c r="O30" s="559"/>
      <c r="P30" s="443"/>
      <c r="Q30" s="447"/>
      <c r="R30" s="447"/>
      <c r="S30" s="443" t="e">
        <f t="shared" si="2"/>
        <v>#N/A</v>
      </c>
      <c r="T30" s="588"/>
      <c r="U30" s="443"/>
      <c r="V30" s="447"/>
      <c r="W30" s="447"/>
      <c r="X30" s="443" t="e">
        <f t="shared" si="3"/>
        <v>#N/A</v>
      </c>
      <c r="Y30" s="588"/>
      <c r="Z30" s="443"/>
      <c r="AA30" s="447"/>
      <c r="AB30" s="447"/>
      <c r="AC30" s="443" t="e">
        <f t="shared" si="4"/>
        <v>#N/A</v>
      </c>
      <c r="AD30" s="588"/>
      <c r="AE30" s="443"/>
      <c r="AF30" s="447"/>
      <c r="AG30" s="447"/>
      <c r="AH30" s="443" t="e">
        <f t="shared" si="5"/>
        <v>#N/A</v>
      </c>
      <c r="AI30" s="588"/>
      <c r="AJ30" s="443"/>
      <c r="AK30" s="447"/>
      <c r="AL30" s="447"/>
      <c r="AM30" s="443" t="e">
        <f t="shared" si="6"/>
        <v>#N/A</v>
      </c>
      <c r="AN30" s="588"/>
      <c r="AO30" s="443"/>
      <c r="AP30" s="447"/>
      <c r="AQ30" s="447"/>
      <c r="AR30" s="443" t="e">
        <f t="shared" si="7"/>
        <v>#N/A</v>
      </c>
      <c r="AS30" s="588"/>
      <c r="AT30" s="443"/>
      <c r="AU30" s="447"/>
      <c r="AV30" s="447"/>
      <c r="AW30" s="443" t="e">
        <f t="shared" si="8"/>
        <v>#N/A</v>
      </c>
      <c r="AX30" s="584"/>
      <c r="AZ30" s="313" t="e">
        <f>RANK(AX30, $K$7:AX$36)</f>
        <v>#N/A</v>
      </c>
      <c r="BB30" s="311" t="e">
        <f t="shared" si="0"/>
        <v>#N/A</v>
      </c>
    </row>
    <row r="31" spans="2:54">
      <c r="B31" s="599"/>
      <c r="C31" s="443">
        <v>25</v>
      </c>
      <c r="D31" s="443"/>
      <c r="E31" s="447" t="s">
        <v>561</v>
      </c>
      <c r="F31" s="447" t="s">
        <v>561</v>
      </c>
      <c r="G31" s="447" t="s">
        <v>561</v>
      </c>
      <c r="H31" s="564"/>
      <c r="I31" s="447"/>
      <c r="J31" s="447"/>
      <c r="K31" s="439"/>
      <c r="L31" s="564"/>
      <c r="M31" s="447" t="e">
        <f>RANK(K31, K$7:$K$36)</f>
        <v>#N/A</v>
      </c>
      <c r="N31" s="559"/>
      <c r="O31" s="559"/>
      <c r="P31" s="443"/>
      <c r="Q31" s="443"/>
      <c r="R31" s="443"/>
      <c r="S31" s="443" t="e">
        <f t="shared" si="2"/>
        <v>#N/A</v>
      </c>
      <c r="T31" s="588"/>
      <c r="U31" s="443"/>
      <c r="V31" s="443"/>
      <c r="W31" s="443"/>
      <c r="X31" s="443" t="e">
        <f t="shared" si="3"/>
        <v>#N/A</v>
      </c>
      <c r="Y31" s="588"/>
      <c r="Z31" s="443"/>
      <c r="AA31" s="443"/>
      <c r="AB31" s="443"/>
      <c r="AC31" s="443" t="e">
        <f t="shared" si="4"/>
        <v>#N/A</v>
      </c>
      <c r="AD31" s="588"/>
      <c r="AE31" s="443"/>
      <c r="AF31" s="443"/>
      <c r="AG31" s="443"/>
      <c r="AH31" s="443" t="e">
        <f t="shared" si="5"/>
        <v>#N/A</v>
      </c>
      <c r="AI31" s="588"/>
      <c r="AJ31" s="443"/>
      <c r="AK31" s="443"/>
      <c r="AL31" s="443"/>
      <c r="AM31" s="443" t="e">
        <f t="shared" si="6"/>
        <v>#N/A</v>
      </c>
      <c r="AN31" s="588"/>
      <c r="AO31" s="443"/>
      <c r="AP31" s="443"/>
      <c r="AQ31" s="443"/>
      <c r="AR31" s="443" t="e">
        <f t="shared" si="7"/>
        <v>#N/A</v>
      </c>
      <c r="AS31" s="588"/>
      <c r="AT31" s="443"/>
      <c r="AU31" s="443"/>
      <c r="AV31" s="443"/>
      <c r="AW31" s="443" t="e">
        <f t="shared" si="8"/>
        <v>#N/A</v>
      </c>
      <c r="AX31" s="584"/>
      <c r="AZ31" s="313" t="e">
        <f>RANK(AX31, $K$7:AX$36)</f>
        <v>#N/A</v>
      </c>
      <c r="BB31" s="311" t="e">
        <f t="shared" si="0"/>
        <v>#N/A</v>
      </c>
    </row>
    <row r="32" spans="2:54">
      <c r="B32" s="599"/>
      <c r="C32" s="443">
        <v>26</v>
      </c>
      <c r="D32" s="443"/>
      <c r="E32" s="447" t="s">
        <v>561</v>
      </c>
      <c r="F32" s="447" t="s">
        <v>561</v>
      </c>
      <c r="G32" s="447" t="s">
        <v>561</v>
      </c>
      <c r="H32" s="564"/>
      <c r="I32" s="447"/>
      <c r="J32" s="447"/>
      <c r="K32" s="439"/>
      <c r="L32" s="564"/>
      <c r="M32" s="447" t="e">
        <f>RANK(K32, K$7:$K$36)</f>
        <v>#N/A</v>
      </c>
      <c r="N32" s="559"/>
      <c r="O32" s="559"/>
      <c r="P32" s="443"/>
      <c r="Q32" s="443"/>
      <c r="R32" s="443"/>
      <c r="S32" s="443" t="e">
        <f t="shared" si="2"/>
        <v>#N/A</v>
      </c>
      <c r="T32" s="588"/>
      <c r="U32" s="443"/>
      <c r="V32" s="443"/>
      <c r="W32" s="443"/>
      <c r="X32" s="443" t="e">
        <f t="shared" si="3"/>
        <v>#N/A</v>
      </c>
      <c r="Y32" s="588"/>
      <c r="Z32" s="443"/>
      <c r="AA32" s="443"/>
      <c r="AB32" s="443"/>
      <c r="AC32" s="443" t="e">
        <f t="shared" si="4"/>
        <v>#N/A</v>
      </c>
      <c r="AD32" s="588"/>
      <c r="AE32" s="443"/>
      <c r="AF32" s="443"/>
      <c r="AG32" s="443"/>
      <c r="AH32" s="443" t="e">
        <f t="shared" si="5"/>
        <v>#N/A</v>
      </c>
      <c r="AI32" s="588"/>
      <c r="AJ32" s="443"/>
      <c r="AK32" s="443"/>
      <c r="AL32" s="443"/>
      <c r="AM32" s="443" t="e">
        <f t="shared" si="6"/>
        <v>#N/A</v>
      </c>
      <c r="AN32" s="588"/>
      <c r="AO32" s="443"/>
      <c r="AP32" s="443"/>
      <c r="AQ32" s="443"/>
      <c r="AR32" s="443" t="e">
        <f t="shared" si="7"/>
        <v>#N/A</v>
      </c>
      <c r="AS32" s="588"/>
      <c r="AT32" s="443"/>
      <c r="AU32" s="443"/>
      <c r="AV32" s="443"/>
      <c r="AW32" s="443" t="e">
        <f t="shared" si="8"/>
        <v>#N/A</v>
      </c>
      <c r="AX32" s="584"/>
      <c r="AZ32" s="313" t="e">
        <f>RANK(AX32, $K$7:AX$36)</f>
        <v>#N/A</v>
      </c>
      <c r="BB32" s="311" t="e">
        <f t="shared" si="0"/>
        <v>#N/A</v>
      </c>
    </row>
    <row r="33" spans="2:54">
      <c r="B33" s="599"/>
      <c r="C33" s="443">
        <v>27</v>
      </c>
      <c r="D33" s="443"/>
      <c r="E33" s="447" t="s">
        <v>561</v>
      </c>
      <c r="F33" s="447" t="s">
        <v>561</v>
      </c>
      <c r="G33" s="447" t="s">
        <v>561</v>
      </c>
      <c r="H33" s="564"/>
      <c r="I33" s="447"/>
      <c r="J33" s="447"/>
      <c r="K33" s="439"/>
      <c r="L33" s="564"/>
      <c r="M33" s="447" t="e">
        <f>RANK(K33, K$7:$K$36)</f>
        <v>#N/A</v>
      </c>
      <c r="N33" s="559"/>
      <c r="O33" s="559"/>
      <c r="P33" s="443"/>
      <c r="Q33" s="443"/>
      <c r="R33" s="443"/>
      <c r="S33" s="443" t="e">
        <f t="shared" si="2"/>
        <v>#N/A</v>
      </c>
      <c r="T33" s="588"/>
      <c r="U33" s="443"/>
      <c r="V33" s="443"/>
      <c r="W33" s="443"/>
      <c r="X33" s="443" t="e">
        <f t="shared" si="3"/>
        <v>#N/A</v>
      </c>
      <c r="Y33" s="588"/>
      <c r="Z33" s="443"/>
      <c r="AA33" s="443"/>
      <c r="AB33" s="443"/>
      <c r="AC33" s="443" t="e">
        <f t="shared" si="4"/>
        <v>#N/A</v>
      </c>
      <c r="AD33" s="588"/>
      <c r="AE33" s="443"/>
      <c r="AF33" s="443"/>
      <c r="AG33" s="443"/>
      <c r="AH33" s="443" t="e">
        <f t="shared" si="5"/>
        <v>#N/A</v>
      </c>
      <c r="AI33" s="588"/>
      <c r="AJ33" s="443"/>
      <c r="AK33" s="443"/>
      <c r="AL33" s="443"/>
      <c r="AM33" s="443" t="e">
        <f t="shared" si="6"/>
        <v>#N/A</v>
      </c>
      <c r="AN33" s="588"/>
      <c r="AO33" s="443"/>
      <c r="AP33" s="443"/>
      <c r="AQ33" s="443"/>
      <c r="AR33" s="443" t="e">
        <f t="shared" si="7"/>
        <v>#N/A</v>
      </c>
      <c r="AS33" s="588"/>
      <c r="AT33" s="443"/>
      <c r="AU33" s="443"/>
      <c r="AV33" s="443"/>
      <c r="AW33" s="443" t="e">
        <f t="shared" si="8"/>
        <v>#N/A</v>
      </c>
      <c r="AX33" s="584"/>
      <c r="AZ33" s="313" t="e">
        <f>RANK(AX33, $K$7:AX$36)</f>
        <v>#N/A</v>
      </c>
      <c r="BB33" s="311" t="e">
        <f t="shared" si="0"/>
        <v>#N/A</v>
      </c>
    </row>
    <row r="34" spans="2:54">
      <c r="B34" s="599"/>
      <c r="C34" s="443">
        <v>28</v>
      </c>
      <c r="D34" s="443"/>
      <c r="E34" s="447" t="s">
        <v>561</v>
      </c>
      <c r="F34" s="447" t="s">
        <v>561</v>
      </c>
      <c r="G34" s="447" t="s">
        <v>561</v>
      </c>
      <c r="H34" s="564"/>
      <c r="I34" s="447"/>
      <c r="J34" s="447"/>
      <c r="K34" s="439"/>
      <c r="L34" s="564"/>
      <c r="M34" s="447" t="e">
        <f>RANK(K34, K$7:$K$36)</f>
        <v>#N/A</v>
      </c>
      <c r="N34" s="559"/>
      <c r="O34" s="559"/>
      <c r="P34" s="443"/>
      <c r="Q34" s="443"/>
      <c r="R34" s="443"/>
      <c r="S34" s="443" t="e">
        <f t="shared" si="2"/>
        <v>#N/A</v>
      </c>
      <c r="T34" s="588"/>
      <c r="U34" s="443"/>
      <c r="V34" s="443"/>
      <c r="W34" s="443"/>
      <c r="X34" s="443" t="e">
        <f t="shared" si="3"/>
        <v>#N/A</v>
      </c>
      <c r="Y34" s="588"/>
      <c r="Z34" s="443"/>
      <c r="AA34" s="443"/>
      <c r="AB34" s="443"/>
      <c r="AC34" s="443" t="e">
        <f t="shared" si="4"/>
        <v>#N/A</v>
      </c>
      <c r="AD34" s="588"/>
      <c r="AE34" s="443"/>
      <c r="AF34" s="443"/>
      <c r="AG34" s="443"/>
      <c r="AH34" s="443" t="e">
        <f t="shared" si="5"/>
        <v>#N/A</v>
      </c>
      <c r="AI34" s="588"/>
      <c r="AJ34" s="443"/>
      <c r="AK34" s="443"/>
      <c r="AL34" s="443"/>
      <c r="AM34" s="443" t="e">
        <f t="shared" si="6"/>
        <v>#N/A</v>
      </c>
      <c r="AN34" s="588"/>
      <c r="AO34" s="443"/>
      <c r="AP34" s="443"/>
      <c r="AQ34" s="443"/>
      <c r="AR34" s="443" t="e">
        <f t="shared" si="7"/>
        <v>#N/A</v>
      </c>
      <c r="AS34" s="588"/>
      <c r="AT34" s="443"/>
      <c r="AU34" s="443"/>
      <c r="AV34" s="443"/>
      <c r="AW34" s="443" t="e">
        <f t="shared" si="8"/>
        <v>#N/A</v>
      </c>
      <c r="AX34" s="584"/>
      <c r="AZ34" s="313" t="e">
        <f>RANK(AX34, $K$7:AX$36)</f>
        <v>#N/A</v>
      </c>
      <c r="BB34" s="311" t="e">
        <f t="shared" si="0"/>
        <v>#N/A</v>
      </c>
    </row>
    <row r="35" spans="2:54">
      <c r="B35" s="599"/>
      <c r="C35" s="443">
        <v>29</v>
      </c>
      <c r="D35" s="443"/>
      <c r="E35" s="447" t="s">
        <v>561</v>
      </c>
      <c r="F35" s="447" t="s">
        <v>561</v>
      </c>
      <c r="G35" s="447" t="s">
        <v>561</v>
      </c>
      <c r="H35" s="564"/>
      <c r="I35" s="447"/>
      <c r="J35" s="447"/>
      <c r="K35" s="439"/>
      <c r="L35" s="564"/>
      <c r="M35" s="447" t="e">
        <f>RANK(K35, K$7:$K$36)</f>
        <v>#N/A</v>
      </c>
      <c r="N35" s="559"/>
      <c r="O35" s="559"/>
      <c r="P35" s="443"/>
      <c r="Q35" s="443"/>
      <c r="R35" s="443"/>
      <c r="S35" s="443" t="e">
        <f t="shared" si="2"/>
        <v>#N/A</v>
      </c>
      <c r="T35" s="588"/>
      <c r="U35" s="443"/>
      <c r="V35" s="443"/>
      <c r="W35" s="443"/>
      <c r="X35" s="443" t="e">
        <f t="shared" si="3"/>
        <v>#N/A</v>
      </c>
      <c r="Y35" s="588"/>
      <c r="Z35" s="443"/>
      <c r="AA35" s="443"/>
      <c r="AB35" s="443"/>
      <c r="AC35" s="443" t="e">
        <f t="shared" si="4"/>
        <v>#N/A</v>
      </c>
      <c r="AD35" s="588"/>
      <c r="AE35" s="443"/>
      <c r="AF35" s="443"/>
      <c r="AG35" s="443"/>
      <c r="AH35" s="443" t="e">
        <f t="shared" si="5"/>
        <v>#N/A</v>
      </c>
      <c r="AI35" s="588"/>
      <c r="AJ35" s="443"/>
      <c r="AK35" s="443"/>
      <c r="AL35" s="443"/>
      <c r="AM35" s="443" t="e">
        <f t="shared" si="6"/>
        <v>#N/A</v>
      </c>
      <c r="AN35" s="588"/>
      <c r="AO35" s="443"/>
      <c r="AP35" s="443"/>
      <c r="AQ35" s="443"/>
      <c r="AR35" s="443" t="e">
        <f t="shared" si="7"/>
        <v>#N/A</v>
      </c>
      <c r="AS35" s="588"/>
      <c r="AT35" s="443"/>
      <c r="AU35" s="443"/>
      <c r="AV35" s="443"/>
      <c r="AW35" s="443" t="e">
        <f t="shared" si="8"/>
        <v>#N/A</v>
      </c>
      <c r="AX35" s="584"/>
      <c r="AZ35" s="313" t="e">
        <f>RANK(AX35, $K$7:AX$36)</f>
        <v>#N/A</v>
      </c>
      <c r="BB35" s="311" t="e">
        <f t="shared" si="0"/>
        <v>#N/A</v>
      </c>
    </row>
    <row r="36" spans="2:54">
      <c r="B36" s="599"/>
      <c r="C36" s="443">
        <v>30</v>
      </c>
      <c r="D36" s="443"/>
      <c r="E36" s="447" t="s">
        <v>561</v>
      </c>
      <c r="F36" s="447" t="s">
        <v>561</v>
      </c>
      <c r="G36" s="447" t="s">
        <v>561</v>
      </c>
      <c r="H36" s="564"/>
      <c r="I36" s="447"/>
      <c r="J36" s="447"/>
      <c r="K36" s="439"/>
      <c r="L36" s="564"/>
      <c r="M36" s="447" t="e">
        <f>RANK(K36, K$7:$K$36)</f>
        <v>#N/A</v>
      </c>
      <c r="N36" s="559"/>
      <c r="O36" s="559"/>
      <c r="P36" s="443"/>
      <c r="Q36" s="443"/>
      <c r="R36" s="443"/>
      <c r="S36" s="443" t="e">
        <f t="shared" si="2"/>
        <v>#N/A</v>
      </c>
      <c r="T36" s="588"/>
      <c r="U36" s="443"/>
      <c r="V36" s="443"/>
      <c r="W36" s="443"/>
      <c r="X36" s="443" t="e">
        <f t="shared" si="3"/>
        <v>#N/A</v>
      </c>
      <c r="Y36" s="588"/>
      <c r="Z36" s="443"/>
      <c r="AA36" s="443"/>
      <c r="AB36" s="443"/>
      <c r="AC36" s="443" t="e">
        <f t="shared" si="4"/>
        <v>#N/A</v>
      </c>
      <c r="AD36" s="588"/>
      <c r="AE36" s="443"/>
      <c r="AF36" s="443"/>
      <c r="AG36" s="443"/>
      <c r="AH36" s="443" t="e">
        <f t="shared" si="5"/>
        <v>#N/A</v>
      </c>
      <c r="AI36" s="588"/>
      <c r="AJ36" s="443"/>
      <c r="AK36" s="443"/>
      <c r="AL36" s="443"/>
      <c r="AM36" s="443" t="e">
        <f t="shared" si="6"/>
        <v>#N/A</v>
      </c>
      <c r="AN36" s="588"/>
      <c r="AO36" s="443"/>
      <c r="AP36" s="443"/>
      <c r="AQ36" s="443"/>
      <c r="AR36" s="443" t="e">
        <f t="shared" si="7"/>
        <v>#N/A</v>
      </c>
      <c r="AS36" s="588"/>
      <c r="AT36" s="443"/>
      <c r="AU36" s="443"/>
      <c r="AV36" s="443"/>
      <c r="AW36" s="443" t="e">
        <f t="shared" si="8"/>
        <v>#N/A</v>
      </c>
      <c r="AX36" s="584"/>
      <c r="AZ36" s="382" t="e">
        <f>RANK(AX36, $K$7:AX$36)</f>
        <v>#N/A</v>
      </c>
      <c r="BB36" s="311" t="e">
        <f t="shared" si="0"/>
        <v>#N/A</v>
      </c>
    </row>
    <row r="37" spans="2:54" ht="15.75">
      <c r="B37" s="592" t="s">
        <v>731</v>
      </c>
      <c r="C37" s="593"/>
      <c r="D37" s="593"/>
      <c r="E37" s="593"/>
      <c r="F37" s="593"/>
      <c r="G37" s="593"/>
      <c r="H37" s="593"/>
      <c r="I37" s="203"/>
      <c r="J37" s="203"/>
      <c r="K37" s="203"/>
      <c r="L37" s="203"/>
      <c r="M37" s="204"/>
      <c r="N37" s="565" t="s">
        <v>732</v>
      </c>
      <c r="O37" s="565" t="s">
        <v>733</v>
      </c>
      <c r="P37" s="571">
        <f>P2+7</f>
        <v>7</v>
      </c>
      <c r="Q37" s="572"/>
      <c r="R37" s="572"/>
      <c r="S37" s="572"/>
      <c r="T37" s="572"/>
      <c r="U37" s="571">
        <f>P37+1</f>
        <v>8</v>
      </c>
      <c r="V37" s="572"/>
      <c r="W37" s="572"/>
      <c r="X37" s="572"/>
      <c r="Y37" s="572"/>
      <c r="Z37" s="571">
        <f>U37+1</f>
        <v>9</v>
      </c>
      <c r="AA37" s="572"/>
      <c r="AB37" s="572"/>
      <c r="AC37" s="572"/>
      <c r="AD37" s="572"/>
      <c r="AE37" s="571">
        <f>Z37+1</f>
        <v>10</v>
      </c>
      <c r="AF37" s="572"/>
      <c r="AG37" s="572"/>
      <c r="AH37" s="572"/>
      <c r="AI37" s="572"/>
      <c r="AJ37" s="571">
        <f>AE37+1</f>
        <v>11</v>
      </c>
      <c r="AK37" s="572"/>
      <c r="AL37" s="572"/>
      <c r="AM37" s="572"/>
      <c r="AN37" s="572"/>
      <c r="AO37" s="571">
        <f>AJ37+1</f>
        <v>12</v>
      </c>
      <c r="AP37" s="572"/>
      <c r="AQ37" s="572"/>
      <c r="AR37" s="572"/>
      <c r="AS37" s="572"/>
      <c r="AT37" s="571">
        <f>AO37+1</f>
        <v>13</v>
      </c>
      <c r="AU37" s="572"/>
      <c r="AV37" s="572"/>
      <c r="AW37" s="572"/>
      <c r="AX37" s="572"/>
    </row>
    <row r="38" spans="2:54" ht="15.75">
      <c r="B38" s="579"/>
      <c r="C38" s="579"/>
      <c r="D38" s="579"/>
      <c r="E38" s="579"/>
      <c r="F38" s="579"/>
      <c r="G38" s="579"/>
      <c r="H38" s="579"/>
      <c r="I38" s="205"/>
      <c r="J38" s="205"/>
      <c r="K38" s="205"/>
      <c r="L38" s="205"/>
      <c r="M38" s="206"/>
      <c r="N38" s="567"/>
      <c r="O38" s="567"/>
      <c r="P38" s="571" t="s">
        <v>734</v>
      </c>
      <c r="Q38" s="572"/>
      <c r="R38" s="572"/>
      <c r="S38" s="572"/>
      <c r="T38" s="572"/>
      <c r="U38" s="571" t="s">
        <v>735</v>
      </c>
      <c r="V38" s="572"/>
      <c r="W38" s="572"/>
      <c r="X38" s="572"/>
      <c r="Y38" s="572"/>
      <c r="Z38" s="571" t="s">
        <v>736</v>
      </c>
      <c r="AA38" s="572"/>
      <c r="AB38" s="572"/>
      <c r="AC38" s="572"/>
      <c r="AD38" s="572"/>
      <c r="AE38" s="571" t="s">
        <v>737</v>
      </c>
      <c r="AF38" s="572"/>
      <c r="AG38" s="572"/>
      <c r="AH38" s="572"/>
      <c r="AI38" s="572"/>
      <c r="AJ38" s="571" t="s">
        <v>738</v>
      </c>
      <c r="AK38" s="572"/>
      <c r="AL38" s="572"/>
      <c r="AM38" s="572"/>
      <c r="AN38" s="572"/>
      <c r="AO38" s="571" t="s">
        <v>739</v>
      </c>
      <c r="AP38" s="572"/>
      <c r="AQ38" s="572"/>
      <c r="AR38" s="572"/>
      <c r="AS38" s="572"/>
      <c r="AT38" s="571" t="s">
        <v>740</v>
      </c>
      <c r="AU38" s="572"/>
      <c r="AV38" s="572"/>
      <c r="AW38" s="572"/>
      <c r="AX38" s="572"/>
    </row>
    <row r="39" spans="2:54">
      <c r="B39" s="565" t="s">
        <v>741</v>
      </c>
      <c r="C39" s="560" t="s">
        <v>742</v>
      </c>
      <c r="D39" s="580"/>
      <c r="E39" s="556" t="s">
        <v>743</v>
      </c>
      <c r="F39" s="557"/>
      <c r="G39" s="558"/>
      <c r="H39" s="565" t="s">
        <v>744</v>
      </c>
      <c r="I39" s="547" t="s">
        <v>745</v>
      </c>
      <c r="J39" s="548"/>
      <c r="K39" s="549"/>
      <c r="L39" s="550" t="s">
        <v>744</v>
      </c>
      <c r="M39" s="550" t="s">
        <v>746</v>
      </c>
      <c r="N39" s="565"/>
      <c r="O39" s="565" t="s">
        <v>747</v>
      </c>
      <c r="P39" s="556" t="s">
        <v>748</v>
      </c>
      <c r="Q39" s="557"/>
      <c r="R39" s="557"/>
      <c r="S39" s="558"/>
      <c r="T39" s="565" t="s">
        <v>744</v>
      </c>
      <c r="U39" s="556" t="s">
        <v>748</v>
      </c>
      <c r="V39" s="557"/>
      <c r="W39" s="557"/>
      <c r="X39" s="558"/>
      <c r="Y39" s="565" t="s">
        <v>744</v>
      </c>
      <c r="Z39" s="556" t="s">
        <v>748</v>
      </c>
      <c r="AA39" s="557"/>
      <c r="AB39" s="557"/>
      <c r="AC39" s="558"/>
      <c r="AD39" s="565" t="s">
        <v>744</v>
      </c>
      <c r="AE39" s="556" t="s">
        <v>748</v>
      </c>
      <c r="AF39" s="557"/>
      <c r="AG39" s="557"/>
      <c r="AH39" s="558"/>
      <c r="AI39" s="565" t="s">
        <v>744</v>
      </c>
      <c r="AJ39" s="556" t="s">
        <v>748</v>
      </c>
      <c r="AK39" s="557"/>
      <c r="AL39" s="557"/>
      <c r="AM39" s="558"/>
      <c r="AN39" s="565" t="s">
        <v>744</v>
      </c>
      <c r="AO39" s="556" t="s">
        <v>748</v>
      </c>
      <c r="AP39" s="557"/>
      <c r="AQ39" s="557"/>
      <c r="AR39" s="558"/>
      <c r="AS39" s="565" t="s">
        <v>744</v>
      </c>
      <c r="AT39" s="556" t="s">
        <v>748</v>
      </c>
      <c r="AU39" s="557"/>
      <c r="AV39" s="557"/>
      <c r="AW39" s="558"/>
      <c r="AX39" s="565" t="s">
        <v>744</v>
      </c>
    </row>
    <row r="40" spans="2:54">
      <c r="B40" s="566"/>
      <c r="C40" s="561"/>
      <c r="D40" s="581"/>
      <c r="E40" s="556" t="s">
        <v>749</v>
      </c>
      <c r="F40" s="557"/>
      <c r="G40" s="558"/>
      <c r="H40" s="566"/>
      <c r="I40" s="547" t="s">
        <v>749</v>
      </c>
      <c r="J40" s="548"/>
      <c r="K40" s="549"/>
      <c r="L40" s="551"/>
      <c r="M40" s="551"/>
      <c r="N40" s="566"/>
      <c r="O40" s="566"/>
      <c r="P40" s="556" t="s">
        <v>750</v>
      </c>
      <c r="Q40" s="557"/>
      <c r="R40" s="557"/>
      <c r="S40" s="558"/>
      <c r="T40" s="566"/>
      <c r="U40" s="556" t="s">
        <v>750</v>
      </c>
      <c r="V40" s="557"/>
      <c r="W40" s="557"/>
      <c r="X40" s="558"/>
      <c r="Y40" s="566"/>
      <c r="Z40" s="556" t="s">
        <v>750</v>
      </c>
      <c r="AA40" s="557"/>
      <c r="AB40" s="557"/>
      <c r="AC40" s="558"/>
      <c r="AD40" s="566"/>
      <c r="AE40" s="556" t="s">
        <v>750</v>
      </c>
      <c r="AF40" s="557"/>
      <c r="AG40" s="557"/>
      <c r="AH40" s="558"/>
      <c r="AI40" s="566"/>
      <c r="AJ40" s="556" t="s">
        <v>750</v>
      </c>
      <c r="AK40" s="557"/>
      <c r="AL40" s="557"/>
      <c r="AM40" s="558"/>
      <c r="AN40" s="566"/>
      <c r="AO40" s="556" t="s">
        <v>750</v>
      </c>
      <c r="AP40" s="557"/>
      <c r="AQ40" s="557"/>
      <c r="AR40" s="558"/>
      <c r="AS40" s="566"/>
      <c r="AT40" s="556" t="s">
        <v>750</v>
      </c>
      <c r="AU40" s="557"/>
      <c r="AV40" s="557"/>
      <c r="AW40" s="558"/>
      <c r="AX40" s="566"/>
    </row>
    <row r="41" spans="2:54">
      <c r="B41" s="567"/>
      <c r="C41" s="562"/>
      <c r="D41" s="582"/>
      <c r="E41" s="440" t="s">
        <v>751</v>
      </c>
      <c r="F41" s="440" t="s">
        <v>752</v>
      </c>
      <c r="G41" s="440" t="s">
        <v>753</v>
      </c>
      <c r="H41" s="567"/>
      <c r="I41" s="444" t="s">
        <v>751</v>
      </c>
      <c r="J41" s="444" t="s">
        <v>752</v>
      </c>
      <c r="K41" s="444" t="s">
        <v>753</v>
      </c>
      <c r="L41" s="552"/>
      <c r="M41" s="552"/>
      <c r="N41" s="566"/>
      <c r="O41" s="566"/>
      <c r="P41" s="440" t="s">
        <v>751</v>
      </c>
      <c r="Q41" s="440" t="s">
        <v>752</v>
      </c>
      <c r="R41" s="440" t="s">
        <v>753</v>
      </c>
      <c r="S41" s="440" t="s">
        <v>746</v>
      </c>
      <c r="T41" s="567"/>
      <c r="U41" s="440" t="s">
        <v>751</v>
      </c>
      <c r="V41" s="440" t="s">
        <v>752</v>
      </c>
      <c r="W41" s="440" t="s">
        <v>753</v>
      </c>
      <c r="X41" s="440" t="s">
        <v>746</v>
      </c>
      <c r="Y41" s="567"/>
      <c r="Z41" s="440" t="s">
        <v>751</v>
      </c>
      <c r="AA41" s="440" t="s">
        <v>752</v>
      </c>
      <c r="AB41" s="440" t="s">
        <v>753</v>
      </c>
      <c r="AC41" s="440" t="s">
        <v>746</v>
      </c>
      <c r="AD41" s="567"/>
      <c r="AE41" s="440" t="s">
        <v>751</v>
      </c>
      <c r="AF41" s="440" t="s">
        <v>752</v>
      </c>
      <c r="AG41" s="440" t="s">
        <v>753</v>
      </c>
      <c r="AH41" s="440" t="s">
        <v>746</v>
      </c>
      <c r="AI41" s="567"/>
      <c r="AJ41" s="440" t="s">
        <v>751</v>
      </c>
      <c r="AK41" s="440" t="s">
        <v>752</v>
      </c>
      <c r="AL41" s="440" t="s">
        <v>753</v>
      </c>
      <c r="AM41" s="440" t="s">
        <v>746</v>
      </c>
      <c r="AN41" s="567"/>
      <c r="AO41" s="440" t="s">
        <v>751</v>
      </c>
      <c r="AP41" s="440" t="s">
        <v>752</v>
      </c>
      <c r="AQ41" s="440" t="s">
        <v>753</v>
      </c>
      <c r="AR41" s="440" t="s">
        <v>746</v>
      </c>
      <c r="AS41" s="567"/>
      <c r="AT41" s="440" t="s">
        <v>751</v>
      </c>
      <c r="AU41" s="440" t="s">
        <v>752</v>
      </c>
      <c r="AV41" s="440" t="s">
        <v>753</v>
      </c>
      <c r="AW41" s="440" t="s">
        <v>746</v>
      </c>
      <c r="AX41" s="567"/>
    </row>
    <row r="42" spans="2:54">
      <c r="B42" s="589" t="s">
        <v>150</v>
      </c>
      <c r="C42" s="436">
        <v>1</v>
      </c>
      <c r="D42" s="436" t="s">
        <v>356</v>
      </c>
      <c r="E42" s="436">
        <v>4</v>
      </c>
      <c r="F42" s="182">
        <v>2200</v>
      </c>
      <c r="G42" s="182">
        <v>550</v>
      </c>
      <c r="H42" s="573">
        <f>AVERAGE(G42:G71)</f>
        <v>851.89393939393949</v>
      </c>
      <c r="I42" s="446">
        <f>AVERAGE(P42,U42,Z42,AE42,AJ42,AO42,AT42)</f>
        <v>3</v>
      </c>
      <c r="J42" s="446">
        <f>AVERAGE(Q42,V42,AA42,AF42,AK42,AP42,AU42)</f>
        <v>3230.298971611182</v>
      </c>
      <c r="K42" s="438">
        <f>AVERAGE(R42,W42,AB42,AG42,AL42,AQ42,AV42)</f>
        <v>1076.7663238703942</v>
      </c>
      <c r="L42" s="553">
        <f>IFERROR(AVERAGE(K42:K71),"-")</f>
        <v>803.74372119148438</v>
      </c>
      <c r="M42" s="446">
        <f>RANK(K42, K$42:$K$71)</f>
        <v>1</v>
      </c>
      <c r="N42" s="566"/>
      <c r="O42" s="566"/>
      <c r="P42" s="367">
        <v>3</v>
      </c>
      <c r="Q42" s="182">
        <v>3215.744680851064</v>
      </c>
      <c r="R42" s="182">
        <v>1071.9148936170213</v>
      </c>
      <c r="S42" s="436">
        <f t="shared" ref="S42:S71" si="10">RANK(R42, R$42:R$71)</f>
        <v>1</v>
      </c>
      <c r="T42" s="573">
        <f>AVERAGE(R42:R71)</f>
        <v>777.90293471819859</v>
      </c>
      <c r="U42" s="367">
        <v>3</v>
      </c>
      <c r="V42" s="182">
        <v>3262.978723404256</v>
      </c>
      <c r="W42" s="182">
        <v>1087.6595744680853</v>
      </c>
      <c r="X42" s="436">
        <f t="shared" ref="X42:X71" si="11">RANK(W42, W$42:W$71)</f>
        <v>1</v>
      </c>
      <c r="Y42" s="573">
        <f t="shared" ref="Y42" si="12">AVERAGE(W42:W71)</f>
        <v>808.5789423848579</v>
      </c>
      <c r="Z42" s="367">
        <v>3</v>
      </c>
      <c r="AA42" s="182">
        <v>3177.2727272727329</v>
      </c>
      <c r="AB42" s="182">
        <v>1059.0909090909111</v>
      </c>
      <c r="AC42" s="436">
        <f t="shared" ref="AC42:AC71" si="13">RANK(AB42, AB$42:AB$71)</f>
        <v>1</v>
      </c>
      <c r="AD42" s="573">
        <f t="shared" ref="AD42" si="14">AVERAGE(AB42:AB71)</f>
        <v>764.15546119002204</v>
      </c>
      <c r="AE42" s="367">
        <v>3</v>
      </c>
      <c r="AF42" s="182">
        <v>3245.9999999999986</v>
      </c>
      <c r="AG42" s="182">
        <v>1081.9999999999995</v>
      </c>
      <c r="AH42" s="436">
        <f t="shared" ref="AH42:AH71" si="15">RANK(AG42, AG$42:AG$71)</f>
        <v>2</v>
      </c>
      <c r="AI42" s="573">
        <f t="shared" ref="AI42" si="16">AVERAGE(AG42:AG71)</f>
        <v>805.3820411128828</v>
      </c>
      <c r="AJ42" s="367">
        <v>3</v>
      </c>
      <c r="AK42" s="182">
        <v>3214.4999999999991</v>
      </c>
      <c r="AL42" s="182">
        <v>1071.4999999999998</v>
      </c>
      <c r="AM42" s="436">
        <f t="shared" ref="AM42:AM71" si="17">RANK(AL42, AL$42:AL$71)</f>
        <v>1</v>
      </c>
      <c r="AN42" s="573">
        <f t="shared" ref="AN42" si="18">AVERAGE(AL42:AL71)</f>
        <v>798.84022781752685</v>
      </c>
      <c r="AO42" s="367">
        <v>3</v>
      </c>
      <c r="AP42" s="182">
        <v>3253.043478260864</v>
      </c>
      <c r="AQ42" s="182">
        <v>1084.3478260869547</v>
      </c>
      <c r="AR42" s="436">
        <f t="shared" ref="AR42:AR71" si="19">RANK(AQ42, AQ$42:AQ$71)</f>
        <v>2</v>
      </c>
      <c r="AS42" s="573">
        <f t="shared" ref="AS42" si="20">AVERAGE(AQ42:AQ71)</f>
        <v>812.17432061097782</v>
      </c>
      <c r="AT42" s="367">
        <v>3</v>
      </c>
      <c r="AU42" s="182">
        <v>3242.5531914893622</v>
      </c>
      <c r="AV42" s="182">
        <v>1080.8510638297873</v>
      </c>
      <c r="AW42" s="436">
        <f t="shared" ref="AW42:AW71" si="21">RANK(AV42, AV$42:AV$71)</f>
        <v>1</v>
      </c>
      <c r="AX42" s="573">
        <f t="shared" ref="AX42" si="22">AVERAGE(AV42:AV71)</f>
        <v>798.1907082581572</v>
      </c>
    </row>
    <row r="43" spans="2:54">
      <c r="B43" s="590"/>
      <c r="C43" s="436">
        <v>2</v>
      </c>
      <c r="D43" s="436" t="s">
        <v>357</v>
      </c>
      <c r="E43" s="436">
        <v>3</v>
      </c>
      <c r="F43" s="182">
        <v>2700</v>
      </c>
      <c r="G43" s="182">
        <v>900</v>
      </c>
      <c r="H43" s="574"/>
      <c r="I43" s="446">
        <f t="shared" ref="I43:K60" si="23">AVERAGE(P43,U43,Z43,AE43,AJ43,AO43,AT43)</f>
        <v>3</v>
      </c>
      <c r="J43" s="446">
        <f t="shared" si="23"/>
        <v>2835.5999614420684</v>
      </c>
      <c r="K43" s="438">
        <f t="shared" si="23"/>
        <v>945.1999871473563</v>
      </c>
      <c r="L43" s="554"/>
      <c r="M43" s="446">
        <f>RANK(K43, K$42:$K$71)</f>
        <v>6</v>
      </c>
      <c r="N43" s="566"/>
      <c r="O43" s="566"/>
      <c r="P43" s="182">
        <v>3</v>
      </c>
      <c r="Q43" s="182">
        <v>2848.4210526315769</v>
      </c>
      <c r="R43" s="182">
        <v>949.47368421052568</v>
      </c>
      <c r="S43" s="436">
        <f t="shared" si="10"/>
        <v>3</v>
      </c>
      <c r="T43" s="574"/>
      <c r="U43" s="182">
        <v>3</v>
      </c>
      <c r="V43" s="182">
        <v>2902.1052631578991</v>
      </c>
      <c r="W43" s="182">
        <v>967.36842105263304</v>
      </c>
      <c r="X43" s="436">
        <f t="shared" si="11"/>
        <v>3</v>
      </c>
      <c r="Y43" s="574"/>
      <c r="Z43" s="182">
        <v>3</v>
      </c>
      <c r="AA43" s="182">
        <v>2666.9999999999991</v>
      </c>
      <c r="AB43" s="182">
        <v>888.99999999999966</v>
      </c>
      <c r="AC43" s="436">
        <f t="shared" si="13"/>
        <v>7</v>
      </c>
      <c r="AD43" s="574"/>
      <c r="AE43" s="182">
        <v>3</v>
      </c>
      <c r="AF43" s="182">
        <v>2880.0000000000027</v>
      </c>
      <c r="AG43" s="182">
        <v>960.00000000000091</v>
      </c>
      <c r="AH43" s="436">
        <f t="shared" si="15"/>
        <v>6</v>
      </c>
      <c r="AI43" s="574"/>
      <c r="AJ43" s="182">
        <v>3</v>
      </c>
      <c r="AK43" s="182">
        <v>2963.0769230769247</v>
      </c>
      <c r="AL43" s="182">
        <v>987.69230769230819</v>
      </c>
      <c r="AM43" s="436">
        <f t="shared" si="17"/>
        <v>5</v>
      </c>
      <c r="AN43" s="574"/>
      <c r="AO43" s="182">
        <v>3</v>
      </c>
      <c r="AP43" s="182">
        <v>2923.3333333333376</v>
      </c>
      <c r="AQ43" s="182">
        <v>974.44444444444582</v>
      </c>
      <c r="AR43" s="436">
        <f t="shared" si="19"/>
        <v>5</v>
      </c>
      <c r="AS43" s="574"/>
      <c r="AT43" s="182">
        <v>3</v>
      </c>
      <c r="AU43" s="182">
        <v>2665.2631578947412</v>
      </c>
      <c r="AV43" s="182">
        <v>888.42105263158044</v>
      </c>
      <c r="AW43" s="436">
        <f t="shared" si="21"/>
        <v>8</v>
      </c>
      <c r="AX43" s="574"/>
    </row>
    <row r="44" spans="2:54">
      <c r="B44" s="590"/>
      <c r="C44" s="436">
        <v>3</v>
      </c>
      <c r="D44" s="436" t="s">
        <v>343</v>
      </c>
      <c r="E44" s="436">
        <v>4</v>
      </c>
      <c r="F44" s="182">
        <v>3600</v>
      </c>
      <c r="G44" s="182">
        <v>900</v>
      </c>
      <c r="H44" s="574"/>
      <c r="I44" s="446">
        <f t="shared" si="23"/>
        <v>4</v>
      </c>
      <c r="J44" s="446">
        <f t="shared" si="23"/>
        <v>3261.0217560708488</v>
      </c>
      <c r="K44" s="438">
        <f t="shared" si="23"/>
        <v>815.25543901771221</v>
      </c>
      <c r="L44" s="554"/>
      <c r="M44" s="446">
        <f>RANK(K44, K$42:$K$71)</f>
        <v>10</v>
      </c>
      <c r="N44" s="566"/>
      <c r="O44" s="566"/>
      <c r="P44" s="182">
        <v>4</v>
      </c>
      <c r="Q44" s="182">
        <v>3074.2857142857197</v>
      </c>
      <c r="R44" s="182">
        <v>768.57142857142992</v>
      </c>
      <c r="S44" s="436">
        <f t="shared" si="10"/>
        <v>12</v>
      </c>
      <c r="T44" s="574"/>
      <c r="U44" s="182">
        <v>4</v>
      </c>
      <c r="V44" s="182">
        <v>3210.000000000005</v>
      </c>
      <c r="W44" s="182">
        <v>802.50000000000125</v>
      </c>
      <c r="X44" s="436">
        <f t="shared" si="11"/>
        <v>13</v>
      </c>
      <c r="Y44" s="574"/>
      <c r="Z44" s="182">
        <v>4</v>
      </c>
      <c r="AA44" s="182">
        <v>3183.1578947368471</v>
      </c>
      <c r="AB44" s="182">
        <v>795.78947368421177</v>
      </c>
      <c r="AC44" s="436">
        <f t="shared" si="13"/>
        <v>10</v>
      </c>
      <c r="AD44" s="574"/>
      <c r="AE44" s="182">
        <v>4</v>
      </c>
      <c r="AF44" s="182">
        <v>3327.9999999999941</v>
      </c>
      <c r="AG44" s="182">
        <v>831.99999999999852</v>
      </c>
      <c r="AH44" s="436">
        <f t="shared" si="15"/>
        <v>11</v>
      </c>
      <c r="AI44" s="574"/>
      <c r="AJ44" s="182">
        <v>4</v>
      </c>
      <c r="AK44" s="182">
        <v>3368.5714285714216</v>
      </c>
      <c r="AL44" s="182">
        <v>842.14285714285541</v>
      </c>
      <c r="AM44" s="436">
        <f t="shared" si="17"/>
        <v>10</v>
      </c>
      <c r="AN44" s="574"/>
      <c r="AO44" s="182">
        <v>4</v>
      </c>
      <c r="AP44" s="182">
        <v>3306.6666666666711</v>
      </c>
      <c r="AQ44" s="182">
        <v>826.66666666666777</v>
      </c>
      <c r="AR44" s="436">
        <f t="shared" si="19"/>
        <v>13</v>
      </c>
      <c r="AS44" s="574"/>
      <c r="AT44" s="182">
        <v>4</v>
      </c>
      <c r="AU44" s="182">
        <v>3356.4705882352819</v>
      </c>
      <c r="AV44" s="182">
        <v>839.11764705882047</v>
      </c>
      <c r="AW44" s="436">
        <f t="shared" si="21"/>
        <v>11</v>
      </c>
      <c r="AX44" s="574"/>
    </row>
    <row r="45" spans="2:54">
      <c r="B45" s="590"/>
      <c r="C45" s="436">
        <v>4</v>
      </c>
      <c r="D45" s="436" t="s">
        <v>359</v>
      </c>
      <c r="E45" s="436">
        <v>3</v>
      </c>
      <c r="F45" s="182">
        <v>3600</v>
      </c>
      <c r="G45" s="182">
        <v>1200</v>
      </c>
      <c r="H45" s="574"/>
      <c r="I45" s="446">
        <f t="shared" si="23"/>
        <v>3</v>
      </c>
      <c r="J45" s="446">
        <f t="shared" si="23"/>
        <v>3222.5962732919261</v>
      </c>
      <c r="K45" s="438">
        <f t="shared" si="23"/>
        <v>1074.1987577639752</v>
      </c>
      <c r="L45" s="554"/>
      <c r="M45" s="446">
        <f>RANK(K45, K$42:$K$71)</f>
        <v>2</v>
      </c>
      <c r="N45" s="566"/>
      <c r="O45" s="566"/>
      <c r="P45" s="182">
        <v>3</v>
      </c>
      <c r="Q45" s="182">
        <v>3172.1739130434785</v>
      </c>
      <c r="R45" s="182">
        <v>1057.3913043478262</v>
      </c>
      <c r="S45" s="436">
        <f t="shared" si="10"/>
        <v>2</v>
      </c>
      <c r="T45" s="574"/>
      <c r="U45" s="182">
        <v>3</v>
      </c>
      <c r="V45" s="182">
        <v>3212.727272727273</v>
      </c>
      <c r="W45" s="182">
        <v>1070.909090909091</v>
      </c>
      <c r="X45" s="436">
        <f t="shared" si="11"/>
        <v>2</v>
      </c>
      <c r="Y45" s="574"/>
      <c r="Z45" s="182">
        <v>3</v>
      </c>
      <c r="AA45" s="182">
        <v>3165.714285714289</v>
      </c>
      <c r="AB45" s="182">
        <v>1055.2380952380963</v>
      </c>
      <c r="AC45" s="436">
        <f t="shared" si="13"/>
        <v>2</v>
      </c>
      <c r="AD45" s="574"/>
      <c r="AE45" s="182">
        <v>3</v>
      </c>
      <c r="AF45" s="182">
        <v>3281.4545454545473</v>
      </c>
      <c r="AG45" s="182">
        <v>1093.8181818181824</v>
      </c>
      <c r="AH45" s="436">
        <f t="shared" si="15"/>
        <v>1</v>
      </c>
      <c r="AI45" s="574"/>
      <c r="AJ45" s="182">
        <v>3</v>
      </c>
      <c r="AK45" s="182">
        <v>3214.2857142857119</v>
      </c>
      <c r="AL45" s="182">
        <v>1071.4285714285706</v>
      </c>
      <c r="AM45" s="436">
        <f t="shared" si="17"/>
        <v>2</v>
      </c>
      <c r="AN45" s="574"/>
      <c r="AO45" s="182">
        <v>3</v>
      </c>
      <c r="AP45" s="182">
        <v>3271.818181818182</v>
      </c>
      <c r="AQ45" s="182">
        <v>1090.6060606060607</v>
      </c>
      <c r="AR45" s="436">
        <f t="shared" si="19"/>
        <v>1</v>
      </c>
      <c r="AS45" s="574"/>
      <c r="AT45" s="182">
        <v>3</v>
      </c>
      <c r="AU45" s="182">
        <v>3239.9999999999991</v>
      </c>
      <c r="AV45" s="182">
        <v>1079.9999999999998</v>
      </c>
      <c r="AW45" s="436">
        <f t="shared" si="21"/>
        <v>2</v>
      </c>
      <c r="AX45" s="574"/>
    </row>
    <row r="46" spans="2:54">
      <c r="B46" s="590"/>
      <c r="C46" s="436">
        <v>5</v>
      </c>
      <c r="D46" s="436" t="s">
        <v>360</v>
      </c>
      <c r="E46" s="436">
        <v>3</v>
      </c>
      <c r="F46" s="182">
        <v>3600</v>
      </c>
      <c r="G46" s="182">
        <v>1200</v>
      </c>
      <c r="H46" s="574"/>
      <c r="I46" s="446">
        <f t="shared" si="23"/>
        <v>4</v>
      </c>
      <c r="J46" s="446">
        <f t="shared" si="23"/>
        <v>3251.2974941100888</v>
      </c>
      <c r="K46" s="438">
        <f t="shared" si="23"/>
        <v>812.8243735275222</v>
      </c>
      <c r="L46" s="554"/>
      <c r="M46" s="446">
        <f>RANK(K46, K$42:$K$71)</f>
        <v>11</v>
      </c>
      <c r="N46" s="566"/>
      <c r="O46" s="566"/>
      <c r="P46" s="182">
        <v>4</v>
      </c>
      <c r="Q46" s="182">
        <v>3142.5000000000036</v>
      </c>
      <c r="R46" s="182">
        <v>785.62500000000091</v>
      </c>
      <c r="S46" s="436">
        <f t="shared" si="10"/>
        <v>10</v>
      </c>
      <c r="T46" s="574"/>
      <c r="U46" s="182">
        <v>4</v>
      </c>
      <c r="V46" s="182">
        <v>3308.0000000000027</v>
      </c>
      <c r="W46" s="182">
        <v>827.00000000000068</v>
      </c>
      <c r="X46" s="436">
        <f t="shared" si="11"/>
        <v>12</v>
      </c>
      <c r="Y46" s="574"/>
      <c r="Z46" s="182">
        <v>4</v>
      </c>
      <c r="AA46" s="182">
        <v>3105.9999999999945</v>
      </c>
      <c r="AB46" s="182">
        <v>776.49999999999864</v>
      </c>
      <c r="AC46" s="436">
        <f t="shared" si="13"/>
        <v>11</v>
      </c>
      <c r="AD46" s="574"/>
      <c r="AE46" s="182">
        <v>4</v>
      </c>
      <c r="AF46" s="182">
        <v>3327.5000000000064</v>
      </c>
      <c r="AG46" s="182">
        <v>831.87500000000159</v>
      </c>
      <c r="AH46" s="436">
        <f t="shared" si="15"/>
        <v>12</v>
      </c>
      <c r="AI46" s="574"/>
      <c r="AJ46" s="182">
        <v>4</v>
      </c>
      <c r="AK46" s="182">
        <v>3289.5652173912986</v>
      </c>
      <c r="AL46" s="182">
        <v>822.39130434782464</v>
      </c>
      <c r="AM46" s="436">
        <f t="shared" si="17"/>
        <v>11</v>
      </c>
      <c r="AN46" s="574"/>
      <c r="AO46" s="182">
        <v>4</v>
      </c>
      <c r="AP46" s="182">
        <v>3351.7241379310367</v>
      </c>
      <c r="AQ46" s="182">
        <v>837.93103448275917</v>
      </c>
      <c r="AR46" s="436">
        <f t="shared" si="19"/>
        <v>10</v>
      </c>
      <c r="AS46" s="574"/>
      <c r="AT46" s="182">
        <v>4</v>
      </c>
      <c r="AU46" s="182">
        <v>3233.7931034482781</v>
      </c>
      <c r="AV46" s="182">
        <v>808.44827586206952</v>
      </c>
      <c r="AW46" s="436">
        <f t="shared" si="21"/>
        <v>12</v>
      </c>
      <c r="AX46" s="574"/>
    </row>
    <row r="47" spans="2:54">
      <c r="B47" s="590"/>
      <c r="C47" s="436">
        <v>6</v>
      </c>
      <c r="D47" s="436" t="s">
        <v>358</v>
      </c>
      <c r="E47" s="436">
        <v>4</v>
      </c>
      <c r="F47" s="182">
        <v>3600</v>
      </c>
      <c r="G47" s="182">
        <v>900</v>
      </c>
      <c r="H47" s="574"/>
      <c r="I47" s="446">
        <f t="shared" si="23"/>
        <v>4</v>
      </c>
      <c r="J47" s="446">
        <f t="shared" si="23"/>
        <v>3324.4642857142899</v>
      </c>
      <c r="K47" s="438">
        <f t="shared" si="23"/>
        <v>831.11607142857247</v>
      </c>
      <c r="L47" s="554"/>
      <c r="M47" s="446">
        <f>RANK(K47, K$42:$K$71)</f>
        <v>9</v>
      </c>
      <c r="N47" s="566"/>
      <c r="O47" s="566"/>
      <c r="P47" s="182">
        <v>4</v>
      </c>
      <c r="Q47" s="182">
        <v>3221.2500000000036</v>
      </c>
      <c r="R47" s="182">
        <v>805.31250000000091</v>
      </c>
      <c r="S47" s="436">
        <f t="shared" si="10"/>
        <v>9</v>
      </c>
      <c r="T47" s="574"/>
      <c r="U47" s="182">
        <v>4</v>
      </c>
      <c r="V47" s="182">
        <v>3380.0000000000032</v>
      </c>
      <c r="W47" s="182">
        <v>845.0000000000008</v>
      </c>
      <c r="X47" s="436">
        <f t="shared" si="11"/>
        <v>11</v>
      </c>
      <c r="Y47" s="574"/>
      <c r="Z47" s="182">
        <v>4</v>
      </c>
      <c r="AA47" s="182">
        <v>3200.0000000000032</v>
      </c>
      <c r="AB47" s="182">
        <v>800.0000000000008</v>
      </c>
      <c r="AC47" s="436">
        <f t="shared" si="13"/>
        <v>9</v>
      </c>
      <c r="AD47" s="574"/>
      <c r="AE47" s="182">
        <v>4</v>
      </c>
      <c r="AF47" s="182">
        <v>3436.3636363636488</v>
      </c>
      <c r="AG47" s="182">
        <v>859.09090909091219</v>
      </c>
      <c r="AH47" s="436">
        <f t="shared" si="15"/>
        <v>10</v>
      </c>
      <c r="AI47" s="574"/>
      <c r="AJ47" s="182">
        <v>4</v>
      </c>
      <c r="AK47" s="182">
        <v>3283.6363636363635</v>
      </c>
      <c r="AL47" s="182">
        <v>820.90909090909088</v>
      </c>
      <c r="AM47" s="436">
        <f t="shared" si="17"/>
        <v>12</v>
      </c>
      <c r="AN47" s="574"/>
      <c r="AO47" s="182">
        <v>4</v>
      </c>
      <c r="AP47" s="182">
        <v>3330.0000000000027</v>
      </c>
      <c r="AQ47" s="182">
        <v>832.50000000000068</v>
      </c>
      <c r="AR47" s="436">
        <f t="shared" si="19"/>
        <v>11</v>
      </c>
      <c r="AS47" s="574"/>
      <c r="AT47" s="182">
        <v>4</v>
      </c>
      <c r="AU47" s="182">
        <v>3420.0000000000018</v>
      </c>
      <c r="AV47" s="182">
        <v>855.00000000000045</v>
      </c>
      <c r="AW47" s="436">
        <f t="shared" si="21"/>
        <v>10</v>
      </c>
      <c r="AX47" s="574"/>
    </row>
    <row r="48" spans="2:54">
      <c r="B48" s="590"/>
      <c r="C48" s="436">
        <v>7</v>
      </c>
      <c r="D48" s="436" t="s">
        <v>455</v>
      </c>
      <c r="E48" s="436">
        <v>4</v>
      </c>
      <c r="F48" s="182">
        <v>3600</v>
      </c>
      <c r="G48" s="182">
        <v>900</v>
      </c>
      <c r="H48" s="574"/>
      <c r="I48" s="446">
        <f t="shared" si="23"/>
        <v>4</v>
      </c>
      <c r="J48" s="446">
        <f t="shared" si="23"/>
        <v>3427.7414965986309</v>
      </c>
      <c r="K48" s="438">
        <f t="shared" si="23"/>
        <v>856.93537414965772</v>
      </c>
      <c r="L48" s="554"/>
      <c r="M48" s="446">
        <f>RANK(K48, K$42:$K$71)</f>
        <v>8</v>
      </c>
      <c r="N48" s="566"/>
      <c r="O48" s="566"/>
      <c r="P48" s="182">
        <v>4</v>
      </c>
      <c r="Q48" s="182">
        <v>3120.0000000000109</v>
      </c>
      <c r="R48" s="182">
        <v>780.00000000000273</v>
      </c>
      <c r="S48" s="436">
        <f t="shared" si="10"/>
        <v>11</v>
      </c>
      <c r="T48" s="574"/>
      <c r="U48" s="182">
        <v>4</v>
      </c>
      <c r="V48" s="182">
        <v>3689.9999999999764</v>
      </c>
      <c r="W48" s="182">
        <v>922.49999999999409</v>
      </c>
      <c r="X48" s="436">
        <f t="shared" si="11"/>
        <v>9</v>
      </c>
      <c r="Y48" s="574"/>
      <c r="Z48" s="182">
        <v>4</v>
      </c>
      <c r="AA48" s="182">
        <v>2873.333333333318</v>
      </c>
      <c r="AB48" s="182">
        <v>718.33333333332951</v>
      </c>
      <c r="AC48" s="436">
        <f t="shared" si="13"/>
        <v>13</v>
      </c>
      <c r="AD48" s="574"/>
      <c r="AE48" s="182">
        <v>4</v>
      </c>
      <c r="AF48" s="182">
        <v>3708.0000000000132</v>
      </c>
      <c r="AG48" s="182">
        <v>927.0000000000033</v>
      </c>
      <c r="AH48" s="436">
        <f t="shared" si="15"/>
        <v>9</v>
      </c>
      <c r="AI48" s="574"/>
      <c r="AJ48" s="182">
        <v>4</v>
      </c>
      <c r="AK48" s="182">
        <v>3540.0000000000127</v>
      </c>
      <c r="AL48" s="182">
        <v>885.00000000000318</v>
      </c>
      <c r="AM48" s="436">
        <f t="shared" si="17"/>
        <v>9</v>
      </c>
      <c r="AN48" s="574"/>
      <c r="AO48" s="182">
        <v>4</v>
      </c>
      <c r="AP48" s="182">
        <v>3634.2857142856856</v>
      </c>
      <c r="AQ48" s="182">
        <v>908.57142857142139</v>
      </c>
      <c r="AR48" s="436">
        <f t="shared" si="19"/>
        <v>9</v>
      </c>
      <c r="AS48" s="574"/>
      <c r="AT48" s="182">
        <v>4</v>
      </c>
      <c r="AU48" s="182">
        <v>3428.5714285714016</v>
      </c>
      <c r="AV48" s="182">
        <v>857.1428571428504</v>
      </c>
      <c r="AW48" s="436">
        <f t="shared" si="21"/>
        <v>9</v>
      </c>
      <c r="AX48" s="574"/>
    </row>
    <row r="49" spans="2:50">
      <c r="B49" s="590"/>
      <c r="C49" s="436">
        <v>8</v>
      </c>
      <c r="D49" s="436" t="s">
        <v>361</v>
      </c>
      <c r="E49" s="436">
        <v>4</v>
      </c>
      <c r="F49" s="182">
        <v>3300</v>
      </c>
      <c r="G49" s="182">
        <v>825</v>
      </c>
      <c r="H49" s="574"/>
      <c r="I49" s="446">
        <f t="shared" si="23"/>
        <v>4</v>
      </c>
      <c r="J49" s="446">
        <f t="shared" si="23"/>
        <v>2927.2166405023577</v>
      </c>
      <c r="K49" s="438">
        <f t="shared" si="23"/>
        <v>731.80416012558942</v>
      </c>
      <c r="L49" s="554"/>
      <c r="M49" s="446">
        <f>RANK(K49, K$42:$K$71)</f>
        <v>12</v>
      </c>
      <c r="N49" s="566"/>
      <c r="O49" s="566"/>
      <c r="P49" s="182">
        <v>4</v>
      </c>
      <c r="Q49" s="182">
        <v>3009.2307692307709</v>
      </c>
      <c r="R49" s="182">
        <v>752.30769230769272</v>
      </c>
      <c r="S49" s="436">
        <f t="shared" si="10"/>
        <v>13</v>
      </c>
      <c r="T49" s="574"/>
      <c r="U49" s="182">
        <v>4</v>
      </c>
      <c r="V49" s="182">
        <v>2875.7142857142881</v>
      </c>
      <c r="W49" s="182">
        <v>718.92857142857201</v>
      </c>
      <c r="X49" s="436">
        <f t="shared" si="11"/>
        <v>15</v>
      </c>
      <c r="Y49" s="574"/>
      <c r="Z49" s="182">
        <v>4</v>
      </c>
      <c r="AA49" s="182">
        <v>2708.5714285714303</v>
      </c>
      <c r="AB49" s="182">
        <v>677.14285714285757</v>
      </c>
      <c r="AC49" s="436">
        <f t="shared" si="13"/>
        <v>18</v>
      </c>
      <c r="AD49" s="574"/>
      <c r="AE49" s="182">
        <v>4</v>
      </c>
      <c r="AF49" s="182">
        <v>3084.0000000000109</v>
      </c>
      <c r="AG49" s="182">
        <v>771.00000000000273</v>
      </c>
      <c r="AH49" s="436">
        <f t="shared" si="15"/>
        <v>13</v>
      </c>
      <c r="AI49" s="574"/>
      <c r="AJ49" s="182">
        <v>4</v>
      </c>
      <c r="AK49" s="182">
        <v>2807.9999999999991</v>
      </c>
      <c r="AL49" s="182">
        <v>701.99999999999977</v>
      </c>
      <c r="AM49" s="436">
        <f t="shared" si="17"/>
        <v>17</v>
      </c>
      <c r="AN49" s="574"/>
      <c r="AO49" s="182">
        <v>4</v>
      </c>
      <c r="AP49" s="182">
        <v>3000.0000000000018</v>
      </c>
      <c r="AQ49" s="182">
        <v>750.00000000000045</v>
      </c>
      <c r="AR49" s="436">
        <f t="shared" si="19"/>
        <v>14</v>
      </c>
      <c r="AS49" s="574"/>
      <c r="AT49" s="182">
        <v>4</v>
      </c>
      <c r="AU49" s="182">
        <v>3005.0000000000009</v>
      </c>
      <c r="AV49" s="182">
        <v>751.25000000000023</v>
      </c>
      <c r="AW49" s="436">
        <f t="shared" si="21"/>
        <v>14</v>
      </c>
      <c r="AX49" s="574"/>
    </row>
    <row r="50" spans="2:50">
      <c r="B50" s="590"/>
      <c r="C50" s="436">
        <v>9</v>
      </c>
      <c r="D50" s="436" t="s">
        <v>362</v>
      </c>
      <c r="E50" s="436">
        <v>3</v>
      </c>
      <c r="F50" s="182">
        <v>3300</v>
      </c>
      <c r="G50" s="182">
        <v>1100</v>
      </c>
      <c r="H50" s="574"/>
      <c r="I50" s="446">
        <f t="shared" si="23"/>
        <v>3</v>
      </c>
      <c r="J50" s="446">
        <f t="shared" si="23"/>
        <v>2864.4767035836926</v>
      </c>
      <c r="K50" s="438">
        <f t="shared" si="23"/>
        <v>954.82556786123098</v>
      </c>
      <c r="L50" s="554"/>
      <c r="M50" s="446">
        <f>RANK(K50, K$42:$K$71)</f>
        <v>4</v>
      </c>
      <c r="N50" s="566"/>
      <c r="O50" s="566"/>
      <c r="P50" s="182">
        <v>3</v>
      </c>
      <c r="Q50" s="182">
        <v>2821.9354838709701</v>
      </c>
      <c r="R50" s="182">
        <v>940.64516129032336</v>
      </c>
      <c r="S50" s="436">
        <f t="shared" si="10"/>
        <v>5</v>
      </c>
      <c r="T50" s="574"/>
      <c r="U50" s="182">
        <v>3</v>
      </c>
      <c r="V50" s="182">
        <v>2810.3225806451601</v>
      </c>
      <c r="W50" s="182">
        <v>936.77419354838673</v>
      </c>
      <c r="X50" s="436">
        <f t="shared" si="11"/>
        <v>7</v>
      </c>
      <c r="Y50" s="574"/>
      <c r="Z50" s="182">
        <v>3</v>
      </c>
      <c r="AA50" s="182">
        <v>2780.0000000000027</v>
      </c>
      <c r="AB50" s="182">
        <v>926.66666666666754</v>
      </c>
      <c r="AC50" s="436">
        <f t="shared" si="13"/>
        <v>4</v>
      </c>
      <c r="AD50" s="574"/>
      <c r="AE50" s="182">
        <v>3</v>
      </c>
      <c r="AF50" s="182">
        <v>2896.8000000000056</v>
      </c>
      <c r="AG50" s="182">
        <v>965.60000000000184</v>
      </c>
      <c r="AH50" s="436">
        <f t="shared" si="15"/>
        <v>4</v>
      </c>
      <c r="AI50" s="574"/>
      <c r="AJ50" s="182">
        <v>3</v>
      </c>
      <c r="AK50" s="182">
        <v>3044.3478260869565</v>
      </c>
      <c r="AL50" s="182">
        <v>1014.7826086956521</v>
      </c>
      <c r="AM50" s="436">
        <f t="shared" si="17"/>
        <v>4</v>
      </c>
      <c r="AN50" s="574"/>
      <c r="AO50" s="182">
        <v>3</v>
      </c>
      <c r="AP50" s="182">
        <v>2869.6551724137912</v>
      </c>
      <c r="AQ50" s="182">
        <v>956.55172413793036</v>
      </c>
      <c r="AR50" s="436">
        <f t="shared" si="19"/>
        <v>6</v>
      </c>
      <c r="AS50" s="574"/>
      <c r="AT50" s="182">
        <v>3</v>
      </c>
      <c r="AU50" s="182">
        <v>2828.2758620689638</v>
      </c>
      <c r="AV50" s="182">
        <v>942.75862068965455</v>
      </c>
      <c r="AW50" s="436">
        <f t="shared" si="21"/>
        <v>6</v>
      </c>
      <c r="AX50" s="574"/>
    </row>
    <row r="51" spans="2:50">
      <c r="B51" s="590"/>
      <c r="C51" s="436">
        <v>10</v>
      </c>
      <c r="D51" s="436" t="s">
        <v>363</v>
      </c>
      <c r="E51" s="436">
        <v>3</v>
      </c>
      <c r="F51" s="182">
        <v>3300</v>
      </c>
      <c r="G51" s="182">
        <v>1100</v>
      </c>
      <c r="H51" s="574"/>
      <c r="I51" s="446">
        <f t="shared" si="23"/>
        <v>3</v>
      </c>
      <c r="J51" s="446">
        <f t="shared" si="23"/>
        <v>2854.7592127760181</v>
      </c>
      <c r="K51" s="438">
        <f t="shared" si="23"/>
        <v>951.58640425867281</v>
      </c>
      <c r="L51" s="554"/>
      <c r="M51" s="446">
        <f>RANK(K51, K$42:$K$71)</f>
        <v>5</v>
      </c>
      <c r="N51" s="566"/>
      <c r="O51" s="566"/>
      <c r="P51" s="182">
        <v>3</v>
      </c>
      <c r="Q51" s="182">
        <v>2808.0000000000009</v>
      </c>
      <c r="R51" s="182">
        <v>936.00000000000034</v>
      </c>
      <c r="S51" s="436">
        <f t="shared" si="10"/>
        <v>7</v>
      </c>
      <c r="T51" s="574"/>
      <c r="U51" s="182">
        <v>3</v>
      </c>
      <c r="V51" s="182">
        <v>2887.0588235294117</v>
      </c>
      <c r="W51" s="182">
        <v>962.35294117647061</v>
      </c>
      <c r="X51" s="436">
        <f t="shared" si="11"/>
        <v>4</v>
      </c>
      <c r="Y51" s="574"/>
      <c r="Z51" s="182">
        <v>3</v>
      </c>
      <c r="AA51" s="182">
        <v>2749.411764705882</v>
      </c>
      <c r="AB51" s="182">
        <v>916.47058823529403</v>
      </c>
      <c r="AC51" s="436">
        <f t="shared" si="13"/>
        <v>6</v>
      </c>
      <c r="AD51" s="574"/>
      <c r="AE51" s="182">
        <v>3</v>
      </c>
      <c r="AF51" s="182">
        <v>2961.4285714285693</v>
      </c>
      <c r="AG51" s="182">
        <v>987.14285714285643</v>
      </c>
      <c r="AH51" s="436">
        <f t="shared" si="15"/>
        <v>3</v>
      </c>
      <c r="AI51" s="574"/>
      <c r="AJ51" s="182">
        <v>3</v>
      </c>
      <c r="AK51" s="182">
        <v>2926.6666666666683</v>
      </c>
      <c r="AL51" s="182">
        <v>975.55555555555611</v>
      </c>
      <c r="AM51" s="436">
        <f t="shared" si="17"/>
        <v>6</v>
      </c>
      <c r="AN51" s="574"/>
      <c r="AO51" s="182">
        <v>3</v>
      </c>
      <c r="AP51" s="182">
        <v>2825.2941176470586</v>
      </c>
      <c r="AQ51" s="182">
        <v>941.76470588235281</v>
      </c>
      <c r="AR51" s="436">
        <f t="shared" si="19"/>
        <v>8</v>
      </c>
      <c r="AS51" s="574"/>
      <c r="AT51" s="182">
        <v>3</v>
      </c>
      <c r="AU51" s="182">
        <v>2825.4545454545382</v>
      </c>
      <c r="AV51" s="182">
        <v>941.81818181817937</v>
      </c>
      <c r="AW51" s="436">
        <f t="shared" si="21"/>
        <v>7</v>
      </c>
      <c r="AX51" s="574"/>
    </row>
    <row r="52" spans="2:50">
      <c r="B52" s="590"/>
      <c r="C52" s="436">
        <v>11</v>
      </c>
      <c r="D52" s="436" t="s">
        <v>364</v>
      </c>
      <c r="E52" s="436">
        <v>4</v>
      </c>
      <c r="F52" s="182">
        <v>3300</v>
      </c>
      <c r="G52" s="182">
        <v>825</v>
      </c>
      <c r="H52" s="574"/>
      <c r="I52" s="446">
        <f t="shared" si="23"/>
        <v>4</v>
      </c>
      <c r="J52" s="446">
        <f t="shared" si="23"/>
        <v>2832.047316069285</v>
      </c>
      <c r="K52" s="438">
        <f t="shared" si="23"/>
        <v>708.01182901732125</v>
      </c>
      <c r="L52" s="554"/>
      <c r="M52" s="446">
        <f>RANK(K52, K$42:$K$71)</f>
        <v>17</v>
      </c>
      <c r="N52" s="566"/>
      <c r="O52" s="566"/>
      <c r="P52" s="182">
        <v>4</v>
      </c>
      <c r="Q52" s="182">
        <v>2842.3529411764716</v>
      </c>
      <c r="R52" s="182">
        <v>710.58823529411791</v>
      </c>
      <c r="S52" s="436">
        <f t="shared" si="10"/>
        <v>14</v>
      </c>
      <c r="T52" s="574"/>
      <c r="U52" s="182">
        <v>4</v>
      </c>
      <c r="V52" s="182">
        <v>2805.8823529411779</v>
      </c>
      <c r="W52" s="182">
        <v>701.47058823529449</v>
      </c>
      <c r="X52" s="436">
        <f t="shared" si="11"/>
        <v>18</v>
      </c>
      <c r="Y52" s="574"/>
      <c r="Z52" s="182">
        <v>4</v>
      </c>
      <c r="AA52" s="182">
        <v>2778.3673469387763</v>
      </c>
      <c r="AB52" s="182">
        <v>694.59183673469408</v>
      </c>
      <c r="AC52" s="436">
        <f t="shared" si="13"/>
        <v>15</v>
      </c>
      <c r="AD52" s="574"/>
      <c r="AE52" s="182">
        <v>4</v>
      </c>
      <c r="AF52" s="182">
        <v>2862.8571428571445</v>
      </c>
      <c r="AG52" s="182">
        <v>715.71428571428612</v>
      </c>
      <c r="AH52" s="436">
        <f t="shared" si="15"/>
        <v>19</v>
      </c>
      <c r="AI52" s="574"/>
      <c r="AJ52" s="182">
        <v>4</v>
      </c>
      <c r="AK52" s="182">
        <v>2828.5714285714275</v>
      </c>
      <c r="AL52" s="182">
        <v>707.14285714285688</v>
      </c>
      <c r="AM52" s="436">
        <f t="shared" si="17"/>
        <v>16</v>
      </c>
      <c r="AN52" s="574"/>
      <c r="AO52" s="182">
        <v>4</v>
      </c>
      <c r="AP52" s="182">
        <v>2848.7999999999965</v>
      </c>
      <c r="AQ52" s="182">
        <v>712.19999999999914</v>
      </c>
      <c r="AR52" s="436">
        <f t="shared" si="19"/>
        <v>16</v>
      </c>
      <c r="AS52" s="574"/>
      <c r="AT52" s="182">
        <v>4</v>
      </c>
      <c r="AU52" s="182">
        <v>2857.5000000000009</v>
      </c>
      <c r="AV52" s="182">
        <v>714.37500000000023</v>
      </c>
      <c r="AW52" s="436">
        <f t="shared" si="21"/>
        <v>16</v>
      </c>
      <c r="AX52" s="574"/>
    </row>
    <row r="53" spans="2:50">
      <c r="B53" s="590"/>
      <c r="C53" s="436">
        <v>12</v>
      </c>
      <c r="D53" s="436" t="s">
        <v>365</v>
      </c>
      <c r="E53" s="436">
        <v>4</v>
      </c>
      <c r="F53" s="182">
        <v>3300</v>
      </c>
      <c r="G53" s="182">
        <v>825</v>
      </c>
      <c r="H53" s="574"/>
      <c r="I53" s="446">
        <f t="shared" si="23"/>
        <v>4</v>
      </c>
      <c r="J53" s="446">
        <f t="shared" si="23"/>
        <v>2832.6582404530591</v>
      </c>
      <c r="K53" s="438">
        <f t="shared" si="23"/>
        <v>708.16456011326477</v>
      </c>
      <c r="L53" s="554"/>
      <c r="M53" s="446">
        <f>RANK(K53, K$42:$K$71)</f>
        <v>16</v>
      </c>
      <c r="N53" s="566"/>
      <c r="O53" s="566"/>
      <c r="P53" s="182">
        <v>4</v>
      </c>
      <c r="Q53" s="182">
        <v>2793.1034482758641</v>
      </c>
      <c r="R53" s="182">
        <v>698.27586206896603</v>
      </c>
      <c r="S53" s="436">
        <f t="shared" si="10"/>
        <v>15</v>
      </c>
      <c r="T53" s="574"/>
      <c r="U53" s="182">
        <v>4</v>
      </c>
      <c r="V53" s="182">
        <v>2831.7857142857119</v>
      </c>
      <c r="W53" s="182">
        <v>707.94642857142799</v>
      </c>
      <c r="X53" s="436">
        <f t="shared" si="11"/>
        <v>17</v>
      </c>
      <c r="Y53" s="574"/>
      <c r="Z53" s="182">
        <v>4</v>
      </c>
      <c r="AA53" s="182">
        <v>2760.0000000000014</v>
      </c>
      <c r="AB53" s="182">
        <v>690.00000000000034</v>
      </c>
      <c r="AC53" s="436">
        <f t="shared" si="13"/>
        <v>17</v>
      </c>
      <c r="AD53" s="574"/>
      <c r="AE53" s="182">
        <v>4</v>
      </c>
      <c r="AF53" s="182">
        <v>2916.521739130435</v>
      </c>
      <c r="AG53" s="182">
        <v>729.13043478260875</v>
      </c>
      <c r="AH53" s="436">
        <f t="shared" si="15"/>
        <v>16</v>
      </c>
      <c r="AI53" s="574"/>
      <c r="AJ53" s="182">
        <v>4</v>
      </c>
      <c r="AK53" s="182">
        <v>2866.956521739136</v>
      </c>
      <c r="AL53" s="182">
        <v>716.73913043478399</v>
      </c>
      <c r="AM53" s="436">
        <f t="shared" si="17"/>
        <v>15</v>
      </c>
      <c r="AN53" s="574"/>
      <c r="AO53" s="182">
        <v>4</v>
      </c>
      <c r="AP53" s="182">
        <v>2846.7857142857165</v>
      </c>
      <c r="AQ53" s="182">
        <v>711.69642857142912</v>
      </c>
      <c r="AR53" s="436">
        <f t="shared" si="19"/>
        <v>17</v>
      </c>
      <c r="AS53" s="574"/>
      <c r="AT53" s="182">
        <v>4</v>
      </c>
      <c r="AU53" s="182">
        <v>2813.4545454545473</v>
      </c>
      <c r="AV53" s="182">
        <v>703.36363636363683</v>
      </c>
      <c r="AW53" s="436">
        <f t="shared" si="21"/>
        <v>17</v>
      </c>
      <c r="AX53" s="574"/>
    </row>
    <row r="54" spans="2:50">
      <c r="B54" s="590"/>
      <c r="C54" s="436">
        <v>13</v>
      </c>
      <c r="D54" s="436" t="s">
        <v>555</v>
      </c>
      <c r="E54" s="436">
        <v>4</v>
      </c>
      <c r="F54" s="182">
        <v>2800</v>
      </c>
      <c r="G54" s="182">
        <v>700</v>
      </c>
      <c r="H54" s="574"/>
      <c r="I54" s="446">
        <f t="shared" si="23"/>
        <v>4</v>
      </c>
      <c r="J54" s="446">
        <f t="shared" si="23"/>
        <v>2846.4486491077337</v>
      </c>
      <c r="K54" s="438">
        <f t="shared" si="23"/>
        <v>711.61216227693342</v>
      </c>
      <c r="L54" s="554"/>
      <c r="M54" s="446">
        <f>RANK(K54, K$42:$K$71)</f>
        <v>15</v>
      </c>
      <c r="N54" s="566"/>
      <c r="O54" s="566"/>
      <c r="P54" s="182">
        <v>4</v>
      </c>
      <c r="Q54" s="182">
        <v>2759.99999999999</v>
      </c>
      <c r="R54" s="182">
        <v>689.9999999999975</v>
      </c>
      <c r="S54" s="436">
        <f t="shared" si="10"/>
        <v>17</v>
      </c>
      <c r="T54" s="574"/>
      <c r="U54" s="182">
        <v>4</v>
      </c>
      <c r="V54" s="182">
        <v>2851.7647058823563</v>
      </c>
      <c r="W54" s="182">
        <v>712.94117647058908</v>
      </c>
      <c r="X54" s="436">
        <f t="shared" si="11"/>
        <v>16</v>
      </c>
      <c r="Y54" s="574"/>
      <c r="Z54" s="182">
        <v>4</v>
      </c>
      <c r="AA54" s="182">
        <v>2799.3750000000032</v>
      </c>
      <c r="AB54" s="182">
        <v>699.8437500000008</v>
      </c>
      <c r="AC54" s="436">
        <f t="shared" si="13"/>
        <v>14</v>
      </c>
      <c r="AD54" s="574"/>
      <c r="AE54" s="182">
        <v>4</v>
      </c>
      <c r="AF54" s="182">
        <v>2892.8571428571368</v>
      </c>
      <c r="AG54" s="182">
        <v>723.21428571428419</v>
      </c>
      <c r="AH54" s="436">
        <f t="shared" si="15"/>
        <v>17</v>
      </c>
      <c r="AI54" s="574"/>
      <c r="AJ54" s="182">
        <v>4</v>
      </c>
      <c r="AK54" s="182">
        <v>2909.9999999999923</v>
      </c>
      <c r="AL54" s="182">
        <v>727.49999999999807</v>
      </c>
      <c r="AM54" s="436">
        <f t="shared" si="17"/>
        <v>14</v>
      </c>
      <c r="AN54" s="574"/>
      <c r="AO54" s="182">
        <v>4</v>
      </c>
      <c r="AP54" s="182">
        <v>2827.2727272727238</v>
      </c>
      <c r="AQ54" s="182">
        <v>706.81818181818096</v>
      </c>
      <c r="AR54" s="436">
        <f t="shared" si="19"/>
        <v>18</v>
      </c>
      <c r="AS54" s="574"/>
      <c r="AT54" s="182">
        <v>4</v>
      </c>
      <c r="AU54" s="182">
        <v>2883.8709677419306</v>
      </c>
      <c r="AV54" s="182">
        <v>720.96774193548265</v>
      </c>
      <c r="AW54" s="436">
        <f t="shared" si="21"/>
        <v>15</v>
      </c>
      <c r="AX54" s="574"/>
    </row>
    <row r="55" spans="2:50">
      <c r="B55" s="590"/>
      <c r="C55" s="436">
        <v>14</v>
      </c>
      <c r="D55" s="436" t="s">
        <v>366</v>
      </c>
      <c r="E55" s="436">
        <v>4</v>
      </c>
      <c r="F55" s="182">
        <v>3600</v>
      </c>
      <c r="G55" s="182">
        <v>900</v>
      </c>
      <c r="H55" s="574"/>
      <c r="I55" s="446">
        <f t="shared" si="23"/>
        <v>4</v>
      </c>
      <c r="J55" s="446">
        <f t="shared" si="23"/>
        <v>2874.155844155845</v>
      </c>
      <c r="K55" s="438">
        <f t="shared" si="23"/>
        <v>718.53896103896125</v>
      </c>
      <c r="L55" s="554"/>
      <c r="M55" s="446">
        <f>RANK(K55, K$42:$K$71)</f>
        <v>14</v>
      </c>
      <c r="N55" s="566"/>
      <c r="O55" s="566"/>
      <c r="P55" s="182">
        <v>4</v>
      </c>
      <c r="Q55" s="182">
        <v>2749.090909090919</v>
      </c>
      <c r="R55" s="182">
        <v>687.27272727272975</v>
      </c>
      <c r="S55" s="436">
        <f t="shared" si="10"/>
        <v>18</v>
      </c>
      <c r="T55" s="574"/>
      <c r="U55" s="182">
        <v>4</v>
      </c>
      <c r="V55" s="182">
        <v>2768.9999999999877</v>
      </c>
      <c r="W55" s="182">
        <v>692.24999999999693</v>
      </c>
      <c r="X55" s="436">
        <f t="shared" si="11"/>
        <v>19</v>
      </c>
      <c r="Y55" s="574"/>
      <c r="Z55" s="182">
        <v>4</v>
      </c>
      <c r="AA55" s="182">
        <v>2699.9999999999882</v>
      </c>
      <c r="AB55" s="182">
        <v>674.99999999999704</v>
      </c>
      <c r="AC55" s="436">
        <f t="shared" si="13"/>
        <v>19</v>
      </c>
      <c r="AD55" s="574"/>
      <c r="AE55" s="182">
        <v>4</v>
      </c>
      <c r="AF55" s="182">
        <v>3060.0000000000109</v>
      </c>
      <c r="AG55" s="182">
        <v>765.00000000000273</v>
      </c>
      <c r="AH55" s="436">
        <f t="shared" si="15"/>
        <v>14</v>
      </c>
      <c r="AI55" s="574"/>
      <c r="AJ55" s="182">
        <v>4</v>
      </c>
      <c r="AK55" s="182">
        <v>2360.9999999999895</v>
      </c>
      <c r="AL55" s="182">
        <v>590.24999999999739</v>
      </c>
      <c r="AM55" s="436">
        <f t="shared" si="17"/>
        <v>19</v>
      </c>
      <c r="AN55" s="574"/>
      <c r="AO55" s="182">
        <v>4</v>
      </c>
      <c r="AP55" s="182">
        <v>3308.0000000000118</v>
      </c>
      <c r="AQ55" s="182">
        <v>827.00000000000296</v>
      </c>
      <c r="AR55" s="436">
        <f t="shared" si="19"/>
        <v>12</v>
      </c>
      <c r="AS55" s="574"/>
      <c r="AT55" s="182">
        <v>4</v>
      </c>
      <c r="AU55" s="182">
        <v>3172.0000000000109</v>
      </c>
      <c r="AV55" s="182">
        <v>793.00000000000273</v>
      </c>
      <c r="AW55" s="436">
        <f t="shared" si="21"/>
        <v>13</v>
      </c>
      <c r="AX55" s="574"/>
    </row>
    <row r="56" spans="2:50">
      <c r="B56" s="590"/>
      <c r="C56" s="436">
        <v>15</v>
      </c>
      <c r="D56" s="436" t="s">
        <v>367</v>
      </c>
      <c r="E56" s="436">
        <v>4</v>
      </c>
      <c r="F56" s="182">
        <v>3600</v>
      </c>
      <c r="G56" s="182">
        <v>900</v>
      </c>
      <c r="H56" s="574"/>
      <c r="I56" s="446">
        <f t="shared" si="23"/>
        <v>4</v>
      </c>
      <c r="J56" s="446">
        <f t="shared" si="23"/>
        <v>2368.2857142857079</v>
      </c>
      <c r="K56" s="438">
        <f t="shared" si="23"/>
        <v>592.07142857142696</v>
      </c>
      <c r="L56" s="554"/>
      <c r="M56" s="446">
        <f>RANK(K56, K$42:$K$71)</f>
        <v>18</v>
      </c>
      <c r="N56" s="566"/>
      <c r="O56" s="566"/>
      <c r="P56" s="182">
        <v>4</v>
      </c>
      <c r="Q56" s="182">
        <v>2634.0000000000091</v>
      </c>
      <c r="R56" s="182">
        <v>658.50000000000227</v>
      </c>
      <c r="S56" s="436">
        <f t="shared" si="10"/>
        <v>20</v>
      </c>
      <c r="T56" s="574"/>
      <c r="U56" s="182">
        <v>4</v>
      </c>
      <c r="V56" s="182">
        <v>2730.00000000001</v>
      </c>
      <c r="W56" s="182">
        <v>682.5000000000025</v>
      </c>
      <c r="X56" s="436">
        <f t="shared" si="11"/>
        <v>20</v>
      </c>
      <c r="Y56" s="574"/>
      <c r="Z56" s="182">
        <v>4</v>
      </c>
      <c r="AA56" s="182">
        <v>2472.0000000000086</v>
      </c>
      <c r="AB56" s="182">
        <v>618.00000000000216</v>
      </c>
      <c r="AC56" s="436">
        <f t="shared" si="13"/>
        <v>20</v>
      </c>
      <c r="AD56" s="574"/>
      <c r="AE56" s="182">
        <v>4</v>
      </c>
      <c r="AF56" s="182">
        <v>1889.9999999999766</v>
      </c>
      <c r="AG56" s="182">
        <v>472.49999999999415</v>
      </c>
      <c r="AH56" s="436">
        <f t="shared" si="15"/>
        <v>21</v>
      </c>
      <c r="AI56" s="574"/>
      <c r="AJ56" s="182">
        <v>4</v>
      </c>
      <c r="AK56" s="182">
        <v>2147.9999999999736</v>
      </c>
      <c r="AL56" s="182">
        <v>536.99999999999341</v>
      </c>
      <c r="AM56" s="436">
        <f t="shared" si="17"/>
        <v>21</v>
      </c>
      <c r="AN56" s="574"/>
      <c r="AO56" s="182">
        <v>4</v>
      </c>
      <c r="AP56" s="182">
        <v>2399.99999999997</v>
      </c>
      <c r="AQ56" s="182">
        <v>599.9999999999925</v>
      </c>
      <c r="AR56" s="436">
        <f t="shared" si="19"/>
        <v>20</v>
      </c>
      <c r="AS56" s="574"/>
      <c r="AT56" s="182">
        <v>4</v>
      </c>
      <c r="AU56" s="182">
        <v>2304.0000000000082</v>
      </c>
      <c r="AV56" s="182">
        <v>576.00000000000205</v>
      </c>
      <c r="AW56" s="436">
        <f t="shared" si="21"/>
        <v>20</v>
      </c>
      <c r="AX56" s="574"/>
    </row>
    <row r="57" spans="2:50">
      <c r="B57" s="590"/>
      <c r="C57" s="436">
        <v>16</v>
      </c>
      <c r="D57" s="436" t="s">
        <v>466</v>
      </c>
      <c r="E57" s="436">
        <v>4</v>
      </c>
      <c r="F57" s="182">
        <v>3300</v>
      </c>
      <c r="G57" s="182">
        <v>825</v>
      </c>
      <c r="H57" s="574"/>
      <c r="I57" s="446">
        <f t="shared" si="23"/>
        <v>3</v>
      </c>
      <c r="J57" s="446">
        <f t="shared" si="23"/>
        <v>2885.6003521649982</v>
      </c>
      <c r="K57" s="438">
        <f t="shared" si="23"/>
        <v>961.86678405499936</v>
      </c>
      <c r="L57" s="554"/>
      <c r="M57" s="446">
        <f>RANK(K57, K$42:$K$71)</f>
        <v>3</v>
      </c>
      <c r="N57" s="566"/>
      <c r="O57" s="566"/>
      <c r="P57" s="182">
        <v>3</v>
      </c>
      <c r="Q57" s="182">
        <v>2814.7826086956625</v>
      </c>
      <c r="R57" s="182">
        <v>938.26086956522079</v>
      </c>
      <c r="S57" s="436">
        <f t="shared" si="10"/>
        <v>6</v>
      </c>
      <c r="T57" s="574"/>
      <c r="U57" s="182">
        <v>3</v>
      </c>
      <c r="V57" s="182">
        <v>2870.0000000000009</v>
      </c>
      <c r="W57" s="182">
        <v>956.66666666666697</v>
      </c>
      <c r="X57" s="436">
        <f t="shared" si="11"/>
        <v>5</v>
      </c>
      <c r="Y57" s="574"/>
      <c r="Z57" s="182">
        <v>3</v>
      </c>
      <c r="AA57" s="182">
        <v>2790</v>
      </c>
      <c r="AB57" s="182">
        <v>930</v>
      </c>
      <c r="AC57" s="436">
        <f t="shared" si="13"/>
        <v>3</v>
      </c>
      <c r="AD57" s="574"/>
      <c r="AE57" s="182">
        <v>3</v>
      </c>
      <c r="AF57" s="182">
        <v>2851.578947368419</v>
      </c>
      <c r="AG57" s="182">
        <v>950.52631578947296</v>
      </c>
      <c r="AH57" s="436">
        <f t="shared" si="15"/>
        <v>8</v>
      </c>
      <c r="AI57" s="574"/>
      <c r="AJ57" s="182">
        <v>3</v>
      </c>
      <c r="AK57" s="182">
        <v>3063.7499999999959</v>
      </c>
      <c r="AL57" s="182">
        <v>1021.2499999999986</v>
      </c>
      <c r="AM57" s="436">
        <f t="shared" si="17"/>
        <v>3</v>
      </c>
      <c r="AN57" s="574"/>
      <c r="AO57" s="182">
        <v>3</v>
      </c>
      <c r="AP57" s="182">
        <v>2929.090909090909</v>
      </c>
      <c r="AQ57" s="182">
        <v>976.36363636363637</v>
      </c>
      <c r="AR57" s="436">
        <f t="shared" si="19"/>
        <v>4</v>
      </c>
      <c r="AS57" s="574"/>
      <c r="AT57" s="182">
        <v>3</v>
      </c>
      <c r="AU57" s="182">
        <v>2879.9999999999991</v>
      </c>
      <c r="AV57" s="182">
        <v>959.99999999999966</v>
      </c>
      <c r="AW57" s="436">
        <f t="shared" si="21"/>
        <v>4</v>
      </c>
      <c r="AX57" s="574"/>
    </row>
    <row r="58" spans="2:50">
      <c r="B58" s="590"/>
      <c r="C58" s="436">
        <v>17</v>
      </c>
      <c r="D58" s="436" t="s">
        <v>552</v>
      </c>
      <c r="E58" s="436">
        <v>3</v>
      </c>
      <c r="F58" s="182">
        <v>2800</v>
      </c>
      <c r="G58" s="182">
        <v>933.33333333333337</v>
      </c>
      <c r="H58" s="574"/>
      <c r="I58" s="446">
        <f t="shared" si="23"/>
        <v>3</v>
      </c>
      <c r="J58" s="446">
        <f t="shared" si="23"/>
        <v>2817.2571428571432</v>
      </c>
      <c r="K58" s="438">
        <f t="shared" si="23"/>
        <v>939.08571428571452</v>
      </c>
      <c r="L58" s="554"/>
      <c r="M58" s="446">
        <f>RANK(K58, K$42:$K$71)</f>
        <v>7</v>
      </c>
      <c r="N58" s="566"/>
      <c r="O58" s="566"/>
      <c r="P58" s="182">
        <v>3</v>
      </c>
      <c r="Q58" s="182">
        <v>2731.999999999995</v>
      </c>
      <c r="R58" s="182">
        <v>910.66666666666504</v>
      </c>
      <c r="S58" s="436">
        <f t="shared" si="10"/>
        <v>8</v>
      </c>
      <c r="T58" s="574"/>
      <c r="U58" s="182">
        <v>3</v>
      </c>
      <c r="V58" s="182">
        <v>2695.999999999995</v>
      </c>
      <c r="W58" s="182">
        <v>898.66666666666504</v>
      </c>
      <c r="X58" s="436">
        <f t="shared" si="11"/>
        <v>10</v>
      </c>
      <c r="Y58" s="574"/>
      <c r="Z58" s="182">
        <v>3</v>
      </c>
      <c r="AA58" s="182">
        <v>2468.0000000000091</v>
      </c>
      <c r="AB58" s="182">
        <v>822.6666666666697</v>
      </c>
      <c r="AC58" s="436">
        <f t="shared" si="13"/>
        <v>8</v>
      </c>
      <c r="AD58" s="574"/>
      <c r="AE58" s="182">
        <v>3</v>
      </c>
      <c r="AF58" s="182">
        <v>2884.799999999992</v>
      </c>
      <c r="AG58" s="182">
        <v>961.59999999999729</v>
      </c>
      <c r="AH58" s="436">
        <f t="shared" si="15"/>
        <v>5</v>
      </c>
      <c r="AI58" s="574"/>
      <c r="AJ58" s="182">
        <v>3</v>
      </c>
      <c r="AK58" s="182">
        <v>2901.5999999999917</v>
      </c>
      <c r="AL58" s="182">
        <v>967.1999999999972</v>
      </c>
      <c r="AM58" s="436">
        <f t="shared" si="17"/>
        <v>7</v>
      </c>
      <c r="AN58" s="574"/>
      <c r="AO58" s="182">
        <v>3</v>
      </c>
      <c r="AP58" s="182">
        <v>3100.7999999999911</v>
      </c>
      <c r="AQ58" s="182">
        <v>1033.599999999997</v>
      </c>
      <c r="AR58" s="436">
        <f t="shared" si="19"/>
        <v>3</v>
      </c>
      <c r="AS58" s="574"/>
      <c r="AT58" s="182">
        <v>3</v>
      </c>
      <c r="AU58" s="182">
        <v>2937.600000000029</v>
      </c>
      <c r="AV58" s="182">
        <v>979.20000000000971</v>
      </c>
      <c r="AW58" s="436">
        <f t="shared" si="21"/>
        <v>3</v>
      </c>
      <c r="AX58" s="574"/>
    </row>
    <row r="59" spans="2:50">
      <c r="B59" s="590"/>
      <c r="C59" s="436">
        <v>18</v>
      </c>
      <c r="D59" s="436" t="s">
        <v>616</v>
      </c>
      <c r="E59" s="436">
        <v>4</v>
      </c>
      <c r="F59" s="182">
        <v>3000</v>
      </c>
      <c r="G59" s="182">
        <v>750</v>
      </c>
      <c r="H59" s="574"/>
      <c r="I59" s="446">
        <f t="shared" si="23"/>
        <v>3</v>
      </c>
      <c r="J59" s="446">
        <f t="shared" si="23"/>
        <v>2188.7662337662318</v>
      </c>
      <c r="K59" s="438">
        <f t="shared" si="23"/>
        <v>729.58874458874402</v>
      </c>
      <c r="L59" s="554"/>
      <c r="M59" s="446">
        <f>RANK(K59, K$42:$K$71)</f>
        <v>13</v>
      </c>
      <c r="N59" s="566"/>
      <c r="O59" s="566"/>
      <c r="P59" s="182">
        <v>3</v>
      </c>
      <c r="Q59" s="182">
        <v>2081.0000000000018</v>
      </c>
      <c r="R59" s="182">
        <v>693.66666666666731</v>
      </c>
      <c r="S59" s="436">
        <f t="shared" si="10"/>
        <v>16</v>
      </c>
      <c r="T59" s="574"/>
      <c r="U59" s="182">
        <v>3</v>
      </c>
      <c r="V59" s="182">
        <v>2238.5454545454559</v>
      </c>
      <c r="W59" s="182">
        <v>746.18181818181858</v>
      </c>
      <c r="X59" s="436">
        <f t="shared" si="11"/>
        <v>14</v>
      </c>
      <c r="Y59" s="574"/>
      <c r="Z59" s="182">
        <v>3</v>
      </c>
      <c r="AA59" s="182">
        <v>2223.5999999999935</v>
      </c>
      <c r="AB59" s="182">
        <v>741.19999999999789</v>
      </c>
      <c r="AC59" s="436">
        <f t="shared" si="13"/>
        <v>12</v>
      </c>
      <c r="AD59" s="574"/>
      <c r="AE59" s="182">
        <v>3</v>
      </c>
      <c r="AF59" s="182">
        <v>2207.9999999999936</v>
      </c>
      <c r="AG59" s="182">
        <v>735.99999999999784</v>
      </c>
      <c r="AH59" s="436">
        <f t="shared" si="15"/>
        <v>15</v>
      </c>
      <c r="AI59" s="574"/>
      <c r="AJ59" s="182">
        <v>3</v>
      </c>
      <c r="AK59" s="182">
        <v>2300.3999999999933</v>
      </c>
      <c r="AL59" s="182">
        <v>766.79999999999779</v>
      </c>
      <c r="AM59" s="436">
        <f t="shared" si="17"/>
        <v>13</v>
      </c>
      <c r="AN59" s="574"/>
      <c r="AO59" s="182">
        <v>3</v>
      </c>
      <c r="AP59" s="182">
        <v>2181.8181818181833</v>
      </c>
      <c r="AQ59" s="182">
        <v>727.27272727272782</v>
      </c>
      <c r="AR59" s="436">
        <f t="shared" si="19"/>
        <v>15</v>
      </c>
      <c r="AS59" s="574"/>
      <c r="AT59" s="182">
        <v>3</v>
      </c>
      <c r="AU59" s="182">
        <v>2088.0000000000014</v>
      </c>
      <c r="AV59" s="182">
        <v>696.00000000000045</v>
      </c>
      <c r="AW59" s="436">
        <f t="shared" si="21"/>
        <v>19</v>
      </c>
      <c r="AX59" s="574"/>
    </row>
    <row r="60" spans="2:50">
      <c r="B60" s="590"/>
      <c r="C60" s="436">
        <v>19</v>
      </c>
      <c r="D60" s="436" t="s">
        <v>560</v>
      </c>
      <c r="E60" s="436">
        <v>12</v>
      </c>
      <c r="F60" s="182">
        <v>1500</v>
      </c>
      <c r="G60" s="182">
        <v>125</v>
      </c>
      <c r="H60" s="574"/>
      <c r="I60" s="446">
        <f t="shared" si="23"/>
        <v>10</v>
      </c>
      <c r="J60" s="446">
        <f t="shared" si="23"/>
        <v>1516.780595401546</v>
      </c>
      <c r="K60" s="438">
        <f t="shared" si="23"/>
        <v>151.67805954015458</v>
      </c>
      <c r="L60" s="554"/>
      <c r="M60" s="446">
        <f>RANK(K60, K$42:$K$71)</f>
        <v>19</v>
      </c>
      <c r="N60" s="566"/>
      <c r="O60" s="566"/>
      <c r="P60" s="182">
        <v>10</v>
      </c>
      <c r="Q60" s="182">
        <v>1493.1428571428564</v>
      </c>
      <c r="R60" s="182">
        <v>149.31428571428563</v>
      </c>
      <c r="S60" s="436">
        <f t="shared" si="10"/>
        <v>22</v>
      </c>
      <c r="T60" s="574"/>
      <c r="U60" s="182">
        <v>10</v>
      </c>
      <c r="V60" s="182">
        <v>1541.4705882352951</v>
      </c>
      <c r="W60" s="182">
        <v>154.14705882352951</v>
      </c>
      <c r="X60" s="436">
        <f t="shared" si="11"/>
        <v>22</v>
      </c>
      <c r="Y60" s="574"/>
      <c r="Z60" s="182">
        <v>10</v>
      </c>
      <c r="AA60" s="182">
        <v>1498.1250000000007</v>
      </c>
      <c r="AB60" s="182">
        <v>149.81250000000006</v>
      </c>
      <c r="AC60" s="436">
        <f t="shared" si="13"/>
        <v>22</v>
      </c>
      <c r="AD60" s="574"/>
      <c r="AE60" s="182">
        <v>10</v>
      </c>
      <c r="AF60" s="182">
        <v>1498.0327868852464</v>
      </c>
      <c r="AG60" s="182">
        <v>149.80327868852464</v>
      </c>
      <c r="AH60" s="436">
        <f t="shared" si="15"/>
        <v>22</v>
      </c>
      <c r="AI60" s="574"/>
      <c r="AJ60" s="182">
        <v>10</v>
      </c>
      <c r="AK60" s="182">
        <v>1549.4736842105253</v>
      </c>
      <c r="AL60" s="182">
        <v>154.94736842105254</v>
      </c>
      <c r="AM60" s="436">
        <f t="shared" si="17"/>
        <v>22</v>
      </c>
      <c r="AN60" s="574"/>
      <c r="AO60" s="182">
        <v>10</v>
      </c>
      <c r="AP60" s="182">
        <v>1531.764705882352</v>
      </c>
      <c r="AQ60" s="182">
        <v>153.17647058823519</v>
      </c>
      <c r="AR60" s="436">
        <f t="shared" si="19"/>
        <v>22</v>
      </c>
      <c r="AS60" s="574"/>
      <c r="AT60" s="182">
        <v>10</v>
      </c>
      <c r="AU60" s="182">
        <v>1505.454545454546</v>
      </c>
      <c r="AV60" s="182">
        <v>150.54545454545459</v>
      </c>
      <c r="AW60" s="436">
        <f t="shared" si="21"/>
        <v>22</v>
      </c>
      <c r="AX60" s="574"/>
    </row>
    <row r="61" spans="2:50">
      <c r="B61" s="590"/>
      <c r="C61" s="436">
        <v>20</v>
      </c>
      <c r="D61" s="436" t="s">
        <v>630</v>
      </c>
      <c r="E61" s="436">
        <v>4</v>
      </c>
      <c r="F61" s="182">
        <v>3000</v>
      </c>
      <c r="G61" s="182">
        <v>750</v>
      </c>
      <c r="H61" s="574"/>
      <c r="I61" s="446"/>
      <c r="J61" s="446"/>
      <c r="K61" s="438"/>
      <c r="L61" s="554"/>
      <c r="M61" s="446" t="e">
        <f>RANK(K61, K$42:$K$71)</f>
        <v>#N/A</v>
      </c>
      <c r="N61" s="566"/>
      <c r="O61" s="566"/>
      <c r="P61" s="182">
        <v>4</v>
      </c>
      <c r="Q61" s="182">
        <v>2112.0000000000014</v>
      </c>
      <c r="R61" s="182">
        <v>528.00000000000034</v>
      </c>
      <c r="S61" s="436">
        <f t="shared" si="10"/>
        <v>21</v>
      </c>
      <c r="T61" s="574"/>
      <c r="U61" s="182">
        <v>4</v>
      </c>
      <c r="V61" s="182">
        <v>2103.2727272727225</v>
      </c>
      <c r="W61" s="182">
        <v>525.81818181818062</v>
      </c>
      <c r="X61" s="436">
        <f t="shared" si="11"/>
        <v>21</v>
      </c>
      <c r="Y61" s="574"/>
      <c r="Z61" s="182">
        <v>4</v>
      </c>
      <c r="AA61" s="182">
        <v>2240</v>
      </c>
      <c r="AB61" s="182">
        <v>560</v>
      </c>
      <c r="AC61" s="436">
        <f t="shared" si="13"/>
        <v>21</v>
      </c>
      <c r="AD61" s="574"/>
      <c r="AE61" s="182">
        <v>4</v>
      </c>
      <c r="AF61" s="182">
        <v>2114.666666666667</v>
      </c>
      <c r="AG61" s="182">
        <v>528.66666666666674</v>
      </c>
      <c r="AH61" s="436">
        <f t="shared" si="15"/>
        <v>20</v>
      </c>
      <c r="AI61" s="574"/>
      <c r="AJ61" s="182">
        <v>4</v>
      </c>
      <c r="AK61" s="182">
        <v>2210.6666666666665</v>
      </c>
      <c r="AL61" s="182">
        <v>552.66666666666663</v>
      </c>
      <c r="AM61" s="436">
        <f t="shared" si="17"/>
        <v>20</v>
      </c>
      <c r="AN61" s="574"/>
      <c r="AO61" s="182">
        <v>4</v>
      </c>
      <c r="AP61" s="182">
        <v>2262.6666666666665</v>
      </c>
      <c r="AQ61" s="182">
        <v>565.66666666666663</v>
      </c>
      <c r="AR61" s="436">
        <f t="shared" si="19"/>
        <v>21</v>
      </c>
      <c r="AS61" s="574"/>
      <c r="AT61" s="182">
        <v>4</v>
      </c>
      <c r="AU61" s="182">
        <v>2265.333333333333</v>
      </c>
      <c r="AV61" s="182">
        <v>566.33333333333326</v>
      </c>
      <c r="AW61" s="436">
        <f t="shared" si="21"/>
        <v>21</v>
      </c>
      <c r="AX61" s="574"/>
    </row>
    <row r="62" spans="2:50">
      <c r="B62" s="590"/>
      <c r="C62" s="436">
        <v>21</v>
      </c>
      <c r="D62" s="436" t="s">
        <v>699</v>
      </c>
      <c r="E62" s="436">
        <v>3</v>
      </c>
      <c r="F62" s="182">
        <v>2800</v>
      </c>
      <c r="G62" s="182">
        <v>933.33333333333337</v>
      </c>
      <c r="H62" s="574"/>
      <c r="I62" s="446"/>
      <c r="J62" s="446"/>
      <c r="K62" s="438"/>
      <c r="L62" s="554"/>
      <c r="M62" s="446" t="e">
        <f>RANK(K62, K$42:$K$71)</f>
        <v>#N/A</v>
      </c>
      <c r="N62" s="566"/>
      <c r="O62" s="566"/>
      <c r="P62" s="436">
        <v>3</v>
      </c>
      <c r="Q62" s="182">
        <v>2826.7499999999991</v>
      </c>
      <c r="R62" s="437">
        <v>942.24999999999966</v>
      </c>
      <c r="S62" s="436">
        <f t="shared" si="10"/>
        <v>4</v>
      </c>
      <c r="T62" s="574"/>
      <c r="U62" s="436">
        <v>3</v>
      </c>
      <c r="V62" s="182">
        <v>2819.2307692307731</v>
      </c>
      <c r="W62" s="437">
        <v>939.74358974359109</v>
      </c>
      <c r="X62" s="436">
        <f t="shared" si="11"/>
        <v>6</v>
      </c>
      <c r="Y62" s="574"/>
      <c r="Z62" s="436">
        <v>3</v>
      </c>
      <c r="AA62" s="182">
        <v>2767.1999999999975</v>
      </c>
      <c r="AB62" s="437">
        <v>922.39999999999918</v>
      </c>
      <c r="AC62" s="436">
        <f t="shared" si="13"/>
        <v>5</v>
      </c>
      <c r="AD62" s="574"/>
      <c r="AE62" s="436">
        <v>3</v>
      </c>
      <c r="AF62" s="182">
        <v>2865.8823529411766</v>
      </c>
      <c r="AG62" s="437">
        <v>955.2941176470589</v>
      </c>
      <c r="AH62" s="436">
        <f t="shared" si="15"/>
        <v>7</v>
      </c>
      <c r="AI62" s="574"/>
      <c r="AJ62" s="436">
        <v>3</v>
      </c>
      <c r="AK62" s="182">
        <v>2828.4375000000032</v>
      </c>
      <c r="AL62" s="437">
        <v>942.81250000000102</v>
      </c>
      <c r="AM62" s="436">
        <f t="shared" si="17"/>
        <v>8</v>
      </c>
      <c r="AN62" s="574"/>
      <c r="AO62" s="436">
        <v>3</v>
      </c>
      <c r="AP62" s="182">
        <v>2843.846153846152</v>
      </c>
      <c r="AQ62" s="437">
        <v>947.94871794871733</v>
      </c>
      <c r="AR62" s="436">
        <f t="shared" si="19"/>
        <v>7</v>
      </c>
      <c r="AS62" s="574"/>
      <c r="AT62" s="436">
        <v>3</v>
      </c>
      <c r="AU62" s="182">
        <v>2863.4210526315769</v>
      </c>
      <c r="AV62" s="437">
        <v>954.47368421052568</v>
      </c>
      <c r="AW62" s="436">
        <f t="shared" si="21"/>
        <v>5</v>
      </c>
      <c r="AX62" s="574"/>
    </row>
    <row r="63" spans="2:50">
      <c r="B63" s="590"/>
      <c r="C63" s="436">
        <v>22</v>
      </c>
      <c r="D63" s="436" t="s">
        <v>755</v>
      </c>
      <c r="E63" s="202">
        <v>4</v>
      </c>
      <c r="F63" s="446">
        <v>2800</v>
      </c>
      <c r="G63" s="446">
        <v>700</v>
      </c>
      <c r="H63" s="574"/>
      <c r="I63" s="446"/>
      <c r="J63" s="446"/>
      <c r="K63" s="438"/>
      <c r="L63" s="554"/>
      <c r="M63" s="446" t="e">
        <f>RANK(K63, K$42:$K$71)</f>
        <v>#N/A</v>
      </c>
      <c r="N63" s="566"/>
      <c r="O63" s="566"/>
      <c r="P63" s="436">
        <v>4</v>
      </c>
      <c r="Q63" s="182">
        <v>2639.3103448275861</v>
      </c>
      <c r="R63" s="437">
        <v>659.82758620689651</v>
      </c>
      <c r="S63" s="436">
        <f t="shared" si="10"/>
        <v>19</v>
      </c>
      <c r="T63" s="574"/>
      <c r="U63" s="436">
        <v>3</v>
      </c>
      <c r="V63" s="182">
        <v>2788.2352941176482</v>
      </c>
      <c r="W63" s="437">
        <v>929.41176470588277</v>
      </c>
      <c r="X63" s="436">
        <f t="shared" si="11"/>
        <v>8</v>
      </c>
      <c r="Y63" s="574"/>
      <c r="Z63" s="436">
        <v>4</v>
      </c>
      <c r="AA63" s="182">
        <v>2774.6938775510212</v>
      </c>
      <c r="AB63" s="437">
        <v>693.67346938775529</v>
      </c>
      <c r="AC63" s="436">
        <f t="shared" si="13"/>
        <v>16</v>
      </c>
      <c r="AD63" s="574"/>
      <c r="AE63" s="436">
        <v>4</v>
      </c>
      <c r="AF63" s="182">
        <v>2885.7142857142808</v>
      </c>
      <c r="AG63" s="437">
        <v>721.42857142857019</v>
      </c>
      <c r="AH63" s="436">
        <f t="shared" si="15"/>
        <v>18</v>
      </c>
      <c r="AI63" s="574"/>
      <c r="AJ63" s="436">
        <v>4</v>
      </c>
      <c r="AK63" s="182">
        <v>2787.096774193551</v>
      </c>
      <c r="AL63" s="437">
        <v>696.77419354838776</v>
      </c>
      <c r="AM63" s="436">
        <f t="shared" si="17"/>
        <v>18</v>
      </c>
      <c r="AN63" s="574"/>
      <c r="AO63" s="436">
        <v>4</v>
      </c>
      <c r="AP63" s="182">
        <v>2810.8333333333312</v>
      </c>
      <c r="AQ63" s="437">
        <v>702.7083333333328</v>
      </c>
      <c r="AR63" s="436">
        <f t="shared" si="19"/>
        <v>19</v>
      </c>
      <c r="AS63" s="574"/>
      <c r="AT63" s="436">
        <v>4</v>
      </c>
      <c r="AU63" s="182">
        <v>2804.5161290322608</v>
      </c>
      <c r="AV63" s="437">
        <v>701.12903225806519</v>
      </c>
      <c r="AW63" s="436">
        <f t="shared" si="21"/>
        <v>18</v>
      </c>
      <c r="AX63" s="574"/>
    </row>
    <row r="64" spans="2:50">
      <c r="B64" s="590"/>
      <c r="C64" s="436">
        <v>23</v>
      </c>
      <c r="D64" s="436"/>
      <c r="E64" s="436"/>
      <c r="F64" s="182"/>
      <c r="G64" s="182"/>
      <c r="H64" s="574"/>
      <c r="I64" s="446"/>
      <c r="J64" s="446"/>
      <c r="K64" s="438"/>
      <c r="L64" s="554"/>
      <c r="M64" s="446" t="e">
        <f>RANK(K64, K$42:$K$71)</f>
        <v>#N/A</v>
      </c>
      <c r="N64" s="566"/>
      <c r="O64" s="566"/>
      <c r="P64" s="436"/>
      <c r="Q64" s="182"/>
      <c r="R64" s="437"/>
      <c r="S64" s="436" t="e">
        <f t="shared" si="10"/>
        <v>#N/A</v>
      </c>
      <c r="T64" s="574"/>
      <c r="U64" s="436"/>
      <c r="V64" s="182"/>
      <c r="W64" s="437"/>
      <c r="X64" s="436" t="e">
        <f t="shared" si="11"/>
        <v>#N/A</v>
      </c>
      <c r="Y64" s="574"/>
      <c r="Z64" s="436"/>
      <c r="AA64" s="182"/>
      <c r="AB64" s="437"/>
      <c r="AC64" s="436" t="e">
        <f t="shared" si="13"/>
        <v>#N/A</v>
      </c>
      <c r="AD64" s="574"/>
      <c r="AE64" s="436"/>
      <c r="AF64" s="182"/>
      <c r="AG64" s="437"/>
      <c r="AH64" s="436" t="e">
        <f t="shared" si="15"/>
        <v>#N/A</v>
      </c>
      <c r="AI64" s="574"/>
      <c r="AJ64" s="436"/>
      <c r="AK64" s="182"/>
      <c r="AL64" s="437"/>
      <c r="AM64" s="436" t="e">
        <f t="shared" si="17"/>
        <v>#N/A</v>
      </c>
      <c r="AN64" s="574"/>
      <c r="AO64" s="436"/>
      <c r="AP64" s="182"/>
      <c r="AQ64" s="437"/>
      <c r="AR64" s="436" t="e">
        <f t="shared" si="19"/>
        <v>#N/A</v>
      </c>
      <c r="AS64" s="574"/>
      <c r="AT64" s="436"/>
      <c r="AU64" s="182"/>
      <c r="AV64" s="437"/>
      <c r="AW64" s="436" t="e">
        <f t="shared" si="21"/>
        <v>#N/A</v>
      </c>
      <c r="AX64" s="574"/>
    </row>
    <row r="65" spans="2:50">
      <c r="B65" s="590"/>
      <c r="C65" s="436">
        <v>24</v>
      </c>
      <c r="D65" s="436"/>
      <c r="E65" s="436"/>
      <c r="F65" s="182"/>
      <c r="G65" s="182"/>
      <c r="H65" s="574"/>
      <c r="I65" s="446"/>
      <c r="J65" s="446"/>
      <c r="K65" s="438"/>
      <c r="L65" s="554"/>
      <c r="M65" s="446" t="e">
        <f>RANK(K65, K$42:$K$71)</f>
        <v>#N/A</v>
      </c>
      <c r="N65" s="566"/>
      <c r="O65" s="566"/>
      <c r="P65" s="436"/>
      <c r="Q65" s="182"/>
      <c r="R65" s="437"/>
      <c r="S65" s="436" t="e">
        <f t="shared" si="10"/>
        <v>#N/A</v>
      </c>
      <c r="T65" s="574"/>
      <c r="U65" s="436"/>
      <c r="V65" s="182"/>
      <c r="W65" s="437"/>
      <c r="X65" s="436" t="e">
        <f t="shared" si="11"/>
        <v>#N/A</v>
      </c>
      <c r="Y65" s="574"/>
      <c r="Z65" s="436"/>
      <c r="AA65" s="182"/>
      <c r="AB65" s="437"/>
      <c r="AC65" s="436" t="e">
        <f t="shared" si="13"/>
        <v>#N/A</v>
      </c>
      <c r="AD65" s="574"/>
      <c r="AE65" s="436"/>
      <c r="AF65" s="182"/>
      <c r="AG65" s="437"/>
      <c r="AH65" s="436" t="e">
        <f t="shared" si="15"/>
        <v>#N/A</v>
      </c>
      <c r="AI65" s="574"/>
      <c r="AJ65" s="436"/>
      <c r="AK65" s="182"/>
      <c r="AL65" s="437"/>
      <c r="AM65" s="436" t="e">
        <f t="shared" si="17"/>
        <v>#N/A</v>
      </c>
      <c r="AN65" s="574"/>
      <c r="AO65" s="436"/>
      <c r="AP65" s="182"/>
      <c r="AQ65" s="437"/>
      <c r="AR65" s="436" t="e">
        <f t="shared" si="19"/>
        <v>#N/A</v>
      </c>
      <c r="AS65" s="574"/>
      <c r="AT65" s="436"/>
      <c r="AU65" s="182"/>
      <c r="AV65" s="437"/>
      <c r="AW65" s="436" t="e">
        <f t="shared" si="21"/>
        <v>#N/A</v>
      </c>
      <c r="AX65" s="574"/>
    </row>
    <row r="66" spans="2:50">
      <c r="B66" s="590"/>
      <c r="C66" s="436">
        <v>25</v>
      </c>
      <c r="D66" s="436"/>
      <c r="E66" s="436"/>
      <c r="F66" s="182"/>
      <c r="G66" s="182"/>
      <c r="H66" s="574"/>
      <c r="I66" s="202"/>
      <c r="J66" s="202"/>
      <c r="K66" s="202"/>
      <c r="L66" s="554"/>
      <c r="M66" s="446" t="e">
        <f>RANK(K66, K$42:$K$71)</f>
        <v>#N/A</v>
      </c>
      <c r="N66" s="566"/>
      <c r="O66" s="566"/>
      <c r="P66" s="436"/>
      <c r="Q66" s="182"/>
      <c r="R66" s="437"/>
      <c r="S66" s="436" t="e">
        <f t="shared" si="10"/>
        <v>#N/A</v>
      </c>
      <c r="T66" s="574"/>
      <c r="U66" s="436"/>
      <c r="V66" s="182"/>
      <c r="W66" s="437"/>
      <c r="X66" s="436" t="e">
        <f t="shared" si="11"/>
        <v>#N/A</v>
      </c>
      <c r="Y66" s="574"/>
      <c r="Z66" s="436"/>
      <c r="AA66" s="182"/>
      <c r="AB66" s="437"/>
      <c r="AC66" s="436" t="e">
        <f t="shared" si="13"/>
        <v>#N/A</v>
      </c>
      <c r="AD66" s="574"/>
      <c r="AE66" s="436"/>
      <c r="AF66" s="182"/>
      <c r="AG66" s="437"/>
      <c r="AH66" s="436" t="e">
        <f t="shared" si="15"/>
        <v>#N/A</v>
      </c>
      <c r="AI66" s="574"/>
      <c r="AJ66" s="436"/>
      <c r="AK66" s="182"/>
      <c r="AL66" s="437"/>
      <c r="AM66" s="436" t="e">
        <f t="shared" si="17"/>
        <v>#N/A</v>
      </c>
      <c r="AN66" s="574"/>
      <c r="AO66" s="436"/>
      <c r="AP66" s="182"/>
      <c r="AQ66" s="437"/>
      <c r="AR66" s="436" t="e">
        <f t="shared" si="19"/>
        <v>#N/A</v>
      </c>
      <c r="AS66" s="574"/>
      <c r="AT66" s="436"/>
      <c r="AU66" s="182"/>
      <c r="AV66" s="437"/>
      <c r="AW66" s="436" t="e">
        <f t="shared" si="21"/>
        <v>#N/A</v>
      </c>
      <c r="AX66" s="574"/>
    </row>
    <row r="67" spans="2:50">
      <c r="B67" s="590"/>
      <c r="C67" s="436">
        <v>26</v>
      </c>
      <c r="D67" s="436"/>
      <c r="E67" s="436"/>
      <c r="F67" s="182"/>
      <c r="G67" s="182"/>
      <c r="H67" s="574"/>
      <c r="I67" s="202"/>
      <c r="J67" s="202"/>
      <c r="K67" s="202"/>
      <c r="L67" s="554"/>
      <c r="M67" s="446" t="e">
        <f>RANK(K67, K$42:$K$71)</f>
        <v>#N/A</v>
      </c>
      <c r="N67" s="566"/>
      <c r="O67" s="566"/>
      <c r="P67" s="436"/>
      <c r="Q67" s="182"/>
      <c r="R67" s="437"/>
      <c r="S67" s="436" t="e">
        <f t="shared" si="10"/>
        <v>#N/A</v>
      </c>
      <c r="T67" s="574"/>
      <c r="U67" s="436"/>
      <c r="V67" s="182"/>
      <c r="W67" s="437"/>
      <c r="X67" s="436" t="e">
        <f t="shared" si="11"/>
        <v>#N/A</v>
      </c>
      <c r="Y67" s="574"/>
      <c r="Z67" s="436"/>
      <c r="AA67" s="182"/>
      <c r="AB67" s="437"/>
      <c r="AC67" s="436" t="e">
        <f t="shared" si="13"/>
        <v>#N/A</v>
      </c>
      <c r="AD67" s="574"/>
      <c r="AE67" s="436"/>
      <c r="AF67" s="182"/>
      <c r="AG67" s="437"/>
      <c r="AH67" s="436" t="e">
        <f t="shared" si="15"/>
        <v>#N/A</v>
      </c>
      <c r="AI67" s="574"/>
      <c r="AJ67" s="436"/>
      <c r="AK67" s="182"/>
      <c r="AL67" s="437"/>
      <c r="AM67" s="436" t="e">
        <f t="shared" si="17"/>
        <v>#N/A</v>
      </c>
      <c r="AN67" s="574"/>
      <c r="AO67" s="436"/>
      <c r="AP67" s="182"/>
      <c r="AQ67" s="437"/>
      <c r="AR67" s="436" t="e">
        <f t="shared" si="19"/>
        <v>#N/A</v>
      </c>
      <c r="AS67" s="574"/>
      <c r="AT67" s="436"/>
      <c r="AU67" s="182"/>
      <c r="AV67" s="437"/>
      <c r="AW67" s="436" t="e">
        <f t="shared" si="21"/>
        <v>#N/A</v>
      </c>
      <c r="AX67" s="574"/>
    </row>
    <row r="68" spans="2:50">
      <c r="B68" s="590"/>
      <c r="C68" s="436">
        <v>27</v>
      </c>
      <c r="D68" s="436"/>
      <c r="E68" s="436"/>
      <c r="F68" s="182"/>
      <c r="G68" s="182"/>
      <c r="H68" s="574"/>
      <c r="I68" s="202"/>
      <c r="J68" s="202"/>
      <c r="K68" s="202"/>
      <c r="L68" s="554"/>
      <c r="M68" s="446" t="e">
        <f>RANK(K68, K$42:$K$71)</f>
        <v>#N/A</v>
      </c>
      <c r="N68" s="566"/>
      <c r="O68" s="566"/>
      <c r="P68" s="436"/>
      <c r="Q68" s="182"/>
      <c r="R68" s="437"/>
      <c r="S68" s="436" t="e">
        <f t="shared" si="10"/>
        <v>#N/A</v>
      </c>
      <c r="T68" s="574"/>
      <c r="U68" s="436"/>
      <c r="V68" s="182"/>
      <c r="W68" s="437"/>
      <c r="X68" s="436" t="e">
        <f t="shared" si="11"/>
        <v>#N/A</v>
      </c>
      <c r="Y68" s="574"/>
      <c r="Z68" s="436"/>
      <c r="AA68" s="182"/>
      <c r="AB68" s="437"/>
      <c r="AC68" s="436" t="e">
        <f t="shared" si="13"/>
        <v>#N/A</v>
      </c>
      <c r="AD68" s="574"/>
      <c r="AE68" s="436"/>
      <c r="AF68" s="182"/>
      <c r="AG68" s="437"/>
      <c r="AH68" s="436" t="e">
        <f t="shared" si="15"/>
        <v>#N/A</v>
      </c>
      <c r="AI68" s="574"/>
      <c r="AJ68" s="436"/>
      <c r="AK68" s="182"/>
      <c r="AL68" s="437"/>
      <c r="AM68" s="436" t="e">
        <f t="shared" si="17"/>
        <v>#N/A</v>
      </c>
      <c r="AN68" s="574"/>
      <c r="AO68" s="436"/>
      <c r="AP68" s="182"/>
      <c r="AQ68" s="437"/>
      <c r="AR68" s="436" t="e">
        <f t="shared" si="19"/>
        <v>#N/A</v>
      </c>
      <c r="AS68" s="574"/>
      <c r="AT68" s="436"/>
      <c r="AU68" s="182"/>
      <c r="AV68" s="437"/>
      <c r="AW68" s="436" t="e">
        <f t="shared" si="21"/>
        <v>#N/A</v>
      </c>
      <c r="AX68" s="574"/>
    </row>
    <row r="69" spans="2:50">
      <c r="B69" s="590"/>
      <c r="C69" s="436">
        <v>28</v>
      </c>
      <c r="D69" s="436"/>
      <c r="E69" s="436"/>
      <c r="F69" s="182"/>
      <c r="G69" s="182"/>
      <c r="H69" s="574"/>
      <c r="I69" s="202"/>
      <c r="J69" s="202"/>
      <c r="K69" s="202"/>
      <c r="L69" s="554"/>
      <c r="M69" s="446" t="e">
        <f>RANK(K69, K$42:$K$71)</f>
        <v>#N/A</v>
      </c>
      <c r="N69" s="566"/>
      <c r="O69" s="566"/>
      <c r="P69" s="436"/>
      <c r="Q69" s="182"/>
      <c r="R69" s="437"/>
      <c r="S69" s="436" t="e">
        <f t="shared" si="10"/>
        <v>#N/A</v>
      </c>
      <c r="T69" s="574"/>
      <c r="U69" s="436"/>
      <c r="V69" s="182"/>
      <c r="W69" s="437"/>
      <c r="X69" s="436" t="e">
        <f t="shared" si="11"/>
        <v>#N/A</v>
      </c>
      <c r="Y69" s="574"/>
      <c r="Z69" s="436"/>
      <c r="AA69" s="182"/>
      <c r="AB69" s="437"/>
      <c r="AC69" s="436" t="e">
        <f t="shared" si="13"/>
        <v>#N/A</v>
      </c>
      <c r="AD69" s="574"/>
      <c r="AE69" s="436"/>
      <c r="AF69" s="182"/>
      <c r="AG69" s="437"/>
      <c r="AH69" s="436" t="e">
        <f t="shared" si="15"/>
        <v>#N/A</v>
      </c>
      <c r="AI69" s="574"/>
      <c r="AJ69" s="436"/>
      <c r="AK69" s="182"/>
      <c r="AL69" s="437"/>
      <c r="AM69" s="436" t="e">
        <f t="shared" si="17"/>
        <v>#N/A</v>
      </c>
      <c r="AN69" s="574"/>
      <c r="AO69" s="436"/>
      <c r="AP69" s="182"/>
      <c r="AQ69" s="437"/>
      <c r="AR69" s="436" t="e">
        <f t="shared" si="19"/>
        <v>#N/A</v>
      </c>
      <c r="AS69" s="574"/>
      <c r="AT69" s="436"/>
      <c r="AU69" s="182"/>
      <c r="AV69" s="437"/>
      <c r="AW69" s="436" t="e">
        <f t="shared" si="21"/>
        <v>#N/A</v>
      </c>
      <c r="AX69" s="574"/>
    </row>
    <row r="70" spans="2:50">
      <c r="B70" s="590"/>
      <c r="C70" s="436">
        <v>29</v>
      </c>
      <c r="D70" s="436"/>
      <c r="E70" s="436"/>
      <c r="F70" s="182"/>
      <c r="G70" s="182"/>
      <c r="H70" s="574"/>
      <c r="I70" s="202"/>
      <c r="J70" s="202"/>
      <c r="K70" s="202"/>
      <c r="L70" s="554"/>
      <c r="M70" s="446" t="e">
        <f>RANK(K70, K$42:$K$71)</f>
        <v>#N/A</v>
      </c>
      <c r="N70" s="566"/>
      <c r="O70" s="566"/>
      <c r="P70" s="436"/>
      <c r="Q70" s="182"/>
      <c r="R70" s="437"/>
      <c r="S70" s="436" t="e">
        <f t="shared" si="10"/>
        <v>#N/A</v>
      </c>
      <c r="T70" s="574"/>
      <c r="U70" s="436"/>
      <c r="V70" s="182"/>
      <c r="W70" s="437"/>
      <c r="X70" s="436" t="e">
        <f t="shared" si="11"/>
        <v>#N/A</v>
      </c>
      <c r="Y70" s="574"/>
      <c r="Z70" s="436"/>
      <c r="AA70" s="182"/>
      <c r="AB70" s="437"/>
      <c r="AC70" s="436" t="e">
        <f t="shared" si="13"/>
        <v>#N/A</v>
      </c>
      <c r="AD70" s="574"/>
      <c r="AE70" s="436"/>
      <c r="AF70" s="182"/>
      <c r="AG70" s="437"/>
      <c r="AH70" s="436" t="e">
        <f t="shared" si="15"/>
        <v>#N/A</v>
      </c>
      <c r="AI70" s="574"/>
      <c r="AJ70" s="436"/>
      <c r="AK70" s="182"/>
      <c r="AL70" s="437"/>
      <c r="AM70" s="436" t="e">
        <f t="shared" si="17"/>
        <v>#N/A</v>
      </c>
      <c r="AN70" s="574"/>
      <c r="AO70" s="436"/>
      <c r="AP70" s="182"/>
      <c r="AQ70" s="437"/>
      <c r="AR70" s="436" t="e">
        <f t="shared" si="19"/>
        <v>#N/A</v>
      </c>
      <c r="AS70" s="574"/>
      <c r="AT70" s="436"/>
      <c r="AU70" s="182"/>
      <c r="AV70" s="437"/>
      <c r="AW70" s="436" t="e">
        <f t="shared" si="21"/>
        <v>#N/A</v>
      </c>
      <c r="AX70" s="574"/>
    </row>
    <row r="71" spans="2:50">
      <c r="B71" s="591"/>
      <c r="C71" s="436">
        <v>30</v>
      </c>
      <c r="D71" s="436"/>
      <c r="E71" s="436"/>
      <c r="F71" s="182"/>
      <c r="G71" s="182"/>
      <c r="H71" s="575"/>
      <c r="I71" s="202"/>
      <c r="J71" s="202"/>
      <c r="K71" s="202"/>
      <c r="L71" s="555"/>
      <c r="M71" s="446" t="e">
        <f>RANK(K71, K$42:$K$71)</f>
        <v>#N/A</v>
      </c>
      <c r="N71" s="567"/>
      <c r="O71" s="567"/>
      <c r="P71" s="436"/>
      <c r="Q71" s="182"/>
      <c r="R71" s="437"/>
      <c r="S71" s="436" t="e">
        <f t="shared" si="10"/>
        <v>#N/A</v>
      </c>
      <c r="T71" s="575"/>
      <c r="U71" s="436"/>
      <c r="V71" s="182"/>
      <c r="W71" s="437"/>
      <c r="X71" s="436" t="e">
        <f t="shared" si="11"/>
        <v>#N/A</v>
      </c>
      <c r="Y71" s="575"/>
      <c r="Z71" s="436"/>
      <c r="AA71" s="182"/>
      <c r="AB71" s="437"/>
      <c r="AC71" s="436" t="e">
        <f t="shared" si="13"/>
        <v>#N/A</v>
      </c>
      <c r="AD71" s="575"/>
      <c r="AE71" s="436"/>
      <c r="AF71" s="182"/>
      <c r="AG71" s="437"/>
      <c r="AH71" s="436" t="e">
        <f t="shared" si="15"/>
        <v>#N/A</v>
      </c>
      <c r="AI71" s="575"/>
      <c r="AJ71" s="436"/>
      <c r="AK71" s="182"/>
      <c r="AL71" s="437"/>
      <c r="AM71" s="436" t="e">
        <f t="shared" si="17"/>
        <v>#N/A</v>
      </c>
      <c r="AN71" s="575"/>
      <c r="AO71" s="436"/>
      <c r="AP71" s="182"/>
      <c r="AQ71" s="437"/>
      <c r="AR71" s="436" t="e">
        <f t="shared" si="19"/>
        <v>#N/A</v>
      </c>
      <c r="AS71" s="575"/>
      <c r="AT71" s="436"/>
      <c r="AU71" s="182"/>
      <c r="AV71" s="437"/>
      <c r="AW71" s="436" t="e">
        <f t="shared" si="21"/>
        <v>#N/A</v>
      </c>
      <c r="AX71" s="575"/>
    </row>
    <row r="72" spans="2:50" ht="15.75">
      <c r="B72" s="592" t="s">
        <v>731</v>
      </c>
      <c r="C72" s="593"/>
      <c r="D72" s="593"/>
      <c r="E72" s="593"/>
      <c r="F72" s="593"/>
      <c r="G72" s="593"/>
      <c r="H72" s="593"/>
      <c r="I72" s="208"/>
      <c r="J72" s="203"/>
      <c r="K72" s="208"/>
      <c r="L72" s="208"/>
      <c r="M72" s="204"/>
      <c r="N72" s="565" t="s">
        <v>732</v>
      </c>
      <c r="O72" s="565" t="s">
        <v>733</v>
      </c>
      <c r="P72" s="571">
        <f>P37+7</f>
        <v>14</v>
      </c>
      <c r="Q72" s="572"/>
      <c r="R72" s="572"/>
      <c r="S72" s="572"/>
      <c r="T72" s="572"/>
      <c r="U72" s="568">
        <f>P72+1</f>
        <v>15</v>
      </c>
      <c r="V72" s="569"/>
      <c r="W72" s="569"/>
      <c r="X72" s="569"/>
      <c r="Y72" s="570"/>
      <c r="Z72" s="568">
        <f>U72+1</f>
        <v>16</v>
      </c>
      <c r="AA72" s="569"/>
      <c r="AB72" s="569"/>
      <c r="AC72" s="569"/>
      <c r="AD72" s="570"/>
      <c r="AE72" s="568">
        <f>Z72+1</f>
        <v>17</v>
      </c>
      <c r="AF72" s="569"/>
      <c r="AG72" s="569"/>
      <c r="AH72" s="569"/>
      <c r="AI72" s="570"/>
      <c r="AJ72" s="568">
        <f>AE72+1</f>
        <v>18</v>
      </c>
      <c r="AK72" s="569"/>
      <c r="AL72" s="569"/>
      <c r="AM72" s="569"/>
      <c r="AN72" s="570"/>
      <c r="AO72" s="568">
        <f>AJ72+1</f>
        <v>19</v>
      </c>
      <c r="AP72" s="569"/>
      <c r="AQ72" s="569"/>
      <c r="AR72" s="569"/>
      <c r="AS72" s="570"/>
      <c r="AT72" s="568">
        <f>AO72+1</f>
        <v>20</v>
      </c>
      <c r="AU72" s="569"/>
      <c r="AV72" s="569"/>
      <c r="AW72" s="569"/>
      <c r="AX72" s="570"/>
    </row>
    <row r="73" spans="2:50" ht="15.75">
      <c r="B73" s="579"/>
      <c r="C73" s="579"/>
      <c r="D73" s="579"/>
      <c r="E73" s="579"/>
      <c r="F73" s="579"/>
      <c r="G73" s="579"/>
      <c r="H73" s="579"/>
      <c r="I73" s="205"/>
      <c r="J73" s="205"/>
      <c r="K73" s="205"/>
      <c r="L73" s="205"/>
      <c r="M73" s="206"/>
      <c r="N73" s="567"/>
      <c r="O73" s="567"/>
      <c r="P73" s="571" t="s">
        <v>734</v>
      </c>
      <c r="Q73" s="572"/>
      <c r="R73" s="572"/>
      <c r="S73" s="572"/>
      <c r="T73" s="572"/>
      <c r="U73" s="571" t="s">
        <v>735</v>
      </c>
      <c r="V73" s="572"/>
      <c r="W73" s="572"/>
      <c r="X73" s="572"/>
      <c r="Y73" s="572"/>
      <c r="Z73" s="571" t="s">
        <v>736</v>
      </c>
      <c r="AA73" s="572"/>
      <c r="AB73" s="572"/>
      <c r="AC73" s="572"/>
      <c r="AD73" s="572"/>
      <c r="AE73" s="571" t="s">
        <v>737</v>
      </c>
      <c r="AF73" s="572"/>
      <c r="AG73" s="572"/>
      <c r="AH73" s="572"/>
      <c r="AI73" s="572"/>
      <c r="AJ73" s="571" t="s">
        <v>738</v>
      </c>
      <c r="AK73" s="572"/>
      <c r="AL73" s="572"/>
      <c r="AM73" s="572"/>
      <c r="AN73" s="572"/>
      <c r="AO73" s="571" t="s">
        <v>739</v>
      </c>
      <c r="AP73" s="572"/>
      <c r="AQ73" s="572"/>
      <c r="AR73" s="572"/>
      <c r="AS73" s="572"/>
      <c r="AT73" s="571" t="s">
        <v>740</v>
      </c>
      <c r="AU73" s="572"/>
      <c r="AV73" s="572"/>
      <c r="AW73" s="572"/>
      <c r="AX73" s="572"/>
    </row>
    <row r="74" spans="2:50">
      <c r="B74" s="565" t="s">
        <v>741</v>
      </c>
      <c r="C74" s="560" t="s">
        <v>742</v>
      </c>
      <c r="D74" s="580"/>
      <c r="E74" s="556" t="s">
        <v>743</v>
      </c>
      <c r="F74" s="557"/>
      <c r="G74" s="558"/>
      <c r="H74" s="565" t="s">
        <v>744</v>
      </c>
      <c r="I74" s="547" t="s">
        <v>745</v>
      </c>
      <c r="J74" s="548"/>
      <c r="K74" s="549"/>
      <c r="L74" s="550" t="s">
        <v>744</v>
      </c>
      <c r="M74" s="550" t="s">
        <v>417</v>
      </c>
      <c r="N74" s="565"/>
      <c r="O74" s="565" t="s">
        <v>756</v>
      </c>
      <c r="P74" s="556" t="s">
        <v>748</v>
      </c>
      <c r="Q74" s="557"/>
      <c r="R74" s="557"/>
      <c r="S74" s="558"/>
      <c r="T74" s="565" t="s">
        <v>757</v>
      </c>
      <c r="U74" s="556" t="s">
        <v>758</v>
      </c>
      <c r="V74" s="557"/>
      <c r="W74" s="557"/>
      <c r="X74" s="558"/>
      <c r="Y74" s="565" t="s">
        <v>416</v>
      </c>
      <c r="Z74" s="556" t="s">
        <v>759</v>
      </c>
      <c r="AA74" s="557"/>
      <c r="AB74" s="557"/>
      <c r="AC74" s="558"/>
      <c r="AD74" s="565" t="s">
        <v>760</v>
      </c>
      <c r="AE74" s="556" t="s">
        <v>418</v>
      </c>
      <c r="AF74" s="557"/>
      <c r="AG74" s="557"/>
      <c r="AH74" s="558"/>
      <c r="AI74" s="565" t="s">
        <v>761</v>
      </c>
      <c r="AJ74" s="556" t="s">
        <v>748</v>
      </c>
      <c r="AK74" s="557"/>
      <c r="AL74" s="557"/>
      <c r="AM74" s="558"/>
      <c r="AN74" s="565" t="s">
        <v>757</v>
      </c>
      <c r="AO74" s="556" t="s">
        <v>758</v>
      </c>
      <c r="AP74" s="557"/>
      <c r="AQ74" s="557"/>
      <c r="AR74" s="558"/>
      <c r="AS74" s="565" t="s">
        <v>416</v>
      </c>
      <c r="AT74" s="556" t="s">
        <v>759</v>
      </c>
      <c r="AU74" s="557"/>
      <c r="AV74" s="557"/>
      <c r="AW74" s="558"/>
      <c r="AX74" s="565" t="s">
        <v>760</v>
      </c>
    </row>
    <row r="75" spans="2:50">
      <c r="B75" s="566"/>
      <c r="C75" s="561"/>
      <c r="D75" s="581"/>
      <c r="E75" s="556" t="s">
        <v>422</v>
      </c>
      <c r="F75" s="557"/>
      <c r="G75" s="558"/>
      <c r="H75" s="566"/>
      <c r="I75" s="547" t="s">
        <v>762</v>
      </c>
      <c r="J75" s="548"/>
      <c r="K75" s="549"/>
      <c r="L75" s="551"/>
      <c r="M75" s="551"/>
      <c r="N75" s="566"/>
      <c r="O75" s="566"/>
      <c r="P75" s="556" t="s">
        <v>750</v>
      </c>
      <c r="Q75" s="557"/>
      <c r="R75" s="557"/>
      <c r="S75" s="558"/>
      <c r="T75" s="566"/>
      <c r="U75" s="556" t="s">
        <v>750</v>
      </c>
      <c r="V75" s="557"/>
      <c r="W75" s="557"/>
      <c r="X75" s="558"/>
      <c r="Y75" s="566"/>
      <c r="Z75" s="556" t="s">
        <v>750</v>
      </c>
      <c r="AA75" s="557"/>
      <c r="AB75" s="557"/>
      <c r="AC75" s="558"/>
      <c r="AD75" s="566"/>
      <c r="AE75" s="556" t="s">
        <v>750</v>
      </c>
      <c r="AF75" s="557"/>
      <c r="AG75" s="557"/>
      <c r="AH75" s="558"/>
      <c r="AI75" s="566"/>
      <c r="AJ75" s="556" t="s">
        <v>750</v>
      </c>
      <c r="AK75" s="557"/>
      <c r="AL75" s="557"/>
      <c r="AM75" s="558"/>
      <c r="AN75" s="566"/>
      <c r="AO75" s="556" t="s">
        <v>750</v>
      </c>
      <c r="AP75" s="557"/>
      <c r="AQ75" s="557"/>
      <c r="AR75" s="558"/>
      <c r="AS75" s="566"/>
      <c r="AT75" s="556" t="s">
        <v>750</v>
      </c>
      <c r="AU75" s="557"/>
      <c r="AV75" s="557"/>
      <c r="AW75" s="558"/>
      <c r="AX75" s="566"/>
    </row>
    <row r="76" spans="2:50">
      <c r="B76" s="567"/>
      <c r="C76" s="562"/>
      <c r="D76" s="582"/>
      <c r="E76" s="440" t="s">
        <v>751</v>
      </c>
      <c r="F76" s="440" t="s">
        <v>752</v>
      </c>
      <c r="G76" s="440" t="s">
        <v>753</v>
      </c>
      <c r="H76" s="567"/>
      <c r="I76" s="444" t="s">
        <v>751</v>
      </c>
      <c r="J76" s="444" t="s">
        <v>752</v>
      </c>
      <c r="K76" s="444" t="s">
        <v>753</v>
      </c>
      <c r="L76" s="552"/>
      <c r="M76" s="552"/>
      <c r="N76" s="566"/>
      <c r="O76" s="566"/>
      <c r="P76" s="440" t="s">
        <v>751</v>
      </c>
      <c r="Q76" s="440" t="s">
        <v>752</v>
      </c>
      <c r="R76" s="440" t="s">
        <v>753</v>
      </c>
      <c r="S76" s="440" t="s">
        <v>746</v>
      </c>
      <c r="T76" s="567"/>
      <c r="U76" s="440" t="s">
        <v>751</v>
      </c>
      <c r="V76" s="440" t="s">
        <v>752</v>
      </c>
      <c r="W76" s="440" t="s">
        <v>753</v>
      </c>
      <c r="X76" s="440" t="s">
        <v>746</v>
      </c>
      <c r="Y76" s="567"/>
      <c r="Z76" s="440" t="s">
        <v>751</v>
      </c>
      <c r="AA76" s="440" t="s">
        <v>752</v>
      </c>
      <c r="AB76" s="440" t="s">
        <v>753</v>
      </c>
      <c r="AC76" s="440" t="s">
        <v>746</v>
      </c>
      <c r="AD76" s="567"/>
      <c r="AE76" s="440" t="s">
        <v>751</v>
      </c>
      <c r="AF76" s="440" t="s">
        <v>752</v>
      </c>
      <c r="AG76" s="440" t="s">
        <v>753</v>
      </c>
      <c r="AH76" s="440" t="s">
        <v>746</v>
      </c>
      <c r="AI76" s="567"/>
      <c r="AJ76" s="440" t="s">
        <v>751</v>
      </c>
      <c r="AK76" s="440" t="s">
        <v>752</v>
      </c>
      <c r="AL76" s="440" t="s">
        <v>753</v>
      </c>
      <c r="AM76" s="440" t="s">
        <v>746</v>
      </c>
      <c r="AN76" s="567"/>
      <c r="AO76" s="440" t="s">
        <v>751</v>
      </c>
      <c r="AP76" s="440" t="s">
        <v>752</v>
      </c>
      <c r="AQ76" s="440" t="s">
        <v>753</v>
      </c>
      <c r="AR76" s="440" t="s">
        <v>746</v>
      </c>
      <c r="AS76" s="567"/>
      <c r="AT76" s="440" t="s">
        <v>751</v>
      </c>
      <c r="AU76" s="440" t="s">
        <v>752</v>
      </c>
      <c r="AV76" s="440" t="s">
        <v>753</v>
      </c>
      <c r="AW76" s="440" t="s">
        <v>746</v>
      </c>
      <c r="AX76" s="567"/>
    </row>
    <row r="77" spans="2:50">
      <c r="B77" s="589" t="s">
        <v>150</v>
      </c>
      <c r="C77" s="436">
        <v>1</v>
      </c>
      <c r="D77" s="436" t="s">
        <v>356</v>
      </c>
      <c r="E77" s="436">
        <v>4</v>
      </c>
      <c r="F77" s="436">
        <v>2200</v>
      </c>
      <c r="G77" s="436">
        <v>550</v>
      </c>
      <c r="H77" s="573">
        <f>AVERAGE(G77:G106)</f>
        <v>845.28985507246387</v>
      </c>
      <c r="I77" s="446">
        <f t="shared" ref="I77:K92" si="24">AVERAGE(P77,U77,Z77,AE77,AJ77,AO77,AT77)</f>
        <v>3</v>
      </c>
      <c r="J77" s="446">
        <f t="shared" si="24"/>
        <v>3212.7346120686962</v>
      </c>
      <c r="K77" s="438">
        <f t="shared" si="24"/>
        <v>1070.911537356232</v>
      </c>
      <c r="L77" s="553">
        <f>IFERROR(AVERAGE(K77:K106),"-")</f>
        <v>798.9954594687166</v>
      </c>
      <c r="M77" s="446">
        <f>RANK(K77, K$77:$K$106)</f>
        <v>1</v>
      </c>
      <c r="N77" s="566"/>
      <c r="O77" s="566"/>
      <c r="P77" s="182">
        <v>3</v>
      </c>
      <c r="Q77" s="182">
        <v>3163.4042553191498</v>
      </c>
      <c r="R77" s="182">
        <v>1054.4680851063833</v>
      </c>
      <c r="S77" s="436">
        <f>RANK(R77, R$77:R$106)</f>
        <v>2</v>
      </c>
      <c r="T77" s="573">
        <f>AVERAGE(R77:R106)</f>
        <v>791.78293122534876</v>
      </c>
      <c r="U77" s="182">
        <v>3</v>
      </c>
      <c r="V77" s="182">
        <v>3159.5744680851067</v>
      </c>
      <c r="W77" s="182">
        <v>1053.1914893617022</v>
      </c>
      <c r="X77" s="436">
        <f t="shared" ref="X77:X106" si="25">RANK(W77, W$77:W$106)</f>
        <v>4</v>
      </c>
      <c r="Y77" s="573">
        <f t="shared" ref="Y77" si="26">AVERAGE(W77:W106)</f>
        <v>797.66164005296025</v>
      </c>
      <c r="Z77" s="182">
        <v>3</v>
      </c>
      <c r="AA77" s="182">
        <v>3250.0000000000055</v>
      </c>
      <c r="AB77" s="182">
        <v>1083.3333333333351</v>
      </c>
      <c r="AC77" s="436">
        <f t="shared" ref="AC77:AC106" si="27">RANK(AB77, AB$77:AB$106)</f>
        <v>3</v>
      </c>
      <c r="AD77" s="573">
        <f t="shared" ref="AD77" si="28">AVERAGE(AB77:AB106)</f>
        <v>813.27055670437358</v>
      </c>
      <c r="AE77" s="182">
        <v>3</v>
      </c>
      <c r="AF77" s="182">
        <v>3145.7142857142908</v>
      </c>
      <c r="AG77" s="182">
        <v>1048.5714285714303</v>
      </c>
      <c r="AH77" s="436">
        <f t="shared" ref="AH77:AH106" si="29">RANK(AG77, AG$77:AG$106)</f>
        <v>5</v>
      </c>
      <c r="AI77" s="573">
        <f t="shared" ref="AI77" si="30">AVERAGE(AG77:AG106)</f>
        <v>770.91583246271114</v>
      </c>
      <c r="AJ77" s="182">
        <v>3</v>
      </c>
      <c r="AK77" s="182">
        <v>3248.9999999999986</v>
      </c>
      <c r="AL77" s="182">
        <v>1082.9999999999995</v>
      </c>
      <c r="AM77" s="436">
        <f t="shared" ref="AM77:AM106" si="31">RANK(AL77, AL$77:AL$106)</f>
        <v>2</v>
      </c>
      <c r="AN77" s="573">
        <f t="shared" ref="AN77" si="32">AVERAGE(AL77:AL106)</f>
        <v>802.28817993857308</v>
      </c>
      <c r="AO77" s="182">
        <v>3</v>
      </c>
      <c r="AP77" s="182">
        <v>3234.782608695652</v>
      </c>
      <c r="AQ77" s="182">
        <v>1078.2608695652173</v>
      </c>
      <c r="AR77" s="436">
        <f t="shared" ref="AR77:AR106" si="33">RANK(AQ77, AQ$77:AQ$106)</f>
        <v>4</v>
      </c>
      <c r="AS77" s="573">
        <f t="shared" ref="AS77" si="34">AVERAGE(AQ77:AQ106)</f>
        <v>807.30632156839147</v>
      </c>
      <c r="AT77" s="182">
        <v>3</v>
      </c>
      <c r="AU77" s="182">
        <v>3286.6666666666665</v>
      </c>
      <c r="AV77" s="182">
        <v>1095.5555555555554</v>
      </c>
      <c r="AW77" s="436">
        <f t="shared" ref="AW77:AW106" si="35">RANK(AV77, AV$77:AV$106)</f>
        <v>1</v>
      </c>
      <c r="AX77" s="573">
        <f t="shared" ref="AX77" si="36">AVERAGE(AV77:AV106)</f>
        <v>809.74275432865829</v>
      </c>
    </row>
    <row r="78" spans="2:50">
      <c r="B78" s="590"/>
      <c r="C78" s="436">
        <v>2</v>
      </c>
      <c r="D78" s="436" t="s">
        <v>357</v>
      </c>
      <c r="E78" s="436">
        <v>3</v>
      </c>
      <c r="F78" s="436">
        <v>2700</v>
      </c>
      <c r="G78" s="436">
        <v>900</v>
      </c>
      <c r="H78" s="574"/>
      <c r="I78" s="446">
        <f t="shared" si="24"/>
        <v>3</v>
      </c>
      <c r="J78" s="446">
        <f t="shared" si="24"/>
        <v>3190.0742115027856</v>
      </c>
      <c r="K78" s="438">
        <f t="shared" si="24"/>
        <v>1063.3580705009288</v>
      </c>
      <c r="L78" s="554"/>
      <c r="M78" s="446">
        <f>RANK(K78, K$77:$K$106)</f>
        <v>3</v>
      </c>
      <c r="N78" s="566"/>
      <c r="O78" s="566"/>
      <c r="P78" s="182">
        <v>3</v>
      </c>
      <c r="Q78" s="182">
        <v>2720.0000000000036</v>
      </c>
      <c r="R78" s="182">
        <v>906.66666666666788</v>
      </c>
      <c r="S78" s="436">
        <f t="shared" ref="S78:S106" si="37">RANK(R78, R$77:R$106)</f>
        <v>7</v>
      </c>
      <c r="T78" s="574"/>
      <c r="U78" s="182">
        <v>3</v>
      </c>
      <c r="V78" s="182">
        <v>3199.9999999999941</v>
      </c>
      <c r="W78" s="182">
        <v>1066.6666666666647</v>
      </c>
      <c r="X78" s="436">
        <f t="shared" si="25"/>
        <v>2</v>
      </c>
      <c r="Y78" s="574"/>
      <c r="Z78" s="182">
        <v>3</v>
      </c>
      <c r="AA78" s="182">
        <v>3309.2307692307609</v>
      </c>
      <c r="AB78" s="182">
        <v>1103.0769230769204</v>
      </c>
      <c r="AC78" s="436">
        <f t="shared" si="27"/>
        <v>2</v>
      </c>
      <c r="AD78" s="574"/>
      <c r="AE78" s="182">
        <v>3</v>
      </c>
      <c r="AF78" s="182">
        <v>3170.7692307692419</v>
      </c>
      <c r="AG78" s="182">
        <v>1056.9230769230805</v>
      </c>
      <c r="AH78" s="436">
        <f t="shared" si="29"/>
        <v>2</v>
      </c>
      <c r="AI78" s="574"/>
      <c r="AJ78" s="182">
        <v>3</v>
      </c>
      <c r="AK78" s="182">
        <v>3409.0909090909213</v>
      </c>
      <c r="AL78" s="182">
        <v>1136.3636363636404</v>
      </c>
      <c r="AM78" s="436">
        <f t="shared" si="31"/>
        <v>1</v>
      </c>
      <c r="AN78" s="574"/>
      <c r="AO78" s="182">
        <v>3</v>
      </c>
      <c r="AP78" s="182">
        <v>3259.9999999999941</v>
      </c>
      <c r="AQ78" s="182">
        <v>1086.6666666666647</v>
      </c>
      <c r="AR78" s="436">
        <f t="shared" si="33"/>
        <v>1</v>
      </c>
      <c r="AS78" s="574"/>
      <c r="AT78" s="182">
        <v>3</v>
      </c>
      <c r="AU78" s="182">
        <v>3261.4285714285834</v>
      </c>
      <c r="AV78" s="182">
        <v>1087.1428571428612</v>
      </c>
      <c r="AW78" s="436">
        <f t="shared" si="35"/>
        <v>3</v>
      </c>
      <c r="AX78" s="574"/>
    </row>
    <row r="79" spans="2:50">
      <c r="B79" s="590"/>
      <c r="C79" s="436">
        <v>3</v>
      </c>
      <c r="D79" s="436" t="s">
        <v>343</v>
      </c>
      <c r="E79" s="436">
        <v>4</v>
      </c>
      <c r="F79" s="436">
        <v>3600</v>
      </c>
      <c r="G79" s="436">
        <v>900</v>
      </c>
      <c r="H79" s="574"/>
      <c r="I79" s="446">
        <f t="shared" si="24"/>
        <v>4</v>
      </c>
      <c r="J79" s="446">
        <f t="shared" si="24"/>
        <v>3258.6389786683894</v>
      </c>
      <c r="K79" s="438">
        <f t="shared" si="24"/>
        <v>814.65974466709736</v>
      </c>
      <c r="L79" s="554"/>
      <c r="M79" s="446">
        <f>RANK(K79, K$77:$K$106)</f>
        <v>11</v>
      </c>
      <c r="N79" s="566"/>
      <c r="O79" s="566"/>
      <c r="P79" s="182">
        <v>4</v>
      </c>
      <c r="Q79" s="182">
        <v>3374.1176470588193</v>
      </c>
      <c r="R79" s="182">
        <v>843.52941176470483</v>
      </c>
      <c r="S79" s="436">
        <f t="shared" si="37"/>
        <v>11</v>
      </c>
      <c r="T79" s="574"/>
      <c r="U79" s="182">
        <v>4</v>
      </c>
      <c r="V79" s="182">
        <v>3187.0588235294153</v>
      </c>
      <c r="W79" s="182">
        <v>796.76470588235384</v>
      </c>
      <c r="X79" s="436">
        <f t="shared" si="25"/>
        <v>10</v>
      </c>
      <c r="Y79" s="574"/>
      <c r="Z79" s="182">
        <v>4</v>
      </c>
      <c r="AA79" s="182">
        <v>3228.7499999999959</v>
      </c>
      <c r="AB79" s="182">
        <v>807.18749999999898</v>
      </c>
      <c r="AC79" s="436">
        <f t="shared" si="27"/>
        <v>12</v>
      </c>
      <c r="AD79" s="574"/>
      <c r="AE79" s="182">
        <v>4</v>
      </c>
      <c r="AF79" s="182">
        <v>3131.9999999999945</v>
      </c>
      <c r="AG79" s="182">
        <v>782.99999999999864</v>
      </c>
      <c r="AH79" s="436">
        <f t="shared" si="29"/>
        <v>11</v>
      </c>
      <c r="AI79" s="574"/>
      <c r="AJ79" s="182">
        <v>4</v>
      </c>
      <c r="AK79" s="182">
        <v>3355.3846153846271</v>
      </c>
      <c r="AL79" s="182">
        <v>838.84615384615677</v>
      </c>
      <c r="AM79" s="436">
        <f t="shared" si="31"/>
        <v>11</v>
      </c>
      <c r="AN79" s="574"/>
      <c r="AO79" s="182">
        <v>4</v>
      </c>
      <c r="AP79" s="182">
        <v>3229.4117647058706</v>
      </c>
      <c r="AQ79" s="182">
        <v>807.35294117646765</v>
      </c>
      <c r="AR79" s="436">
        <f t="shared" si="33"/>
        <v>12</v>
      </c>
      <c r="AS79" s="574"/>
      <c r="AT79" s="182">
        <v>4</v>
      </c>
      <c r="AU79" s="182">
        <v>3303.7500000000036</v>
      </c>
      <c r="AV79" s="182">
        <v>825.93750000000091</v>
      </c>
      <c r="AW79" s="436">
        <f t="shared" si="35"/>
        <v>11</v>
      </c>
      <c r="AX79" s="574"/>
    </row>
    <row r="80" spans="2:50">
      <c r="B80" s="590"/>
      <c r="C80" s="436">
        <v>4</v>
      </c>
      <c r="D80" s="436" t="s">
        <v>359</v>
      </c>
      <c r="E80" s="436">
        <v>3</v>
      </c>
      <c r="F80" s="436">
        <v>3600</v>
      </c>
      <c r="G80" s="436">
        <v>1200</v>
      </c>
      <c r="H80" s="574"/>
      <c r="I80" s="446">
        <f t="shared" si="24"/>
        <v>3</v>
      </c>
      <c r="J80" s="446">
        <f t="shared" si="24"/>
        <v>3201.1146563855664</v>
      </c>
      <c r="K80" s="438">
        <f t="shared" si="24"/>
        <v>1067.0382187951889</v>
      </c>
      <c r="L80" s="554"/>
      <c r="M80" s="446">
        <f>RANK(K80, K$77:$K$106)</f>
        <v>2</v>
      </c>
      <c r="N80" s="566"/>
      <c r="O80" s="566"/>
      <c r="P80" s="182">
        <v>3</v>
      </c>
      <c r="Q80" s="182">
        <v>3185.4545454545414</v>
      </c>
      <c r="R80" s="182">
        <v>1061.8181818181804</v>
      </c>
      <c r="S80" s="436">
        <f t="shared" si="37"/>
        <v>1</v>
      </c>
      <c r="T80" s="574"/>
      <c r="U80" s="182">
        <v>3</v>
      </c>
      <c r="V80" s="182">
        <v>3167.8124999999991</v>
      </c>
      <c r="W80" s="182">
        <v>1055.9374999999998</v>
      </c>
      <c r="X80" s="436">
        <f t="shared" si="25"/>
        <v>3</v>
      </c>
      <c r="Y80" s="574"/>
      <c r="Z80" s="182">
        <v>3</v>
      </c>
      <c r="AA80" s="182">
        <v>3183.9344262295072</v>
      </c>
      <c r="AB80" s="182">
        <v>1061.3114754098358</v>
      </c>
      <c r="AC80" s="436">
        <f t="shared" si="27"/>
        <v>4</v>
      </c>
      <c r="AD80" s="574"/>
      <c r="AE80" s="182">
        <v>3</v>
      </c>
      <c r="AF80" s="182">
        <v>3163.448275862067</v>
      </c>
      <c r="AG80" s="182">
        <v>1054.4827586206891</v>
      </c>
      <c r="AH80" s="436">
        <f t="shared" si="29"/>
        <v>3</v>
      </c>
      <c r="AI80" s="574"/>
      <c r="AJ80" s="182">
        <v>3</v>
      </c>
      <c r="AK80" s="182">
        <v>3214.2857142857119</v>
      </c>
      <c r="AL80" s="182">
        <v>1071.4285714285706</v>
      </c>
      <c r="AM80" s="436">
        <f t="shared" si="31"/>
        <v>4</v>
      </c>
      <c r="AN80" s="574"/>
      <c r="AO80" s="182">
        <v>3</v>
      </c>
      <c r="AP80" s="182">
        <v>3249.2307692307727</v>
      </c>
      <c r="AQ80" s="182">
        <v>1083.0769230769242</v>
      </c>
      <c r="AR80" s="436">
        <f t="shared" si="33"/>
        <v>2</v>
      </c>
      <c r="AS80" s="574"/>
      <c r="AT80" s="182">
        <v>3</v>
      </c>
      <c r="AU80" s="182">
        <v>3243.6363636363672</v>
      </c>
      <c r="AV80" s="182">
        <v>1081.2121212121224</v>
      </c>
      <c r="AW80" s="436">
        <f t="shared" si="35"/>
        <v>4</v>
      </c>
      <c r="AX80" s="574"/>
    </row>
    <row r="81" spans="2:50">
      <c r="B81" s="590"/>
      <c r="C81" s="436">
        <v>5</v>
      </c>
      <c r="D81" s="436" t="s">
        <v>360</v>
      </c>
      <c r="E81" s="436">
        <v>3</v>
      </c>
      <c r="F81" s="436">
        <v>3600</v>
      </c>
      <c r="G81" s="436">
        <v>1200</v>
      </c>
      <c r="H81" s="574"/>
      <c r="I81" s="446">
        <f t="shared" si="24"/>
        <v>4</v>
      </c>
      <c r="J81" s="446">
        <f t="shared" si="24"/>
        <v>3293.5338280766846</v>
      </c>
      <c r="K81" s="438">
        <f t="shared" si="24"/>
        <v>823.38345701917115</v>
      </c>
      <c r="L81" s="554"/>
      <c r="M81" s="446">
        <f>RANK(K81, K$77:$K$106)</f>
        <v>10</v>
      </c>
      <c r="N81" s="566"/>
      <c r="O81" s="566"/>
      <c r="P81" s="182">
        <v>4</v>
      </c>
      <c r="Q81" s="182">
        <v>3397.7777777777746</v>
      </c>
      <c r="R81" s="182">
        <v>849.44444444444366</v>
      </c>
      <c r="S81" s="436">
        <f t="shared" si="37"/>
        <v>10</v>
      </c>
      <c r="T81" s="574"/>
      <c r="U81" s="182">
        <v>4</v>
      </c>
      <c r="V81" s="182">
        <v>3152.1428571428596</v>
      </c>
      <c r="W81" s="182">
        <v>788.0357142857149</v>
      </c>
      <c r="X81" s="436">
        <f t="shared" si="25"/>
        <v>11</v>
      </c>
      <c r="Y81" s="574"/>
      <c r="Z81" s="182">
        <v>4</v>
      </c>
      <c r="AA81" s="182">
        <v>3328.8000000000011</v>
      </c>
      <c r="AB81" s="182">
        <v>832.20000000000027</v>
      </c>
      <c r="AC81" s="436">
        <f t="shared" si="27"/>
        <v>11</v>
      </c>
      <c r="AD81" s="574"/>
      <c r="AE81" s="182">
        <v>4</v>
      </c>
      <c r="AF81" s="182">
        <v>3194.400000000001</v>
      </c>
      <c r="AG81" s="182">
        <v>798.60000000000025</v>
      </c>
      <c r="AH81" s="436">
        <f t="shared" si="29"/>
        <v>9</v>
      </c>
      <c r="AI81" s="574"/>
      <c r="AJ81" s="182">
        <v>4</v>
      </c>
      <c r="AK81" s="182">
        <v>3452.7272727272662</v>
      </c>
      <c r="AL81" s="182">
        <v>863.18181818181654</v>
      </c>
      <c r="AM81" s="436">
        <f t="shared" si="31"/>
        <v>9</v>
      </c>
      <c r="AN81" s="574"/>
      <c r="AO81" s="182">
        <v>4</v>
      </c>
      <c r="AP81" s="182">
        <v>3297.7777777777792</v>
      </c>
      <c r="AQ81" s="182">
        <v>824.4444444444448</v>
      </c>
      <c r="AR81" s="436">
        <f t="shared" si="33"/>
        <v>10</v>
      </c>
      <c r="AS81" s="574"/>
      <c r="AT81" s="182">
        <v>4</v>
      </c>
      <c r="AU81" s="182">
        <v>3231.1111111111131</v>
      </c>
      <c r="AV81" s="182">
        <v>807.77777777777828</v>
      </c>
      <c r="AW81" s="436">
        <f t="shared" si="35"/>
        <v>12</v>
      </c>
      <c r="AX81" s="574"/>
    </row>
    <row r="82" spans="2:50">
      <c r="B82" s="590"/>
      <c r="C82" s="436">
        <v>6</v>
      </c>
      <c r="D82" s="436" t="s">
        <v>358</v>
      </c>
      <c r="E82" s="436">
        <v>4</v>
      </c>
      <c r="F82" s="436">
        <v>3600</v>
      </c>
      <c r="G82" s="436">
        <v>900</v>
      </c>
      <c r="H82" s="574"/>
      <c r="I82" s="446">
        <f t="shared" si="24"/>
        <v>4</v>
      </c>
      <c r="J82" s="446">
        <f t="shared" si="24"/>
        <v>3313.7265591551331</v>
      </c>
      <c r="K82" s="438">
        <f t="shared" si="24"/>
        <v>828.43163978878329</v>
      </c>
      <c r="L82" s="554"/>
      <c r="M82" s="446">
        <f>RANK(K82, K$77:$K$106)</f>
        <v>9</v>
      </c>
      <c r="N82" s="566"/>
      <c r="O82" s="566"/>
      <c r="P82" s="182">
        <v>4</v>
      </c>
      <c r="Q82" s="182">
        <v>3452.3076923076942</v>
      </c>
      <c r="R82" s="182">
        <v>863.07692307692355</v>
      </c>
      <c r="S82" s="436">
        <f t="shared" si="37"/>
        <v>8</v>
      </c>
      <c r="T82" s="574"/>
      <c r="U82" s="182">
        <v>4</v>
      </c>
      <c r="V82" s="182">
        <v>3051.4285714285738</v>
      </c>
      <c r="W82" s="182">
        <v>762.85714285714346</v>
      </c>
      <c r="X82" s="436">
        <f t="shared" si="25"/>
        <v>14</v>
      </c>
      <c r="Y82" s="574"/>
      <c r="Z82" s="182">
        <v>4</v>
      </c>
      <c r="AA82" s="182">
        <v>3518.181818181818</v>
      </c>
      <c r="AB82" s="182">
        <v>879.5454545454545</v>
      </c>
      <c r="AC82" s="436">
        <f t="shared" si="27"/>
        <v>10</v>
      </c>
      <c r="AD82" s="574"/>
      <c r="AE82" s="182">
        <v>4</v>
      </c>
      <c r="AF82" s="182">
        <v>3169.090909090909</v>
      </c>
      <c r="AG82" s="182">
        <v>792.27272727272725</v>
      </c>
      <c r="AH82" s="436">
        <f t="shared" si="29"/>
        <v>10</v>
      </c>
      <c r="AI82" s="574"/>
      <c r="AJ82" s="182">
        <v>4</v>
      </c>
      <c r="AK82" s="182">
        <v>3342.0000000000118</v>
      </c>
      <c r="AL82" s="182">
        <v>835.50000000000296</v>
      </c>
      <c r="AM82" s="436">
        <f t="shared" si="31"/>
        <v>12</v>
      </c>
      <c r="AN82" s="574"/>
      <c r="AO82" s="182">
        <v>4</v>
      </c>
      <c r="AP82" s="182">
        <v>3263.0769230769247</v>
      </c>
      <c r="AQ82" s="182">
        <v>815.76923076923117</v>
      </c>
      <c r="AR82" s="436">
        <f t="shared" si="33"/>
        <v>11</v>
      </c>
      <c r="AS82" s="574"/>
      <c r="AT82" s="182">
        <v>4</v>
      </c>
      <c r="AU82" s="182">
        <v>3400.0000000000009</v>
      </c>
      <c r="AV82" s="182">
        <v>850.00000000000023</v>
      </c>
      <c r="AW82" s="436">
        <f t="shared" si="35"/>
        <v>9</v>
      </c>
      <c r="AX82" s="574"/>
    </row>
    <row r="83" spans="2:50">
      <c r="B83" s="590"/>
      <c r="C83" s="436">
        <v>7</v>
      </c>
      <c r="D83" s="436" t="s">
        <v>455</v>
      </c>
      <c r="E83" s="436">
        <v>4</v>
      </c>
      <c r="F83" s="436">
        <v>3600</v>
      </c>
      <c r="G83" s="436">
        <v>900</v>
      </c>
      <c r="H83" s="574"/>
      <c r="I83" s="446">
        <f t="shared" si="24"/>
        <v>4</v>
      </c>
      <c r="J83" s="446">
        <f t="shared" si="24"/>
        <v>3245.3775510204168</v>
      </c>
      <c r="K83" s="438">
        <f t="shared" si="24"/>
        <v>811.34438775510421</v>
      </c>
      <c r="L83" s="554"/>
      <c r="M83" s="446">
        <f>RANK(K83, K$77:$K$106)</f>
        <v>12</v>
      </c>
      <c r="N83" s="566"/>
      <c r="O83" s="566"/>
      <c r="P83" s="182">
        <v>4</v>
      </c>
      <c r="Q83" s="182">
        <v>3282.8571428571358</v>
      </c>
      <c r="R83" s="182">
        <v>820.71428571428396</v>
      </c>
      <c r="S83" s="436">
        <f t="shared" si="37"/>
        <v>13</v>
      </c>
      <c r="T83" s="574"/>
      <c r="U83" s="182">
        <v>4</v>
      </c>
      <c r="V83" s="182">
        <v>3094.2857142857251</v>
      </c>
      <c r="W83" s="182">
        <v>773.57142857143128</v>
      </c>
      <c r="X83" s="436">
        <f t="shared" si="25"/>
        <v>12</v>
      </c>
      <c r="Y83" s="574"/>
      <c r="Z83" s="182">
        <v>4</v>
      </c>
      <c r="AA83" s="182">
        <v>3744.0000000000132</v>
      </c>
      <c r="AB83" s="182">
        <v>936.0000000000033</v>
      </c>
      <c r="AC83" s="436">
        <f t="shared" si="27"/>
        <v>8</v>
      </c>
      <c r="AD83" s="574"/>
      <c r="AE83" s="182">
        <v>4</v>
      </c>
      <c r="AF83" s="182">
        <v>2242.5000000000082</v>
      </c>
      <c r="AG83" s="182">
        <v>560.62500000000205</v>
      </c>
      <c r="AH83" s="436">
        <f t="shared" si="29"/>
        <v>20</v>
      </c>
      <c r="AI83" s="574"/>
      <c r="AJ83" s="182">
        <v>4</v>
      </c>
      <c r="AK83" s="182">
        <v>3444.0000000000123</v>
      </c>
      <c r="AL83" s="182">
        <v>861.00000000000307</v>
      </c>
      <c r="AM83" s="436">
        <f t="shared" si="31"/>
        <v>10</v>
      </c>
      <c r="AN83" s="574"/>
      <c r="AO83" s="182">
        <v>4</v>
      </c>
      <c r="AP83" s="182">
        <v>3540.0000000000127</v>
      </c>
      <c r="AQ83" s="182">
        <v>885.00000000000318</v>
      </c>
      <c r="AR83" s="436">
        <f t="shared" si="33"/>
        <v>9</v>
      </c>
      <c r="AS83" s="574"/>
      <c r="AT83" s="182">
        <v>4</v>
      </c>
      <c r="AU83" s="182">
        <v>3370.0000000000118</v>
      </c>
      <c r="AV83" s="182">
        <v>842.50000000000296</v>
      </c>
      <c r="AW83" s="436">
        <f t="shared" si="35"/>
        <v>10</v>
      </c>
      <c r="AX83" s="574"/>
    </row>
    <row r="84" spans="2:50">
      <c r="B84" s="590"/>
      <c r="C84" s="436">
        <v>8</v>
      </c>
      <c r="D84" s="436" t="s">
        <v>361</v>
      </c>
      <c r="E84" s="436">
        <v>4</v>
      </c>
      <c r="F84" s="436">
        <v>3300</v>
      </c>
      <c r="G84" s="436">
        <v>825</v>
      </c>
      <c r="H84" s="574"/>
      <c r="I84" s="446">
        <f t="shared" si="24"/>
        <v>4</v>
      </c>
      <c r="J84" s="446">
        <f t="shared" si="24"/>
        <v>2855.7575757575801</v>
      </c>
      <c r="K84" s="438">
        <f t="shared" si="24"/>
        <v>713.93939393939502</v>
      </c>
      <c r="L84" s="554"/>
      <c r="M84" s="446">
        <f>RANK(K84, K$77:$K$106)</f>
        <v>15</v>
      </c>
      <c r="N84" s="566"/>
      <c r="O84" s="566"/>
      <c r="P84" s="182">
        <v>4</v>
      </c>
      <c r="Q84" s="182">
        <v>3005.0000000000009</v>
      </c>
      <c r="R84" s="182">
        <v>751.25000000000023</v>
      </c>
      <c r="S84" s="436">
        <f t="shared" si="37"/>
        <v>15</v>
      </c>
      <c r="T84" s="574"/>
      <c r="U84" s="182">
        <v>4</v>
      </c>
      <c r="V84" s="182">
        <v>2719.9999999999982</v>
      </c>
      <c r="W84" s="182">
        <v>679.99999999999955</v>
      </c>
      <c r="X84" s="436">
        <f t="shared" si="25"/>
        <v>20</v>
      </c>
      <c r="Y84" s="574"/>
      <c r="Z84" s="182">
        <v>4</v>
      </c>
      <c r="AA84" s="182">
        <v>2825.00000000001</v>
      </c>
      <c r="AB84" s="182">
        <v>706.2500000000025</v>
      </c>
      <c r="AC84" s="436">
        <f t="shared" si="27"/>
        <v>18</v>
      </c>
      <c r="AD84" s="574"/>
      <c r="AE84" s="182">
        <v>4</v>
      </c>
      <c r="AF84" s="182">
        <v>2569.090909090909</v>
      </c>
      <c r="AG84" s="182">
        <v>642.27272727272725</v>
      </c>
      <c r="AH84" s="436">
        <f t="shared" si="29"/>
        <v>19</v>
      </c>
      <c r="AI84" s="574"/>
      <c r="AJ84" s="182">
        <v>4</v>
      </c>
      <c r="AK84" s="182">
        <v>3066.6666666666642</v>
      </c>
      <c r="AL84" s="182">
        <v>766.66666666666606</v>
      </c>
      <c r="AM84" s="436">
        <f t="shared" si="31"/>
        <v>13</v>
      </c>
      <c r="AN84" s="574"/>
      <c r="AO84" s="182">
        <v>4</v>
      </c>
      <c r="AP84" s="182">
        <v>2870.0000000000105</v>
      </c>
      <c r="AQ84" s="182">
        <v>717.50000000000261</v>
      </c>
      <c r="AR84" s="436">
        <f t="shared" si="33"/>
        <v>16</v>
      </c>
      <c r="AS84" s="574"/>
      <c r="AT84" s="182">
        <v>4</v>
      </c>
      <c r="AU84" s="182">
        <v>2934.545454545465</v>
      </c>
      <c r="AV84" s="182">
        <v>733.63636363636624</v>
      </c>
      <c r="AW84" s="436">
        <f t="shared" si="35"/>
        <v>15</v>
      </c>
      <c r="AX84" s="574"/>
    </row>
    <row r="85" spans="2:50">
      <c r="B85" s="590"/>
      <c r="C85" s="436">
        <v>9</v>
      </c>
      <c r="D85" s="436" t="s">
        <v>362</v>
      </c>
      <c r="E85" s="436">
        <v>3</v>
      </c>
      <c r="F85" s="436">
        <v>3300</v>
      </c>
      <c r="G85" s="436">
        <v>1100</v>
      </c>
      <c r="H85" s="574"/>
      <c r="I85" s="446">
        <f t="shared" si="24"/>
        <v>3</v>
      </c>
      <c r="J85" s="446">
        <f t="shared" si="24"/>
        <v>3182.1508980203766</v>
      </c>
      <c r="K85" s="438">
        <f t="shared" si="24"/>
        <v>1060.7169660067921</v>
      </c>
      <c r="L85" s="554"/>
      <c r="M85" s="446">
        <f>RANK(K85, K$77:$K$106)</f>
        <v>4</v>
      </c>
      <c r="N85" s="566"/>
      <c r="O85" s="566"/>
      <c r="P85" s="182">
        <v>3</v>
      </c>
      <c r="Q85" s="182">
        <v>2797.2413793103469</v>
      </c>
      <c r="R85" s="182">
        <v>932.41379310344894</v>
      </c>
      <c r="S85" s="436">
        <f t="shared" si="37"/>
        <v>3</v>
      </c>
      <c r="T85" s="574"/>
      <c r="U85" s="182">
        <v>3</v>
      </c>
      <c r="V85" s="182">
        <v>3208.8000000000011</v>
      </c>
      <c r="W85" s="182">
        <v>1069.6000000000004</v>
      </c>
      <c r="X85" s="436">
        <f t="shared" si="25"/>
        <v>1</v>
      </c>
      <c r="Y85" s="574"/>
      <c r="Z85" s="182">
        <v>3</v>
      </c>
      <c r="AA85" s="182">
        <v>3346.9565217391191</v>
      </c>
      <c r="AB85" s="182">
        <v>1115.6521739130396</v>
      </c>
      <c r="AC85" s="436">
        <f t="shared" si="27"/>
        <v>1</v>
      </c>
      <c r="AD85" s="574"/>
      <c r="AE85" s="182">
        <v>3</v>
      </c>
      <c r="AF85" s="182">
        <v>3146.0869565217281</v>
      </c>
      <c r="AG85" s="182">
        <v>1048.6956521739094</v>
      </c>
      <c r="AH85" s="436">
        <f t="shared" si="29"/>
        <v>4</v>
      </c>
      <c r="AI85" s="574"/>
      <c r="AJ85" s="182">
        <v>3</v>
      </c>
      <c r="AK85" s="182">
        <v>3248.5714285714275</v>
      </c>
      <c r="AL85" s="182">
        <v>1082.8571428571424</v>
      </c>
      <c r="AM85" s="436">
        <f t="shared" si="31"/>
        <v>3</v>
      </c>
      <c r="AN85" s="574"/>
      <c r="AO85" s="182">
        <v>3</v>
      </c>
      <c r="AP85" s="182">
        <v>3242.400000000001</v>
      </c>
      <c r="AQ85" s="182">
        <v>1080.8000000000004</v>
      </c>
      <c r="AR85" s="436">
        <f t="shared" si="33"/>
        <v>3</v>
      </c>
      <c r="AS85" s="574"/>
      <c r="AT85" s="182">
        <v>3</v>
      </c>
      <c r="AU85" s="182">
        <v>3285.0000000000114</v>
      </c>
      <c r="AV85" s="182">
        <v>1095.0000000000039</v>
      </c>
      <c r="AW85" s="436">
        <f t="shared" si="35"/>
        <v>2</v>
      </c>
      <c r="AX85" s="574"/>
    </row>
    <row r="86" spans="2:50">
      <c r="B86" s="590"/>
      <c r="C86" s="436">
        <v>10</v>
      </c>
      <c r="D86" s="436" t="s">
        <v>363</v>
      </c>
      <c r="E86" s="436">
        <v>3</v>
      </c>
      <c r="F86" s="436">
        <v>3300</v>
      </c>
      <c r="G86" s="436">
        <v>1100</v>
      </c>
      <c r="H86" s="574"/>
      <c r="I86" s="446">
        <f t="shared" si="24"/>
        <v>3</v>
      </c>
      <c r="J86" s="446">
        <f t="shared" si="24"/>
        <v>2771.3580938897953</v>
      </c>
      <c r="K86" s="438">
        <f t="shared" si="24"/>
        <v>923.78603129659859</v>
      </c>
      <c r="L86" s="554"/>
      <c r="M86" s="446">
        <f>RANK(K86, K$77:$K$106)</f>
        <v>8</v>
      </c>
      <c r="N86" s="566"/>
      <c r="O86" s="566"/>
      <c r="P86" s="182">
        <v>3</v>
      </c>
      <c r="Q86" s="182">
        <v>2796.3636363636365</v>
      </c>
      <c r="R86" s="182">
        <v>932.12121212121212</v>
      </c>
      <c r="S86" s="436">
        <f t="shared" si="37"/>
        <v>4</v>
      </c>
      <c r="T86" s="574"/>
      <c r="U86" s="182">
        <v>3</v>
      </c>
      <c r="V86" s="182">
        <v>2400.0000000000009</v>
      </c>
      <c r="W86" s="182">
        <v>800.00000000000034</v>
      </c>
      <c r="X86" s="436">
        <f t="shared" si="25"/>
        <v>9</v>
      </c>
      <c r="Y86" s="574"/>
      <c r="Z86" s="182">
        <v>3</v>
      </c>
      <c r="AA86" s="182">
        <v>2892.0000000000027</v>
      </c>
      <c r="AB86" s="182">
        <v>964.00000000000091</v>
      </c>
      <c r="AC86" s="436">
        <f t="shared" si="27"/>
        <v>5</v>
      </c>
      <c r="AD86" s="574"/>
      <c r="AE86" s="182">
        <v>3</v>
      </c>
      <c r="AF86" s="182">
        <v>2772.4137931034429</v>
      </c>
      <c r="AG86" s="182">
        <v>924.13793103448097</v>
      </c>
      <c r="AH86" s="436">
        <f t="shared" si="29"/>
        <v>7</v>
      </c>
      <c r="AI86" s="574"/>
      <c r="AJ86" s="182">
        <v>3</v>
      </c>
      <c r="AK86" s="182">
        <v>2873.3333333333348</v>
      </c>
      <c r="AL86" s="182">
        <v>957.77777777777828</v>
      </c>
      <c r="AM86" s="436">
        <f t="shared" si="31"/>
        <v>6</v>
      </c>
      <c r="AN86" s="574"/>
      <c r="AO86" s="182">
        <v>3</v>
      </c>
      <c r="AP86" s="182">
        <v>2816.3636363636392</v>
      </c>
      <c r="AQ86" s="182">
        <v>938.78787878787978</v>
      </c>
      <c r="AR86" s="436">
        <f t="shared" si="33"/>
        <v>7</v>
      </c>
      <c r="AS86" s="574"/>
      <c r="AT86" s="182">
        <v>3</v>
      </c>
      <c r="AU86" s="182">
        <v>2849.0322580645116</v>
      </c>
      <c r="AV86" s="182">
        <v>949.67741935483718</v>
      </c>
      <c r="AW86" s="436">
        <f t="shared" si="35"/>
        <v>8</v>
      </c>
      <c r="AX86" s="574"/>
    </row>
    <row r="87" spans="2:50">
      <c r="B87" s="590"/>
      <c r="C87" s="436">
        <v>11</v>
      </c>
      <c r="D87" s="436" t="s">
        <v>364</v>
      </c>
      <c r="E87" s="436">
        <v>4</v>
      </c>
      <c r="F87" s="436">
        <v>3300</v>
      </c>
      <c r="G87" s="436">
        <v>825</v>
      </c>
      <c r="H87" s="574"/>
      <c r="I87" s="446">
        <f t="shared" si="24"/>
        <v>4</v>
      </c>
      <c r="J87" s="446">
        <f t="shared" si="24"/>
        <v>2827.6177233739354</v>
      </c>
      <c r="K87" s="438">
        <f t="shared" si="24"/>
        <v>706.90443084348385</v>
      </c>
      <c r="L87" s="554"/>
      <c r="M87" s="446">
        <f>RANK(K87, K$77:$K$106)</f>
        <v>17</v>
      </c>
      <c r="N87" s="566"/>
      <c r="O87" s="566"/>
      <c r="P87" s="182">
        <v>4</v>
      </c>
      <c r="Q87" s="182">
        <v>2861.2500000000009</v>
      </c>
      <c r="R87" s="182">
        <v>715.31250000000023</v>
      </c>
      <c r="S87" s="436">
        <f t="shared" si="37"/>
        <v>16</v>
      </c>
      <c r="T87" s="574"/>
      <c r="U87" s="182">
        <v>4</v>
      </c>
      <c r="V87" s="182">
        <v>2704.0000000000027</v>
      </c>
      <c r="W87" s="182">
        <v>676.00000000000068</v>
      </c>
      <c r="X87" s="436">
        <f t="shared" si="25"/>
        <v>21</v>
      </c>
      <c r="Y87" s="574"/>
      <c r="Z87" s="182">
        <v>4</v>
      </c>
      <c r="AA87" s="182">
        <v>2846.6666666666665</v>
      </c>
      <c r="AB87" s="182">
        <v>711.66666666666663</v>
      </c>
      <c r="AC87" s="436">
        <f t="shared" si="27"/>
        <v>17</v>
      </c>
      <c r="AD87" s="574"/>
      <c r="AE87" s="182">
        <v>4</v>
      </c>
      <c r="AF87" s="182">
        <v>2777.727272727273</v>
      </c>
      <c r="AG87" s="182">
        <v>694.43181818181824</v>
      </c>
      <c r="AH87" s="436">
        <f t="shared" si="29"/>
        <v>16</v>
      </c>
      <c r="AI87" s="574"/>
      <c r="AJ87" s="182">
        <v>4</v>
      </c>
      <c r="AK87" s="182">
        <v>2838.5714285714275</v>
      </c>
      <c r="AL87" s="182">
        <v>709.64285714285688</v>
      </c>
      <c r="AM87" s="436">
        <f t="shared" si="31"/>
        <v>18</v>
      </c>
      <c r="AN87" s="574"/>
      <c r="AO87" s="182">
        <v>4</v>
      </c>
      <c r="AP87" s="182">
        <v>2852.5000000000009</v>
      </c>
      <c r="AQ87" s="182">
        <v>713.12500000000023</v>
      </c>
      <c r="AR87" s="436">
        <f t="shared" si="33"/>
        <v>18</v>
      </c>
      <c r="AS87" s="574"/>
      <c r="AT87" s="182">
        <v>4</v>
      </c>
      <c r="AU87" s="182">
        <v>2912.608695652174</v>
      </c>
      <c r="AV87" s="182">
        <v>728.1521739130435</v>
      </c>
      <c r="AW87" s="436">
        <f t="shared" si="35"/>
        <v>16</v>
      </c>
      <c r="AX87" s="574"/>
    </row>
    <row r="88" spans="2:50">
      <c r="B88" s="590"/>
      <c r="C88" s="436">
        <v>12</v>
      </c>
      <c r="D88" s="436" t="s">
        <v>365</v>
      </c>
      <c r="E88" s="436">
        <v>4</v>
      </c>
      <c r="F88" s="436">
        <v>3300</v>
      </c>
      <c r="G88" s="436">
        <v>825</v>
      </c>
      <c r="H88" s="574"/>
      <c r="I88" s="446">
        <f t="shared" si="24"/>
        <v>4</v>
      </c>
      <c r="J88" s="446">
        <f t="shared" si="24"/>
        <v>2809.6108407867059</v>
      </c>
      <c r="K88" s="438">
        <f t="shared" si="24"/>
        <v>702.40271019667648</v>
      </c>
      <c r="L88" s="554"/>
      <c r="M88" s="446">
        <f>RANK(K88, K$77:$K$106)</f>
        <v>20</v>
      </c>
      <c r="N88" s="566"/>
      <c r="O88" s="566"/>
      <c r="P88" s="182">
        <v>4</v>
      </c>
      <c r="Q88" s="182">
        <v>2791.6363636363658</v>
      </c>
      <c r="R88" s="182">
        <v>697.90909090909145</v>
      </c>
      <c r="S88" s="436">
        <f t="shared" si="37"/>
        <v>18</v>
      </c>
      <c r="T88" s="574"/>
      <c r="U88" s="182">
        <v>4</v>
      </c>
      <c r="V88" s="182">
        <v>2636.5714285714289</v>
      </c>
      <c r="W88" s="182">
        <v>659.14285714285722</v>
      </c>
      <c r="X88" s="436">
        <f t="shared" si="25"/>
        <v>22</v>
      </c>
      <c r="Y88" s="574"/>
      <c r="Z88" s="182">
        <v>4</v>
      </c>
      <c r="AA88" s="182">
        <v>2883.599999999999</v>
      </c>
      <c r="AB88" s="182">
        <v>720.89999999999975</v>
      </c>
      <c r="AC88" s="436">
        <f t="shared" si="27"/>
        <v>15</v>
      </c>
      <c r="AD88" s="574"/>
      <c r="AE88" s="182">
        <v>4</v>
      </c>
      <c r="AF88" s="182">
        <v>2766.1224489795927</v>
      </c>
      <c r="AG88" s="182">
        <v>691.53061224489818</v>
      </c>
      <c r="AH88" s="436">
        <f t="shared" si="29"/>
        <v>17</v>
      </c>
      <c r="AI88" s="574"/>
      <c r="AJ88" s="182">
        <v>4</v>
      </c>
      <c r="AK88" s="182">
        <v>2822.5531914893645</v>
      </c>
      <c r="AL88" s="182">
        <v>705.63829787234113</v>
      </c>
      <c r="AM88" s="436">
        <f t="shared" si="31"/>
        <v>19</v>
      </c>
      <c r="AN88" s="574"/>
      <c r="AO88" s="182">
        <v>4</v>
      </c>
      <c r="AP88" s="182">
        <v>2884.5283018867917</v>
      </c>
      <c r="AQ88" s="182">
        <v>721.13207547169793</v>
      </c>
      <c r="AR88" s="436">
        <f t="shared" si="33"/>
        <v>15</v>
      </c>
      <c r="AS88" s="574"/>
      <c r="AT88" s="182">
        <v>4</v>
      </c>
      <c r="AU88" s="182">
        <v>2882.2641509433952</v>
      </c>
      <c r="AV88" s="182">
        <v>720.56603773584879</v>
      </c>
      <c r="AW88" s="436">
        <f t="shared" si="35"/>
        <v>17</v>
      </c>
      <c r="AX88" s="574"/>
    </row>
    <row r="89" spans="2:50">
      <c r="B89" s="590"/>
      <c r="C89" s="436">
        <v>13</v>
      </c>
      <c r="D89" s="436" t="s">
        <v>555</v>
      </c>
      <c r="E89" s="436">
        <v>4</v>
      </c>
      <c r="F89" s="436">
        <v>2800</v>
      </c>
      <c r="G89" s="436">
        <v>700</v>
      </c>
      <c r="H89" s="574"/>
      <c r="I89" s="446">
        <f t="shared" si="24"/>
        <v>4</v>
      </c>
      <c r="J89" s="446">
        <f t="shared" si="24"/>
        <v>2825.3061744089559</v>
      </c>
      <c r="K89" s="438">
        <f t="shared" si="24"/>
        <v>706.32654360223898</v>
      </c>
      <c r="L89" s="554"/>
      <c r="M89" s="446">
        <f>RANK(K89, K$77:$K$106)</f>
        <v>18</v>
      </c>
      <c r="N89" s="566"/>
      <c r="O89" s="566"/>
      <c r="P89" s="182">
        <v>4</v>
      </c>
      <c r="Q89" s="182">
        <v>2790.9677419354794</v>
      </c>
      <c r="R89" s="182">
        <v>697.74193548386984</v>
      </c>
      <c r="S89" s="436">
        <f t="shared" si="37"/>
        <v>19</v>
      </c>
      <c r="T89" s="574"/>
      <c r="U89" s="182">
        <v>4</v>
      </c>
      <c r="V89" s="182">
        <v>2746.8000000000011</v>
      </c>
      <c r="W89" s="182">
        <v>686.70000000000027</v>
      </c>
      <c r="X89" s="436">
        <f t="shared" si="25"/>
        <v>18</v>
      </c>
      <c r="Y89" s="574"/>
      <c r="Z89" s="182">
        <v>4</v>
      </c>
      <c r="AA89" s="182">
        <v>2851.0344827586227</v>
      </c>
      <c r="AB89" s="182">
        <v>712.75862068965569</v>
      </c>
      <c r="AC89" s="436">
        <f t="shared" si="27"/>
        <v>16</v>
      </c>
      <c r="AD89" s="574"/>
      <c r="AE89" s="182">
        <v>4</v>
      </c>
      <c r="AF89" s="182">
        <v>2784.4444444444462</v>
      </c>
      <c r="AG89" s="182">
        <v>696.11111111111154</v>
      </c>
      <c r="AH89" s="436">
        <f t="shared" si="29"/>
        <v>15</v>
      </c>
      <c r="AI89" s="574"/>
      <c r="AJ89" s="182">
        <v>4</v>
      </c>
      <c r="AK89" s="182">
        <v>2904.9999999999955</v>
      </c>
      <c r="AL89" s="182">
        <v>726.24999999999886</v>
      </c>
      <c r="AM89" s="436">
        <f t="shared" si="31"/>
        <v>15</v>
      </c>
      <c r="AN89" s="574"/>
      <c r="AO89" s="182">
        <v>4</v>
      </c>
      <c r="AP89" s="182">
        <v>2852.0000000000027</v>
      </c>
      <c r="AQ89" s="182">
        <v>713.00000000000068</v>
      </c>
      <c r="AR89" s="436">
        <f t="shared" si="33"/>
        <v>19</v>
      </c>
      <c r="AS89" s="574"/>
      <c r="AT89" s="182">
        <v>4</v>
      </c>
      <c r="AU89" s="182">
        <v>2846.8965517241404</v>
      </c>
      <c r="AV89" s="182">
        <v>711.7241379310351</v>
      </c>
      <c r="AW89" s="436">
        <f t="shared" si="35"/>
        <v>19</v>
      </c>
      <c r="AX89" s="574"/>
    </row>
    <row r="90" spans="2:50">
      <c r="B90" s="590"/>
      <c r="C90" s="436">
        <v>14</v>
      </c>
      <c r="D90" s="436" t="s">
        <v>366</v>
      </c>
      <c r="E90" s="436">
        <v>4</v>
      </c>
      <c r="F90" s="436">
        <v>3600</v>
      </c>
      <c r="G90" s="436">
        <v>900</v>
      </c>
      <c r="H90" s="574"/>
      <c r="I90" s="446">
        <f t="shared" si="24"/>
        <v>4</v>
      </c>
      <c r="J90" s="446">
        <f t="shared" si="24"/>
        <v>2983.0000000000077</v>
      </c>
      <c r="K90" s="438">
        <f t="shared" si="24"/>
        <v>745.75000000000193</v>
      </c>
      <c r="L90" s="554"/>
      <c r="M90" s="446">
        <f>RANK(K90, K$77:$K$106)</f>
        <v>14</v>
      </c>
      <c r="N90" s="566"/>
      <c r="O90" s="566"/>
      <c r="P90" s="182">
        <v>4</v>
      </c>
      <c r="Q90" s="182">
        <v>3192.0000000000114</v>
      </c>
      <c r="R90" s="182">
        <v>798.00000000000284</v>
      </c>
      <c r="S90" s="436">
        <f t="shared" si="37"/>
        <v>14</v>
      </c>
      <c r="T90" s="574"/>
      <c r="U90" s="182">
        <v>4</v>
      </c>
      <c r="V90" s="182">
        <v>3084.0000000000109</v>
      </c>
      <c r="W90" s="182">
        <v>771.00000000000273</v>
      </c>
      <c r="X90" s="436">
        <f t="shared" si="25"/>
        <v>13</v>
      </c>
      <c r="Y90" s="574"/>
      <c r="Z90" s="182">
        <v>4</v>
      </c>
      <c r="AA90" s="182">
        <v>3124.0000000000114</v>
      </c>
      <c r="AB90" s="182">
        <v>781.00000000000284</v>
      </c>
      <c r="AC90" s="436">
        <f t="shared" si="27"/>
        <v>14</v>
      </c>
      <c r="AD90" s="574"/>
      <c r="AE90" s="182">
        <v>4</v>
      </c>
      <c r="AF90" s="182">
        <v>2968.0000000000105</v>
      </c>
      <c r="AG90" s="182">
        <v>742.00000000000261</v>
      </c>
      <c r="AH90" s="436">
        <f t="shared" si="29"/>
        <v>12</v>
      </c>
      <c r="AI90" s="574"/>
      <c r="AJ90" s="182">
        <v>4</v>
      </c>
      <c r="AK90" s="182">
        <v>2360.9999999999895</v>
      </c>
      <c r="AL90" s="182">
        <v>590.24999999999739</v>
      </c>
      <c r="AM90" s="436">
        <f t="shared" si="31"/>
        <v>20</v>
      </c>
      <c r="AN90" s="574"/>
      <c r="AO90" s="182">
        <v>4</v>
      </c>
      <c r="AP90" s="182">
        <v>3176.0000000000114</v>
      </c>
      <c r="AQ90" s="182">
        <v>794.00000000000284</v>
      </c>
      <c r="AR90" s="436">
        <f t="shared" si="33"/>
        <v>13</v>
      </c>
      <c r="AS90" s="574"/>
      <c r="AT90" s="182">
        <v>4</v>
      </c>
      <c r="AU90" s="182">
        <v>2976.0000000000109</v>
      </c>
      <c r="AV90" s="182">
        <v>744.00000000000273</v>
      </c>
      <c r="AW90" s="436">
        <f t="shared" si="35"/>
        <v>14</v>
      </c>
      <c r="AX90" s="574"/>
    </row>
    <row r="91" spans="2:50">
      <c r="B91" s="590"/>
      <c r="C91" s="436">
        <v>15</v>
      </c>
      <c r="D91" s="436" t="s">
        <v>367</v>
      </c>
      <c r="E91" s="436">
        <v>4</v>
      </c>
      <c r="F91" s="436">
        <v>3600</v>
      </c>
      <c r="G91" s="436">
        <v>900</v>
      </c>
      <c r="H91" s="574"/>
      <c r="I91" s="446">
        <f t="shared" si="24"/>
        <v>4</v>
      </c>
      <c r="J91" s="446">
        <f t="shared" si="24"/>
        <v>2255.7551020408237</v>
      </c>
      <c r="K91" s="438">
        <f t="shared" si="24"/>
        <v>563.93877551020591</v>
      </c>
      <c r="L91" s="554"/>
      <c r="M91" s="446">
        <f>RANK(K91, K$77:$K$106)</f>
        <v>22</v>
      </c>
      <c r="N91" s="566"/>
      <c r="O91" s="566"/>
      <c r="P91" s="182">
        <v>4</v>
      </c>
      <c r="Q91" s="182">
        <v>2255.9999999999718</v>
      </c>
      <c r="R91" s="182">
        <v>563.99999999999295</v>
      </c>
      <c r="S91" s="436">
        <f t="shared" si="37"/>
        <v>22</v>
      </c>
      <c r="T91" s="574"/>
      <c r="U91" s="182">
        <v>4</v>
      </c>
      <c r="V91" s="182">
        <v>2974.2857142857247</v>
      </c>
      <c r="W91" s="182">
        <v>743.57142857143117</v>
      </c>
      <c r="X91" s="436">
        <f t="shared" si="25"/>
        <v>15</v>
      </c>
      <c r="Y91" s="574"/>
      <c r="Z91" s="182">
        <v>4</v>
      </c>
      <c r="AA91" s="182">
        <v>2064.0000000000405</v>
      </c>
      <c r="AB91" s="182">
        <v>516.00000000001012</v>
      </c>
      <c r="AC91" s="436">
        <f t="shared" si="27"/>
        <v>22</v>
      </c>
      <c r="AD91" s="574"/>
      <c r="AE91" s="182">
        <v>4</v>
      </c>
      <c r="AF91" s="182">
        <v>2016.0000000000393</v>
      </c>
      <c r="AG91" s="182">
        <v>504.00000000000983</v>
      </c>
      <c r="AH91" s="436">
        <f t="shared" si="29"/>
        <v>22</v>
      </c>
      <c r="AI91" s="574"/>
      <c r="AJ91" s="182">
        <v>4</v>
      </c>
      <c r="AK91" s="182">
        <v>2123.9999999999736</v>
      </c>
      <c r="AL91" s="182">
        <v>530.99999999999341</v>
      </c>
      <c r="AM91" s="436">
        <f t="shared" si="31"/>
        <v>22</v>
      </c>
      <c r="AN91" s="574"/>
      <c r="AO91" s="182">
        <v>4</v>
      </c>
      <c r="AP91" s="182">
        <v>2190.0000000000077</v>
      </c>
      <c r="AQ91" s="182">
        <v>547.50000000000193</v>
      </c>
      <c r="AR91" s="436">
        <f t="shared" si="33"/>
        <v>22</v>
      </c>
      <c r="AS91" s="574"/>
      <c r="AT91" s="182">
        <v>4</v>
      </c>
      <c r="AU91" s="182">
        <v>2166.0000000000077</v>
      </c>
      <c r="AV91" s="182">
        <v>541.50000000000193</v>
      </c>
      <c r="AW91" s="436">
        <f t="shared" si="35"/>
        <v>22</v>
      </c>
      <c r="AX91" s="574"/>
    </row>
    <row r="92" spans="2:50">
      <c r="B92" s="590"/>
      <c r="C92" s="436">
        <v>16</v>
      </c>
      <c r="D92" s="436" t="s">
        <v>466</v>
      </c>
      <c r="E92" s="436">
        <v>4</v>
      </c>
      <c r="F92" s="436">
        <v>3300</v>
      </c>
      <c r="G92" s="436">
        <v>825</v>
      </c>
      <c r="H92" s="574"/>
      <c r="I92" s="446">
        <f t="shared" si="24"/>
        <v>3</v>
      </c>
      <c r="J92" s="446">
        <f t="shared" si="24"/>
        <v>2851.1454291322734</v>
      </c>
      <c r="K92" s="438">
        <f t="shared" si="24"/>
        <v>950.38180971075781</v>
      </c>
      <c r="L92" s="554"/>
      <c r="M92" s="446">
        <f>RANK(K92, K$77:$K$106)</f>
        <v>5</v>
      </c>
      <c r="N92" s="566"/>
      <c r="O92" s="566"/>
      <c r="P92" s="182">
        <v>3</v>
      </c>
      <c r="Q92" s="182">
        <v>2727.272727272737</v>
      </c>
      <c r="R92" s="182">
        <v>909.09090909091231</v>
      </c>
      <c r="S92" s="436">
        <f t="shared" si="37"/>
        <v>6</v>
      </c>
      <c r="T92" s="574"/>
      <c r="U92" s="182">
        <v>3</v>
      </c>
      <c r="V92" s="182">
        <v>2773.8461538461552</v>
      </c>
      <c r="W92" s="182">
        <v>924.6153846153851</v>
      </c>
      <c r="X92" s="436">
        <f t="shared" si="25"/>
        <v>7</v>
      </c>
      <c r="Y92" s="574"/>
      <c r="Z92" s="182">
        <v>3</v>
      </c>
      <c r="AA92" s="182">
        <v>2870.9999999999986</v>
      </c>
      <c r="AB92" s="182">
        <v>956.99999999999955</v>
      </c>
      <c r="AC92" s="436">
        <f t="shared" si="27"/>
        <v>6</v>
      </c>
      <c r="AD92" s="574"/>
      <c r="AE92" s="182">
        <v>3</v>
      </c>
      <c r="AF92" s="182">
        <v>2706.3157894736823</v>
      </c>
      <c r="AG92" s="182">
        <v>902.10526315789411</v>
      </c>
      <c r="AH92" s="436">
        <f t="shared" si="29"/>
        <v>8</v>
      </c>
      <c r="AI92" s="574"/>
      <c r="AJ92" s="182">
        <v>3</v>
      </c>
      <c r="AK92" s="182">
        <v>2891.2500000000036</v>
      </c>
      <c r="AL92" s="182">
        <v>963.75000000000125</v>
      </c>
      <c r="AM92" s="436">
        <f t="shared" si="31"/>
        <v>5</v>
      </c>
      <c r="AN92" s="574"/>
      <c r="AO92" s="182">
        <v>3</v>
      </c>
      <c r="AP92" s="182">
        <v>2894.9999999999991</v>
      </c>
      <c r="AQ92" s="182">
        <v>964.99999999999966</v>
      </c>
      <c r="AR92" s="436">
        <f t="shared" si="33"/>
        <v>5</v>
      </c>
      <c r="AS92" s="574"/>
      <c r="AT92" s="182">
        <v>3</v>
      </c>
      <c r="AU92" s="182">
        <v>3093.3333333333376</v>
      </c>
      <c r="AV92" s="182">
        <v>1031.1111111111125</v>
      </c>
      <c r="AW92" s="436">
        <f t="shared" si="35"/>
        <v>5</v>
      </c>
      <c r="AX92" s="574"/>
    </row>
    <row r="93" spans="2:50">
      <c r="B93" s="590"/>
      <c r="C93" s="436">
        <v>17</v>
      </c>
      <c r="D93" s="436" t="s">
        <v>552</v>
      </c>
      <c r="E93" s="436">
        <v>3</v>
      </c>
      <c r="F93" s="436">
        <v>2800</v>
      </c>
      <c r="G93" s="436">
        <v>933.33333333333337</v>
      </c>
      <c r="H93" s="574"/>
      <c r="I93" s="446">
        <f t="shared" ref="I93:K99" si="38">AVERAGE(P93,U93,Z93,AE93,AJ93,AO93,AT93)</f>
        <v>3</v>
      </c>
      <c r="J93" s="446">
        <f t="shared" si="38"/>
        <v>2825.3714285714318</v>
      </c>
      <c r="K93" s="438">
        <f t="shared" si="38"/>
        <v>941.79047619047731</v>
      </c>
      <c r="L93" s="554"/>
      <c r="M93" s="446">
        <f>RANK(K93, K$77:$K$106)</f>
        <v>6</v>
      </c>
      <c r="N93" s="566"/>
      <c r="O93" s="566"/>
      <c r="P93" s="182">
        <v>3</v>
      </c>
      <c r="Q93" s="182">
        <v>2481.9999999999959</v>
      </c>
      <c r="R93" s="182">
        <v>827.33333333333201</v>
      </c>
      <c r="S93" s="436">
        <f t="shared" si="37"/>
        <v>12</v>
      </c>
      <c r="T93" s="574"/>
      <c r="U93" s="182">
        <v>3</v>
      </c>
      <c r="V93" s="182">
        <v>2860.799999999992</v>
      </c>
      <c r="W93" s="182">
        <v>953.59999999999729</v>
      </c>
      <c r="X93" s="436">
        <f t="shared" si="25"/>
        <v>5</v>
      </c>
      <c r="Y93" s="574"/>
      <c r="Z93" s="182">
        <v>3</v>
      </c>
      <c r="AA93" s="182">
        <v>2762.4000000000278</v>
      </c>
      <c r="AB93" s="182">
        <v>920.80000000000928</v>
      </c>
      <c r="AC93" s="436">
        <f t="shared" si="27"/>
        <v>9</v>
      </c>
      <c r="AD93" s="574"/>
      <c r="AE93" s="182">
        <v>3</v>
      </c>
      <c r="AF93" s="182">
        <v>3282.0000000000118</v>
      </c>
      <c r="AG93" s="182">
        <v>1094.0000000000039</v>
      </c>
      <c r="AH93" s="436">
        <f t="shared" si="29"/>
        <v>1</v>
      </c>
      <c r="AI93" s="574"/>
      <c r="AJ93" s="182">
        <v>3</v>
      </c>
      <c r="AK93" s="182">
        <v>2673.5999999999926</v>
      </c>
      <c r="AL93" s="182">
        <v>891.19999999999754</v>
      </c>
      <c r="AM93" s="436">
        <f t="shared" si="31"/>
        <v>8</v>
      </c>
      <c r="AN93" s="574"/>
      <c r="AO93" s="182">
        <v>3</v>
      </c>
      <c r="AP93" s="182">
        <v>2832.00000000001</v>
      </c>
      <c r="AQ93" s="182">
        <v>944.0000000000033</v>
      </c>
      <c r="AR93" s="436">
        <f t="shared" si="33"/>
        <v>6</v>
      </c>
      <c r="AS93" s="574"/>
      <c r="AT93" s="182">
        <v>3</v>
      </c>
      <c r="AU93" s="182">
        <v>2884.799999999992</v>
      </c>
      <c r="AV93" s="182">
        <v>961.59999999999729</v>
      </c>
      <c r="AW93" s="436">
        <f t="shared" si="35"/>
        <v>6</v>
      </c>
      <c r="AX93" s="574"/>
    </row>
    <row r="94" spans="2:50">
      <c r="B94" s="590"/>
      <c r="C94" s="436">
        <v>18</v>
      </c>
      <c r="D94" s="436" t="s">
        <v>616</v>
      </c>
      <c r="E94" s="436">
        <v>4</v>
      </c>
      <c r="F94" s="436">
        <v>3000</v>
      </c>
      <c r="G94" s="436">
        <v>750</v>
      </c>
      <c r="H94" s="574"/>
      <c r="I94" s="446">
        <f t="shared" si="38"/>
        <v>3</v>
      </c>
      <c r="J94" s="446">
        <f t="shared" si="38"/>
        <v>2341.1619047619056</v>
      </c>
      <c r="K94" s="438">
        <f t="shared" si="38"/>
        <v>780.38730158730175</v>
      </c>
      <c r="L94" s="554"/>
      <c r="M94" s="446">
        <f>RANK(K94, K$77:$K$106)</f>
        <v>13</v>
      </c>
      <c r="N94" s="566"/>
      <c r="O94" s="566"/>
      <c r="P94" s="182">
        <v>3</v>
      </c>
      <c r="Q94" s="182">
        <v>2564</v>
      </c>
      <c r="R94" s="182">
        <v>854.66666666666663</v>
      </c>
      <c r="S94" s="436">
        <f t="shared" si="37"/>
        <v>9</v>
      </c>
      <c r="T94" s="574"/>
      <c r="U94" s="182">
        <v>3</v>
      </c>
      <c r="V94" s="182">
        <v>2500</v>
      </c>
      <c r="W94" s="182">
        <v>833.33333333333337</v>
      </c>
      <c r="X94" s="436">
        <f t="shared" si="25"/>
        <v>8</v>
      </c>
      <c r="Y94" s="574"/>
      <c r="Z94" s="182">
        <v>3</v>
      </c>
      <c r="AA94" s="182">
        <v>2397.3333333333335</v>
      </c>
      <c r="AB94" s="182">
        <v>799.1111111111112</v>
      </c>
      <c r="AC94" s="436">
        <f t="shared" si="27"/>
        <v>13</v>
      </c>
      <c r="AD94" s="574"/>
      <c r="AE94" s="182">
        <v>3</v>
      </c>
      <c r="AF94" s="182">
        <v>2124.0000000000009</v>
      </c>
      <c r="AG94" s="182">
        <v>708.00000000000034</v>
      </c>
      <c r="AH94" s="436">
        <f t="shared" si="29"/>
        <v>13</v>
      </c>
      <c r="AI94" s="574"/>
      <c r="AJ94" s="182">
        <v>3</v>
      </c>
      <c r="AK94" s="182">
        <v>2241.6000000000008</v>
      </c>
      <c r="AL94" s="182">
        <v>747.20000000000027</v>
      </c>
      <c r="AM94" s="436">
        <f t="shared" si="31"/>
        <v>14</v>
      </c>
      <c r="AN94" s="574"/>
      <c r="AO94" s="182">
        <v>3</v>
      </c>
      <c r="AP94" s="182">
        <v>2326.8000000000006</v>
      </c>
      <c r="AQ94" s="182">
        <v>775.60000000000025</v>
      </c>
      <c r="AR94" s="436">
        <f t="shared" si="33"/>
        <v>14</v>
      </c>
      <c r="AS94" s="574"/>
      <c r="AT94" s="182">
        <v>3</v>
      </c>
      <c r="AU94" s="182">
        <v>2234.4000000000005</v>
      </c>
      <c r="AV94" s="182">
        <v>744.80000000000018</v>
      </c>
      <c r="AW94" s="436">
        <f t="shared" si="35"/>
        <v>13</v>
      </c>
      <c r="AX94" s="574"/>
    </row>
    <row r="95" spans="2:50">
      <c r="B95" s="590"/>
      <c r="C95" s="436">
        <v>19</v>
      </c>
      <c r="D95" s="436" t="s">
        <v>560</v>
      </c>
      <c r="E95" s="436">
        <v>12</v>
      </c>
      <c r="F95" s="436">
        <v>1500</v>
      </c>
      <c r="G95" s="436">
        <v>125</v>
      </c>
      <c r="H95" s="574"/>
      <c r="I95" s="446">
        <f t="shared" si="38"/>
        <v>9.1428571428571423</v>
      </c>
      <c r="J95" s="446">
        <f t="shared" si="38"/>
        <v>1495.103896103896</v>
      </c>
      <c r="K95" s="438">
        <f t="shared" si="38"/>
        <v>165.59378121878123</v>
      </c>
      <c r="L95" s="554"/>
      <c r="M95" s="446">
        <f>RANK(K95, K$77:$K$106)</f>
        <v>23</v>
      </c>
      <c r="N95" s="566"/>
      <c r="O95" s="566"/>
      <c r="P95" s="182">
        <v>8</v>
      </c>
      <c r="Q95" s="182">
        <v>1487.2727272727279</v>
      </c>
      <c r="R95" s="182">
        <v>185.90909090909099</v>
      </c>
      <c r="S95" s="436">
        <f t="shared" si="37"/>
        <v>23</v>
      </c>
      <c r="T95" s="574"/>
      <c r="U95" s="182">
        <v>8</v>
      </c>
      <c r="V95" s="182">
        <v>1487.0769230769247</v>
      </c>
      <c r="W95" s="182">
        <v>185.88461538461559</v>
      </c>
      <c r="X95" s="436">
        <f t="shared" si="25"/>
        <v>23</v>
      </c>
      <c r="Y95" s="574"/>
      <c r="Z95" s="182">
        <v>8</v>
      </c>
      <c r="AA95" s="182">
        <v>1528.9999999999991</v>
      </c>
      <c r="AB95" s="182">
        <v>191.12499999999989</v>
      </c>
      <c r="AC95" s="436">
        <f t="shared" si="27"/>
        <v>23</v>
      </c>
      <c r="AD95" s="574"/>
      <c r="AE95" s="182">
        <v>10</v>
      </c>
      <c r="AF95" s="182">
        <v>1467.9999999999993</v>
      </c>
      <c r="AG95" s="182">
        <v>146.79999999999993</v>
      </c>
      <c r="AH95" s="436">
        <f t="shared" si="29"/>
        <v>23</v>
      </c>
      <c r="AI95" s="574"/>
      <c r="AJ95" s="182">
        <v>10</v>
      </c>
      <c r="AK95" s="182">
        <v>1541.4545454545466</v>
      </c>
      <c r="AL95" s="182">
        <v>154.14545454545467</v>
      </c>
      <c r="AM95" s="436">
        <f t="shared" si="31"/>
        <v>23</v>
      </c>
      <c r="AN95" s="574"/>
      <c r="AO95" s="182">
        <v>10</v>
      </c>
      <c r="AP95" s="182">
        <v>1477.846153846152</v>
      </c>
      <c r="AQ95" s="182">
        <v>147.78461538461519</v>
      </c>
      <c r="AR95" s="436">
        <f t="shared" si="33"/>
        <v>23</v>
      </c>
      <c r="AS95" s="574"/>
      <c r="AT95" s="182">
        <v>10</v>
      </c>
      <c r="AU95" s="182">
        <v>1475.0769230769226</v>
      </c>
      <c r="AV95" s="182">
        <v>147.50769230769225</v>
      </c>
      <c r="AW95" s="436">
        <f t="shared" si="35"/>
        <v>23</v>
      </c>
      <c r="AX95" s="574"/>
    </row>
    <row r="96" spans="2:50">
      <c r="B96" s="590"/>
      <c r="C96" s="436">
        <v>20</v>
      </c>
      <c r="D96" s="436" t="s">
        <v>630</v>
      </c>
      <c r="E96" s="436">
        <v>4</v>
      </c>
      <c r="F96" s="436">
        <v>3000</v>
      </c>
      <c r="G96" s="436">
        <v>750</v>
      </c>
      <c r="H96" s="574"/>
      <c r="I96" s="446">
        <f t="shared" si="38"/>
        <v>4</v>
      </c>
      <c r="J96" s="446">
        <f t="shared" si="38"/>
        <v>2337.0000000000068</v>
      </c>
      <c r="K96" s="438">
        <f t="shared" si="38"/>
        <v>584.25000000000171</v>
      </c>
      <c r="L96" s="554"/>
      <c r="M96" s="446">
        <f>RANK(K96, K$77:$K$106)</f>
        <v>21</v>
      </c>
      <c r="N96" s="566"/>
      <c r="O96" s="566"/>
      <c r="P96" s="182">
        <v>4</v>
      </c>
      <c r="Q96" s="182">
        <v>2480.9999999999991</v>
      </c>
      <c r="R96" s="182">
        <v>620.24999999999977</v>
      </c>
      <c r="S96" s="436">
        <f t="shared" si="37"/>
        <v>21</v>
      </c>
      <c r="T96" s="574"/>
      <c r="U96" s="182">
        <v>4</v>
      </c>
      <c r="V96" s="182">
        <v>2736.00000000001</v>
      </c>
      <c r="W96" s="182">
        <v>684.0000000000025</v>
      </c>
      <c r="X96" s="436">
        <f t="shared" si="25"/>
        <v>19</v>
      </c>
      <c r="Y96" s="574"/>
      <c r="Z96" s="182">
        <v>4</v>
      </c>
      <c r="AA96" s="182">
        <v>2253.0000000000077</v>
      </c>
      <c r="AB96" s="182">
        <v>563.25000000000193</v>
      </c>
      <c r="AC96" s="436">
        <f t="shared" si="27"/>
        <v>21</v>
      </c>
      <c r="AD96" s="574"/>
      <c r="AE96" s="182">
        <v>4</v>
      </c>
      <c r="AF96" s="182">
        <v>2122.5000000000077</v>
      </c>
      <c r="AG96" s="182">
        <v>530.62500000000193</v>
      </c>
      <c r="AH96" s="436">
        <f t="shared" si="29"/>
        <v>21</v>
      </c>
      <c r="AI96" s="574"/>
      <c r="AJ96" s="182">
        <v>4</v>
      </c>
      <c r="AK96" s="182">
        <v>2244.0000000000082</v>
      </c>
      <c r="AL96" s="182">
        <v>561.00000000000205</v>
      </c>
      <c r="AM96" s="436">
        <f t="shared" si="31"/>
        <v>21</v>
      </c>
      <c r="AN96" s="574"/>
      <c r="AO96" s="182">
        <v>4</v>
      </c>
      <c r="AP96" s="182">
        <v>2317.5000000000082</v>
      </c>
      <c r="AQ96" s="182">
        <v>579.37500000000205</v>
      </c>
      <c r="AR96" s="436">
        <f t="shared" si="33"/>
        <v>21</v>
      </c>
      <c r="AS96" s="574"/>
      <c r="AT96" s="182">
        <v>4</v>
      </c>
      <c r="AU96" s="182">
        <v>2205.0000000000077</v>
      </c>
      <c r="AV96" s="182">
        <v>551.25000000000193</v>
      </c>
      <c r="AW96" s="436">
        <f t="shared" si="35"/>
        <v>21</v>
      </c>
      <c r="AX96" s="574"/>
    </row>
    <row r="97" spans="2:50">
      <c r="B97" s="590"/>
      <c r="C97" s="436">
        <v>21</v>
      </c>
      <c r="D97" s="436" t="s">
        <v>699</v>
      </c>
      <c r="E97" s="436">
        <v>3</v>
      </c>
      <c r="F97" s="436">
        <v>2800</v>
      </c>
      <c r="G97" s="436">
        <v>933.33333333333337</v>
      </c>
      <c r="H97" s="574"/>
      <c r="I97" s="446">
        <f t="shared" si="38"/>
        <v>3</v>
      </c>
      <c r="J97" s="446">
        <f t="shared" si="38"/>
        <v>2811.3372729830126</v>
      </c>
      <c r="K97" s="438">
        <f t="shared" si="38"/>
        <v>937.11242432767074</v>
      </c>
      <c r="L97" s="554"/>
      <c r="M97" s="446">
        <f>RANK(K97, K$77:$K$106)</f>
        <v>7</v>
      </c>
      <c r="N97" s="566"/>
      <c r="O97" s="566"/>
      <c r="P97" s="436">
        <v>3</v>
      </c>
      <c r="Q97" s="182">
        <v>2782.5974025974037</v>
      </c>
      <c r="R97" s="437">
        <v>927.53246753246788</v>
      </c>
      <c r="S97" s="436">
        <f t="shared" si="37"/>
        <v>5</v>
      </c>
      <c r="T97" s="574"/>
      <c r="U97" s="436">
        <v>3</v>
      </c>
      <c r="V97" s="182">
        <v>2791.6363636363612</v>
      </c>
      <c r="W97" s="437">
        <v>930.54545454545371</v>
      </c>
      <c r="X97" s="436">
        <f t="shared" si="25"/>
        <v>6</v>
      </c>
      <c r="Y97" s="574"/>
      <c r="Z97" s="436">
        <v>3</v>
      </c>
      <c r="AA97" s="182">
        <v>2836.3636363636342</v>
      </c>
      <c r="AB97" s="437">
        <v>945.4545454545447</v>
      </c>
      <c r="AC97" s="436">
        <f t="shared" si="27"/>
        <v>7</v>
      </c>
      <c r="AD97" s="574"/>
      <c r="AE97" s="436">
        <v>3</v>
      </c>
      <c r="AF97" s="182">
        <v>2773.8461538461552</v>
      </c>
      <c r="AG97" s="437">
        <v>924.6153846153851</v>
      </c>
      <c r="AH97" s="436">
        <f t="shared" si="29"/>
        <v>6</v>
      </c>
      <c r="AI97" s="574"/>
      <c r="AJ97" s="436">
        <v>3</v>
      </c>
      <c r="AK97" s="182">
        <v>2815.2000000000007</v>
      </c>
      <c r="AL97" s="437">
        <v>938.4000000000002</v>
      </c>
      <c r="AM97" s="436">
        <f t="shared" si="31"/>
        <v>7</v>
      </c>
      <c r="AN97" s="574"/>
      <c r="AO97" s="436">
        <v>3</v>
      </c>
      <c r="AP97" s="182">
        <v>2812.1311475409825</v>
      </c>
      <c r="AQ97" s="437">
        <v>937.3770491803275</v>
      </c>
      <c r="AR97" s="436">
        <f t="shared" si="33"/>
        <v>8</v>
      </c>
      <c r="AS97" s="574"/>
      <c r="AT97" s="436">
        <v>3</v>
      </c>
      <c r="AU97" s="182">
        <v>2867.5862068965503</v>
      </c>
      <c r="AV97" s="437">
        <v>955.86206896551676</v>
      </c>
      <c r="AW97" s="436">
        <f t="shared" si="35"/>
        <v>7</v>
      </c>
      <c r="AX97" s="574"/>
    </row>
    <row r="98" spans="2:50">
      <c r="B98" s="590"/>
      <c r="C98" s="436">
        <v>22</v>
      </c>
      <c r="D98" s="436" t="s">
        <v>755</v>
      </c>
      <c r="E98" s="436">
        <v>4</v>
      </c>
      <c r="F98" s="436">
        <v>2800</v>
      </c>
      <c r="G98" s="436">
        <v>700</v>
      </c>
      <c r="H98" s="574"/>
      <c r="I98" s="446">
        <f t="shared" si="38"/>
        <v>4</v>
      </c>
      <c r="J98" s="446">
        <f t="shared" si="38"/>
        <v>2812.1493183819584</v>
      </c>
      <c r="K98" s="438">
        <f t="shared" si="38"/>
        <v>703.03732959548961</v>
      </c>
      <c r="L98" s="554"/>
      <c r="M98" s="446">
        <f>RANK(K98, K$77:$K$106)</f>
        <v>19</v>
      </c>
      <c r="N98" s="566"/>
      <c r="O98" s="566"/>
      <c r="P98" s="436">
        <v>4</v>
      </c>
      <c r="Q98" s="182">
        <v>2807.6190476190468</v>
      </c>
      <c r="R98" s="437">
        <v>701.9047619047617</v>
      </c>
      <c r="S98" s="436">
        <f t="shared" si="37"/>
        <v>17</v>
      </c>
      <c r="T98" s="574"/>
      <c r="U98" s="436">
        <v>4</v>
      </c>
      <c r="V98" s="182">
        <v>2856.7999999999975</v>
      </c>
      <c r="W98" s="437">
        <v>714.19999999999936</v>
      </c>
      <c r="X98" s="436">
        <f t="shared" si="25"/>
        <v>17</v>
      </c>
      <c r="Y98" s="574"/>
      <c r="Z98" s="436">
        <v>4</v>
      </c>
      <c r="AA98" s="182">
        <v>2767.9999999999986</v>
      </c>
      <c r="AB98" s="437">
        <v>691.99999999999966</v>
      </c>
      <c r="AC98" s="436">
        <f t="shared" si="27"/>
        <v>20</v>
      </c>
      <c r="AD98" s="574"/>
      <c r="AE98" s="436">
        <v>4</v>
      </c>
      <c r="AF98" s="182">
        <v>2754.6428571428551</v>
      </c>
      <c r="AG98" s="437">
        <v>688.66071428571377</v>
      </c>
      <c r="AH98" s="436">
        <f t="shared" si="29"/>
        <v>18</v>
      </c>
      <c r="AI98" s="574"/>
      <c r="AJ98" s="436">
        <v>4</v>
      </c>
      <c r="AK98" s="182">
        <v>2902.4999999999959</v>
      </c>
      <c r="AL98" s="437">
        <v>725.62499999999898</v>
      </c>
      <c r="AM98" s="436">
        <f t="shared" si="31"/>
        <v>16</v>
      </c>
      <c r="AN98" s="574"/>
      <c r="AO98" s="436">
        <v>4</v>
      </c>
      <c r="AP98" s="182">
        <v>2780.6557377049207</v>
      </c>
      <c r="AQ98" s="437">
        <v>695.16393442623018</v>
      </c>
      <c r="AR98" s="436">
        <f t="shared" si="33"/>
        <v>20</v>
      </c>
      <c r="AS98" s="574"/>
      <c r="AT98" s="436">
        <v>4</v>
      </c>
      <c r="AU98" s="182">
        <v>2814.8275862068949</v>
      </c>
      <c r="AV98" s="437">
        <v>703.70689655172373</v>
      </c>
      <c r="AW98" s="436">
        <f t="shared" si="35"/>
        <v>20</v>
      </c>
      <c r="AX98" s="574"/>
    </row>
    <row r="99" spans="2:50">
      <c r="B99" s="590"/>
      <c r="C99" s="436">
        <v>23</v>
      </c>
      <c r="D99" s="436" t="s">
        <v>763</v>
      </c>
      <c r="E99" s="436">
        <v>4</v>
      </c>
      <c r="F99" s="436">
        <v>2800</v>
      </c>
      <c r="G99" s="436">
        <v>700</v>
      </c>
      <c r="H99" s="574"/>
      <c r="I99" s="446">
        <f t="shared" si="38"/>
        <v>4</v>
      </c>
      <c r="J99" s="446">
        <f t="shared" si="38"/>
        <v>2845.8021514884231</v>
      </c>
      <c r="K99" s="438">
        <f t="shared" si="38"/>
        <v>711.45053787210577</v>
      </c>
      <c r="L99" s="554"/>
      <c r="M99" s="446">
        <f>RANK(K99, K$77:$K$106)</f>
        <v>16</v>
      </c>
      <c r="N99" s="566"/>
      <c r="O99" s="566"/>
      <c r="P99" s="436">
        <v>4</v>
      </c>
      <c r="Q99" s="436">
        <v>2783.4146341463406</v>
      </c>
      <c r="R99" s="437">
        <v>695.85365853658516</v>
      </c>
      <c r="S99" s="436">
        <f t="shared" si="37"/>
        <v>20</v>
      </c>
      <c r="T99" s="574"/>
      <c r="U99" s="436">
        <v>4</v>
      </c>
      <c r="V99" s="436">
        <v>2947.9999999999986</v>
      </c>
      <c r="W99" s="437">
        <v>736.99999999999966</v>
      </c>
      <c r="X99" s="436">
        <f t="shared" si="25"/>
        <v>16</v>
      </c>
      <c r="Y99" s="574"/>
      <c r="Z99" s="436">
        <v>4</v>
      </c>
      <c r="AA99" s="436">
        <v>2822.400000000001</v>
      </c>
      <c r="AB99" s="437">
        <v>705.60000000000025</v>
      </c>
      <c r="AC99" s="436">
        <f t="shared" si="27"/>
        <v>19</v>
      </c>
      <c r="AD99" s="574"/>
      <c r="AE99" s="436">
        <v>4</v>
      </c>
      <c r="AF99" s="436">
        <v>2794.411764705882</v>
      </c>
      <c r="AG99" s="437">
        <v>698.60294117647049</v>
      </c>
      <c r="AH99" s="436">
        <f t="shared" si="29"/>
        <v>14</v>
      </c>
      <c r="AI99" s="574"/>
      <c r="AJ99" s="436">
        <v>4</v>
      </c>
      <c r="AK99" s="436">
        <v>2847.6190476190468</v>
      </c>
      <c r="AL99" s="437">
        <v>711.9047619047617</v>
      </c>
      <c r="AM99" s="436">
        <f t="shared" si="31"/>
        <v>17</v>
      </c>
      <c r="AN99" s="574"/>
      <c r="AO99" s="436">
        <v>4</v>
      </c>
      <c r="AP99" s="436">
        <v>2869.3150684931484</v>
      </c>
      <c r="AQ99" s="437">
        <v>717.32876712328709</v>
      </c>
      <c r="AR99" s="436">
        <f t="shared" si="33"/>
        <v>17</v>
      </c>
      <c r="AS99" s="574"/>
      <c r="AT99" s="436">
        <v>4</v>
      </c>
      <c r="AU99" s="436">
        <v>2855.4545454545455</v>
      </c>
      <c r="AV99" s="437">
        <v>713.86363636363637</v>
      </c>
      <c r="AW99" s="436">
        <f t="shared" si="35"/>
        <v>18</v>
      </c>
      <c r="AX99" s="574"/>
    </row>
    <row r="100" spans="2:50">
      <c r="B100" s="590"/>
      <c r="C100" s="436">
        <v>24</v>
      </c>
      <c r="D100" s="436"/>
      <c r="E100" s="436"/>
      <c r="F100" s="436"/>
      <c r="G100" s="436"/>
      <c r="H100" s="574"/>
      <c r="I100" s="446"/>
      <c r="J100" s="446"/>
      <c r="K100" s="438"/>
      <c r="L100" s="554"/>
      <c r="M100" s="446" t="e">
        <f>RANK(K100, K$77:$K$106)</f>
        <v>#N/A</v>
      </c>
      <c r="N100" s="566"/>
      <c r="O100" s="566"/>
      <c r="P100" s="436"/>
      <c r="Q100" s="436"/>
      <c r="R100" s="436"/>
      <c r="S100" s="436" t="e">
        <f t="shared" si="37"/>
        <v>#N/A</v>
      </c>
      <c r="T100" s="574"/>
      <c r="U100" s="436"/>
      <c r="V100" s="436"/>
      <c r="W100" s="436"/>
      <c r="X100" s="436" t="e">
        <f t="shared" si="25"/>
        <v>#N/A</v>
      </c>
      <c r="Y100" s="574"/>
      <c r="Z100" s="436"/>
      <c r="AA100" s="436"/>
      <c r="AB100" s="436"/>
      <c r="AC100" s="436" t="e">
        <f t="shared" si="27"/>
        <v>#N/A</v>
      </c>
      <c r="AD100" s="574"/>
      <c r="AE100" s="436"/>
      <c r="AF100" s="436"/>
      <c r="AG100" s="436"/>
      <c r="AH100" s="436" t="e">
        <f t="shared" si="29"/>
        <v>#N/A</v>
      </c>
      <c r="AI100" s="574"/>
      <c r="AJ100" s="436"/>
      <c r="AK100" s="436"/>
      <c r="AL100" s="436"/>
      <c r="AM100" s="436" t="e">
        <f t="shared" si="31"/>
        <v>#N/A</v>
      </c>
      <c r="AN100" s="574"/>
      <c r="AO100" s="436"/>
      <c r="AP100" s="436"/>
      <c r="AQ100" s="436"/>
      <c r="AR100" s="436" t="e">
        <f t="shared" si="33"/>
        <v>#N/A</v>
      </c>
      <c r="AS100" s="574"/>
      <c r="AT100" s="436"/>
      <c r="AU100" s="436"/>
      <c r="AV100" s="436"/>
      <c r="AW100" s="436" t="e">
        <f t="shared" si="35"/>
        <v>#N/A</v>
      </c>
      <c r="AX100" s="574"/>
    </row>
    <row r="101" spans="2:50">
      <c r="B101" s="590"/>
      <c r="C101" s="436">
        <v>25</v>
      </c>
      <c r="D101" s="436"/>
      <c r="E101" s="436"/>
      <c r="F101" s="436"/>
      <c r="G101" s="436"/>
      <c r="H101" s="574"/>
      <c r="I101" s="202"/>
      <c r="J101" s="202"/>
      <c r="K101" s="202"/>
      <c r="L101" s="554"/>
      <c r="M101" s="446" t="e">
        <f>RANK(K101, K$77:$K$106)</f>
        <v>#N/A</v>
      </c>
      <c r="N101" s="566"/>
      <c r="O101" s="566"/>
      <c r="P101" s="436"/>
      <c r="Q101" s="436"/>
      <c r="R101" s="436"/>
      <c r="S101" s="436" t="e">
        <f t="shared" si="37"/>
        <v>#N/A</v>
      </c>
      <c r="T101" s="574"/>
      <c r="U101" s="436"/>
      <c r="V101" s="436"/>
      <c r="W101" s="436"/>
      <c r="X101" s="436" t="e">
        <f t="shared" si="25"/>
        <v>#N/A</v>
      </c>
      <c r="Y101" s="574"/>
      <c r="Z101" s="436"/>
      <c r="AA101" s="436"/>
      <c r="AB101" s="436"/>
      <c r="AC101" s="436" t="e">
        <f t="shared" si="27"/>
        <v>#N/A</v>
      </c>
      <c r="AD101" s="574"/>
      <c r="AE101" s="436"/>
      <c r="AF101" s="436"/>
      <c r="AG101" s="436"/>
      <c r="AH101" s="436" t="e">
        <f t="shared" si="29"/>
        <v>#N/A</v>
      </c>
      <c r="AI101" s="574"/>
      <c r="AJ101" s="436"/>
      <c r="AK101" s="436"/>
      <c r="AL101" s="436"/>
      <c r="AM101" s="436" t="e">
        <f t="shared" si="31"/>
        <v>#N/A</v>
      </c>
      <c r="AN101" s="574"/>
      <c r="AO101" s="436"/>
      <c r="AP101" s="436"/>
      <c r="AQ101" s="436"/>
      <c r="AR101" s="436" t="e">
        <f t="shared" si="33"/>
        <v>#N/A</v>
      </c>
      <c r="AS101" s="574"/>
      <c r="AT101" s="436"/>
      <c r="AU101" s="436"/>
      <c r="AV101" s="436"/>
      <c r="AW101" s="436" t="e">
        <f t="shared" si="35"/>
        <v>#N/A</v>
      </c>
      <c r="AX101" s="574"/>
    </row>
    <row r="102" spans="2:50">
      <c r="B102" s="590"/>
      <c r="C102" s="436">
        <v>26</v>
      </c>
      <c r="D102" s="436"/>
      <c r="E102" s="436"/>
      <c r="F102" s="436"/>
      <c r="G102" s="436"/>
      <c r="H102" s="574"/>
      <c r="I102" s="202"/>
      <c r="J102" s="202"/>
      <c r="K102" s="202"/>
      <c r="L102" s="554"/>
      <c r="M102" s="446" t="e">
        <f>RANK(K102, K$77:$K$106)</f>
        <v>#N/A</v>
      </c>
      <c r="N102" s="566"/>
      <c r="O102" s="566"/>
      <c r="P102" s="436"/>
      <c r="Q102" s="436"/>
      <c r="R102" s="436"/>
      <c r="S102" s="436" t="e">
        <f t="shared" si="37"/>
        <v>#N/A</v>
      </c>
      <c r="T102" s="574"/>
      <c r="U102" s="436"/>
      <c r="V102" s="436"/>
      <c r="W102" s="436"/>
      <c r="X102" s="436" t="e">
        <f t="shared" si="25"/>
        <v>#N/A</v>
      </c>
      <c r="Y102" s="574"/>
      <c r="Z102" s="436"/>
      <c r="AA102" s="436"/>
      <c r="AB102" s="436"/>
      <c r="AC102" s="436" t="e">
        <f t="shared" si="27"/>
        <v>#N/A</v>
      </c>
      <c r="AD102" s="574"/>
      <c r="AE102" s="436"/>
      <c r="AF102" s="436"/>
      <c r="AG102" s="436"/>
      <c r="AH102" s="436" t="e">
        <f t="shared" si="29"/>
        <v>#N/A</v>
      </c>
      <c r="AI102" s="574"/>
      <c r="AJ102" s="436"/>
      <c r="AK102" s="436"/>
      <c r="AL102" s="436"/>
      <c r="AM102" s="436" t="e">
        <f t="shared" si="31"/>
        <v>#N/A</v>
      </c>
      <c r="AN102" s="574"/>
      <c r="AO102" s="436"/>
      <c r="AP102" s="436"/>
      <c r="AQ102" s="436"/>
      <c r="AR102" s="436" t="e">
        <f t="shared" si="33"/>
        <v>#N/A</v>
      </c>
      <c r="AS102" s="574"/>
      <c r="AT102" s="436"/>
      <c r="AU102" s="436"/>
      <c r="AV102" s="436"/>
      <c r="AW102" s="436" t="e">
        <f t="shared" si="35"/>
        <v>#N/A</v>
      </c>
      <c r="AX102" s="574"/>
    </row>
    <row r="103" spans="2:50">
      <c r="B103" s="590"/>
      <c r="C103" s="436">
        <v>27</v>
      </c>
      <c r="D103" s="436"/>
      <c r="E103" s="436"/>
      <c r="F103" s="436"/>
      <c r="G103" s="436"/>
      <c r="H103" s="574"/>
      <c r="I103" s="202"/>
      <c r="J103" s="202"/>
      <c r="K103" s="202"/>
      <c r="L103" s="554"/>
      <c r="M103" s="446" t="e">
        <f>RANK(K103, K$77:$K$106)</f>
        <v>#N/A</v>
      </c>
      <c r="N103" s="566"/>
      <c r="O103" s="566"/>
      <c r="P103" s="436"/>
      <c r="Q103" s="436"/>
      <c r="R103" s="436"/>
      <c r="S103" s="436" t="e">
        <f t="shared" si="37"/>
        <v>#N/A</v>
      </c>
      <c r="T103" s="574"/>
      <c r="U103" s="436"/>
      <c r="V103" s="436"/>
      <c r="W103" s="436"/>
      <c r="X103" s="436" t="e">
        <f t="shared" si="25"/>
        <v>#N/A</v>
      </c>
      <c r="Y103" s="574"/>
      <c r="Z103" s="436"/>
      <c r="AA103" s="436"/>
      <c r="AB103" s="436"/>
      <c r="AC103" s="436" t="e">
        <f t="shared" si="27"/>
        <v>#N/A</v>
      </c>
      <c r="AD103" s="574"/>
      <c r="AE103" s="436"/>
      <c r="AF103" s="436"/>
      <c r="AG103" s="436"/>
      <c r="AH103" s="436" t="e">
        <f t="shared" si="29"/>
        <v>#N/A</v>
      </c>
      <c r="AI103" s="574"/>
      <c r="AJ103" s="436"/>
      <c r="AK103" s="436"/>
      <c r="AL103" s="436"/>
      <c r="AM103" s="436" t="e">
        <f t="shared" si="31"/>
        <v>#N/A</v>
      </c>
      <c r="AN103" s="574"/>
      <c r="AO103" s="436"/>
      <c r="AP103" s="436"/>
      <c r="AQ103" s="436"/>
      <c r="AR103" s="436" t="e">
        <f t="shared" si="33"/>
        <v>#N/A</v>
      </c>
      <c r="AS103" s="574"/>
      <c r="AT103" s="436"/>
      <c r="AU103" s="436"/>
      <c r="AV103" s="436"/>
      <c r="AW103" s="436" t="e">
        <f t="shared" si="35"/>
        <v>#N/A</v>
      </c>
      <c r="AX103" s="574"/>
    </row>
    <row r="104" spans="2:50">
      <c r="B104" s="590"/>
      <c r="C104" s="436">
        <v>28</v>
      </c>
      <c r="D104" s="436"/>
      <c r="E104" s="436"/>
      <c r="F104" s="436"/>
      <c r="G104" s="436"/>
      <c r="H104" s="574"/>
      <c r="I104" s="202"/>
      <c r="J104" s="202"/>
      <c r="K104" s="202"/>
      <c r="L104" s="554"/>
      <c r="M104" s="446" t="e">
        <f>RANK(K104, K$77:$K$106)</f>
        <v>#N/A</v>
      </c>
      <c r="N104" s="566"/>
      <c r="O104" s="566"/>
      <c r="P104" s="436"/>
      <c r="Q104" s="436"/>
      <c r="R104" s="436"/>
      <c r="S104" s="436" t="e">
        <f t="shared" si="37"/>
        <v>#N/A</v>
      </c>
      <c r="T104" s="574"/>
      <c r="U104" s="436"/>
      <c r="V104" s="436"/>
      <c r="W104" s="436"/>
      <c r="X104" s="436" t="e">
        <f t="shared" si="25"/>
        <v>#N/A</v>
      </c>
      <c r="Y104" s="574"/>
      <c r="Z104" s="436"/>
      <c r="AA104" s="436"/>
      <c r="AB104" s="436"/>
      <c r="AC104" s="436" t="e">
        <f t="shared" si="27"/>
        <v>#N/A</v>
      </c>
      <c r="AD104" s="574"/>
      <c r="AE104" s="436"/>
      <c r="AF104" s="436"/>
      <c r="AG104" s="436"/>
      <c r="AH104" s="436" t="e">
        <f t="shared" si="29"/>
        <v>#N/A</v>
      </c>
      <c r="AI104" s="574"/>
      <c r="AJ104" s="436"/>
      <c r="AK104" s="436"/>
      <c r="AL104" s="436"/>
      <c r="AM104" s="436" t="e">
        <f t="shared" si="31"/>
        <v>#N/A</v>
      </c>
      <c r="AN104" s="574"/>
      <c r="AO104" s="436"/>
      <c r="AP104" s="436"/>
      <c r="AQ104" s="436"/>
      <c r="AR104" s="436" t="e">
        <f t="shared" si="33"/>
        <v>#N/A</v>
      </c>
      <c r="AS104" s="574"/>
      <c r="AT104" s="436"/>
      <c r="AU104" s="436"/>
      <c r="AV104" s="436"/>
      <c r="AW104" s="436" t="e">
        <f t="shared" si="35"/>
        <v>#N/A</v>
      </c>
      <c r="AX104" s="574"/>
    </row>
    <row r="105" spans="2:50">
      <c r="B105" s="590"/>
      <c r="C105" s="436">
        <v>29</v>
      </c>
      <c r="D105" s="436"/>
      <c r="E105" s="436"/>
      <c r="F105" s="436"/>
      <c r="G105" s="436"/>
      <c r="H105" s="574"/>
      <c r="I105" s="202"/>
      <c r="J105" s="202"/>
      <c r="K105" s="202"/>
      <c r="L105" s="554"/>
      <c r="M105" s="446" t="e">
        <f>RANK(K105, K$77:$K$106)</f>
        <v>#N/A</v>
      </c>
      <c r="N105" s="566"/>
      <c r="O105" s="566"/>
      <c r="P105" s="436"/>
      <c r="Q105" s="436"/>
      <c r="R105" s="436"/>
      <c r="S105" s="436" t="e">
        <f t="shared" si="37"/>
        <v>#N/A</v>
      </c>
      <c r="T105" s="574"/>
      <c r="U105" s="436"/>
      <c r="V105" s="436"/>
      <c r="W105" s="436"/>
      <c r="X105" s="436" t="e">
        <f t="shared" si="25"/>
        <v>#N/A</v>
      </c>
      <c r="Y105" s="574"/>
      <c r="Z105" s="436"/>
      <c r="AA105" s="436"/>
      <c r="AB105" s="436"/>
      <c r="AC105" s="436" t="e">
        <f t="shared" si="27"/>
        <v>#N/A</v>
      </c>
      <c r="AD105" s="574"/>
      <c r="AE105" s="436"/>
      <c r="AF105" s="436"/>
      <c r="AG105" s="436"/>
      <c r="AH105" s="436" t="e">
        <f t="shared" si="29"/>
        <v>#N/A</v>
      </c>
      <c r="AI105" s="574"/>
      <c r="AJ105" s="436"/>
      <c r="AK105" s="436"/>
      <c r="AL105" s="436"/>
      <c r="AM105" s="436" t="e">
        <f t="shared" si="31"/>
        <v>#N/A</v>
      </c>
      <c r="AN105" s="574"/>
      <c r="AO105" s="436"/>
      <c r="AP105" s="436"/>
      <c r="AQ105" s="436"/>
      <c r="AR105" s="436" t="e">
        <f t="shared" si="33"/>
        <v>#N/A</v>
      </c>
      <c r="AS105" s="574"/>
      <c r="AT105" s="436"/>
      <c r="AU105" s="436"/>
      <c r="AV105" s="436"/>
      <c r="AW105" s="436" t="e">
        <f t="shared" si="35"/>
        <v>#N/A</v>
      </c>
      <c r="AX105" s="574"/>
    </row>
    <row r="106" spans="2:50">
      <c r="B106" s="591"/>
      <c r="C106" s="436">
        <v>30</v>
      </c>
      <c r="D106" s="436"/>
      <c r="E106" s="436"/>
      <c r="F106" s="436"/>
      <c r="G106" s="436"/>
      <c r="H106" s="575"/>
      <c r="I106" s="202"/>
      <c r="J106" s="202"/>
      <c r="K106" s="202"/>
      <c r="L106" s="555"/>
      <c r="M106" s="446" t="e">
        <f>RANK(K106, K$77:$K$106)</f>
        <v>#N/A</v>
      </c>
      <c r="N106" s="567"/>
      <c r="O106" s="567"/>
      <c r="P106" s="436"/>
      <c r="Q106" s="436"/>
      <c r="R106" s="436"/>
      <c r="S106" s="436" t="e">
        <f t="shared" si="37"/>
        <v>#N/A</v>
      </c>
      <c r="T106" s="575"/>
      <c r="U106" s="436"/>
      <c r="V106" s="436"/>
      <c r="W106" s="436"/>
      <c r="X106" s="436" t="e">
        <f t="shared" si="25"/>
        <v>#N/A</v>
      </c>
      <c r="Y106" s="575"/>
      <c r="Z106" s="436"/>
      <c r="AA106" s="436"/>
      <c r="AB106" s="436"/>
      <c r="AC106" s="436" t="e">
        <f t="shared" si="27"/>
        <v>#N/A</v>
      </c>
      <c r="AD106" s="575"/>
      <c r="AE106" s="436"/>
      <c r="AF106" s="436"/>
      <c r="AG106" s="436"/>
      <c r="AH106" s="436" t="e">
        <f t="shared" si="29"/>
        <v>#N/A</v>
      </c>
      <c r="AI106" s="575"/>
      <c r="AJ106" s="436"/>
      <c r="AK106" s="436"/>
      <c r="AL106" s="436"/>
      <c r="AM106" s="436" t="e">
        <f t="shared" si="31"/>
        <v>#N/A</v>
      </c>
      <c r="AN106" s="575"/>
      <c r="AO106" s="436"/>
      <c r="AP106" s="436"/>
      <c r="AQ106" s="436"/>
      <c r="AR106" s="436" t="e">
        <f t="shared" si="33"/>
        <v>#N/A</v>
      </c>
      <c r="AS106" s="575"/>
      <c r="AT106" s="436"/>
      <c r="AU106" s="436"/>
      <c r="AV106" s="436"/>
      <c r="AW106" s="436" t="e">
        <f t="shared" si="35"/>
        <v>#N/A</v>
      </c>
      <c r="AX106" s="575"/>
    </row>
    <row r="107" spans="2:50" ht="15.75">
      <c r="B107" s="576" t="s">
        <v>731</v>
      </c>
      <c r="C107" s="577"/>
      <c r="D107" s="577"/>
      <c r="E107" s="577"/>
      <c r="F107" s="577"/>
      <c r="G107" s="577"/>
      <c r="H107" s="578"/>
      <c r="I107" s="208"/>
      <c r="J107" s="208"/>
      <c r="K107" s="208"/>
      <c r="L107" s="208"/>
      <c r="M107" s="207"/>
      <c r="N107" s="565" t="s">
        <v>732</v>
      </c>
      <c r="O107" s="565" t="s">
        <v>733</v>
      </c>
      <c r="P107" s="571">
        <f>P72+7</f>
        <v>21</v>
      </c>
      <c r="Q107" s="572"/>
      <c r="R107" s="572"/>
      <c r="S107" s="572"/>
      <c r="T107" s="572"/>
      <c r="U107" s="568">
        <f>P107+1</f>
        <v>22</v>
      </c>
      <c r="V107" s="569"/>
      <c r="W107" s="569"/>
      <c r="X107" s="569"/>
      <c r="Y107" s="570"/>
      <c r="Z107" s="568">
        <f>U107+1</f>
        <v>23</v>
      </c>
      <c r="AA107" s="569"/>
      <c r="AB107" s="569"/>
      <c r="AC107" s="569"/>
      <c r="AD107" s="570"/>
      <c r="AE107" s="568">
        <f>Z107+1</f>
        <v>24</v>
      </c>
      <c r="AF107" s="569"/>
      <c r="AG107" s="569"/>
      <c r="AH107" s="569"/>
      <c r="AI107" s="570"/>
      <c r="AJ107" s="568">
        <f>AE107+1</f>
        <v>25</v>
      </c>
      <c r="AK107" s="569"/>
      <c r="AL107" s="569"/>
      <c r="AM107" s="569"/>
      <c r="AN107" s="570"/>
      <c r="AO107" s="568">
        <f>AJ107+1</f>
        <v>26</v>
      </c>
      <c r="AP107" s="569"/>
      <c r="AQ107" s="569"/>
      <c r="AR107" s="569"/>
      <c r="AS107" s="570"/>
      <c r="AT107" s="568">
        <f>AO107+1</f>
        <v>27</v>
      </c>
      <c r="AU107" s="569"/>
      <c r="AV107" s="569"/>
      <c r="AW107" s="569"/>
      <c r="AX107" s="570"/>
    </row>
    <row r="108" spans="2:50" ht="15.75">
      <c r="B108" s="579"/>
      <c r="C108" s="579"/>
      <c r="D108" s="579"/>
      <c r="E108" s="579"/>
      <c r="F108" s="579"/>
      <c r="G108" s="579"/>
      <c r="H108" s="579"/>
      <c r="I108" s="205"/>
      <c r="J108" s="205"/>
      <c r="K108" s="205"/>
      <c r="L108" s="205"/>
      <c r="M108" s="206"/>
      <c r="N108" s="567"/>
      <c r="O108" s="567"/>
      <c r="P108" s="571" t="s">
        <v>764</v>
      </c>
      <c r="Q108" s="572"/>
      <c r="R108" s="572"/>
      <c r="S108" s="572"/>
      <c r="T108" s="572"/>
      <c r="U108" s="571" t="s">
        <v>765</v>
      </c>
      <c r="V108" s="572"/>
      <c r="W108" s="572"/>
      <c r="X108" s="572"/>
      <c r="Y108" s="572"/>
      <c r="Z108" s="571" t="s">
        <v>766</v>
      </c>
      <c r="AA108" s="572"/>
      <c r="AB108" s="572"/>
      <c r="AC108" s="572"/>
      <c r="AD108" s="572"/>
      <c r="AE108" s="571" t="s">
        <v>767</v>
      </c>
      <c r="AF108" s="572"/>
      <c r="AG108" s="572"/>
      <c r="AH108" s="572"/>
      <c r="AI108" s="572"/>
      <c r="AJ108" s="571" t="s">
        <v>768</v>
      </c>
      <c r="AK108" s="572"/>
      <c r="AL108" s="572"/>
      <c r="AM108" s="572"/>
      <c r="AN108" s="572"/>
      <c r="AO108" s="571" t="s">
        <v>769</v>
      </c>
      <c r="AP108" s="572"/>
      <c r="AQ108" s="572"/>
      <c r="AR108" s="572"/>
      <c r="AS108" s="572"/>
      <c r="AT108" s="571" t="s">
        <v>770</v>
      </c>
      <c r="AU108" s="572"/>
      <c r="AV108" s="572"/>
      <c r="AW108" s="572"/>
      <c r="AX108" s="572"/>
    </row>
    <row r="109" spans="2:50">
      <c r="B109" s="559" t="s">
        <v>771</v>
      </c>
      <c r="C109" s="559" t="s">
        <v>772</v>
      </c>
      <c r="D109" s="559"/>
      <c r="E109" s="559" t="s">
        <v>773</v>
      </c>
      <c r="F109" s="559"/>
      <c r="G109" s="559"/>
      <c r="H109" s="560" t="s">
        <v>760</v>
      </c>
      <c r="I109" s="543" t="s">
        <v>774</v>
      </c>
      <c r="J109" s="543"/>
      <c r="K109" s="543"/>
      <c r="L109" s="544" t="s">
        <v>760</v>
      </c>
      <c r="M109" s="550" t="s">
        <v>775</v>
      </c>
      <c r="N109" s="559"/>
      <c r="O109" s="559" t="s">
        <v>776</v>
      </c>
      <c r="P109" s="556" t="s">
        <v>758</v>
      </c>
      <c r="Q109" s="557"/>
      <c r="R109" s="557"/>
      <c r="S109" s="558"/>
      <c r="T109" s="559" t="s">
        <v>760</v>
      </c>
      <c r="U109" s="556" t="s">
        <v>758</v>
      </c>
      <c r="V109" s="557"/>
      <c r="W109" s="557"/>
      <c r="X109" s="558"/>
      <c r="Y109" s="559" t="s">
        <v>760</v>
      </c>
      <c r="Z109" s="556" t="s">
        <v>758</v>
      </c>
      <c r="AA109" s="557"/>
      <c r="AB109" s="557"/>
      <c r="AC109" s="558"/>
      <c r="AD109" s="559" t="s">
        <v>760</v>
      </c>
      <c r="AE109" s="556" t="s">
        <v>758</v>
      </c>
      <c r="AF109" s="557"/>
      <c r="AG109" s="557"/>
      <c r="AH109" s="558"/>
      <c r="AI109" s="559" t="s">
        <v>760</v>
      </c>
      <c r="AJ109" s="556" t="s">
        <v>758</v>
      </c>
      <c r="AK109" s="557"/>
      <c r="AL109" s="557"/>
      <c r="AM109" s="558"/>
      <c r="AN109" s="559" t="s">
        <v>760</v>
      </c>
      <c r="AO109" s="556" t="s">
        <v>758</v>
      </c>
      <c r="AP109" s="557"/>
      <c r="AQ109" s="557"/>
      <c r="AR109" s="558"/>
      <c r="AS109" s="559" t="s">
        <v>760</v>
      </c>
      <c r="AT109" s="556" t="s">
        <v>758</v>
      </c>
      <c r="AU109" s="557"/>
      <c r="AV109" s="557"/>
      <c r="AW109" s="558"/>
      <c r="AX109" s="559" t="s">
        <v>760</v>
      </c>
    </row>
    <row r="110" spans="2:50">
      <c r="B110" s="559"/>
      <c r="C110" s="559"/>
      <c r="D110" s="559"/>
      <c r="E110" s="559" t="s">
        <v>777</v>
      </c>
      <c r="F110" s="559"/>
      <c r="G110" s="559"/>
      <c r="H110" s="561"/>
      <c r="I110" s="543" t="s">
        <v>777</v>
      </c>
      <c r="J110" s="543"/>
      <c r="K110" s="543"/>
      <c r="L110" s="545"/>
      <c r="M110" s="551"/>
      <c r="N110" s="559"/>
      <c r="O110" s="559"/>
      <c r="P110" s="556" t="s">
        <v>778</v>
      </c>
      <c r="Q110" s="557"/>
      <c r="R110" s="557"/>
      <c r="S110" s="558"/>
      <c r="T110" s="559"/>
      <c r="U110" s="556" t="s">
        <v>778</v>
      </c>
      <c r="V110" s="557"/>
      <c r="W110" s="557"/>
      <c r="X110" s="558"/>
      <c r="Y110" s="559"/>
      <c r="Z110" s="556" t="s">
        <v>778</v>
      </c>
      <c r="AA110" s="557"/>
      <c r="AB110" s="557"/>
      <c r="AC110" s="558"/>
      <c r="AD110" s="559"/>
      <c r="AE110" s="556" t="s">
        <v>778</v>
      </c>
      <c r="AF110" s="557"/>
      <c r="AG110" s="557"/>
      <c r="AH110" s="558"/>
      <c r="AI110" s="559"/>
      <c r="AJ110" s="556" t="s">
        <v>778</v>
      </c>
      <c r="AK110" s="557"/>
      <c r="AL110" s="557"/>
      <c r="AM110" s="558"/>
      <c r="AN110" s="559"/>
      <c r="AO110" s="556" t="s">
        <v>778</v>
      </c>
      <c r="AP110" s="557"/>
      <c r="AQ110" s="557"/>
      <c r="AR110" s="558"/>
      <c r="AS110" s="559"/>
      <c r="AT110" s="556" t="s">
        <v>778</v>
      </c>
      <c r="AU110" s="557"/>
      <c r="AV110" s="557"/>
      <c r="AW110" s="558"/>
      <c r="AX110" s="559"/>
    </row>
    <row r="111" spans="2:50">
      <c r="B111" s="559"/>
      <c r="C111" s="559"/>
      <c r="D111" s="559"/>
      <c r="E111" s="440" t="s">
        <v>779</v>
      </c>
      <c r="F111" s="440" t="s">
        <v>780</v>
      </c>
      <c r="G111" s="440" t="s">
        <v>781</v>
      </c>
      <c r="H111" s="562"/>
      <c r="I111" s="444" t="s">
        <v>779</v>
      </c>
      <c r="J111" s="444" t="s">
        <v>780</v>
      </c>
      <c r="K111" s="444" t="s">
        <v>781</v>
      </c>
      <c r="L111" s="546"/>
      <c r="M111" s="552"/>
      <c r="N111" s="559"/>
      <c r="O111" s="559"/>
      <c r="P111" s="440" t="s">
        <v>779</v>
      </c>
      <c r="Q111" s="440" t="s">
        <v>780</v>
      </c>
      <c r="R111" s="440" t="s">
        <v>781</v>
      </c>
      <c r="S111" s="440" t="s">
        <v>775</v>
      </c>
      <c r="T111" s="559"/>
      <c r="U111" s="440" t="s">
        <v>779</v>
      </c>
      <c r="V111" s="440" t="s">
        <v>780</v>
      </c>
      <c r="W111" s="440" t="s">
        <v>781</v>
      </c>
      <c r="X111" s="440" t="s">
        <v>775</v>
      </c>
      <c r="Y111" s="559"/>
      <c r="Z111" s="440" t="s">
        <v>779</v>
      </c>
      <c r="AA111" s="440" t="s">
        <v>780</v>
      </c>
      <c r="AB111" s="440" t="s">
        <v>781</v>
      </c>
      <c r="AC111" s="440" t="s">
        <v>775</v>
      </c>
      <c r="AD111" s="559"/>
      <c r="AE111" s="440" t="s">
        <v>779</v>
      </c>
      <c r="AF111" s="440" t="s">
        <v>780</v>
      </c>
      <c r="AG111" s="440" t="s">
        <v>781</v>
      </c>
      <c r="AH111" s="440" t="s">
        <v>775</v>
      </c>
      <c r="AI111" s="559"/>
      <c r="AJ111" s="440" t="s">
        <v>779</v>
      </c>
      <c r="AK111" s="440" t="s">
        <v>780</v>
      </c>
      <c r="AL111" s="440" t="s">
        <v>781</v>
      </c>
      <c r="AM111" s="440" t="s">
        <v>775</v>
      </c>
      <c r="AN111" s="559"/>
      <c r="AO111" s="440" t="s">
        <v>779</v>
      </c>
      <c r="AP111" s="440" t="s">
        <v>780</v>
      </c>
      <c r="AQ111" s="440" t="s">
        <v>781</v>
      </c>
      <c r="AR111" s="440" t="s">
        <v>775</v>
      </c>
      <c r="AS111" s="559"/>
      <c r="AT111" s="440" t="s">
        <v>779</v>
      </c>
      <c r="AU111" s="440" t="s">
        <v>780</v>
      </c>
      <c r="AV111" s="440" t="s">
        <v>781</v>
      </c>
      <c r="AW111" s="440" t="s">
        <v>775</v>
      </c>
      <c r="AX111" s="559"/>
    </row>
    <row r="112" spans="2:50">
      <c r="B112" s="572" t="s">
        <v>150</v>
      </c>
      <c r="C112" s="436">
        <v>1</v>
      </c>
      <c r="D112" s="436" t="s">
        <v>356</v>
      </c>
      <c r="E112" s="436">
        <v>4</v>
      </c>
      <c r="F112" s="436">
        <v>2200</v>
      </c>
      <c r="G112" s="436">
        <v>550</v>
      </c>
      <c r="H112" s="573">
        <f>AVERAGE(G112:G141)</f>
        <v>839.2361111111112</v>
      </c>
      <c r="I112" s="446">
        <f>AVERAGE(P112,U112,Z112,AE112,AJ112,AO112,AT112)</f>
        <v>3</v>
      </c>
      <c r="J112" s="446">
        <f>AVERAGE(Q112,V112,AA112,AF112,AK112,AP112,AU112)</f>
        <v>3206.8302128839891</v>
      </c>
      <c r="K112" s="438">
        <f>AVERAGE(R112,W112,AB112,AG112,AL112,AQ112,AV112)</f>
        <v>1068.943404294663</v>
      </c>
      <c r="L112" s="540">
        <f>IFERROR(AVERAGE(K112:K141),"-")</f>
        <v>781.25061205900738</v>
      </c>
      <c r="M112" s="446">
        <f>RANK(K112, K$112:$K$141)</f>
        <v>3</v>
      </c>
      <c r="N112" s="559"/>
      <c r="O112" s="559"/>
      <c r="P112" s="182">
        <v>3</v>
      </c>
      <c r="Q112" s="182">
        <v>3278.181818181818</v>
      </c>
      <c r="R112" s="182">
        <v>1092.7272727272727</v>
      </c>
      <c r="S112" s="436">
        <f>RANK(R112, R$112:R$141)</f>
        <v>1</v>
      </c>
      <c r="T112" s="573">
        <f>AVERAGE(R112:R141)</f>
        <v>798.25923677171647</v>
      </c>
      <c r="U112" s="182">
        <v>3</v>
      </c>
      <c r="V112" s="182">
        <v>3118.6666666666665</v>
      </c>
      <c r="W112" s="182">
        <v>1039.5555555555554</v>
      </c>
      <c r="X112" s="436">
        <f t="shared" ref="X112:X141" si="39">RANK(W112, W$112:W$141)</f>
        <v>4</v>
      </c>
      <c r="Y112" s="573">
        <f t="shared" ref="Y112" si="40">AVERAGE(W112:W141)</f>
        <v>764.4729447179335</v>
      </c>
      <c r="Z112" s="182">
        <v>3</v>
      </c>
      <c r="AA112" s="182">
        <v>3175.500000000005</v>
      </c>
      <c r="AB112" s="182">
        <v>1058.5000000000016</v>
      </c>
      <c r="AC112" s="436">
        <f t="shared" ref="AC112:AC141" si="41">RANK(AB112, AB$112:AB$141)</f>
        <v>2</v>
      </c>
      <c r="AD112" s="573">
        <f t="shared" ref="AD112" si="42">AVERAGE(AB112:AB141)</f>
        <v>776.00730488019769</v>
      </c>
      <c r="AE112" s="182">
        <v>3</v>
      </c>
      <c r="AF112" s="182">
        <v>3271.5789473684222</v>
      </c>
      <c r="AG112" s="182">
        <v>1090.526315789474</v>
      </c>
      <c r="AH112" s="436">
        <f t="shared" ref="AH112:AH141" si="43">RANK(AG112, AG$112:AG$141)</f>
        <v>4</v>
      </c>
      <c r="AI112" s="573">
        <f t="shared" ref="AI112" si="44">AVERAGE(AG112:AG141)</f>
        <v>801.88508659778176</v>
      </c>
      <c r="AJ112" s="182">
        <v>3</v>
      </c>
      <c r="AK112" s="182">
        <v>3238.6666666666665</v>
      </c>
      <c r="AL112" s="182">
        <v>1079.5555555555554</v>
      </c>
      <c r="AM112" s="436">
        <f t="shared" ref="AM112:AM141" si="45">RANK(AL112, AL$112:AL$141)</f>
        <v>3</v>
      </c>
      <c r="AN112" s="573">
        <f t="shared" ref="AN112" si="46">AVERAGE(AL112:AL141)</f>
        <v>790.41636835754912</v>
      </c>
      <c r="AO112" s="182">
        <v>3</v>
      </c>
      <c r="AP112" s="182">
        <v>3182.608695652174</v>
      </c>
      <c r="AQ112" s="182">
        <v>1060.8695652173913</v>
      </c>
      <c r="AR112" s="436">
        <f t="shared" ref="AR112:AR141" si="47">RANK(AQ112, AQ$112:AQ$141)</f>
        <v>1</v>
      </c>
      <c r="AS112" s="573">
        <f t="shared" ref="AS112" si="48">AVERAGE(AQ112:AQ141)</f>
        <v>771.50653942302097</v>
      </c>
      <c r="AT112" s="182">
        <v>3</v>
      </c>
      <c r="AU112" s="182">
        <v>3182.608695652174</v>
      </c>
      <c r="AV112" s="182">
        <v>1060.8695652173913</v>
      </c>
      <c r="AW112" s="436">
        <f t="shared" ref="AW112:AW141" si="49">RANK(AV112, AV$112:AV$141)</f>
        <v>1</v>
      </c>
      <c r="AX112" s="573">
        <f t="shared" ref="AX112" si="50">AVERAGE(AV112:AV141)</f>
        <v>771.50653942302097</v>
      </c>
    </row>
    <row r="113" spans="2:50">
      <c r="B113" s="572"/>
      <c r="C113" s="436">
        <v>2</v>
      </c>
      <c r="D113" s="436" t="s">
        <v>357</v>
      </c>
      <c r="E113" s="436">
        <v>3</v>
      </c>
      <c r="F113" s="436">
        <v>2700</v>
      </c>
      <c r="G113" s="436">
        <v>900</v>
      </c>
      <c r="H113" s="574"/>
      <c r="I113" s="446">
        <f t="shared" ref="I113:K130" si="51">AVERAGE(P113,U113,Z113,AE113,AJ113,AO113,AT113)</f>
        <v>3</v>
      </c>
      <c r="J113" s="446">
        <f t="shared" si="51"/>
        <v>3265.0408163265301</v>
      </c>
      <c r="K113" s="438">
        <f t="shared" si="51"/>
        <v>1088.3469387755099</v>
      </c>
      <c r="L113" s="541"/>
      <c r="M113" s="446">
        <f>RANK(K113, K$112:$K$141)</f>
        <v>1</v>
      </c>
      <c r="N113" s="559"/>
      <c r="O113" s="559"/>
      <c r="P113" s="182">
        <v>3</v>
      </c>
      <c r="Q113" s="182">
        <v>3267.9999999999941</v>
      </c>
      <c r="R113" s="182">
        <v>1089.3333333333314</v>
      </c>
      <c r="S113" s="436">
        <f t="shared" ref="S113:S141" si="52">RANK(R113, R$112:R$141)</f>
        <v>2</v>
      </c>
      <c r="T113" s="574"/>
      <c r="U113" s="182">
        <v>3</v>
      </c>
      <c r="V113" s="182">
        <v>3243.9999999999941</v>
      </c>
      <c r="W113" s="182">
        <v>1081.3333333333314</v>
      </c>
      <c r="X113" s="436">
        <f t="shared" si="39"/>
        <v>2</v>
      </c>
      <c r="Y113" s="574"/>
      <c r="Z113" s="182">
        <v>3</v>
      </c>
      <c r="AA113" s="182">
        <v>3144.99999999999</v>
      </c>
      <c r="AB113" s="182">
        <v>1048.3333333333301</v>
      </c>
      <c r="AC113" s="436">
        <f t="shared" si="41"/>
        <v>3</v>
      </c>
      <c r="AD113" s="574"/>
      <c r="AE113" s="182">
        <v>3</v>
      </c>
      <c r="AF113" s="182">
        <v>3443.9999999999845</v>
      </c>
      <c r="AG113" s="182">
        <v>1147.9999999999948</v>
      </c>
      <c r="AH113" s="436">
        <f t="shared" si="43"/>
        <v>1</v>
      </c>
      <c r="AI113" s="574"/>
      <c r="AJ113" s="182">
        <v>3</v>
      </c>
      <c r="AK113" s="182">
        <v>3424.2857142857265</v>
      </c>
      <c r="AL113" s="182">
        <v>1141.4285714285754</v>
      </c>
      <c r="AM113" s="436">
        <f t="shared" si="45"/>
        <v>1</v>
      </c>
      <c r="AN113" s="574"/>
      <c r="AO113" s="182">
        <v>3</v>
      </c>
      <c r="AP113" s="182">
        <v>3165.0000000000109</v>
      </c>
      <c r="AQ113" s="182">
        <v>1055.0000000000036</v>
      </c>
      <c r="AR113" s="436">
        <f t="shared" si="47"/>
        <v>3</v>
      </c>
      <c r="AS113" s="574"/>
      <c r="AT113" s="182">
        <v>3</v>
      </c>
      <c r="AU113" s="182">
        <v>3165.0000000000109</v>
      </c>
      <c r="AV113" s="182">
        <v>1055.0000000000036</v>
      </c>
      <c r="AW113" s="436">
        <f t="shared" si="49"/>
        <v>3</v>
      </c>
      <c r="AX113" s="574"/>
    </row>
    <row r="114" spans="2:50">
      <c r="B114" s="572"/>
      <c r="C114" s="436">
        <v>3</v>
      </c>
      <c r="D114" s="436" t="s">
        <v>343</v>
      </c>
      <c r="E114" s="436">
        <v>4</v>
      </c>
      <c r="F114" s="436">
        <v>3600</v>
      </c>
      <c r="G114" s="436">
        <v>900</v>
      </c>
      <c r="H114" s="574"/>
      <c r="I114" s="446">
        <f t="shared" si="51"/>
        <v>4</v>
      </c>
      <c r="J114" s="446">
        <f t="shared" si="51"/>
        <v>3153.467356173237</v>
      </c>
      <c r="K114" s="438">
        <f t="shared" si="51"/>
        <v>788.36683904330926</v>
      </c>
      <c r="L114" s="541"/>
      <c r="M114" s="446">
        <f>RANK(K114, K$112:$K$141)</f>
        <v>11</v>
      </c>
      <c r="N114" s="559"/>
      <c r="O114" s="559"/>
      <c r="P114" s="182">
        <v>4</v>
      </c>
      <c r="Q114" s="182">
        <v>3180.0000000000045</v>
      </c>
      <c r="R114" s="182">
        <v>795.00000000000114</v>
      </c>
      <c r="S114" s="436">
        <f t="shared" si="52"/>
        <v>12</v>
      </c>
      <c r="T114" s="574"/>
      <c r="U114" s="182">
        <v>4</v>
      </c>
      <c r="V114" s="182">
        <v>2934.0000000000045</v>
      </c>
      <c r="W114" s="182">
        <v>733.50000000000114</v>
      </c>
      <c r="X114" s="436">
        <f t="shared" si="39"/>
        <v>11</v>
      </c>
      <c r="Y114" s="574"/>
      <c r="Z114" s="182">
        <v>4</v>
      </c>
      <c r="AA114" s="182">
        <v>3179.9999999999945</v>
      </c>
      <c r="AB114" s="182">
        <v>794.99999999999864</v>
      </c>
      <c r="AC114" s="436">
        <f t="shared" si="41"/>
        <v>10</v>
      </c>
      <c r="AD114" s="574"/>
      <c r="AE114" s="182">
        <v>4</v>
      </c>
      <c r="AF114" s="182">
        <v>3286.1538461538375</v>
      </c>
      <c r="AG114" s="182">
        <v>821.53846153845939</v>
      </c>
      <c r="AH114" s="436">
        <f t="shared" si="43"/>
        <v>10</v>
      </c>
      <c r="AI114" s="574"/>
      <c r="AJ114" s="182">
        <v>4</v>
      </c>
      <c r="AK114" s="182">
        <v>3314.1176470588116</v>
      </c>
      <c r="AL114" s="182">
        <v>828.5294117647029</v>
      </c>
      <c r="AM114" s="436">
        <f t="shared" si="45"/>
        <v>10</v>
      </c>
      <c r="AN114" s="574"/>
      <c r="AO114" s="182">
        <v>4</v>
      </c>
      <c r="AP114" s="182">
        <v>3090.0000000000041</v>
      </c>
      <c r="AQ114" s="182">
        <v>772.50000000000102</v>
      </c>
      <c r="AR114" s="436">
        <f t="shared" si="47"/>
        <v>11</v>
      </c>
      <c r="AS114" s="574"/>
      <c r="AT114" s="182">
        <v>4</v>
      </c>
      <c r="AU114" s="182">
        <v>3090.0000000000041</v>
      </c>
      <c r="AV114" s="182">
        <v>772.50000000000102</v>
      </c>
      <c r="AW114" s="436">
        <f t="shared" si="49"/>
        <v>11</v>
      </c>
      <c r="AX114" s="574"/>
    </row>
    <row r="115" spans="2:50">
      <c r="B115" s="572"/>
      <c r="C115" s="436">
        <v>4</v>
      </c>
      <c r="D115" s="436" t="s">
        <v>359</v>
      </c>
      <c r="E115" s="436">
        <v>3</v>
      </c>
      <c r="F115" s="436">
        <v>3600</v>
      </c>
      <c r="G115" s="436">
        <v>1200</v>
      </c>
      <c r="H115" s="574"/>
      <c r="I115" s="446">
        <f t="shared" si="51"/>
        <v>3</v>
      </c>
      <c r="J115" s="446">
        <f t="shared" si="51"/>
        <v>3234.9039349015752</v>
      </c>
      <c r="K115" s="438">
        <f t="shared" si="51"/>
        <v>1078.3013116338584</v>
      </c>
      <c r="L115" s="541"/>
      <c r="M115" s="446">
        <f>RANK(K115, K$112:$K$141)</f>
        <v>2</v>
      </c>
      <c r="N115" s="559"/>
      <c r="O115" s="559"/>
      <c r="P115" s="182">
        <v>3</v>
      </c>
      <c r="Q115" s="182">
        <v>3253.333333333328</v>
      </c>
      <c r="R115" s="182">
        <v>1084.4444444444428</v>
      </c>
      <c r="S115" s="436">
        <f t="shared" si="52"/>
        <v>3</v>
      </c>
      <c r="T115" s="574"/>
      <c r="U115" s="182">
        <v>3</v>
      </c>
      <c r="V115" s="182">
        <v>3239.9999999999982</v>
      </c>
      <c r="W115" s="182">
        <v>1079.9999999999993</v>
      </c>
      <c r="X115" s="436">
        <f t="shared" si="39"/>
        <v>3</v>
      </c>
      <c r="Y115" s="574"/>
      <c r="Z115" s="182">
        <v>3</v>
      </c>
      <c r="AA115" s="182">
        <v>3238.9090909090883</v>
      </c>
      <c r="AB115" s="182">
        <v>1079.6363636363628</v>
      </c>
      <c r="AC115" s="436">
        <f t="shared" si="41"/>
        <v>1</v>
      </c>
      <c r="AD115" s="574"/>
      <c r="AE115" s="182">
        <v>3</v>
      </c>
      <c r="AF115" s="182">
        <v>3304.5283018867945</v>
      </c>
      <c r="AG115" s="182">
        <v>1101.5094339622649</v>
      </c>
      <c r="AH115" s="436">
        <f t="shared" si="43"/>
        <v>3</v>
      </c>
      <c r="AI115" s="574"/>
      <c r="AJ115" s="182">
        <v>3</v>
      </c>
      <c r="AK115" s="182">
        <v>3249.3749999999991</v>
      </c>
      <c r="AL115" s="182">
        <v>1083.1249999999998</v>
      </c>
      <c r="AM115" s="436">
        <f t="shared" si="45"/>
        <v>2</v>
      </c>
      <c r="AN115" s="574"/>
      <c r="AO115" s="182">
        <v>3</v>
      </c>
      <c r="AP115" s="182">
        <v>3179.090909090909</v>
      </c>
      <c r="AQ115" s="182">
        <v>1059.6969696969697</v>
      </c>
      <c r="AR115" s="436">
        <f t="shared" si="47"/>
        <v>2</v>
      </c>
      <c r="AS115" s="574"/>
      <c r="AT115" s="182">
        <v>3</v>
      </c>
      <c r="AU115" s="182">
        <v>3179.090909090909</v>
      </c>
      <c r="AV115" s="182">
        <v>1059.6969696969697</v>
      </c>
      <c r="AW115" s="436">
        <f t="shared" si="49"/>
        <v>2</v>
      </c>
      <c r="AX115" s="574"/>
    </row>
    <row r="116" spans="2:50">
      <c r="B116" s="572"/>
      <c r="C116" s="436">
        <v>5</v>
      </c>
      <c r="D116" s="436" t="s">
        <v>360</v>
      </c>
      <c r="E116" s="436">
        <v>3</v>
      </c>
      <c r="F116" s="436">
        <v>3600</v>
      </c>
      <c r="G116" s="436">
        <v>1200</v>
      </c>
      <c r="H116" s="574"/>
      <c r="I116" s="446">
        <f t="shared" si="51"/>
        <v>4</v>
      </c>
      <c r="J116" s="446">
        <f t="shared" si="51"/>
        <v>3216.4077097505674</v>
      </c>
      <c r="K116" s="438">
        <f t="shared" si="51"/>
        <v>804.10192743764185</v>
      </c>
      <c r="L116" s="541"/>
      <c r="M116" s="446">
        <f>RANK(K116, K$112:$K$141)</f>
        <v>10</v>
      </c>
      <c r="N116" s="559"/>
      <c r="O116" s="559"/>
      <c r="P116" s="182">
        <v>4</v>
      </c>
      <c r="Q116" s="182">
        <v>3268.8888888888905</v>
      </c>
      <c r="R116" s="182">
        <v>817.22222222222263</v>
      </c>
      <c r="S116" s="436">
        <f t="shared" si="52"/>
        <v>11</v>
      </c>
      <c r="T116" s="574"/>
      <c r="U116" s="182">
        <v>4</v>
      </c>
      <c r="V116" s="182">
        <v>3381.6000000000008</v>
      </c>
      <c r="W116" s="182">
        <v>845.4000000000002</v>
      </c>
      <c r="X116" s="436">
        <f t="shared" si="39"/>
        <v>9</v>
      </c>
      <c r="Y116" s="574"/>
      <c r="Z116" s="182">
        <v>4</v>
      </c>
      <c r="AA116" s="182">
        <v>3065.0000000000009</v>
      </c>
      <c r="AB116" s="182">
        <v>766.25000000000023</v>
      </c>
      <c r="AC116" s="436">
        <f t="shared" si="41"/>
        <v>12</v>
      </c>
      <c r="AD116" s="574"/>
      <c r="AE116" s="182">
        <v>4</v>
      </c>
      <c r="AF116" s="182">
        <v>3262.8571428571481</v>
      </c>
      <c r="AG116" s="182">
        <v>815.71428571428703</v>
      </c>
      <c r="AH116" s="436">
        <f t="shared" si="43"/>
        <v>11</v>
      </c>
      <c r="AI116" s="574"/>
      <c r="AJ116" s="182">
        <v>4</v>
      </c>
      <c r="AK116" s="182">
        <v>3262.222222222219</v>
      </c>
      <c r="AL116" s="182">
        <v>815.55555555555475</v>
      </c>
      <c r="AM116" s="436">
        <f t="shared" si="45"/>
        <v>11</v>
      </c>
      <c r="AN116" s="574"/>
      <c r="AO116" s="182">
        <v>4</v>
      </c>
      <c r="AP116" s="182">
        <v>3137.1428571428551</v>
      </c>
      <c r="AQ116" s="182">
        <v>784.28571428571377</v>
      </c>
      <c r="AR116" s="436">
        <f t="shared" si="47"/>
        <v>10</v>
      </c>
      <c r="AS116" s="574"/>
      <c r="AT116" s="182">
        <v>4</v>
      </c>
      <c r="AU116" s="182">
        <v>3137.1428571428551</v>
      </c>
      <c r="AV116" s="182">
        <v>784.28571428571377</v>
      </c>
      <c r="AW116" s="436">
        <f t="shared" si="49"/>
        <v>10</v>
      </c>
      <c r="AX116" s="574"/>
    </row>
    <row r="117" spans="2:50">
      <c r="B117" s="572"/>
      <c r="C117" s="436">
        <v>6</v>
      </c>
      <c r="D117" s="436" t="s">
        <v>358</v>
      </c>
      <c r="E117" s="436">
        <v>4</v>
      </c>
      <c r="F117" s="436">
        <v>3600</v>
      </c>
      <c r="G117" s="436">
        <v>900</v>
      </c>
      <c r="H117" s="574"/>
      <c r="I117" s="446">
        <f t="shared" si="51"/>
        <v>4</v>
      </c>
      <c r="J117" s="446">
        <f t="shared" si="51"/>
        <v>3299.9706959706996</v>
      </c>
      <c r="K117" s="438">
        <f t="shared" si="51"/>
        <v>824.9926739926749</v>
      </c>
      <c r="L117" s="541"/>
      <c r="M117" s="446">
        <f>RANK(K117, K$112:$K$141)</f>
        <v>9</v>
      </c>
      <c r="N117" s="559"/>
      <c r="O117" s="559"/>
      <c r="P117" s="182">
        <v>4</v>
      </c>
      <c r="Q117" s="182">
        <v>3428.5714285714312</v>
      </c>
      <c r="R117" s="182">
        <v>857.14285714285779</v>
      </c>
      <c r="S117" s="436">
        <f t="shared" si="52"/>
        <v>10</v>
      </c>
      <c r="T117" s="574"/>
      <c r="U117" s="182">
        <v>4</v>
      </c>
      <c r="V117" s="182">
        <v>2996.0000000000027</v>
      </c>
      <c r="W117" s="182">
        <v>749.00000000000068</v>
      </c>
      <c r="X117" s="436">
        <f t="shared" si="39"/>
        <v>10</v>
      </c>
      <c r="Y117" s="574"/>
      <c r="Z117" s="182">
        <v>4</v>
      </c>
      <c r="AA117" s="182">
        <v>3551.9999999999991</v>
      </c>
      <c r="AB117" s="182">
        <v>887.99999999999977</v>
      </c>
      <c r="AC117" s="436">
        <f t="shared" si="41"/>
        <v>8</v>
      </c>
      <c r="AD117" s="574"/>
      <c r="AE117" s="182">
        <v>4</v>
      </c>
      <c r="AF117" s="182">
        <v>3513.3333333333458</v>
      </c>
      <c r="AG117" s="182">
        <v>878.33333333333644</v>
      </c>
      <c r="AH117" s="436">
        <f t="shared" si="43"/>
        <v>8</v>
      </c>
      <c r="AI117" s="574"/>
      <c r="AJ117" s="182">
        <v>4</v>
      </c>
      <c r="AK117" s="182">
        <v>3318.4615384615399</v>
      </c>
      <c r="AL117" s="182">
        <v>829.61538461538498</v>
      </c>
      <c r="AM117" s="436">
        <f t="shared" si="45"/>
        <v>9</v>
      </c>
      <c r="AN117" s="574"/>
      <c r="AO117" s="182">
        <v>4</v>
      </c>
      <c r="AP117" s="182">
        <v>3145.7142857142881</v>
      </c>
      <c r="AQ117" s="182">
        <v>786.42857142857201</v>
      </c>
      <c r="AR117" s="436">
        <f t="shared" si="47"/>
        <v>9</v>
      </c>
      <c r="AS117" s="574"/>
      <c r="AT117" s="182">
        <v>4</v>
      </c>
      <c r="AU117" s="182">
        <v>3145.7142857142881</v>
      </c>
      <c r="AV117" s="182">
        <v>786.42857142857201</v>
      </c>
      <c r="AW117" s="436">
        <f t="shared" si="49"/>
        <v>9</v>
      </c>
      <c r="AX117" s="574"/>
    </row>
    <row r="118" spans="2:50">
      <c r="B118" s="572"/>
      <c r="C118" s="436">
        <v>7</v>
      </c>
      <c r="D118" s="436" t="s">
        <v>455</v>
      </c>
      <c r="E118" s="436">
        <v>4</v>
      </c>
      <c r="F118" s="436">
        <v>3600</v>
      </c>
      <c r="G118" s="436">
        <v>900</v>
      </c>
      <c r="H118" s="574"/>
      <c r="I118" s="446">
        <f t="shared" si="51"/>
        <v>4</v>
      </c>
      <c r="J118" s="446">
        <f t="shared" si="51"/>
        <v>3108.4999999999923</v>
      </c>
      <c r="K118" s="438">
        <f t="shared" si="51"/>
        <v>777.12499999999807</v>
      </c>
      <c r="L118" s="541"/>
      <c r="M118" s="446">
        <f>RANK(K118, K$112:$K$141)</f>
        <v>12</v>
      </c>
      <c r="N118" s="559"/>
      <c r="O118" s="559"/>
      <c r="P118" s="182">
        <v>4</v>
      </c>
      <c r="Q118" s="182">
        <v>3487.4999999999773</v>
      </c>
      <c r="R118" s="182">
        <v>871.87499999999432</v>
      </c>
      <c r="S118" s="436">
        <f t="shared" si="52"/>
        <v>9</v>
      </c>
      <c r="T118" s="574"/>
      <c r="U118" s="182">
        <v>4</v>
      </c>
      <c r="V118" s="182">
        <v>2717.9999999999877</v>
      </c>
      <c r="W118" s="182">
        <v>679.49999999999693</v>
      </c>
      <c r="X118" s="436">
        <f t="shared" si="39"/>
        <v>19</v>
      </c>
      <c r="Y118" s="574"/>
      <c r="Z118" s="182">
        <v>4</v>
      </c>
      <c r="AA118" s="182">
        <v>3120.0000000000109</v>
      </c>
      <c r="AB118" s="182">
        <v>780.00000000000273</v>
      </c>
      <c r="AC118" s="436">
        <f t="shared" si="41"/>
        <v>11</v>
      </c>
      <c r="AD118" s="574"/>
      <c r="AE118" s="182"/>
      <c r="AF118" s="182"/>
      <c r="AG118" s="182"/>
      <c r="AH118" s="436" t="e">
        <f t="shared" si="43"/>
        <v>#N/A</v>
      </c>
      <c r="AI118" s="574"/>
      <c r="AJ118" s="182"/>
      <c r="AK118" s="182"/>
      <c r="AL118" s="182"/>
      <c r="AM118" s="436" t="e">
        <f t="shared" si="45"/>
        <v>#N/A</v>
      </c>
      <c r="AN118" s="574"/>
      <c r="AO118" s="182"/>
      <c r="AP118" s="182"/>
      <c r="AQ118" s="182"/>
      <c r="AR118" s="436" t="e">
        <f t="shared" si="47"/>
        <v>#N/A</v>
      </c>
      <c r="AS118" s="574"/>
      <c r="AT118" s="182" t="s">
        <v>561</v>
      </c>
      <c r="AU118" s="182" t="s">
        <v>561</v>
      </c>
      <c r="AV118" s="182" t="s">
        <v>561</v>
      </c>
      <c r="AW118" s="436" t="e">
        <f t="shared" si="49"/>
        <v>#VALUE!</v>
      </c>
      <c r="AX118" s="574"/>
    </row>
    <row r="119" spans="2:50">
      <c r="B119" s="572"/>
      <c r="C119" s="436">
        <v>8</v>
      </c>
      <c r="D119" s="436" t="s">
        <v>361</v>
      </c>
      <c r="E119" s="436">
        <v>4</v>
      </c>
      <c r="F119" s="436">
        <v>3300</v>
      </c>
      <c r="G119" s="436">
        <v>825</v>
      </c>
      <c r="H119" s="574"/>
      <c r="I119" s="446">
        <f t="shared" si="51"/>
        <v>4</v>
      </c>
      <c r="J119" s="446">
        <f t="shared" si="51"/>
        <v>2824.6813186813197</v>
      </c>
      <c r="K119" s="438">
        <f t="shared" si="51"/>
        <v>706.17032967032992</v>
      </c>
      <c r="L119" s="541"/>
      <c r="M119" s="446">
        <f>RANK(K119, K$112:$K$141)</f>
        <v>15</v>
      </c>
      <c r="N119" s="559"/>
      <c r="O119" s="559"/>
      <c r="P119" s="182">
        <v>4</v>
      </c>
      <c r="Q119" s="182">
        <v>2867.1428571428592</v>
      </c>
      <c r="R119" s="182">
        <v>716.78571428571479</v>
      </c>
      <c r="S119" s="436">
        <f t="shared" si="52"/>
        <v>16</v>
      </c>
      <c r="T119" s="574"/>
      <c r="U119" s="182">
        <v>4</v>
      </c>
      <c r="V119" s="182">
        <v>2772.8571428571449</v>
      </c>
      <c r="W119" s="182">
        <v>693.21428571428623</v>
      </c>
      <c r="X119" s="436">
        <f t="shared" si="39"/>
        <v>17</v>
      </c>
      <c r="Y119" s="574"/>
      <c r="Z119" s="182">
        <v>4</v>
      </c>
      <c r="AA119" s="182">
        <v>2921.9999999999991</v>
      </c>
      <c r="AB119" s="182">
        <v>730.49999999999977</v>
      </c>
      <c r="AC119" s="436">
        <f t="shared" si="41"/>
        <v>14</v>
      </c>
      <c r="AD119" s="574"/>
      <c r="AE119" s="182">
        <v>4</v>
      </c>
      <c r="AF119" s="182">
        <v>2939.9999999999977</v>
      </c>
      <c r="AG119" s="182">
        <v>734.99999999999943</v>
      </c>
      <c r="AH119" s="436">
        <f t="shared" si="43"/>
        <v>14</v>
      </c>
      <c r="AI119" s="574"/>
      <c r="AJ119" s="182">
        <v>4</v>
      </c>
      <c r="AK119" s="182">
        <v>2824.6153846153861</v>
      </c>
      <c r="AL119" s="182">
        <v>706.15384615384653</v>
      </c>
      <c r="AM119" s="436">
        <f t="shared" si="45"/>
        <v>17</v>
      </c>
      <c r="AN119" s="574"/>
      <c r="AO119" s="182">
        <v>4</v>
      </c>
      <c r="AP119" s="182">
        <v>2723.0769230769247</v>
      </c>
      <c r="AQ119" s="182">
        <v>680.76923076923117</v>
      </c>
      <c r="AR119" s="436">
        <f t="shared" si="47"/>
        <v>17</v>
      </c>
      <c r="AS119" s="574"/>
      <c r="AT119" s="182">
        <v>4</v>
      </c>
      <c r="AU119" s="182">
        <v>2723.0769230769247</v>
      </c>
      <c r="AV119" s="182">
        <v>680.76923076923117</v>
      </c>
      <c r="AW119" s="436">
        <f t="shared" si="49"/>
        <v>17</v>
      </c>
      <c r="AX119" s="574"/>
    </row>
    <row r="120" spans="2:50">
      <c r="B120" s="572"/>
      <c r="C120" s="436">
        <v>9</v>
      </c>
      <c r="D120" s="436" t="s">
        <v>362</v>
      </c>
      <c r="E120" s="436">
        <v>3</v>
      </c>
      <c r="F120" s="436">
        <v>3300</v>
      </c>
      <c r="G120" s="436">
        <v>1100</v>
      </c>
      <c r="H120" s="574"/>
      <c r="I120" s="446">
        <f t="shared" si="51"/>
        <v>3</v>
      </c>
      <c r="J120" s="446">
        <f t="shared" si="51"/>
        <v>3139.0153846153844</v>
      </c>
      <c r="K120" s="438">
        <f t="shared" si="51"/>
        <v>1046.3384615384616</v>
      </c>
      <c r="L120" s="541"/>
      <c r="M120" s="446">
        <f>RANK(K120, K$112:$K$141)</f>
        <v>4</v>
      </c>
      <c r="N120" s="559"/>
      <c r="O120" s="559"/>
      <c r="P120" s="182">
        <v>3</v>
      </c>
      <c r="Q120" s="182">
        <v>3212.3076923076942</v>
      </c>
      <c r="R120" s="182">
        <v>1070.7692307692314</v>
      </c>
      <c r="S120" s="436">
        <f t="shared" si="52"/>
        <v>4</v>
      </c>
      <c r="T120" s="574"/>
      <c r="U120" s="182">
        <v>3</v>
      </c>
      <c r="V120" s="182">
        <v>3244.8000000000006</v>
      </c>
      <c r="W120" s="182">
        <v>1081.6000000000001</v>
      </c>
      <c r="X120" s="436">
        <f t="shared" si="39"/>
        <v>1</v>
      </c>
      <c r="Y120" s="574"/>
      <c r="Z120" s="182">
        <v>3</v>
      </c>
      <c r="AA120" s="182">
        <v>2798.3999999999919</v>
      </c>
      <c r="AB120" s="182">
        <v>932.79999999999734</v>
      </c>
      <c r="AC120" s="436">
        <f t="shared" si="41"/>
        <v>7</v>
      </c>
      <c r="AD120" s="574"/>
      <c r="AE120" s="182">
        <v>3</v>
      </c>
      <c r="AF120" s="182">
        <v>3311.9999999999991</v>
      </c>
      <c r="AG120" s="182">
        <v>1103.9999999999998</v>
      </c>
      <c r="AH120" s="436">
        <f t="shared" si="43"/>
        <v>2</v>
      </c>
      <c r="AI120" s="574"/>
      <c r="AJ120" s="182">
        <v>3</v>
      </c>
      <c r="AK120" s="182">
        <v>3225.6000000000008</v>
      </c>
      <c r="AL120" s="182">
        <v>1075.2000000000003</v>
      </c>
      <c r="AM120" s="436">
        <f t="shared" si="45"/>
        <v>4</v>
      </c>
      <c r="AN120" s="574"/>
      <c r="AO120" s="182">
        <v>3</v>
      </c>
      <c r="AP120" s="182">
        <v>3090.0000000000018</v>
      </c>
      <c r="AQ120" s="182">
        <v>1030.0000000000007</v>
      </c>
      <c r="AR120" s="436">
        <f t="shared" si="47"/>
        <v>4</v>
      </c>
      <c r="AS120" s="574"/>
      <c r="AT120" s="182">
        <v>3</v>
      </c>
      <c r="AU120" s="182">
        <v>3090.0000000000018</v>
      </c>
      <c r="AV120" s="182">
        <v>1030.0000000000007</v>
      </c>
      <c r="AW120" s="436">
        <f t="shared" si="49"/>
        <v>4</v>
      </c>
      <c r="AX120" s="574"/>
    </row>
    <row r="121" spans="2:50">
      <c r="B121" s="572"/>
      <c r="C121" s="436">
        <v>10</v>
      </c>
      <c r="D121" s="436" t="s">
        <v>363</v>
      </c>
      <c r="E121" s="436">
        <v>3</v>
      </c>
      <c r="F121" s="436">
        <v>3300</v>
      </c>
      <c r="G121" s="436">
        <v>1100</v>
      </c>
      <c r="H121" s="574"/>
      <c r="I121" s="446">
        <f t="shared" si="51"/>
        <v>3</v>
      </c>
      <c r="J121" s="446">
        <f t="shared" si="51"/>
        <v>2764.0660951951236</v>
      </c>
      <c r="K121" s="438">
        <f t="shared" si="51"/>
        <v>921.35536506504093</v>
      </c>
      <c r="L121" s="541"/>
      <c r="M121" s="446">
        <f>RANK(K121, K$112:$K$141)</f>
        <v>7</v>
      </c>
      <c r="N121" s="559"/>
      <c r="O121" s="559"/>
      <c r="P121" s="182">
        <v>3</v>
      </c>
      <c r="Q121" s="182">
        <v>2829.3749999999886</v>
      </c>
      <c r="R121" s="182">
        <v>943.12499999999625</v>
      </c>
      <c r="S121" s="436">
        <f t="shared" si="52"/>
        <v>5</v>
      </c>
      <c r="T121" s="574"/>
      <c r="U121" s="182">
        <v>3</v>
      </c>
      <c r="V121" s="182">
        <v>2735.6249999999964</v>
      </c>
      <c r="W121" s="182">
        <v>911.87499999999875</v>
      </c>
      <c r="X121" s="436">
        <f t="shared" si="39"/>
        <v>6</v>
      </c>
      <c r="Y121" s="574"/>
      <c r="Z121" s="182">
        <v>3</v>
      </c>
      <c r="AA121" s="182">
        <v>2629.9999999999955</v>
      </c>
      <c r="AB121" s="182">
        <v>876.66666666666515</v>
      </c>
      <c r="AC121" s="436">
        <f t="shared" si="41"/>
        <v>9</v>
      </c>
      <c r="AD121" s="574"/>
      <c r="AE121" s="182">
        <v>3</v>
      </c>
      <c r="AF121" s="182">
        <v>2856.9230769230694</v>
      </c>
      <c r="AG121" s="182">
        <v>952.30769230768976</v>
      </c>
      <c r="AH121" s="436">
        <f t="shared" si="43"/>
        <v>6</v>
      </c>
      <c r="AI121" s="574"/>
      <c r="AJ121" s="182">
        <v>3</v>
      </c>
      <c r="AK121" s="182">
        <v>2852.903225806454</v>
      </c>
      <c r="AL121" s="182">
        <v>950.9677419354847</v>
      </c>
      <c r="AM121" s="436">
        <f t="shared" si="45"/>
        <v>5</v>
      </c>
      <c r="AN121" s="574"/>
      <c r="AO121" s="182">
        <v>3</v>
      </c>
      <c r="AP121" s="182">
        <v>2721.8181818181783</v>
      </c>
      <c r="AQ121" s="182">
        <v>907.27272727272612</v>
      </c>
      <c r="AR121" s="436">
        <f t="shared" si="47"/>
        <v>7</v>
      </c>
      <c r="AS121" s="574"/>
      <c r="AT121" s="182">
        <v>3</v>
      </c>
      <c r="AU121" s="182">
        <v>2721.8181818181783</v>
      </c>
      <c r="AV121" s="182">
        <v>907.27272727272612</v>
      </c>
      <c r="AW121" s="436">
        <f t="shared" si="49"/>
        <v>7</v>
      </c>
      <c r="AX121" s="574"/>
    </row>
    <row r="122" spans="2:50">
      <c r="B122" s="572"/>
      <c r="C122" s="436">
        <v>11</v>
      </c>
      <c r="D122" s="436" t="s">
        <v>364</v>
      </c>
      <c r="E122" s="436">
        <v>4</v>
      </c>
      <c r="F122" s="436">
        <v>3300</v>
      </c>
      <c r="G122" s="436">
        <v>825</v>
      </c>
      <c r="H122" s="574"/>
      <c r="I122" s="446">
        <f t="shared" si="51"/>
        <v>4</v>
      </c>
      <c r="J122" s="446">
        <f t="shared" si="51"/>
        <v>2782.973862634753</v>
      </c>
      <c r="K122" s="438">
        <f t="shared" si="51"/>
        <v>695.74346565868825</v>
      </c>
      <c r="L122" s="541"/>
      <c r="M122" s="446">
        <f>RANK(K122, K$112:$K$141)</f>
        <v>19</v>
      </c>
      <c r="N122" s="559"/>
      <c r="O122" s="559"/>
      <c r="P122" s="182">
        <v>4</v>
      </c>
      <c r="Q122" s="182">
        <v>2803.7500000000009</v>
      </c>
      <c r="R122" s="182">
        <v>700.93750000000023</v>
      </c>
      <c r="S122" s="436">
        <f t="shared" si="52"/>
        <v>20</v>
      </c>
      <c r="T122" s="574"/>
      <c r="U122" s="182">
        <v>4</v>
      </c>
      <c r="V122" s="182">
        <v>2760.0000000000005</v>
      </c>
      <c r="W122" s="182">
        <v>690.00000000000011</v>
      </c>
      <c r="X122" s="436">
        <f t="shared" si="39"/>
        <v>18</v>
      </c>
      <c r="Y122" s="574"/>
      <c r="Z122" s="182">
        <v>4</v>
      </c>
      <c r="AA122" s="182">
        <v>2743.2558139534881</v>
      </c>
      <c r="AB122" s="182">
        <v>685.81395348837202</v>
      </c>
      <c r="AC122" s="436">
        <f t="shared" si="41"/>
        <v>18</v>
      </c>
      <c r="AD122" s="574"/>
      <c r="AE122" s="182">
        <v>4</v>
      </c>
      <c r="AF122" s="182">
        <v>2869.4999999999991</v>
      </c>
      <c r="AG122" s="182">
        <v>717.37499999999977</v>
      </c>
      <c r="AH122" s="436">
        <f t="shared" si="43"/>
        <v>17</v>
      </c>
      <c r="AI122" s="574"/>
      <c r="AJ122" s="182">
        <v>4</v>
      </c>
      <c r="AK122" s="182">
        <v>2811.2499999999959</v>
      </c>
      <c r="AL122" s="182">
        <v>702.81249999999898</v>
      </c>
      <c r="AM122" s="436">
        <f t="shared" si="45"/>
        <v>18</v>
      </c>
      <c r="AN122" s="574"/>
      <c r="AO122" s="182">
        <v>4</v>
      </c>
      <c r="AP122" s="182">
        <v>2746.5306122448942</v>
      </c>
      <c r="AQ122" s="182">
        <v>686.63265306122355</v>
      </c>
      <c r="AR122" s="436">
        <f t="shared" si="47"/>
        <v>16</v>
      </c>
      <c r="AS122" s="574"/>
      <c r="AT122" s="182">
        <v>4</v>
      </c>
      <c r="AU122" s="182">
        <v>2746.5306122448942</v>
      </c>
      <c r="AV122" s="182">
        <v>686.63265306122355</v>
      </c>
      <c r="AW122" s="436">
        <f t="shared" si="49"/>
        <v>16</v>
      </c>
      <c r="AX122" s="574"/>
    </row>
    <row r="123" spans="2:50">
      <c r="B123" s="572"/>
      <c r="C123" s="436">
        <v>12</v>
      </c>
      <c r="D123" s="436" t="s">
        <v>365</v>
      </c>
      <c r="E123" s="436">
        <v>4</v>
      </c>
      <c r="F123" s="436">
        <v>3300</v>
      </c>
      <c r="G123" s="436">
        <v>825</v>
      </c>
      <c r="H123" s="574"/>
      <c r="I123" s="446">
        <f t="shared" si="51"/>
        <v>4</v>
      </c>
      <c r="J123" s="446">
        <f t="shared" si="51"/>
        <v>2812.7163685987211</v>
      </c>
      <c r="K123" s="438">
        <f t="shared" si="51"/>
        <v>703.17909214968029</v>
      </c>
      <c r="L123" s="541"/>
      <c r="M123" s="446">
        <f>RANK(K123, K$112:$K$141)</f>
        <v>16</v>
      </c>
      <c r="N123" s="559"/>
      <c r="O123" s="559"/>
      <c r="P123" s="182">
        <v>4</v>
      </c>
      <c r="Q123" s="182">
        <v>2841.9230769230739</v>
      </c>
      <c r="R123" s="182">
        <v>710.48076923076849</v>
      </c>
      <c r="S123" s="436">
        <f t="shared" si="52"/>
        <v>18</v>
      </c>
      <c r="T123" s="574"/>
      <c r="U123" s="182">
        <v>4</v>
      </c>
      <c r="V123" s="182">
        <v>2777.6470588235261</v>
      </c>
      <c r="W123" s="182">
        <v>694.41176470588152</v>
      </c>
      <c r="X123" s="436">
        <f t="shared" si="39"/>
        <v>15</v>
      </c>
      <c r="Y123" s="574"/>
      <c r="Z123" s="182">
        <v>4</v>
      </c>
      <c r="AA123" s="182">
        <v>2885.3333333333358</v>
      </c>
      <c r="AB123" s="182">
        <v>721.33333333333394</v>
      </c>
      <c r="AC123" s="436">
        <f t="shared" si="41"/>
        <v>16</v>
      </c>
      <c r="AD123" s="574"/>
      <c r="AE123" s="182">
        <v>4</v>
      </c>
      <c r="AF123" s="182">
        <v>2814.6666666666692</v>
      </c>
      <c r="AG123" s="182">
        <v>703.66666666666731</v>
      </c>
      <c r="AH123" s="436">
        <f t="shared" si="43"/>
        <v>19</v>
      </c>
      <c r="AI123" s="574"/>
      <c r="AJ123" s="182">
        <v>4</v>
      </c>
      <c r="AK123" s="182">
        <v>2865.0000000000018</v>
      </c>
      <c r="AL123" s="182">
        <v>716.25000000000045</v>
      </c>
      <c r="AM123" s="436">
        <f t="shared" si="45"/>
        <v>15</v>
      </c>
      <c r="AN123" s="574"/>
      <c r="AO123" s="182">
        <v>4</v>
      </c>
      <c r="AP123" s="182">
        <v>2752.2222222222199</v>
      </c>
      <c r="AQ123" s="182">
        <v>688.05555555555497</v>
      </c>
      <c r="AR123" s="436">
        <f t="shared" si="47"/>
        <v>15</v>
      </c>
      <c r="AS123" s="574"/>
      <c r="AT123" s="182">
        <v>4</v>
      </c>
      <c r="AU123" s="182">
        <v>2752.2222222222199</v>
      </c>
      <c r="AV123" s="182">
        <v>688.05555555555497</v>
      </c>
      <c r="AW123" s="436">
        <f t="shared" si="49"/>
        <v>15</v>
      </c>
      <c r="AX123" s="574"/>
    </row>
    <row r="124" spans="2:50">
      <c r="B124" s="572"/>
      <c r="C124" s="436">
        <v>13</v>
      </c>
      <c r="D124" s="436" t="s">
        <v>555</v>
      </c>
      <c r="E124" s="436">
        <v>4</v>
      </c>
      <c r="F124" s="436">
        <v>2800</v>
      </c>
      <c r="G124" s="436">
        <v>700</v>
      </c>
      <c r="H124" s="574"/>
      <c r="I124" s="446">
        <f t="shared" si="51"/>
        <v>4</v>
      </c>
      <c r="J124" s="446">
        <f t="shared" si="51"/>
        <v>2777.6567398119128</v>
      </c>
      <c r="K124" s="438">
        <f t="shared" si="51"/>
        <v>694.41418495297819</v>
      </c>
      <c r="L124" s="541"/>
      <c r="M124" s="446">
        <f>RANK(K124, K$112:$K$141)</f>
        <v>20</v>
      </c>
      <c r="N124" s="559"/>
      <c r="O124" s="559"/>
      <c r="P124" s="182">
        <v>4</v>
      </c>
      <c r="Q124" s="182">
        <v>2884.137931034481</v>
      </c>
      <c r="R124" s="182">
        <v>721.03448275862024</v>
      </c>
      <c r="S124" s="436">
        <f t="shared" si="52"/>
        <v>15</v>
      </c>
      <c r="T124" s="574"/>
      <c r="U124" s="182">
        <v>4</v>
      </c>
      <c r="V124" s="182">
        <v>2712.8571428571449</v>
      </c>
      <c r="W124" s="182">
        <v>678.21428571428623</v>
      </c>
      <c r="X124" s="436">
        <f t="shared" si="39"/>
        <v>20</v>
      </c>
      <c r="Y124" s="574"/>
      <c r="Z124" s="182">
        <v>4</v>
      </c>
      <c r="AA124" s="182">
        <v>2752.500000000005</v>
      </c>
      <c r="AB124" s="182">
        <v>688.12500000000125</v>
      </c>
      <c r="AC124" s="436">
        <f t="shared" si="41"/>
        <v>17</v>
      </c>
      <c r="AD124" s="574"/>
      <c r="AE124" s="182">
        <v>4</v>
      </c>
      <c r="AF124" s="182">
        <v>2874.5454545454545</v>
      </c>
      <c r="AG124" s="182">
        <v>718.63636363636363</v>
      </c>
      <c r="AH124" s="436">
        <f t="shared" si="43"/>
        <v>16</v>
      </c>
      <c r="AI124" s="574"/>
      <c r="AJ124" s="182">
        <v>4</v>
      </c>
      <c r="AK124" s="182">
        <v>2807.1428571428551</v>
      </c>
      <c r="AL124" s="182">
        <v>701.78571428571377</v>
      </c>
      <c r="AM124" s="436">
        <f t="shared" si="45"/>
        <v>19</v>
      </c>
      <c r="AN124" s="574"/>
      <c r="AO124" s="182">
        <v>4</v>
      </c>
      <c r="AP124" s="182">
        <v>2706.206896551726</v>
      </c>
      <c r="AQ124" s="182">
        <v>676.5517241379315</v>
      </c>
      <c r="AR124" s="436">
        <f t="shared" si="47"/>
        <v>18</v>
      </c>
      <c r="AS124" s="574"/>
      <c r="AT124" s="182">
        <v>4</v>
      </c>
      <c r="AU124" s="182">
        <v>2706.206896551726</v>
      </c>
      <c r="AV124" s="182">
        <v>676.5517241379315</v>
      </c>
      <c r="AW124" s="436">
        <f t="shared" si="49"/>
        <v>18</v>
      </c>
      <c r="AX124" s="574"/>
    </row>
    <row r="125" spans="2:50">
      <c r="B125" s="572"/>
      <c r="C125" s="436">
        <v>14</v>
      </c>
      <c r="D125" s="436" t="s">
        <v>366</v>
      </c>
      <c r="E125" s="436">
        <v>4</v>
      </c>
      <c r="F125" s="436">
        <v>3600</v>
      </c>
      <c r="G125" s="436">
        <v>900</v>
      </c>
      <c r="H125" s="574"/>
      <c r="I125" s="446">
        <f t="shared" si="51"/>
        <v>4</v>
      </c>
      <c r="J125" s="446">
        <f t="shared" si="51"/>
        <v>2624.2857142857065</v>
      </c>
      <c r="K125" s="438">
        <f t="shared" si="51"/>
        <v>656.07142857142662</v>
      </c>
      <c r="L125" s="541"/>
      <c r="M125" s="446">
        <f>RANK(K125, K$112:$K$141)</f>
        <v>21</v>
      </c>
      <c r="N125" s="559"/>
      <c r="O125" s="559"/>
      <c r="P125" s="182">
        <v>4</v>
      </c>
      <c r="Q125" s="182">
        <v>2651.9999999999882</v>
      </c>
      <c r="R125" s="182">
        <v>662.99999999999704</v>
      </c>
      <c r="S125" s="436">
        <f t="shared" si="52"/>
        <v>21</v>
      </c>
      <c r="T125" s="574"/>
      <c r="U125" s="182">
        <v>4</v>
      </c>
      <c r="V125" s="182">
        <v>2573.9999999999882</v>
      </c>
      <c r="W125" s="182">
        <v>643.49999999999704</v>
      </c>
      <c r="X125" s="436">
        <f t="shared" si="39"/>
        <v>21</v>
      </c>
      <c r="Y125" s="574"/>
      <c r="Z125" s="182">
        <v>4</v>
      </c>
      <c r="AA125" s="182">
        <v>2270.99999999999</v>
      </c>
      <c r="AB125" s="182">
        <v>567.7499999999975</v>
      </c>
      <c r="AC125" s="436">
        <f t="shared" si="41"/>
        <v>21</v>
      </c>
      <c r="AD125" s="574"/>
      <c r="AE125" s="182">
        <v>4</v>
      </c>
      <c r="AF125" s="182">
        <v>3136.0000000000109</v>
      </c>
      <c r="AG125" s="182">
        <v>784.00000000000273</v>
      </c>
      <c r="AH125" s="436">
        <f t="shared" si="43"/>
        <v>12</v>
      </c>
      <c r="AI125" s="574"/>
      <c r="AJ125" s="182">
        <v>4</v>
      </c>
      <c r="AK125" s="182">
        <v>2420.9999999999895</v>
      </c>
      <c r="AL125" s="182">
        <v>605.24999999999739</v>
      </c>
      <c r="AM125" s="436">
        <f t="shared" si="45"/>
        <v>20</v>
      </c>
      <c r="AN125" s="574"/>
      <c r="AO125" s="182">
        <v>4</v>
      </c>
      <c r="AP125" s="182">
        <v>2657.9999999999882</v>
      </c>
      <c r="AQ125" s="182">
        <v>664.49999999999704</v>
      </c>
      <c r="AR125" s="436">
        <f t="shared" si="47"/>
        <v>19</v>
      </c>
      <c r="AS125" s="574"/>
      <c r="AT125" s="182">
        <v>4</v>
      </c>
      <c r="AU125" s="182">
        <v>2657.9999999999882</v>
      </c>
      <c r="AV125" s="182">
        <v>664.49999999999704</v>
      </c>
      <c r="AW125" s="436">
        <f t="shared" si="49"/>
        <v>19</v>
      </c>
      <c r="AX125" s="574"/>
    </row>
    <row r="126" spans="2:50">
      <c r="B126" s="572"/>
      <c r="C126" s="436">
        <v>15</v>
      </c>
      <c r="D126" s="436" t="s">
        <v>367</v>
      </c>
      <c r="E126" s="436">
        <v>4</v>
      </c>
      <c r="F126" s="436">
        <v>3600</v>
      </c>
      <c r="G126" s="436">
        <v>900</v>
      </c>
      <c r="H126" s="574"/>
      <c r="I126" s="446">
        <f t="shared" si="51"/>
        <v>4</v>
      </c>
      <c r="J126" s="446">
        <f t="shared" si="51"/>
        <v>2245.7142857142721</v>
      </c>
      <c r="K126" s="438">
        <f t="shared" si="51"/>
        <v>561.42857142856803</v>
      </c>
      <c r="L126" s="541"/>
      <c r="M126" s="446">
        <f>RANK(K126, K$112:$K$141)</f>
        <v>22</v>
      </c>
      <c r="N126" s="559"/>
      <c r="O126" s="559"/>
      <c r="P126" s="182">
        <v>4</v>
      </c>
      <c r="Q126" s="182">
        <v>2555.9999999999682</v>
      </c>
      <c r="R126" s="182">
        <v>638.99999999999204</v>
      </c>
      <c r="S126" s="436">
        <f t="shared" si="52"/>
        <v>22</v>
      </c>
      <c r="T126" s="574"/>
      <c r="U126" s="182">
        <v>4</v>
      </c>
      <c r="V126" s="182">
        <v>2352.0000000000082</v>
      </c>
      <c r="W126" s="182">
        <v>588.00000000000205</v>
      </c>
      <c r="X126" s="436">
        <f t="shared" si="39"/>
        <v>22</v>
      </c>
      <c r="Y126" s="574"/>
      <c r="Z126" s="182">
        <v>4</v>
      </c>
      <c r="AA126" s="182">
        <v>1944.0000000000377</v>
      </c>
      <c r="AB126" s="182">
        <v>486.00000000000944</v>
      </c>
      <c r="AC126" s="436">
        <f t="shared" si="41"/>
        <v>23</v>
      </c>
      <c r="AD126" s="574"/>
      <c r="AE126" s="182">
        <v>4</v>
      </c>
      <c r="AF126" s="182">
        <v>1997.999999999975</v>
      </c>
      <c r="AG126" s="182">
        <v>499.49999999999375</v>
      </c>
      <c r="AH126" s="436">
        <f t="shared" si="43"/>
        <v>22</v>
      </c>
      <c r="AI126" s="574"/>
      <c r="AJ126" s="182">
        <v>4</v>
      </c>
      <c r="AK126" s="182">
        <v>2189.9999999999727</v>
      </c>
      <c r="AL126" s="182">
        <v>547.49999999999318</v>
      </c>
      <c r="AM126" s="436">
        <f t="shared" si="45"/>
        <v>21</v>
      </c>
      <c r="AN126" s="574"/>
      <c r="AO126" s="182">
        <v>4</v>
      </c>
      <c r="AP126" s="182">
        <v>2339.9999999999709</v>
      </c>
      <c r="AQ126" s="182">
        <v>584.99999999999272</v>
      </c>
      <c r="AR126" s="436">
        <f t="shared" si="47"/>
        <v>20</v>
      </c>
      <c r="AS126" s="574"/>
      <c r="AT126" s="182">
        <v>4</v>
      </c>
      <c r="AU126" s="182">
        <v>2339.9999999999709</v>
      </c>
      <c r="AV126" s="182">
        <v>584.99999999999272</v>
      </c>
      <c r="AW126" s="436">
        <f t="shared" si="49"/>
        <v>20</v>
      </c>
      <c r="AX126" s="574"/>
    </row>
    <row r="127" spans="2:50">
      <c r="B127" s="572"/>
      <c r="C127" s="436">
        <v>16</v>
      </c>
      <c r="D127" s="436" t="s">
        <v>466</v>
      </c>
      <c r="E127" s="436">
        <v>4</v>
      </c>
      <c r="F127" s="436">
        <v>3300</v>
      </c>
      <c r="G127" s="436">
        <v>825</v>
      </c>
      <c r="H127" s="574"/>
      <c r="I127" s="446">
        <f t="shared" si="51"/>
        <v>3</v>
      </c>
      <c r="J127" s="446">
        <f t="shared" si="51"/>
        <v>2826.9183673469411</v>
      </c>
      <c r="K127" s="438">
        <f t="shared" si="51"/>
        <v>942.3061224489802</v>
      </c>
      <c r="L127" s="541"/>
      <c r="M127" s="446">
        <f>RANK(K127, K$112:$K$141)</f>
        <v>5</v>
      </c>
      <c r="N127" s="559"/>
      <c r="O127" s="559"/>
      <c r="P127" s="182">
        <v>3</v>
      </c>
      <c r="Q127" s="182">
        <v>2822.8571428571477</v>
      </c>
      <c r="R127" s="182">
        <v>940.95238095238255</v>
      </c>
      <c r="S127" s="436">
        <f t="shared" si="52"/>
        <v>6</v>
      </c>
      <c r="T127" s="574"/>
      <c r="U127" s="182">
        <v>3</v>
      </c>
      <c r="V127" s="182">
        <v>2699.9999999999991</v>
      </c>
      <c r="W127" s="182">
        <v>899.99999999999966</v>
      </c>
      <c r="X127" s="436">
        <f t="shared" si="39"/>
        <v>7</v>
      </c>
      <c r="Y127" s="574"/>
      <c r="Z127" s="182">
        <v>3</v>
      </c>
      <c r="AA127" s="182">
        <v>3052.0000000000032</v>
      </c>
      <c r="AB127" s="182">
        <v>1017.3333333333344</v>
      </c>
      <c r="AC127" s="436">
        <f t="shared" si="41"/>
        <v>4</v>
      </c>
      <c r="AD127" s="574"/>
      <c r="AE127" s="182">
        <v>3</v>
      </c>
      <c r="AF127" s="182">
        <v>2918.5714285714307</v>
      </c>
      <c r="AG127" s="182">
        <v>972.85714285714357</v>
      </c>
      <c r="AH127" s="436">
        <f t="shared" si="43"/>
        <v>5</v>
      </c>
      <c r="AI127" s="574"/>
      <c r="AJ127" s="182">
        <v>3</v>
      </c>
      <c r="AK127" s="182">
        <v>2835.0000000000045</v>
      </c>
      <c r="AL127" s="182">
        <v>945.00000000000148</v>
      </c>
      <c r="AM127" s="436">
        <f t="shared" si="45"/>
        <v>7</v>
      </c>
      <c r="AN127" s="574"/>
      <c r="AO127" s="182">
        <v>3</v>
      </c>
      <c r="AP127" s="182">
        <v>2729.9999999999991</v>
      </c>
      <c r="AQ127" s="182">
        <v>909.99999999999966</v>
      </c>
      <c r="AR127" s="436">
        <f t="shared" si="47"/>
        <v>6</v>
      </c>
      <c r="AS127" s="574"/>
      <c r="AT127" s="182">
        <v>3</v>
      </c>
      <c r="AU127" s="182">
        <v>2729.9999999999991</v>
      </c>
      <c r="AV127" s="182">
        <v>909.99999999999966</v>
      </c>
      <c r="AW127" s="436">
        <f t="shared" si="49"/>
        <v>6</v>
      </c>
      <c r="AX127" s="574"/>
    </row>
    <row r="128" spans="2:50">
      <c r="B128" s="572"/>
      <c r="C128" s="436">
        <v>17</v>
      </c>
      <c r="D128" s="436" t="s">
        <v>552</v>
      </c>
      <c r="E128" s="436">
        <v>3</v>
      </c>
      <c r="F128" s="436">
        <v>2800</v>
      </c>
      <c r="G128" s="436">
        <v>933.33333333333337</v>
      </c>
      <c r="H128" s="574"/>
      <c r="I128" s="446">
        <f t="shared" si="51"/>
        <v>3</v>
      </c>
      <c r="J128" s="446">
        <f t="shared" si="51"/>
        <v>2716.1999999999948</v>
      </c>
      <c r="K128" s="438">
        <f t="shared" si="51"/>
        <v>905.39999999999839</v>
      </c>
      <c r="L128" s="541"/>
      <c r="M128" s="446">
        <f>RANK(K128, K$112:$K$141)</f>
        <v>8</v>
      </c>
      <c r="N128" s="559"/>
      <c r="O128" s="559"/>
      <c r="P128" s="182">
        <v>3</v>
      </c>
      <c r="Q128" s="182">
        <v>2781.5999999999922</v>
      </c>
      <c r="R128" s="182">
        <v>927.19999999999743</v>
      </c>
      <c r="S128" s="436">
        <f t="shared" si="52"/>
        <v>8</v>
      </c>
      <c r="T128" s="574"/>
      <c r="U128" s="182">
        <v>3</v>
      </c>
      <c r="V128" s="182">
        <v>2589.5999999999926</v>
      </c>
      <c r="W128" s="182">
        <v>863.19999999999754</v>
      </c>
      <c r="X128" s="436">
        <f t="shared" si="39"/>
        <v>8</v>
      </c>
      <c r="Y128" s="574"/>
      <c r="Z128" s="182">
        <v>3</v>
      </c>
      <c r="AA128" s="182">
        <v>3051.0000000000109</v>
      </c>
      <c r="AB128" s="182">
        <v>1017.0000000000036</v>
      </c>
      <c r="AC128" s="436">
        <f t="shared" si="41"/>
        <v>5</v>
      </c>
      <c r="AD128" s="574"/>
      <c r="AE128" s="182">
        <v>3</v>
      </c>
      <c r="AF128" s="182">
        <v>2579.9999999999927</v>
      </c>
      <c r="AG128" s="182">
        <v>859.99999999999761</v>
      </c>
      <c r="AH128" s="436">
        <f t="shared" si="43"/>
        <v>9</v>
      </c>
      <c r="AI128" s="574"/>
      <c r="AJ128" s="182">
        <v>3</v>
      </c>
      <c r="AK128" s="182">
        <v>2731.1999999999921</v>
      </c>
      <c r="AL128" s="182">
        <v>910.39999999999736</v>
      </c>
      <c r="AM128" s="436">
        <f t="shared" si="45"/>
        <v>8</v>
      </c>
      <c r="AN128" s="574"/>
      <c r="AO128" s="182">
        <v>3</v>
      </c>
      <c r="AP128" s="182">
        <v>2639.9999999999923</v>
      </c>
      <c r="AQ128" s="182">
        <v>879.99999999999739</v>
      </c>
      <c r="AR128" s="436">
        <f t="shared" si="47"/>
        <v>8</v>
      </c>
      <c r="AS128" s="574"/>
      <c r="AT128" s="182">
        <v>3</v>
      </c>
      <c r="AU128" s="182">
        <v>2639.9999999999923</v>
      </c>
      <c r="AV128" s="182">
        <v>879.99999999999739</v>
      </c>
      <c r="AW128" s="436">
        <f t="shared" si="49"/>
        <v>8</v>
      </c>
      <c r="AX128" s="574"/>
    </row>
    <row r="129" spans="2:50">
      <c r="B129" s="572"/>
      <c r="C129" s="436">
        <v>18</v>
      </c>
      <c r="D129" s="436" t="s">
        <v>616</v>
      </c>
      <c r="E129" s="436">
        <v>4</v>
      </c>
      <c r="F129" s="436">
        <v>3000</v>
      </c>
      <c r="G129" s="436">
        <v>750</v>
      </c>
      <c r="H129" s="574"/>
      <c r="I129" s="446">
        <f t="shared" si="51"/>
        <v>3</v>
      </c>
      <c r="J129" s="446">
        <f t="shared" si="51"/>
        <v>2186.6095238095195</v>
      </c>
      <c r="K129" s="438">
        <f t="shared" si="51"/>
        <v>728.86984126983975</v>
      </c>
      <c r="L129" s="541"/>
      <c r="M129" s="446">
        <f>RANK(K129, K$112:$K$141)</f>
        <v>13</v>
      </c>
      <c r="N129" s="559"/>
      <c r="O129" s="559"/>
      <c r="P129" s="182">
        <v>3</v>
      </c>
      <c r="Q129" s="182">
        <v>2221.1999999999939</v>
      </c>
      <c r="R129" s="182">
        <v>740.39999999999793</v>
      </c>
      <c r="S129" s="436">
        <f t="shared" si="52"/>
        <v>13</v>
      </c>
      <c r="T129" s="574"/>
      <c r="U129" s="182">
        <v>3</v>
      </c>
      <c r="V129" s="182">
        <v>2102.3999999999942</v>
      </c>
      <c r="W129" s="182">
        <v>700.79999999999802</v>
      </c>
      <c r="X129" s="436">
        <f t="shared" si="39"/>
        <v>12</v>
      </c>
      <c r="Y129" s="574"/>
      <c r="Z129" s="182">
        <v>3</v>
      </c>
      <c r="AA129" s="182">
        <v>2170.6666666666665</v>
      </c>
      <c r="AB129" s="182">
        <v>723.55555555555554</v>
      </c>
      <c r="AC129" s="436">
        <f t="shared" si="41"/>
        <v>15</v>
      </c>
      <c r="AD129" s="574"/>
      <c r="AE129" s="182">
        <v>3</v>
      </c>
      <c r="AF129" s="182">
        <v>2272</v>
      </c>
      <c r="AG129" s="182">
        <v>757.33333333333337</v>
      </c>
      <c r="AH129" s="436">
        <f t="shared" si="43"/>
        <v>13</v>
      </c>
      <c r="AI129" s="574"/>
      <c r="AJ129" s="182">
        <v>3</v>
      </c>
      <c r="AK129" s="182">
        <v>2191.1999999999939</v>
      </c>
      <c r="AL129" s="182">
        <v>730.39999999999793</v>
      </c>
      <c r="AM129" s="436">
        <f t="shared" si="45"/>
        <v>14</v>
      </c>
      <c r="AN129" s="574"/>
      <c r="AO129" s="182">
        <v>3</v>
      </c>
      <c r="AP129" s="182">
        <v>2174.3999999999937</v>
      </c>
      <c r="AQ129" s="182">
        <v>724.79999999999791</v>
      </c>
      <c r="AR129" s="436">
        <f t="shared" si="47"/>
        <v>12</v>
      </c>
      <c r="AS129" s="574"/>
      <c r="AT129" s="182">
        <v>3</v>
      </c>
      <c r="AU129" s="182">
        <v>2174.3999999999937</v>
      </c>
      <c r="AV129" s="182">
        <v>724.79999999999791</v>
      </c>
      <c r="AW129" s="436">
        <f t="shared" si="49"/>
        <v>12</v>
      </c>
      <c r="AX129" s="574"/>
    </row>
    <row r="130" spans="2:50">
      <c r="B130" s="572"/>
      <c r="C130" s="436">
        <v>19</v>
      </c>
      <c r="D130" s="436" t="s">
        <v>560</v>
      </c>
      <c r="E130" s="436">
        <v>12</v>
      </c>
      <c r="F130" s="436">
        <v>1500</v>
      </c>
      <c r="G130" s="436">
        <v>125</v>
      </c>
      <c r="H130" s="574"/>
      <c r="I130" s="446">
        <f t="shared" si="51"/>
        <v>9.7142857142857135</v>
      </c>
      <c r="J130" s="446">
        <f t="shared" si="51"/>
        <v>1492.4285714285704</v>
      </c>
      <c r="K130" s="438">
        <f t="shared" si="51"/>
        <v>154.38571428571419</v>
      </c>
      <c r="L130" s="541"/>
      <c r="M130" s="446">
        <f>RANK(K130, K$112:$K$141)</f>
        <v>24</v>
      </c>
      <c r="N130" s="559"/>
      <c r="O130" s="559"/>
      <c r="P130" s="182">
        <v>10</v>
      </c>
      <c r="Q130" s="182">
        <v>1525.9999999999993</v>
      </c>
      <c r="R130" s="182">
        <v>152.59999999999994</v>
      </c>
      <c r="S130" s="436">
        <f t="shared" si="52"/>
        <v>24</v>
      </c>
      <c r="T130" s="574"/>
      <c r="U130" s="182">
        <v>8</v>
      </c>
      <c r="V130" s="182">
        <v>1439.9999999999993</v>
      </c>
      <c r="W130" s="182">
        <v>179.99999999999991</v>
      </c>
      <c r="X130" s="436">
        <f t="shared" si="39"/>
        <v>24</v>
      </c>
      <c r="Y130" s="574"/>
      <c r="Z130" s="182">
        <v>10</v>
      </c>
      <c r="AA130" s="182">
        <v>1427.9999999999991</v>
      </c>
      <c r="AB130" s="182">
        <v>142.7999999999999</v>
      </c>
      <c r="AC130" s="436">
        <f t="shared" si="41"/>
        <v>24</v>
      </c>
      <c r="AD130" s="574"/>
      <c r="AE130" s="182">
        <v>10</v>
      </c>
      <c r="AF130" s="182">
        <v>1541.999999999998</v>
      </c>
      <c r="AG130" s="182">
        <v>154.19999999999979</v>
      </c>
      <c r="AH130" s="436">
        <f t="shared" si="43"/>
        <v>23</v>
      </c>
      <c r="AI130" s="574"/>
      <c r="AJ130" s="182">
        <v>10</v>
      </c>
      <c r="AK130" s="182">
        <v>1512.9999999999993</v>
      </c>
      <c r="AL130" s="182">
        <v>151.29999999999993</v>
      </c>
      <c r="AM130" s="436">
        <f t="shared" si="45"/>
        <v>23</v>
      </c>
      <c r="AN130" s="574"/>
      <c r="AO130" s="182">
        <v>10</v>
      </c>
      <c r="AP130" s="182">
        <v>1498.9999999999991</v>
      </c>
      <c r="AQ130" s="182">
        <v>149.89999999999992</v>
      </c>
      <c r="AR130" s="436">
        <f t="shared" si="47"/>
        <v>22</v>
      </c>
      <c r="AS130" s="574"/>
      <c r="AT130" s="182">
        <v>10</v>
      </c>
      <c r="AU130" s="182">
        <v>1498.9999999999991</v>
      </c>
      <c r="AV130" s="182">
        <v>149.89999999999992</v>
      </c>
      <c r="AW130" s="436">
        <f t="shared" si="49"/>
        <v>22</v>
      </c>
      <c r="AX130" s="574"/>
    </row>
    <row r="131" spans="2:50">
      <c r="B131" s="572"/>
      <c r="C131" s="436">
        <v>20</v>
      </c>
      <c r="D131" s="436" t="s">
        <v>630</v>
      </c>
      <c r="E131" s="436">
        <v>4</v>
      </c>
      <c r="F131" s="436">
        <v>3000</v>
      </c>
      <c r="G131" s="436">
        <v>750</v>
      </c>
      <c r="H131" s="574"/>
      <c r="I131" s="446">
        <f t="shared" ref="I131:K135" si="53">AVERAGE(P131,U131,Z131,AE131,AJ131,AO131,AT131)</f>
        <v>4</v>
      </c>
      <c r="J131" s="446">
        <f t="shared" si="53"/>
        <v>2162.7857142857183</v>
      </c>
      <c r="K131" s="438">
        <f t="shared" si="53"/>
        <v>540.69642857142958</v>
      </c>
      <c r="L131" s="541"/>
      <c r="M131" s="446">
        <f>RANK(K131, K$112:$K$141)</f>
        <v>23</v>
      </c>
      <c r="N131" s="559"/>
      <c r="O131" s="559"/>
      <c r="P131" s="182">
        <v>4</v>
      </c>
      <c r="Q131" s="182">
        <v>2168.9999999999991</v>
      </c>
      <c r="R131" s="182">
        <v>542.24999999999977</v>
      </c>
      <c r="S131" s="436">
        <f t="shared" si="52"/>
        <v>23</v>
      </c>
      <c r="T131" s="574"/>
      <c r="U131" s="182">
        <v>4</v>
      </c>
      <c r="V131" s="182">
        <v>2057.9999999999995</v>
      </c>
      <c r="W131" s="182">
        <v>514.49999999999989</v>
      </c>
      <c r="X131" s="436">
        <f t="shared" si="39"/>
        <v>23</v>
      </c>
      <c r="Y131" s="574"/>
      <c r="Z131" s="182">
        <v>4</v>
      </c>
      <c r="AA131" s="182">
        <v>2156.5714285714362</v>
      </c>
      <c r="AB131" s="182">
        <v>539.14285714285904</v>
      </c>
      <c r="AC131" s="436">
        <f t="shared" si="41"/>
        <v>22</v>
      </c>
      <c r="AD131" s="574"/>
      <c r="AE131" s="182">
        <v>4</v>
      </c>
      <c r="AF131" s="182">
        <v>2199.4285714285797</v>
      </c>
      <c r="AG131" s="182">
        <v>549.85714285714494</v>
      </c>
      <c r="AH131" s="436">
        <f t="shared" si="43"/>
        <v>21</v>
      </c>
      <c r="AI131" s="574"/>
      <c r="AJ131" s="182">
        <v>4</v>
      </c>
      <c r="AK131" s="182">
        <v>2044.4999999999993</v>
      </c>
      <c r="AL131" s="182">
        <v>511.12499999999983</v>
      </c>
      <c r="AM131" s="436">
        <f t="shared" si="45"/>
        <v>22</v>
      </c>
      <c r="AN131" s="574"/>
      <c r="AO131" s="182">
        <v>4</v>
      </c>
      <c r="AP131" s="182">
        <v>2256.0000000000082</v>
      </c>
      <c r="AQ131" s="182">
        <v>564.00000000000205</v>
      </c>
      <c r="AR131" s="436">
        <f t="shared" si="47"/>
        <v>21</v>
      </c>
      <c r="AS131" s="574"/>
      <c r="AT131" s="182">
        <v>4</v>
      </c>
      <c r="AU131" s="182">
        <v>2256.0000000000082</v>
      </c>
      <c r="AV131" s="182">
        <v>564.00000000000205</v>
      </c>
      <c r="AW131" s="436">
        <f t="shared" si="49"/>
        <v>21</v>
      </c>
      <c r="AX131" s="574"/>
    </row>
    <row r="132" spans="2:50">
      <c r="B132" s="572"/>
      <c r="C132" s="436">
        <v>21</v>
      </c>
      <c r="D132" s="436" t="s">
        <v>699</v>
      </c>
      <c r="E132" s="436">
        <v>3</v>
      </c>
      <c r="F132" s="436">
        <v>2800</v>
      </c>
      <c r="G132" s="436">
        <v>933.33333333333337</v>
      </c>
      <c r="H132" s="574"/>
      <c r="I132" s="446">
        <f t="shared" si="53"/>
        <v>3</v>
      </c>
      <c r="J132" s="446">
        <f t="shared" si="53"/>
        <v>2808.1266977653536</v>
      </c>
      <c r="K132" s="438">
        <f t="shared" si="53"/>
        <v>936.04223258845116</v>
      </c>
      <c r="L132" s="541"/>
      <c r="M132" s="446">
        <f>RANK(K132, K$112:$K$141)</f>
        <v>6</v>
      </c>
      <c r="N132" s="559"/>
      <c r="O132" s="559"/>
      <c r="P132" s="436">
        <v>3</v>
      </c>
      <c r="Q132" s="182">
        <v>2809.2857142857165</v>
      </c>
      <c r="R132" s="437">
        <v>936.42857142857213</v>
      </c>
      <c r="S132" s="436">
        <f t="shared" si="52"/>
        <v>7</v>
      </c>
      <c r="T132" s="574"/>
      <c r="U132" s="436">
        <v>3</v>
      </c>
      <c r="V132" s="182">
        <v>2747.0588235294108</v>
      </c>
      <c r="W132" s="437">
        <v>915.68627450980364</v>
      </c>
      <c r="X132" s="436">
        <f t="shared" si="39"/>
        <v>5</v>
      </c>
      <c r="Y132" s="574"/>
      <c r="Z132" s="436">
        <v>3</v>
      </c>
      <c r="AA132" s="182">
        <v>2917.333333333333</v>
      </c>
      <c r="AB132" s="437">
        <v>972.44444444444434</v>
      </c>
      <c r="AC132" s="436">
        <f t="shared" si="41"/>
        <v>6</v>
      </c>
      <c r="AD132" s="574"/>
      <c r="AE132" s="436">
        <v>3</v>
      </c>
      <c r="AF132" s="182">
        <v>2833.6363636363635</v>
      </c>
      <c r="AG132" s="437">
        <v>944.5454545454545</v>
      </c>
      <c r="AH132" s="436">
        <f t="shared" si="43"/>
        <v>7</v>
      </c>
      <c r="AI132" s="574"/>
      <c r="AJ132" s="436">
        <v>3</v>
      </c>
      <c r="AK132" s="182">
        <v>2838.4615384615354</v>
      </c>
      <c r="AL132" s="437">
        <v>946.15384615384517</v>
      </c>
      <c r="AM132" s="436">
        <f t="shared" si="45"/>
        <v>6</v>
      </c>
      <c r="AN132" s="574"/>
      <c r="AO132" s="436">
        <v>3</v>
      </c>
      <c r="AP132" s="182">
        <v>2755.555555555557</v>
      </c>
      <c r="AQ132" s="437">
        <v>918.51851851851904</v>
      </c>
      <c r="AR132" s="436">
        <f t="shared" si="47"/>
        <v>5</v>
      </c>
      <c r="AS132" s="574"/>
      <c r="AT132" s="436">
        <v>3</v>
      </c>
      <c r="AU132" s="182">
        <v>2755.555555555557</v>
      </c>
      <c r="AV132" s="437">
        <v>918.51851851851904</v>
      </c>
      <c r="AW132" s="436">
        <f t="shared" si="49"/>
        <v>5</v>
      </c>
      <c r="AX132" s="574"/>
    </row>
    <row r="133" spans="2:50">
      <c r="B133" s="572"/>
      <c r="C133" s="436">
        <v>22</v>
      </c>
      <c r="D133" s="436" t="s">
        <v>755</v>
      </c>
      <c r="E133" s="436">
        <v>4</v>
      </c>
      <c r="F133" s="436">
        <v>2800</v>
      </c>
      <c r="G133" s="436">
        <v>700</v>
      </c>
      <c r="H133" s="574"/>
      <c r="I133" s="446">
        <f t="shared" si="53"/>
        <v>4</v>
      </c>
      <c r="J133" s="446">
        <f t="shared" si="53"/>
        <v>2812.5935247548146</v>
      </c>
      <c r="K133" s="438">
        <f t="shared" si="53"/>
        <v>703.14838118870364</v>
      </c>
      <c r="L133" s="541"/>
      <c r="M133" s="446">
        <f>RANK(K133, K$112:$K$141)</f>
        <v>17</v>
      </c>
      <c r="N133" s="559"/>
      <c r="O133" s="559"/>
      <c r="P133" s="436">
        <v>4</v>
      </c>
      <c r="Q133" s="182">
        <v>2843.9999999999977</v>
      </c>
      <c r="R133" s="437">
        <v>710.99999999999943</v>
      </c>
      <c r="S133" s="436">
        <f t="shared" si="52"/>
        <v>17</v>
      </c>
      <c r="T133" s="574"/>
      <c r="U133" s="436">
        <v>4</v>
      </c>
      <c r="V133" s="182">
        <v>2783.0769230769215</v>
      </c>
      <c r="W133" s="437">
        <v>695.76923076923038</v>
      </c>
      <c r="X133" s="436">
        <f t="shared" si="39"/>
        <v>13</v>
      </c>
      <c r="Y133" s="574"/>
      <c r="Z133" s="436">
        <v>4</v>
      </c>
      <c r="AA133" s="182">
        <v>2712.0000000000032</v>
      </c>
      <c r="AB133" s="437">
        <v>678.0000000000008</v>
      </c>
      <c r="AC133" s="436">
        <f t="shared" si="41"/>
        <v>20</v>
      </c>
      <c r="AD133" s="574"/>
      <c r="AE133" s="436">
        <v>4</v>
      </c>
      <c r="AF133" s="182">
        <v>2876.1290322580599</v>
      </c>
      <c r="AG133" s="437">
        <v>719.03225806451496</v>
      </c>
      <c r="AH133" s="436">
        <f t="shared" si="43"/>
        <v>15</v>
      </c>
      <c r="AI133" s="574"/>
      <c r="AJ133" s="436">
        <v>4</v>
      </c>
      <c r="AK133" s="182">
        <v>2968.3333333333376</v>
      </c>
      <c r="AL133" s="437">
        <v>742.08333333333439</v>
      </c>
      <c r="AM133" s="436">
        <f t="shared" si="45"/>
        <v>13</v>
      </c>
      <c r="AN133" s="574"/>
      <c r="AO133" s="436">
        <v>4</v>
      </c>
      <c r="AP133" s="182">
        <v>2752.307692307691</v>
      </c>
      <c r="AQ133" s="437">
        <v>688.07692307692275</v>
      </c>
      <c r="AR133" s="436">
        <f t="shared" si="47"/>
        <v>14</v>
      </c>
      <c r="AS133" s="574"/>
      <c r="AT133" s="436">
        <v>4</v>
      </c>
      <c r="AU133" s="182">
        <v>2752.307692307691</v>
      </c>
      <c r="AV133" s="437">
        <v>688.07692307692275</v>
      </c>
      <c r="AW133" s="436">
        <f t="shared" si="49"/>
        <v>14</v>
      </c>
      <c r="AX133" s="574"/>
    </row>
    <row r="134" spans="2:50">
      <c r="B134" s="572"/>
      <c r="C134" s="436">
        <v>23</v>
      </c>
      <c r="D134" s="436" t="s">
        <v>763</v>
      </c>
      <c r="E134" s="436">
        <v>4</v>
      </c>
      <c r="F134" s="436">
        <v>2800</v>
      </c>
      <c r="G134" s="436">
        <v>700</v>
      </c>
      <c r="H134" s="574"/>
      <c r="I134" s="446">
        <f t="shared" si="53"/>
        <v>4</v>
      </c>
      <c r="J134" s="446">
        <f t="shared" si="53"/>
        <v>2885.2679089026924</v>
      </c>
      <c r="K134" s="438">
        <f t="shared" si="53"/>
        <v>721.3169772256731</v>
      </c>
      <c r="L134" s="541"/>
      <c r="M134" s="446">
        <f>RANK(K134, K$112:$K$141)</f>
        <v>14</v>
      </c>
      <c r="N134" s="559"/>
      <c r="O134" s="559"/>
      <c r="P134" s="436">
        <v>4</v>
      </c>
      <c r="Q134" s="436">
        <v>2836.4516129032249</v>
      </c>
      <c r="R134" s="437">
        <v>709.11290322580624</v>
      </c>
      <c r="S134" s="436">
        <f t="shared" si="52"/>
        <v>19</v>
      </c>
      <c r="T134" s="574"/>
      <c r="U134" s="436">
        <v>4</v>
      </c>
      <c r="V134" s="436">
        <v>2773.5483870967732</v>
      </c>
      <c r="W134" s="437">
        <v>693.38709677419331</v>
      </c>
      <c r="X134" s="436">
        <f t="shared" si="39"/>
        <v>16</v>
      </c>
      <c r="Y134" s="574"/>
      <c r="Z134" s="436">
        <v>4</v>
      </c>
      <c r="AA134" s="436">
        <v>2977.333333333333</v>
      </c>
      <c r="AB134" s="437">
        <v>744.33333333333326</v>
      </c>
      <c r="AC134" s="436">
        <f t="shared" si="41"/>
        <v>13</v>
      </c>
      <c r="AD134" s="574"/>
      <c r="AE134" s="436">
        <v>4</v>
      </c>
      <c r="AF134" s="436">
        <v>2858.5714285714334</v>
      </c>
      <c r="AG134" s="437">
        <v>714.64285714285836</v>
      </c>
      <c r="AH134" s="436">
        <f t="shared" si="43"/>
        <v>18</v>
      </c>
      <c r="AI134" s="574"/>
      <c r="AJ134" s="436">
        <v>4</v>
      </c>
      <c r="AK134" s="436">
        <v>2980.4347826086955</v>
      </c>
      <c r="AL134" s="437">
        <v>745.10869565217388</v>
      </c>
      <c r="AM134" s="436">
        <f t="shared" si="45"/>
        <v>12</v>
      </c>
      <c r="AN134" s="574"/>
      <c r="AO134" s="436"/>
      <c r="AP134" s="436"/>
      <c r="AQ134" s="437"/>
      <c r="AR134" s="436" t="e">
        <f t="shared" si="47"/>
        <v>#N/A</v>
      </c>
      <c r="AS134" s="574"/>
      <c r="AT134" s="436" t="s">
        <v>561</v>
      </c>
      <c r="AU134" s="436" t="s">
        <v>561</v>
      </c>
      <c r="AV134" s="437" t="s">
        <v>561</v>
      </c>
      <c r="AW134" s="436" t="e">
        <f t="shared" si="49"/>
        <v>#VALUE!</v>
      </c>
      <c r="AX134" s="574"/>
    </row>
    <row r="135" spans="2:50">
      <c r="B135" s="572"/>
      <c r="C135" s="436">
        <v>24</v>
      </c>
      <c r="D135" s="436" t="s">
        <v>782</v>
      </c>
      <c r="E135" s="436">
        <v>4</v>
      </c>
      <c r="F135" s="436">
        <v>2800</v>
      </c>
      <c r="G135" s="436">
        <v>700</v>
      </c>
      <c r="H135" s="574"/>
      <c r="I135" s="446">
        <f t="shared" si="53"/>
        <v>4</v>
      </c>
      <c r="J135" s="446">
        <f t="shared" si="53"/>
        <v>2811.8799904982238</v>
      </c>
      <c r="K135" s="438">
        <f t="shared" si="53"/>
        <v>702.96999762455596</v>
      </c>
      <c r="L135" s="541"/>
      <c r="M135" s="446">
        <f>RANK(K135, K$112:$K$141)</f>
        <v>18</v>
      </c>
      <c r="N135" s="559"/>
      <c r="O135" s="559"/>
      <c r="P135" s="436">
        <v>4</v>
      </c>
      <c r="Q135" s="436">
        <v>2901.5999999999963</v>
      </c>
      <c r="R135" s="436">
        <v>725.39999999999907</v>
      </c>
      <c r="S135" s="436">
        <f t="shared" si="52"/>
        <v>14</v>
      </c>
      <c r="T135" s="574"/>
      <c r="U135" s="436">
        <v>4</v>
      </c>
      <c r="V135" s="436">
        <v>2779.6153846153861</v>
      </c>
      <c r="W135" s="436">
        <v>694.90384615384653</v>
      </c>
      <c r="X135" s="436">
        <f t="shared" si="39"/>
        <v>14</v>
      </c>
      <c r="Y135" s="574"/>
      <c r="Z135" s="436">
        <v>4</v>
      </c>
      <c r="AA135" s="436">
        <v>2739.428571428572</v>
      </c>
      <c r="AB135" s="436">
        <v>684.857142857143</v>
      </c>
      <c r="AC135" s="436">
        <f t="shared" si="41"/>
        <v>19</v>
      </c>
      <c r="AD135" s="574"/>
      <c r="AE135" s="436">
        <v>4</v>
      </c>
      <c r="AF135" s="436">
        <v>2803.1249999999995</v>
      </c>
      <c r="AG135" s="436">
        <v>700.78124999999989</v>
      </c>
      <c r="AH135" s="436">
        <f t="shared" si="43"/>
        <v>20</v>
      </c>
      <c r="AI135" s="574"/>
      <c r="AJ135" s="436">
        <v>4</v>
      </c>
      <c r="AK135" s="436">
        <v>2857.1052631578959</v>
      </c>
      <c r="AL135" s="436">
        <v>714.27631578947398</v>
      </c>
      <c r="AM135" s="436">
        <f t="shared" si="45"/>
        <v>16</v>
      </c>
      <c r="AN135" s="574"/>
      <c r="AO135" s="436">
        <v>4</v>
      </c>
      <c r="AP135" s="436">
        <v>2801.1428571428578</v>
      </c>
      <c r="AQ135" s="436">
        <v>700.28571428571445</v>
      </c>
      <c r="AR135" s="436">
        <f t="shared" si="47"/>
        <v>13</v>
      </c>
      <c r="AS135" s="574"/>
      <c r="AT135" s="436">
        <v>4</v>
      </c>
      <c r="AU135" s="436">
        <v>2801.1428571428578</v>
      </c>
      <c r="AV135" s="436">
        <v>700.28571428571445</v>
      </c>
      <c r="AW135" s="436">
        <f t="shared" si="49"/>
        <v>13</v>
      </c>
      <c r="AX135" s="574"/>
    </row>
    <row r="136" spans="2:50">
      <c r="B136" s="572"/>
      <c r="C136" s="436">
        <v>25</v>
      </c>
      <c r="D136" s="436"/>
      <c r="E136" s="436"/>
      <c r="F136" s="436"/>
      <c r="G136" s="436"/>
      <c r="H136" s="574"/>
      <c r="I136" s="202"/>
      <c r="J136" s="202"/>
      <c r="K136" s="202"/>
      <c r="L136" s="541"/>
      <c r="M136" s="446" t="e">
        <f>RANK(K136, K$112:$K$141)</f>
        <v>#N/A</v>
      </c>
      <c r="N136" s="559"/>
      <c r="O136" s="559"/>
      <c r="P136" s="436"/>
      <c r="Q136" s="436"/>
      <c r="R136" s="436"/>
      <c r="S136" s="436" t="e">
        <f t="shared" si="52"/>
        <v>#N/A</v>
      </c>
      <c r="T136" s="574"/>
      <c r="U136" s="436"/>
      <c r="V136" s="436"/>
      <c r="W136" s="436"/>
      <c r="X136" s="436" t="e">
        <f t="shared" si="39"/>
        <v>#N/A</v>
      </c>
      <c r="Y136" s="574"/>
      <c r="Z136" s="436"/>
      <c r="AA136" s="436"/>
      <c r="AB136" s="436"/>
      <c r="AC136" s="436" t="e">
        <f t="shared" si="41"/>
        <v>#N/A</v>
      </c>
      <c r="AD136" s="574"/>
      <c r="AE136" s="436"/>
      <c r="AF136" s="436"/>
      <c r="AG136" s="436"/>
      <c r="AH136" s="436" t="e">
        <f t="shared" si="43"/>
        <v>#N/A</v>
      </c>
      <c r="AI136" s="574"/>
      <c r="AJ136" s="436"/>
      <c r="AK136" s="436"/>
      <c r="AL136" s="436"/>
      <c r="AM136" s="436" t="e">
        <f t="shared" si="45"/>
        <v>#N/A</v>
      </c>
      <c r="AN136" s="574"/>
      <c r="AO136" s="436"/>
      <c r="AP136" s="436"/>
      <c r="AQ136" s="436"/>
      <c r="AR136" s="436" t="e">
        <f t="shared" si="47"/>
        <v>#N/A</v>
      </c>
      <c r="AS136" s="574"/>
      <c r="AT136" s="436"/>
      <c r="AU136" s="436"/>
      <c r="AV136" s="436"/>
      <c r="AW136" s="436" t="e">
        <f t="shared" si="49"/>
        <v>#N/A</v>
      </c>
      <c r="AX136" s="574"/>
    </row>
    <row r="137" spans="2:50">
      <c r="B137" s="572"/>
      <c r="C137" s="436">
        <v>26</v>
      </c>
      <c r="D137" s="436"/>
      <c r="E137" s="436"/>
      <c r="F137" s="436"/>
      <c r="G137" s="436"/>
      <c r="H137" s="574"/>
      <c r="I137" s="202"/>
      <c r="J137" s="202"/>
      <c r="K137" s="202"/>
      <c r="L137" s="541"/>
      <c r="M137" s="446" t="e">
        <f>RANK(K137, K$112:$K$141)</f>
        <v>#N/A</v>
      </c>
      <c r="N137" s="559"/>
      <c r="O137" s="559"/>
      <c r="P137" s="436"/>
      <c r="Q137" s="436"/>
      <c r="R137" s="436"/>
      <c r="S137" s="436" t="e">
        <f t="shared" si="52"/>
        <v>#N/A</v>
      </c>
      <c r="T137" s="574"/>
      <c r="U137" s="436"/>
      <c r="V137" s="436"/>
      <c r="W137" s="436"/>
      <c r="X137" s="436" t="e">
        <f t="shared" si="39"/>
        <v>#N/A</v>
      </c>
      <c r="Y137" s="574"/>
      <c r="Z137" s="436"/>
      <c r="AA137" s="436"/>
      <c r="AB137" s="436"/>
      <c r="AC137" s="436" t="e">
        <f t="shared" si="41"/>
        <v>#N/A</v>
      </c>
      <c r="AD137" s="574"/>
      <c r="AE137" s="436"/>
      <c r="AF137" s="436"/>
      <c r="AG137" s="436"/>
      <c r="AH137" s="436" t="e">
        <f t="shared" si="43"/>
        <v>#N/A</v>
      </c>
      <c r="AI137" s="574"/>
      <c r="AJ137" s="436"/>
      <c r="AK137" s="436"/>
      <c r="AL137" s="436"/>
      <c r="AM137" s="436" t="e">
        <f t="shared" si="45"/>
        <v>#N/A</v>
      </c>
      <c r="AN137" s="574"/>
      <c r="AO137" s="436"/>
      <c r="AP137" s="436"/>
      <c r="AQ137" s="436"/>
      <c r="AR137" s="436" t="e">
        <f t="shared" si="47"/>
        <v>#N/A</v>
      </c>
      <c r="AS137" s="574"/>
      <c r="AT137" s="436"/>
      <c r="AU137" s="436"/>
      <c r="AV137" s="436"/>
      <c r="AW137" s="436" t="e">
        <f t="shared" si="49"/>
        <v>#N/A</v>
      </c>
      <c r="AX137" s="574"/>
    </row>
    <row r="138" spans="2:50">
      <c r="B138" s="572"/>
      <c r="C138" s="436">
        <v>27</v>
      </c>
      <c r="D138" s="436"/>
      <c r="E138" s="436"/>
      <c r="F138" s="436"/>
      <c r="G138" s="436"/>
      <c r="H138" s="574"/>
      <c r="I138" s="202"/>
      <c r="J138" s="202"/>
      <c r="K138" s="202"/>
      <c r="L138" s="541"/>
      <c r="M138" s="446" t="e">
        <f>RANK(K138, K$112:$K$141)</f>
        <v>#N/A</v>
      </c>
      <c r="N138" s="559"/>
      <c r="O138" s="559"/>
      <c r="P138" s="436"/>
      <c r="Q138" s="436"/>
      <c r="R138" s="436"/>
      <c r="S138" s="436" t="e">
        <f t="shared" si="52"/>
        <v>#N/A</v>
      </c>
      <c r="T138" s="574"/>
      <c r="U138" s="436"/>
      <c r="V138" s="436"/>
      <c r="W138" s="436"/>
      <c r="X138" s="436" t="e">
        <f t="shared" si="39"/>
        <v>#N/A</v>
      </c>
      <c r="Y138" s="574"/>
      <c r="Z138" s="436"/>
      <c r="AA138" s="436"/>
      <c r="AB138" s="436"/>
      <c r="AC138" s="436" t="e">
        <f t="shared" si="41"/>
        <v>#N/A</v>
      </c>
      <c r="AD138" s="574"/>
      <c r="AE138" s="436"/>
      <c r="AF138" s="436"/>
      <c r="AG138" s="436"/>
      <c r="AH138" s="436" t="e">
        <f t="shared" si="43"/>
        <v>#N/A</v>
      </c>
      <c r="AI138" s="574"/>
      <c r="AJ138" s="436"/>
      <c r="AK138" s="436"/>
      <c r="AL138" s="436"/>
      <c r="AM138" s="436" t="e">
        <f t="shared" si="45"/>
        <v>#N/A</v>
      </c>
      <c r="AN138" s="574"/>
      <c r="AO138" s="436"/>
      <c r="AP138" s="436"/>
      <c r="AQ138" s="436"/>
      <c r="AR138" s="436" t="e">
        <f t="shared" si="47"/>
        <v>#N/A</v>
      </c>
      <c r="AS138" s="574"/>
      <c r="AT138" s="436"/>
      <c r="AU138" s="436"/>
      <c r="AV138" s="436"/>
      <c r="AW138" s="436" t="e">
        <f t="shared" si="49"/>
        <v>#N/A</v>
      </c>
      <c r="AX138" s="574"/>
    </row>
    <row r="139" spans="2:50">
      <c r="B139" s="572"/>
      <c r="C139" s="436">
        <v>28</v>
      </c>
      <c r="D139" s="436"/>
      <c r="E139" s="436"/>
      <c r="F139" s="436"/>
      <c r="G139" s="436"/>
      <c r="H139" s="574"/>
      <c r="I139" s="202"/>
      <c r="J139" s="202"/>
      <c r="K139" s="202"/>
      <c r="L139" s="541"/>
      <c r="M139" s="446" t="e">
        <f>RANK(K139, K$112:$K$141)</f>
        <v>#N/A</v>
      </c>
      <c r="N139" s="559"/>
      <c r="O139" s="559"/>
      <c r="P139" s="436"/>
      <c r="Q139" s="436"/>
      <c r="R139" s="436"/>
      <c r="S139" s="436" t="e">
        <f t="shared" si="52"/>
        <v>#N/A</v>
      </c>
      <c r="T139" s="574"/>
      <c r="U139" s="436"/>
      <c r="V139" s="436"/>
      <c r="W139" s="436"/>
      <c r="X139" s="436" t="e">
        <f t="shared" si="39"/>
        <v>#N/A</v>
      </c>
      <c r="Y139" s="574"/>
      <c r="Z139" s="436"/>
      <c r="AA139" s="436"/>
      <c r="AB139" s="436"/>
      <c r="AC139" s="436" t="e">
        <f t="shared" si="41"/>
        <v>#N/A</v>
      </c>
      <c r="AD139" s="574"/>
      <c r="AE139" s="436"/>
      <c r="AF139" s="436"/>
      <c r="AG139" s="436"/>
      <c r="AH139" s="436" t="e">
        <f t="shared" si="43"/>
        <v>#N/A</v>
      </c>
      <c r="AI139" s="574"/>
      <c r="AJ139" s="436"/>
      <c r="AK139" s="436"/>
      <c r="AL139" s="436"/>
      <c r="AM139" s="436" t="e">
        <f t="shared" si="45"/>
        <v>#N/A</v>
      </c>
      <c r="AN139" s="574"/>
      <c r="AO139" s="436"/>
      <c r="AP139" s="436"/>
      <c r="AQ139" s="436"/>
      <c r="AR139" s="436" t="e">
        <f t="shared" si="47"/>
        <v>#N/A</v>
      </c>
      <c r="AS139" s="574"/>
      <c r="AT139" s="436"/>
      <c r="AU139" s="436"/>
      <c r="AV139" s="436"/>
      <c r="AW139" s="436" t="e">
        <f t="shared" si="49"/>
        <v>#N/A</v>
      </c>
      <c r="AX139" s="574"/>
    </row>
    <row r="140" spans="2:50">
      <c r="B140" s="572"/>
      <c r="C140" s="436">
        <v>29</v>
      </c>
      <c r="D140" s="436"/>
      <c r="E140" s="436"/>
      <c r="F140" s="436"/>
      <c r="G140" s="436"/>
      <c r="H140" s="574"/>
      <c r="I140" s="202"/>
      <c r="J140" s="202"/>
      <c r="K140" s="202"/>
      <c r="L140" s="541"/>
      <c r="M140" s="446" t="e">
        <f>RANK(K140, K$112:$K$141)</f>
        <v>#N/A</v>
      </c>
      <c r="N140" s="559"/>
      <c r="O140" s="559"/>
      <c r="P140" s="436"/>
      <c r="Q140" s="436"/>
      <c r="R140" s="436"/>
      <c r="S140" s="436" t="e">
        <f t="shared" si="52"/>
        <v>#N/A</v>
      </c>
      <c r="T140" s="574"/>
      <c r="U140" s="436"/>
      <c r="V140" s="436"/>
      <c r="W140" s="436"/>
      <c r="X140" s="436" t="e">
        <f t="shared" si="39"/>
        <v>#N/A</v>
      </c>
      <c r="Y140" s="574"/>
      <c r="Z140" s="436"/>
      <c r="AA140" s="436"/>
      <c r="AB140" s="436"/>
      <c r="AC140" s="436" t="e">
        <f t="shared" si="41"/>
        <v>#N/A</v>
      </c>
      <c r="AD140" s="574"/>
      <c r="AE140" s="436"/>
      <c r="AF140" s="436"/>
      <c r="AG140" s="436"/>
      <c r="AH140" s="436" t="e">
        <f t="shared" si="43"/>
        <v>#N/A</v>
      </c>
      <c r="AI140" s="574"/>
      <c r="AJ140" s="436"/>
      <c r="AK140" s="436"/>
      <c r="AL140" s="436"/>
      <c r="AM140" s="436" t="e">
        <f t="shared" si="45"/>
        <v>#N/A</v>
      </c>
      <c r="AN140" s="574"/>
      <c r="AO140" s="436"/>
      <c r="AP140" s="436"/>
      <c r="AQ140" s="436"/>
      <c r="AR140" s="436" t="e">
        <f t="shared" si="47"/>
        <v>#N/A</v>
      </c>
      <c r="AS140" s="574"/>
      <c r="AT140" s="436"/>
      <c r="AU140" s="436"/>
      <c r="AV140" s="436"/>
      <c r="AW140" s="436" t="e">
        <f t="shared" si="49"/>
        <v>#N/A</v>
      </c>
      <c r="AX140" s="574"/>
    </row>
    <row r="141" spans="2:50">
      <c r="B141" s="572"/>
      <c r="C141" s="436">
        <v>30</v>
      </c>
      <c r="D141" s="436"/>
      <c r="E141" s="436"/>
      <c r="F141" s="436"/>
      <c r="G141" s="436"/>
      <c r="H141" s="575"/>
      <c r="I141" s="202"/>
      <c r="J141" s="202"/>
      <c r="K141" s="202"/>
      <c r="L141" s="542"/>
      <c r="M141" s="446" t="e">
        <f>RANK(K141, K$112:$K$141)</f>
        <v>#N/A</v>
      </c>
      <c r="N141" s="559"/>
      <c r="O141" s="559"/>
      <c r="P141" s="436"/>
      <c r="Q141" s="436"/>
      <c r="R141" s="436"/>
      <c r="S141" s="436" t="e">
        <f t="shared" si="52"/>
        <v>#N/A</v>
      </c>
      <c r="T141" s="575"/>
      <c r="U141" s="436"/>
      <c r="V141" s="436"/>
      <c r="W141" s="436"/>
      <c r="X141" s="436" t="e">
        <f t="shared" si="39"/>
        <v>#N/A</v>
      </c>
      <c r="Y141" s="575"/>
      <c r="Z141" s="436"/>
      <c r="AA141" s="436"/>
      <c r="AB141" s="436"/>
      <c r="AC141" s="436" t="e">
        <f t="shared" si="41"/>
        <v>#N/A</v>
      </c>
      <c r="AD141" s="575"/>
      <c r="AE141" s="436"/>
      <c r="AF141" s="436"/>
      <c r="AG141" s="436"/>
      <c r="AH141" s="436" t="e">
        <f t="shared" si="43"/>
        <v>#N/A</v>
      </c>
      <c r="AI141" s="575"/>
      <c r="AJ141" s="436"/>
      <c r="AK141" s="436"/>
      <c r="AL141" s="436"/>
      <c r="AM141" s="436" t="e">
        <f t="shared" si="45"/>
        <v>#N/A</v>
      </c>
      <c r="AN141" s="575"/>
      <c r="AO141" s="436"/>
      <c r="AP141" s="436"/>
      <c r="AQ141" s="436"/>
      <c r="AR141" s="436" t="e">
        <f t="shared" si="47"/>
        <v>#N/A</v>
      </c>
      <c r="AS141" s="575"/>
      <c r="AT141" s="436"/>
      <c r="AU141" s="436"/>
      <c r="AV141" s="436"/>
      <c r="AW141" s="436" t="e">
        <f t="shared" si="49"/>
        <v>#N/A</v>
      </c>
      <c r="AX141" s="575"/>
    </row>
    <row r="142" spans="2:50" ht="15.75">
      <c r="B142" s="576" t="s">
        <v>162</v>
      </c>
      <c r="C142" s="577"/>
      <c r="D142" s="577"/>
      <c r="E142" s="577"/>
      <c r="F142" s="577"/>
      <c r="G142" s="577"/>
      <c r="H142" s="578"/>
      <c r="I142" s="208"/>
      <c r="J142" s="208"/>
      <c r="K142" s="208"/>
      <c r="L142" s="208"/>
      <c r="M142" s="207"/>
      <c r="N142" s="565" t="s">
        <v>156</v>
      </c>
      <c r="O142" s="565" t="s">
        <v>155</v>
      </c>
      <c r="P142" s="571">
        <f>P107+7</f>
        <v>28</v>
      </c>
      <c r="Q142" s="572"/>
      <c r="R142" s="572"/>
      <c r="S142" s="572"/>
      <c r="T142" s="572"/>
      <c r="U142" s="568">
        <f>P142+1</f>
        <v>29</v>
      </c>
      <c r="V142" s="569"/>
      <c r="W142" s="569"/>
      <c r="X142" s="569"/>
      <c r="Y142" s="570"/>
      <c r="Z142" s="568">
        <f>U142+1</f>
        <v>30</v>
      </c>
      <c r="AA142" s="569"/>
      <c r="AB142" s="569"/>
      <c r="AC142" s="569"/>
      <c r="AD142" s="570"/>
      <c r="AE142" s="568">
        <f>Z142+1</f>
        <v>31</v>
      </c>
      <c r="AF142" s="569"/>
      <c r="AG142" s="569"/>
      <c r="AH142" s="569"/>
      <c r="AI142" s="570"/>
      <c r="AJ142" s="568">
        <f>AE142+1</f>
        <v>32</v>
      </c>
      <c r="AK142" s="569"/>
      <c r="AL142" s="569"/>
      <c r="AM142" s="569"/>
      <c r="AN142" s="570"/>
      <c r="AO142" s="568">
        <f>AJ142+1</f>
        <v>33</v>
      </c>
      <c r="AP142" s="569"/>
      <c r="AQ142" s="569"/>
      <c r="AR142" s="569"/>
      <c r="AS142" s="570"/>
      <c r="AT142" s="568"/>
      <c r="AU142" s="569"/>
      <c r="AV142" s="569"/>
      <c r="AW142" s="569"/>
      <c r="AX142" s="570"/>
    </row>
    <row r="143" spans="2:50" ht="15.75">
      <c r="B143" s="579"/>
      <c r="C143" s="579"/>
      <c r="D143" s="579"/>
      <c r="E143" s="579"/>
      <c r="F143" s="579"/>
      <c r="G143" s="579"/>
      <c r="H143" s="579"/>
      <c r="I143" s="205"/>
      <c r="J143" s="205"/>
      <c r="K143" s="205"/>
      <c r="L143" s="205"/>
      <c r="M143" s="206"/>
      <c r="N143" s="567"/>
      <c r="O143" s="567"/>
      <c r="P143" s="571" t="s">
        <v>332</v>
      </c>
      <c r="Q143" s="572"/>
      <c r="R143" s="572"/>
      <c r="S143" s="572"/>
      <c r="T143" s="572"/>
      <c r="U143" s="571" t="s">
        <v>333</v>
      </c>
      <c r="V143" s="572"/>
      <c r="W143" s="572"/>
      <c r="X143" s="572"/>
      <c r="Y143" s="572"/>
      <c r="Z143" s="571" t="s">
        <v>334</v>
      </c>
      <c r="AA143" s="572"/>
      <c r="AB143" s="572"/>
      <c r="AC143" s="572"/>
      <c r="AD143" s="572"/>
      <c r="AE143" s="571" t="s">
        <v>335</v>
      </c>
      <c r="AF143" s="572"/>
      <c r="AG143" s="572"/>
      <c r="AH143" s="572"/>
      <c r="AI143" s="572"/>
      <c r="AJ143" s="571" t="s">
        <v>336</v>
      </c>
      <c r="AK143" s="572"/>
      <c r="AL143" s="572"/>
      <c r="AM143" s="572"/>
      <c r="AN143" s="572"/>
      <c r="AO143" s="571" t="s">
        <v>337</v>
      </c>
      <c r="AP143" s="572"/>
      <c r="AQ143" s="572"/>
      <c r="AR143" s="572"/>
      <c r="AS143" s="572"/>
      <c r="AT143" s="571"/>
      <c r="AU143" s="572"/>
      <c r="AV143" s="572"/>
      <c r="AW143" s="572"/>
      <c r="AX143" s="572"/>
    </row>
    <row r="144" spans="2:50">
      <c r="B144" s="559" t="s">
        <v>817</v>
      </c>
      <c r="C144" s="559" t="s">
        <v>818</v>
      </c>
      <c r="D144" s="559"/>
      <c r="E144" s="559" t="s">
        <v>819</v>
      </c>
      <c r="F144" s="559"/>
      <c r="G144" s="559"/>
      <c r="H144" s="560" t="s">
        <v>820</v>
      </c>
      <c r="I144" s="543" t="s">
        <v>821</v>
      </c>
      <c r="J144" s="543"/>
      <c r="K144" s="543"/>
      <c r="L144" s="544" t="s">
        <v>822</v>
      </c>
      <c r="M144" s="550" t="s">
        <v>417</v>
      </c>
      <c r="N144" s="559"/>
      <c r="O144" s="559" t="s">
        <v>823</v>
      </c>
      <c r="P144" s="556" t="s">
        <v>824</v>
      </c>
      <c r="Q144" s="557"/>
      <c r="R144" s="557"/>
      <c r="S144" s="558"/>
      <c r="T144" s="559" t="s">
        <v>416</v>
      </c>
      <c r="U144" s="556" t="s">
        <v>825</v>
      </c>
      <c r="V144" s="557"/>
      <c r="W144" s="557"/>
      <c r="X144" s="558"/>
      <c r="Y144" s="559" t="s">
        <v>820</v>
      </c>
      <c r="Z144" s="556" t="s">
        <v>826</v>
      </c>
      <c r="AA144" s="557"/>
      <c r="AB144" s="557"/>
      <c r="AC144" s="558"/>
      <c r="AD144" s="559" t="s">
        <v>822</v>
      </c>
      <c r="AE144" s="556" t="s">
        <v>418</v>
      </c>
      <c r="AF144" s="557"/>
      <c r="AG144" s="557"/>
      <c r="AH144" s="558"/>
      <c r="AI144" s="559" t="s">
        <v>827</v>
      </c>
      <c r="AJ144" s="556" t="s">
        <v>824</v>
      </c>
      <c r="AK144" s="557"/>
      <c r="AL144" s="557"/>
      <c r="AM144" s="558"/>
      <c r="AN144" s="559" t="s">
        <v>416</v>
      </c>
      <c r="AO144" s="556" t="s">
        <v>825</v>
      </c>
      <c r="AP144" s="557"/>
      <c r="AQ144" s="557"/>
      <c r="AR144" s="558"/>
      <c r="AS144" s="559" t="s">
        <v>820</v>
      </c>
      <c r="AT144" s="556" t="s">
        <v>826</v>
      </c>
      <c r="AU144" s="557"/>
      <c r="AV144" s="557"/>
      <c r="AW144" s="558"/>
      <c r="AX144" s="559" t="s">
        <v>822</v>
      </c>
    </row>
    <row r="145" spans="2:50">
      <c r="B145" s="559"/>
      <c r="C145" s="559"/>
      <c r="D145" s="559"/>
      <c r="E145" s="559" t="s">
        <v>422</v>
      </c>
      <c r="F145" s="559"/>
      <c r="G145" s="559"/>
      <c r="H145" s="561"/>
      <c r="I145" s="543" t="s">
        <v>828</v>
      </c>
      <c r="J145" s="543"/>
      <c r="K145" s="543"/>
      <c r="L145" s="545"/>
      <c r="M145" s="551"/>
      <c r="N145" s="559"/>
      <c r="O145" s="559"/>
      <c r="P145" s="556" t="s">
        <v>829</v>
      </c>
      <c r="Q145" s="557"/>
      <c r="R145" s="557"/>
      <c r="S145" s="558"/>
      <c r="T145" s="559"/>
      <c r="U145" s="556" t="s">
        <v>423</v>
      </c>
      <c r="V145" s="557"/>
      <c r="W145" s="557"/>
      <c r="X145" s="558"/>
      <c r="Y145" s="559"/>
      <c r="Z145" s="556" t="s">
        <v>830</v>
      </c>
      <c r="AA145" s="557"/>
      <c r="AB145" s="557"/>
      <c r="AC145" s="558"/>
      <c r="AD145" s="559"/>
      <c r="AE145" s="556" t="s">
        <v>831</v>
      </c>
      <c r="AF145" s="557"/>
      <c r="AG145" s="557"/>
      <c r="AH145" s="558"/>
      <c r="AI145" s="559"/>
      <c r="AJ145" s="556" t="s">
        <v>832</v>
      </c>
      <c r="AK145" s="557"/>
      <c r="AL145" s="557"/>
      <c r="AM145" s="558"/>
      <c r="AN145" s="559"/>
      <c r="AO145" s="556" t="s">
        <v>829</v>
      </c>
      <c r="AP145" s="557"/>
      <c r="AQ145" s="557"/>
      <c r="AR145" s="558"/>
      <c r="AS145" s="559"/>
      <c r="AT145" s="556" t="s">
        <v>423</v>
      </c>
      <c r="AU145" s="557"/>
      <c r="AV145" s="557"/>
      <c r="AW145" s="558"/>
      <c r="AX145" s="559"/>
    </row>
    <row r="146" spans="2:50">
      <c r="B146" s="559"/>
      <c r="C146" s="559"/>
      <c r="D146" s="559"/>
      <c r="E146" s="450" t="s">
        <v>833</v>
      </c>
      <c r="F146" s="450" t="s">
        <v>834</v>
      </c>
      <c r="G146" s="450" t="s">
        <v>426</v>
      </c>
      <c r="H146" s="562"/>
      <c r="I146" s="449" t="s">
        <v>835</v>
      </c>
      <c r="J146" s="449" t="s">
        <v>836</v>
      </c>
      <c r="K146" s="449" t="s">
        <v>837</v>
      </c>
      <c r="L146" s="546"/>
      <c r="M146" s="552"/>
      <c r="N146" s="559"/>
      <c r="O146" s="559"/>
      <c r="P146" s="450" t="s">
        <v>838</v>
      </c>
      <c r="Q146" s="450" t="s">
        <v>836</v>
      </c>
      <c r="R146" s="450" t="s">
        <v>837</v>
      </c>
      <c r="S146" s="450" t="s">
        <v>839</v>
      </c>
      <c r="T146" s="559"/>
      <c r="U146" s="450" t="s">
        <v>838</v>
      </c>
      <c r="V146" s="450" t="s">
        <v>836</v>
      </c>
      <c r="W146" s="450" t="s">
        <v>837</v>
      </c>
      <c r="X146" s="450" t="s">
        <v>839</v>
      </c>
      <c r="Y146" s="559"/>
      <c r="Z146" s="450" t="s">
        <v>838</v>
      </c>
      <c r="AA146" s="450" t="s">
        <v>836</v>
      </c>
      <c r="AB146" s="450" t="s">
        <v>837</v>
      </c>
      <c r="AC146" s="450" t="s">
        <v>839</v>
      </c>
      <c r="AD146" s="559"/>
      <c r="AE146" s="450" t="s">
        <v>838</v>
      </c>
      <c r="AF146" s="450" t="s">
        <v>836</v>
      </c>
      <c r="AG146" s="450" t="s">
        <v>837</v>
      </c>
      <c r="AH146" s="450" t="s">
        <v>839</v>
      </c>
      <c r="AI146" s="559"/>
      <c r="AJ146" s="450" t="s">
        <v>838</v>
      </c>
      <c r="AK146" s="450" t="s">
        <v>836</v>
      </c>
      <c r="AL146" s="450" t="s">
        <v>837</v>
      </c>
      <c r="AM146" s="450" t="s">
        <v>839</v>
      </c>
      <c r="AN146" s="559"/>
      <c r="AO146" s="450" t="s">
        <v>838</v>
      </c>
      <c r="AP146" s="450" t="s">
        <v>836</v>
      </c>
      <c r="AQ146" s="450" t="s">
        <v>837</v>
      </c>
      <c r="AR146" s="450" t="s">
        <v>839</v>
      </c>
      <c r="AS146" s="559"/>
      <c r="AT146" s="450" t="s">
        <v>838</v>
      </c>
      <c r="AU146" s="450" t="s">
        <v>836</v>
      </c>
      <c r="AV146" s="450" t="s">
        <v>837</v>
      </c>
      <c r="AW146" s="450" t="s">
        <v>839</v>
      </c>
      <c r="AX146" s="559"/>
    </row>
    <row r="147" spans="2:50">
      <c r="B147" s="572" t="s">
        <v>150</v>
      </c>
      <c r="C147" s="451">
        <v>1</v>
      </c>
      <c r="D147" s="451" t="s">
        <v>356</v>
      </c>
      <c r="E147" s="451">
        <v>4</v>
      </c>
      <c r="F147" s="451">
        <v>2200</v>
      </c>
      <c r="G147" s="451">
        <v>550</v>
      </c>
      <c r="H147" s="573">
        <f>AVERAGE(G147:G176)</f>
        <v>842.80303030303037</v>
      </c>
      <c r="I147" s="456">
        <f>AVERAGE(P147,U147,Z147,AE147,AJ147,AO147,AT147)</f>
        <v>3</v>
      </c>
      <c r="J147" s="456">
        <f>AVERAGE(Q147,V147,AA147,AF147,AK147,AP147,AU147)</f>
        <v>3229.2325581395348</v>
      </c>
      <c r="K147" s="454">
        <f>AVERAGE(R147,W147,AB147,AG147,AL147,AQ147,AV147)</f>
        <v>1076.4108527131784</v>
      </c>
      <c r="L147" s="540">
        <f>IFERROR(AVERAGE(K147:K176),"-")</f>
        <v>802.01754375755297</v>
      </c>
      <c r="M147" s="456">
        <f>RANK(K147, K$147:$K$176)</f>
        <v>2</v>
      </c>
      <c r="N147" s="559"/>
      <c r="O147" s="559"/>
      <c r="P147" s="182">
        <v>3</v>
      </c>
      <c r="Q147" s="182">
        <v>3242.6666666666665</v>
      </c>
      <c r="R147" s="182">
        <v>1080.8888888888889</v>
      </c>
      <c r="S147" s="451">
        <f>RANK(R147, R$147:R$176)</f>
        <v>3</v>
      </c>
      <c r="T147" s="573">
        <f>AVERAGE(R147:R176)</f>
        <v>817.27582134233933</v>
      </c>
      <c r="U147" s="182">
        <v>3</v>
      </c>
      <c r="V147" s="182">
        <v>3236</v>
      </c>
      <c r="W147" s="182">
        <v>1078.6666666666667</v>
      </c>
      <c r="X147" s="451">
        <f t="shared" ref="X147:X176" si="54">RANK(W147, W$147:W$176)</f>
        <v>5</v>
      </c>
      <c r="Y147" s="573">
        <f t="shared" ref="Y147" si="55">AVERAGE(W147:W176)</f>
        <v>815.88636865003468</v>
      </c>
      <c r="Z147" s="182">
        <v>3</v>
      </c>
      <c r="AA147" s="182">
        <v>3237.3333333333335</v>
      </c>
      <c r="AB147" s="182">
        <v>1079.1111111111111</v>
      </c>
      <c r="AC147" s="451">
        <f t="shared" ref="AC147:AC176" si="56">RANK(AB147, AB$147:AB$176)</f>
        <v>3</v>
      </c>
      <c r="AD147" s="573">
        <f t="shared" ref="AD147" si="57">AVERAGE(AB147:AB176)</f>
        <v>815.23797677207506</v>
      </c>
      <c r="AE147" s="182">
        <v>3</v>
      </c>
      <c r="AF147" s="182">
        <v>3200.9302325581389</v>
      </c>
      <c r="AG147" s="182">
        <v>1066.9767441860463</v>
      </c>
      <c r="AH147" s="451">
        <f t="shared" ref="AH147:AH176" si="58">RANK(AG147, AG$147:AG$176)</f>
        <v>1</v>
      </c>
      <c r="AI147" s="573">
        <f t="shared" ref="AI147" si="59">AVERAGE(AG147:AG176)</f>
        <v>767.58322465007393</v>
      </c>
      <c r="AJ147" s="182"/>
      <c r="AK147" s="182"/>
      <c r="AL147" s="182"/>
      <c r="AM147" s="451" t="e">
        <f t="shared" ref="AM147:AM176" si="60">RANK(AL147, AL$147:AL$176)</f>
        <v>#N/A</v>
      </c>
      <c r="AN147" s="573" t="e">
        <f t="shared" ref="AN147" si="61">AVERAGE(AL147:AL176)</f>
        <v>#DIV/0!</v>
      </c>
      <c r="AO147" s="182"/>
      <c r="AP147" s="182"/>
      <c r="AQ147" s="182"/>
      <c r="AR147" s="451" t="e">
        <f t="shared" ref="AR147:AR176" si="62">RANK(AQ147, AQ$147:AQ$176)</f>
        <v>#N/A</v>
      </c>
      <c r="AS147" s="573" t="e">
        <f t="shared" ref="AS147" si="63">AVERAGE(AQ147:AQ176)</f>
        <v>#DIV/0!</v>
      </c>
      <c r="AT147" s="182"/>
      <c r="AU147" s="182"/>
      <c r="AV147" s="182"/>
      <c r="AW147" s="451" t="e">
        <f t="shared" ref="AW147:AW176" si="64">RANK(AV147, AV$147:AV$176)</f>
        <v>#N/A</v>
      </c>
      <c r="AX147" s="573" t="e">
        <f t="shared" ref="AX147" si="65">AVERAGE(AV147:AV176)</f>
        <v>#DIV/0!</v>
      </c>
    </row>
    <row r="148" spans="2:50">
      <c r="B148" s="572"/>
      <c r="C148" s="451">
        <v>2</v>
      </c>
      <c r="D148" s="451" t="s">
        <v>357</v>
      </c>
      <c r="E148" s="451">
        <v>3</v>
      </c>
      <c r="F148" s="451">
        <v>2700</v>
      </c>
      <c r="G148" s="451">
        <v>900</v>
      </c>
      <c r="H148" s="574"/>
      <c r="I148" s="456">
        <f t="shared" ref="I148:K163" si="66">AVERAGE(P148,U148,Z148,AE148,AJ148,AO148,AT148)</f>
        <v>3</v>
      </c>
      <c r="J148" s="456">
        <f t="shared" si="66"/>
        <v>3289.6153846153966</v>
      </c>
      <c r="K148" s="454">
        <f t="shared" si="66"/>
        <v>1096.5384615384653</v>
      </c>
      <c r="L148" s="541"/>
      <c r="M148" s="456">
        <f>RANK(K148, K$147:$K$176)</f>
        <v>1</v>
      </c>
      <c r="N148" s="559"/>
      <c r="O148" s="559"/>
      <c r="P148" s="182">
        <v>3</v>
      </c>
      <c r="Q148" s="182">
        <v>3360.0000000000118</v>
      </c>
      <c r="R148" s="182">
        <v>1120.0000000000039</v>
      </c>
      <c r="S148" s="451">
        <f t="shared" ref="S148:S176" si="67">RANK(R148, R$147:R$176)</f>
        <v>1</v>
      </c>
      <c r="T148" s="574"/>
      <c r="U148" s="182">
        <v>3</v>
      </c>
      <c r="V148" s="182">
        <v>3401.5384615384737</v>
      </c>
      <c r="W148" s="182">
        <v>1133.8461538461579</v>
      </c>
      <c r="X148" s="451">
        <f t="shared" si="54"/>
        <v>1</v>
      </c>
      <c r="Y148" s="574"/>
      <c r="Z148" s="182">
        <v>3</v>
      </c>
      <c r="AA148" s="182">
        <v>3240.0000000000114</v>
      </c>
      <c r="AB148" s="182">
        <v>1080.0000000000039</v>
      </c>
      <c r="AC148" s="451">
        <f t="shared" si="56"/>
        <v>2</v>
      </c>
      <c r="AD148" s="574"/>
      <c r="AE148" s="182">
        <v>3</v>
      </c>
      <c r="AF148" s="182">
        <v>3156.9230769230885</v>
      </c>
      <c r="AG148" s="182">
        <v>1052.3076923076962</v>
      </c>
      <c r="AH148" s="451">
        <f t="shared" si="58"/>
        <v>2</v>
      </c>
      <c r="AI148" s="574"/>
      <c r="AJ148" s="182"/>
      <c r="AK148" s="182"/>
      <c r="AL148" s="182"/>
      <c r="AM148" s="451" t="e">
        <f t="shared" si="60"/>
        <v>#N/A</v>
      </c>
      <c r="AN148" s="574"/>
      <c r="AO148" s="182"/>
      <c r="AP148" s="182"/>
      <c r="AQ148" s="182"/>
      <c r="AR148" s="451" t="e">
        <f t="shared" si="62"/>
        <v>#N/A</v>
      </c>
      <c r="AS148" s="574"/>
      <c r="AT148" s="182"/>
      <c r="AU148" s="182"/>
      <c r="AV148" s="182"/>
      <c r="AW148" s="451" t="e">
        <f t="shared" si="64"/>
        <v>#N/A</v>
      </c>
      <c r="AX148" s="574"/>
    </row>
    <row r="149" spans="2:50">
      <c r="B149" s="572"/>
      <c r="C149" s="451">
        <v>3</v>
      </c>
      <c r="D149" s="451" t="s">
        <v>343</v>
      </c>
      <c r="E149" s="451">
        <v>4</v>
      </c>
      <c r="F149" s="451">
        <v>3600</v>
      </c>
      <c r="G149" s="451">
        <v>900</v>
      </c>
      <c r="H149" s="574"/>
      <c r="I149" s="456">
        <f t="shared" si="66"/>
        <v>4</v>
      </c>
      <c r="J149" s="456">
        <f t="shared" si="66"/>
        <v>3222.1323529411766</v>
      </c>
      <c r="K149" s="454">
        <f t="shared" si="66"/>
        <v>805.53308823529414</v>
      </c>
      <c r="L149" s="541"/>
      <c r="M149" s="456">
        <f>RANK(K149, K$147:$K$176)</f>
        <v>11</v>
      </c>
      <c r="N149" s="559"/>
      <c r="O149" s="559"/>
      <c r="P149" s="182">
        <v>4</v>
      </c>
      <c r="Q149" s="182">
        <v>3321.1764705882397</v>
      </c>
      <c r="R149" s="182">
        <v>830.29411764705992</v>
      </c>
      <c r="S149" s="451">
        <f t="shared" si="67"/>
        <v>10</v>
      </c>
      <c r="T149" s="574"/>
      <c r="U149" s="182">
        <v>4</v>
      </c>
      <c r="V149" s="182">
        <v>3222.3529411764748</v>
      </c>
      <c r="W149" s="182">
        <v>805.5882352941187</v>
      </c>
      <c r="X149" s="451">
        <f t="shared" si="54"/>
        <v>12</v>
      </c>
      <c r="Y149" s="574"/>
      <c r="Z149" s="182">
        <v>4</v>
      </c>
      <c r="AA149" s="182">
        <v>3273.7499999999959</v>
      </c>
      <c r="AB149" s="182">
        <v>818.43749999999898</v>
      </c>
      <c r="AC149" s="451">
        <f t="shared" si="56"/>
        <v>10</v>
      </c>
      <c r="AD149" s="574"/>
      <c r="AE149" s="182">
        <v>4</v>
      </c>
      <c r="AF149" s="182">
        <v>3071.2499999999959</v>
      </c>
      <c r="AG149" s="182">
        <v>767.81249999999898</v>
      </c>
      <c r="AH149" s="451">
        <f t="shared" si="58"/>
        <v>11</v>
      </c>
      <c r="AI149" s="574"/>
      <c r="AJ149" s="182"/>
      <c r="AK149" s="182"/>
      <c r="AL149" s="182"/>
      <c r="AM149" s="451" t="e">
        <f t="shared" si="60"/>
        <v>#N/A</v>
      </c>
      <c r="AN149" s="574"/>
      <c r="AO149" s="182"/>
      <c r="AP149" s="182"/>
      <c r="AQ149" s="182"/>
      <c r="AR149" s="451" t="e">
        <f t="shared" si="62"/>
        <v>#N/A</v>
      </c>
      <c r="AS149" s="574"/>
      <c r="AT149" s="182"/>
      <c r="AU149" s="182"/>
      <c r="AV149" s="182"/>
      <c r="AW149" s="451" t="e">
        <f t="shared" si="64"/>
        <v>#N/A</v>
      </c>
      <c r="AX149" s="574"/>
    </row>
    <row r="150" spans="2:50">
      <c r="B150" s="572"/>
      <c r="C150" s="451">
        <v>4</v>
      </c>
      <c r="D150" s="451" t="s">
        <v>359</v>
      </c>
      <c r="E150" s="451">
        <v>3</v>
      </c>
      <c r="F150" s="451">
        <v>3600</v>
      </c>
      <c r="G150" s="451">
        <v>1200</v>
      </c>
      <c r="H150" s="574"/>
      <c r="I150" s="456">
        <f t="shared" si="66"/>
        <v>3</v>
      </c>
      <c r="J150" s="456">
        <f t="shared" si="66"/>
        <v>3214.7196300966802</v>
      </c>
      <c r="K150" s="454">
        <f t="shared" si="66"/>
        <v>1071.5732100322266</v>
      </c>
      <c r="L150" s="541"/>
      <c r="M150" s="456">
        <f>RANK(K150, K$147:$K$176)</f>
        <v>3</v>
      </c>
      <c r="N150" s="559"/>
      <c r="O150" s="559"/>
      <c r="P150" s="182">
        <v>3</v>
      </c>
      <c r="Q150" s="182">
        <v>3218.7692307692346</v>
      </c>
      <c r="R150" s="182">
        <v>1072.9230769230783</v>
      </c>
      <c r="S150" s="451">
        <f t="shared" si="67"/>
        <v>5</v>
      </c>
      <c r="T150" s="574"/>
      <c r="U150" s="182">
        <v>3</v>
      </c>
      <c r="V150" s="182">
        <v>3269.1666666666674</v>
      </c>
      <c r="W150" s="182">
        <v>1089.7222222222224</v>
      </c>
      <c r="X150" s="451">
        <f t="shared" si="54"/>
        <v>3</v>
      </c>
      <c r="Y150" s="574"/>
      <c r="Z150" s="182">
        <v>3</v>
      </c>
      <c r="AA150" s="182">
        <v>3217.4999999999959</v>
      </c>
      <c r="AB150" s="182">
        <v>1072.4999999999986</v>
      </c>
      <c r="AC150" s="451">
        <f t="shared" si="56"/>
        <v>4</v>
      </c>
      <c r="AD150" s="574"/>
      <c r="AE150" s="182">
        <v>3</v>
      </c>
      <c r="AF150" s="182">
        <v>3153.4426229508226</v>
      </c>
      <c r="AG150" s="182">
        <v>1051.1475409836075</v>
      </c>
      <c r="AH150" s="451">
        <f t="shared" si="58"/>
        <v>3</v>
      </c>
      <c r="AI150" s="574"/>
      <c r="AJ150" s="182"/>
      <c r="AK150" s="182"/>
      <c r="AL150" s="182"/>
      <c r="AM150" s="451" t="e">
        <f t="shared" si="60"/>
        <v>#N/A</v>
      </c>
      <c r="AN150" s="574"/>
      <c r="AO150" s="182"/>
      <c r="AP150" s="182"/>
      <c r="AQ150" s="182"/>
      <c r="AR150" s="451" t="e">
        <f t="shared" si="62"/>
        <v>#N/A</v>
      </c>
      <c r="AS150" s="574"/>
      <c r="AT150" s="182"/>
      <c r="AU150" s="182"/>
      <c r="AV150" s="182"/>
      <c r="AW150" s="451" t="e">
        <f t="shared" si="64"/>
        <v>#N/A</v>
      </c>
      <c r="AX150" s="574"/>
    </row>
    <row r="151" spans="2:50">
      <c r="B151" s="572"/>
      <c r="C151" s="451">
        <v>5</v>
      </c>
      <c r="D151" s="451" t="s">
        <v>360</v>
      </c>
      <c r="E151" s="451">
        <v>3</v>
      </c>
      <c r="F151" s="451">
        <v>3600</v>
      </c>
      <c r="G151" s="451">
        <v>1200</v>
      </c>
      <c r="H151" s="574"/>
      <c r="I151" s="456">
        <f t="shared" si="66"/>
        <v>4</v>
      </c>
      <c r="J151" s="456">
        <f t="shared" si="66"/>
        <v>3233.3076923076887</v>
      </c>
      <c r="K151" s="454">
        <f t="shared" si="66"/>
        <v>808.32692307692218</v>
      </c>
      <c r="L151" s="541"/>
      <c r="M151" s="456">
        <f>RANK(K151, K$147:$K$176)</f>
        <v>10</v>
      </c>
      <c r="N151" s="559"/>
      <c r="O151" s="559"/>
      <c r="P151" s="182">
        <v>4</v>
      </c>
      <c r="Q151" s="182">
        <v>3313.8461538461502</v>
      </c>
      <c r="R151" s="182">
        <v>828.46153846153754</v>
      </c>
      <c r="S151" s="451">
        <f t="shared" si="67"/>
        <v>11</v>
      </c>
      <c r="T151" s="574"/>
      <c r="U151" s="182">
        <v>4</v>
      </c>
      <c r="V151" s="182">
        <v>3274.6153846153811</v>
      </c>
      <c r="W151" s="182">
        <v>818.65384615384528</v>
      </c>
      <c r="X151" s="451">
        <f t="shared" si="54"/>
        <v>11</v>
      </c>
      <c r="Y151" s="574"/>
      <c r="Z151" s="182">
        <v>4</v>
      </c>
      <c r="AA151" s="182">
        <v>3260.7692307692273</v>
      </c>
      <c r="AB151" s="182">
        <v>815.19230769230683</v>
      </c>
      <c r="AC151" s="451">
        <f t="shared" si="56"/>
        <v>12</v>
      </c>
      <c r="AD151" s="574"/>
      <c r="AE151" s="182">
        <v>4</v>
      </c>
      <c r="AF151" s="182">
        <v>3083.9999999999959</v>
      </c>
      <c r="AG151" s="182">
        <v>770.99999999999898</v>
      </c>
      <c r="AH151" s="451">
        <f t="shared" si="58"/>
        <v>10</v>
      </c>
      <c r="AI151" s="574"/>
      <c r="AJ151" s="182"/>
      <c r="AK151" s="182"/>
      <c r="AL151" s="182"/>
      <c r="AM151" s="451" t="e">
        <f t="shared" si="60"/>
        <v>#N/A</v>
      </c>
      <c r="AN151" s="574"/>
      <c r="AO151" s="182"/>
      <c r="AP151" s="182"/>
      <c r="AQ151" s="182"/>
      <c r="AR151" s="451" t="e">
        <f t="shared" si="62"/>
        <v>#N/A</v>
      </c>
      <c r="AS151" s="574"/>
      <c r="AT151" s="182"/>
      <c r="AU151" s="182"/>
      <c r="AV151" s="182"/>
      <c r="AW151" s="451" t="e">
        <f t="shared" si="64"/>
        <v>#N/A</v>
      </c>
      <c r="AX151" s="574"/>
    </row>
    <row r="152" spans="2:50">
      <c r="B152" s="572"/>
      <c r="C152" s="451">
        <v>6</v>
      </c>
      <c r="D152" s="451" t="s">
        <v>358</v>
      </c>
      <c r="E152" s="451">
        <v>4</v>
      </c>
      <c r="F152" s="451">
        <v>3600</v>
      </c>
      <c r="G152" s="451">
        <v>900</v>
      </c>
      <c r="H152" s="574"/>
      <c r="I152" s="456">
        <f t="shared" si="66"/>
        <v>4</v>
      </c>
      <c r="J152" s="456">
        <f t="shared" si="66"/>
        <v>3390.9090909090946</v>
      </c>
      <c r="K152" s="454">
        <f t="shared" si="66"/>
        <v>847.72727272727366</v>
      </c>
      <c r="L152" s="541"/>
      <c r="M152" s="456">
        <f>RANK(K152, K$147:$K$176)</f>
        <v>9</v>
      </c>
      <c r="N152" s="559"/>
      <c r="O152" s="559"/>
      <c r="P152" s="182">
        <v>4</v>
      </c>
      <c r="Q152" s="182">
        <v>3510.0000000000009</v>
      </c>
      <c r="R152" s="182">
        <v>877.50000000000023</v>
      </c>
      <c r="S152" s="451">
        <f t="shared" si="67"/>
        <v>9</v>
      </c>
      <c r="T152" s="574"/>
      <c r="U152" s="182">
        <v>4</v>
      </c>
      <c r="V152" s="182">
        <v>3500.0000000000009</v>
      </c>
      <c r="W152" s="182">
        <v>875.00000000000023</v>
      </c>
      <c r="X152" s="451">
        <f t="shared" si="54"/>
        <v>9</v>
      </c>
      <c r="Y152" s="574"/>
      <c r="Z152" s="182">
        <v>4</v>
      </c>
      <c r="AA152" s="182">
        <v>3390.0000000000118</v>
      </c>
      <c r="AB152" s="182">
        <v>847.50000000000296</v>
      </c>
      <c r="AC152" s="451">
        <f t="shared" si="56"/>
        <v>9</v>
      </c>
      <c r="AD152" s="574"/>
      <c r="AE152" s="182">
        <v>4</v>
      </c>
      <c r="AF152" s="182">
        <v>3163.6363636363635</v>
      </c>
      <c r="AG152" s="182">
        <v>790.90909090909088</v>
      </c>
      <c r="AH152" s="451">
        <f t="shared" si="58"/>
        <v>9</v>
      </c>
      <c r="AI152" s="574"/>
      <c r="AJ152" s="182"/>
      <c r="AK152" s="182"/>
      <c r="AL152" s="182"/>
      <c r="AM152" s="451" t="e">
        <f t="shared" si="60"/>
        <v>#N/A</v>
      </c>
      <c r="AN152" s="574"/>
      <c r="AO152" s="182"/>
      <c r="AP152" s="182"/>
      <c r="AQ152" s="182"/>
      <c r="AR152" s="451" t="e">
        <f t="shared" si="62"/>
        <v>#N/A</v>
      </c>
      <c r="AS152" s="574"/>
      <c r="AT152" s="182"/>
      <c r="AU152" s="182"/>
      <c r="AV152" s="182"/>
      <c r="AW152" s="451" t="e">
        <f t="shared" si="64"/>
        <v>#N/A</v>
      </c>
      <c r="AX152" s="574"/>
    </row>
    <row r="153" spans="2:50">
      <c r="B153" s="572"/>
      <c r="C153" s="451">
        <v>7</v>
      </c>
      <c r="D153" s="451" t="s">
        <v>361</v>
      </c>
      <c r="E153" s="451">
        <v>4</v>
      </c>
      <c r="F153" s="451">
        <v>3300</v>
      </c>
      <c r="G153" s="451">
        <v>825</v>
      </c>
      <c r="H153" s="574"/>
      <c r="I153" s="456">
        <f t="shared" si="66"/>
        <v>4</v>
      </c>
      <c r="J153" s="456">
        <f t="shared" si="66"/>
        <v>2891.3636363636374</v>
      </c>
      <c r="K153" s="454">
        <f t="shared" si="66"/>
        <v>722.84090909090935</v>
      </c>
      <c r="L153" s="541"/>
      <c r="M153" s="456">
        <f>RANK(K153, K$147:$K$176)</f>
        <v>14</v>
      </c>
      <c r="N153" s="559"/>
      <c r="O153" s="559"/>
      <c r="P153" s="182">
        <v>4</v>
      </c>
      <c r="Q153" s="182">
        <v>3000.0000000000009</v>
      </c>
      <c r="R153" s="182">
        <v>750.00000000000023</v>
      </c>
      <c r="S153" s="451">
        <f t="shared" si="67"/>
        <v>14</v>
      </c>
      <c r="T153" s="574"/>
      <c r="U153" s="182">
        <v>4</v>
      </c>
      <c r="V153" s="182">
        <v>2960.0000000000009</v>
      </c>
      <c r="W153" s="182">
        <v>740.00000000000023</v>
      </c>
      <c r="X153" s="451">
        <f t="shared" si="54"/>
        <v>13</v>
      </c>
      <c r="Y153" s="574"/>
      <c r="Z153" s="182">
        <v>4</v>
      </c>
      <c r="AA153" s="182">
        <v>2900.0000000000009</v>
      </c>
      <c r="AB153" s="182">
        <v>725.00000000000023</v>
      </c>
      <c r="AC153" s="451">
        <f t="shared" si="56"/>
        <v>14</v>
      </c>
      <c r="AD153" s="574"/>
      <c r="AE153" s="182">
        <v>4</v>
      </c>
      <c r="AF153" s="182">
        <v>2705.4545454545455</v>
      </c>
      <c r="AG153" s="182">
        <v>676.36363636363637</v>
      </c>
      <c r="AH153" s="451">
        <f t="shared" si="58"/>
        <v>17</v>
      </c>
      <c r="AI153" s="574"/>
      <c r="AJ153" s="182"/>
      <c r="AK153" s="182"/>
      <c r="AL153" s="182"/>
      <c r="AM153" s="451" t="e">
        <f t="shared" si="60"/>
        <v>#N/A</v>
      </c>
      <c r="AN153" s="574"/>
      <c r="AO153" s="182"/>
      <c r="AP153" s="182"/>
      <c r="AQ153" s="182"/>
      <c r="AR153" s="451" t="e">
        <f t="shared" si="62"/>
        <v>#N/A</v>
      </c>
      <c r="AS153" s="574"/>
      <c r="AT153" s="182"/>
      <c r="AU153" s="182"/>
      <c r="AV153" s="182"/>
      <c r="AW153" s="451" t="e">
        <f t="shared" si="64"/>
        <v>#N/A</v>
      </c>
      <c r="AX153" s="574"/>
    </row>
    <row r="154" spans="2:50">
      <c r="B154" s="572"/>
      <c r="C154" s="451">
        <v>8</v>
      </c>
      <c r="D154" s="451" t="s">
        <v>362</v>
      </c>
      <c r="E154" s="451">
        <v>3</v>
      </c>
      <c r="F154" s="451">
        <v>3300</v>
      </c>
      <c r="G154" s="451">
        <v>1100</v>
      </c>
      <c r="H154" s="574"/>
      <c r="I154" s="456">
        <f t="shared" si="66"/>
        <v>3</v>
      </c>
      <c r="J154" s="456">
        <f t="shared" si="66"/>
        <v>3210.7499999999927</v>
      </c>
      <c r="K154" s="454">
        <f t="shared" si="66"/>
        <v>1070.2499999999975</v>
      </c>
      <c r="L154" s="541"/>
      <c r="M154" s="456">
        <f>RANK(K154, K$147:$K$176)</f>
        <v>4</v>
      </c>
      <c r="N154" s="559"/>
      <c r="O154" s="559"/>
      <c r="P154" s="182">
        <v>3</v>
      </c>
      <c r="Q154" s="182">
        <v>3228.0000000000009</v>
      </c>
      <c r="R154" s="182">
        <v>1076.0000000000002</v>
      </c>
      <c r="S154" s="451">
        <f t="shared" si="67"/>
        <v>4</v>
      </c>
      <c r="T154" s="574"/>
      <c r="U154" s="182">
        <v>3</v>
      </c>
      <c r="V154" s="182">
        <v>3239.99999999999</v>
      </c>
      <c r="W154" s="182">
        <v>1079.9999999999966</v>
      </c>
      <c r="X154" s="451">
        <f t="shared" si="54"/>
        <v>4</v>
      </c>
      <c r="Y154" s="574"/>
      <c r="Z154" s="182">
        <v>3</v>
      </c>
      <c r="AA154" s="182">
        <v>3284.99999999999</v>
      </c>
      <c r="AB154" s="182">
        <v>1094.9999999999966</v>
      </c>
      <c r="AC154" s="451">
        <f t="shared" si="56"/>
        <v>1</v>
      </c>
      <c r="AD154" s="574"/>
      <c r="AE154" s="182">
        <v>3</v>
      </c>
      <c r="AF154" s="182">
        <v>3089.99999999999</v>
      </c>
      <c r="AG154" s="182">
        <v>1029.9999999999966</v>
      </c>
      <c r="AH154" s="451">
        <f t="shared" si="58"/>
        <v>4</v>
      </c>
      <c r="AI154" s="574"/>
      <c r="AJ154" s="182"/>
      <c r="AK154" s="182"/>
      <c r="AL154" s="182"/>
      <c r="AM154" s="451" t="e">
        <f t="shared" si="60"/>
        <v>#N/A</v>
      </c>
      <c r="AN154" s="574"/>
      <c r="AO154" s="182"/>
      <c r="AP154" s="182"/>
      <c r="AQ154" s="182"/>
      <c r="AR154" s="451" t="e">
        <f t="shared" si="62"/>
        <v>#N/A</v>
      </c>
      <c r="AS154" s="574"/>
      <c r="AT154" s="182"/>
      <c r="AU154" s="182"/>
      <c r="AV154" s="182"/>
      <c r="AW154" s="451" t="e">
        <f t="shared" si="64"/>
        <v>#N/A</v>
      </c>
      <c r="AX154" s="574"/>
    </row>
    <row r="155" spans="2:50">
      <c r="B155" s="572"/>
      <c r="C155" s="451">
        <v>9</v>
      </c>
      <c r="D155" s="451" t="s">
        <v>363</v>
      </c>
      <c r="E155" s="451">
        <v>3</v>
      </c>
      <c r="F155" s="451">
        <v>3300</v>
      </c>
      <c r="G155" s="451">
        <v>1100</v>
      </c>
      <c r="H155" s="574"/>
      <c r="I155" s="456">
        <f t="shared" si="66"/>
        <v>3</v>
      </c>
      <c r="J155" s="456">
        <f t="shared" si="66"/>
        <v>2831.22580645161</v>
      </c>
      <c r="K155" s="454">
        <f t="shared" si="66"/>
        <v>943.74193548387007</v>
      </c>
      <c r="L155" s="541"/>
      <c r="M155" s="456">
        <f>RANK(K155, K$147:$K$176)</f>
        <v>7</v>
      </c>
      <c r="N155" s="559"/>
      <c r="O155" s="559"/>
      <c r="P155" s="182">
        <v>3</v>
      </c>
      <c r="Q155" s="182">
        <v>2872.2580645161247</v>
      </c>
      <c r="R155" s="182">
        <v>957.41935483870827</v>
      </c>
      <c r="S155" s="451">
        <f t="shared" si="67"/>
        <v>6</v>
      </c>
      <c r="T155" s="574"/>
      <c r="U155" s="182">
        <v>3</v>
      </c>
      <c r="V155" s="182">
        <v>2852.903225806454</v>
      </c>
      <c r="W155" s="182">
        <v>950.9677419354847</v>
      </c>
      <c r="X155" s="451">
        <f t="shared" si="54"/>
        <v>7</v>
      </c>
      <c r="Y155" s="574"/>
      <c r="Z155" s="182">
        <v>3</v>
      </c>
      <c r="AA155" s="182">
        <v>2887.7419354838667</v>
      </c>
      <c r="AB155" s="182">
        <v>962.58064516128888</v>
      </c>
      <c r="AC155" s="451">
        <f t="shared" si="56"/>
        <v>7</v>
      </c>
      <c r="AD155" s="574"/>
      <c r="AE155" s="182">
        <v>3</v>
      </c>
      <c r="AF155" s="182">
        <v>2711.999999999995</v>
      </c>
      <c r="AG155" s="182">
        <v>903.99999999999829</v>
      </c>
      <c r="AH155" s="451">
        <f t="shared" si="58"/>
        <v>7</v>
      </c>
      <c r="AI155" s="574"/>
      <c r="AJ155" s="182"/>
      <c r="AK155" s="182"/>
      <c r="AL155" s="182"/>
      <c r="AM155" s="451" t="e">
        <f t="shared" si="60"/>
        <v>#N/A</v>
      </c>
      <c r="AN155" s="574"/>
      <c r="AO155" s="182"/>
      <c r="AP155" s="182"/>
      <c r="AQ155" s="182"/>
      <c r="AR155" s="451" t="e">
        <f t="shared" si="62"/>
        <v>#N/A</v>
      </c>
      <c r="AS155" s="574"/>
      <c r="AT155" s="182"/>
      <c r="AU155" s="182"/>
      <c r="AV155" s="182"/>
      <c r="AW155" s="451" t="e">
        <f t="shared" si="64"/>
        <v>#N/A</v>
      </c>
      <c r="AX155" s="574"/>
    </row>
    <row r="156" spans="2:50">
      <c r="B156" s="572"/>
      <c r="C156" s="451">
        <v>10</v>
      </c>
      <c r="D156" s="451" t="s">
        <v>364</v>
      </c>
      <c r="E156" s="451">
        <v>4</v>
      </c>
      <c r="F156" s="451">
        <v>3300</v>
      </c>
      <c r="G156" s="451">
        <v>825</v>
      </c>
      <c r="H156" s="574"/>
      <c r="I156" s="456">
        <f t="shared" si="66"/>
        <v>4</v>
      </c>
      <c r="J156" s="456">
        <f t="shared" si="66"/>
        <v>2829.4503546099299</v>
      </c>
      <c r="K156" s="454">
        <f t="shared" si="66"/>
        <v>707.36258865248249</v>
      </c>
      <c r="L156" s="541"/>
      <c r="M156" s="456">
        <f>RANK(K156, K$147:$K$176)</f>
        <v>16</v>
      </c>
      <c r="N156" s="559"/>
      <c r="O156" s="559"/>
      <c r="P156" s="182">
        <v>4</v>
      </c>
      <c r="Q156" s="182">
        <v>2850.0000000000009</v>
      </c>
      <c r="R156" s="182">
        <v>712.50000000000023</v>
      </c>
      <c r="S156" s="451">
        <f t="shared" si="67"/>
        <v>18</v>
      </c>
      <c r="T156" s="574"/>
      <c r="U156" s="182">
        <v>4</v>
      </c>
      <c r="V156" s="182">
        <v>2860.8510638297876</v>
      </c>
      <c r="W156" s="182">
        <v>715.21276595744689</v>
      </c>
      <c r="X156" s="451">
        <f t="shared" si="54"/>
        <v>14</v>
      </c>
      <c r="Y156" s="574"/>
      <c r="Z156" s="182">
        <v>4</v>
      </c>
      <c r="AA156" s="182">
        <v>2813.6170212765965</v>
      </c>
      <c r="AB156" s="182">
        <v>703.40425531914912</v>
      </c>
      <c r="AC156" s="451">
        <f t="shared" si="56"/>
        <v>18</v>
      </c>
      <c r="AD156" s="574"/>
      <c r="AE156" s="182">
        <v>4</v>
      </c>
      <c r="AF156" s="182">
        <v>2793.3333333333335</v>
      </c>
      <c r="AG156" s="182">
        <v>698.33333333333337</v>
      </c>
      <c r="AH156" s="451">
        <f t="shared" si="58"/>
        <v>14</v>
      </c>
      <c r="AI156" s="574"/>
      <c r="AJ156" s="182"/>
      <c r="AK156" s="182"/>
      <c r="AL156" s="182"/>
      <c r="AM156" s="451" t="e">
        <f t="shared" si="60"/>
        <v>#N/A</v>
      </c>
      <c r="AN156" s="574"/>
      <c r="AO156" s="182"/>
      <c r="AP156" s="182"/>
      <c r="AQ156" s="182"/>
      <c r="AR156" s="451" t="e">
        <f t="shared" si="62"/>
        <v>#N/A</v>
      </c>
      <c r="AS156" s="574"/>
      <c r="AT156" s="182"/>
      <c r="AU156" s="182"/>
      <c r="AV156" s="182"/>
      <c r="AW156" s="451" t="e">
        <f t="shared" si="64"/>
        <v>#N/A</v>
      </c>
      <c r="AX156" s="574"/>
    </row>
    <row r="157" spans="2:50">
      <c r="B157" s="572"/>
      <c r="C157" s="451">
        <v>11</v>
      </c>
      <c r="D157" s="451" t="s">
        <v>365</v>
      </c>
      <c r="E157" s="451">
        <v>4</v>
      </c>
      <c r="F157" s="451">
        <v>3300</v>
      </c>
      <c r="G157" s="451">
        <v>825</v>
      </c>
      <c r="H157" s="574"/>
      <c r="I157" s="456">
        <f t="shared" si="66"/>
        <v>4</v>
      </c>
      <c r="J157" s="456">
        <f t="shared" si="66"/>
        <v>2845.3350759752375</v>
      </c>
      <c r="K157" s="454">
        <f t="shared" si="66"/>
        <v>711.33376899380937</v>
      </c>
      <c r="L157" s="541"/>
      <c r="M157" s="456">
        <f>RANK(K157, K$147:$K$176)</f>
        <v>15</v>
      </c>
      <c r="N157" s="559"/>
      <c r="O157" s="559"/>
      <c r="P157" s="182">
        <v>4</v>
      </c>
      <c r="Q157" s="182">
        <v>2903.0769230769197</v>
      </c>
      <c r="R157" s="182">
        <v>725.76923076922992</v>
      </c>
      <c r="S157" s="451">
        <f t="shared" si="67"/>
        <v>16</v>
      </c>
      <c r="T157" s="574"/>
      <c r="U157" s="182">
        <v>4</v>
      </c>
      <c r="V157" s="182">
        <v>2850.0000000000018</v>
      </c>
      <c r="W157" s="182">
        <v>712.50000000000045</v>
      </c>
      <c r="X157" s="451">
        <f t="shared" si="54"/>
        <v>16</v>
      </c>
      <c r="Y157" s="574"/>
      <c r="Z157" s="182">
        <v>4</v>
      </c>
      <c r="AA157" s="182">
        <v>2843.773584905658</v>
      </c>
      <c r="AB157" s="182">
        <v>710.94339622641451</v>
      </c>
      <c r="AC157" s="451">
        <f t="shared" si="56"/>
        <v>15</v>
      </c>
      <c r="AD157" s="574"/>
      <c r="AE157" s="182">
        <v>4</v>
      </c>
      <c r="AF157" s="182">
        <v>2784.4897959183681</v>
      </c>
      <c r="AG157" s="182">
        <v>696.12244897959204</v>
      </c>
      <c r="AH157" s="451">
        <f t="shared" si="58"/>
        <v>15</v>
      </c>
      <c r="AI157" s="574"/>
      <c r="AJ157" s="182"/>
      <c r="AK157" s="182"/>
      <c r="AL157" s="182"/>
      <c r="AM157" s="451" t="e">
        <f t="shared" si="60"/>
        <v>#N/A</v>
      </c>
      <c r="AN157" s="574"/>
      <c r="AO157" s="182"/>
      <c r="AP157" s="182"/>
      <c r="AQ157" s="182"/>
      <c r="AR157" s="451" t="e">
        <f t="shared" si="62"/>
        <v>#N/A</v>
      </c>
      <c r="AS157" s="574"/>
      <c r="AT157" s="182"/>
      <c r="AU157" s="182"/>
      <c r="AV157" s="182"/>
      <c r="AW157" s="451" t="e">
        <f t="shared" si="64"/>
        <v>#N/A</v>
      </c>
      <c r="AX157" s="574"/>
    </row>
    <row r="158" spans="2:50">
      <c r="B158" s="572"/>
      <c r="C158" s="451">
        <v>12</v>
      </c>
      <c r="D158" s="451" t="s">
        <v>555</v>
      </c>
      <c r="E158" s="451">
        <v>4</v>
      </c>
      <c r="F158" s="451">
        <v>2800</v>
      </c>
      <c r="G158" s="451">
        <v>700</v>
      </c>
      <c r="H158" s="574"/>
      <c r="I158" s="456">
        <f t="shared" si="66"/>
        <v>4</v>
      </c>
      <c r="J158" s="456">
        <f t="shared" si="66"/>
        <v>2814.3017094017109</v>
      </c>
      <c r="K158" s="454">
        <f t="shared" si="66"/>
        <v>703.57542735042773</v>
      </c>
      <c r="L158" s="541"/>
      <c r="M158" s="456">
        <f>RANK(K158, K$147:$K$176)</f>
        <v>19</v>
      </c>
      <c r="N158" s="559"/>
      <c r="O158" s="559"/>
      <c r="P158" s="182">
        <v>4</v>
      </c>
      <c r="Q158" s="182">
        <v>2905.3846153846121</v>
      </c>
      <c r="R158" s="182">
        <v>726.34615384615302</v>
      </c>
      <c r="S158" s="451">
        <f t="shared" si="67"/>
        <v>15</v>
      </c>
      <c r="T158" s="574"/>
      <c r="U158" s="182">
        <v>4</v>
      </c>
      <c r="V158" s="182">
        <v>2820.0000000000059</v>
      </c>
      <c r="W158" s="182">
        <v>705.00000000000148</v>
      </c>
      <c r="X158" s="451">
        <f t="shared" si="54"/>
        <v>18</v>
      </c>
      <c r="Y158" s="574"/>
      <c r="Z158" s="182">
        <v>4</v>
      </c>
      <c r="AA158" s="182">
        <v>2822.2222222222199</v>
      </c>
      <c r="AB158" s="182">
        <v>705.55555555555497</v>
      </c>
      <c r="AC158" s="451">
        <f t="shared" si="56"/>
        <v>17</v>
      </c>
      <c r="AD158" s="574"/>
      <c r="AE158" s="182">
        <v>4</v>
      </c>
      <c r="AF158" s="182">
        <v>2709.6000000000054</v>
      </c>
      <c r="AG158" s="182">
        <v>677.40000000000134</v>
      </c>
      <c r="AH158" s="451">
        <f t="shared" si="58"/>
        <v>16</v>
      </c>
      <c r="AI158" s="574"/>
      <c r="AJ158" s="182"/>
      <c r="AK158" s="182"/>
      <c r="AL158" s="182"/>
      <c r="AM158" s="451" t="e">
        <f t="shared" si="60"/>
        <v>#N/A</v>
      </c>
      <c r="AN158" s="574"/>
      <c r="AO158" s="182"/>
      <c r="AP158" s="182"/>
      <c r="AQ158" s="182"/>
      <c r="AR158" s="451" t="e">
        <f t="shared" si="62"/>
        <v>#N/A</v>
      </c>
      <c r="AS158" s="574"/>
      <c r="AT158" s="182"/>
      <c r="AU158" s="182"/>
      <c r="AV158" s="182"/>
      <c r="AW158" s="451" t="e">
        <f t="shared" si="64"/>
        <v>#N/A</v>
      </c>
      <c r="AX158" s="574"/>
    </row>
    <row r="159" spans="2:50">
      <c r="B159" s="572"/>
      <c r="C159" s="451">
        <v>13</v>
      </c>
      <c r="D159" s="451" t="s">
        <v>366</v>
      </c>
      <c r="E159" s="451">
        <v>4</v>
      </c>
      <c r="F159" s="451">
        <v>3600</v>
      </c>
      <c r="G159" s="451">
        <v>900</v>
      </c>
      <c r="H159" s="574"/>
      <c r="I159" s="456">
        <f t="shared" si="66"/>
        <v>4</v>
      </c>
      <c r="J159" s="456">
        <f t="shared" si="66"/>
        <v>3074.7500000000064</v>
      </c>
      <c r="K159" s="454">
        <f t="shared" si="66"/>
        <v>768.68750000000159</v>
      </c>
      <c r="L159" s="541"/>
      <c r="M159" s="456">
        <f>RANK(K159, K$147:$K$176)</f>
        <v>12</v>
      </c>
      <c r="N159" s="559"/>
      <c r="O159" s="559"/>
      <c r="P159" s="182">
        <v>4</v>
      </c>
      <c r="Q159" s="182">
        <v>3236.0000000000114</v>
      </c>
      <c r="R159" s="182">
        <v>809.00000000000284</v>
      </c>
      <c r="S159" s="451">
        <f t="shared" si="67"/>
        <v>12</v>
      </c>
      <c r="T159" s="574"/>
      <c r="U159" s="182">
        <v>4</v>
      </c>
      <c r="V159" s="182">
        <v>3356.0000000000118</v>
      </c>
      <c r="W159" s="182">
        <v>839.00000000000296</v>
      </c>
      <c r="X159" s="451">
        <f t="shared" si="54"/>
        <v>10</v>
      </c>
      <c r="Y159" s="574"/>
      <c r="Z159" s="182">
        <v>4</v>
      </c>
      <c r="AA159" s="182">
        <v>3268.0000000000118</v>
      </c>
      <c r="AB159" s="182">
        <v>817.00000000000296</v>
      </c>
      <c r="AC159" s="451">
        <f t="shared" si="56"/>
        <v>11</v>
      </c>
      <c r="AD159" s="574"/>
      <c r="AE159" s="182">
        <v>4</v>
      </c>
      <c r="AF159" s="182">
        <v>2438.9999999999891</v>
      </c>
      <c r="AG159" s="182">
        <v>609.74999999999727</v>
      </c>
      <c r="AH159" s="451">
        <f t="shared" si="58"/>
        <v>18</v>
      </c>
      <c r="AI159" s="574"/>
      <c r="AJ159" s="182"/>
      <c r="AK159" s="182"/>
      <c r="AL159" s="182"/>
      <c r="AM159" s="451" t="e">
        <f t="shared" si="60"/>
        <v>#N/A</v>
      </c>
      <c r="AN159" s="574"/>
      <c r="AO159" s="182"/>
      <c r="AP159" s="182"/>
      <c r="AQ159" s="182"/>
      <c r="AR159" s="451" t="e">
        <f t="shared" si="62"/>
        <v>#N/A</v>
      </c>
      <c r="AS159" s="574"/>
      <c r="AT159" s="182"/>
      <c r="AU159" s="182"/>
      <c r="AV159" s="182"/>
      <c r="AW159" s="451" t="e">
        <f t="shared" si="64"/>
        <v>#N/A</v>
      </c>
      <c r="AX159" s="574"/>
    </row>
    <row r="160" spans="2:50">
      <c r="B160" s="572"/>
      <c r="C160" s="451">
        <v>14</v>
      </c>
      <c r="D160" s="451" t="s">
        <v>367</v>
      </c>
      <c r="E160" s="451">
        <v>4</v>
      </c>
      <c r="F160" s="451">
        <v>3600</v>
      </c>
      <c r="G160" s="451">
        <v>900</v>
      </c>
      <c r="H160" s="574"/>
      <c r="I160" s="456">
        <f t="shared" si="66"/>
        <v>4</v>
      </c>
      <c r="J160" s="456">
        <f t="shared" si="66"/>
        <v>2099.99999999999</v>
      </c>
      <c r="K160" s="454">
        <f t="shared" si="66"/>
        <v>524.9999999999975</v>
      </c>
      <c r="L160" s="541"/>
      <c r="M160" s="456">
        <f>RANK(K160, K$147:$K$176)</f>
        <v>21</v>
      </c>
      <c r="N160" s="559"/>
      <c r="O160" s="559"/>
      <c r="P160" s="182">
        <v>4</v>
      </c>
      <c r="Q160" s="182">
        <v>2243.9999999999723</v>
      </c>
      <c r="R160" s="182">
        <v>560.99999999999307</v>
      </c>
      <c r="S160" s="451">
        <f t="shared" si="67"/>
        <v>20</v>
      </c>
      <c r="T160" s="574"/>
      <c r="U160" s="182">
        <v>4</v>
      </c>
      <c r="V160" s="182">
        <v>2099.9999999999741</v>
      </c>
      <c r="W160" s="182">
        <v>524.99999999999352</v>
      </c>
      <c r="X160" s="451">
        <f t="shared" si="54"/>
        <v>21</v>
      </c>
      <c r="Y160" s="574"/>
      <c r="Z160" s="182">
        <v>4</v>
      </c>
      <c r="AA160" s="182">
        <v>2052.0000000000073</v>
      </c>
      <c r="AB160" s="182">
        <v>513.00000000000182</v>
      </c>
      <c r="AC160" s="451">
        <f t="shared" si="56"/>
        <v>20</v>
      </c>
      <c r="AD160" s="574"/>
      <c r="AE160" s="182">
        <v>4</v>
      </c>
      <c r="AF160" s="182">
        <v>2004.0000000000073</v>
      </c>
      <c r="AG160" s="182">
        <v>501.00000000000182</v>
      </c>
      <c r="AH160" s="451">
        <f t="shared" si="58"/>
        <v>20</v>
      </c>
      <c r="AI160" s="574"/>
      <c r="AJ160" s="182"/>
      <c r="AK160" s="182"/>
      <c r="AL160" s="182"/>
      <c r="AM160" s="451" t="e">
        <f t="shared" si="60"/>
        <v>#N/A</v>
      </c>
      <c r="AN160" s="574"/>
      <c r="AO160" s="182"/>
      <c r="AP160" s="182"/>
      <c r="AQ160" s="182"/>
      <c r="AR160" s="451" t="e">
        <f t="shared" si="62"/>
        <v>#N/A</v>
      </c>
      <c r="AS160" s="574"/>
      <c r="AT160" s="182"/>
      <c r="AU160" s="182"/>
      <c r="AV160" s="182"/>
      <c r="AW160" s="451" t="e">
        <f t="shared" si="64"/>
        <v>#N/A</v>
      </c>
      <c r="AX160" s="574"/>
    </row>
    <row r="161" spans="2:50">
      <c r="B161" s="572"/>
      <c r="C161" s="451">
        <v>15</v>
      </c>
      <c r="D161" s="451" t="s">
        <v>466</v>
      </c>
      <c r="E161" s="451">
        <v>4</v>
      </c>
      <c r="F161" s="451">
        <v>3300</v>
      </c>
      <c r="G161" s="451">
        <v>825</v>
      </c>
      <c r="H161" s="574"/>
      <c r="I161" s="456">
        <f t="shared" si="66"/>
        <v>3</v>
      </c>
      <c r="J161" s="456">
        <f t="shared" si="66"/>
        <v>2882.3245614035109</v>
      </c>
      <c r="K161" s="454">
        <f t="shared" si="66"/>
        <v>960.77485380117037</v>
      </c>
      <c r="L161" s="541"/>
      <c r="M161" s="456">
        <f>RANK(K161, K$147:$K$176)</f>
        <v>6</v>
      </c>
      <c r="N161" s="559"/>
      <c r="O161" s="559"/>
      <c r="P161" s="182">
        <v>3</v>
      </c>
      <c r="Q161" s="182">
        <v>2832.6315789473724</v>
      </c>
      <c r="R161" s="182">
        <v>944.21052631579084</v>
      </c>
      <c r="S161" s="451">
        <f t="shared" si="67"/>
        <v>7</v>
      </c>
      <c r="T161" s="574"/>
      <c r="U161" s="182">
        <v>3</v>
      </c>
      <c r="V161" s="182">
        <v>3046.6666666666711</v>
      </c>
      <c r="W161" s="182">
        <v>1015.555555555557</v>
      </c>
      <c r="X161" s="451">
        <f t="shared" si="54"/>
        <v>6</v>
      </c>
      <c r="Y161" s="574"/>
      <c r="Z161" s="182">
        <v>3</v>
      </c>
      <c r="AA161" s="182">
        <v>2890.0000000000041</v>
      </c>
      <c r="AB161" s="182">
        <v>963.33333333333474</v>
      </c>
      <c r="AC161" s="451">
        <f t="shared" si="56"/>
        <v>6</v>
      </c>
      <c r="AD161" s="574"/>
      <c r="AE161" s="182">
        <v>3</v>
      </c>
      <c r="AF161" s="182">
        <v>2759.9999999999964</v>
      </c>
      <c r="AG161" s="182">
        <v>919.99999999999875</v>
      </c>
      <c r="AH161" s="451">
        <f t="shared" si="58"/>
        <v>5</v>
      </c>
      <c r="AI161" s="574"/>
      <c r="AJ161" s="182"/>
      <c r="AK161" s="182"/>
      <c r="AL161" s="182"/>
      <c r="AM161" s="451" t="e">
        <f t="shared" si="60"/>
        <v>#N/A</v>
      </c>
      <c r="AN161" s="574"/>
      <c r="AO161" s="182"/>
      <c r="AP161" s="182"/>
      <c r="AQ161" s="182"/>
      <c r="AR161" s="451" t="e">
        <f t="shared" si="62"/>
        <v>#N/A</v>
      </c>
      <c r="AS161" s="574"/>
      <c r="AT161" s="182"/>
      <c r="AU161" s="182"/>
      <c r="AV161" s="182"/>
      <c r="AW161" s="451" t="e">
        <f t="shared" si="64"/>
        <v>#N/A</v>
      </c>
      <c r="AX161" s="574"/>
    </row>
    <row r="162" spans="2:50">
      <c r="B162" s="572"/>
      <c r="C162" s="451">
        <v>16</v>
      </c>
      <c r="D162" s="451" t="s">
        <v>552</v>
      </c>
      <c r="E162" s="451">
        <v>3</v>
      </c>
      <c r="F162" s="451">
        <v>2800</v>
      </c>
      <c r="G162" s="451">
        <v>933.33333333333337</v>
      </c>
      <c r="H162" s="574"/>
      <c r="I162" s="456">
        <f t="shared" si="66"/>
        <v>3</v>
      </c>
      <c r="J162" s="456">
        <f t="shared" si="66"/>
        <v>3074.3999999999937</v>
      </c>
      <c r="K162" s="454">
        <f t="shared" si="66"/>
        <v>1024.7999999999979</v>
      </c>
      <c r="L162" s="541"/>
      <c r="M162" s="456">
        <f>RANK(K162, K$147:$K$176)</f>
        <v>5</v>
      </c>
      <c r="N162" s="559"/>
      <c r="O162" s="559"/>
      <c r="P162" s="182">
        <v>3</v>
      </c>
      <c r="Q162" s="182">
        <v>3284.9999999999854</v>
      </c>
      <c r="R162" s="182">
        <v>1094.9999999999952</v>
      </c>
      <c r="S162" s="451">
        <f t="shared" si="67"/>
        <v>2</v>
      </c>
      <c r="T162" s="574"/>
      <c r="U162" s="182">
        <v>3</v>
      </c>
      <c r="V162" s="182">
        <v>3305.999999999985</v>
      </c>
      <c r="W162" s="182">
        <v>1101.999999999995</v>
      </c>
      <c r="X162" s="451">
        <f t="shared" si="54"/>
        <v>2</v>
      </c>
      <c r="Y162" s="574"/>
      <c r="Z162" s="182">
        <v>3</v>
      </c>
      <c r="AA162" s="182">
        <v>3177.0000000000114</v>
      </c>
      <c r="AB162" s="182">
        <v>1059.0000000000039</v>
      </c>
      <c r="AC162" s="451">
        <f t="shared" si="56"/>
        <v>5</v>
      </c>
      <c r="AD162" s="574"/>
      <c r="AE162" s="182">
        <v>3</v>
      </c>
      <c r="AF162" s="182">
        <v>2529.5999999999931</v>
      </c>
      <c r="AG162" s="182">
        <v>843.19999999999766</v>
      </c>
      <c r="AH162" s="451">
        <f t="shared" si="58"/>
        <v>8</v>
      </c>
      <c r="AI162" s="574"/>
      <c r="AJ162" s="182"/>
      <c r="AK162" s="182"/>
      <c r="AL162" s="182"/>
      <c r="AM162" s="451" t="e">
        <f t="shared" si="60"/>
        <v>#N/A</v>
      </c>
      <c r="AN162" s="574"/>
      <c r="AO162" s="182"/>
      <c r="AP162" s="182"/>
      <c r="AQ162" s="182"/>
      <c r="AR162" s="451" t="e">
        <f t="shared" si="62"/>
        <v>#N/A</v>
      </c>
      <c r="AS162" s="574"/>
      <c r="AT162" s="182"/>
      <c r="AU162" s="182"/>
      <c r="AV162" s="182"/>
      <c r="AW162" s="451" t="e">
        <f t="shared" si="64"/>
        <v>#N/A</v>
      </c>
      <c r="AX162" s="574"/>
    </row>
    <row r="163" spans="2:50">
      <c r="B163" s="572"/>
      <c r="C163" s="451">
        <v>17</v>
      </c>
      <c r="D163" s="451" t="s">
        <v>616</v>
      </c>
      <c r="E163" s="451">
        <v>4</v>
      </c>
      <c r="F163" s="451">
        <v>3000</v>
      </c>
      <c r="G163" s="451">
        <v>750</v>
      </c>
      <c r="H163" s="574"/>
      <c r="I163" s="456">
        <f t="shared" si="66"/>
        <v>3</v>
      </c>
      <c r="J163" s="456">
        <f t="shared" si="66"/>
        <v>2259.0999999999985</v>
      </c>
      <c r="K163" s="454">
        <f t="shared" si="66"/>
        <v>753.03333333333285</v>
      </c>
      <c r="L163" s="541"/>
      <c r="M163" s="456">
        <f>RANK(K163, K$147:$K$176)</f>
        <v>13</v>
      </c>
      <c r="N163" s="559"/>
      <c r="O163" s="559"/>
      <c r="P163" s="182">
        <v>3</v>
      </c>
      <c r="Q163" s="182">
        <v>2310.666666666667</v>
      </c>
      <c r="R163" s="182">
        <v>770.22222222222229</v>
      </c>
      <c r="S163" s="451">
        <f t="shared" si="67"/>
        <v>13</v>
      </c>
      <c r="T163" s="574"/>
      <c r="U163" s="182">
        <v>3</v>
      </c>
      <c r="V163" s="182">
        <v>2144.3999999999937</v>
      </c>
      <c r="W163" s="182">
        <v>714.79999999999791</v>
      </c>
      <c r="X163" s="451">
        <f t="shared" si="54"/>
        <v>15</v>
      </c>
      <c r="Y163" s="574"/>
      <c r="Z163" s="182">
        <v>3</v>
      </c>
      <c r="AA163" s="182">
        <v>2337.3333333333335</v>
      </c>
      <c r="AB163" s="182">
        <v>779.1111111111112</v>
      </c>
      <c r="AC163" s="451">
        <f t="shared" si="56"/>
        <v>13</v>
      </c>
      <c r="AD163" s="574"/>
      <c r="AE163" s="182">
        <v>3</v>
      </c>
      <c r="AF163" s="182">
        <v>2244</v>
      </c>
      <c r="AG163" s="182">
        <v>748</v>
      </c>
      <c r="AH163" s="451">
        <f t="shared" si="58"/>
        <v>12</v>
      </c>
      <c r="AI163" s="574"/>
      <c r="AJ163" s="182"/>
      <c r="AK163" s="182"/>
      <c r="AL163" s="182"/>
      <c r="AM163" s="451" t="e">
        <f t="shared" si="60"/>
        <v>#N/A</v>
      </c>
      <c r="AN163" s="574"/>
      <c r="AO163" s="182"/>
      <c r="AP163" s="182"/>
      <c r="AQ163" s="182"/>
      <c r="AR163" s="451" t="e">
        <f t="shared" si="62"/>
        <v>#N/A</v>
      </c>
      <c r="AS163" s="574"/>
      <c r="AT163" s="182"/>
      <c r="AU163" s="182"/>
      <c r="AV163" s="182"/>
      <c r="AW163" s="451" t="e">
        <f t="shared" si="64"/>
        <v>#N/A</v>
      </c>
      <c r="AX163" s="574"/>
    </row>
    <row r="164" spans="2:50">
      <c r="B164" s="572"/>
      <c r="C164" s="451">
        <v>18</v>
      </c>
      <c r="D164" s="451" t="s">
        <v>560</v>
      </c>
      <c r="E164" s="451">
        <v>12</v>
      </c>
      <c r="F164" s="451">
        <v>1500</v>
      </c>
      <c r="G164" s="451">
        <v>125</v>
      </c>
      <c r="H164" s="574"/>
      <c r="I164" s="456">
        <f t="shared" ref="I164:K166" si="68">AVERAGE(P164,U164,Z164,AE164,AJ164,AO164,AT164)</f>
        <v>9</v>
      </c>
      <c r="J164" s="456">
        <f t="shared" si="68"/>
        <v>1467.4772727272734</v>
      </c>
      <c r="K164" s="454">
        <f t="shared" si="68"/>
        <v>165.12215909090915</v>
      </c>
      <c r="L164" s="541"/>
      <c r="M164" s="456">
        <f>RANK(K164, K$147:$K$176)</f>
        <v>22</v>
      </c>
      <c r="N164" s="559"/>
      <c r="O164" s="559"/>
      <c r="P164" s="182">
        <v>10</v>
      </c>
      <c r="Q164" s="182">
        <v>1458.0000000000014</v>
      </c>
      <c r="R164" s="182">
        <v>145.80000000000013</v>
      </c>
      <c r="S164" s="451">
        <f t="shared" si="67"/>
        <v>22</v>
      </c>
      <c r="T164" s="574"/>
      <c r="U164" s="182">
        <v>10</v>
      </c>
      <c r="V164" s="182">
        <v>1472.0000000000014</v>
      </c>
      <c r="W164" s="182">
        <v>147.20000000000013</v>
      </c>
      <c r="X164" s="451">
        <f t="shared" si="54"/>
        <v>22</v>
      </c>
      <c r="Y164" s="574"/>
      <c r="Z164" s="182">
        <v>8</v>
      </c>
      <c r="AA164" s="182">
        <v>1453.0000000000014</v>
      </c>
      <c r="AB164" s="182">
        <v>181.62500000000017</v>
      </c>
      <c r="AC164" s="451">
        <f t="shared" si="56"/>
        <v>21</v>
      </c>
      <c r="AD164" s="574"/>
      <c r="AE164" s="182">
        <v>8</v>
      </c>
      <c r="AF164" s="182">
        <v>1486.9090909090899</v>
      </c>
      <c r="AG164" s="182">
        <v>185.86363636363623</v>
      </c>
      <c r="AH164" s="451">
        <f t="shared" si="58"/>
        <v>21</v>
      </c>
      <c r="AI164" s="574"/>
      <c r="AJ164" s="182"/>
      <c r="AK164" s="182"/>
      <c r="AL164" s="182"/>
      <c r="AM164" s="451" t="e">
        <f t="shared" si="60"/>
        <v>#N/A</v>
      </c>
      <c r="AN164" s="574"/>
      <c r="AO164" s="182"/>
      <c r="AP164" s="182"/>
      <c r="AQ164" s="182"/>
      <c r="AR164" s="451" t="e">
        <f t="shared" si="62"/>
        <v>#N/A</v>
      </c>
      <c r="AS164" s="574"/>
      <c r="AT164" s="182"/>
      <c r="AU164" s="182"/>
      <c r="AV164" s="182"/>
      <c r="AW164" s="451" t="e">
        <f t="shared" si="64"/>
        <v>#N/A</v>
      </c>
      <c r="AX164" s="574"/>
    </row>
    <row r="165" spans="2:50">
      <c r="B165" s="572"/>
      <c r="C165" s="451">
        <v>19</v>
      </c>
      <c r="D165" s="451" t="s">
        <v>630</v>
      </c>
      <c r="E165" s="451">
        <v>4</v>
      </c>
      <c r="F165" s="451">
        <v>3000</v>
      </c>
      <c r="G165" s="451">
        <v>750</v>
      </c>
      <c r="H165" s="574"/>
      <c r="I165" s="456">
        <f t="shared" si="68"/>
        <v>4</v>
      </c>
      <c r="J165" s="456">
        <f t="shared" si="68"/>
        <v>2138.1428571428651</v>
      </c>
      <c r="K165" s="454">
        <f t="shared" si="68"/>
        <v>534.53571428571627</v>
      </c>
      <c r="L165" s="541"/>
      <c r="M165" s="456">
        <f>RANK(K165, K$147:$K$176)</f>
        <v>20</v>
      </c>
      <c r="N165" s="559"/>
      <c r="O165" s="559"/>
      <c r="P165" s="182">
        <v>4</v>
      </c>
      <c r="Q165" s="182">
        <v>2170.2857142857224</v>
      </c>
      <c r="R165" s="182">
        <v>542.5714285714306</v>
      </c>
      <c r="S165" s="451">
        <f t="shared" si="67"/>
        <v>21</v>
      </c>
      <c r="T165" s="574"/>
      <c r="U165" s="182">
        <v>4</v>
      </c>
      <c r="V165" s="182">
        <v>2208.0000000000077</v>
      </c>
      <c r="W165" s="182">
        <v>552.00000000000193</v>
      </c>
      <c r="X165" s="451">
        <f t="shared" si="54"/>
        <v>20</v>
      </c>
      <c r="Y165" s="574"/>
      <c r="Z165" s="182">
        <v>4</v>
      </c>
      <c r="AA165" s="182">
        <v>2127.4285714285788</v>
      </c>
      <c r="AB165" s="182">
        <v>531.85714285714471</v>
      </c>
      <c r="AC165" s="451">
        <f t="shared" si="56"/>
        <v>19</v>
      </c>
      <c r="AD165" s="574"/>
      <c r="AE165" s="182">
        <v>4</v>
      </c>
      <c r="AF165" s="182">
        <v>2046.8571428571504</v>
      </c>
      <c r="AG165" s="182">
        <v>511.7142857142876</v>
      </c>
      <c r="AH165" s="451">
        <f t="shared" si="58"/>
        <v>19</v>
      </c>
      <c r="AI165" s="574"/>
      <c r="AJ165" s="182"/>
      <c r="AK165" s="182"/>
      <c r="AL165" s="182"/>
      <c r="AM165" s="451" t="e">
        <f t="shared" si="60"/>
        <v>#N/A</v>
      </c>
      <c r="AN165" s="574"/>
      <c r="AO165" s="182"/>
      <c r="AP165" s="182"/>
      <c r="AQ165" s="182"/>
      <c r="AR165" s="451" t="e">
        <f t="shared" si="62"/>
        <v>#N/A</v>
      </c>
      <c r="AS165" s="574"/>
      <c r="AT165" s="182"/>
      <c r="AU165" s="182"/>
      <c r="AV165" s="182"/>
      <c r="AW165" s="451" t="e">
        <f t="shared" si="64"/>
        <v>#N/A</v>
      </c>
      <c r="AX165" s="574"/>
    </row>
    <row r="166" spans="2:50">
      <c r="B166" s="572"/>
      <c r="C166" s="451">
        <v>20</v>
      </c>
      <c r="D166" s="451" t="s">
        <v>699</v>
      </c>
      <c r="E166" s="451">
        <v>3</v>
      </c>
      <c r="F166" s="451">
        <v>2800</v>
      </c>
      <c r="G166" s="451">
        <v>933.33333333333337</v>
      </c>
      <c r="H166" s="574"/>
      <c r="I166" s="456">
        <f t="shared" si="68"/>
        <v>3</v>
      </c>
      <c r="J166" s="456">
        <f t="shared" si="68"/>
        <v>2806.9502562164962</v>
      </c>
      <c r="K166" s="454">
        <f t="shared" si="68"/>
        <v>935.65008540549866</v>
      </c>
      <c r="L166" s="541"/>
      <c r="M166" s="456">
        <f>RANK(K166, K$147:$K$176)</f>
        <v>8</v>
      </c>
      <c r="N166" s="559"/>
      <c r="O166" s="559"/>
      <c r="P166" s="182">
        <v>3</v>
      </c>
      <c r="Q166" s="182">
        <v>2800.7547169811291</v>
      </c>
      <c r="R166" s="182">
        <v>933.58490566037642</v>
      </c>
      <c r="S166" s="451">
        <f t="shared" si="67"/>
        <v>8</v>
      </c>
      <c r="T166" s="574"/>
      <c r="U166" s="182">
        <v>3</v>
      </c>
      <c r="V166" s="182">
        <v>2824.7058823529424</v>
      </c>
      <c r="W166" s="182">
        <v>941.56862745098078</v>
      </c>
      <c r="X166" s="451">
        <f t="shared" si="54"/>
        <v>8</v>
      </c>
      <c r="Y166" s="574"/>
      <c r="Z166" s="182">
        <v>3</v>
      </c>
      <c r="AA166" s="182">
        <v>2849.9999999999964</v>
      </c>
      <c r="AB166" s="182">
        <v>949.99999999999875</v>
      </c>
      <c r="AC166" s="451">
        <f t="shared" si="56"/>
        <v>8</v>
      </c>
      <c r="AD166" s="574"/>
      <c r="AE166" s="182">
        <v>3</v>
      </c>
      <c r="AF166" s="182">
        <v>2752.3404255319156</v>
      </c>
      <c r="AG166" s="182">
        <v>917.44680851063856</v>
      </c>
      <c r="AH166" s="451">
        <f t="shared" si="58"/>
        <v>6</v>
      </c>
      <c r="AI166" s="574"/>
      <c r="AJ166" s="182"/>
      <c r="AK166" s="182"/>
      <c r="AL166" s="182"/>
      <c r="AM166" s="451" t="e">
        <f t="shared" si="60"/>
        <v>#N/A</v>
      </c>
      <c r="AN166" s="574"/>
      <c r="AO166" s="182"/>
      <c r="AP166" s="182"/>
      <c r="AQ166" s="182"/>
      <c r="AR166" s="451" t="e">
        <f t="shared" si="62"/>
        <v>#N/A</v>
      </c>
      <c r="AS166" s="574"/>
      <c r="AT166" s="182"/>
      <c r="AU166" s="182"/>
      <c r="AV166" s="182"/>
      <c r="AW166" s="451" t="e">
        <f t="shared" si="64"/>
        <v>#N/A</v>
      </c>
      <c r="AX166" s="574"/>
    </row>
    <row r="167" spans="2:50">
      <c r="B167" s="572"/>
      <c r="C167" s="451">
        <v>21</v>
      </c>
      <c r="D167" s="451" t="s">
        <v>755</v>
      </c>
      <c r="E167" s="451">
        <v>4</v>
      </c>
      <c r="F167" s="451">
        <v>2800</v>
      </c>
      <c r="G167" s="451">
        <v>700</v>
      </c>
      <c r="H167" s="574"/>
      <c r="I167" s="456">
        <f t="shared" ref="I167:I168" si="69">AVERAGE(P167,U167,Z167,AE167,AJ167,AO167,AT167)</f>
        <v>4</v>
      </c>
      <c r="J167" s="456">
        <f t="shared" ref="J167:J168" si="70">AVERAGE(Q167,V167,AA167,AF167,AK167,AP167,AU167)</f>
        <v>2817.4608819345672</v>
      </c>
      <c r="K167" s="454">
        <f t="shared" ref="K167:K168" si="71">AVERAGE(R167,W167,AB167,AG167,AL167,AQ167,AV167)</f>
        <v>704.36522048364179</v>
      </c>
      <c r="L167" s="541"/>
      <c r="M167" s="456">
        <f>RANK(K167, K$147:$K$176)</f>
        <v>18</v>
      </c>
      <c r="N167" s="559"/>
      <c r="O167" s="559"/>
      <c r="P167" s="451">
        <v>4</v>
      </c>
      <c r="Q167" s="182">
        <v>2827.8947368421095</v>
      </c>
      <c r="R167" s="453">
        <v>706.97368421052738</v>
      </c>
      <c r="S167" s="451">
        <f t="shared" si="67"/>
        <v>19</v>
      </c>
      <c r="T167" s="574"/>
      <c r="U167" s="451">
        <v>4</v>
      </c>
      <c r="V167" s="182">
        <v>2807.0270270270248</v>
      </c>
      <c r="W167" s="453">
        <v>701.7567567567562</v>
      </c>
      <c r="X167" s="451">
        <f t="shared" si="54"/>
        <v>19</v>
      </c>
      <c r="Y167" s="574"/>
      <c r="Z167" s="451" t="s">
        <v>561</v>
      </c>
      <c r="AA167" s="182" t="s">
        <v>561</v>
      </c>
      <c r="AB167" s="453" t="s">
        <v>561</v>
      </c>
      <c r="AC167" s="451" t="e">
        <f t="shared" si="56"/>
        <v>#VALUE!</v>
      </c>
      <c r="AD167" s="574"/>
      <c r="AE167" s="182" t="s">
        <v>561</v>
      </c>
      <c r="AF167" s="182" t="s">
        <v>561</v>
      </c>
      <c r="AG167" s="182" t="s">
        <v>561</v>
      </c>
      <c r="AH167" s="451" t="e">
        <f t="shared" si="58"/>
        <v>#VALUE!</v>
      </c>
      <c r="AI167" s="574"/>
      <c r="AJ167" s="182"/>
      <c r="AK167" s="182"/>
      <c r="AL167" s="182"/>
      <c r="AM167" s="451" t="e">
        <f t="shared" si="60"/>
        <v>#N/A</v>
      </c>
      <c r="AN167" s="574"/>
      <c r="AO167" s="182"/>
      <c r="AP167" s="182"/>
      <c r="AQ167" s="182"/>
      <c r="AR167" s="451" t="e">
        <f t="shared" si="62"/>
        <v>#N/A</v>
      </c>
      <c r="AS167" s="574"/>
      <c r="AT167" s="182"/>
      <c r="AU167" s="182"/>
      <c r="AV167" s="182"/>
      <c r="AW167" s="451" t="e">
        <f t="shared" si="64"/>
        <v>#N/A</v>
      </c>
      <c r="AX167" s="574"/>
    </row>
    <row r="168" spans="2:50">
      <c r="B168" s="572"/>
      <c r="C168" s="451">
        <v>22</v>
      </c>
      <c r="D168" s="451" t="s">
        <v>782</v>
      </c>
      <c r="E168" s="451">
        <v>4</v>
      </c>
      <c r="F168" s="451">
        <v>2800</v>
      </c>
      <c r="G168" s="451">
        <v>700</v>
      </c>
      <c r="H168" s="574"/>
      <c r="I168" s="456">
        <f t="shared" si="69"/>
        <v>4</v>
      </c>
      <c r="J168" s="456">
        <f t="shared" si="70"/>
        <v>2828.8106334841627</v>
      </c>
      <c r="K168" s="454">
        <f t="shared" si="71"/>
        <v>707.20265837104068</v>
      </c>
      <c r="L168" s="541"/>
      <c r="M168" s="456">
        <f>RANK(K168, K$147:$K$176)</f>
        <v>17</v>
      </c>
      <c r="N168" s="559"/>
      <c r="O168" s="559"/>
      <c r="P168" s="451">
        <v>4</v>
      </c>
      <c r="Q168" s="182">
        <v>2854.4117647058861</v>
      </c>
      <c r="R168" s="453">
        <v>713.60294117647152</v>
      </c>
      <c r="S168" s="451">
        <f t="shared" si="67"/>
        <v>17</v>
      </c>
      <c r="T168" s="574"/>
      <c r="U168" s="451">
        <v>4</v>
      </c>
      <c r="V168" s="182">
        <v>2821.8461538461502</v>
      </c>
      <c r="W168" s="453">
        <v>705.46153846153754</v>
      </c>
      <c r="X168" s="451">
        <f t="shared" si="54"/>
        <v>17</v>
      </c>
      <c r="Y168" s="574"/>
      <c r="Z168" s="451">
        <v>4</v>
      </c>
      <c r="AA168" s="182">
        <v>2839.3846153846148</v>
      </c>
      <c r="AB168" s="453">
        <v>709.8461538461537</v>
      </c>
      <c r="AC168" s="451">
        <f t="shared" si="56"/>
        <v>16</v>
      </c>
      <c r="AD168" s="574"/>
      <c r="AE168" s="182">
        <v>4</v>
      </c>
      <c r="AF168" s="182">
        <v>2799.6000000000008</v>
      </c>
      <c r="AG168" s="182">
        <v>699.9000000000002</v>
      </c>
      <c r="AH168" s="451">
        <f t="shared" si="58"/>
        <v>13</v>
      </c>
      <c r="AI168" s="574"/>
      <c r="AJ168" s="182"/>
      <c r="AK168" s="182"/>
      <c r="AL168" s="182"/>
      <c r="AM168" s="451" t="e">
        <f t="shared" si="60"/>
        <v>#N/A</v>
      </c>
      <c r="AN168" s="574"/>
      <c r="AO168" s="182"/>
      <c r="AP168" s="182"/>
      <c r="AQ168" s="182"/>
      <c r="AR168" s="451" t="e">
        <f t="shared" si="62"/>
        <v>#N/A</v>
      </c>
      <c r="AS168" s="574"/>
      <c r="AT168" s="182"/>
      <c r="AU168" s="182"/>
      <c r="AV168" s="182"/>
      <c r="AW168" s="451" t="e">
        <f t="shared" si="64"/>
        <v>#N/A</v>
      </c>
      <c r="AX168" s="574"/>
    </row>
    <row r="169" spans="2:50">
      <c r="B169" s="572"/>
      <c r="C169" s="451">
        <v>23</v>
      </c>
      <c r="D169" s="451"/>
      <c r="E169" s="451"/>
      <c r="F169" s="451"/>
      <c r="G169" s="451"/>
      <c r="H169" s="574"/>
      <c r="I169" s="456"/>
      <c r="J169" s="456"/>
      <c r="K169" s="454"/>
      <c r="L169" s="541"/>
      <c r="M169" s="456" t="e">
        <f>RANK(K169, K$147:$K$176)</f>
        <v>#N/A</v>
      </c>
      <c r="N169" s="559"/>
      <c r="O169" s="559"/>
      <c r="P169" s="451"/>
      <c r="Q169" s="451"/>
      <c r="R169" s="453"/>
      <c r="S169" s="451" t="e">
        <f t="shared" si="67"/>
        <v>#N/A</v>
      </c>
      <c r="T169" s="574"/>
      <c r="U169" s="451"/>
      <c r="V169" s="451"/>
      <c r="W169" s="453"/>
      <c r="X169" s="451" t="e">
        <f t="shared" si="54"/>
        <v>#N/A</v>
      </c>
      <c r="Y169" s="574"/>
      <c r="Z169" s="451"/>
      <c r="AA169" s="451"/>
      <c r="AB169" s="453"/>
      <c r="AC169" s="451" t="e">
        <f t="shared" si="56"/>
        <v>#N/A</v>
      </c>
      <c r="AD169" s="574"/>
      <c r="AE169" s="451"/>
      <c r="AF169" s="451"/>
      <c r="AG169" s="453"/>
      <c r="AH169" s="451" t="e">
        <f t="shared" si="58"/>
        <v>#N/A</v>
      </c>
      <c r="AI169" s="574"/>
      <c r="AJ169" s="451"/>
      <c r="AK169" s="451"/>
      <c r="AL169" s="453"/>
      <c r="AM169" s="451" t="e">
        <f t="shared" si="60"/>
        <v>#N/A</v>
      </c>
      <c r="AN169" s="574"/>
      <c r="AO169" s="451"/>
      <c r="AP169" s="451"/>
      <c r="AQ169" s="453"/>
      <c r="AR169" s="451" t="e">
        <f t="shared" si="62"/>
        <v>#N/A</v>
      </c>
      <c r="AS169" s="574"/>
      <c r="AT169" s="182"/>
      <c r="AU169" s="182"/>
      <c r="AV169" s="182"/>
      <c r="AW169" s="451" t="e">
        <f t="shared" si="64"/>
        <v>#N/A</v>
      </c>
      <c r="AX169" s="574"/>
    </row>
    <row r="170" spans="2:50">
      <c r="B170" s="572"/>
      <c r="C170" s="451">
        <v>24</v>
      </c>
      <c r="D170" s="451"/>
      <c r="E170" s="451"/>
      <c r="F170" s="451"/>
      <c r="G170" s="451"/>
      <c r="H170" s="574"/>
      <c r="I170" s="456"/>
      <c r="J170" s="456"/>
      <c r="K170" s="454"/>
      <c r="L170" s="541"/>
      <c r="M170" s="456" t="e">
        <f>RANK(K170, K$147:$K$176)</f>
        <v>#N/A</v>
      </c>
      <c r="N170" s="559"/>
      <c r="O170" s="559"/>
      <c r="P170" s="451"/>
      <c r="Q170" s="451"/>
      <c r="R170" s="451"/>
      <c r="S170" s="451" t="e">
        <f t="shared" si="67"/>
        <v>#N/A</v>
      </c>
      <c r="T170" s="574"/>
      <c r="U170" s="451"/>
      <c r="V170" s="451"/>
      <c r="W170" s="451"/>
      <c r="X170" s="451" t="e">
        <f t="shared" si="54"/>
        <v>#N/A</v>
      </c>
      <c r="Y170" s="574"/>
      <c r="Z170" s="451"/>
      <c r="AA170" s="451"/>
      <c r="AB170" s="451"/>
      <c r="AC170" s="451" t="e">
        <f t="shared" si="56"/>
        <v>#N/A</v>
      </c>
      <c r="AD170" s="574"/>
      <c r="AE170" s="451"/>
      <c r="AF170" s="451"/>
      <c r="AG170" s="451"/>
      <c r="AH170" s="451" t="e">
        <f t="shared" si="58"/>
        <v>#N/A</v>
      </c>
      <c r="AI170" s="574"/>
      <c r="AJ170" s="451"/>
      <c r="AK170" s="451"/>
      <c r="AL170" s="451"/>
      <c r="AM170" s="451" t="e">
        <f t="shared" si="60"/>
        <v>#N/A</v>
      </c>
      <c r="AN170" s="574"/>
      <c r="AO170" s="451"/>
      <c r="AP170" s="451"/>
      <c r="AQ170" s="451"/>
      <c r="AR170" s="451" t="e">
        <f t="shared" si="62"/>
        <v>#N/A</v>
      </c>
      <c r="AS170" s="574"/>
      <c r="AT170" s="182"/>
      <c r="AU170" s="182"/>
      <c r="AV170" s="182"/>
      <c r="AW170" s="451" t="e">
        <f t="shared" si="64"/>
        <v>#N/A</v>
      </c>
      <c r="AX170" s="574"/>
    </row>
    <row r="171" spans="2:50">
      <c r="B171" s="572"/>
      <c r="C171" s="451">
        <v>25</v>
      </c>
      <c r="D171" s="451"/>
      <c r="E171" s="451"/>
      <c r="F171" s="451"/>
      <c r="G171" s="451"/>
      <c r="H171" s="574"/>
      <c r="I171" s="202"/>
      <c r="J171" s="202"/>
      <c r="K171" s="202"/>
      <c r="L171" s="541"/>
      <c r="M171" s="456" t="e">
        <f>RANK(K171, K$147:$K$176)</f>
        <v>#N/A</v>
      </c>
      <c r="N171" s="559"/>
      <c r="O171" s="559"/>
      <c r="P171" s="451"/>
      <c r="Q171" s="451"/>
      <c r="R171" s="451"/>
      <c r="S171" s="451" t="e">
        <f t="shared" si="67"/>
        <v>#N/A</v>
      </c>
      <c r="T171" s="574"/>
      <c r="U171" s="451"/>
      <c r="V171" s="451"/>
      <c r="W171" s="451"/>
      <c r="X171" s="451" t="e">
        <f t="shared" si="54"/>
        <v>#N/A</v>
      </c>
      <c r="Y171" s="574"/>
      <c r="Z171" s="451"/>
      <c r="AA171" s="451"/>
      <c r="AB171" s="451"/>
      <c r="AC171" s="451" t="e">
        <f t="shared" si="56"/>
        <v>#N/A</v>
      </c>
      <c r="AD171" s="574"/>
      <c r="AE171" s="451"/>
      <c r="AF171" s="451"/>
      <c r="AG171" s="451"/>
      <c r="AH171" s="451" t="e">
        <f t="shared" si="58"/>
        <v>#N/A</v>
      </c>
      <c r="AI171" s="574"/>
      <c r="AJ171" s="451"/>
      <c r="AK171" s="451"/>
      <c r="AL171" s="451"/>
      <c r="AM171" s="451" t="e">
        <f t="shared" si="60"/>
        <v>#N/A</v>
      </c>
      <c r="AN171" s="574"/>
      <c r="AO171" s="451"/>
      <c r="AP171" s="451"/>
      <c r="AQ171" s="451"/>
      <c r="AR171" s="451" t="e">
        <f t="shared" si="62"/>
        <v>#N/A</v>
      </c>
      <c r="AS171" s="574"/>
      <c r="AT171" s="451"/>
      <c r="AU171" s="451"/>
      <c r="AV171" s="451"/>
      <c r="AW171" s="451" t="e">
        <f t="shared" si="64"/>
        <v>#N/A</v>
      </c>
      <c r="AX171" s="574"/>
    </row>
    <row r="172" spans="2:50">
      <c r="B172" s="572"/>
      <c r="C172" s="451">
        <v>26</v>
      </c>
      <c r="D172" s="451"/>
      <c r="E172" s="451"/>
      <c r="F172" s="451"/>
      <c r="G172" s="451"/>
      <c r="H172" s="574"/>
      <c r="I172" s="202"/>
      <c r="J172" s="202"/>
      <c r="K172" s="202"/>
      <c r="L172" s="541"/>
      <c r="M172" s="456" t="e">
        <f>RANK(K172, K$147:$K$176)</f>
        <v>#N/A</v>
      </c>
      <c r="N172" s="559"/>
      <c r="O172" s="559"/>
      <c r="P172" s="451"/>
      <c r="Q172" s="451"/>
      <c r="R172" s="451"/>
      <c r="S172" s="451" t="e">
        <f t="shared" si="67"/>
        <v>#N/A</v>
      </c>
      <c r="T172" s="574"/>
      <c r="U172" s="451"/>
      <c r="V172" s="451"/>
      <c r="W172" s="451"/>
      <c r="X172" s="451" t="e">
        <f t="shared" si="54"/>
        <v>#N/A</v>
      </c>
      <c r="Y172" s="574"/>
      <c r="Z172" s="451"/>
      <c r="AA172" s="451"/>
      <c r="AB172" s="451"/>
      <c r="AC172" s="451" t="e">
        <f t="shared" si="56"/>
        <v>#N/A</v>
      </c>
      <c r="AD172" s="574"/>
      <c r="AE172" s="451"/>
      <c r="AF172" s="451"/>
      <c r="AG172" s="451"/>
      <c r="AH172" s="451" t="e">
        <f t="shared" si="58"/>
        <v>#N/A</v>
      </c>
      <c r="AI172" s="574"/>
      <c r="AJ172" s="451"/>
      <c r="AK172" s="451"/>
      <c r="AL172" s="451"/>
      <c r="AM172" s="451" t="e">
        <f t="shared" si="60"/>
        <v>#N/A</v>
      </c>
      <c r="AN172" s="574"/>
      <c r="AO172" s="451"/>
      <c r="AP172" s="451"/>
      <c r="AQ172" s="451"/>
      <c r="AR172" s="451" t="e">
        <f t="shared" si="62"/>
        <v>#N/A</v>
      </c>
      <c r="AS172" s="574"/>
      <c r="AT172" s="451"/>
      <c r="AU172" s="451"/>
      <c r="AV172" s="451"/>
      <c r="AW172" s="451" t="e">
        <f t="shared" si="64"/>
        <v>#N/A</v>
      </c>
      <c r="AX172" s="574"/>
    </row>
    <row r="173" spans="2:50">
      <c r="B173" s="572"/>
      <c r="C173" s="451">
        <v>27</v>
      </c>
      <c r="D173" s="451"/>
      <c r="E173" s="451"/>
      <c r="F173" s="451"/>
      <c r="G173" s="451"/>
      <c r="H173" s="574"/>
      <c r="I173" s="202"/>
      <c r="J173" s="202"/>
      <c r="K173" s="202"/>
      <c r="L173" s="541"/>
      <c r="M173" s="456" t="e">
        <f>RANK(K173, K$147:$K$176)</f>
        <v>#N/A</v>
      </c>
      <c r="N173" s="559"/>
      <c r="O173" s="559"/>
      <c r="P173" s="451"/>
      <c r="Q173" s="451"/>
      <c r="R173" s="451"/>
      <c r="S173" s="451" t="e">
        <f t="shared" si="67"/>
        <v>#N/A</v>
      </c>
      <c r="T173" s="574"/>
      <c r="U173" s="451"/>
      <c r="V173" s="451"/>
      <c r="W173" s="451"/>
      <c r="X173" s="451" t="e">
        <f t="shared" si="54"/>
        <v>#N/A</v>
      </c>
      <c r="Y173" s="574"/>
      <c r="Z173" s="451"/>
      <c r="AA173" s="451"/>
      <c r="AB173" s="451"/>
      <c r="AC173" s="451" t="e">
        <f t="shared" si="56"/>
        <v>#N/A</v>
      </c>
      <c r="AD173" s="574"/>
      <c r="AE173" s="451"/>
      <c r="AF173" s="451"/>
      <c r="AG173" s="451"/>
      <c r="AH173" s="451" t="e">
        <f t="shared" si="58"/>
        <v>#N/A</v>
      </c>
      <c r="AI173" s="574"/>
      <c r="AJ173" s="451"/>
      <c r="AK173" s="451"/>
      <c r="AL173" s="451"/>
      <c r="AM173" s="451" t="e">
        <f t="shared" si="60"/>
        <v>#N/A</v>
      </c>
      <c r="AN173" s="574"/>
      <c r="AO173" s="451"/>
      <c r="AP173" s="451"/>
      <c r="AQ173" s="451"/>
      <c r="AR173" s="451" t="e">
        <f t="shared" si="62"/>
        <v>#N/A</v>
      </c>
      <c r="AS173" s="574"/>
      <c r="AT173" s="451"/>
      <c r="AU173" s="451"/>
      <c r="AV173" s="451"/>
      <c r="AW173" s="451" t="e">
        <f t="shared" si="64"/>
        <v>#N/A</v>
      </c>
      <c r="AX173" s="574"/>
    </row>
    <row r="174" spans="2:50">
      <c r="B174" s="572"/>
      <c r="C174" s="451">
        <v>28</v>
      </c>
      <c r="D174" s="451"/>
      <c r="E174" s="451"/>
      <c r="F174" s="451"/>
      <c r="G174" s="451"/>
      <c r="H174" s="574"/>
      <c r="I174" s="202"/>
      <c r="J174" s="202"/>
      <c r="K174" s="202"/>
      <c r="L174" s="541"/>
      <c r="M174" s="456" t="e">
        <f>RANK(K174, K$147:$K$176)</f>
        <v>#N/A</v>
      </c>
      <c r="N174" s="559"/>
      <c r="O174" s="559"/>
      <c r="P174" s="451"/>
      <c r="Q174" s="451"/>
      <c r="R174" s="451"/>
      <c r="S174" s="451" t="e">
        <f t="shared" si="67"/>
        <v>#N/A</v>
      </c>
      <c r="T174" s="574"/>
      <c r="U174" s="451"/>
      <c r="V174" s="451"/>
      <c r="W174" s="451"/>
      <c r="X174" s="451" t="e">
        <f t="shared" si="54"/>
        <v>#N/A</v>
      </c>
      <c r="Y174" s="574"/>
      <c r="Z174" s="451"/>
      <c r="AA174" s="451"/>
      <c r="AB174" s="451"/>
      <c r="AC174" s="451" t="e">
        <f t="shared" si="56"/>
        <v>#N/A</v>
      </c>
      <c r="AD174" s="574"/>
      <c r="AE174" s="451"/>
      <c r="AF174" s="451"/>
      <c r="AG174" s="451"/>
      <c r="AH174" s="451" t="e">
        <f t="shared" si="58"/>
        <v>#N/A</v>
      </c>
      <c r="AI174" s="574"/>
      <c r="AJ174" s="451"/>
      <c r="AK174" s="451"/>
      <c r="AL174" s="451"/>
      <c r="AM174" s="451" t="e">
        <f t="shared" si="60"/>
        <v>#N/A</v>
      </c>
      <c r="AN174" s="574"/>
      <c r="AO174" s="451"/>
      <c r="AP174" s="451"/>
      <c r="AQ174" s="451"/>
      <c r="AR174" s="451" t="e">
        <f t="shared" si="62"/>
        <v>#N/A</v>
      </c>
      <c r="AS174" s="574"/>
      <c r="AT174" s="451"/>
      <c r="AU174" s="451"/>
      <c r="AV174" s="451"/>
      <c r="AW174" s="451" t="e">
        <f t="shared" si="64"/>
        <v>#N/A</v>
      </c>
      <c r="AX174" s="574"/>
    </row>
    <row r="175" spans="2:50">
      <c r="B175" s="572"/>
      <c r="C175" s="451">
        <v>29</v>
      </c>
      <c r="D175" s="451"/>
      <c r="E175" s="451"/>
      <c r="F175" s="451"/>
      <c r="G175" s="451"/>
      <c r="H175" s="574"/>
      <c r="I175" s="202"/>
      <c r="J175" s="202"/>
      <c r="K175" s="202"/>
      <c r="L175" s="541"/>
      <c r="M175" s="456" t="e">
        <f>RANK(K175, K$147:$K$176)</f>
        <v>#N/A</v>
      </c>
      <c r="N175" s="559"/>
      <c r="O175" s="559"/>
      <c r="P175" s="451"/>
      <c r="Q175" s="451"/>
      <c r="R175" s="451"/>
      <c r="S175" s="451" t="e">
        <f t="shared" si="67"/>
        <v>#N/A</v>
      </c>
      <c r="T175" s="574"/>
      <c r="U175" s="451"/>
      <c r="V175" s="451"/>
      <c r="W175" s="451"/>
      <c r="X175" s="451" t="e">
        <f t="shared" si="54"/>
        <v>#N/A</v>
      </c>
      <c r="Y175" s="574"/>
      <c r="Z175" s="451"/>
      <c r="AA175" s="451"/>
      <c r="AB175" s="451"/>
      <c r="AC175" s="451" t="e">
        <f t="shared" si="56"/>
        <v>#N/A</v>
      </c>
      <c r="AD175" s="574"/>
      <c r="AE175" s="451"/>
      <c r="AF175" s="451"/>
      <c r="AG175" s="451"/>
      <c r="AH175" s="451" t="e">
        <f t="shared" si="58"/>
        <v>#N/A</v>
      </c>
      <c r="AI175" s="574"/>
      <c r="AJ175" s="451"/>
      <c r="AK175" s="451"/>
      <c r="AL175" s="451"/>
      <c r="AM175" s="451" t="e">
        <f t="shared" si="60"/>
        <v>#N/A</v>
      </c>
      <c r="AN175" s="574"/>
      <c r="AO175" s="451"/>
      <c r="AP175" s="451"/>
      <c r="AQ175" s="451"/>
      <c r="AR175" s="451" t="e">
        <f t="shared" si="62"/>
        <v>#N/A</v>
      </c>
      <c r="AS175" s="574"/>
      <c r="AT175" s="451"/>
      <c r="AU175" s="451"/>
      <c r="AV175" s="451"/>
      <c r="AW175" s="451" t="e">
        <f t="shared" si="64"/>
        <v>#N/A</v>
      </c>
      <c r="AX175" s="574"/>
    </row>
    <row r="176" spans="2:50">
      <c r="B176" s="572"/>
      <c r="C176" s="451">
        <v>30</v>
      </c>
      <c r="D176" s="451"/>
      <c r="E176" s="451"/>
      <c r="F176" s="451"/>
      <c r="G176" s="451"/>
      <c r="H176" s="575"/>
      <c r="I176" s="202"/>
      <c r="J176" s="202"/>
      <c r="K176" s="202"/>
      <c r="L176" s="542"/>
      <c r="M176" s="456" t="e">
        <f>RANK(K176, K$147:$K$176)</f>
        <v>#N/A</v>
      </c>
      <c r="N176" s="559"/>
      <c r="O176" s="559"/>
      <c r="P176" s="451"/>
      <c r="Q176" s="451"/>
      <c r="R176" s="451"/>
      <c r="S176" s="451" t="e">
        <f t="shared" si="67"/>
        <v>#N/A</v>
      </c>
      <c r="T176" s="575"/>
      <c r="U176" s="451"/>
      <c r="V176" s="451"/>
      <c r="W176" s="451"/>
      <c r="X176" s="451" t="e">
        <f t="shared" si="54"/>
        <v>#N/A</v>
      </c>
      <c r="Y176" s="575"/>
      <c r="Z176" s="451"/>
      <c r="AA176" s="451"/>
      <c r="AB176" s="451"/>
      <c r="AC176" s="451" t="e">
        <f t="shared" si="56"/>
        <v>#N/A</v>
      </c>
      <c r="AD176" s="575"/>
      <c r="AE176" s="451"/>
      <c r="AF176" s="451"/>
      <c r="AG176" s="451"/>
      <c r="AH176" s="451" t="e">
        <f t="shared" si="58"/>
        <v>#N/A</v>
      </c>
      <c r="AI176" s="575"/>
      <c r="AJ176" s="451"/>
      <c r="AK176" s="451"/>
      <c r="AL176" s="451"/>
      <c r="AM176" s="451" t="e">
        <f t="shared" si="60"/>
        <v>#N/A</v>
      </c>
      <c r="AN176" s="575"/>
      <c r="AO176" s="451"/>
      <c r="AP176" s="451"/>
      <c r="AQ176" s="451"/>
      <c r="AR176" s="451" t="e">
        <f t="shared" si="62"/>
        <v>#N/A</v>
      </c>
      <c r="AS176" s="575"/>
      <c r="AT176" s="451"/>
      <c r="AU176" s="451"/>
      <c r="AV176" s="451"/>
      <c r="AW176" s="451" t="e">
        <f t="shared" si="64"/>
        <v>#N/A</v>
      </c>
      <c r="AX176" s="575"/>
    </row>
    <row r="177" spans="2:50" ht="15.75">
      <c r="B177" s="576" t="s">
        <v>162</v>
      </c>
      <c r="C177" s="577"/>
      <c r="D177" s="577"/>
      <c r="E177" s="577"/>
      <c r="F177" s="577"/>
      <c r="G177" s="577"/>
      <c r="H177" s="578"/>
      <c r="I177" s="208"/>
      <c r="J177" s="208"/>
      <c r="K177" s="208"/>
      <c r="L177" s="208"/>
      <c r="M177" s="207"/>
      <c r="N177" s="565" t="s">
        <v>156</v>
      </c>
      <c r="O177" s="565" t="s">
        <v>105</v>
      </c>
      <c r="P177" s="571">
        <f>P142+7</f>
        <v>35</v>
      </c>
      <c r="Q177" s="572"/>
      <c r="R177" s="572"/>
      <c r="S177" s="572"/>
      <c r="T177" s="572"/>
      <c r="U177" s="568">
        <f>P177+1</f>
        <v>36</v>
      </c>
      <c r="V177" s="569"/>
      <c r="W177" s="569"/>
      <c r="X177" s="569"/>
      <c r="Y177" s="570"/>
      <c r="Z177" s="568">
        <f>U177+1</f>
        <v>37</v>
      </c>
      <c r="AA177" s="569"/>
      <c r="AB177" s="569"/>
      <c r="AC177" s="569"/>
      <c r="AD177" s="570"/>
      <c r="AE177" s="568">
        <f>Z177+1</f>
        <v>38</v>
      </c>
      <c r="AF177" s="569"/>
      <c r="AG177" s="569"/>
      <c r="AH177" s="569"/>
      <c r="AI177" s="570"/>
      <c r="AJ177" s="568">
        <f>AE177+1</f>
        <v>39</v>
      </c>
      <c r="AK177" s="569"/>
      <c r="AL177" s="569"/>
      <c r="AM177" s="569"/>
      <c r="AN177" s="570"/>
      <c r="AO177" s="568">
        <f>AJ177+1</f>
        <v>40</v>
      </c>
      <c r="AP177" s="569"/>
      <c r="AQ177" s="569"/>
      <c r="AR177" s="569"/>
      <c r="AS177" s="570"/>
      <c r="AT177" s="568">
        <f>AO177+1</f>
        <v>41</v>
      </c>
      <c r="AU177" s="569"/>
      <c r="AV177" s="569"/>
      <c r="AW177" s="569"/>
      <c r="AX177" s="570"/>
    </row>
    <row r="178" spans="2:50" ht="15.75">
      <c r="B178" s="579"/>
      <c r="C178" s="579"/>
      <c r="D178" s="579"/>
      <c r="E178" s="579"/>
      <c r="F178" s="579"/>
      <c r="G178" s="579"/>
      <c r="H178" s="579"/>
      <c r="I178" s="205"/>
      <c r="J178" s="205"/>
      <c r="K178" s="205"/>
      <c r="L178" s="205"/>
      <c r="M178" s="206"/>
      <c r="N178" s="567"/>
      <c r="O178" s="567"/>
      <c r="P178" s="571" t="s">
        <v>158</v>
      </c>
      <c r="Q178" s="572"/>
      <c r="R178" s="572"/>
      <c r="S178" s="572"/>
      <c r="T178" s="572"/>
      <c r="U178" s="571" t="s">
        <v>114</v>
      </c>
      <c r="V178" s="572"/>
      <c r="W178" s="572"/>
      <c r="X178" s="572"/>
      <c r="Y178" s="572"/>
      <c r="Z178" s="571" t="s">
        <v>159</v>
      </c>
      <c r="AA178" s="572"/>
      <c r="AB178" s="572"/>
      <c r="AC178" s="572"/>
      <c r="AD178" s="572"/>
      <c r="AE178" s="571" t="s">
        <v>157</v>
      </c>
      <c r="AF178" s="572"/>
      <c r="AG178" s="572"/>
      <c r="AH178" s="572"/>
      <c r="AI178" s="572"/>
      <c r="AJ178" s="571" t="s">
        <v>160</v>
      </c>
      <c r="AK178" s="572"/>
      <c r="AL178" s="572"/>
      <c r="AM178" s="572"/>
      <c r="AN178" s="572"/>
      <c r="AO178" s="571" t="s">
        <v>115</v>
      </c>
      <c r="AP178" s="572"/>
      <c r="AQ178" s="572"/>
      <c r="AR178" s="572"/>
      <c r="AS178" s="572"/>
      <c r="AT178" s="571" t="s">
        <v>161</v>
      </c>
      <c r="AU178" s="572"/>
      <c r="AV178" s="572"/>
      <c r="AW178" s="572"/>
      <c r="AX178" s="572"/>
    </row>
    <row r="179" spans="2:50">
      <c r="B179" s="559" t="s">
        <v>685</v>
      </c>
      <c r="C179" s="559" t="s">
        <v>686</v>
      </c>
      <c r="D179" s="559"/>
      <c r="E179" s="559" t="s">
        <v>687</v>
      </c>
      <c r="F179" s="559"/>
      <c r="G179" s="559"/>
      <c r="H179" s="560" t="s">
        <v>688</v>
      </c>
      <c r="I179" s="559" t="s">
        <v>689</v>
      </c>
      <c r="J179" s="559"/>
      <c r="K179" s="559"/>
      <c r="L179" s="560" t="s">
        <v>688</v>
      </c>
      <c r="M179" s="565" t="s">
        <v>690</v>
      </c>
      <c r="N179" s="559"/>
      <c r="O179" s="559" t="s">
        <v>691</v>
      </c>
      <c r="P179" s="556" t="s">
        <v>692</v>
      </c>
      <c r="Q179" s="557"/>
      <c r="R179" s="557"/>
      <c r="S179" s="558"/>
      <c r="T179" s="559" t="s">
        <v>688</v>
      </c>
      <c r="U179" s="556" t="s">
        <v>692</v>
      </c>
      <c r="V179" s="557"/>
      <c r="W179" s="557"/>
      <c r="X179" s="558"/>
      <c r="Y179" s="559" t="s">
        <v>688</v>
      </c>
      <c r="Z179" s="556" t="s">
        <v>418</v>
      </c>
      <c r="AA179" s="557"/>
      <c r="AB179" s="557"/>
      <c r="AC179" s="558"/>
      <c r="AD179" s="559" t="s">
        <v>416</v>
      </c>
      <c r="AE179" s="556" t="s">
        <v>418</v>
      </c>
      <c r="AF179" s="557"/>
      <c r="AG179" s="557"/>
      <c r="AH179" s="558"/>
      <c r="AI179" s="559" t="s">
        <v>416</v>
      </c>
      <c r="AJ179" s="556" t="s">
        <v>418</v>
      </c>
      <c r="AK179" s="557"/>
      <c r="AL179" s="557"/>
      <c r="AM179" s="558"/>
      <c r="AN179" s="559" t="s">
        <v>416</v>
      </c>
      <c r="AO179" s="556" t="s">
        <v>418</v>
      </c>
      <c r="AP179" s="557"/>
      <c r="AQ179" s="557"/>
      <c r="AR179" s="558"/>
      <c r="AS179" s="559" t="s">
        <v>416</v>
      </c>
      <c r="AT179" s="556" t="s">
        <v>418</v>
      </c>
      <c r="AU179" s="557"/>
      <c r="AV179" s="557"/>
      <c r="AW179" s="558"/>
      <c r="AX179" s="559" t="s">
        <v>416</v>
      </c>
    </row>
    <row r="180" spans="2:50">
      <c r="B180" s="559"/>
      <c r="C180" s="559"/>
      <c r="D180" s="559"/>
      <c r="E180" s="559" t="s">
        <v>693</v>
      </c>
      <c r="F180" s="559"/>
      <c r="G180" s="559"/>
      <c r="H180" s="561"/>
      <c r="I180" s="559" t="s">
        <v>693</v>
      </c>
      <c r="J180" s="559"/>
      <c r="K180" s="559"/>
      <c r="L180" s="561"/>
      <c r="M180" s="566"/>
      <c r="N180" s="559"/>
      <c r="O180" s="559"/>
      <c r="P180" s="556" t="s">
        <v>694</v>
      </c>
      <c r="Q180" s="557"/>
      <c r="R180" s="557"/>
      <c r="S180" s="558"/>
      <c r="T180" s="559"/>
      <c r="U180" s="556" t="s">
        <v>694</v>
      </c>
      <c r="V180" s="557"/>
      <c r="W180" s="557"/>
      <c r="X180" s="558"/>
      <c r="Y180" s="559"/>
      <c r="Z180" s="556" t="s">
        <v>423</v>
      </c>
      <c r="AA180" s="557"/>
      <c r="AB180" s="557"/>
      <c r="AC180" s="558"/>
      <c r="AD180" s="559"/>
      <c r="AE180" s="556" t="s">
        <v>423</v>
      </c>
      <c r="AF180" s="557"/>
      <c r="AG180" s="557"/>
      <c r="AH180" s="558"/>
      <c r="AI180" s="559"/>
      <c r="AJ180" s="556" t="s">
        <v>423</v>
      </c>
      <c r="AK180" s="557"/>
      <c r="AL180" s="557"/>
      <c r="AM180" s="558"/>
      <c r="AN180" s="559"/>
      <c r="AO180" s="556" t="s">
        <v>423</v>
      </c>
      <c r="AP180" s="557"/>
      <c r="AQ180" s="557"/>
      <c r="AR180" s="558"/>
      <c r="AS180" s="559"/>
      <c r="AT180" s="556" t="s">
        <v>423</v>
      </c>
      <c r="AU180" s="557"/>
      <c r="AV180" s="557"/>
      <c r="AW180" s="558"/>
      <c r="AX180" s="559"/>
    </row>
    <row r="181" spans="2:50">
      <c r="B181" s="559"/>
      <c r="C181" s="559"/>
      <c r="D181" s="559"/>
      <c r="E181" s="400" t="s">
        <v>695</v>
      </c>
      <c r="F181" s="400" t="s">
        <v>696</v>
      </c>
      <c r="G181" s="400" t="s">
        <v>697</v>
      </c>
      <c r="H181" s="562"/>
      <c r="I181" s="400" t="s">
        <v>695</v>
      </c>
      <c r="J181" s="400" t="s">
        <v>696</v>
      </c>
      <c r="K181" s="400" t="s">
        <v>697</v>
      </c>
      <c r="L181" s="562"/>
      <c r="M181" s="567"/>
      <c r="N181" s="559"/>
      <c r="O181" s="559"/>
      <c r="P181" s="400" t="s">
        <v>695</v>
      </c>
      <c r="Q181" s="400" t="s">
        <v>696</v>
      </c>
      <c r="R181" s="400" t="s">
        <v>697</v>
      </c>
      <c r="S181" s="400" t="s">
        <v>690</v>
      </c>
      <c r="T181" s="559"/>
      <c r="U181" s="400" t="s">
        <v>695</v>
      </c>
      <c r="V181" s="400" t="s">
        <v>696</v>
      </c>
      <c r="W181" s="400" t="s">
        <v>697</v>
      </c>
      <c r="X181" s="400" t="s">
        <v>690</v>
      </c>
      <c r="Y181" s="559"/>
      <c r="Z181" s="298" t="s">
        <v>424</v>
      </c>
      <c r="AA181" s="298" t="s">
        <v>425</v>
      </c>
      <c r="AB181" s="298" t="s">
        <v>426</v>
      </c>
      <c r="AC181" s="298" t="s">
        <v>417</v>
      </c>
      <c r="AD181" s="559"/>
      <c r="AE181" s="298" t="s">
        <v>424</v>
      </c>
      <c r="AF181" s="298" t="s">
        <v>425</v>
      </c>
      <c r="AG181" s="298" t="s">
        <v>426</v>
      </c>
      <c r="AH181" s="298" t="s">
        <v>417</v>
      </c>
      <c r="AI181" s="559"/>
      <c r="AJ181" s="298" t="s">
        <v>424</v>
      </c>
      <c r="AK181" s="298" t="s">
        <v>425</v>
      </c>
      <c r="AL181" s="298" t="s">
        <v>426</v>
      </c>
      <c r="AM181" s="298" t="s">
        <v>417</v>
      </c>
      <c r="AN181" s="559"/>
      <c r="AO181" s="298" t="s">
        <v>424</v>
      </c>
      <c r="AP181" s="298" t="s">
        <v>425</v>
      </c>
      <c r="AQ181" s="298" t="s">
        <v>426</v>
      </c>
      <c r="AR181" s="298" t="s">
        <v>417</v>
      </c>
      <c r="AS181" s="559"/>
      <c r="AT181" s="298" t="s">
        <v>424</v>
      </c>
      <c r="AU181" s="298" t="s">
        <v>425</v>
      </c>
      <c r="AV181" s="298" t="s">
        <v>426</v>
      </c>
      <c r="AW181" s="298" t="s">
        <v>417</v>
      </c>
      <c r="AX181" s="559"/>
    </row>
    <row r="182" spans="2:50">
      <c r="B182" s="598" t="s">
        <v>698</v>
      </c>
      <c r="C182" s="431">
        <v>1</v>
      </c>
      <c r="D182" s="431"/>
      <c r="E182" s="432"/>
      <c r="F182" s="432"/>
      <c r="G182" s="432"/>
      <c r="H182" s="563" t="e">
        <f>AVERAGE(G182:G211)</f>
        <v>#DIV/0!</v>
      </c>
      <c r="I182" s="432" t="e">
        <f>AVERAGE(P182,U182,Z182,AE182,AJ182,AO182,AT182)</f>
        <v>#DIV/0!</v>
      </c>
      <c r="J182" s="432" t="e">
        <f>AVERAGE(Q182,V182,AA182,AF182,AK182,AP182,AU182)</f>
        <v>#DIV/0!</v>
      </c>
      <c r="K182" s="433" t="e">
        <f>AVERAGE(R182,W182,AB182,AG182,AL182,AQ182,AV182)</f>
        <v>#DIV/0!</v>
      </c>
      <c r="L182" s="588"/>
      <c r="M182" s="432" t="e">
        <f>RANK(K182, K$182:$K$211)</f>
        <v>#DIV/0!</v>
      </c>
      <c r="N182" s="559"/>
      <c r="O182" s="559"/>
      <c r="P182" s="431"/>
      <c r="Q182" s="432"/>
      <c r="R182" s="432"/>
      <c r="S182" s="431" t="e">
        <f>RANK(R182, R$182:R$211)</f>
        <v>#N/A</v>
      </c>
      <c r="T182" s="588" t="e">
        <f>AVERAGE(R182:R211)</f>
        <v>#DIV/0!</v>
      </c>
      <c r="U182" s="431"/>
      <c r="V182" s="432"/>
      <c r="W182" s="433"/>
      <c r="X182" s="431" t="e">
        <f>RANK(W182, W$182:W$211)</f>
        <v>#N/A</v>
      </c>
      <c r="Y182" s="588" t="e">
        <f>AVERAGE(W182:W211)</f>
        <v>#DIV/0!</v>
      </c>
      <c r="Z182" s="182"/>
      <c r="AA182" s="182"/>
      <c r="AB182" s="312"/>
      <c r="AC182" s="311" t="e">
        <f>RANK(AB182, AB$182:AB$211)</f>
        <v>#N/A</v>
      </c>
      <c r="AD182" s="573" t="e">
        <f>AVERAGE(AB182:AB211)</f>
        <v>#DIV/0!</v>
      </c>
      <c r="AE182" s="182"/>
      <c r="AF182" s="182"/>
      <c r="AG182" s="312"/>
      <c r="AH182" s="311" t="e">
        <f>RANK(AG182, AG$182:AG$211)</f>
        <v>#N/A</v>
      </c>
      <c r="AI182" s="573" t="e">
        <f>AVERAGE(AG182:AG211)</f>
        <v>#DIV/0!</v>
      </c>
      <c r="AJ182" s="182"/>
      <c r="AK182" s="182"/>
      <c r="AL182" s="312"/>
      <c r="AM182" s="311" t="e">
        <f>RANK(AL182, AL$182:AL$211)</f>
        <v>#N/A</v>
      </c>
      <c r="AN182" s="573" t="e">
        <f>AVERAGE(AL182:AL211)</f>
        <v>#DIV/0!</v>
      </c>
      <c r="AO182" s="182"/>
      <c r="AP182" s="182"/>
      <c r="AQ182" s="312"/>
      <c r="AR182" s="311" t="e">
        <f>RANK(AQ182, AQ$182:AQ$211)</f>
        <v>#N/A</v>
      </c>
      <c r="AS182" s="573" t="e">
        <f>AVERAGE(AQ182:AQ211)</f>
        <v>#DIV/0!</v>
      </c>
      <c r="AT182" s="182"/>
      <c r="AU182" s="182"/>
      <c r="AV182" s="312"/>
      <c r="AW182" s="311" t="e">
        <f>RANK(AV182, AV$182:AV$211)</f>
        <v>#N/A</v>
      </c>
      <c r="AX182" s="573" t="e">
        <f>AVERAGE(AV182:AV211)</f>
        <v>#DIV/0!</v>
      </c>
    </row>
    <row r="183" spans="2:50">
      <c r="B183" s="599"/>
      <c r="C183" s="431">
        <v>2</v>
      </c>
      <c r="D183" s="431"/>
      <c r="E183" s="432"/>
      <c r="F183" s="432"/>
      <c r="G183" s="432"/>
      <c r="H183" s="564"/>
      <c r="I183" s="432" t="e">
        <f t="shared" ref="I183:K198" si="72">AVERAGE(P183,U183,Z183,AE183,AJ183,AO183,AT183)</f>
        <v>#DIV/0!</v>
      </c>
      <c r="J183" s="432" t="e">
        <f t="shared" si="72"/>
        <v>#DIV/0!</v>
      </c>
      <c r="K183" s="433" t="e">
        <f t="shared" si="72"/>
        <v>#DIV/0!</v>
      </c>
      <c r="L183" s="588"/>
      <c r="M183" s="432" t="e">
        <f>RANK(K183, K$182:$K$211)</f>
        <v>#DIV/0!</v>
      </c>
      <c r="N183" s="559"/>
      <c r="O183" s="559"/>
      <c r="P183" s="431"/>
      <c r="Q183" s="432"/>
      <c r="R183" s="432"/>
      <c r="S183" s="431" t="e">
        <f t="shared" ref="S183:S211" si="73">RANK(R183, R$182:R$211)</f>
        <v>#N/A</v>
      </c>
      <c r="T183" s="588"/>
      <c r="U183" s="431"/>
      <c r="V183" s="432"/>
      <c r="W183" s="433"/>
      <c r="X183" s="431" t="e">
        <f t="shared" ref="X183:X211" si="74">RANK(W183, W$182:W$211)</f>
        <v>#N/A</v>
      </c>
      <c r="Y183" s="588"/>
      <c r="Z183" s="311"/>
      <c r="AA183" s="182"/>
      <c r="AB183" s="312"/>
      <c r="AC183" s="311" t="e">
        <f t="shared" ref="AC183:AC211" si="75">RANK(AB183, AB$182:AB$211)</f>
        <v>#N/A</v>
      </c>
      <c r="AD183" s="574"/>
      <c r="AE183" s="311"/>
      <c r="AF183" s="182"/>
      <c r="AG183" s="312"/>
      <c r="AH183" s="311" t="e">
        <f t="shared" ref="AH183:AH211" si="76">RANK(AG183, AG$182:AG$211)</f>
        <v>#N/A</v>
      </c>
      <c r="AI183" s="574"/>
      <c r="AJ183" s="311"/>
      <c r="AK183" s="182"/>
      <c r="AL183" s="312"/>
      <c r="AM183" s="311" t="e">
        <f t="shared" ref="AM183:AM211" si="77">RANK(AL183, AL$182:AL$211)</f>
        <v>#N/A</v>
      </c>
      <c r="AN183" s="574"/>
      <c r="AO183" s="311"/>
      <c r="AP183" s="182"/>
      <c r="AQ183" s="312"/>
      <c r="AR183" s="311" t="e">
        <f t="shared" ref="AR183:AR211" si="78">RANK(AQ183, AQ$182:AQ$211)</f>
        <v>#N/A</v>
      </c>
      <c r="AS183" s="574"/>
      <c r="AT183" s="311"/>
      <c r="AU183" s="182"/>
      <c r="AV183" s="312"/>
      <c r="AW183" s="311" t="e">
        <f t="shared" ref="AW183:AW211" si="79">RANK(AV183, AV$182:AV$211)</f>
        <v>#N/A</v>
      </c>
      <c r="AX183" s="574"/>
    </row>
    <row r="184" spans="2:50">
      <c r="B184" s="599"/>
      <c r="C184" s="431">
        <v>3</v>
      </c>
      <c r="D184" s="431"/>
      <c r="E184" s="432"/>
      <c r="F184" s="432"/>
      <c r="G184" s="432"/>
      <c r="H184" s="564"/>
      <c r="I184" s="432" t="e">
        <f t="shared" si="72"/>
        <v>#DIV/0!</v>
      </c>
      <c r="J184" s="432" t="e">
        <f t="shared" si="72"/>
        <v>#DIV/0!</v>
      </c>
      <c r="K184" s="433" t="e">
        <f t="shared" si="72"/>
        <v>#DIV/0!</v>
      </c>
      <c r="L184" s="588"/>
      <c r="M184" s="432" t="e">
        <f>RANK(K184, K$182:$K$211)</f>
        <v>#DIV/0!</v>
      </c>
      <c r="N184" s="559"/>
      <c r="O184" s="559"/>
      <c r="P184" s="431"/>
      <c r="Q184" s="432"/>
      <c r="R184" s="432"/>
      <c r="S184" s="431" t="e">
        <f t="shared" si="73"/>
        <v>#N/A</v>
      </c>
      <c r="T184" s="588"/>
      <c r="U184" s="431"/>
      <c r="V184" s="432"/>
      <c r="W184" s="433"/>
      <c r="X184" s="431" t="e">
        <f t="shared" si="74"/>
        <v>#N/A</v>
      </c>
      <c r="Y184" s="588"/>
      <c r="Z184" s="311"/>
      <c r="AA184" s="182"/>
      <c r="AB184" s="312"/>
      <c r="AC184" s="311" t="e">
        <f t="shared" si="75"/>
        <v>#N/A</v>
      </c>
      <c r="AD184" s="574"/>
      <c r="AE184" s="311"/>
      <c r="AF184" s="182"/>
      <c r="AG184" s="312"/>
      <c r="AH184" s="311" t="e">
        <f t="shared" si="76"/>
        <v>#N/A</v>
      </c>
      <c r="AI184" s="574"/>
      <c r="AJ184" s="311"/>
      <c r="AK184" s="182"/>
      <c r="AL184" s="312"/>
      <c r="AM184" s="311" t="e">
        <f t="shared" si="77"/>
        <v>#N/A</v>
      </c>
      <c r="AN184" s="574"/>
      <c r="AO184" s="311"/>
      <c r="AP184" s="182"/>
      <c r="AQ184" s="312"/>
      <c r="AR184" s="311" t="e">
        <f t="shared" si="78"/>
        <v>#N/A</v>
      </c>
      <c r="AS184" s="574"/>
      <c r="AT184" s="311"/>
      <c r="AU184" s="182"/>
      <c r="AV184" s="312"/>
      <c r="AW184" s="311" t="e">
        <f t="shared" si="79"/>
        <v>#N/A</v>
      </c>
      <c r="AX184" s="574"/>
    </row>
    <row r="185" spans="2:50">
      <c r="B185" s="599"/>
      <c r="C185" s="431">
        <v>4</v>
      </c>
      <c r="D185" s="431"/>
      <c r="E185" s="432"/>
      <c r="F185" s="432"/>
      <c r="G185" s="432"/>
      <c r="H185" s="564"/>
      <c r="I185" s="432" t="e">
        <f t="shared" si="72"/>
        <v>#DIV/0!</v>
      </c>
      <c r="J185" s="432" t="e">
        <f t="shared" si="72"/>
        <v>#DIV/0!</v>
      </c>
      <c r="K185" s="433" t="e">
        <f t="shared" si="72"/>
        <v>#DIV/0!</v>
      </c>
      <c r="L185" s="588"/>
      <c r="M185" s="432" t="e">
        <f>RANK(K185, K$182:$K$211)</f>
        <v>#DIV/0!</v>
      </c>
      <c r="N185" s="559"/>
      <c r="O185" s="559"/>
      <c r="P185" s="431"/>
      <c r="Q185" s="432"/>
      <c r="R185" s="432"/>
      <c r="S185" s="431" t="e">
        <f t="shared" si="73"/>
        <v>#N/A</v>
      </c>
      <c r="T185" s="588"/>
      <c r="U185" s="431"/>
      <c r="V185" s="432"/>
      <c r="W185" s="433"/>
      <c r="X185" s="431" t="e">
        <f t="shared" si="74"/>
        <v>#N/A</v>
      </c>
      <c r="Y185" s="588"/>
      <c r="Z185" s="311"/>
      <c r="AA185" s="182"/>
      <c r="AB185" s="312"/>
      <c r="AC185" s="311" t="e">
        <f t="shared" si="75"/>
        <v>#N/A</v>
      </c>
      <c r="AD185" s="574"/>
      <c r="AE185" s="311"/>
      <c r="AF185" s="182"/>
      <c r="AG185" s="312"/>
      <c r="AH185" s="311" t="e">
        <f t="shared" si="76"/>
        <v>#N/A</v>
      </c>
      <c r="AI185" s="574"/>
      <c r="AJ185" s="311"/>
      <c r="AK185" s="182"/>
      <c r="AL185" s="312"/>
      <c r="AM185" s="311" t="e">
        <f t="shared" si="77"/>
        <v>#N/A</v>
      </c>
      <c r="AN185" s="574"/>
      <c r="AO185" s="311"/>
      <c r="AP185" s="182"/>
      <c r="AQ185" s="312"/>
      <c r="AR185" s="311" t="e">
        <f t="shared" si="78"/>
        <v>#N/A</v>
      </c>
      <c r="AS185" s="574"/>
      <c r="AT185" s="311"/>
      <c r="AU185" s="182"/>
      <c r="AV185" s="312"/>
      <c r="AW185" s="311" t="e">
        <f t="shared" si="79"/>
        <v>#N/A</v>
      </c>
      <c r="AX185" s="574"/>
    </row>
    <row r="186" spans="2:50">
      <c r="B186" s="599"/>
      <c r="C186" s="431">
        <v>5</v>
      </c>
      <c r="D186" s="431"/>
      <c r="E186" s="432"/>
      <c r="F186" s="432"/>
      <c r="G186" s="432"/>
      <c r="H186" s="564"/>
      <c r="I186" s="432" t="e">
        <f t="shared" si="72"/>
        <v>#DIV/0!</v>
      </c>
      <c r="J186" s="432" t="e">
        <f t="shared" si="72"/>
        <v>#DIV/0!</v>
      </c>
      <c r="K186" s="433" t="e">
        <f t="shared" si="72"/>
        <v>#DIV/0!</v>
      </c>
      <c r="L186" s="588"/>
      <c r="M186" s="432" t="e">
        <f>RANK(K186, K$182:$K$211)</f>
        <v>#DIV/0!</v>
      </c>
      <c r="N186" s="559"/>
      <c r="O186" s="559"/>
      <c r="P186" s="431"/>
      <c r="Q186" s="432"/>
      <c r="R186" s="432"/>
      <c r="S186" s="431" t="e">
        <f t="shared" si="73"/>
        <v>#N/A</v>
      </c>
      <c r="T186" s="588"/>
      <c r="U186" s="431"/>
      <c r="V186" s="432"/>
      <c r="W186" s="433"/>
      <c r="X186" s="431" t="e">
        <f t="shared" si="74"/>
        <v>#N/A</v>
      </c>
      <c r="Y186" s="588"/>
      <c r="Z186" s="311"/>
      <c r="AA186" s="182"/>
      <c r="AB186" s="312"/>
      <c r="AC186" s="311" t="e">
        <f t="shared" si="75"/>
        <v>#N/A</v>
      </c>
      <c r="AD186" s="574"/>
      <c r="AE186" s="311"/>
      <c r="AF186" s="182"/>
      <c r="AG186" s="312"/>
      <c r="AH186" s="311" t="e">
        <f t="shared" si="76"/>
        <v>#N/A</v>
      </c>
      <c r="AI186" s="574"/>
      <c r="AJ186" s="311"/>
      <c r="AK186" s="182"/>
      <c r="AL186" s="312"/>
      <c r="AM186" s="311" t="e">
        <f t="shared" si="77"/>
        <v>#N/A</v>
      </c>
      <c r="AN186" s="574"/>
      <c r="AO186" s="311"/>
      <c r="AP186" s="182"/>
      <c r="AQ186" s="312"/>
      <c r="AR186" s="311" t="e">
        <f t="shared" si="78"/>
        <v>#N/A</v>
      </c>
      <c r="AS186" s="574"/>
      <c r="AT186" s="311"/>
      <c r="AU186" s="182"/>
      <c r="AV186" s="312"/>
      <c r="AW186" s="311" t="e">
        <f t="shared" si="79"/>
        <v>#N/A</v>
      </c>
      <c r="AX186" s="574"/>
    </row>
    <row r="187" spans="2:50">
      <c r="B187" s="599"/>
      <c r="C187" s="431">
        <v>6</v>
      </c>
      <c r="D187" s="431"/>
      <c r="E187" s="432"/>
      <c r="F187" s="432"/>
      <c r="G187" s="432"/>
      <c r="H187" s="564"/>
      <c r="I187" s="432" t="e">
        <f t="shared" si="72"/>
        <v>#DIV/0!</v>
      </c>
      <c r="J187" s="432" t="e">
        <f t="shared" si="72"/>
        <v>#DIV/0!</v>
      </c>
      <c r="K187" s="433" t="e">
        <f t="shared" si="72"/>
        <v>#DIV/0!</v>
      </c>
      <c r="L187" s="588"/>
      <c r="M187" s="432" t="e">
        <f>RANK(K187, K$182:$K$211)</f>
        <v>#DIV/0!</v>
      </c>
      <c r="N187" s="559"/>
      <c r="O187" s="559"/>
      <c r="P187" s="431"/>
      <c r="Q187" s="432"/>
      <c r="R187" s="432"/>
      <c r="S187" s="431" t="e">
        <f t="shared" si="73"/>
        <v>#N/A</v>
      </c>
      <c r="T187" s="588"/>
      <c r="U187" s="431"/>
      <c r="V187" s="432"/>
      <c r="W187" s="433"/>
      <c r="X187" s="431" t="e">
        <f t="shared" si="74"/>
        <v>#N/A</v>
      </c>
      <c r="Y187" s="588"/>
      <c r="Z187" s="311"/>
      <c r="AA187" s="182"/>
      <c r="AB187" s="312"/>
      <c r="AC187" s="311" t="e">
        <f t="shared" si="75"/>
        <v>#N/A</v>
      </c>
      <c r="AD187" s="574"/>
      <c r="AE187" s="311"/>
      <c r="AF187" s="182"/>
      <c r="AG187" s="312"/>
      <c r="AH187" s="311" t="e">
        <f t="shared" si="76"/>
        <v>#N/A</v>
      </c>
      <c r="AI187" s="574"/>
      <c r="AJ187" s="311"/>
      <c r="AK187" s="182"/>
      <c r="AL187" s="312"/>
      <c r="AM187" s="311" t="e">
        <f t="shared" si="77"/>
        <v>#N/A</v>
      </c>
      <c r="AN187" s="574"/>
      <c r="AO187" s="311"/>
      <c r="AP187" s="182"/>
      <c r="AQ187" s="312"/>
      <c r="AR187" s="311" t="e">
        <f t="shared" si="78"/>
        <v>#N/A</v>
      </c>
      <c r="AS187" s="574"/>
      <c r="AT187" s="311"/>
      <c r="AU187" s="182"/>
      <c r="AV187" s="312"/>
      <c r="AW187" s="311" t="e">
        <f t="shared" si="79"/>
        <v>#N/A</v>
      </c>
      <c r="AX187" s="574"/>
    </row>
    <row r="188" spans="2:50">
      <c r="B188" s="599"/>
      <c r="C188" s="431">
        <v>7</v>
      </c>
      <c r="D188" s="431"/>
      <c r="E188" s="432"/>
      <c r="F188" s="432"/>
      <c r="G188" s="432"/>
      <c r="H188" s="564"/>
      <c r="I188" s="432" t="e">
        <f t="shared" si="72"/>
        <v>#DIV/0!</v>
      </c>
      <c r="J188" s="432" t="e">
        <f t="shared" si="72"/>
        <v>#DIV/0!</v>
      </c>
      <c r="K188" s="433" t="e">
        <f t="shared" si="72"/>
        <v>#DIV/0!</v>
      </c>
      <c r="L188" s="588"/>
      <c r="M188" s="432" t="e">
        <f>RANK(K188, K$182:$K$211)</f>
        <v>#DIV/0!</v>
      </c>
      <c r="N188" s="559"/>
      <c r="O188" s="559"/>
      <c r="P188" s="431"/>
      <c r="Q188" s="432"/>
      <c r="R188" s="432"/>
      <c r="S188" s="431" t="e">
        <f t="shared" si="73"/>
        <v>#N/A</v>
      </c>
      <c r="T188" s="588"/>
      <c r="U188" s="431"/>
      <c r="V188" s="432"/>
      <c r="W188" s="433"/>
      <c r="X188" s="431" t="e">
        <f t="shared" si="74"/>
        <v>#N/A</v>
      </c>
      <c r="Y188" s="588"/>
      <c r="Z188" s="311"/>
      <c r="AA188" s="182"/>
      <c r="AB188" s="312"/>
      <c r="AC188" s="311" t="e">
        <f t="shared" si="75"/>
        <v>#N/A</v>
      </c>
      <c r="AD188" s="574"/>
      <c r="AE188" s="311"/>
      <c r="AF188" s="182"/>
      <c r="AG188" s="312"/>
      <c r="AH188" s="311" t="e">
        <f t="shared" si="76"/>
        <v>#N/A</v>
      </c>
      <c r="AI188" s="574"/>
      <c r="AJ188" s="311"/>
      <c r="AK188" s="182"/>
      <c r="AL188" s="312"/>
      <c r="AM188" s="311" t="e">
        <f t="shared" si="77"/>
        <v>#N/A</v>
      </c>
      <c r="AN188" s="574"/>
      <c r="AO188" s="311"/>
      <c r="AP188" s="182"/>
      <c r="AQ188" s="312"/>
      <c r="AR188" s="311" t="e">
        <f t="shared" si="78"/>
        <v>#N/A</v>
      </c>
      <c r="AS188" s="574"/>
      <c r="AT188" s="311"/>
      <c r="AU188" s="182"/>
      <c r="AV188" s="312"/>
      <c r="AW188" s="311" t="e">
        <f t="shared" si="79"/>
        <v>#N/A</v>
      </c>
      <c r="AX188" s="574"/>
    </row>
    <row r="189" spans="2:50">
      <c r="B189" s="599"/>
      <c r="C189" s="431">
        <v>8</v>
      </c>
      <c r="D189" s="431"/>
      <c r="E189" s="432"/>
      <c r="F189" s="432"/>
      <c r="G189" s="432"/>
      <c r="H189" s="564"/>
      <c r="I189" s="432" t="e">
        <f t="shared" si="72"/>
        <v>#DIV/0!</v>
      </c>
      <c r="J189" s="432" t="e">
        <f t="shared" si="72"/>
        <v>#DIV/0!</v>
      </c>
      <c r="K189" s="433" t="e">
        <f t="shared" si="72"/>
        <v>#DIV/0!</v>
      </c>
      <c r="L189" s="588"/>
      <c r="M189" s="432" t="e">
        <f>RANK(K189, K$182:$K$211)</f>
        <v>#DIV/0!</v>
      </c>
      <c r="N189" s="559"/>
      <c r="O189" s="559"/>
      <c r="P189" s="431"/>
      <c r="Q189" s="432"/>
      <c r="R189" s="432"/>
      <c r="S189" s="431" t="e">
        <f t="shared" si="73"/>
        <v>#N/A</v>
      </c>
      <c r="T189" s="588"/>
      <c r="U189" s="431"/>
      <c r="V189" s="432"/>
      <c r="W189" s="433"/>
      <c r="X189" s="431" t="e">
        <f t="shared" si="74"/>
        <v>#N/A</v>
      </c>
      <c r="Y189" s="588"/>
      <c r="Z189" s="311"/>
      <c r="AA189" s="182"/>
      <c r="AB189" s="312"/>
      <c r="AC189" s="311" t="e">
        <f t="shared" si="75"/>
        <v>#N/A</v>
      </c>
      <c r="AD189" s="574"/>
      <c r="AE189" s="311"/>
      <c r="AF189" s="182"/>
      <c r="AG189" s="312"/>
      <c r="AH189" s="311" t="e">
        <f t="shared" si="76"/>
        <v>#N/A</v>
      </c>
      <c r="AI189" s="574"/>
      <c r="AJ189" s="311"/>
      <c r="AK189" s="182"/>
      <c r="AL189" s="312"/>
      <c r="AM189" s="311" t="e">
        <f t="shared" si="77"/>
        <v>#N/A</v>
      </c>
      <c r="AN189" s="574"/>
      <c r="AO189" s="311"/>
      <c r="AP189" s="182"/>
      <c r="AQ189" s="312"/>
      <c r="AR189" s="311" t="e">
        <f t="shared" si="78"/>
        <v>#N/A</v>
      </c>
      <c r="AS189" s="574"/>
      <c r="AT189" s="311"/>
      <c r="AU189" s="182"/>
      <c r="AV189" s="312"/>
      <c r="AW189" s="311" t="e">
        <f t="shared" si="79"/>
        <v>#N/A</v>
      </c>
      <c r="AX189" s="574"/>
    </row>
    <row r="190" spans="2:50">
      <c r="B190" s="599"/>
      <c r="C190" s="431">
        <v>9</v>
      </c>
      <c r="D190" s="431"/>
      <c r="E190" s="432"/>
      <c r="F190" s="432"/>
      <c r="G190" s="432"/>
      <c r="H190" s="564"/>
      <c r="I190" s="432" t="e">
        <f t="shared" si="72"/>
        <v>#DIV/0!</v>
      </c>
      <c r="J190" s="432" t="e">
        <f t="shared" si="72"/>
        <v>#DIV/0!</v>
      </c>
      <c r="K190" s="433" t="e">
        <f t="shared" si="72"/>
        <v>#DIV/0!</v>
      </c>
      <c r="L190" s="588"/>
      <c r="M190" s="432" t="e">
        <f>RANK(K190, K$182:$K$211)</f>
        <v>#DIV/0!</v>
      </c>
      <c r="N190" s="559"/>
      <c r="O190" s="559"/>
      <c r="P190" s="431"/>
      <c r="Q190" s="432"/>
      <c r="R190" s="432"/>
      <c r="S190" s="431" t="e">
        <f t="shared" si="73"/>
        <v>#N/A</v>
      </c>
      <c r="T190" s="588"/>
      <c r="U190" s="431"/>
      <c r="V190" s="432"/>
      <c r="W190" s="433"/>
      <c r="X190" s="431" t="e">
        <f t="shared" si="74"/>
        <v>#N/A</v>
      </c>
      <c r="Y190" s="588"/>
      <c r="Z190" s="311"/>
      <c r="AA190" s="182"/>
      <c r="AB190" s="312"/>
      <c r="AC190" s="311" t="e">
        <f t="shared" si="75"/>
        <v>#N/A</v>
      </c>
      <c r="AD190" s="574"/>
      <c r="AE190" s="311"/>
      <c r="AF190" s="182"/>
      <c r="AG190" s="312"/>
      <c r="AH190" s="311" t="e">
        <f t="shared" si="76"/>
        <v>#N/A</v>
      </c>
      <c r="AI190" s="574"/>
      <c r="AJ190" s="311"/>
      <c r="AK190" s="182"/>
      <c r="AL190" s="312"/>
      <c r="AM190" s="311" t="e">
        <f t="shared" si="77"/>
        <v>#N/A</v>
      </c>
      <c r="AN190" s="574"/>
      <c r="AO190" s="311"/>
      <c r="AP190" s="182"/>
      <c r="AQ190" s="312"/>
      <c r="AR190" s="311" t="e">
        <f t="shared" si="78"/>
        <v>#N/A</v>
      </c>
      <c r="AS190" s="574"/>
      <c r="AT190" s="311"/>
      <c r="AU190" s="182"/>
      <c r="AV190" s="312"/>
      <c r="AW190" s="311" t="e">
        <f t="shared" si="79"/>
        <v>#N/A</v>
      </c>
      <c r="AX190" s="574"/>
    </row>
    <row r="191" spans="2:50">
      <c r="B191" s="599"/>
      <c r="C191" s="431">
        <v>10</v>
      </c>
      <c r="D191" s="431"/>
      <c r="E191" s="432"/>
      <c r="F191" s="432"/>
      <c r="G191" s="432"/>
      <c r="H191" s="564"/>
      <c r="I191" s="432" t="e">
        <f t="shared" si="72"/>
        <v>#DIV/0!</v>
      </c>
      <c r="J191" s="432" t="e">
        <f t="shared" si="72"/>
        <v>#DIV/0!</v>
      </c>
      <c r="K191" s="433" t="e">
        <f t="shared" si="72"/>
        <v>#DIV/0!</v>
      </c>
      <c r="L191" s="588"/>
      <c r="M191" s="432" t="e">
        <f>RANK(K191, K$182:$K$211)</f>
        <v>#DIV/0!</v>
      </c>
      <c r="N191" s="559"/>
      <c r="O191" s="559"/>
      <c r="P191" s="431"/>
      <c r="Q191" s="432"/>
      <c r="R191" s="432"/>
      <c r="S191" s="431" t="e">
        <f t="shared" si="73"/>
        <v>#N/A</v>
      </c>
      <c r="T191" s="588"/>
      <c r="U191" s="431"/>
      <c r="V191" s="432"/>
      <c r="W191" s="433"/>
      <c r="X191" s="431" t="e">
        <f t="shared" si="74"/>
        <v>#N/A</v>
      </c>
      <c r="Y191" s="588"/>
      <c r="Z191" s="311"/>
      <c r="AA191" s="182"/>
      <c r="AB191" s="312"/>
      <c r="AC191" s="311" t="e">
        <f t="shared" si="75"/>
        <v>#N/A</v>
      </c>
      <c r="AD191" s="574"/>
      <c r="AE191" s="311"/>
      <c r="AF191" s="182"/>
      <c r="AG191" s="312"/>
      <c r="AH191" s="311" t="e">
        <f t="shared" si="76"/>
        <v>#N/A</v>
      </c>
      <c r="AI191" s="574"/>
      <c r="AJ191" s="311"/>
      <c r="AK191" s="182"/>
      <c r="AL191" s="312"/>
      <c r="AM191" s="311" t="e">
        <f t="shared" si="77"/>
        <v>#N/A</v>
      </c>
      <c r="AN191" s="574"/>
      <c r="AO191" s="311"/>
      <c r="AP191" s="182"/>
      <c r="AQ191" s="312"/>
      <c r="AR191" s="311" t="e">
        <f t="shared" si="78"/>
        <v>#N/A</v>
      </c>
      <c r="AS191" s="574"/>
      <c r="AT191" s="311"/>
      <c r="AU191" s="182"/>
      <c r="AV191" s="312"/>
      <c r="AW191" s="311" t="e">
        <f t="shared" si="79"/>
        <v>#N/A</v>
      </c>
      <c r="AX191" s="574"/>
    </row>
    <row r="192" spans="2:50">
      <c r="B192" s="599"/>
      <c r="C192" s="431">
        <v>11</v>
      </c>
      <c r="D192" s="431"/>
      <c r="E192" s="432"/>
      <c r="F192" s="432"/>
      <c r="G192" s="432"/>
      <c r="H192" s="564"/>
      <c r="I192" s="432" t="e">
        <f t="shared" si="72"/>
        <v>#DIV/0!</v>
      </c>
      <c r="J192" s="432" t="e">
        <f t="shared" si="72"/>
        <v>#DIV/0!</v>
      </c>
      <c r="K192" s="433" t="e">
        <f t="shared" si="72"/>
        <v>#DIV/0!</v>
      </c>
      <c r="L192" s="588"/>
      <c r="M192" s="432" t="e">
        <f>RANK(K192, K$182:$K$211)</f>
        <v>#DIV/0!</v>
      </c>
      <c r="N192" s="559"/>
      <c r="O192" s="559"/>
      <c r="P192" s="431"/>
      <c r="Q192" s="432"/>
      <c r="R192" s="432"/>
      <c r="S192" s="431" t="e">
        <f t="shared" si="73"/>
        <v>#N/A</v>
      </c>
      <c r="T192" s="588"/>
      <c r="U192" s="431"/>
      <c r="V192" s="432"/>
      <c r="W192" s="433"/>
      <c r="X192" s="431" t="e">
        <f t="shared" si="74"/>
        <v>#N/A</v>
      </c>
      <c r="Y192" s="588"/>
      <c r="Z192" s="311"/>
      <c r="AA192" s="182"/>
      <c r="AB192" s="312"/>
      <c r="AC192" s="311" t="e">
        <f t="shared" si="75"/>
        <v>#N/A</v>
      </c>
      <c r="AD192" s="574"/>
      <c r="AE192" s="311"/>
      <c r="AF192" s="182"/>
      <c r="AG192" s="312"/>
      <c r="AH192" s="311" t="e">
        <f t="shared" si="76"/>
        <v>#N/A</v>
      </c>
      <c r="AI192" s="574"/>
      <c r="AJ192" s="311"/>
      <c r="AK192" s="182"/>
      <c r="AL192" s="312"/>
      <c r="AM192" s="311" t="e">
        <f t="shared" si="77"/>
        <v>#N/A</v>
      </c>
      <c r="AN192" s="574"/>
      <c r="AO192" s="311"/>
      <c r="AP192" s="182"/>
      <c r="AQ192" s="312"/>
      <c r="AR192" s="311" t="e">
        <f t="shared" si="78"/>
        <v>#N/A</v>
      </c>
      <c r="AS192" s="574"/>
      <c r="AT192" s="311"/>
      <c r="AU192" s="182"/>
      <c r="AV192" s="312"/>
      <c r="AW192" s="311" t="e">
        <f t="shared" si="79"/>
        <v>#N/A</v>
      </c>
      <c r="AX192" s="574"/>
    </row>
    <row r="193" spans="2:50">
      <c r="B193" s="599"/>
      <c r="C193" s="431">
        <v>12</v>
      </c>
      <c r="D193" s="431"/>
      <c r="E193" s="432"/>
      <c r="F193" s="432"/>
      <c r="G193" s="432"/>
      <c r="H193" s="564"/>
      <c r="I193" s="432" t="e">
        <f t="shared" si="72"/>
        <v>#DIV/0!</v>
      </c>
      <c r="J193" s="432" t="e">
        <f t="shared" si="72"/>
        <v>#DIV/0!</v>
      </c>
      <c r="K193" s="433" t="e">
        <f t="shared" si="72"/>
        <v>#DIV/0!</v>
      </c>
      <c r="L193" s="588"/>
      <c r="M193" s="432" t="e">
        <f>RANK(K193, K$182:$K$211)</f>
        <v>#DIV/0!</v>
      </c>
      <c r="N193" s="559"/>
      <c r="O193" s="559"/>
      <c r="P193" s="431"/>
      <c r="Q193" s="432"/>
      <c r="R193" s="432"/>
      <c r="S193" s="431" t="e">
        <f t="shared" si="73"/>
        <v>#N/A</v>
      </c>
      <c r="T193" s="588"/>
      <c r="U193" s="431"/>
      <c r="V193" s="432"/>
      <c r="W193" s="433"/>
      <c r="X193" s="431" t="e">
        <f t="shared" si="74"/>
        <v>#N/A</v>
      </c>
      <c r="Y193" s="588"/>
      <c r="Z193" s="311"/>
      <c r="AA193" s="182"/>
      <c r="AB193" s="312"/>
      <c r="AC193" s="311" t="e">
        <f t="shared" si="75"/>
        <v>#N/A</v>
      </c>
      <c r="AD193" s="574"/>
      <c r="AE193" s="311"/>
      <c r="AF193" s="182"/>
      <c r="AG193" s="312"/>
      <c r="AH193" s="311" t="e">
        <f t="shared" si="76"/>
        <v>#N/A</v>
      </c>
      <c r="AI193" s="574"/>
      <c r="AJ193" s="311"/>
      <c r="AK193" s="182"/>
      <c r="AL193" s="312"/>
      <c r="AM193" s="311" t="e">
        <f t="shared" si="77"/>
        <v>#N/A</v>
      </c>
      <c r="AN193" s="574"/>
      <c r="AO193" s="311"/>
      <c r="AP193" s="182"/>
      <c r="AQ193" s="312"/>
      <c r="AR193" s="311" t="e">
        <f t="shared" si="78"/>
        <v>#N/A</v>
      </c>
      <c r="AS193" s="574"/>
      <c r="AT193" s="311"/>
      <c r="AU193" s="182"/>
      <c r="AV193" s="312"/>
      <c r="AW193" s="311" t="e">
        <f t="shared" si="79"/>
        <v>#N/A</v>
      </c>
      <c r="AX193" s="574"/>
    </row>
    <row r="194" spans="2:50">
      <c r="B194" s="599"/>
      <c r="C194" s="431">
        <v>13</v>
      </c>
      <c r="D194" s="431"/>
      <c r="E194" s="432"/>
      <c r="F194" s="432"/>
      <c r="G194" s="432"/>
      <c r="H194" s="564"/>
      <c r="I194" s="432" t="e">
        <f t="shared" si="72"/>
        <v>#DIV/0!</v>
      </c>
      <c r="J194" s="432" t="e">
        <f t="shared" si="72"/>
        <v>#DIV/0!</v>
      </c>
      <c r="K194" s="433" t="e">
        <f t="shared" si="72"/>
        <v>#DIV/0!</v>
      </c>
      <c r="L194" s="588"/>
      <c r="M194" s="432" t="e">
        <f>RANK(K194, K$182:$K$211)</f>
        <v>#DIV/0!</v>
      </c>
      <c r="N194" s="559"/>
      <c r="O194" s="559"/>
      <c r="P194" s="431"/>
      <c r="Q194" s="432"/>
      <c r="R194" s="432"/>
      <c r="S194" s="431" t="e">
        <f t="shared" si="73"/>
        <v>#N/A</v>
      </c>
      <c r="T194" s="588"/>
      <c r="U194" s="431"/>
      <c r="V194" s="432"/>
      <c r="W194" s="433"/>
      <c r="X194" s="431" t="e">
        <f t="shared" si="74"/>
        <v>#N/A</v>
      </c>
      <c r="Y194" s="588"/>
      <c r="Z194" s="311"/>
      <c r="AA194" s="182"/>
      <c r="AB194" s="312"/>
      <c r="AC194" s="311" t="e">
        <f t="shared" si="75"/>
        <v>#N/A</v>
      </c>
      <c r="AD194" s="574"/>
      <c r="AE194" s="311"/>
      <c r="AF194" s="182"/>
      <c r="AG194" s="312"/>
      <c r="AH194" s="311" t="e">
        <f t="shared" si="76"/>
        <v>#N/A</v>
      </c>
      <c r="AI194" s="574"/>
      <c r="AJ194" s="311"/>
      <c r="AK194" s="182"/>
      <c r="AL194" s="312"/>
      <c r="AM194" s="311" t="e">
        <f t="shared" si="77"/>
        <v>#N/A</v>
      </c>
      <c r="AN194" s="574"/>
      <c r="AO194" s="311"/>
      <c r="AP194" s="182"/>
      <c r="AQ194" s="312"/>
      <c r="AR194" s="311" t="e">
        <f t="shared" si="78"/>
        <v>#N/A</v>
      </c>
      <c r="AS194" s="574"/>
      <c r="AT194" s="311"/>
      <c r="AU194" s="182"/>
      <c r="AV194" s="312"/>
      <c r="AW194" s="311" t="e">
        <f t="shared" si="79"/>
        <v>#N/A</v>
      </c>
      <c r="AX194" s="574"/>
    </row>
    <row r="195" spans="2:50">
      <c r="B195" s="599"/>
      <c r="C195" s="431">
        <v>14</v>
      </c>
      <c r="D195" s="431"/>
      <c r="E195" s="432"/>
      <c r="F195" s="432"/>
      <c r="G195" s="432"/>
      <c r="H195" s="564"/>
      <c r="I195" s="432" t="e">
        <f t="shared" si="72"/>
        <v>#DIV/0!</v>
      </c>
      <c r="J195" s="432" t="e">
        <f t="shared" si="72"/>
        <v>#DIV/0!</v>
      </c>
      <c r="K195" s="433" t="e">
        <f t="shared" si="72"/>
        <v>#DIV/0!</v>
      </c>
      <c r="L195" s="588"/>
      <c r="M195" s="432" t="e">
        <f>RANK(K195, K$182:$K$211)</f>
        <v>#DIV/0!</v>
      </c>
      <c r="N195" s="559"/>
      <c r="O195" s="559"/>
      <c r="P195" s="431"/>
      <c r="Q195" s="432"/>
      <c r="R195" s="432"/>
      <c r="S195" s="431" t="e">
        <f t="shared" si="73"/>
        <v>#N/A</v>
      </c>
      <c r="T195" s="588"/>
      <c r="U195" s="431"/>
      <c r="V195" s="432"/>
      <c r="W195" s="433"/>
      <c r="X195" s="431" t="e">
        <f t="shared" si="74"/>
        <v>#N/A</v>
      </c>
      <c r="Y195" s="588"/>
      <c r="Z195" s="311"/>
      <c r="AA195" s="182"/>
      <c r="AB195" s="312"/>
      <c r="AC195" s="311" t="e">
        <f t="shared" si="75"/>
        <v>#N/A</v>
      </c>
      <c r="AD195" s="574"/>
      <c r="AE195" s="311"/>
      <c r="AF195" s="182"/>
      <c r="AG195" s="312"/>
      <c r="AH195" s="311" t="e">
        <f t="shared" si="76"/>
        <v>#N/A</v>
      </c>
      <c r="AI195" s="574"/>
      <c r="AJ195" s="311"/>
      <c r="AK195" s="182"/>
      <c r="AL195" s="312"/>
      <c r="AM195" s="311" t="e">
        <f t="shared" si="77"/>
        <v>#N/A</v>
      </c>
      <c r="AN195" s="574"/>
      <c r="AO195" s="311"/>
      <c r="AP195" s="182"/>
      <c r="AQ195" s="312"/>
      <c r="AR195" s="311" t="e">
        <f t="shared" si="78"/>
        <v>#N/A</v>
      </c>
      <c r="AS195" s="574"/>
      <c r="AT195" s="311"/>
      <c r="AU195" s="182"/>
      <c r="AV195" s="312"/>
      <c r="AW195" s="311" t="e">
        <f t="shared" si="79"/>
        <v>#N/A</v>
      </c>
      <c r="AX195" s="574"/>
    </row>
    <row r="196" spans="2:50">
      <c r="B196" s="599"/>
      <c r="C196" s="431">
        <v>15</v>
      </c>
      <c r="D196" s="431"/>
      <c r="E196" s="432"/>
      <c r="F196" s="432"/>
      <c r="G196" s="432"/>
      <c r="H196" s="564"/>
      <c r="I196" s="432" t="e">
        <f t="shared" si="72"/>
        <v>#DIV/0!</v>
      </c>
      <c r="J196" s="432" t="e">
        <f t="shared" si="72"/>
        <v>#DIV/0!</v>
      </c>
      <c r="K196" s="433" t="e">
        <f t="shared" si="72"/>
        <v>#DIV/0!</v>
      </c>
      <c r="L196" s="588"/>
      <c r="M196" s="432" t="e">
        <f>RANK(K196, K$182:$K$211)</f>
        <v>#DIV/0!</v>
      </c>
      <c r="N196" s="559"/>
      <c r="O196" s="559"/>
      <c r="P196" s="431"/>
      <c r="Q196" s="432"/>
      <c r="R196" s="432"/>
      <c r="S196" s="431" t="e">
        <f t="shared" si="73"/>
        <v>#N/A</v>
      </c>
      <c r="T196" s="588"/>
      <c r="U196" s="431"/>
      <c r="V196" s="432"/>
      <c r="W196" s="433"/>
      <c r="X196" s="431" t="e">
        <f t="shared" si="74"/>
        <v>#N/A</v>
      </c>
      <c r="Y196" s="588"/>
      <c r="Z196" s="311"/>
      <c r="AA196" s="182"/>
      <c r="AB196" s="312"/>
      <c r="AC196" s="311" t="e">
        <f t="shared" si="75"/>
        <v>#N/A</v>
      </c>
      <c r="AD196" s="574"/>
      <c r="AE196" s="311"/>
      <c r="AF196" s="182"/>
      <c r="AG196" s="312"/>
      <c r="AH196" s="311" t="e">
        <f t="shared" si="76"/>
        <v>#N/A</v>
      </c>
      <c r="AI196" s="574"/>
      <c r="AJ196" s="311"/>
      <c r="AK196" s="182"/>
      <c r="AL196" s="312"/>
      <c r="AM196" s="311" t="e">
        <f t="shared" si="77"/>
        <v>#N/A</v>
      </c>
      <c r="AN196" s="574"/>
      <c r="AO196" s="311"/>
      <c r="AP196" s="182"/>
      <c r="AQ196" s="312"/>
      <c r="AR196" s="311" t="e">
        <f t="shared" si="78"/>
        <v>#N/A</v>
      </c>
      <c r="AS196" s="574"/>
      <c r="AT196" s="311"/>
      <c r="AU196" s="182"/>
      <c r="AV196" s="312"/>
      <c r="AW196" s="311" t="e">
        <f t="shared" si="79"/>
        <v>#N/A</v>
      </c>
      <c r="AX196" s="574"/>
    </row>
    <row r="197" spans="2:50">
      <c r="B197" s="599"/>
      <c r="C197" s="431">
        <v>16</v>
      </c>
      <c r="D197" s="431"/>
      <c r="E197" s="432"/>
      <c r="F197" s="432"/>
      <c r="G197" s="432"/>
      <c r="H197" s="564"/>
      <c r="I197" s="432" t="e">
        <f t="shared" si="72"/>
        <v>#DIV/0!</v>
      </c>
      <c r="J197" s="432" t="e">
        <f t="shared" si="72"/>
        <v>#DIV/0!</v>
      </c>
      <c r="K197" s="433" t="e">
        <f t="shared" si="72"/>
        <v>#DIV/0!</v>
      </c>
      <c r="L197" s="588"/>
      <c r="M197" s="432" t="e">
        <f>RANK(K197, K$182:$K$211)</f>
        <v>#DIV/0!</v>
      </c>
      <c r="N197" s="559"/>
      <c r="O197" s="559"/>
      <c r="P197" s="431"/>
      <c r="Q197" s="432"/>
      <c r="R197" s="432"/>
      <c r="S197" s="431" t="e">
        <f t="shared" si="73"/>
        <v>#N/A</v>
      </c>
      <c r="T197" s="588"/>
      <c r="U197" s="431"/>
      <c r="V197" s="432"/>
      <c r="W197" s="433"/>
      <c r="X197" s="431" t="e">
        <f t="shared" si="74"/>
        <v>#N/A</v>
      </c>
      <c r="Y197" s="588"/>
      <c r="Z197" s="311"/>
      <c r="AA197" s="182"/>
      <c r="AB197" s="312"/>
      <c r="AC197" s="311" t="e">
        <f t="shared" si="75"/>
        <v>#N/A</v>
      </c>
      <c r="AD197" s="574"/>
      <c r="AE197" s="311"/>
      <c r="AF197" s="182"/>
      <c r="AG197" s="312"/>
      <c r="AH197" s="311" t="e">
        <f t="shared" si="76"/>
        <v>#N/A</v>
      </c>
      <c r="AI197" s="574"/>
      <c r="AJ197" s="311"/>
      <c r="AK197" s="182"/>
      <c r="AL197" s="312"/>
      <c r="AM197" s="311" t="e">
        <f t="shared" si="77"/>
        <v>#N/A</v>
      </c>
      <c r="AN197" s="574"/>
      <c r="AO197" s="311"/>
      <c r="AP197" s="182"/>
      <c r="AQ197" s="312"/>
      <c r="AR197" s="311" t="e">
        <f t="shared" si="78"/>
        <v>#N/A</v>
      </c>
      <c r="AS197" s="574"/>
      <c r="AT197" s="311"/>
      <c r="AU197" s="182"/>
      <c r="AV197" s="312"/>
      <c r="AW197" s="311" t="e">
        <f t="shared" si="79"/>
        <v>#N/A</v>
      </c>
      <c r="AX197" s="574"/>
    </row>
    <row r="198" spans="2:50">
      <c r="B198" s="599"/>
      <c r="C198" s="431">
        <v>17</v>
      </c>
      <c r="D198" s="431"/>
      <c r="E198" s="432"/>
      <c r="F198" s="432"/>
      <c r="G198" s="432"/>
      <c r="H198" s="564"/>
      <c r="I198" s="432" t="e">
        <f t="shared" si="72"/>
        <v>#DIV/0!</v>
      </c>
      <c r="J198" s="432" t="e">
        <f t="shared" si="72"/>
        <v>#DIV/0!</v>
      </c>
      <c r="K198" s="433" t="e">
        <f t="shared" si="72"/>
        <v>#DIV/0!</v>
      </c>
      <c r="L198" s="588"/>
      <c r="M198" s="432" t="e">
        <f>RANK(K198, K$182:$K$211)</f>
        <v>#DIV/0!</v>
      </c>
      <c r="N198" s="559"/>
      <c r="O198" s="559"/>
      <c r="P198" s="431"/>
      <c r="Q198" s="432"/>
      <c r="R198" s="432"/>
      <c r="S198" s="431" t="e">
        <f t="shared" si="73"/>
        <v>#N/A</v>
      </c>
      <c r="T198" s="588"/>
      <c r="U198" s="431"/>
      <c r="V198" s="432"/>
      <c r="W198" s="433"/>
      <c r="X198" s="431" t="e">
        <f t="shared" si="74"/>
        <v>#N/A</v>
      </c>
      <c r="Y198" s="588"/>
      <c r="Z198" s="311"/>
      <c r="AA198" s="182"/>
      <c r="AB198" s="312"/>
      <c r="AC198" s="311" t="e">
        <f t="shared" si="75"/>
        <v>#N/A</v>
      </c>
      <c r="AD198" s="574"/>
      <c r="AE198" s="311"/>
      <c r="AF198" s="182"/>
      <c r="AG198" s="312"/>
      <c r="AH198" s="311" t="e">
        <f t="shared" si="76"/>
        <v>#N/A</v>
      </c>
      <c r="AI198" s="574"/>
      <c r="AJ198" s="311"/>
      <c r="AK198" s="182"/>
      <c r="AL198" s="312"/>
      <c r="AM198" s="311" t="e">
        <f t="shared" si="77"/>
        <v>#N/A</v>
      </c>
      <c r="AN198" s="574"/>
      <c r="AO198" s="311"/>
      <c r="AP198" s="182"/>
      <c r="AQ198" s="312"/>
      <c r="AR198" s="311" t="e">
        <f t="shared" si="78"/>
        <v>#N/A</v>
      </c>
      <c r="AS198" s="574"/>
      <c r="AT198" s="311"/>
      <c r="AU198" s="182"/>
      <c r="AV198" s="312"/>
      <c r="AW198" s="311" t="e">
        <f t="shared" si="79"/>
        <v>#N/A</v>
      </c>
      <c r="AX198" s="574"/>
    </row>
    <row r="199" spans="2:50">
      <c r="B199" s="599"/>
      <c r="C199" s="431">
        <v>18</v>
      </c>
      <c r="D199" s="431"/>
      <c r="E199" s="432"/>
      <c r="F199" s="432"/>
      <c r="G199" s="432"/>
      <c r="H199" s="564"/>
      <c r="I199" s="432" t="e">
        <f t="shared" ref="I199:K202" si="80">AVERAGE(P199,U199,Z199,AE199,AJ199,AO199,AT199)</f>
        <v>#DIV/0!</v>
      </c>
      <c r="J199" s="432" t="e">
        <f t="shared" si="80"/>
        <v>#DIV/0!</v>
      </c>
      <c r="K199" s="433" t="e">
        <f t="shared" si="80"/>
        <v>#DIV/0!</v>
      </c>
      <c r="L199" s="588"/>
      <c r="M199" s="432" t="e">
        <f>RANK(K199, K$182:$K$211)</f>
        <v>#DIV/0!</v>
      </c>
      <c r="N199" s="559"/>
      <c r="O199" s="559"/>
      <c r="P199" s="431"/>
      <c r="Q199" s="432"/>
      <c r="R199" s="432"/>
      <c r="S199" s="431" t="e">
        <f t="shared" si="73"/>
        <v>#N/A</v>
      </c>
      <c r="T199" s="588"/>
      <c r="U199" s="431"/>
      <c r="V199" s="432"/>
      <c r="W199" s="433"/>
      <c r="X199" s="431" t="e">
        <f t="shared" si="74"/>
        <v>#N/A</v>
      </c>
      <c r="Y199" s="588"/>
      <c r="Z199" s="311"/>
      <c r="AA199" s="182"/>
      <c r="AB199" s="312"/>
      <c r="AC199" s="311" t="e">
        <f t="shared" si="75"/>
        <v>#N/A</v>
      </c>
      <c r="AD199" s="574"/>
      <c r="AE199" s="311"/>
      <c r="AF199" s="182"/>
      <c r="AG199" s="312"/>
      <c r="AH199" s="311" t="e">
        <f t="shared" si="76"/>
        <v>#N/A</v>
      </c>
      <c r="AI199" s="574"/>
      <c r="AJ199" s="311"/>
      <c r="AK199" s="182"/>
      <c r="AL199" s="312"/>
      <c r="AM199" s="311" t="e">
        <f t="shared" si="77"/>
        <v>#N/A</v>
      </c>
      <c r="AN199" s="574"/>
      <c r="AO199" s="311"/>
      <c r="AP199" s="182"/>
      <c r="AQ199" s="312"/>
      <c r="AR199" s="311" t="e">
        <f t="shared" si="78"/>
        <v>#N/A</v>
      </c>
      <c r="AS199" s="574"/>
      <c r="AT199" s="311"/>
      <c r="AU199" s="182"/>
      <c r="AV199" s="312"/>
      <c r="AW199" s="311" t="e">
        <f t="shared" si="79"/>
        <v>#N/A</v>
      </c>
      <c r="AX199" s="574"/>
    </row>
    <row r="200" spans="2:50">
      <c r="B200" s="599"/>
      <c r="C200" s="431">
        <v>19</v>
      </c>
      <c r="D200" s="431"/>
      <c r="E200" s="432"/>
      <c r="F200" s="432"/>
      <c r="G200" s="432"/>
      <c r="H200" s="564"/>
      <c r="I200" s="432" t="e">
        <f t="shared" si="80"/>
        <v>#DIV/0!</v>
      </c>
      <c r="J200" s="432" t="e">
        <f t="shared" si="80"/>
        <v>#DIV/0!</v>
      </c>
      <c r="K200" s="433" t="e">
        <f t="shared" si="80"/>
        <v>#DIV/0!</v>
      </c>
      <c r="L200" s="588"/>
      <c r="M200" s="432" t="e">
        <f>RANK(K200, K$182:$K$211)</f>
        <v>#DIV/0!</v>
      </c>
      <c r="N200" s="559"/>
      <c r="O200" s="559"/>
      <c r="P200" s="431"/>
      <c r="Q200" s="432"/>
      <c r="R200" s="432"/>
      <c r="S200" s="431" t="e">
        <f t="shared" si="73"/>
        <v>#N/A</v>
      </c>
      <c r="T200" s="588"/>
      <c r="U200" s="431"/>
      <c r="V200" s="432"/>
      <c r="W200" s="433"/>
      <c r="X200" s="431" t="e">
        <f t="shared" si="74"/>
        <v>#N/A</v>
      </c>
      <c r="Y200" s="588"/>
      <c r="Z200" s="311"/>
      <c r="AA200" s="182"/>
      <c r="AB200" s="312"/>
      <c r="AC200" s="311" t="e">
        <f t="shared" si="75"/>
        <v>#N/A</v>
      </c>
      <c r="AD200" s="574"/>
      <c r="AE200" s="311"/>
      <c r="AF200" s="182"/>
      <c r="AG200" s="312"/>
      <c r="AH200" s="311" t="e">
        <f t="shared" si="76"/>
        <v>#N/A</v>
      </c>
      <c r="AI200" s="574"/>
      <c r="AJ200" s="311"/>
      <c r="AK200" s="182"/>
      <c r="AL200" s="312"/>
      <c r="AM200" s="311" t="e">
        <f t="shared" si="77"/>
        <v>#N/A</v>
      </c>
      <c r="AN200" s="574"/>
      <c r="AO200" s="311"/>
      <c r="AP200" s="182"/>
      <c r="AQ200" s="312"/>
      <c r="AR200" s="311" t="e">
        <f t="shared" si="78"/>
        <v>#N/A</v>
      </c>
      <c r="AS200" s="574"/>
      <c r="AT200" s="311"/>
      <c r="AU200" s="182"/>
      <c r="AV200" s="312"/>
      <c r="AW200" s="311" t="e">
        <f t="shared" si="79"/>
        <v>#N/A</v>
      </c>
      <c r="AX200" s="574"/>
    </row>
    <row r="201" spans="2:50">
      <c r="B201" s="599"/>
      <c r="C201" s="431">
        <v>20</v>
      </c>
      <c r="D201" s="431"/>
      <c r="E201" s="432"/>
      <c r="F201" s="432"/>
      <c r="G201" s="432"/>
      <c r="H201" s="564"/>
      <c r="I201" s="432" t="e">
        <f t="shared" si="80"/>
        <v>#DIV/0!</v>
      </c>
      <c r="J201" s="432" t="e">
        <f t="shared" si="80"/>
        <v>#DIV/0!</v>
      </c>
      <c r="K201" s="433" t="e">
        <f t="shared" si="80"/>
        <v>#DIV/0!</v>
      </c>
      <c r="L201" s="588"/>
      <c r="M201" s="432" t="e">
        <f>RANK(K201, K$182:$K$211)</f>
        <v>#DIV/0!</v>
      </c>
      <c r="N201" s="559"/>
      <c r="O201" s="559"/>
      <c r="P201" s="431"/>
      <c r="Q201" s="432"/>
      <c r="R201" s="432"/>
      <c r="S201" s="431" t="e">
        <f t="shared" si="73"/>
        <v>#N/A</v>
      </c>
      <c r="T201" s="588"/>
      <c r="U201" s="431"/>
      <c r="V201" s="432"/>
      <c r="W201" s="433"/>
      <c r="X201" s="431" t="e">
        <f t="shared" si="74"/>
        <v>#N/A</v>
      </c>
      <c r="Y201" s="588"/>
      <c r="Z201" s="311"/>
      <c r="AA201" s="182"/>
      <c r="AB201" s="312"/>
      <c r="AC201" s="311" t="e">
        <f t="shared" si="75"/>
        <v>#N/A</v>
      </c>
      <c r="AD201" s="574"/>
      <c r="AE201" s="311"/>
      <c r="AF201" s="182"/>
      <c r="AG201" s="312"/>
      <c r="AH201" s="311" t="e">
        <f t="shared" si="76"/>
        <v>#N/A</v>
      </c>
      <c r="AI201" s="574"/>
      <c r="AJ201" s="311"/>
      <c r="AK201" s="182"/>
      <c r="AL201" s="312"/>
      <c r="AM201" s="311" t="e">
        <f t="shared" si="77"/>
        <v>#N/A</v>
      </c>
      <c r="AN201" s="574"/>
      <c r="AO201" s="311"/>
      <c r="AP201" s="182"/>
      <c r="AQ201" s="312"/>
      <c r="AR201" s="311" t="e">
        <f t="shared" si="78"/>
        <v>#N/A</v>
      </c>
      <c r="AS201" s="574"/>
      <c r="AT201" s="311"/>
      <c r="AU201" s="182"/>
      <c r="AV201" s="312"/>
      <c r="AW201" s="311" t="e">
        <f t="shared" si="79"/>
        <v>#N/A</v>
      </c>
      <c r="AX201" s="574"/>
    </row>
    <row r="202" spans="2:50">
      <c r="B202" s="599"/>
      <c r="C202" s="431">
        <v>21</v>
      </c>
      <c r="D202" s="434"/>
      <c r="E202" s="432"/>
      <c r="F202" s="432"/>
      <c r="G202" s="432"/>
      <c r="H202" s="564"/>
      <c r="I202" s="432" t="e">
        <f t="shared" si="80"/>
        <v>#DIV/0!</v>
      </c>
      <c r="J202" s="432" t="e">
        <f t="shared" si="80"/>
        <v>#DIV/0!</v>
      </c>
      <c r="K202" s="433" t="e">
        <f t="shared" si="80"/>
        <v>#DIV/0!</v>
      </c>
      <c r="L202" s="588"/>
      <c r="M202" s="432" t="e">
        <f>RANK(K202, K$182:$K$211)</f>
        <v>#DIV/0!</v>
      </c>
      <c r="N202" s="559"/>
      <c r="O202" s="559"/>
      <c r="P202" s="431"/>
      <c r="Q202" s="432"/>
      <c r="R202" s="432"/>
      <c r="S202" s="431" t="e">
        <f t="shared" si="73"/>
        <v>#N/A</v>
      </c>
      <c r="T202" s="588"/>
      <c r="U202" s="431"/>
      <c r="V202" s="432"/>
      <c r="W202" s="433"/>
      <c r="X202" s="431" t="e">
        <f t="shared" si="74"/>
        <v>#N/A</v>
      </c>
      <c r="Y202" s="588"/>
      <c r="Z202" s="311"/>
      <c r="AA202" s="182"/>
      <c r="AB202" s="312"/>
      <c r="AC202" s="311" t="e">
        <f t="shared" si="75"/>
        <v>#N/A</v>
      </c>
      <c r="AD202" s="574"/>
      <c r="AE202" s="311"/>
      <c r="AF202" s="182"/>
      <c r="AG202" s="312"/>
      <c r="AH202" s="311" t="e">
        <f t="shared" si="76"/>
        <v>#N/A</v>
      </c>
      <c r="AI202" s="574"/>
      <c r="AJ202" s="311"/>
      <c r="AK202" s="182"/>
      <c r="AL202" s="312"/>
      <c r="AM202" s="311" t="e">
        <f t="shared" si="77"/>
        <v>#N/A</v>
      </c>
      <c r="AN202" s="574"/>
      <c r="AO202" s="311"/>
      <c r="AP202" s="182"/>
      <c r="AQ202" s="312"/>
      <c r="AR202" s="311" t="e">
        <f t="shared" si="78"/>
        <v>#N/A</v>
      </c>
      <c r="AS202" s="574"/>
      <c r="AT202" s="311"/>
      <c r="AU202" s="182"/>
      <c r="AV202" s="312"/>
      <c r="AW202" s="311" t="e">
        <f t="shared" si="79"/>
        <v>#N/A</v>
      </c>
      <c r="AX202" s="574"/>
    </row>
    <row r="203" spans="2:50">
      <c r="B203" s="599"/>
      <c r="C203" s="431">
        <v>22</v>
      </c>
      <c r="D203" s="431"/>
      <c r="E203" s="432"/>
      <c r="F203" s="432"/>
      <c r="G203" s="432"/>
      <c r="H203" s="564"/>
      <c r="I203" s="432"/>
      <c r="J203" s="432"/>
      <c r="K203" s="433"/>
      <c r="L203" s="588"/>
      <c r="M203" s="432" t="e">
        <f>RANK(K203, K$182:$K$211)</f>
        <v>#DIV/0!</v>
      </c>
      <c r="N203" s="559"/>
      <c r="O203" s="559"/>
      <c r="P203" s="431"/>
      <c r="Q203" s="432"/>
      <c r="R203" s="432"/>
      <c r="S203" s="431" t="e">
        <f t="shared" si="73"/>
        <v>#N/A</v>
      </c>
      <c r="T203" s="588"/>
      <c r="U203" s="431"/>
      <c r="V203" s="432"/>
      <c r="W203" s="433"/>
      <c r="X203" s="431" t="e">
        <f t="shared" si="74"/>
        <v>#N/A</v>
      </c>
      <c r="Y203" s="588"/>
      <c r="Z203" s="311"/>
      <c r="AA203" s="182"/>
      <c r="AB203" s="312"/>
      <c r="AC203" s="311" t="e">
        <f t="shared" si="75"/>
        <v>#N/A</v>
      </c>
      <c r="AD203" s="574"/>
      <c r="AE203" s="311"/>
      <c r="AF203" s="182"/>
      <c r="AG203" s="312"/>
      <c r="AH203" s="311" t="e">
        <f t="shared" si="76"/>
        <v>#N/A</v>
      </c>
      <c r="AI203" s="574"/>
      <c r="AJ203" s="311"/>
      <c r="AK203" s="182"/>
      <c r="AL203" s="312"/>
      <c r="AM203" s="311" t="e">
        <f t="shared" si="77"/>
        <v>#N/A</v>
      </c>
      <c r="AN203" s="574"/>
      <c r="AO203" s="311"/>
      <c r="AP203" s="182"/>
      <c r="AQ203" s="312"/>
      <c r="AR203" s="311" t="e">
        <f t="shared" si="78"/>
        <v>#N/A</v>
      </c>
      <c r="AS203" s="574"/>
      <c r="AT203" s="311"/>
      <c r="AU203" s="182"/>
      <c r="AV203" s="312"/>
      <c r="AW203" s="311" t="e">
        <f t="shared" si="79"/>
        <v>#N/A</v>
      </c>
      <c r="AX203" s="574"/>
    </row>
    <row r="204" spans="2:50">
      <c r="B204" s="599"/>
      <c r="C204" s="431">
        <v>23</v>
      </c>
      <c r="D204" s="431"/>
      <c r="E204" s="432"/>
      <c r="F204" s="432"/>
      <c r="G204" s="432"/>
      <c r="H204" s="564"/>
      <c r="I204" s="432"/>
      <c r="J204" s="432"/>
      <c r="K204" s="433"/>
      <c r="L204" s="588"/>
      <c r="M204" s="432" t="e">
        <f>RANK(K204, K$182:$K$211)</f>
        <v>#DIV/0!</v>
      </c>
      <c r="N204" s="559"/>
      <c r="O204" s="559"/>
      <c r="P204" s="431"/>
      <c r="Q204" s="432"/>
      <c r="R204" s="432"/>
      <c r="S204" s="431" t="e">
        <f t="shared" si="73"/>
        <v>#N/A</v>
      </c>
      <c r="T204" s="588"/>
      <c r="U204" s="431"/>
      <c r="V204" s="432"/>
      <c r="W204" s="433"/>
      <c r="X204" s="431" t="e">
        <f t="shared" si="74"/>
        <v>#N/A</v>
      </c>
      <c r="Y204" s="588"/>
      <c r="Z204" s="311"/>
      <c r="AA204" s="182"/>
      <c r="AB204" s="312"/>
      <c r="AC204" s="311" t="e">
        <f t="shared" si="75"/>
        <v>#N/A</v>
      </c>
      <c r="AD204" s="574"/>
      <c r="AE204" s="311"/>
      <c r="AF204" s="182"/>
      <c r="AG204" s="312"/>
      <c r="AH204" s="311" t="e">
        <f t="shared" si="76"/>
        <v>#N/A</v>
      </c>
      <c r="AI204" s="574"/>
      <c r="AJ204" s="311"/>
      <c r="AK204" s="182"/>
      <c r="AL204" s="312"/>
      <c r="AM204" s="311" t="e">
        <f t="shared" si="77"/>
        <v>#N/A</v>
      </c>
      <c r="AN204" s="574"/>
      <c r="AO204" s="311"/>
      <c r="AP204" s="182"/>
      <c r="AQ204" s="312"/>
      <c r="AR204" s="311" t="e">
        <f t="shared" si="78"/>
        <v>#N/A</v>
      </c>
      <c r="AS204" s="574"/>
      <c r="AT204" s="311"/>
      <c r="AU204" s="182"/>
      <c r="AV204" s="312"/>
      <c r="AW204" s="311" t="e">
        <f t="shared" si="79"/>
        <v>#N/A</v>
      </c>
      <c r="AX204" s="574"/>
    </row>
    <row r="205" spans="2:50">
      <c r="B205" s="599"/>
      <c r="C205" s="431">
        <v>24</v>
      </c>
      <c r="D205" s="400"/>
      <c r="E205" s="432"/>
      <c r="F205" s="432"/>
      <c r="G205" s="432"/>
      <c r="H205" s="564"/>
      <c r="I205" s="432"/>
      <c r="J205" s="432"/>
      <c r="K205" s="433"/>
      <c r="L205" s="588"/>
      <c r="M205" s="432" t="e">
        <f>RANK(K205, K$182:$K$211)</f>
        <v>#DIV/0!</v>
      </c>
      <c r="N205" s="559"/>
      <c r="O205" s="559"/>
      <c r="P205" s="431"/>
      <c r="Q205" s="432"/>
      <c r="R205" s="432"/>
      <c r="S205" s="431" t="e">
        <f t="shared" si="73"/>
        <v>#N/A</v>
      </c>
      <c r="T205" s="588"/>
      <c r="U205" s="431"/>
      <c r="V205" s="432"/>
      <c r="W205" s="432"/>
      <c r="X205" s="431" t="e">
        <f t="shared" si="74"/>
        <v>#N/A</v>
      </c>
      <c r="Y205" s="588"/>
      <c r="Z205" s="311"/>
      <c r="AA205" s="311"/>
      <c r="AB205" s="311"/>
      <c r="AC205" s="311" t="e">
        <f t="shared" si="75"/>
        <v>#N/A</v>
      </c>
      <c r="AD205" s="574"/>
      <c r="AE205" s="311"/>
      <c r="AF205" s="311"/>
      <c r="AG205" s="311"/>
      <c r="AH205" s="311" t="e">
        <f t="shared" si="76"/>
        <v>#N/A</v>
      </c>
      <c r="AI205" s="574"/>
      <c r="AJ205" s="311"/>
      <c r="AK205" s="311"/>
      <c r="AL205" s="311"/>
      <c r="AM205" s="311" t="e">
        <f t="shared" si="77"/>
        <v>#N/A</v>
      </c>
      <c r="AN205" s="574"/>
      <c r="AO205" s="311"/>
      <c r="AP205" s="311"/>
      <c r="AQ205" s="311"/>
      <c r="AR205" s="311" t="e">
        <f t="shared" si="78"/>
        <v>#N/A</v>
      </c>
      <c r="AS205" s="574"/>
      <c r="AT205" s="311"/>
      <c r="AU205" s="311"/>
      <c r="AV205" s="311"/>
      <c r="AW205" s="311" t="e">
        <f t="shared" si="79"/>
        <v>#N/A</v>
      </c>
      <c r="AX205" s="574"/>
    </row>
    <row r="206" spans="2:50">
      <c r="B206" s="599"/>
      <c r="C206" s="431">
        <v>25</v>
      </c>
      <c r="D206" s="431"/>
      <c r="E206" s="432"/>
      <c r="F206" s="432"/>
      <c r="G206" s="432"/>
      <c r="H206" s="564"/>
      <c r="I206" s="432"/>
      <c r="J206" s="432"/>
      <c r="K206" s="433"/>
      <c r="L206" s="588"/>
      <c r="M206" s="432" t="e">
        <f>RANK(K206, K$182:$K$211)</f>
        <v>#DIV/0!</v>
      </c>
      <c r="N206" s="559"/>
      <c r="O206" s="559"/>
      <c r="P206" s="431"/>
      <c r="Q206" s="432"/>
      <c r="R206" s="432"/>
      <c r="S206" s="431" t="e">
        <f t="shared" si="73"/>
        <v>#N/A</v>
      </c>
      <c r="T206" s="588"/>
      <c r="U206" s="431"/>
      <c r="V206" s="431"/>
      <c r="W206" s="431"/>
      <c r="X206" s="431" t="e">
        <f t="shared" si="74"/>
        <v>#N/A</v>
      </c>
      <c r="Y206" s="588"/>
      <c r="Z206" s="311"/>
      <c r="AA206" s="311"/>
      <c r="AB206" s="311"/>
      <c r="AC206" s="311" t="e">
        <f t="shared" si="75"/>
        <v>#N/A</v>
      </c>
      <c r="AD206" s="574"/>
      <c r="AE206" s="311"/>
      <c r="AF206" s="311"/>
      <c r="AG206" s="311"/>
      <c r="AH206" s="311" t="e">
        <f t="shared" si="76"/>
        <v>#N/A</v>
      </c>
      <c r="AI206" s="574"/>
      <c r="AJ206" s="311"/>
      <c r="AK206" s="311"/>
      <c r="AL206" s="311"/>
      <c r="AM206" s="311" t="e">
        <f t="shared" si="77"/>
        <v>#N/A</v>
      </c>
      <c r="AN206" s="574"/>
      <c r="AO206" s="311"/>
      <c r="AP206" s="311"/>
      <c r="AQ206" s="311"/>
      <c r="AR206" s="311" t="e">
        <f t="shared" si="78"/>
        <v>#N/A</v>
      </c>
      <c r="AS206" s="574"/>
      <c r="AT206" s="311"/>
      <c r="AU206" s="311"/>
      <c r="AV206" s="311"/>
      <c r="AW206" s="311" t="e">
        <f t="shared" si="79"/>
        <v>#N/A</v>
      </c>
      <c r="AX206" s="574"/>
    </row>
    <row r="207" spans="2:50">
      <c r="B207" s="599"/>
      <c r="C207" s="431">
        <v>26</v>
      </c>
      <c r="D207" s="431"/>
      <c r="E207" s="432"/>
      <c r="F207" s="432"/>
      <c r="G207" s="432"/>
      <c r="H207" s="564"/>
      <c r="I207" s="432"/>
      <c r="J207" s="432"/>
      <c r="K207" s="433"/>
      <c r="L207" s="588"/>
      <c r="M207" s="432" t="e">
        <f>RANK(K207, K$182:$K$211)</f>
        <v>#DIV/0!</v>
      </c>
      <c r="N207" s="559"/>
      <c r="O207" s="559"/>
      <c r="P207" s="431"/>
      <c r="Q207" s="432"/>
      <c r="R207" s="432"/>
      <c r="S207" s="431" t="e">
        <f t="shared" si="73"/>
        <v>#N/A</v>
      </c>
      <c r="T207" s="588"/>
      <c r="U207" s="431"/>
      <c r="V207" s="431"/>
      <c r="W207" s="431"/>
      <c r="X207" s="431" t="e">
        <f t="shared" si="74"/>
        <v>#N/A</v>
      </c>
      <c r="Y207" s="588"/>
      <c r="Z207" s="311"/>
      <c r="AA207" s="311"/>
      <c r="AB207" s="311"/>
      <c r="AC207" s="311" t="e">
        <f t="shared" si="75"/>
        <v>#N/A</v>
      </c>
      <c r="AD207" s="574"/>
      <c r="AE207" s="311"/>
      <c r="AF207" s="311"/>
      <c r="AG207" s="311"/>
      <c r="AH207" s="311" t="e">
        <f t="shared" si="76"/>
        <v>#N/A</v>
      </c>
      <c r="AI207" s="574"/>
      <c r="AJ207" s="311"/>
      <c r="AK207" s="311"/>
      <c r="AL207" s="311"/>
      <c r="AM207" s="311" t="e">
        <f t="shared" si="77"/>
        <v>#N/A</v>
      </c>
      <c r="AN207" s="574"/>
      <c r="AO207" s="311"/>
      <c r="AP207" s="311"/>
      <c r="AQ207" s="311"/>
      <c r="AR207" s="311" t="e">
        <f t="shared" si="78"/>
        <v>#N/A</v>
      </c>
      <c r="AS207" s="574"/>
      <c r="AT207" s="311"/>
      <c r="AU207" s="311"/>
      <c r="AV207" s="311"/>
      <c r="AW207" s="311" t="e">
        <f t="shared" si="79"/>
        <v>#N/A</v>
      </c>
      <c r="AX207" s="574"/>
    </row>
    <row r="208" spans="2:50">
      <c r="B208" s="599"/>
      <c r="C208" s="431">
        <v>27</v>
      </c>
      <c r="D208" s="431"/>
      <c r="E208" s="432"/>
      <c r="F208" s="432"/>
      <c r="G208" s="432"/>
      <c r="H208" s="564"/>
      <c r="I208" s="432"/>
      <c r="J208" s="432"/>
      <c r="K208" s="433"/>
      <c r="L208" s="588"/>
      <c r="M208" s="432" t="e">
        <f>RANK(K208, K$182:$K$211)</f>
        <v>#DIV/0!</v>
      </c>
      <c r="N208" s="559"/>
      <c r="O208" s="559"/>
      <c r="P208" s="431"/>
      <c r="Q208" s="432"/>
      <c r="R208" s="432"/>
      <c r="S208" s="431" t="e">
        <f t="shared" si="73"/>
        <v>#N/A</v>
      </c>
      <c r="T208" s="588"/>
      <c r="U208" s="431"/>
      <c r="V208" s="431"/>
      <c r="W208" s="431"/>
      <c r="X208" s="431" t="e">
        <f t="shared" si="74"/>
        <v>#N/A</v>
      </c>
      <c r="Y208" s="588"/>
      <c r="Z208" s="311"/>
      <c r="AA208" s="311"/>
      <c r="AB208" s="311"/>
      <c r="AC208" s="311" t="e">
        <f t="shared" si="75"/>
        <v>#N/A</v>
      </c>
      <c r="AD208" s="574"/>
      <c r="AE208" s="311"/>
      <c r="AF208" s="311"/>
      <c r="AG208" s="311"/>
      <c r="AH208" s="311" t="e">
        <f t="shared" si="76"/>
        <v>#N/A</v>
      </c>
      <c r="AI208" s="574"/>
      <c r="AJ208" s="311"/>
      <c r="AK208" s="311"/>
      <c r="AL208" s="311"/>
      <c r="AM208" s="311" t="e">
        <f t="shared" si="77"/>
        <v>#N/A</v>
      </c>
      <c r="AN208" s="574"/>
      <c r="AO208" s="311"/>
      <c r="AP208" s="311"/>
      <c r="AQ208" s="311"/>
      <c r="AR208" s="311" t="e">
        <f t="shared" si="78"/>
        <v>#N/A</v>
      </c>
      <c r="AS208" s="574"/>
      <c r="AT208" s="311"/>
      <c r="AU208" s="311"/>
      <c r="AV208" s="311"/>
      <c r="AW208" s="311" t="e">
        <f t="shared" si="79"/>
        <v>#N/A</v>
      </c>
      <c r="AX208" s="574"/>
    </row>
    <row r="209" spans="2:50">
      <c r="B209" s="599"/>
      <c r="C209" s="431">
        <v>28</v>
      </c>
      <c r="D209" s="431"/>
      <c r="E209" s="432"/>
      <c r="F209" s="432"/>
      <c r="G209" s="432"/>
      <c r="H209" s="564"/>
      <c r="I209" s="432"/>
      <c r="J209" s="432"/>
      <c r="K209" s="433"/>
      <c r="L209" s="588"/>
      <c r="M209" s="432" t="e">
        <f>RANK(K209, K$182:$K$211)</f>
        <v>#DIV/0!</v>
      </c>
      <c r="N209" s="559"/>
      <c r="O209" s="559"/>
      <c r="P209" s="431"/>
      <c r="Q209" s="432"/>
      <c r="R209" s="432"/>
      <c r="S209" s="431" t="e">
        <f t="shared" si="73"/>
        <v>#N/A</v>
      </c>
      <c r="T209" s="588"/>
      <c r="U209" s="431"/>
      <c r="V209" s="431"/>
      <c r="W209" s="431"/>
      <c r="X209" s="431" t="e">
        <f t="shared" si="74"/>
        <v>#N/A</v>
      </c>
      <c r="Y209" s="588"/>
      <c r="Z209" s="311"/>
      <c r="AA209" s="311"/>
      <c r="AB209" s="311"/>
      <c r="AC209" s="311" t="e">
        <f t="shared" si="75"/>
        <v>#N/A</v>
      </c>
      <c r="AD209" s="574"/>
      <c r="AE209" s="311"/>
      <c r="AF209" s="311"/>
      <c r="AG209" s="311"/>
      <c r="AH209" s="311" t="e">
        <f t="shared" si="76"/>
        <v>#N/A</v>
      </c>
      <c r="AI209" s="574"/>
      <c r="AJ209" s="311"/>
      <c r="AK209" s="311"/>
      <c r="AL209" s="311"/>
      <c r="AM209" s="311" t="e">
        <f t="shared" si="77"/>
        <v>#N/A</v>
      </c>
      <c r="AN209" s="574"/>
      <c r="AO209" s="311"/>
      <c r="AP209" s="311"/>
      <c r="AQ209" s="311"/>
      <c r="AR209" s="311" t="e">
        <f t="shared" si="78"/>
        <v>#N/A</v>
      </c>
      <c r="AS209" s="574"/>
      <c r="AT209" s="311"/>
      <c r="AU209" s="311"/>
      <c r="AV209" s="311"/>
      <c r="AW209" s="311" t="e">
        <f t="shared" si="79"/>
        <v>#N/A</v>
      </c>
      <c r="AX209" s="574"/>
    </row>
    <row r="210" spans="2:50">
      <c r="B210" s="599"/>
      <c r="C210" s="431">
        <v>29</v>
      </c>
      <c r="D210" s="431"/>
      <c r="E210" s="432"/>
      <c r="F210" s="432"/>
      <c r="G210" s="432"/>
      <c r="H210" s="564"/>
      <c r="I210" s="432"/>
      <c r="J210" s="432"/>
      <c r="K210" s="433"/>
      <c r="L210" s="588"/>
      <c r="M210" s="432" t="e">
        <f>RANK(K210, K$182:$K$211)</f>
        <v>#DIV/0!</v>
      </c>
      <c r="N210" s="559"/>
      <c r="O210" s="559"/>
      <c r="P210" s="431"/>
      <c r="Q210" s="432"/>
      <c r="R210" s="432"/>
      <c r="S210" s="431" t="e">
        <f t="shared" si="73"/>
        <v>#N/A</v>
      </c>
      <c r="T210" s="588"/>
      <c r="U210" s="431"/>
      <c r="V210" s="431"/>
      <c r="W210" s="431"/>
      <c r="X210" s="431" t="e">
        <f t="shared" si="74"/>
        <v>#N/A</v>
      </c>
      <c r="Y210" s="588"/>
      <c r="Z210" s="311"/>
      <c r="AA210" s="311"/>
      <c r="AB210" s="311"/>
      <c r="AC210" s="311" t="e">
        <f t="shared" si="75"/>
        <v>#N/A</v>
      </c>
      <c r="AD210" s="574"/>
      <c r="AE210" s="311"/>
      <c r="AF210" s="311"/>
      <c r="AG210" s="311"/>
      <c r="AH210" s="311" t="e">
        <f t="shared" si="76"/>
        <v>#N/A</v>
      </c>
      <c r="AI210" s="574"/>
      <c r="AJ210" s="311"/>
      <c r="AK210" s="311"/>
      <c r="AL210" s="311"/>
      <c r="AM210" s="311" t="e">
        <f t="shared" si="77"/>
        <v>#N/A</v>
      </c>
      <c r="AN210" s="574"/>
      <c r="AO210" s="311"/>
      <c r="AP210" s="311"/>
      <c r="AQ210" s="311"/>
      <c r="AR210" s="311" t="e">
        <f t="shared" si="78"/>
        <v>#N/A</v>
      </c>
      <c r="AS210" s="574"/>
      <c r="AT210" s="311"/>
      <c r="AU210" s="311"/>
      <c r="AV210" s="311"/>
      <c r="AW210" s="311" t="e">
        <f t="shared" si="79"/>
        <v>#N/A</v>
      </c>
      <c r="AX210" s="574"/>
    </row>
    <row r="211" spans="2:50">
      <c r="B211" s="599"/>
      <c r="C211" s="431">
        <v>30</v>
      </c>
      <c r="D211" s="431"/>
      <c r="E211" s="432"/>
      <c r="F211" s="432"/>
      <c r="G211" s="432"/>
      <c r="H211" s="564"/>
      <c r="I211" s="432"/>
      <c r="J211" s="432"/>
      <c r="K211" s="433"/>
      <c r="L211" s="588"/>
      <c r="M211" s="432" t="e">
        <f>RANK(K211, K$182:$K$211)</f>
        <v>#DIV/0!</v>
      </c>
      <c r="N211" s="559"/>
      <c r="O211" s="559"/>
      <c r="P211" s="431"/>
      <c r="Q211" s="432"/>
      <c r="R211" s="432"/>
      <c r="S211" s="431" t="e">
        <f t="shared" si="73"/>
        <v>#N/A</v>
      </c>
      <c r="T211" s="588"/>
      <c r="U211" s="431"/>
      <c r="V211" s="431"/>
      <c r="W211" s="431"/>
      <c r="X211" s="431" t="e">
        <f t="shared" si="74"/>
        <v>#N/A</v>
      </c>
      <c r="Y211" s="588"/>
      <c r="Z211" s="311"/>
      <c r="AA211" s="311"/>
      <c r="AB211" s="311"/>
      <c r="AC211" s="311" t="e">
        <f t="shared" si="75"/>
        <v>#N/A</v>
      </c>
      <c r="AD211" s="575"/>
      <c r="AE211" s="311"/>
      <c r="AF211" s="311"/>
      <c r="AG211" s="311"/>
      <c r="AH211" s="311" t="e">
        <f t="shared" si="76"/>
        <v>#N/A</v>
      </c>
      <c r="AI211" s="575"/>
      <c r="AJ211" s="311"/>
      <c r="AK211" s="311"/>
      <c r="AL211" s="311"/>
      <c r="AM211" s="311" t="e">
        <f t="shared" si="77"/>
        <v>#N/A</v>
      </c>
      <c r="AN211" s="575"/>
      <c r="AO211" s="311"/>
      <c r="AP211" s="311"/>
      <c r="AQ211" s="311"/>
      <c r="AR211" s="311" t="e">
        <f t="shared" si="78"/>
        <v>#N/A</v>
      </c>
      <c r="AS211" s="575"/>
      <c r="AT211" s="311"/>
      <c r="AU211" s="311"/>
      <c r="AV211" s="311"/>
      <c r="AW211" s="311" t="e">
        <f t="shared" si="79"/>
        <v>#N/A</v>
      </c>
      <c r="AX211" s="575"/>
    </row>
    <row r="213" spans="2:50" ht="15.75">
      <c r="B213" s="600" t="s">
        <v>469</v>
      </c>
      <c r="C213" s="601"/>
      <c r="D213" s="601"/>
      <c r="E213" s="601"/>
      <c r="F213" s="601"/>
      <c r="G213" s="601"/>
      <c r="H213" s="602"/>
      <c r="I213" s="301"/>
      <c r="J213" s="301"/>
      <c r="K213" s="301"/>
      <c r="L213" s="301"/>
      <c r="M213" s="302"/>
    </row>
    <row r="214" spans="2:50" ht="15.75">
      <c r="B214" s="603"/>
      <c r="C214" s="603"/>
      <c r="D214" s="603"/>
      <c r="E214" s="603"/>
      <c r="F214" s="603"/>
      <c r="G214" s="603"/>
      <c r="H214" s="603"/>
      <c r="I214" s="303"/>
      <c r="J214" s="303"/>
      <c r="K214" s="303"/>
      <c r="L214" s="303"/>
      <c r="M214" s="304"/>
    </row>
    <row r="215" spans="2:50">
      <c r="B215" s="559" t="s">
        <v>470</v>
      </c>
      <c r="C215" s="559" t="s">
        <v>471</v>
      </c>
      <c r="D215" s="559"/>
      <c r="E215" s="559" t="s">
        <v>472</v>
      </c>
      <c r="F215" s="559"/>
      <c r="G215" s="559"/>
      <c r="H215" s="559" t="s">
        <v>473</v>
      </c>
      <c r="I215" s="604" t="s">
        <v>474</v>
      </c>
      <c r="J215" s="604"/>
      <c r="K215" s="604"/>
      <c r="L215" s="604" t="s">
        <v>473</v>
      </c>
      <c r="M215" s="604" t="s">
        <v>475</v>
      </c>
    </row>
    <row r="216" spans="2:50">
      <c r="B216" s="559"/>
      <c r="C216" s="559"/>
      <c r="D216" s="559"/>
      <c r="E216" s="559" t="s">
        <v>476</v>
      </c>
      <c r="F216" s="559"/>
      <c r="G216" s="559"/>
      <c r="H216" s="559"/>
      <c r="I216" s="604" t="s">
        <v>476</v>
      </c>
      <c r="J216" s="604"/>
      <c r="K216" s="604"/>
      <c r="L216" s="604"/>
      <c r="M216" s="604"/>
    </row>
    <row r="217" spans="2:50">
      <c r="B217" s="559"/>
      <c r="C217" s="559"/>
      <c r="D217" s="559"/>
      <c r="E217" s="298" t="s">
        <v>477</v>
      </c>
      <c r="F217" s="298" t="s">
        <v>478</v>
      </c>
      <c r="G217" s="298" t="s">
        <v>479</v>
      </c>
      <c r="H217" s="559"/>
      <c r="I217" s="305" t="s">
        <v>477</v>
      </c>
      <c r="J217" s="305" t="s">
        <v>478</v>
      </c>
      <c r="K217" s="305" t="s">
        <v>479</v>
      </c>
      <c r="L217" s="604"/>
      <c r="M217" s="604"/>
    </row>
    <row r="218" spans="2:50">
      <c r="B218" s="598" t="s">
        <v>480</v>
      </c>
      <c r="C218" s="297">
        <v>1</v>
      </c>
      <c r="D218" s="297" t="s">
        <v>356</v>
      </c>
      <c r="E218" s="297">
        <v>4</v>
      </c>
      <c r="F218" s="297">
        <v>2200</v>
      </c>
      <c r="G218" s="297">
        <v>550</v>
      </c>
      <c r="H218" s="605">
        <f>AVERAGE(G218:G247)</f>
        <v>859.12698412698421</v>
      </c>
      <c r="I218" s="199">
        <f t="shared" ref="I218:K238" si="81">AVERAGEIF($D$7:$D$211,$D218,I$7:I$211)</f>
        <v>3</v>
      </c>
      <c r="J218" s="199">
        <f t="shared" si="81"/>
        <v>3202.3403926561741</v>
      </c>
      <c r="K218" s="199">
        <f>AVERAGEIF($D$7:$D$211,$D218,K$7:K$211)</f>
        <v>1067.4467975520579</v>
      </c>
      <c r="L218" s="606">
        <f>AVERAGE(K218:K247)</f>
        <v>798.27663133942963</v>
      </c>
      <c r="M218" s="199">
        <f>RANK(K218, K$218:$K$247)</f>
        <v>2</v>
      </c>
    </row>
    <row r="219" spans="2:50">
      <c r="B219" s="572"/>
      <c r="C219" s="297">
        <v>2</v>
      </c>
      <c r="D219" s="297" t="s">
        <v>357</v>
      </c>
      <c r="E219" s="297">
        <v>3</v>
      </c>
      <c r="F219" s="297">
        <v>2700</v>
      </c>
      <c r="G219" s="297">
        <v>900</v>
      </c>
      <c r="H219" s="605"/>
      <c r="I219" s="199">
        <f t="shared" si="81"/>
        <v>3</v>
      </c>
      <c r="J219" s="199">
        <f t="shared" si="81"/>
        <v>3077.0448983067681</v>
      </c>
      <c r="K219" s="199">
        <f t="shared" si="81"/>
        <v>1025.6816327689228</v>
      </c>
      <c r="L219" s="606"/>
      <c r="M219" s="199">
        <f>RANK(K219, K$218:$K$247)</f>
        <v>3</v>
      </c>
    </row>
    <row r="220" spans="2:50">
      <c r="B220" s="572"/>
      <c r="C220" s="297">
        <v>3</v>
      </c>
      <c r="D220" s="297" t="s">
        <v>343</v>
      </c>
      <c r="E220" s="297">
        <v>4</v>
      </c>
      <c r="F220" s="297">
        <v>3600</v>
      </c>
      <c r="G220" s="297">
        <v>900</v>
      </c>
      <c r="H220" s="605"/>
      <c r="I220" s="199">
        <f t="shared" si="81"/>
        <v>4</v>
      </c>
      <c r="J220" s="199">
        <f t="shared" si="81"/>
        <v>3218.8640185952918</v>
      </c>
      <c r="K220" s="199">
        <f t="shared" si="81"/>
        <v>804.71600464882295</v>
      </c>
      <c r="L220" s="606"/>
      <c r="M220" s="199">
        <f>RANK(K220, K$218:$K$247)</f>
        <v>12</v>
      </c>
    </row>
    <row r="221" spans="2:50">
      <c r="B221" s="572"/>
      <c r="C221" s="297">
        <v>4</v>
      </c>
      <c r="D221" s="297" t="s">
        <v>359</v>
      </c>
      <c r="E221" s="297">
        <v>3</v>
      </c>
      <c r="F221" s="297">
        <v>3600</v>
      </c>
      <c r="G221" s="297">
        <v>1200</v>
      </c>
      <c r="H221" s="605"/>
      <c r="I221" s="199">
        <f t="shared" si="81"/>
        <v>3</v>
      </c>
      <c r="J221" s="199">
        <f t="shared" si="81"/>
        <v>3209.9880875568269</v>
      </c>
      <c r="K221" s="199">
        <f t="shared" si="81"/>
        <v>1069.9960291856091</v>
      </c>
      <c r="L221" s="606"/>
      <c r="M221" s="199">
        <f>RANK(K221, K$218:$K$247)</f>
        <v>1</v>
      </c>
    </row>
    <row r="222" spans="2:50">
      <c r="B222" s="572"/>
      <c r="C222" s="297">
        <v>5</v>
      </c>
      <c r="D222" s="297" t="s">
        <v>360</v>
      </c>
      <c r="E222" s="297">
        <v>3</v>
      </c>
      <c r="F222" s="297">
        <v>3600</v>
      </c>
      <c r="G222" s="297">
        <v>1200</v>
      </c>
      <c r="H222" s="605"/>
      <c r="I222" s="199">
        <f t="shared" si="81"/>
        <v>4</v>
      </c>
      <c r="J222" s="199">
        <f t="shared" si="81"/>
        <v>3221.4230974190164</v>
      </c>
      <c r="K222" s="199">
        <f t="shared" si="81"/>
        <v>805.35577435475409</v>
      </c>
      <c r="L222" s="606"/>
      <c r="M222" s="199">
        <f>RANK(K222, K$218:$K$247)</f>
        <v>11</v>
      </c>
    </row>
    <row r="223" spans="2:50">
      <c r="B223" s="572"/>
      <c r="C223" s="297">
        <v>6</v>
      </c>
      <c r="D223" s="297" t="s">
        <v>358</v>
      </c>
      <c r="E223" s="297">
        <v>4</v>
      </c>
      <c r="F223" s="297">
        <v>3600</v>
      </c>
      <c r="G223" s="297">
        <v>900</v>
      </c>
      <c r="H223" s="605"/>
      <c r="I223" s="199">
        <f t="shared" si="81"/>
        <v>4</v>
      </c>
      <c r="J223" s="199">
        <f t="shared" si="81"/>
        <v>3304.9450354407536</v>
      </c>
      <c r="K223" s="199">
        <f t="shared" si="81"/>
        <v>826.2362588601884</v>
      </c>
      <c r="L223" s="606"/>
      <c r="M223" s="199">
        <f>RANK(K223, K$218:$K$247)</f>
        <v>9</v>
      </c>
    </row>
    <row r="224" spans="2:50">
      <c r="B224" s="572"/>
      <c r="C224" s="297">
        <v>7</v>
      </c>
      <c r="D224" s="297" t="s">
        <v>455</v>
      </c>
      <c r="E224" s="297">
        <v>4</v>
      </c>
      <c r="F224" s="297">
        <v>3600</v>
      </c>
      <c r="G224" s="297">
        <v>900</v>
      </c>
      <c r="H224" s="605"/>
      <c r="I224" s="199">
        <f t="shared" si="81"/>
        <v>4</v>
      </c>
      <c r="J224" s="199">
        <f t="shared" si="81"/>
        <v>3238.3047619047602</v>
      </c>
      <c r="K224" s="199">
        <f t="shared" si="81"/>
        <v>809.57619047619005</v>
      </c>
      <c r="L224" s="606"/>
      <c r="M224" s="199">
        <f>RANK(K224, K$218:$K$247)</f>
        <v>10</v>
      </c>
    </row>
    <row r="225" spans="2:13">
      <c r="B225" s="572"/>
      <c r="C225" s="297">
        <v>8</v>
      </c>
      <c r="D225" s="297" t="s">
        <v>361</v>
      </c>
      <c r="E225" s="297">
        <v>4</v>
      </c>
      <c r="F225" s="297">
        <v>3300</v>
      </c>
      <c r="G225" s="297">
        <v>825</v>
      </c>
      <c r="H225" s="605"/>
      <c r="I225" s="199">
        <f t="shared" si="81"/>
        <v>4</v>
      </c>
      <c r="J225" s="199">
        <f t="shared" si="81"/>
        <v>2845.0530650302103</v>
      </c>
      <c r="K225" s="199">
        <f t="shared" si="81"/>
        <v>711.26326625755257</v>
      </c>
      <c r="L225" s="606"/>
      <c r="M225" s="199">
        <f>RANK(K225, K$218:$K$247)</f>
        <v>15</v>
      </c>
    </row>
    <row r="226" spans="2:13">
      <c r="B226" s="572"/>
      <c r="C226" s="297">
        <v>9</v>
      </c>
      <c r="D226" s="297" t="s">
        <v>362</v>
      </c>
      <c r="E226" s="297">
        <v>3</v>
      </c>
      <c r="F226" s="297">
        <v>3300</v>
      </c>
      <c r="G226" s="297">
        <v>1100</v>
      </c>
      <c r="H226" s="605"/>
      <c r="I226" s="199">
        <f t="shared" si="81"/>
        <v>3</v>
      </c>
      <c r="J226" s="199">
        <f t="shared" si="81"/>
        <v>3042.125392942814</v>
      </c>
      <c r="K226" s="199">
        <f t="shared" si="81"/>
        <v>1014.0417976476049</v>
      </c>
      <c r="L226" s="606"/>
      <c r="M226" s="199">
        <f>RANK(K226, K$218:$K$247)</f>
        <v>4</v>
      </c>
    </row>
    <row r="227" spans="2:13">
      <c r="B227" s="572"/>
      <c r="C227" s="297">
        <v>10</v>
      </c>
      <c r="D227" s="297" t="s">
        <v>363</v>
      </c>
      <c r="E227" s="297">
        <v>3</v>
      </c>
      <c r="F227" s="297">
        <v>3300</v>
      </c>
      <c r="G227" s="297">
        <v>1100</v>
      </c>
      <c r="H227" s="605"/>
      <c r="I227" s="199">
        <f t="shared" si="81"/>
        <v>3</v>
      </c>
      <c r="J227" s="199">
        <f t="shared" si="81"/>
        <v>2806.7961273767951</v>
      </c>
      <c r="K227" s="199">
        <f t="shared" si="81"/>
        <v>935.59870912559836</v>
      </c>
      <c r="L227" s="606"/>
      <c r="M227" s="199">
        <f>RANK(K227, K$218:$K$247)</f>
        <v>8</v>
      </c>
    </row>
    <row r="228" spans="2:13">
      <c r="B228" s="572"/>
      <c r="C228" s="297">
        <v>11</v>
      </c>
      <c r="D228" s="297" t="s">
        <v>364</v>
      </c>
      <c r="E228" s="297">
        <v>4</v>
      </c>
      <c r="F228" s="297">
        <v>3300</v>
      </c>
      <c r="G228" s="297">
        <v>825</v>
      </c>
      <c r="H228" s="605"/>
      <c r="I228" s="199">
        <f t="shared" si="81"/>
        <v>4</v>
      </c>
      <c r="J228" s="199">
        <f t="shared" si="81"/>
        <v>2817.2144145899606</v>
      </c>
      <c r="K228" s="199">
        <f t="shared" si="81"/>
        <v>704.30360364749015</v>
      </c>
      <c r="L228" s="606"/>
      <c r="M228" s="199">
        <f>RANK(K228, K$218:$K$247)</f>
        <v>17</v>
      </c>
    </row>
    <row r="229" spans="2:13">
      <c r="B229" s="572"/>
      <c r="C229" s="297">
        <v>12</v>
      </c>
      <c r="D229" s="297" t="s">
        <v>365</v>
      </c>
      <c r="E229" s="297">
        <v>4</v>
      </c>
      <c r="F229" s="297">
        <v>3300</v>
      </c>
      <c r="G229" s="297">
        <v>825</v>
      </c>
      <c r="H229" s="605"/>
      <c r="I229" s="199">
        <f t="shared" si="81"/>
        <v>4</v>
      </c>
      <c r="J229" s="199">
        <f t="shared" si="81"/>
        <v>2811.4206329440972</v>
      </c>
      <c r="K229" s="199">
        <f t="shared" si="81"/>
        <v>702.85515823602429</v>
      </c>
      <c r="L229" s="606"/>
      <c r="M229" s="199">
        <f>RANK(K229, K$218:$K$247)</f>
        <v>18</v>
      </c>
    </row>
    <row r="230" spans="2:13">
      <c r="B230" s="572"/>
      <c r="C230" s="297">
        <v>13</v>
      </c>
      <c r="D230" s="297" t="s">
        <v>555</v>
      </c>
      <c r="E230" s="297">
        <v>4</v>
      </c>
      <c r="F230" s="297">
        <v>2800</v>
      </c>
      <c r="G230" s="297">
        <v>700</v>
      </c>
      <c r="H230" s="605"/>
      <c r="I230" s="199">
        <f t="shared" si="81"/>
        <v>4</v>
      </c>
      <c r="J230" s="199">
        <f t="shared" si="81"/>
        <v>2826.5033471867546</v>
      </c>
      <c r="K230" s="199">
        <f t="shared" si="81"/>
        <v>706.62583679668865</v>
      </c>
      <c r="L230" s="606"/>
      <c r="M230" s="199">
        <f>RANK(K230, K$218:$K$247)</f>
        <v>16</v>
      </c>
    </row>
    <row r="231" spans="2:13">
      <c r="B231" s="572"/>
      <c r="C231" s="297">
        <v>14</v>
      </c>
      <c r="D231" s="297" t="s">
        <v>366</v>
      </c>
      <c r="E231" s="297">
        <v>4</v>
      </c>
      <c r="F231" s="297">
        <v>3600</v>
      </c>
      <c r="G231" s="297">
        <v>900</v>
      </c>
      <c r="H231" s="605"/>
      <c r="I231" s="199">
        <f t="shared" si="81"/>
        <v>4</v>
      </c>
      <c r="J231" s="199">
        <f t="shared" si="81"/>
        <v>2851.7583116883116</v>
      </c>
      <c r="K231" s="199">
        <f t="shared" si="81"/>
        <v>712.93957792207789</v>
      </c>
      <c r="L231" s="606"/>
      <c r="M231" s="199">
        <f>RANK(K231, K$218:$K$247)</f>
        <v>14</v>
      </c>
    </row>
    <row r="232" spans="2:13">
      <c r="B232" s="572"/>
      <c r="C232" s="297">
        <v>15</v>
      </c>
      <c r="D232" s="297" t="s">
        <v>367</v>
      </c>
      <c r="E232" s="297">
        <v>4</v>
      </c>
      <c r="F232" s="297">
        <v>3600</v>
      </c>
      <c r="G232" s="297">
        <v>900</v>
      </c>
      <c r="H232" s="605"/>
      <c r="I232" s="199">
        <f t="shared" si="81"/>
        <v>4</v>
      </c>
      <c r="J232" s="199">
        <f t="shared" si="81"/>
        <v>2281.1510204081592</v>
      </c>
      <c r="K232" s="199">
        <f t="shared" si="81"/>
        <v>570.2877551020398</v>
      </c>
      <c r="L232" s="606"/>
      <c r="M232" s="199">
        <f>RANK(K232, K$218:$K$247)</f>
        <v>19</v>
      </c>
    </row>
    <row r="233" spans="2:13">
      <c r="B233" s="572"/>
      <c r="C233" s="297">
        <v>16</v>
      </c>
      <c r="D233" s="297" t="s">
        <v>466</v>
      </c>
      <c r="E233" s="297">
        <v>4</v>
      </c>
      <c r="F233" s="297">
        <v>3300</v>
      </c>
      <c r="G233" s="297">
        <v>825</v>
      </c>
      <c r="H233" s="605"/>
      <c r="I233" s="199">
        <f t="shared" si="81"/>
        <v>3</v>
      </c>
      <c r="J233" s="199">
        <f t="shared" si="81"/>
        <v>2846.0781056459091</v>
      </c>
      <c r="K233" s="199">
        <f t="shared" si="81"/>
        <v>948.69270188196947</v>
      </c>
      <c r="L233" s="606"/>
      <c r="M233" s="199">
        <f>RANK(K233, K$218:$K$247)</f>
        <v>5</v>
      </c>
    </row>
    <row r="234" spans="2:13">
      <c r="B234" s="572"/>
      <c r="C234" s="297">
        <v>17</v>
      </c>
      <c r="D234" s="297" t="s">
        <v>552</v>
      </c>
      <c r="E234" s="297">
        <v>3</v>
      </c>
      <c r="F234" s="297">
        <v>2800</v>
      </c>
      <c r="G234" s="297">
        <v>933.33333333333337</v>
      </c>
      <c r="H234" s="605"/>
      <c r="I234" s="199">
        <f t="shared" si="81"/>
        <v>3</v>
      </c>
      <c r="J234" s="199">
        <f t="shared" si="81"/>
        <v>2836.245714285712</v>
      </c>
      <c r="K234" s="199">
        <f t="shared" si="81"/>
        <v>945.41523809523733</v>
      </c>
      <c r="L234" s="606"/>
      <c r="M234" s="199">
        <f>RANK(K234, K$218:$K$247)</f>
        <v>6</v>
      </c>
    </row>
    <row r="235" spans="2:13">
      <c r="B235" s="572"/>
      <c r="C235" s="297">
        <v>18</v>
      </c>
      <c r="D235" s="297" t="s">
        <v>616</v>
      </c>
      <c r="E235" s="297">
        <v>4</v>
      </c>
      <c r="F235" s="297">
        <v>3000</v>
      </c>
      <c r="G235" s="297">
        <v>750</v>
      </c>
      <c r="H235" s="605"/>
      <c r="I235" s="199">
        <f t="shared" si="81"/>
        <v>3</v>
      </c>
      <c r="J235" s="199">
        <f t="shared" si="81"/>
        <v>2242.4875324675313</v>
      </c>
      <c r="K235" s="199">
        <f t="shared" si="81"/>
        <v>747.49584415584377</v>
      </c>
      <c r="L235" s="606"/>
      <c r="M235" s="199">
        <f>RANK(K235, K$218:$K$247)</f>
        <v>13</v>
      </c>
    </row>
    <row r="236" spans="2:13">
      <c r="B236" s="572"/>
      <c r="C236" s="297">
        <v>19</v>
      </c>
      <c r="D236" s="297" t="s">
        <v>560</v>
      </c>
      <c r="E236" s="297">
        <v>12</v>
      </c>
      <c r="F236" s="297">
        <v>1500</v>
      </c>
      <c r="G236" s="297">
        <v>125</v>
      </c>
      <c r="H236" s="605"/>
      <c r="I236" s="199">
        <f t="shared" si="81"/>
        <v>9.1714285714285708</v>
      </c>
      <c r="J236" s="199">
        <f t="shared" si="81"/>
        <v>1496.8862386328879</v>
      </c>
      <c r="K236" s="199">
        <f t="shared" si="81"/>
        <v>165.17196426469064</v>
      </c>
      <c r="L236" s="606"/>
      <c r="M236" s="199">
        <f>RANK(K236, K$218:$K$247)</f>
        <v>21</v>
      </c>
    </row>
    <row r="237" spans="2:13">
      <c r="B237" s="572"/>
      <c r="C237" s="297">
        <v>20</v>
      </c>
      <c r="D237" s="297" t="s">
        <v>630</v>
      </c>
      <c r="E237" s="297">
        <v>4</v>
      </c>
      <c r="F237" s="297">
        <v>3000</v>
      </c>
      <c r="G237" s="297">
        <v>750</v>
      </c>
      <c r="H237" s="605"/>
      <c r="I237" s="199">
        <f t="shared" si="81"/>
        <v>4</v>
      </c>
      <c r="J237" s="199">
        <f t="shared" si="81"/>
        <v>2215.1203246753284</v>
      </c>
      <c r="K237" s="199">
        <f t="shared" si="81"/>
        <v>553.78008116883211</v>
      </c>
      <c r="L237" s="606"/>
      <c r="M237" s="199">
        <f>RANK(K237, K$218:$K$247)</f>
        <v>20</v>
      </c>
    </row>
    <row r="238" spans="2:13">
      <c r="B238" s="572"/>
      <c r="C238" s="297">
        <v>21</v>
      </c>
      <c r="D238" s="297" t="s">
        <v>699</v>
      </c>
      <c r="E238" s="297">
        <v>3</v>
      </c>
      <c r="F238" s="297">
        <v>2800</v>
      </c>
      <c r="G238" s="297">
        <v>933.33333333333337</v>
      </c>
      <c r="H238" s="605"/>
      <c r="I238" s="199">
        <f t="shared" si="81"/>
        <v>3</v>
      </c>
      <c r="J238" s="199">
        <f t="shared" si="81"/>
        <v>2808.9871079394725</v>
      </c>
      <c r="K238" s="199">
        <f t="shared" si="81"/>
        <v>936.32903597982408</v>
      </c>
      <c r="L238" s="606"/>
      <c r="M238" s="199">
        <f>RANK(K238, K$218:$K$247)</f>
        <v>7</v>
      </c>
    </row>
    <row r="239" spans="2:13">
      <c r="B239" s="572"/>
      <c r="C239" s="297">
        <v>22</v>
      </c>
      <c r="D239" s="297"/>
      <c r="E239" s="297"/>
      <c r="F239" s="297"/>
      <c r="G239" s="297"/>
      <c r="H239" s="605"/>
      <c r="I239" s="199"/>
      <c r="J239" s="199"/>
      <c r="K239" s="199"/>
      <c r="L239" s="606"/>
      <c r="M239" s="199" t="e">
        <f>RANK(K239, K$218:$K$247)</f>
        <v>#N/A</v>
      </c>
    </row>
    <row r="240" spans="2:13">
      <c r="B240" s="572"/>
      <c r="C240" s="297">
        <v>23</v>
      </c>
      <c r="D240" s="297"/>
      <c r="E240" s="297"/>
      <c r="F240" s="297"/>
      <c r="G240" s="297"/>
      <c r="H240" s="605"/>
      <c r="I240" s="199"/>
      <c r="J240" s="199"/>
      <c r="K240" s="199"/>
      <c r="L240" s="606"/>
      <c r="M240" s="199" t="e">
        <f>RANK(K240, K$218:$K$247)</f>
        <v>#N/A</v>
      </c>
    </row>
    <row r="241" spans="2:13">
      <c r="B241" s="572"/>
      <c r="C241" s="297">
        <v>24</v>
      </c>
      <c r="D241" s="297"/>
      <c r="E241" s="297"/>
      <c r="F241" s="297"/>
      <c r="G241" s="297"/>
      <c r="H241" s="605"/>
      <c r="I241" s="199"/>
      <c r="J241" s="199"/>
      <c r="K241" s="199"/>
      <c r="L241" s="606"/>
      <c r="M241" s="199" t="e">
        <f>RANK(K241, K$218:$K$247)</f>
        <v>#N/A</v>
      </c>
    </row>
    <row r="242" spans="2:13">
      <c r="B242" s="572"/>
      <c r="C242" s="297">
        <v>25</v>
      </c>
      <c r="D242" s="297"/>
      <c r="E242" s="297"/>
      <c r="F242" s="297"/>
      <c r="G242" s="297"/>
      <c r="H242" s="605"/>
      <c r="I242" s="199"/>
      <c r="J242" s="199"/>
      <c r="K242" s="199"/>
      <c r="L242" s="606"/>
      <c r="M242" s="199" t="e">
        <f>RANK(K242, K$218:$K$247)</f>
        <v>#N/A</v>
      </c>
    </row>
    <row r="243" spans="2:13">
      <c r="B243" s="572"/>
      <c r="C243" s="297">
        <v>26</v>
      </c>
      <c r="D243" s="297"/>
      <c r="E243" s="297"/>
      <c r="F243" s="297"/>
      <c r="G243" s="297"/>
      <c r="H243" s="605"/>
      <c r="I243" s="199"/>
      <c r="J243" s="199"/>
      <c r="K243" s="199"/>
      <c r="L243" s="606"/>
      <c r="M243" s="199" t="e">
        <f>RANK(K243, K$218:$K$247)</f>
        <v>#N/A</v>
      </c>
    </row>
    <row r="244" spans="2:13">
      <c r="B244" s="572"/>
      <c r="C244" s="297">
        <v>27</v>
      </c>
      <c r="D244" s="297"/>
      <c r="E244" s="297"/>
      <c r="F244" s="297"/>
      <c r="G244" s="297"/>
      <c r="H244" s="605"/>
      <c r="I244" s="199"/>
      <c r="J244" s="199"/>
      <c r="K244" s="199"/>
      <c r="L244" s="606"/>
      <c r="M244" s="199" t="e">
        <f>RANK(K244, K$218:$K$247)</f>
        <v>#N/A</v>
      </c>
    </row>
    <row r="245" spans="2:13">
      <c r="B245" s="572"/>
      <c r="C245" s="297">
        <v>28</v>
      </c>
      <c r="D245" s="297"/>
      <c r="E245" s="297"/>
      <c r="F245" s="297"/>
      <c r="G245" s="297"/>
      <c r="H245" s="605"/>
      <c r="I245" s="199"/>
      <c r="J245" s="199"/>
      <c r="K245" s="199"/>
      <c r="L245" s="606"/>
      <c r="M245" s="199" t="e">
        <f>RANK(K245, K$218:$K$247)</f>
        <v>#N/A</v>
      </c>
    </row>
    <row r="246" spans="2:13">
      <c r="B246" s="572"/>
      <c r="C246" s="297">
        <v>29</v>
      </c>
      <c r="D246" s="297"/>
      <c r="E246" s="297"/>
      <c r="F246" s="297"/>
      <c r="G246" s="297"/>
      <c r="H246" s="605"/>
      <c r="I246" s="199"/>
      <c r="J246" s="199"/>
      <c r="K246" s="199"/>
      <c r="L246" s="606"/>
      <c r="M246" s="199" t="e">
        <f>RANK(K246, K$218:$K$247)</f>
        <v>#N/A</v>
      </c>
    </row>
    <row r="247" spans="2:13">
      <c r="B247" s="572"/>
      <c r="C247" s="297">
        <v>30</v>
      </c>
      <c r="D247" s="297"/>
      <c r="E247" s="297"/>
      <c r="F247" s="297"/>
      <c r="G247" s="297"/>
      <c r="H247" s="605"/>
      <c r="I247" s="199"/>
      <c r="J247" s="199"/>
      <c r="K247" s="199"/>
      <c r="L247" s="606"/>
      <c r="M247" s="199" t="e">
        <f>RANK(K247, K$218:$K$247)</f>
        <v>#N/A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0" zoomScale="50" zoomScaleNormal="50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1" t="s">
        <v>329</v>
      </c>
      <c r="C1" s="220">
        <f>AVERAGE(L7,L27,L47,L87,L87,L107)</f>
        <v>171.43329270106761</v>
      </c>
    </row>
    <row r="2" spans="1:54" ht="15.75">
      <c r="A2" s="81"/>
      <c r="B2" s="576" t="s">
        <v>731</v>
      </c>
      <c r="C2" s="576"/>
      <c r="D2" s="576"/>
      <c r="E2" s="576"/>
      <c r="F2" s="576"/>
      <c r="G2" s="576"/>
      <c r="H2" s="576"/>
      <c r="I2" s="441"/>
      <c r="J2" s="441"/>
      <c r="K2" s="441"/>
      <c r="L2" s="441"/>
      <c r="M2" s="197"/>
      <c r="N2" s="565" t="s">
        <v>732</v>
      </c>
      <c r="O2" s="565" t="s">
        <v>733</v>
      </c>
      <c r="P2" s="617"/>
      <c r="Q2" s="618"/>
      <c r="R2" s="618"/>
      <c r="S2" s="618"/>
      <c r="T2" s="619"/>
      <c r="U2" s="571"/>
      <c r="V2" s="572"/>
      <c r="W2" s="572"/>
      <c r="X2" s="572"/>
      <c r="Y2" s="572"/>
      <c r="Z2" s="571">
        <f>U2+1</f>
        <v>1</v>
      </c>
      <c r="AA2" s="572"/>
      <c r="AB2" s="572"/>
      <c r="AC2" s="572"/>
      <c r="AD2" s="572"/>
      <c r="AE2" s="571">
        <f>Z2+1</f>
        <v>2</v>
      </c>
      <c r="AF2" s="572"/>
      <c r="AG2" s="572"/>
      <c r="AH2" s="572"/>
      <c r="AI2" s="572"/>
      <c r="AJ2" s="571">
        <f>AE2+1</f>
        <v>3</v>
      </c>
      <c r="AK2" s="572"/>
      <c r="AL2" s="572"/>
      <c r="AM2" s="572"/>
      <c r="AN2" s="572"/>
      <c r="AO2" s="571">
        <f>AJ2+1</f>
        <v>4</v>
      </c>
      <c r="AP2" s="572"/>
      <c r="AQ2" s="572"/>
      <c r="AR2" s="572"/>
      <c r="AS2" s="572"/>
      <c r="AT2" s="571">
        <f>AO2+1</f>
        <v>5</v>
      </c>
      <c r="AU2" s="572"/>
      <c r="AV2" s="572"/>
      <c r="AW2" s="572"/>
      <c r="AX2" s="572"/>
    </row>
    <row r="3" spans="1:54" ht="15.75">
      <c r="A3" s="81"/>
      <c r="B3" s="597"/>
      <c r="C3" s="597"/>
      <c r="D3" s="597"/>
      <c r="E3" s="597"/>
      <c r="F3" s="597"/>
      <c r="G3" s="597"/>
      <c r="H3" s="597"/>
      <c r="I3" s="442"/>
      <c r="J3" s="442"/>
      <c r="K3" s="442"/>
      <c r="L3" s="442"/>
      <c r="M3" s="198"/>
      <c r="N3" s="567"/>
      <c r="O3" s="567"/>
      <c r="P3" s="571" t="s">
        <v>734</v>
      </c>
      <c r="Q3" s="572"/>
      <c r="R3" s="572"/>
      <c r="S3" s="572"/>
      <c r="T3" s="572"/>
      <c r="U3" s="571" t="s">
        <v>735</v>
      </c>
      <c r="V3" s="572"/>
      <c r="W3" s="572"/>
      <c r="X3" s="572"/>
      <c r="Y3" s="572"/>
      <c r="Z3" s="571" t="s">
        <v>736</v>
      </c>
      <c r="AA3" s="572"/>
      <c r="AB3" s="572"/>
      <c r="AC3" s="572"/>
      <c r="AD3" s="572"/>
      <c r="AE3" s="571" t="s">
        <v>737</v>
      </c>
      <c r="AF3" s="572"/>
      <c r="AG3" s="572"/>
      <c r="AH3" s="572"/>
      <c r="AI3" s="572"/>
      <c r="AJ3" s="571" t="s">
        <v>738</v>
      </c>
      <c r="AK3" s="572"/>
      <c r="AL3" s="572"/>
      <c r="AM3" s="572"/>
      <c r="AN3" s="572"/>
      <c r="AO3" s="571" t="s">
        <v>739</v>
      </c>
      <c r="AP3" s="572"/>
      <c r="AQ3" s="572"/>
      <c r="AR3" s="572"/>
      <c r="AS3" s="572"/>
      <c r="AT3" s="571" t="s">
        <v>740</v>
      </c>
      <c r="AU3" s="572"/>
      <c r="AV3" s="572"/>
      <c r="AW3" s="572"/>
      <c r="AX3" s="572"/>
    </row>
    <row r="4" spans="1:54">
      <c r="A4" s="81"/>
      <c r="B4" s="559" t="s">
        <v>741</v>
      </c>
      <c r="C4" s="559" t="s">
        <v>742</v>
      </c>
      <c r="D4" s="559"/>
      <c r="E4" s="559" t="s">
        <v>743</v>
      </c>
      <c r="F4" s="559"/>
      <c r="G4" s="559"/>
      <c r="H4" s="560" t="s">
        <v>744</v>
      </c>
      <c r="I4" s="559" t="s">
        <v>745</v>
      </c>
      <c r="J4" s="559"/>
      <c r="K4" s="559"/>
      <c r="L4" s="560" t="s">
        <v>744</v>
      </c>
      <c r="M4" s="565" t="s">
        <v>746</v>
      </c>
      <c r="N4" s="559"/>
      <c r="O4" s="559" t="s">
        <v>747</v>
      </c>
      <c r="P4" s="556" t="s">
        <v>748</v>
      </c>
      <c r="Q4" s="557"/>
      <c r="R4" s="557"/>
      <c r="S4" s="558"/>
      <c r="T4" s="559" t="s">
        <v>744</v>
      </c>
      <c r="U4" s="556" t="s">
        <v>748</v>
      </c>
      <c r="V4" s="557"/>
      <c r="W4" s="557"/>
      <c r="X4" s="558"/>
      <c r="Y4" s="559" t="s">
        <v>744</v>
      </c>
      <c r="Z4" s="556" t="s">
        <v>748</v>
      </c>
      <c r="AA4" s="557"/>
      <c r="AB4" s="557"/>
      <c r="AC4" s="558"/>
      <c r="AD4" s="559" t="s">
        <v>744</v>
      </c>
      <c r="AE4" s="556" t="s">
        <v>748</v>
      </c>
      <c r="AF4" s="557"/>
      <c r="AG4" s="557"/>
      <c r="AH4" s="558"/>
      <c r="AI4" s="559" t="s">
        <v>744</v>
      </c>
      <c r="AJ4" s="556" t="s">
        <v>748</v>
      </c>
      <c r="AK4" s="557"/>
      <c r="AL4" s="557"/>
      <c r="AM4" s="558"/>
      <c r="AN4" s="559" t="s">
        <v>744</v>
      </c>
      <c r="AO4" s="556" t="s">
        <v>748</v>
      </c>
      <c r="AP4" s="557"/>
      <c r="AQ4" s="557"/>
      <c r="AR4" s="558"/>
      <c r="AS4" s="559" t="s">
        <v>744</v>
      </c>
      <c r="AT4" s="556" t="s">
        <v>748</v>
      </c>
      <c r="AU4" s="557"/>
      <c r="AV4" s="557"/>
      <c r="AW4" s="558"/>
      <c r="AX4" s="559" t="s">
        <v>744</v>
      </c>
    </row>
    <row r="5" spans="1:54">
      <c r="A5" s="81"/>
      <c r="B5" s="559"/>
      <c r="C5" s="559"/>
      <c r="D5" s="559"/>
      <c r="E5" s="559" t="s">
        <v>749</v>
      </c>
      <c r="F5" s="559"/>
      <c r="G5" s="559"/>
      <c r="H5" s="561"/>
      <c r="I5" s="559" t="s">
        <v>749</v>
      </c>
      <c r="J5" s="559"/>
      <c r="K5" s="559"/>
      <c r="L5" s="561"/>
      <c r="M5" s="566"/>
      <c r="N5" s="559"/>
      <c r="O5" s="559"/>
      <c r="P5" s="556" t="s">
        <v>750</v>
      </c>
      <c r="Q5" s="557"/>
      <c r="R5" s="557"/>
      <c r="S5" s="558"/>
      <c r="T5" s="559"/>
      <c r="U5" s="556" t="s">
        <v>750</v>
      </c>
      <c r="V5" s="557"/>
      <c r="W5" s="557"/>
      <c r="X5" s="558"/>
      <c r="Y5" s="559"/>
      <c r="Z5" s="556" t="s">
        <v>750</v>
      </c>
      <c r="AA5" s="557"/>
      <c r="AB5" s="557"/>
      <c r="AC5" s="558"/>
      <c r="AD5" s="559"/>
      <c r="AE5" s="556" t="s">
        <v>750</v>
      </c>
      <c r="AF5" s="557"/>
      <c r="AG5" s="557"/>
      <c r="AH5" s="558"/>
      <c r="AI5" s="559"/>
      <c r="AJ5" s="556" t="s">
        <v>750</v>
      </c>
      <c r="AK5" s="557"/>
      <c r="AL5" s="557"/>
      <c r="AM5" s="558"/>
      <c r="AN5" s="559"/>
      <c r="AO5" s="556" t="s">
        <v>750</v>
      </c>
      <c r="AP5" s="557"/>
      <c r="AQ5" s="557"/>
      <c r="AR5" s="558"/>
      <c r="AS5" s="559"/>
      <c r="AT5" s="556" t="s">
        <v>750</v>
      </c>
      <c r="AU5" s="557"/>
      <c r="AV5" s="557"/>
      <c r="AW5" s="558"/>
      <c r="AX5" s="559"/>
    </row>
    <row r="6" spans="1:54">
      <c r="A6" s="79"/>
      <c r="B6" s="559"/>
      <c r="C6" s="559"/>
      <c r="D6" s="559"/>
      <c r="E6" s="440" t="s">
        <v>751</v>
      </c>
      <c r="F6" s="440" t="s">
        <v>752</v>
      </c>
      <c r="G6" s="440" t="s">
        <v>753</v>
      </c>
      <c r="H6" s="562"/>
      <c r="I6" s="440" t="s">
        <v>751</v>
      </c>
      <c r="J6" s="440" t="s">
        <v>752</v>
      </c>
      <c r="K6" s="440" t="s">
        <v>753</v>
      </c>
      <c r="L6" s="562"/>
      <c r="M6" s="567"/>
      <c r="N6" s="559"/>
      <c r="O6" s="559"/>
      <c r="P6" s="440" t="s">
        <v>751</v>
      </c>
      <c r="Q6" s="440" t="s">
        <v>752</v>
      </c>
      <c r="R6" s="440" t="s">
        <v>753</v>
      </c>
      <c r="S6" s="440" t="s">
        <v>746</v>
      </c>
      <c r="T6" s="559"/>
      <c r="U6" s="440" t="s">
        <v>751</v>
      </c>
      <c r="V6" s="440" t="s">
        <v>752</v>
      </c>
      <c r="W6" s="440" t="s">
        <v>753</v>
      </c>
      <c r="X6" s="440" t="s">
        <v>746</v>
      </c>
      <c r="Y6" s="559"/>
      <c r="Z6" s="440" t="s">
        <v>751</v>
      </c>
      <c r="AA6" s="440" t="s">
        <v>752</v>
      </c>
      <c r="AB6" s="440" t="s">
        <v>753</v>
      </c>
      <c r="AC6" s="440" t="s">
        <v>746</v>
      </c>
      <c r="AD6" s="559"/>
      <c r="AE6" s="440" t="s">
        <v>751</v>
      </c>
      <c r="AF6" s="440" t="s">
        <v>752</v>
      </c>
      <c r="AG6" s="440" t="s">
        <v>753</v>
      </c>
      <c r="AH6" s="440" t="s">
        <v>746</v>
      </c>
      <c r="AI6" s="559"/>
      <c r="AJ6" s="440" t="s">
        <v>751</v>
      </c>
      <c r="AK6" s="440" t="s">
        <v>752</v>
      </c>
      <c r="AL6" s="440" t="s">
        <v>753</v>
      </c>
      <c r="AM6" s="440" t="s">
        <v>746</v>
      </c>
      <c r="AN6" s="559"/>
      <c r="AO6" s="440" t="s">
        <v>751</v>
      </c>
      <c r="AP6" s="440" t="s">
        <v>752</v>
      </c>
      <c r="AQ6" s="440" t="s">
        <v>753</v>
      </c>
      <c r="AR6" s="440" t="s">
        <v>746</v>
      </c>
      <c r="AS6" s="559"/>
      <c r="AT6" s="440" t="s">
        <v>751</v>
      </c>
      <c r="AU6" s="440" t="s">
        <v>752</v>
      </c>
      <c r="AV6" s="440" t="s">
        <v>753</v>
      </c>
      <c r="AW6" s="440" t="s">
        <v>746</v>
      </c>
      <c r="AX6" s="559"/>
    </row>
    <row r="7" spans="1:54">
      <c r="A7" s="81"/>
      <c r="B7" s="607" t="s">
        <v>783</v>
      </c>
      <c r="C7" s="443">
        <v>1</v>
      </c>
      <c r="D7" s="435" t="s">
        <v>368</v>
      </c>
      <c r="E7" s="447">
        <v>10</v>
      </c>
      <c r="F7" s="447">
        <v>1500</v>
      </c>
      <c r="G7" s="447">
        <v>150</v>
      </c>
      <c r="H7" s="563">
        <f>AVERAGE(G7:G21)</f>
        <v>167.14285714285714</v>
      </c>
      <c r="I7" s="447">
        <f>AVERAGE(P7,U7,Z7,AE7,AJ7,AO7,AT7)</f>
        <v>10</v>
      </c>
      <c r="J7" s="447">
        <f>AVERAGE(Q7,V7,AA7,AF7,AK7,AP7,AU7)</f>
        <v>1446.4000000000008</v>
      </c>
      <c r="K7" s="439">
        <f>AVERAGE(R7,W7,AB7,AG7,AL7,AQ7,AV7)</f>
        <v>144.24000000000015</v>
      </c>
      <c r="L7" s="563">
        <f>AVERAGE(K7:K21)</f>
        <v>164.47482427466383</v>
      </c>
      <c r="M7" s="445">
        <f>RANK(K7, K$7:$K$21)</f>
        <v>3</v>
      </c>
      <c r="N7" s="559"/>
      <c r="O7" s="559"/>
      <c r="P7" s="443"/>
      <c r="Q7" s="447"/>
      <c r="R7" s="447"/>
      <c r="S7" s="436" t="e">
        <f>RANK(R7, R$7:R$21)</f>
        <v>#N/A</v>
      </c>
      <c r="T7" s="588" t="e">
        <f>AVERAGE(R7:R21)</f>
        <v>#DIV/0!</v>
      </c>
      <c r="U7" s="443"/>
      <c r="V7" s="447"/>
      <c r="W7" s="447"/>
      <c r="X7" s="436" t="e">
        <f>RANK(W7, W$7:W$21)</f>
        <v>#N/A</v>
      </c>
      <c r="Y7" s="588" t="e">
        <f t="shared" ref="Y7" si="0">AVERAGE(W7:W21)</f>
        <v>#DIV/0!</v>
      </c>
      <c r="Z7" s="443">
        <v>10</v>
      </c>
      <c r="AA7" s="447">
        <v>1599.0000000000057</v>
      </c>
      <c r="AB7" s="447">
        <v>159.90000000000057</v>
      </c>
      <c r="AC7" s="436">
        <f>RANK(AB7, AB$7:AB$21)</f>
        <v>3</v>
      </c>
      <c r="AD7" s="588">
        <f t="shared" ref="AD7" si="1">AVERAGE(AB7:AB21)</f>
        <v>164.7256235827665</v>
      </c>
      <c r="AE7" s="443">
        <v>10</v>
      </c>
      <c r="AF7" s="447">
        <v>1387.99999999999</v>
      </c>
      <c r="AG7" s="447">
        <v>136.79999999999939</v>
      </c>
      <c r="AH7" s="436">
        <f>RANK(AG7, AG$7:AG$21)</f>
        <v>5</v>
      </c>
      <c r="AI7" s="588">
        <f t="shared" ref="AI7" si="2">AVERAGE(AG7:AG21)</f>
        <v>166.58274257071247</v>
      </c>
      <c r="AJ7" s="443">
        <v>10</v>
      </c>
      <c r="AK7" s="447">
        <v>1218.0000000000043</v>
      </c>
      <c r="AL7" s="447">
        <v>121.80000000000044</v>
      </c>
      <c r="AM7" s="436">
        <f>RANK(AL7, AL$7:AL$21)</f>
        <v>3</v>
      </c>
      <c r="AN7" s="588">
        <f t="shared" ref="AN7" si="3">AVERAGE(AL7:AL21)</f>
        <v>155.50761256883726</v>
      </c>
      <c r="AO7" s="443">
        <v>10</v>
      </c>
      <c r="AP7" s="447">
        <v>1589.9999999999993</v>
      </c>
      <c r="AQ7" s="447">
        <v>158.99999999999994</v>
      </c>
      <c r="AR7" s="436">
        <f>RANK(AQ7, AQ$7:AQ$21)</f>
        <v>3</v>
      </c>
      <c r="AS7" s="588">
        <f t="shared" ref="AS7" si="4">AVERAGE(AQ7:AQ21)</f>
        <v>171.43320964749836</v>
      </c>
      <c r="AT7" s="443">
        <v>10</v>
      </c>
      <c r="AU7" s="447">
        <v>1437.000000000005</v>
      </c>
      <c r="AV7" s="447">
        <v>143.7000000000005</v>
      </c>
      <c r="AW7" s="436">
        <f>RANK(AV7, AV$7:AV$21)</f>
        <v>4</v>
      </c>
      <c r="AX7" s="588">
        <f t="shared" ref="AX7" si="5">AVERAGE(AV7:AV21)</f>
        <v>164.12493300350451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99"/>
      <c r="C8" s="443">
        <v>2</v>
      </c>
      <c r="D8" s="435" t="s">
        <v>369</v>
      </c>
      <c r="E8" s="447">
        <v>15</v>
      </c>
      <c r="F8" s="447">
        <v>1800</v>
      </c>
      <c r="G8" s="447">
        <v>120</v>
      </c>
      <c r="H8" s="564"/>
      <c r="I8" s="447">
        <f t="shared" ref="I8:K10" si="6">AVERAGE(P8,U8,Z8,AE8,AJ8,AO8,AT8)</f>
        <v>12.4</v>
      </c>
      <c r="J8" s="447">
        <f t="shared" si="6"/>
        <v>1763.6285714285721</v>
      </c>
      <c r="K8" s="439">
        <f t="shared" si="6"/>
        <v>143.05884353741908</v>
      </c>
      <c r="L8" s="564"/>
      <c r="M8" s="445">
        <f>RANK(K8, K$7:$K$21)</f>
        <v>4</v>
      </c>
      <c r="N8" s="559"/>
      <c r="O8" s="559"/>
      <c r="P8" s="443"/>
      <c r="Q8" s="447"/>
      <c r="R8" s="447"/>
      <c r="S8" s="436" t="e">
        <f t="shared" ref="S8:S21" si="7">RANK(R8, R$7:R$21)</f>
        <v>#N/A</v>
      </c>
      <c r="T8" s="588"/>
      <c r="U8" s="443"/>
      <c r="V8" s="447"/>
      <c r="W8" s="447"/>
      <c r="X8" s="436" t="e">
        <f t="shared" ref="X8:X21" si="8">RANK(W8, W$7:W$21)</f>
        <v>#N/A</v>
      </c>
      <c r="Y8" s="588"/>
      <c r="Z8" s="443">
        <v>12</v>
      </c>
      <c r="AA8" s="447">
        <v>1878.000000000003</v>
      </c>
      <c r="AB8" s="447">
        <v>156.50000000000026</v>
      </c>
      <c r="AC8" s="436">
        <f t="shared" ref="AC8:AC21" si="9">RANK(AB8, AB$7:AB$21)</f>
        <v>4</v>
      </c>
      <c r="AD8" s="588"/>
      <c r="AE8" s="443">
        <v>12</v>
      </c>
      <c r="AF8" s="447">
        <v>1818.8571428571411</v>
      </c>
      <c r="AG8" s="447">
        <v>151.57142857142841</v>
      </c>
      <c r="AH8" s="436">
        <f t="shared" ref="AH8:AH21" si="10">RANK(AG8, AG$7:AG$21)</f>
        <v>3</v>
      </c>
      <c r="AI8" s="588"/>
      <c r="AJ8" s="443">
        <v>14</v>
      </c>
      <c r="AK8" s="447">
        <v>1642.2857142857163</v>
      </c>
      <c r="AL8" s="447">
        <v>117.30612244897974</v>
      </c>
      <c r="AM8" s="436">
        <f t="shared" ref="AM8:AM21" si="11">RANK(AL8, AL$7:AL$21)</f>
        <v>4</v>
      </c>
      <c r="AN8" s="588"/>
      <c r="AO8" s="443">
        <v>12</v>
      </c>
      <c r="AP8" s="447">
        <v>1688</v>
      </c>
      <c r="AQ8" s="447">
        <v>140.66666666668701</v>
      </c>
      <c r="AR8" s="436">
        <f t="shared" ref="AR8:AR21" si="12">RANK(AQ8, AQ$7:AQ$21)</f>
        <v>4</v>
      </c>
      <c r="AS8" s="588"/>
      <c r="AT8" s="443">
        <v>12</v>
      </c>
      <c r="AU8" s="447">
        <v>1790.9999999999995</v>
      </c>
      <c r="AV8" s="447">
        <v>149.24999999999997</v>
      </c>
      <c r="AW8" s="436">
        <f t="shared" ref="AW8:AW21" si="13">RANK(AV8, AV$7:AV$21)</f>
        <v>3</v>
      </c>
      <c r="AX8" s="588"/>
      <c r="AZ8" s="314" t="e">
        <f>RANK(AX8, $K$7:AX$21)</f>
        <v>#N/A</v>
      </c>
      <c r="BB8" s="311" t="e">
        <f t="shared" ref="BB8:BB21" si="14">RANK(BA8, BA$7:BA$21)</f>
        <v>#N/A</v>
      </c>
    </row>
    <row r="9" spans="1:54">
      <c r="A9" s="81"/>
      <c r="B9" s="599"/>
      <c r="C9" s="443">
        <v>3</v>
      </c>
      <c r="D9" s="435" t="s">
        <v>370</v>
      </c>
      <c r="E9" s="447">
        <v>15</v>
      </c>
      <c r="F9" s="447">
        <v>1800</v>
      </c>
      <c r="G9" s="447">
        <v>120</v>
      </c>
      <c r="H9" s="564"/>
      <c r="I9" s="447">
        <f t="shared" si="6"/>
        <v>12.4</v>
      </c>
      <c r="J9" s="447">
        <f t="shared" si="6"/>
        <v>1653.9771428571833</v>
      </c>
      <c r="K9" s="439">
        <f t="shared" si="6"/>
        <v>133.98244897959185</v>
      </c>
      <c r="L9" s="564"/>
      <c r="M9" s="445">
        <f>RANK(K9, K$7:$K$21)</f>
        <v>5</v>
      </c>
      <c r="N9" s="559"/>
      <c r="O9" s="559"/>
      <c r="P9" s="443"/>
      <c r="Q9" s="447"/>
      <c r="R9" s="447"/>
      <c r="S9" s="436" t="e">
        <f t="shared" si="7"/>
        <v>#N/A</v>
      </c>
      <c r="T9" s="588"/>
      <c r="U9" s="443"/>
      <c r="V9" s="447"/>
      <c r="W9" s="447"/>
      <c r="X9" s="436" t="e">
        <f t="shared" si="8"/>
        <v>#N/A</v>
      </c>
      <c r="Y9" s="588"/>
      <c r="Z9" s="443">
        <v>12</v>
      </c>
      <c r="AA9" s="447">
        <v>1730.66666666687</v>
      </c>
      <c r="AB9" s="447">
        <v>144.22222222222223</v>
      </c>
      <c r="AC9" s="436">
        <f t="shared" si="9"/>
        <v>5</v>
      </c>
      <c r="AD9" s="588"/>
      <c r="AE9" s="443">
        <v>12</v>
      </c>
      <c r="AF9" s="447">
        <v>1765.7142857142881</v>
      </c>
      <c r="AG9" s="447">
        <v>147.14285714285734</v>
      </c>
      <c r="AH9" s="436">
        <f t="shared" si="10"/>
        <v>4</v>
      </c>
      <c r="AI9" s="588"/>
      <c r="AJ9" s="443">
        <v>14</v>
      </c>
      <c r="AK9" s="447">
        <v>1616.5714285714268</v>
      </c>
      <c r="AL9" s="447">
        <v>115.46938775510192</v>
      </c>
      <c r="AM9" s="436">
        <f t="shared" si="11"/>
        <v>5</v>
      </c>
      <c r="AN9" s="588"/>
      <c r="AO9" s="443">
        <v>12</v>
      </c>
      <c r="AP9" s="447">
        <v>1551.5999999999981</v>
      </c>
      <c r="AQ9" s="447">
        <v>129.29999999999984</v>
      </c>
      <c r="AR9" s="436">
        <f t="shared" si="12"/>
        <v>5</v>
      </c>
      <c r="AS9" s="588"/>
      <c r="AT9" s="443">
        <v>12</v>
      </c>
      <c r="AU9" s="447">
        <v>1605.3333333333335</v>
      </c>
      <c r="AV9" s="447">
        <v>133.7777777777778</v>
      </c>
      <c r="AW9" s="436">
        <f t="shared" si="13"/>
        <v>5</v>
      </c>
      <c r="AX9" s="588"/>
      <c r="AZ9" s="314" t="e">
        <f>RANK(AX9, $K$7:AX$21)</f>
        <v>#N/A</v>
      </c>
      <c r="BB9" s="311" t="e">
        <f t="shared" si="14"/>
        <v>#N/A</v>
      </c>
    </row>
    <row r="10" spans="1:54">
      <c r="A10" s="81"/>
      <c r="B10" s="599"/>
      <c r="C10" s="443">
        <v>4</v>
      </c>
      <c r="D10" s="435" t="s">
        <v>556</v>
      </c>
      <c r="E10" s="447">
        <v>5</v>
      </c>
      <c r="F10" s="447">
        <v>1500</v>
      </c>
      <c r="G10" s="447">
        <v>300</v>
      </c>
      <c r="H10" s="564"/>
      <c r="I10" s="447">
        <f t="shared" si="6"/>
        <v>6</v>
      </c>
      <c r="J10" s="447">
        <f t="shared" si="6"/>
        <v>1484.0197129186604</v>
      </c>
      <c r="K10" s="439">
        <f t="shared" si="6"/>
        <v>246.66995215311007</v>
      </c>
      <c r="L10" s="564"/>
      <c r="M10" s="445">
        <f>RANK(K10, K$7:$K$21)</f>
        <v>2</v>
      </c>
      <c r="N10" s="559"/>
      <c r="O10" s="559"/>
      <c r="P10" s="443"/>
      <c r="Q10" s="447"/>
      <c r="R10" s="447"/>
      <c r="S10" s="436" t="e">
        <f t="shared" si="7"/>
        <v>#N/A</v>
      </c>
      <c r="T10" s="588"/>
      <c r="U10" s="443"/>
      <c r="V10" s="447"/>
      <c r="W10" s="447"/>
      <c r="X10" s="436" t="e">
        <f t="shared" si="8"/>
        <v>#N/A</v>
      </c>
      <c r="Y10" s="588"/>
      <c r="Z10" s="443">
        <v>6</v>
      </c>
      <c r="AA10" s="447">
        <v>1394.4000000000003</v>
      </c>
      <c r="AB10" s="447">
        <v>232.40000000000006</v>
      </c>
      <c r="AC10" s="436">
        <f t="shared" si="9"/>
        <v>2</v>
      </c>
      <c r="AD10" s="588"/>
      <c r="AE10" s="443">
        <v>6</v>
      </c>
      <c r="AF10" s="447">
        <v>1455.7894736842095</v>
      </c>
      <c r="AG10" s="447">
        <v>242.63157894736824</v>
      </c>
      <c r="AH10" s="436">
        <f t="shared" si="10"/>
        <v>2</v>
      </c>
      <c r="AI10" s="588"/>
      <c r="AJ10" s="443">
        <v>6</v>
      </c>
      <c r="AK10" s="447">
        <v>1572.0000000000014</v>
      </c>
      <c r="AL10" s="447">
        <v>262.00000000000023</v>
      </c>
      <c r="AM10" s="436">
        <f t="shared" si="11"/>
        <v>2</v>
      </c>
      <c r="AN10" s="588"/>
      <c r="AO10" s="443">
        <v>6</v>
      </c>
      <c r="AP10" s="447">
        <v>1510.909090909091</v>
      </c>
      <c r="AQ10" s="447">
        <v>251.81818181818184</v>
      </c>
      <c r="AR10" s="436">
        <f t="shared" si="12"/>
        <v>2</v>
      </c>
      <c r="AS10" s="588"/>
      <c r="AT10" s="443">
        <v>6</v>
      </c>
      <c r="AU10" s="447">
        <v>1487</v>
      </c>
      <c r="AV10" s="447">
        <v>244.49999999999991</v>
      </c>
      <c r="AW10" s="436">
        <f t="shared" si="13"/>
        <v>2</v>
      </c>
      <c r="AX10" s="588"/>
      <c r="AZ10" s="314" t="e">
        <f>RANK(AX10, $K$7:AX$21)</f>
        <v>#N/A</v>
      </c>
      <c r="BB10" s="311" t="e">
        <f t="shared" si="14"/>
        <v>#N/A</v>
      </c>
    </row>
    <row r="11" spans="1:54">
      <c r="A11" s="81"/>
      <c r="B11" s="599"/>
      <c r="C11" s="443">
        <v>5</v>
      </c>
      <c r="D11" s="435" t="s">
        <v>490</v>
      </c>
      <c r="E11" s="447">
        <v>5</v>
      </c>
      <c r="F11" s="447">
        <v>1500</v>
      </c>
      <c r="G11" s="447">
        <v>300</v>
      </c>
      <c r="H11" s="564"/>
      <c r="I11" s="447">
        <f>AVERAGE(P11,U11,Z11,AE11,AJ11,AO11,AT11)</f>
        <v>5</v>
      </c>
      <c r="J11" s="447">
        <f>AVERAGE(Q11,V11,AA11,AF11,AK11,AP11,AU11)</f>
        <v>1462.6285714285725</v>
      </c>
      <c r="K11" s="439">
        <f>AVERAGE(R11,W11,AB11,AG11,AL11,AQ11,AV11)</f>
        <v>292.52571428571446</v>
      </c>
      <c r="L11" s="564"/>
      <c r="M11" s="445">
        <f>RANK(K11, K$7:$K$21)</f>
        <v>1</v>
      </c>
      <c r="N11" s="559"/>
      <c r="O11" s="559"/>
      <c r="P11" s="443"/>
      <c r="Q11" s="447"/>
      <c r="R11" s="447"/>
      <c r="S11" s="436" t="e">
        <f t="shared" si="7"/>
        <v>#N/A</v>
      </c>
      <c r="T11" s="588"/>
      <c r="U11" s="443"/>
      <c r="V11" s="447"/>
      <c r="W11" s="447"/>
      <c r="X11" s="436" t="e">
        <f t="shared" si="8"/>
        <v>#N/A</v>
      </c>
      <c r="Y11" s="588"/>
      <c r="Z11" s="443">
        <v>5</v>
      </c>
      <c r="AA11" s="447">
        <v>1263.4285714285702</v>
      </c>
      <c r="AB11" s="447">
        <v>252.68571428571403</v>
      </c>
      <c r="AC11" s="436">
        <f t="shared" si="9"/>
        <v>1</v>
      </c>
      <c r="AD11" s="588"/>
      <c r="AE11" s="443">
        <v>5</v>
      </c>
      <c r="AF11" s="447">
        <v>1455.0000000000005</v>
      </c>
      <c r="AG11" s="447">
        <v>291.00000000000011</v>
      </c>
      <c r="AH11" s="436">
        <f t="shared" si="10"/>
        <v>1</v>
      </c>
      <c r="AI11" s="588"/>
      <c r="AJ11" s="443">
        <v>5</v>
      </c>
      <c r="AK11" s="447">
        <v>1554.0000000000025</v>
      </c>
      <c r="AL11" s="447">
        <v>310.80000000000052</v>
      </c>
      <c r="AM11" s="436">
        <f t="shared" si="11"/>
        <v>1</v>
      </c>
      <c r="AN11" s="588"/>
      <c r="AO11" s="443">
        <v>5</v>
      </c>
      <c r="AP11" s="447">
        <v>1583.5714285714298</v>
      </c>
      <c r="AQ11" s="447">
        <v>316.71428571428595</v>
      </c>
      <c r="AR11" s="436">
        <f t="shared" si="12"/>
        <v>1</v>
      </c>
      <c r="AS11" s="588"/>
      <c r="AT11" s="443">
        <v>5</v>
      </c>
      <c r="AU11" s="447">
        <v>1457.1428571428582</v>
      </c>
      <c r="AV11" s="447">
        <v>291.42857142857167</v>
      </c>
      <c r="AW11" s="436">
        <f t="shared" si="13"/>
        <v>1</v>
      </c>
      <c r="AX11" s="588"/>
      <c r="AZ11" s="314" t="e">
        <f>RANK(AX11, $K$7:AX$21)</f>
        <v>#N/A</v>
      </c>
      <c r="BB11" s="311" t="e">
        <f t="shared" si="14"/>
        <v>#N/A</v>
      </c>
    </row>
    <row r="12" spans="1:54">
      <c r="A12" s="81"/>
      <c r="B12" s="599"/>
      <c r="C12" s="443">
        <v>6</v>
      </c>
      <c r="D12" s="435" t="s">
        <v>558</v>
      </c>
      <c r="E12" s="447">
        <v>15</v>
      </c>
      <c r="F12" s="447">
        <v>1200</v>
      </c>
      <c r="G12" s="447">
        <v>80</v>
      </c>
      <c r="H12" s="564"/>
      <c r="I12" s="447">
        <f t="shared" ref="I12:K13" si="15">AVERAGE(P12,U12,Z12,AE12,AJ12,AO12,AT12)</f>
        <v>10.4</v>
      </c>
      <c r="J12" s="447">
        <f t="shared" si="15"/>
        <v>1152.8000000000015</v>
      </c>
      <c r="K12" s="439">
        <f t="shared" si="15"/>
        <v>111.88000000000015</v>
      </c>
      <c r="L12" s="564"/>
      <c r="M12" s="445">
        <f>RANK(K12, K$7:$K$21)</f>
        <v>6</v>
      </c>
      <c r="N12" s="559"/>
      <c r="O12" s="559"/>
      <c r="P12" s="443"/>
      <c r="Q12" s="447"/>
      <c r="R12" s="447"/>
      <c r="S12" s="436" t="e">
        <f t="shared" si="7"/>
        <v>#N/A</v>
      </c>
      <c r="T12" s="588"/>
      <c r="U12" s="443"/>
      <c r="V12" s="447"/>
      <c r="W12" s="447"/>
      <c r="X12" s="436" t="e">
        <f t="shared" si="8"/>
        <v>#N/A</v>
      </c>
      <c r="Y12" s="588"/>
      <c r="Z12" s="443">
        <v>10</v>
      </c>
      <c r="AA12" s="447">
        <v>1251.9999999999977</v>
      </c>
      <c r="AB12" s="447">
        <v>125.19999999999978</v>
      </c>
      <c r="AC12" s="436">
        <f t="shared" si="9"/>
        <v>6</v>
      </c>
      <c r="AD12" s="588"/>
      <c r="AE12" s="443">
        <v>10</v>
      </c>
      <c r="AF12" s="447">
        <v>1188.0000000000043</v>
      </c>
      <c r="AG12" s="447">
        <v>118.80000000000044</v>
      </c>
      <c r="AH12" s="436">
        <f t="shared" si="10"/>
        <v>6</v>
      </c>
      <c r="AI12" s="588"/>
      <c r="AJ12" s="443">
        <v>12</v>
      </c>
      <c r="AK12" s="447">
        <v>1020.0000000000036</v>
      </c>
      <c r="AL12" s="447">
        <v>85.000000000000298</v>
      </c>
      <c r="AM12" s="436">
        <f t="shared" si="11"/>
        <v>6</v>
      </c>
      <c r="AN12" s="588"/>
      <c r="AO12" s="443">
        <v>10</v>
      </c>
      <c r="AP12" s="447">
        <v>1220.0000000000043</v>
      </c>
      <c r="AQ12" s="447">
        <v>122.00000000000043</v>
      </c>
      <c r="AR12" s="436">
        <f t="shared" si="12"/>
        <v>6</v>
      </c>
      <c r="AS12" s="588"/>
      <c r="AT12" s="443">
        <v>10</v>
      </c>
      <c r="AU12" s="447">
        <v>1083.9999999999982</v>
      </c>
      <c r="AV12" s="447">
        <v>108.39999999999982</v>
      </c>
      <c r="AW12" s="436">
        <f t="shared" si="13"/>
        <v>6</v>
      </c>
      <c r="AX12" s="588"/>
      <c r="AZ12" s="314" t="e">
        <f>RANK(AX12, $K$7:AX$21)</f>
        <v>#N/A</v>
      </c>
      <c r="BB12" s="311" t="e">
        <f t="shared" si="14"/>
        <v>#N/A</v>
      </c>
    </row>
    <row r="13" spans="1:54">
      <c r="A13" s="81"/>
      <c r="B13" s="599"/>
      <c r="C13" s="443">
        <v>7</v>
      </c>
      <c r="D13" s="435" t="s">
        <v>631</v>
      </c>
      <c r="E13" s="447">
        <v>13</v>
      </c>
      <c r="F13" s="447">
        <v>1300</v>
      </c>
      <c r="G13" s="447">
        <v>100</v>
      </c>
      <c r="H13" s="564"/>
      <c r="I13" s="447">
        <f t="shared" si="15"/>
        <v>15</v>
      </c>
      <c r="J13" s="447">
        <f t="shared" si="15"/>
        <v>1188.5021645022057</v>
      </c>
      <c r="K13" s="439">
        <f t="shared" si="15"/>
        <v>78.966810966810982</v>
      </c>
      <c r="L13" s="564"/>
      <c r="M13" s="445">
        <f>RANK(K13, K$7:$K$21)</f>
        <v>7</v>
      </c>
      <c r="N13" s="559"/>
      <c r="O13" s="559"/>
      <c r="P13" s="443"/>
      <c r="Q13" s="447"/>
      <c r="R13" s="447"/>
      <c r="S13" s="436" t="e">
        <f t="shared" si="7"/>
        <v>#N/A</v>
      </c>
      <c r="T13" s="588"/>
      <c r="U13" s="443"/>
      <c r="V13" s="447"/>
      <c r="W13" s="447"/>
      <c r="X13" s="436" t="e">
        <f t="shared" si="8"/>
        <v>#N/A</v>
      </c>
      <c r="Y13" s="588"/>
      <c r="Z13" s="443">
        <v>15</v>
      </c>
      <c r="AA13" s="447">
        <v>1232.5714285714303</v>
      </c>
      <c r="AB13" s="447">
        <v>82.171428571428677</v>
      </c>
      <c r="AC13" s="436">
        <f t="shared" si="9"/>
        <v>7</v>
      </c>
      <c r="AD13" s="588"/>
      <c r="AE13" s="443">
        <v>15</v>
      </c>
      <c r="AF13" s="447">
        <v>1171.9999999999995</v>
      </c>
      <c r="AG13" s="447">
        <v>78.133333333333297</v>
      </c>
      <c r="AH13" s="436">
        <f t="shared" si="10"/>
        <v>7</v>
      </c>
      <c r="AI13" s="588"/>
      <c r="AJ13" s="443">
        <v>15</v>
      </c>
      <c r="AK13" s="447">
        <v>1142.66666666687</v>
      </c>
      <c r="AL13" s="447">
        <v>76.177777777777777</v>
      </c>
      <c r="AM13" s="436">
        <f t="shared" si="11"/>
        <v>7</v>
      </c>
      <c r="AN13" s="588"/>
      <c r="AO13" s="443">
        <v>15</v>
      </c>
      <c r="AP13" s="447">
        <v>1207.9999999999993</v>
      </c>
      <c r="AQ13" s="447">
        <v>80.533333333333289</v>
      </c>
      <c r="AR13" s="436">
        <f t="shared" si="12"/>
        <v>7</v>
      </c>
      <c r="AS13" s="588"/>
      <c r="AT13" s="443">
        <v>15</v>
      </c>
      <c r="AU13" s="447">
        <v>1187.27272727273</v>
      </c>
      <c r="AV13" s="447">
        <v>77.818181818181856</v>
      </c>
      <c r="AW13" s="436">
        <f t="shared" si="13"/>
        <v>7</v>
      </c>
      <c r="AX13" s="588"/>
      <c r="AZ13" s="314" t="e">
        <f>RANK(AX13, $K$7:AX$21)</f>
        <v>#N/A</v>
      </c>
      <c r="BB13" s="311" t="e">
        <f t="shared" si="14"/>
        <v>#N/A</v>
      </c>
    </row>
    <row r="14" spans="1:54">
      <c r="A14" s="81"/>
      <c r="B14" s="599"/>
      <c r="C14" s="443">
        <v>8</v>
      </c>
      <c r="D14" s="306"/>
      <c r="E14" s="447" t="s">
        <v>561</v>
      </c>
      <c r="F14" s="447" t="s">
        <v>561</v>
      </c>
      <c r="G14" s="447" t="s">
        <v>561</v>
      </c>
      <c r="H14" s="564"/>
      <c r="I14" s="447"/>
      <c r="J14" s="447"/>
      <c r="K14" s="439"/>
      <c r="L14" s="564"/>
      <c r="M14" s="445" t="e">
        <f>RANK(K14, K$7:$K$21)</f>
        <v>#N/A</v>
      </c>
      <c r="N14" s="559"/>
      <c r="O14" s="559"/>
      <c r="P14" s="443"/>
      <c r="Q14" s="447"/>
      <c r="R14" s="447"/>
      <c r="S14" s="436" t="e">
        <f t="shared" si="7"/>
        <v>#N/A</v>
      </c>
      <c r="T14" s="588"/>
      <c r="U14" s="443"/>
      <c r="V14" s="447"/>
      <c r="W14" s="447"/>
      <c r="X14" s="436" t="e">
        <f t="shared" si="8"/>
        <v>#N/A</v>
      </c>
      <c r="Y14" s="588"/>
      <c r="Z14" s="443"/>
      <c r="AA14" s="447"/>
      <c r="AB14" s="447"/>
      <c r="AC14" s="436" t="e">
        <f t="shared" si="9"/>
        <v>#N/A</v>
      </c>
      <c r="AD14" s="588"/>
      <c r="AE14" s="443"/>
      <c r="AF14" s="447"/>
      <c r="AG14" s="447"/>
      <c r="AH14" s="436" t="e">
        <f t="shared" si="10"/>
        <v>#N/A</v>
      </c>
      <c r="AI14" s="588"/>
      <c r="AJ14" s="443"/>
      <c r="AK14" s="447"/>
      <c r="AL14" s="447"/>
      <c r="AM14" s="436" t="e">
        <f t="shared" si="11"/>
        <v>#N/A</v>
      </c>
      <c r="AN14" s="588"/>
      <c r="AO14" s="443"/>
      <c r="AP14" s="447"/>
      <c r="AQ14" s="447"/>
      <c r="AR14" s="436" t="e">
        <f t="shared" si="12"/>
        <v>#N/A</v>
      </c>
      <c r="AS14" s="588"/>
      <c r="AT14" s="443"/>
      <c r="AU14" s="447"/>
      <c r="AV14" s="447"/>
      <c r="AW14" s="436" t="e">
        <f t="shared" si="13"/>
        <v>#N/A</v>
      </c>
      <c r="AX14" s="588"/>
      <c r="AZ14" s="314" t="e">
        <f>RANK(AX14, $K$7:AX$21)</f>
        <v>#N/A</v>
      </c>
      <c r="BB14" s="311" t="e">
        <f t="shared" si="14"/>
        <v>#N/A</v>
      </c>
    </row>
    <row r="15" spans="1:54">
      <c r="A15" s="81"/>
      <c r="B15" s="599"/>
      <c r="C15" s="443">
        <v>9</v>
      </c>
      <c r="D15" s="435"/>
      <c r="E15" s="447" t="s">
        <v>561</v>
      </c>
      <c r="F15" s="447" t="s">
        <v>561</v>
      </c>
      <c r="G15" s="447" t="s">
        <v>561</v>
      </c>
      <c r="H15" s="564"/>
      <c r="I15" s="447"/>
      <c r="J15" s="447"/>
      <c r="K15" s="439"/>
      <c r="L15" s="564"/>
      <c r="M15" s="445" t="e">
        <f>RANK(K15, K$7:$K$21)</f>
        <v>#N/A</v>
      </c>
      <c r="N15" s="559"/>
      <c r="O15" s="559"/>
      <c r="P15" s="443"/>
      <c r="Q15" s="447"/>
      <c r="R15" s="447"/>
      <c r="S15" s="436" t="e">
        <f t="shared" si="7"/>
        <v>#N/A</v>
      </c>
      <c r="T15" s="588"/>
      <c r="U15" s="443"/>
      <c r="V15" s="447"/>
      <c r="W15" s="447"/>
      <c r="X15" s="436" t="e">
        <f t="shared" si="8"/>
        <v>#N/A</v>
      </c>
      <c r="Y15" s="588"/>
      <c r="Z15" s="443"/>
      <c r="AA15" s="447"/>
      <c r="AB15" s="447"/>
      <c r="AC15" s="436" t="e">
        <f t="shared" si="9"/>
        <v>#N/A</v>
      </c>
      <c r="AD15" s="588"/>
      <c r="AE15" s="443"/>
      <c r="AF15" s="447"/>
      <c r="AG15" s="447"/>
      <c r="AH15" s="436" t="e">
        <f t="shared" si="10"/>
        <v>#N/A</v>
      </c>
      <c r="AI15" s="588"/>
      <c r="AJ15" s="443"/>
      <c r="AK15" s="447"/>
      <c r="AL15" s="447"/>
      <c r="AM15" s="436" t="e">
        <f t="shared" si="11"/>
        <v>#N/A</v>
      </c>
      <c r="AN15" s="588"/>
      <c r="AO15" s="443"/>
      <c r="AP15" s="447"/>
      <c r="AQ15" s="447"/>
      <c r="AR15" s="436" t="e">
        <f t="shared" si="12"/>
        <v>#N/A</v>
      </c>
      <c r="AS15" s="588"/>
      <c r="AT15" s="443"/>
      <c r="AU15" s="447"/>
      <c r="AV15" s="447"/>
      <c r="AW15" s="436" t="e">
        <f t="shared" si="13"/>
        <v>#N/A</v>
      </c>
      <c r="AX15" s="588"/>
      <c r="AZ15" s="314" t="e">
        <f>RANK(AX15, $K$7:AX$21)</f>
        <v>#N/A</v>
      </c>
      <c r="BB15" s="311" t="e">
        <f t="shared" si="14"/>
        <v>#N/A</v>
      </c>
    </row>
    <row r="16" spans="1:54">
      <c r="A16" s="81"/>
      <c r="B16" s="599"/>
      <c r="C16" s="443">
        <v>10</v>
      </c>
      <c r="D16" s="435"/>
      <c r="E16" s="447" t="s">
        <v>561</v>
      </c>
      <c r="F16" s="447" t="s">
        <v>561</v>
      </c>
      <c r="G16" s="447" t="s">
        <v>561</v>
      </c>
      <c r="H16" s="564"/>
      <c r="I16" s="447"/>
      <c r="J16" s="447"/>
      <c r="K16" s="439"/>
      <c r="L16" s="564"/>
      <c r="M16" s="445" t="e">
        <f>RANK(K16, K$7:$K$21)</f>
        <v>#N/A</v>
      </c>
      <c r="N16" s="559"/>
      <c r="O16" s="559"/>
      <c r="P16" s="443"/>
      <c r="Q16" s="447"/>
      <c r="R16" s="447"/>
      <c r="S16" s="436" t="e">
        <f t="shared" si="7"/>
        <v>#N/A</v>
      </c>
      <c r="T16" s="588"/>
      <c r="U16" s="443"/>
      <c r="V16" s="447"/>
      <c r="W16" s="447"/>
      <c r="X16" s="436" t="e">
        <f t="shared" si="8"/>
        <v>#N/A</v>
      </c>
      <c r="Y16" s="588"/>
      <c r="Z16" s="443"/>
      <c r="AA16" s="447"/>
      <c r="AB16" s="447"/>
      <c r="AC16" s="436" t="e">
        <f t="shared" si="9"/>
        <v>#N/A</v>
      </c>
      <c r="AD16" s="588"/>
      <c r="AE16" s="443"/>
      <c r="AF16" s="447"/>
      <c r="AG16" s="447"/>
      <c r="AH16" s="436" t="e">
        <f t="shared" si="10"/>
        <v>#N/A</v>
      </c>
      <c r="AI16" s="588"/>
      <c r="AJ16" s="443"/>
      <c r="AK16" s="447"/>
      <c r="AL16" s="447"/>
      <c r="AM16" s="436" t="e">
        <f t="shared" si="11"/>
        <v>#N/A</v>
      </c>
      <c r="AN16" s="588"/>
      <c r="AO16" s="443"/>
      <c r="AP16" s="447"/>
      <c r="AQ16" s="447"/>
      <c r="AR16" s="436" t="e">
        <f t="shared" si="12"/>
        <v>#N/A</v>
      </c>
      <c r="AS16" s="588"/>
      <c r="AT16" s="443"/>
      <c r="AU16" s="447"/>
      <c r="AV16" s="447"/>
      <c r="AW16" s="436" t="e">
        <f t="shared" si="13"/>
        <v>#N/A</v>
      </c>
      <c r="AX16" s="588"/>
      <c r="AZ16" s="314" t="e">
        <f>RANK(AX16, $K$7:AX$21)</f>
        <v>#N/A</v>
      </c>
      <c r="BB16" s="311" t="e">
        <f t="shared" si="14"/>
        <v>#N/A</v>
      </c>
    </row>
    <row r="17" spans="2:54">
      <c r="B17" s="599"/>
      <c r="C17" s="443">
        <v>11</v>
      </c>
      <c r="D17" s="435"/>
      <c r="E17" s="447" t="s">
        <v>561</v>
      </c>
      <c r="F17" s="447" t="s">
        <v>561</v>
      </c>
      <c r="G17" s="447" t="s">
        <v>561</v>
      </c>
      <c r="H17" s="564"/>
      <c r="I17" s="443"/>
      <c r="J17" s="443"/>
      <c r="K17" s="443"/>
      <c r="L17" s="564"/>
      <c r="M17" s="445" t="e">
        <f>RANK(K17, K$7:$K$21)</f>
        <v>#N/A</v>
      </c>
      <c r="N17" s="559"/>
      <c r="O17" s="559"/>
      <c r="P17" s="443"/>
      <c r="Q17" s="447"/>
      <c r="R17" s="447"/>
      <c r="S17" s="436" t="e">
        <f t="shared" si="7"/>
        <v>#N/A</v>
      </c>
      <c r="T17" s="588"/>
      <c r="U17" s="443"/>
      <c r="V17" s="447"/>
      <c r="W17" s="447"/>
      <c r="X17" s="436" t="e">
        <f t="shared" si="8"/>
        <v>#N/A</v>
      </c>
      <c r="Y17" s="588"/>
      <c r="Z17" s="443"/>
      <c r="AA17" s="447"/>
      <c r="AB17" s="447"/>
      <c r="AC17" s="436" t="e">
        <f t="shared" si="9"/>
        <v>#N/A</v>
      </c>
      <c r="AD17" s="588"/>
      <c r="AE17" s="443"/>
      <c r="AF17" s="447"/>
      <c r="AG17" s="447"/>
      <c r="AH17" s="436" t="e">
        <f t="shared" si="10"/>
        <v>#N/A</v>
      </c>
      <c r="AI17" s="588"/>
      <c r="AJ17" s="443"/>
      <c r="AK17" s="447"/>
      <c r="AL17" s="447"/>
      <c r="AM17" s="436" t="e">
        <f t="shared" si="11"/>
        <v>#N/A</v>
      </c>
      <c r="AN17" s="588"/>
      <c r="AO17" s="443"/>
      <c r="AP17" s="447"/>
      <c r="AQ17" s="447"/>
      <c r="AR17" s="436" t="e">
        <f t="shared" si="12"/>
        <v>#N/A</v>
      </c>
      <c r="AS17" s="588"/>
      <c r="AT17" s="443"/>
      <c r="AU17" s="447"/>
      <c r="AV17" s="447"/>
      <c r="AW17" s="436" t="e">
        <f t="shared" si="13"/>
        <v>#N/A</v>
      </c>
      <c r="AX17" s="588"/>
      <c r="AZ17" s="314" t="e">
        <f>RANK(AX17, $K$7:AX$21)</f>
        <v>#N/A</v>
      </c>
      <c r="BB17" s="311" t="e">
        <f t="shared" si="14"/>
        <v>#N/A</v>
      </c>
    </row>
    <row r="18" spans="2:54">
      <c r="B18" s="599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564"/>
      <c r="I18" s="443"/>
      <c r="J18" s="443"/>
      <c r="K18" s="443"/>
      <c r="L18" s="564"/>
      <c r="M18" s="445" t="e">
        <f>RANK(K18, K$7:$K$21)</f>
        <v>#N/A</v>
      </c>
      <c r="N18" s="559"/>
      <c r="O18" s="559"/>
      <c r="P18" s="443"/>
      <c r="Q18" s="447"/>
      <c r="R18" s="447"/>
      <c r="S18" s="436" t="e">
        <f t="shared" si="7"/>
        <v>#N/A</v>
      </c>
      <c r="T18" s="588"/>
      <c r="U18" s="443"/>
      <c r="V18" s="447"/>
      <c r="W18" s="447"/>
      <c r="X18" s="436" t="e">
        <f t="shared" si="8"/>
        <v>#N/A</v>
      </c>
      <c r="Y18" s="588"/>
      <c r="Z18" s="443"/>
      <c r="AA18" s="447"/>
      <c r="AB18" s="447"/>
      <c r="AC18" s="436" t="e">
        <f t="shared" si="9"/>
        <v>#N/A</v>
      </c>
      <c r="AD18" s="588"/>
      <c r="AE18" s="443"/>
      <c r="AF18" s="447"/>
      <c r="AG18" s="447"/>
      <c r="AH18" s="436" t="e">
        <f t="shared" si="10"/>
        <v>#N/A</v>
      </c>
      <c r="AI18" s="588"/>
      <c r="AJ18" s="443"/>
      <c r="AK18" s="447"/>
      <c r="AL18" s="447"/>
      <c r="AM18" s="436" t="e">
        <f t="shared" si="11"/>
        <v>#N/A</v>
      </c>
      <c r="AN18" s="588"/>
      <c r="AO18" s="443"/>
      <c r="AP18" s="447"/>
      <c r="AQ18" s="447"/>
      <c r="AR18" s="436" t="e">
        <f t="shared" si="12"/>
        <v>#N/A</v>
      </c>
      <c r="AS18" s="588"/>
      <c r="AT18" s="443"/>
      <c r="AU18" s="447"/>
      <c r="AV18" s="447"/>
      <c r="AW18" s="436" t="e">
        <f t="shared" si="13"/>
        <v>#N/A</v>
      </c>
      <c r="AX18" s="588"/>
      <c r="AZ18" s="314" t="e">
        <f>RANK(AX18, $K$7:AX$21)</f>
        <v>#N/A</v>
      </c>
      <c r="BB18" s="311" t="e">
        <f t="shared" si="14"/>
        <v>#N/A</v>
      </c>
    </row>
    <row r="19" spans="2:54">
      <c r="B19" s="599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564"/>
      <c r="I19" s="443"/>
      <c r="J19" s="443"/>
      <c r="K19" s="443"/>
      <c r="L19" s="564"/>
      <c r="M19" s="445" t="e">
        <f>RANK(K19, K$7:$K$21)</f>
        <v>#N/A</v>
      </c>
      <c r="N19" s="559"/>
      <c r="O19" s="559"/>
      <c r="P19" s="443"/>
      <c r="Q19" s="447"/>
      <c r="R19" s="447"/>
      <c r="S19" s="436" t="e">
        <f t="shared" si="7"/>
        <v>#N/A</v>
      </c>
      <c r="T19" s="588"/>
      <c r="U19" s="443"/>
      <c r="V19" s="447"/>
      <c r="W19" s="447"/>
      <c r="X19" s="436" t="e">
        <f t="shared" si="8"/>
        <v>#N/A</v>
      </c>
      <c r="Y19" s="588"/>
      <c r="Z19" s="443"/>
      <c r="AA19" s="447"/>
      <c r="AB19" s="447"/>
      <c r="AC19" s="436" t="e">
        <f t="shared" si="9"/>
        <v>#N/A</v>
      </c>
      <c r="AD19" s="588"/>
      <c r="AE19" s="443"/>
      <c r="AF19" s="447"/>
      <c r="AG19" s="447"/>
      <c r="AH19" s="436" t="e">
        <f t="shared" si="10"/>
        <v>#N/A</v>
      </c>
      <c r="AI19" s="588"/>
      <c r="AJ19" s="443"/>
      <c r="AK19" s="447"/>
      <c r="AL19" s="447"/>
      <c r="AM19" s="436" t="e">
        <f t="shared" si="11"/>
        <v>#N/A</v>
      </c>
      <c r="AN19" s="588"/>
      <c r="AO19" s="443"/>
      <c r="AP19" s="447"/>
      <c r="AQ19" s="447"/>
      <c r="AR19" s="436" t="e">
        <f t="shared" si="12"/>
        <v>#N/A</v>
      </c>
      <c r="AS19" s="588"/>
      <c r="AT19" s="443"/>
      <c r="AU19" s="447"/>
      <c r="AV19" s="447"/>
      <c r="AW19" s="436" t="e">
        <f t="shared" si="13"/>
        <v>#N/A</v>
      </c>
      <c r="AX19" s="588"/>
      <c r="AZ19" s="314" t="e">
        <f>RANK(AX19, $K$7:AX$21)</f>
        <v>#N/A</v>
      </c>
      <c r="BB19" s="311" t="e">
        <f t="shared" si="14"/>
        <v>#N/A</v>
      </c>
    </row>
    <row r="20" spans="2:54">
      <c r="B20" s="599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564"/>
      <c r="I20" s="443"/>
      <c r="J20" s="443"/>
      <c r="K20" s="443"/>
      <c r="L20" s="564"/>
      <c r="M20" s="445" t="e">
        <f>RANK(K20, K$7:$K$21)</f>
        <v>#N/A</v>
      </c>
      <c r="N20" s="559"/>
      <c r="O20" s="559"/>
      <c r="P20" s="443"/>
      <c r="Q20" s="447"/>
      <c r="R20" s="447"/>
      <c r="S20" s="436" t="e">
        <f t="shared" si="7"/>
        <v>#N/A</v>
      </c>
      <c r="T20" s="588"/>
      <c r="U20" s="443"/>
      <c r="V20" s="447"/>
      <c r="W20" s="447"/>
      <c r="X20" s="436" t="e">
        <f t="shared" si="8"/>
        <v>#N/A</v>
      </c>
      <c r="Y20" s="588"/>
      <c r="Z20" s="443"/>
      <c r="AA20" s="447"/>
      <c r="AB20" s="447"/>
      <c r="AC20" s="436" t="e">
        <f t="shared" si="9"/>
        <v>#N/A</v>
      </c>
      <c r="AD20" s="588"/>
      <c r="AE20" s="443"/>
      <c r="AF20" s="447"/>
      <c r="AG20" s="447"/>
      <c r="AH20" s="436" t="e">
        <f t="shared" si="10"/>
        <v>#N/A</v>
      </c>
      <c r="AI20" s="588"/>
      <c r="AJ20" s="443"/>
      <c r="AK20" s="447"/>
      <c r="AL20" s="447"/>
      <c r="AM20" s="436" t="e">
        <f t="shared" si="11"/>
        <v>#N/A</v>
      </c>
      <c r="AN20" s="588"/>
      <c r="AO20" s="443"/>
      <c r="AP20" s="447"/>
      <c r="AQ20" s="447"/>
      <c r="AR20" s="436" t="e">
        <f t="shared" si="12"/>
        <v>#N/A</v>
      </c>
      <c r="AS20" s="588"/>
      <c r="AT20" s="443"/>
      <c r="AU20" s="447"/>
      <c r="AV20" s="447"/>
      <c r="AW20" s="436" t="e">
        <f t="shared" si="13"/>
        <v>#N/A</v>
      </c>
      <c r="AX20" s="588"/>
      <c r="AZ20" s="314" t="e">
        <f>RANK(AX20, $K$7:AX$21)</f>
        <v>#N/A</v>
      </c>
      <c r="BB20" s="311" t="e">
        <f t="shared" si="14"/>
        <v>#N/A</v>
      </c>
    </row>
    <row r="21" spans="2:54">
      <c r="B21" s="599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16"/>
      <c r="I21" s="443"/>
      <c r="J21" s="443"/>
      <c r="K21" s="443"/>
      <c r="L21" s="616"/>
      <c r="M21" s="445" t="e">
        <f>RANK(K21, K$7:$K$21)</f>
        <v>#N/A</v>
      </c>
      <c r="N21" s="559"/>
      <c r="O21" s="559"/>
      <c r="P21" s="443"/>
      <c r="Q21" s="447"/>
      <c r="R21" s="447"/>
      <c r="S21" s="436" t="e">
        <f t="shared" si="7"/>
        <v>#N/A</v>
      </c>
      <c r="T21" s="588"/>
      <c r="U21" s="443"/>
      <c r="V21" s="447"/>
      <c r="W21" s="447"/>
      <c r="X21" s="436" t="e">
        <f t="shared" si="8"/>
        <v>#N/A</v>
      </c>
      <c r="Y21" s="588"/>
      <c r="Z21" s="443"/>
      <c r="AA21" s="447"/>
      <c r="AB21" s="447"/>
      <c r="AC21" s="436" t="e">
        <f t="shared" si="9"/>
        <v>#N/A</v>
      </c>
      <c r="AD21" s="588"/>
      <c r="AE21" s="443"/>
      <c r="AF21" s="447"/>
      <c r="AG21" s="447"/>
      <c r="AH21" s="436" t="e">
        <f t="shared" si="10"/>
        <v>#N/A</v>
      </c>
      <c r="AI21" s="588"/>
      <c r="AJ21" s="443"/>
      <c r="AK21" s="447"/>
      <c r="AL21" s="447"/>
      <c r="AM21" s="436" t="e">
        <f t="shared" si="11"/>
        <v>#N/A</v>
      </c>
      <c r="AN21" s="588"/>
      <c r="AO21" s="443"/>
      <c r="AP21" s="447"/>
      <c r="AQ21" s="447"/>
      <c r="AR21" s="436" t="e">
        <f t="shared" si="12"/>
        <v>#N/A</v>
      </c>
      <c r="AS21" s="588"/>
      <c r="AT21" s="443"/>
      <c r="AU21" s="447"/>
      <c r="AV21" s="447"/>
      <c r="AW21" s="436" t="e">
        <f t="shared" si="13"/>
        <v>#N/A</v>
      </c>
      <c r="AX21" s="588"/>
      <c r="AZ21" s="313" t="e">
        <f>RANK(AX21, $K$7:AX$21)</f>
        <v>#N/A</v>
      </c>
      <c r="BB21" s="311" t="e">
        <f t="shared" si="14"/>
        <v>#N/A</v>
      </c>
    </row>
    <row r="22" spans="2:54" ht="15.75">
      <c r="B22" s="592" t="s">
        <v>731</v>
      </c>
      <c r="C22" s="593"/>
      <c r="D22" s="593"/>
      <c r="E22" s="593"/>
      <c r="F22" s="593"/>
      <c r="G22" s="593"/>
      <c r="H22" s="593"/>
      <c r="I22" s="203"/>
      <c r="J22" s="203"/>
      <c r="K22" s="203"/>
      <c r="L22" s="203"/>
      <c r="M22" s="204"/>
      <c r="N22" s="565" t="s">
        <v>732</v>
      </c>
      <c r="O22" s="565" t="s">
        <v>733</v>
      </c>
      <c r="P22" s="614">
        <f>AT2+1</f>
        <v>6</v>
      </c>
      <c r="Q22" s="615"/>
      <c r="R22" s="615"/>
      <c r="S22" s="615"/>
      <c r="T22" s="615"/>
      <c r="U22" s="571">
        <f>P22+1</f>
        <v>7</v>
      </c>
      <c r="V22" s="572"/>
      <c r="W22" s="572"/>
      <c r="X22" s="572"/>
      <c r="Y22" s="572"/>
      <c r="Z22" s="571">
        <f>U22+1</f>
        <v>8</v>
      </c>
      <c r="AA22" s="572"/>
      <c r="AB22" s="572"/>
      <c r="AC22" s="572"/>
      <c r="AD22" s="572"/>
      <c r="AE22" s="571">
        <f>Z22+1</f>
        <v>9</v>
      </c>
      <c r="AF22" s="572"/>
      <c r="AG22" s="572"/>
      <c r="AH22" s="572"/>
      <c r="AI22" s="572"/>
      <c r="AJ22" s="571">
        <f>AE22+1</f>
        <v>10</v>
      </c>
      <c r="AK22" s="572"/>
      <c r="AL22" s="572"/>
      <c r="AM22" s="572"/>
      <c r="AN22" s="572"/>
      <c r="AO22" s="571">
        <f>AJ22+1</f>
        <v>11</v>
      </c>
      <c r="AP22" s="572"/>
      <c r="AQ22" s="572"/>
      <c r="AR22" s="572"/>
      <c r="AS22" s="572"/>
      <c r="AT22" s="571">
        <f>AO22+1</f>
        <v>12</v>
      </c>
      <c r="AU22" s="572"/>
      <c r="AV22" s="572"/>
      <c r="AW22" s="572"/>
      <c r="AX22" s="572"/>
    </row>
    <row r="23" spans="2:54" ht="15.75">
      <c r="B23" s="579"/>
      <c r="C23" s="579"/>
      <c r="D23" s="579"/>
      <c r="E23" s="579"/>
      <c r="F23" s="579"/>
      <c r="G23" s="579"/>
      <c r="H23" s="579"/>
      <c r="I23" s="205"/>
      <c r="J23" s="205"/>
      <c r="K23" s="205"/>
      <c r="L23" s="205"/>
      <c r="M23" s="206"/>
      <c r="N23" s="567"/>
      <c r="O23" s="567"/>
      <c r="P23" s="571" t="s">
        <v>734</v>
      </c>
      <c r="Q23" s="572"/>
      <c r="R23" s="572"/>
      <c r="S23" s="572"/>
      <c r="T23" s="572"/>
      <c r="U23" s="571" t="s">
        <v>735</v>
      </c>
      <c r="V23" s="572"/>
      <c r="W23" s="572"/>
      <c r="X23" s="572"/>
      <c r="Y23" s="572"/>
      <c r="Z23" s="571" t="s">
        <v>736</v>
      </c>
      <c r="AA23" s="572"/>
      <c r="AB23" s="572"/>
      <c r="AC23" s="572"/>
      <c r="AD23" s="572"/>
      <c r="AE23" s="571" t="s">
        <v>737</v>
      </c>
      <c r="AF23" s="572"/>
      <c r="AG23" s="572"/>
      <c r="AH23" s="572"/>
      <c r="AI23" s="572"/>
      <c r="AJ23" s="571" t="s">
        <v>738</v>
      </c>
      <c r="AK23" s="572"/>
      <c r="AL23" s="572"/>
      <c r="AM23" s="572"/>
      <c r="AN23" s="572"/>
      <c r="AO23" s="571" t="s">
        <v>739</v>
      </c>
      <c r="AP23" s="572"/>
      <c r="AQ23" s="572"/>
      <c r="AR23" s="572"/>
      <c r="AS23" s="572"/>
      <c r="AT23" s="571" t="s">
        <v>740</v>
      </c>
      <c r="AU23" s="572"/>
      <c r="AV23" s="572"/>
      <c r="AW23" s="572"/>
      <c r="AX23" s="572"/>
    </row>
    <row r="24" spans="2:54">
      <c r="B24" s="559" t="s">
        <v>741</v>
      </c>
      <c r="C24" s="559" t="s">
        <v>742</v>
      </c>
      <c r="D24" s="559"/>
      <c r="E24" s="559" t="s">
        <v>743</v>
      </c>
      <c r="F24" s="559"/>
      <c r="G24" s="559"/>
      <c r="H24" s="560" t="s">
        <v>744</v>
      </c>
      <c r="I24" s="543" t="s">
        <v>745</v>
      </c>
      <c r="J24" s="543"/>
      <c r="K24" s="543"/>
      <c r="L24" s="544" t="s">
        <v>744</v>
      </c>
      <c r="M24" s="550" t="s">
        <v>746</v>
      </c>
      <c r="N24" s="559"/>
      <c r="O24" s="559" t="s">
        <v>747</v>
      </c>
      <c r="P24" s="556" t="s">
        <v>748</v>
      </c>
      <c r="Q24" s="557"/>
      <c r="R24" s="557"/>
      <c r="S24" s="558"/>
      <c r="T24" s="559" t="s">
        <v>744</v>
      </c>
      <c r="U24" s="556" t="s">
        <v>748</v>
      </c>
      <c r="V24" s="557"/>
      <c r="W24" s="557"/>
      <c r="X24" s="558"/>
      <c r="Y24" s="559" t="s">
        <v>744</v>
      </c>
      <c r="Z24" s="556" t="s">
        <v>748</v>
      </c>
      <c r="AA24" s="557"/>
      <c r="AB24" s="557"/>
      <c r="AC24" s="558"/>
      <c r="AD24" s="559" t="s">
        <v>744</v>
      </c>
      <c r="AE24" s="556" t="s">
        <v>748</v>
      </c>
      <c r="AF24" s="557"/>
      <c r="AG24" s="557"/>
      <c r="AH24" s="558"/>
      <c r="AI24" s="559" t="s">
        <v>744</v>
      </c>
      <c r="AJ24" s="556" t="s">
        <v>748</v>
      </c>
      <c r="AK24" s="557"/>
      <c r="AL24" s="557"/>
      <c r="AM24" s="558"/>
      <c r="AN24" s="559" t="s">
        <v>744</v>
      </c>
      <c r="AO24" s="556" t="s">
        <v>748</v>
      </c>
      <c r="AP24" s="557"/>
      <c r="AQ24" s="557"/>
      <c r="AR24" s="558"/>
      <c r="AS24" s="559" t="s">
        <v>744</v>
      </c>
      <c r="AT24" s="556" t="s">
        <v>748</v>
      </c>
      <c r="AU24" s="557"/>
      <c r="AV24" s="557"/>
      <c r="AW24" s="558"/>
      <c r="AX24" s="559" t="s">
        <v>744</v>
      </c>
    </row>
    <row r="25" spans="2:54">
      <c r="B25" s="559"/>
      <c r="C25" s="559"/>
      <c r="D25" s="559"/>
      <c r="E25" s="559" t="s">
        <v>749</v>
      </c>
      <c r="F25" s="559"/>
      <c r="G25" s="559"/>
      <c r="H25" s="561"/>
      <c r="I25" s="543" t="s">
        <v>749</v>
      </c>
      <c r="J25" s="543"/>
      <c r="K25" s="543"/>
      <c r="L25" s="545"/>
      <c r="M25" s="551"/>
      <c r="N25" s="559"/>
      <c r="O25" s="559"/>
      <c r="P25" s="556" t="s">
        <v>750</v>
      </c>
      <c r="Q25" s="557"/>
      <c r="R25" s="557"/>
      <c r="S25" s="558"/>
      <c r="T25" s="559"/>
      <c r="U25" s="556" t="s">
        <v>750</v>
      </c>
      <c r="V25" s="557"/>
      <c r="W25" s="557"/>
      <c r="X25" s="558"/>
      <c r="Y25" s="559"/>
      <c r="Z25" s="556" t="s">
        <v>750</v>
      </c>
      <c r="AA25" s="557"/>
      <c r="AB25" s="557"/>
      <c r="AC25" s="558"/>
      <c r="AD25" s="559"/>
      <c r="AE25" s="556" t="s">
        <v>750</v>
      </c>
      <c r="AF25" s="557"/>
      <c r="AG25" s="557"/>
      <c r="AH25" s="558"/>
      <c r="AI25" s="559"/>
      <c r="AJ25" s="556" t="s">
        <v>750</v>
      </c>
      <c r="AK25" s="557"/>
      <c r="AL25" s="557"/>
      <c r="AM25" s="558"/>
      <c r="AN25" s="559"/>
      <c r="AO25" s="556" t="s">
        <v>750</v>
      </c>
      <c r="AP25" s="557"/>
      <c r="AQ25" s="557"/>
      <c r="AR25" s="558"/>
      <c r="AS25" s="559"/>
      <c r="AT25" s="556" t="s">
        <v>750</v>
      </c>
      <c r="AU25" s="557"/>
      <c r="AV25" s="557"/>
      <c r="AW25" s="558"/>
      <c r="AX25" s="559"/>
    </row>
    <row r="26" spans="2:54">
      <c r="B26" s="559"/>
      <c r="C26" s="559"/>
      <c r="D26" s="559"/>
      <c r="E26" s="440" t="s">
        <v>751</v>
      </c>
      <c r="F26" s="440" t="s">
        <v>752</v>
      </c>
      <c r="G26" s="440" t="s">
        <v>753</v>
      </c>
      <c r="H26" s="562"/>
      <c r="I26" s="444" t="s">
        <v>751</v>
      </c>
      <c r="J26" s="444" t="s">
        <v>752</v>
      </c>
      <c r="K26" s="444" t="s">
        <v>753</v>
      </c>
      <c r="L26" s="546"/>
      <c r="M26" s="552"/>
      <c r="N26" s="559"/>
      <c r="O26" s="559"/>
      <c r="P26" s="440" t="s">
        <v>751</v>
      </c>
      <c r="Q26" s="440" t="s">
        <v>752</v>
      </c>
      <c r="R26" s="440" t="s">
        <v>753</v>
      </c>
      <c r="S26" s="440" t="s">
        <v>746</v>
      </c>
      <c r="T26" s="559"/>
      <c r="U26" s="440" t="s">
        <v>751</v>
      </c>
      <c r="V26" s="440" t="s">
        <v>752</v>
      </c>
      <c r="W26" s="440" t="s">
        <v>753</v>
      </c>
      <c r="X26" s="440" t="s">
        <v>746</v>
      </c>
      <c r="Y26" s="559"/>
      <c r="Z26" s="440" t="s">
        <v>751</v>
      </c>
      <c r="AA26" s="440" t="s">
        <v>752</v>
      </c>
      <c r="AB26" s="440" t="s">
        <v>753</v>
      </c>
      <c r="AC26" s="440" t="s">
        <v>746</v>
      </c>
      <c r="AD26" s="559"/>
      <c r="AE26" s="440" t="s">
        <v>751</v>
      </c>
      <c r="AF26" s="440" t="s">
        <v>752</v>
      </c>
      <c r="AG26" s="440" t="s">
        <v>753</v>
      </c>
      <c r="AH26" s="440" t="s">
        <v>746</v>
      </c>
      <c r="AI26" s="559"/>
      <c r="AJ26" s="440" t="s">
        <v>751</v>
      </c>
      <c r="AK26" s="440" t="s">
        <v>752</v>
      </c>
      <c r="AL26" s="440" t="s">
        <v>753</v>
      </c>
      <c r="AM26" s="440" t="s">
        <v>746</v>
      </c>
      <c r="AN26" s="559"/>
      <c r="AO26" s="440" t="s">
        <v>751</v>
      </c>
      <c r="AP26" s="440" t="s">
        <v>752</v>
      </c>
      <c r="AQ26" s="440" t="s">
        <v>753</v>
      </c>
      <c r="AR26" s="440" t="s">
        <v>746</v>
      </c>
      <c r="AS26" s="559"/>
      <c r="AT26" s="440" t="s">
        <v>751</v>
      </c>
      <c r="AU26" s="440" t="s">
        <v>752</v>
      </c>
      <c r="AV26" s="440" t="s">
        <v>753</v>
      </c>
      <c r="AW26" s="440" t="s">
        <v>746</v>
      </c>
      <c r="AX26" s="559"/>
    </row>
    <row r="27" spans="2:54">
      <c r="B27" s="607" t="s">
        <v>783</v>
      </c>
      <c r="C27" s="436">
        <v>1</v>
      </c>
      <c r="D27" s="436" t="s">
        <v>368</v>
      </c>
      <c r="E27" s="182">
        <f>IFERROR(VLOOKUP($D27,[1]ST總表!$A$2:$D$999,2,0),"")</f>
        <v>10</v>
      </c>
      <c r="F27" s="182">
        <f>IFERROR(VLOOKUP($D27,[1]ST總表!$A$2:$D$999,3,0),"")</f>
        <v>1500</v>
      </c>
      <c r="G27" s="182">
        <f>IFERROR(VLOOKUP($D27,[1]ST總表!$A$2:$D$999,4,0),"")</f>
        <v>150</v>
      </c>
      <c r="H27" s="611">
        <f>AVERAGE(G27:G41)</f>
        <v>167.14285714285714</v>
      </c>
      <c r="I27" s="446">
        <f>AVERAGE(P27,U27,Z27,AE27,AJ27,AO27,AT27)</f>
        <v>10</v>
      </c>
      <c r="J27" s="446">
        <f>AVERAGE(Q27,V27,AA27,AF27,AK27,AP27,AU27)</f>
        <v>1464.1428571428555</v>
      </c>
      <c r="K27" s="438">
        <f>AVERAGE(R27,W27,AB27,AG27,AL27,AQ27,AV27)</f>
        <v>146.41428571428557</v>
      </c>
      <c r="L27" s="540">
        <f>AVERAGE(K27:K41)</f>
        <v>166.64819507598045</v>
      </c>
      <c r="M27" s="445">
        <f>RANK(K27, K$27:$K$41)</f>
        <v>4</v>
      </c>
      <c r="N27" s="559"/>
      <c r="O27" s="559"/>
      <c r="P27" s="436">
        <v>10</v>
      </c>
      <c r="Q27" s="182">
        <v>1382.4000000000003</v>
      </c>
      <c r="R27" s="182">
        <v>138.24000000000004</v>
      </c>
      <c r="S27" s="436">
        <f>RANK(R27, R$27:R$41)</f>
        <v>3</v>
      </c>
      <c r="T27" s="605">
        <f>AVERAGE(R27:R41)</f>
        <v>160.79806637806649</v>
      </c>
      <c r="U27" s="436">
        <v>10</v>
      </c>
      <c r="V27" s="182">
        <v>1480.8000000000004</v>
      </c>
      <c r="W27" s="182">
        <v>148.08000000000004</v>
      </c>
      <c r="X27" s="436">
        <f>RANK(W27, W$27:W$41)</f>
        <v>5</v>
      </c>
      <c r="Y27" s="605">
        <f>AVERAGE(W27:W41)</f>
        <v>175.17603487371963</v>
      </c>
      <c r="Z27" s="436">
        <v>10</v>
      </c>
      <c r="AA27" s="182">
        <v>1360.7999999999961</v>
      </c>
      <c r="AB27" s="182">
        <v>136.07999999999961</v>
      </c>
      <c r="AC27" s="436">
        <f>RANK(AB27, AB$27:AB$41)</f>
        <v>3</v>
      </c>
      <c r="AD27" s="605">
        <f>AVERAGE(AB27:AB41)</f>
        <v>158.07140589569164</v>
      </c>
      <c r="AE27" s="436">
        <v>10</v>
      </c>
      <c r="AF27" s="182">
        <v>1295.9999999999943</v>
      </c>
      <c r="AG27" s="182">
        <v>129.59999999999943</v>
      </c>
      <c r="AH27" s="436">
        <f>RANK(AG27, AG$27:AG$41)</f>
        <v>5</v>
      </c>
      <c r="AI27" s="605">
        <f>AVERAGE(AG27:AG41)</f>
        <v>164.13251700680277</v>
      </c>
      <c r="AJ27" s="436">
        <v>10</v>
      </c>
      <c r="AK27" s="182">
        <v>1528.0000000000055</v>
      </c>
      <c r="AL27" s="182">
        <v>152.80000000000055</v>
      </c>
      <c r="AM27" s="436">
        <f>RANK(AL27, AL$27:AL$41)</f>
        <v>4</v>
      </c>
      <c r="AN27" s="605">
        <f>AVERAGE(AL27:AL41)</f>
        <v>153.51660561660862</v>
      </c>
      <c r="AO27" s="436">
        <v>10</v>
      </c>
      <c r="AP27" s="182">
        <v>1661.9999999999993</v>
      </c>
      <c r="AQ27" s="182">
        <v>166.19999999999993</v>
      </c>
      <c r="AR27" s="436">
        <f>RANK(AQ27, AQ$27:AQ$41)</f>
        <v>3</v>
      </c>
      <c r="AS27" s="605">
        <f>AVERAGE(AQ27:AQ41)</f>
        <v>182.01420634920933</v>
      </c>
      <c r="AT27" s="436">
        <v>10</v>
      </c>
      <c r="AU27" s="182">
        <v>1538.9999999999932</v>
      </c>
      <c r="AV27" s="182">
        <v>153.89999999999932</v>
      </c>
      <c r="AW27" s="436">
        <f>RANK(AV27, AV$27:AV$41)</f>
        <v>3</v>
      </c>
      <c r="AX27" s="605">
        <f>AVERAGE(AV27:AV41)</f>
        <v>172.82852941176475</v>
      </c>
    </row>
    <row r="28" spans="2:54">
      <c r="B28" s="572"/>
      <c r="C28" s="436">
        <v>2</v>
      </c>
      <c r="D28" s="436" t="s">
        <v>369</v>
      </c>
      <c r="E28" s="182">
        <f>IFERROR(VLOOKUP($D28,[1]ST總表!$A$2:$D$999,2,0),"")</f>
        <v>15</v>
      </c>
      <c r="F28" s="182">
        <f>IFERROR(VLOOKUP($D28,[1]ST總表!$A$2:$D$999,3,0),"")</f>
        <v>1800</v>
      </c>
      <c r="G28" s="182">
        <f>IFERROR(VLOOKUP($D28,[1]ST總表!$A$2:$D$999,4,0),"")</f>
        <v>120</v>
      </c>
      <c r="H28" s="612"/>
      <c r="I28" s="446">
        <f t="shared" ref="I28:K33" si="16">AVERAGE(P28,U28,Z28,AE28,AJ28,AO28,AT28)</f>
        <v>12.571428571428571</v>
      </c>
      <c r="J28" s="446">
        <f t="shared" si="16"/>
        <v>1869.4285714285743</v>
      </c>
      <c r="K28" s="438">
        <f t="shared" si="16"/>
        <v>149.4591836734725</v>
      </c>
      <c r="L28" s="541"/>
      <c r="M28" s="445">
        <f>RANK(K28, K$27:$K$41)</f>
        <v>3</v>
      </c>
      <c r="N28" s="559"/>
      <c r="O28" s="559"/>
      <c r="P28" s="436">
        <v>14</v>
      </c>
      <c r="Q28" s="182">
        <v>1822.500000000003</v>
      </c>
      <c r="R28" s="182">
        <v>130.17857142857164</v>
      </c>
      <c r="S28" s="436">
        <f t="shared" ref="S28:S41" si="17">RANK(R28, R$27:R$41)</f>
        <v>5</v>
      </c>
      <c r="T28" s="605"/>
      <c r="U28" s="436">
        <v>12</v>
      </c>
      <c r="V28" s="182">
        <v>1935.000000000003</v>
      </c>
      <c r="W28" s="182">
        <v>161.25000000000026</v>
      </c>
      <c r="X28" s="436">
        <f t="shared" ref="X28:X41" si="18">RANK(W28, W$27:W$41)</f>
        <v>3</v>
      </c>
      <c r="Y28" s="605"/>
      <c r="Z28" s="436">
        <v>14</v>
      </c>
      <c r="AA28" s="182">
        <v>1897.500000000003</v>
      </c>
      <c r="AB28" s="182">
        <v>135.5357142857145</v>
      </c>
      <c r="AC28" s="436">
        <f t="shared" ref="AC28:AC41" si="19">RANK(AB28, AB$27:AB$41)</f>
        <v>4</v>
      </c>
      <c r="AD28" s="605"/>
      <c r="AE28" s="436">
        <v>12</v>
      </c>
      <c r="AF28" s="182">
        <v>1984.0000000000018</v>
      </c>
      <c r="AG28" s="182">
        <v>165.33333333333348</v>
      </c>
      <c r="AH28" s="436">
        <f t="shared" ref="AH28:AH41" si="20">RANK(AG28, AG$27:AG$41)</f>
        <v>3</v>
      </c>
      <c r="AI28" s="605"/>
      <c r="AJ28" s="436">
        <v>12</v>
      </c>
      <c r="AK28" s="182">
        <v>1838.0000000000016</v>
      </c>
      <c r="AL28" s="182">
        <v>153.16666666668701</v>
      </c>
      <c r="AM28" s="436">
        <f t="shared" ref="AM28:AM41" si="21">RANK(AL28, AL$27:AL$41)</f>
        <v>3</v>
      </c>
      <c r="AN28" s="605"/>
      <c r="AO28" s="436">
        <v>12</v>
      </c>
      <c r="AP28" s="182">
        <v>1840.500000000003</v>
      </c>
      <c r="AQ28" s="182">
        <v>153.37500000000026</v>
      </c>
      <c r="AR28" s="436">
        <f t="shared" ref="AR28:AR41" si="22">RANK(AQ28, AQ$27:AQ$41)</f>
        <v>4</v>
      </c>
      <c r="AS28" s="605"/>
      <c r="AT28" s="436">
        <v>12</v>
      </c>
      <c r="AU28" s="182">
        <v>1768.500000000003</v>
      </c>
      <c r="AV28" s="182">
        <v>147.37500000000026</v>
      </c>
      <c r="AW28" s="436">
        <f t="shared" ref="AW28:AW41" si="23">RANK(AV28, AV$27:AV$41)</f>
        <v>4</v>
      </c>
      <c r="AX28" s="605"/>
    </row>
    <row r="29" spans="2:54">
      <c r="B29" s="572"/>
      <c r="C29" s="436">
        <v>3</v>
      </c>
      <c r="D29" s="436" t="s">
        <v>370</v>
      </c>
      <c r="E29" s="182">
        <f>IFERROR(VLOOKUP($D29,[1]ST總表!$A$2:$D$999,2,0),"")</f>
        <v>15</v>
      </c>
      <c r="F29" s="182">
        <f>IFERROR(VLOOKUP($D29,[1]ST總表!$A$2:$D$999,3,0),"")</f>
        <v>1800</v>
      </c>
      <c r="G29" s="182">
        <f>IFERROR(VLOOKUP($D29,[1]ST總表!$A$2:$D$999,4,0),"")</f>
        <v>120</v>
      </c>
      <c r="H29" s="612"/>
      <c r="I29" s="446">
        <f t="shared" si="16"/>
        <v>12.571428571428571</v>
      </c>
      <c r="J29" s="446">
        <f t="shared" si="16"/>
        <v>1564.772108843538</v>
      </c>
      <c r="K29" s="438">
        <f t="shared" si="16"/>
        <v>124.32823129251706</v>
      </c>
      <c r="L29" s="541"/>
      <c r="M29" s="445">
        <f>RANK(K29, K$27:$K$41)</f>
        <v>5</v>
      </c>
      <c r="N29" s="559"/>
      <c r="O29" s="559"/>
      <c r="P29" s="436">
        <v>14</v>
      </c>
      <c r="Q29" s="182">
        <v>1831.5000000000066</v>
      </c>
      <c r="R29" s="182">
        <v>130.82142857142904</v>
      </c>
      <c r="S29" s="436">
        <f t="shared" si="17"/>
        <v>4</v>
      </c>
      <c r="T29" s="605"/>
      <c r="U29" s="436">
        <v>12</v>
      </c>
      <c r="V29" s="182">
        <v>1789.3333333333335</v>
      </c>
      <c r="W29" s="182">
        <v>149.11111111111111</v>
      </c>
      <c r="X29" s="436">
        <f t="shared" si="18"/>
        <v>4</v>
      </c>
      <c r="Y29" s="605"/>
      <c r="Z29" s="436">
        <v>14</v>
      </c>
      <c r="AA29" s="182">
        <v>1737.3333333333333</v>
      </c>
      <c r="AB29" s="182">
        <v>124.09523809523809</v>
      </c>
      <c r="AC29" s="436">
        <f t="shared" si="19"/>
        <v>5</v>
      </c>
      <c r="AD29" s="605"/>
      <c r="AE29" s="436">
        <v>12</v>
      </c>
      <c r="AF29" s="182">
        <v>1700.5714285714268</v>
      </c>
      <c r="AG29" s="182">
        <v>141.71428571428558</v>
      </c>
      <c r="AH29" s="436">
        <f t="shared" si="20"/>
        <v>4</v>
      </c>
      <c r="AI29" s="605"/>
      <c r="AJ29" s="436">
        <v>12</v>
      </c>
      <c r="AK29" s="182">
        <v>613.33333333333326</v>
      </c>
      <c r="AL29" s="182">
        <v>51.111111111111107</v>
      </c>
      <c r="AM29" s="436">
        <f t="shared" si="21"/>
        <v>7</v>
      </c>
      <c r="AN29" s="605"/>
      <c r="AO29" s="436">
        <v>12</v>
      </c>
      <c r="AP29" s="182">
        <v>1685.3333333333333</v>
      </c>
      <c r="AQ29" s="182">
        <v>140.44444444444443</v>
      </c>
      <c r="AR29" s="436">
        <f t="shared" si="22"/>
        <v>6</v>
      </c>
      <c r="AS29" s="605"/>
      <c r="AT29" s="436">
        <v>12</v>
      </c>
      <c r="AU29" s="182">
        <v>1596</v>
      </c>
      <c r="AV29" s="182">
        <v>133</v>
      </c>
      <c r="AW29" s="436">
        <f t="shared" si="23"/>
        <v>6</v>
      </c>
      <c r="AX29" s="605"/>
    </row>
    <row r="30" spans="2:54">
      <c r="B30" s="572"/>
      <c r="C30" s="436">
        <v>4</v>
      </c>
      <c r="D30" s="436" t="s">
        <v>556</v>
      </c>
      <c r="E30" s="182">
        <f>IFERROR(VLOOKUP($D30,[1]ST總表!$A$2:$D$999,2,0),"")</f>
        <v>5</v>
      </c>
      <c r="F30" s="182">
        <f>IFERROR(VLOOKUP($D30,[1]ST總表!$A$2:$D$999,3,0),"")</f>
        <v>1500</v>
      </c>
      <c r="G30" s="182">
        <f>IFERROR(VLOOKUP($D30,[1]ST總表!$A$2:$D$999,4,0),"")</f>
        <v>300</v>
      </c>
      <c r="H30" s="612"/>
      <c r="I30" s="446">
        <f t="shared" si="16"/>
        <v>6</v>
      </c>
      <c r="J30" s="446">
        <f t="shared" si="16"/>
        <v>1546.3823067688625</v>
      </c>
      <c r="K30" s="438">
        <f t="shared" si="16"/>
        <v>257.7303844614799</v>
      </c>
      <c r="L30" s="541"/>
      <c r="M30" s="445">
        <f>RANK(K30, K$27:$K$41)</f>
        <v>2</v>
      </c>
      <c r="N30" s="559"/>
      <c r="O30" s="559"/>
      <c r="P30" s="436">
        <v>6</v>
      </c>
      <c r="Q30" s="182">
        <v>1502.9999999999993</v>
      </c>
      <c r="R30" s="182">
        <v>250.49999999999989</v>
      </c>
      <c r="S30" s="436">
        <f t="shared" si="17"/>
        <v>2</v>
      </c>
      <c r="T30" s="605"/>
      <c r="U30" s="436">
        <v>6</v>
      </c>
      <c r="V30" s="182">
        <v>1542.8571428571454</v>
      </c>
      <c r="W30" s="182">
        <v>257.14285714285757</v>
      </c>
      <c r="X30" s="436">
        <f t="shared" si="18"/>
        <v>2</v>
      </c>
      <c r="Y30" s="605"/>
      <c r="Z30" s="436">
        <v>6</v>
      </c>
      <c r="AA30" s="182">
        <v>1502.9999999999993</v>
      </c>
      <c r="AB30" s="182">
        <v>250.49999999999989</v>
      </c>
      <c r="AC30" s="436">
        <f t="shared" si="19"/>
        <v>2</v>
      </c>
      <c r="AD30" s="605"/>
      <c r="AE30" s="436">
        <v>6</v>
      </c>
      <c r="AF30" s="182">
        <v>1596.0000000000016</v>
      </c>
      <c r="AG30" s="182">
        <v>266.00000000000028</v>
      </c>
      <c r="AH30" s="436">
        <f t="shared" si="20"/>
        <v>2</v>
      </c>
      <c r="AI30" s="605"/>
      <c r="AJ30" s="436">
        <v>6</v>
      </c>
      <c r="AK30" s="182">
        <v>1509.23076923077</v>
      </c>
      <c r="AL30" s="182">
        <v>251.53846153846166</v>
      </c>
      <c r="AM30" s="436">
        <f t="shared" si="21"/>
        <v>2</v>
      </c>
      <c r="AN30" s="605"/>
      <c r="AO30" s="436">
        <v>6</v>
      </c>
      <c r="AP30" s="182">
        <v>1660.0000000000023</v>
      </c>
      <c r="AQ30" s="182">
        <v>276.66666666668698</v>
      </c>
      <c r="AR30" s="436">
        <f t="shared" si="22"/>
        <v>2</v>
      </c>
      <c r="AS30" s="605"/>
      <c r="AT30" s="436">
        <v>6</v>
      </c>
      <c r="AU30" s="182">
        <v>1510.5882352941196</v>
      </c>
      <c r="AV30" s="182">
        <v>251.76470588235327</v>
      </c>
      <c r="AW30" s="436">
        <f t="shared" si="23"/>
        <v>2</v>
      </c>
      <c r="AX30" s="605"/>
    </row>
    <row r="31" spans="2:54">
      <c r="B31" s="572"/>
      <c r="C31" s="436">
        <v>5</v>
      </c>
      <c r="D31" s="436" t="s">
        <v>490</v>
      </c>
      <c r="E31" s="182">
        <f>IFERROR(VLOOKUP($D31,[1]ST總表!$A$2:$D$999,2,0),"")</f>
        <v>5</v>
      </c>
      <c r="F31" s="182">
        <f>IFERROR(VLOOKUP($D31,[1]ST總表!$A$2:$D$999,3,0),"")</f>
        <v>1500</v>
      </c>
      <c r="G31" s="182">
        <f>IFERROR(VLOOKUP($D31,[1]ST總表!$A$2:$D$999,4,0),"")</f>
        <v>300</v>
      </c>
      <c r="H31" s="612"/>
      <c r="I31" s="446">
        <f t="shared" si="16"/>
        <v>5</v>
      </c>
      <c r="J31" s="446">
        <f t="shared" si="16"/>
        <v>1537.894800218967</v>
      </c>
      <c r="K31" s="438">
        <f t="shared" si="16"/>
        <v>307.57896004378756</v>
      </c>
      <c r="L31" s="541"/>
      <c r="M31" s="445">
        <f>RANK(K31, K$27:$K$41)</f>
        <v>1</v>
      </c>
      <c r="N31" s="559"/>
      <c r="O31" s="559"/>
      <c r="P31" s="436">
        <v>5</v>
      </c>
      <c r="Q31" s="182">
        <v>1477.7777777777787</v>
      </c>
      <c r="R31" s="182">
        <v>295.55555555555577</v>
      </c>
      <c r="S31" s="436">
        <f t="shared" si="17"/>
        <v>1</v>
      </c>
      <c r="T31" s="605"/>
      <c r="U31" s="436">
        <v>5</v>
      </c>
      <c r="V31" s="182">
        <v>1537.241379310344</v>
      </c>
      <c r="W31" s="182">
        <v>307.44827586206878</v>
      </c>
      <c r="X31" s="436">
        <f t="shared" si="18"/>
        <v>1</v>
      </c>
      <c r="Y31" s="605"/>
      <c r="Z31" s="436">
        <v>5</v>
      </c>
      <c r="AA31" s="182">
        <v>1497.7777777777785</v>
      </c>
      <c r="AB31" s="182">
        <v>299.55555555555571</v>
      </c>
      <c r="AC31" s="436">
        <f t="shared" si="19"/>
        <v>1</v>
      </c>
      <c r="AD31" s="605"/>
      <c r="AE31" s="436">
        <v>5</v>
      </c>
      <c r="AF31" s="182">
        <v>1569.0000000000025</v>
      </c>
      <c r="AG31" s="182">
        <v>313.80000000000052</v>
      </c>
      <c r="AH31" s="436">
        <f t="shared" si="20"/>
        <v>1</v>
      </c>
      <c r="AI31" s="605"/>
      <c r="AJ31" s="436">
        <v>5</v>
      </c>
      <c r="AK31" s="182">
        <v>1619.9999999999986</v>
      </c>
      <c r="AL31" s="182">
        <v>323.99999999999972</v>
      </c>
      <c r="AM31" s="436">
        <f t="shared" si="21"/>
        <v>1</v>
      </c>
      <c r="AN31" s="605"/>
      <c r="AO31" s="436">
        <v>5</v>
      </c>
      <c r="AP31" s="182">
        <v>1546.66666666687</v>
      </c>
      <c r="AQ31" s="182">
        <v>309.33333333333303</v>
      </c>
      <c r="AR31" s="436">
        <f t="shared" si="22"/>
        <v>1</v>
      </c>
      <c r="AS31" s="605"/>
      <c r="AT31" s="436">
        <v>5</v>
      </c>
      <c r="AU31" s="182">
        <v>1516.7999999999981</v>
      </c>
      <c r="AV31" s="182">
        <v>303.35999999999962</v>
      </c>
      <c r="AW31" s="436">
        <f t="shared" si="23"/>
        <v>1</v>
      </c>
      <c r="AX31" s="605"/>
    </row>
    <row r="32" spans="2:54">
      <c r="B32" s="572"/>
      <c r="C32" s="436">
        <v>6</v>
      </c>
      <c r="D32" s="436" t="s">
        <v>558</v>
      </c>
      <c r="E32" s="182">
        <f>IFERROR(VLOOKUP($D32,[1]ST總表!$A$2:$D$999,2,0),"")</f>
        <v>15</v>
      </c>
      <c r="F32" s="182">
        <f>IFERROR(VLOOKUP($D32,[1]ST總表!$A$2:$D$999,3,0),"")</f>
        <v>1200</v>
      </c>
      <c r="G32" s="182">
        <f>IFERROR(VLOOKUP($D32,[1]ST總表!$A$2:$D$999,4,0),"")</f>
        <v>80</v>
      </c>
      <c r="H32" s="612"/>
      <c r="I32" s="446">
        <f t="shared" si="16"/>
        <v>10.285714285714286</v>
      </c>
      <c r="J32" s="446">
        <f t="shared" si="16"/>
        <v>1058.000000000002</v>
      </c>
      <c r="K32" s="438">
        <f t="shared" si="16"/>
        <v>103.33333333333356</v>
      </c>
      <c r="L32" s="541"/>
      <c r="M32" s="445">
        <f>RANK(K32, K$27:$K$41)</f>
        <v>6</v>
      </c>
      <c r="N32" s="559"/>
      <c r="O32" s="559"/>
      <c r="P32" s="436">
        <v>10</v>
      </c>
      <c r="Q32" s="182">
        <v>1015.9999999999981</v>
      </c>
      <c r="R32" s="182">
        <v>101.59999999999981</v>
      </c>
      <c r="S32" s="436">
        <f t="shared" si="17"/>
        <v>6</v>
      </c>
      <c r="T32" s="605"/>
      <c r="U32" s="436">
        <v>10</v>
      </c>
      <c r="V32" s="182">
        <v>1195.999999999998</v>
      </c>
      <c r="W32" s="182">
        <v>119.5999999999998</v>
      </c>
      <c r="X32" s="436">
        <f t="shared" si="18"/>
        <v>6</v>
      </c>
      <c r="Y32" s="605"/>
      <c r="Z32" s="436">
        <v>12</v>
      </c>
      <c r="AA32" s="182">
        <v>1036.0000000000039</v>
      </c>
      <c r="AB32" s="182">
        <v>86.333333333333655</v>
      </c>
      <c r="AC32" s="436">
        <f t="shared" si="19"/>
        <v>6</v>
      </c>
      <c r="AD32" s="605"/>
      <c r="AE32" s="436">
        <v>10</v>
      </c>
      <c r="AF32" s="182">
        <v>600.00000000000216</v>
      </c>
      <c r="AG32" s="182">
        <v>60.000000000000213</v>
      </c>
      <c r="AH32" s="436">
        <f t="shared" si="20"/>
        <v>7</v>
      </c>
      <c r="AI32" s="605"/>
      <c r="AJ32" s="436">
        <v>10</v>
      </c>
      <c r="AK32" s="182">
        <v>756.00000000000261</v>
      </c>
      <c r="AL32" s="182">
        <v>75.600000000000264</v>
      </c>
      <c r="AM32" s="436">
        <f t="shared" si="21"/>
        <v>5</v>
      </c>
      <c r="AN32" s="605"/>
      <c r="AO32" s="436">
        <v>10</v>
      </c>
      <c r="AP32" s="182">
        <v>1428.0000000000052</v>
      </c>
      <c r="AQ32" s="182">
        <v>142.80000000000052</v>
      </c>
      <c r="AR32" s="436">
        <f t="shared" si="22"/>
        <v>5</v>
      </c>
      <c r="AS32" s="605"/>
      <c r="AT32" s="436">
        <v>10</v>
      </c>
      <c r="AU32" s="182">
        <v>1374.0000000000048</v>
      </c>
      <c r="AV32" s="182">
        <v>137.40000000000049</v>
      </c>
      <c r="AW32" s="436">
        <f t="shared" si="23"/>
        <v>5</v>
      </c>
      <c r="AX32" s="605"/>
    </row>
    <row r="33" spans="2:50">
      <c r="B33" s="572"/>
      <c r="C33" s="436">
        <v>7</v>
      </c>
      <c r="D33" s="436" t="s">
        <v>631</v>
      </c>
      <c r="E33" s="182">
        <f>IFERROR(VLOOKUP($D33,[1]ST總表!$A$2:$D$999,2,0),"")</f>
        <v>13</v>
      </c>
      <c r="F33" s="182">
        <f>IFERROR(VLOOKUP($D33,[1]ST總表!$A$2:$D$999,3,0),"")</f>
        <v>1300</v>
      </c>
      <c r="G33" s="182">
        <f>IFERROR(VLOOKUP($D33,[1]ST總表!$A$2:$D$999,4,0),"")</f>
        <v>100</v>
      </c>
      <c r="H33" s="612"/>
      <c r="I33" s="446">
        <f t="shared" si="16"/>
        <v>15</v>
      </c>
      <c r="J33" s="446">
        <f t="shared" si="16"/>
        <v>1165.3948051948059</v>
      </c>
      <c r="K33" s="438">
        <f t="shared" si="16"/>
        <v>77.692987012987061</v>
      </c>
      <c r="L33" s="541"/>
      <c r="M33" s="445">
        <f>RANK(K33, K$27:$K$41)</f>
        <v>7</v>
      </c>
      <c r="N33" s="559"/>
      <c r="O33" s="559"/>
      <c r="P33" s="436">
        <v>15</v>
      </c>
      <c r="Q33" s="182">
        <v>1180.3636363636372</v>
      </c>
      <c r="R33" s="182">
        <v>78.690909090909145</v>
      </c>
      <c r="S33" s="436">
        <f t="shared" si="17"/>
        <v>7</v>
      </c>
      <c r="T33" s="605"/>
      <c r="U33" s="436">
        <v>15</v>
      </c>
      <c r="V33" s="182">
        <v>1254.0000000000011</v>
      </c>
      <c r="W33" s="182">
        <v>83.60000000000008</v>
      </c>
      <c r="X33" s="436">
        <f t="shared" si="18"/>
        <v>7</v>
      </c>
      <c r="Y33" s="605"/>
      <c r="Z33" s="436">
        <v>15</v>
      </c>
      <c r="AA33" s="182">
        <v>1115.9999999999989</v>
      </c>
      <c r="AB33" s="182">
        <v>74.39999999999992</v>
      </c>
      <c r="AC33" s="436">
        <f t="shared" si="19"/>
        <v>7</v>
      </c>
      <c r="AD33" s="605"/>
      <c r="AE33" s="436">
        <v>15</v>
      </c>
      <c r="AF33" s="182">
        <v>1087.2000000000003</v>
      </c>
      <c r="AG33" s="182">
        <v>72.480000000000018</v>
      </c>
      <c r="AH33" s="436">
        <f t="shared" si="20"/>
        <v>6</v>
      </c>
      <c r="AI33" s="605"/>
      <c r="AJ33" s="436">
        <v>15</v>
      </c>
      <c r="AK33" s="182">
        <v>995.99999999999966</v>
      </c>
      <c r="AL33" s="182">
        <v>66.399999999999977</v>
      </c>
      <c r="AM33" s="436">
        <f t="shared" si="21"/>
        <v>6</v>
      </c>
      <c r="AN33" s="605"/>
      <c r="AO33" s="436">
        <v>15</v>
      </c>
      <c r="AP33" s="182">
        <v>1279.2000000000005</v>
      </c>
      <c r="AQ33" s="182">
        <v>85.28000000000003</v>
      </c>
      <c r="AR33" s="436">
        <f t="shared" si="22"/>
        <v>7</v>
      </c>
      <c r="AS33" s="605"/>
      <c r="AT33" s="436">
        <v>15</v>
      </c>
      <c r="AU33" s="182">
        <v>1245.0000000000045</v>
      </c>
      <c r="AV33" s="182">
        <v>83.000000000000298</v>
      </c>
      <c r="AW33" s="436">
        <f t="shared" si="23"/>
        <v>7</v>
      </c>
      <c r="AX33" s="605"/>
    </row>
    <row r="34" spans="2:50">
      <c r="B34" s="572"/>
      <c r="C34" s="436">
        <v>8</v>
      </c>
      <c r="D34" s="436"/>
      <c r="E34" s="182"/>
      <c r="F34" s="182"/>
      <c r="G34" s="182"/>
      <c r="H34" s="612"/>
      <c r="I34" s="446"/>
      <c r="J34" s="446"/>
      <c r="K34" s="438"/>
      <c r="L34" s="541"/>
      <c r="M34" s="445" t="e">
        <f>RANK(K34, K$27:$K$41)</f>
        <v>#N/A</v>
      </c>
      <c r="N34" s="559"/>
      <c r="O34" s="559"/>
      <c r="P34" s="436"/>
      <c r="Q34" s="182"/>
      <c r="R34" s="182"/>
      <c r="S34" s="436" t="e">
        <f t="shared" si="17"/>
        <v>#N/A</v>
      </c>
      <c r="T34" s="605"/>
      <c r="U34" s="436"/>
      <c r="V34" s="182"/>
      <c r="W34" s="182"/>
      <c r="X34" s="436" t="e">
        <f t="shared" si="18"/>
        <v>#N/A</v>
      </c>
      <c r="Y34" s="605"/>
      <c r="Z34" s="436"/>
      <c r="AA34" s="182"/>
      <c r="AB34" s="182"/>
      <c r="AC34" s="436" t="e">
        <f t="shared" si="19"/>
        <v>#N/A</v>
      </c>
      <c r="AD34" s="605"/>
      <c r="AE34" s="436"/>
      <c r="AF34" s="182"/>
      <c r="AG34" s="182"/>
      <c r="AH34" s="436" t="e">
        <f t="shared" si="20"/>
        <v>#N/A</v>
      </c>
      <c r="AI34" s="605"/>
      <c r="AJ34" s="436"/>
      <c r="AK34" s="182"/>
      <c r="AL34" s="182"/>
      <c r="AM34" s="436" t="e">
        <f t="shared" si="21"/>
        <v>#N/A</v>
      </c>
      <c r="AN34" s="605"/>
      <c r="AO34" s="436"/>
      <c r="AP34" s="182"/>
      <c r="AQ34" s="182"/>
      <c r="AR34" s="436" t="e">
        <f t="shared" si="22"/>
        <v>#N/A</v>
      </c>
      <c r="AS34" s="605"/>
      <c r="AT34" s="436"/>
      <c r="AU34" s="182"/>
      <c r="AV34" s="182"/>
      <c r="AW34" s="436" t="e">
        <f t="shared" si="23"/>
        <v>#N/A</v>
      </c>
      <c r="AX34" s="605"/>
    </row>
    <row r="35" spans="2:50">
      <c r="B35" s="572"/>
      <c r="C35" s="436">
        <v>9</v>
      </c>
      <c r="D35" s="436"/>
      <c r="E35" s="436"/>
      <c r="F35" s="436"/>
      <c r="G35" s="436"/>
      <c r="H35" s="612"/>
      <c r="I35" s="446"/>
      <c r="J35" s="446"/>
      <c r="K35" s="438"/>
      <c r="L35" s="541"/>
      <c r="M35" s="445" t="e">
        <f>RANK(K35, K$27:$K$41)</f>
        <v>#N/A</v>
      </c>
      <c r="N35" s="559"/>
      <c r="O35" s="559"/>
      <c r="P35" s="436"/>
      <c r="Q35" s="436"/>
      <c r="R35" s="436"/>
      <c r="S35" s="436" t="e">
        <f t="shared" si="17"/>
        <v>#N/A</v>
      </c>
      <c r="T35" s="605"/>
      <c r="U35" s="436"/>
      <c r="V35" s="436"/>
      <c r="W35" s="436"/>
      <c r="X35" s="436" t="e">
        <f t="shared" si="18"/>
        <v>#N/A</v>
      </c>
      <c r="Y35" s="605"/>
      <c r="Z35" s="436"/>
      <c r="AA35" s="436"/>
      <c r="AB35" s="436"/>
      <c r="AC35" s="436" t="e">
        <f t="shared" si="19"/>
        <v>#N/A</v>
      </c>
      <c r="AD35" s="605"/>
      <c r="AE35" s="436"/>
      <c r="AF35" s="436"/>
      <c r="AG35" s="436"/>
      <c r="AH35" s="436" t="e">
        <f t="shared" si="20"/>
        <v>#N/A</v>
      </c>
      <c r="AI35" s="605"/>
      <c r="AJ35" s="436"/>
      <c r="AK35" s="436"/>
      <c r="AL35" s="436"/>
      <c r="AM35" s="436" t="e">
        <f t="shared" si="21"/>
        <v>#N/A</v>
      </c>
      <c r="AN35" s="605"/>
      <c r="AO35" s="436"/>
      <c r="AP35" s="436"/>
      <c r="AQ35" s="436"/>
      <c r="AR35" s="436" t="e">
        <f t="shared" si="22"/>
        <v>#N/A</v>
      </c>
      <c r="AS35" s="605"/>
      <c r="AT35" s="436"/>
      <c r="AU35" s="436"/>
      <c r="AV35" s="436"/>
      <c r="AW35" s="436" t="e">
        <f t="shared" si="23"/>
        <v>#N/A</v>
      </c>
      <c r="AX35" s="605"/>
    </row>
    <row r="36" spans="2:50">
      <c r="B36" s="572"/>
      <c r="C36" s="436">
        <v>10</v>
      </c>
      <c r="D36" s="436"/>
      <c r="E36" s="436"/>
      <c r="F36" s="436"/>
      <c r="G36" s="436"/>
      <c r="H36" s="612"/>
      <c r="I36" s="446"/>
      <c r="J36" s="446"/>
      <c r="K36" s="438"/>
      <c r="L36" s="541"/>
      <c r="M36" s="445" t="e">
        <f>RANK(K36, K$27:$K$41)</f>
        <v>#N/A</v>
      </c>
      <c r="N36" s="559"/>
      <c r="O36" s="559"/>
      <c r="P36" s="436"/>
      <c r="Q36" s="436"/>
      <c r="R36" s="436"/>
      <c r="S36" s="436" t="e">
        <f t="shared" si="17"/>
        <v>#N/A</v>
      </c>
      <c r="T36" s="605"/>
      <c r="U36" s="436"/>
      <c r="V36" s="436"/>
      <c r="W36" s="436"/>
      <c r="X36" s="436" t="e">
        <f t="shared" si="18"/>
        <v>#N/A</v>
      </c>
      <c r="Y36" s="605"/>
      <c r="Z36" s="436"/>
      <c r="AA36" s="436"/>
      <c r="AB36" s="436"/>
      <c r="AC36" s="436" t="e">
        <f t="shared" si="19"/>
        <v>#N/A</v>
      </c>
      <c r="AD36" s="605"/>
      <c r="AE36" s="436"/>
      <c r="AF36" s="436"/>
      <c r="AG36" s="436"/>
      <c r="AH36" s="436" t="e">
        <f t="shared" si="20"/>
        <v>#N/A</v>
      </c>
      <c r="AI36" s="605"/>
      <c r="AJ36" s="436"/>
      <c r="AK36" s="436"/>
      <c r="AL36" s="436"/>
      <c r="AM36" s="436" t="e">
        <f t="shared" si="21"/>
        <v>#N/A</v>
      </c>
      <c r="AN36" s="605"/>
      <c r="AO36" s="436"/>
      <c r="AP36" s="436"/>
      <c r="AQ36" s="436"/>
      <c r="AR36" s="436" t="e">
        <f t="shared" si="22"/>
        <v>#N/A</v>
      </c>
      <c r="AS36" s="605"/>
      <c r="AT36" s="436"/>
      <c r="AU36" s="436"/>
      <c r="AV36" s="436"/>
      <c r="AW36" s="436" t="e">
        <f t="shared" si="23"/>
        <v>#N/A</v>
      </c>
      <c r="AX36" s="605"/>
    </row>
    <row r="37" spans="2:50">
      <c r="B37" s="572"/>
      <c r="C37" s="436">
        <v>11</v>
      </c>
      <c r="D37" s="436"/>
      <c r="E37" s="436"/>
      <c r="F37" s="436"/>
      <c r="G37" s="436"/>
      <c r="H37" s="612"/>
      <c r="I37" s="202"/>
      <c r="J37" s="202"/>
      <c r="K37" s="202"/>
      <c r="L37" s="541"/>
      <c r="M37" s="445" t="e">
        <f>RANK(K37, K$27:$K$41)</f>
        <v>#N/A</v>
      </c>
      <c r="N37" s="559"/>
      <c r="O37" s="559"/>
      <c r="P37" s="436"/>
      <c r="Q37" s="436"/>
      <c r="R37" s="436"/>
      <c r="S37" s="436" t="e">
        <f t="shared" si="17"/>
        <v>#N/A</v>
      </c>
      <c r="T37" s="605"/>
      <c r="U37" s="436"/>
      <c r="V37" s="436"/>
      <c r="W37" s="436"/>
      <c r="X37" s="436" t="e">
        <f t="shared" si="18"/>
        <v>#N/A</v>
      </c>
      <c r="Y37" s="605"/>
      <c r="Z37" s="436"/>
      <c r="AA37" s="436"/>
      <c r="AB37" s="436"/>
      <c r="AC37" s="436" t="e">
        <f t="shared" si="19"/>
        <v>#N/A</v>
      </c>
      <c r="AD37" s="605"/>
      <c r="AE37" s="436"/>
      <c r="AF37" s="436"/>
      <c r="AG37" s="436"/>
      <c r="AH37" s="436" t="e">
        <f t="shared" si="20"/>
        <v>#N/A</v>
      </c>
      <c r="AI37" s="605"/>
      <c r="AJ37" s="436"/>
      <c r="AK37" s="436"/>
      <c r="AL37" s="436"/>
      <c r="AM37" s="436" t="e">
        <f t="shared" si="21"/>
        <v>#N/A</v>
      </c>
      <c r="AN37" s="605"/>
      <c r="AO37" s="436"/>
      <c r="AP37" s="436"/>
      <c r="AQ37" s="436"/>
      <c r="AR37" s="436" t="e">
        <f t="shared" si="22"/>
        <v>#N/A</v>
      </c>
      <c r="AS37" s="605"/>
      <c r="AT37" s="436"/>
      <c r="AU37" s="436"/>
      <c r="AV37" s="436"/>
      <c r="AW37" s="436" t="e">
        <f t="shared" si="23"/>
        <v>#N/A</v>
      </c>
      <c r="AX37" s="605"/>
    </row>
    <row r="38" spans="2:50">
      <c r="B38" s="572"/>
      <c r="C38" s="436">
        <v>12</v>
      </c>
      <c r="D38" s="436"/>
      <c r="E38" s="436"/>
      <c r="F38" s="436"/>
      <c r="G38" s="436"/>
      <c r="H38" s="612"/>
      <c r="I38" s="202"/>
      <c r="J38" s="202"/>
      <c r="K38" s="202"/>
      <c r="L38" s="541"/>
      <c r="M38" s="445" t="e">
        <f>RANK(K38, K$27:$K$41)</f>
        <v>#N/A</v>
      </c>
      <c r="N38" s="559"/>
      <c r="O38" s="559"/>
      <c r="P38" s="436"/>
      <c r="Q38" s="436"/>
      <c r="R38" s="436"/>
      <c r="S38" s="436" t="e">
        <f t="shared" si="17"/>
        <v>#N/A</v>
      </c>
      <c r="T38" s="605"/>
      <c r="U38" s="436"/>
      <c r="V38" s="436"/>
      <c r="W38" s="436"/>
      <c r="X38" s="436" t="e">
        <f t="shared" si="18"/>
        <v>#N/A</v>
      </c>
      <c r="Y38" s="605"/>
      <c r="Z38" s="436"/>
      <c r="AA38" s="436"/>
      <c r="AB38" s="436"/>
      <c r="AC38" s="436" t="e">
        <f t="shared" si="19"/>
        <v>#N/A</v>
      </c>
      <c r="AD38" s="605"/>
      <c r="AE38" s="436"/>
      <c r="AF38" s="436"/>
      <c r="AG38" s="436"/>
      <c r="AH38" s="436" t="e">
        <f t="shared" si="20"/>
        <v>#N/A</v>
      </c>
      <c r="AI38" s="605"/>
      <c r="AJ38" s="436"/>
      <c r="AK38" s="436"/>
      <c r="AL38" s="436"/>
      <c r="AM38" s="436" t="e">
        <f t="shared" si="21"/>
        <v>#N/A</v>
      </c>
      <c r="AN38" s="605"/>
      <c r="AO38" s="436"/>
      <c r="AP38" s="436"/>
      <c r="AQ38" s="436"/>
      <c r="AR38" s="436" t="e">
        <f t="shared" si="22"/>
        <v>#N/A</v>
      </c>
      <c r="AS38" s="605"/>
      <c r="AT38" s="436"/>
      <c r="AU38" s="436"/>
      <c r="AV38" s="436"/>
      <c r="AW38" s="436" t="e">
        <f t="shared" si="23"/>
        <v>#N/A</v>
      </c>
      <c r="AX38" s="605"/>
    </row>
    <row r="39" spans="2:50">
      <c r="B39" s="572"/>
      <c r="C39" s="436">
        <v>13</v>
      </c>
      <c r="D39" s="436"/>
      <c r="E39" s="436"/>
      <c r="F39" s="436"/>
      <c r="G39" s="436"/>
      <c r="H39" s="612"/>
      <c r="I39" s="202"/>
      <c r="J39" s="202"/>
      <c r="K39" s="202"/>
      <c r="L39" s="541"/>
      <c r="M39" s="445" t="e">
        <f>RANK(K39, K$27:$K$41)</f>
        <v>#N/A</v>
      </c>
      <c r="N39" s="559"/>
      <c r="O39" s="559"/>
      <c r="P39" s="436"/>
      <c r="Q39" s="436"/>
      <c r="R39" s="436"/>
      <c r="S39" s="436" t="e">
        <f t="shared" si="17"/>
        <v>#N/A</v>
      </c>
      <c r="T39" s="605"/>
      <c r="U39" s="436"/>
      <c r="V39" s="436"/>
      <c r="W39" s="436"/>
      <c r="X39" s="436" t="e">
        <f t="shared" si="18"/>
        <v>#N/A</v>
      </c>
      <c r="Y39" s="605"/>
      <c r="Z39" s="436"/>
      <c r="AA39" s="436"/>
      <c r="AB39" s="436"/>
      <c r="AC39" s="436" t="e">
        <f t="shared" si="19"/>
        <v>#N/A</v>
      </c>
      <c r="AD39" s="605"/>
      <c r="AE39" s="436"/>
      <c r="AF39" s="436"/>
      <c r="AG39" s="436"/>
      <c r="AH39" s="436" t="e">
        <f t="shared" si="20"/>
        <v>#N/A</v>
      </c>
      <c r="AI39" s="605"/>
      <c r="AJ39" s="436"/>
      <c r="AK39" s="436"/>
      <c r="AL39" s="436"/>
      <c r="AM39" s="436" t="e">
        <f t="shared" si="21"/>
        <v>#N/A</v>
      </c>
      <c r="AN39" s="605"/>
      <c r="AO39" s="436"/>
      <c r="AP39" s="436"/>
      <c r="AQ39" s="436"/>
      <c r="AR39" s="436" t="e">
        <f t="shared" si="22"/>
        <v>#N/A</v>
      </c>
      <c r="AS39" s="605"/>
      <c r="AT39" s="436"/>
      <c r="AU39" s="436"/>
      <c r="AV39" s="436"/>
      <c r="AW39" s="436" t="e">
        <f t="shared" si="23"/>
        <v>#N/A</v>
      </c>
      <c r="AX39" s="605"/>
    </row>
    <row r="40" spans="2:50">
      <c r="B40" s="572"/>
      <c r="C40" s="436">
        <v>14</v>
      </c>
      <c r="D40" s="436"/>
      <c r="E40" s="436"/>
      <c r="F40" s="436"/>
      <c r="G40" s="436"/>
      <c r="H40" s="612"/>
      <c r="I40" s="202"/>
      <c r="J40" s="202"/>
      <c r="K40" s="202"/>
      <c r="L40" s="541"/>
      <c r="M40" s="445" t="e">
        <f>RANK(K40, K$27:$K$41)</f>
        <v>#N/A</v>
      </c>
      <c r="N40" s="559"/>
      <c r="O40" s="559"/>
      <c r="P40" s="436"/>
      <c r="Q40" s="436"/>
      <c r="R40" s="436"/>
      <c r="S40" s="436" t="e">
        <f t="shared" si="17"/>
        <v>#N/A</v>
      </c>
      <c r="T40" s="605"/>
      <c r="U40" s="436"/>
      <c r="V40" s="436"/>
      <c r="W40" s="436"/>
      <c r="X40" s="436" t="e">
        <f t="shared" si="18"/>
        <v>#N/A</v>
      </c>
      <c r="Y40" s="605"/>
      <c r="Z40" s="436"/>
      <c r="AA40" s="436"/>
      <c r="AB40" s="436"/>
      <c r="AC40" s="436" t="e">
        <f t="shared" si="19"/>
        <v>#N/A</v>
      </c>
      <c r="AD40" s="605"/>
      <c r="AE40" s="436"/>
      <c r="AF40" s="436"/>
      <c r="AG40" s="436"/>
      <c r="AH40" s="436" t="e">
        <f t="shared" si="20"/>
        <v>#N/A</v>
      </c>
      <c r="AI40" s="605"/>
      <c r="AJ40" s="436"/>
      <c r="AK40" s="436"/>
      <c r="AL40" s="436"/>
      <c r="AM40" s="436" t="e">
        <f t="shared" si="21"/>
        <v>#N/A</v>
      </c>
      <c r="AN40" s="605"/>
      <c r="AO40" s="436"/>
      <c r="AP40" s="436"/>
      <c r="AQ40" s="436"/>
      <c r="AR40" s="436" t="e">
        <f t="shared" si="22"/>
        <v>#N/A</v>
      </c>
      <c r="AS40" s="605"/>
      <c r="AT40" s="436"/>
      <c r="AU40" s="436"/>
      <c r="AV40" s="436"/>
      <c r="AW40" s="436" t="e">
        <f t="shared" si="23"/>
        <v>#N/A</v>
      </c>
      <c r="AX40" s="605"/>
    </row>
    <row r="41" spans="2:50">
      <c r="B41" s="572"/>
      <c r="C41" s="436">
        <v>15</v>
      </c>
      <c r="D41" s="436"/>
      <c r="E41" s="436"/>
      <c r="F41" s="436"/>
      <c r="G41" s="436"/>
      <c r="H41" s="613"/>
      <c r="I41" s="202"/>
      <c r="J41" s="202"/>
      <c r="K41" s="202"/>
      <c r="L41" s="542"/>
      <c r="M41" s="446" t="e">
        <f>RANK(K41, K$27:$K$41)</f>
        <v>#N/A</v>
      </c>
      <c r="N41" s="559"/>
      <c r="O41" s="559"/>
      <c r="P41" s="436"/>
      <c r="Q41" s="436"/>
      <c r="R41" s="436"/>
      <c r="S41" s="436" t="e">
        <f t="shared" si="17"/>
        <v>#N/A</v>
      </c>
      <c r="T41" s="605"/>
      <c r="U41" s="436"/>
      <c r="V41" s="436"/>
      <c r="W41" s="436"/>
      <c r="X41" s="436" t="e">
        <f t="shared" si="18"/>
        <v>#N/A</v>
      </c>
      <c r="Y41" s="605"/>
      <c r="Z41" s="436"/>
      <c r="AA41" s="436"/>
      <c r="AB41" s="436"/>
      <c r="AC41" s="436" t="e">
        <f t="shared" si="19"/>
        <v>#N/A</v>
      </c>
      <c r="AD41" s="605"/>
      <c r="AE41" s="436"/>
      <c r="AF41" s="436"/>
      <c r="AG41" s="436"/>
      <c r="AH41" s="436" t="e">
        <f t="shared" si="20"/>
        <v>#N/A</v>
      </c>
      <c r="AI41" s="605"/>
      <c r="AJ41" s="436"/>
      <c r="AK41" s="436"/>
      <c r="AL41" s="436"/>
      <c r="AM41" s="436" t="e">
        <f t="shared" si="21"/>
        <v>#N/A</v>
      </c>
      <c r="AN41" s="605"/>
      <c r="AO41" s="436"/>
      <c r="AP41" s="436"/>
      <c r="AQ41" s="436"/>
      <c r="AR41" s="436" t="e">
        <f t="shared" si="22"/>
        <v>#N/A</v>
      </c>
      <c r="AS41" s="605"/>
      <c r="AT41" s="436"/>
      <c r="AU41" s="436"/>
      <c r="AV41" s="436"/>
      <c r="AW41" s="436" t="e">
        <f t="shared" si="23"/>
        <v>#N/A</v>
      </c>
      <c r="AX41" s="605"/>
    </row>
    <row r="42" spans="2:50" ht="15.75">
      <c r="B42" s="592" t="s">
        <v>731</v>
      </c>
      <c r="C42" s="593"/>
      <c r="D42" s="593"/>
      <c r="E42" s="593"/>
      <c r="F42" s="593"/>
      <c r="G42" s="593"/>
      <c r="H42" s="593"/>
      <c r="I42" s="208"/>
      <c r="J42" s="203"/>
      <c r="K42" s="208"/>
      <c r="L42" s="208"/>
      <c r="M42" s="204"/>
      <c r="N42" s="565" t="s">
        <v>732</v>
      </c>
      <c r="O42" s="565" t="s">
        <v>733</v>
      </c>
      <c r="P42" s="571">
        <f>P22+7</f>
        <v>13</v>
      </c>
      <c r="Q42" s="572"/>
      <c r="R42" s="572"/>
      <c r="S42" s="572"/>
      <c r="T42" s="572"/>
      <c r="U42" s="568">
        <f>P42+1</f>
        <v>14</v>
      </c>
      <c r="V42" s="569"/>
      <c r="W42" s="569"/>
      <c r="X42" s="569"/>
      <c r="Y42" s="570"/>
      <c r="Z42" s="568">
        <f>U42+1</f>
        <v>15</v>
      </c>
      <c r="AA42" s="569"/>
      <c r="AB42" s="569"/>
      <c r="AC42" s="569"/>
      <c r="AD42" s="570"/>
      <c r="AE42" s="568">
        <f>Z42+1</f>
        <v>16</v>
      </c>
      <c r="AF42" s="569"/>
      <c r="AG42" s="569"/>
      <c r="AH42" s="569"/>
      <c r="AI42" s="570"/>
      <c r="AJ42" s="568">
        <f>AE42+1</f>
        <v>17</v>
      </c>
      <c r="AK42" s="569"/>
      <c r="AL42" s="569"/>
      <c r="AM42" s="569"/>
      <c r="AN42" s="570"/>
      <c r="AO42" s="568">
        <f>AJ42+1</f>
        <v>18</v>
      </c>
      <c r="AP42" s="569"/>
      <c r="AQ42" s="569"/>
      <c r="AR42" s="569"/>
      <c r="AS42" s="570"/>
      <c r="AT42" s="568">
        <f>AO42+1</f>
        <v>19</v>
      </c>
      <c r="AU42" s="569"/>
      <c r="AV42" s="569"/>
      <c r="AW42" s="569"/>
      <c r="AX42" s="570"/>
    </row>
    <row r="43" spans="2:50" ht="15.75">
      <c r="B43" s="579"/>
      <c r="C43" s="579"/>
      <c r="D43" s="579"/>
      <c r="E43" s="579"/>
      <c r="F43" s="579"/>
      <c r="G43" s="579"/>
      <c r="H43" s="579"/>
      <c r="I43" s="205"/>
      <c r="J43" s="205"/>
      <c r="K43" s="205"/>
      <c r="L43" s="205"/>
      <c r="M43" s="206"/>
      <c r="N43" s="567"/>
      <c r="O43" s="567"/>
      <c r="P43" s="571" t="s">
        <v>734</v>
      </c>
      <c r="Q43" s="572"/>
      <c r="R43" s="572"/>
      <c r="S43" s="572"/>
      <c r="T43" s="572"/>
      <c r="U43" s="571" t="s">
        <v>735</v>
      </c>
      <c r="V43" s="572"/>
      <c r="W43" s="572"/>
      <c r="X43" s="572"/>
      <c r="Y43" s="572"/>
      <c r="Z43" s="571" t="s">
        <v>736</v>
      </c>
      <c r="AA43" s="572"/>
      <c r="AB43" s="572"/>
      <c r="AC43" s="572"/>
      <c r="AD43" s="572"/>
      <c r="AE43" s="571" t="s">
        <v>737</v>
      </c>
      <c r="AF43" s="572"/>
      <c r="AG43" s="572"/>
      <c r="AH43" s="572"/>
      <c r="AI43" s="572"/>
      <c r="AJ43" s="571" t="s">
        <v>738</v>
      </c>
      <c r="AK43" s="572"/>
      <c r="AL43" s="572"/>
      <c r="AM43" s="572"/>
      <c r="AN43" s="572"/>
      <c r="AO43" s="571" t="s">
        <v>739</v>
      </c>
      <c r="AP43" s="572"/>
      <c r="AQ43" s="572"/>
      <c r="AR43" s="572"/>
      <c r="AS43" s="572"/>
      <c r="AT43" s="571" t="s">
        <v>740</v>
      </c>
      <c r="AU43" s="572"/>
      <c r="AV43" s="572"/>
      <c r="AW43" s="572"/>
      <c r="AX43" s="572"/>
    </row>
    <row r="44" spans="2:50">
      <c r="B44" s="559" t="s">
        <v>741</v>
      </c>
      <c r="C44" s="559" t="s">
        <v>742</v>
      </c>
      <c r="D44" s="559"/>
      <c r="E44" s="559" t="s">
        <v>743</v>
      </c>
      <c r="F44" s="559"/>
      <c r="G44" s="559"/>
      <c r="H44" s="560" t="s">
        <v>744</v>
      </c>
      <c r="I44" s="543" t="s">
        <v>745</v>
      </c>
      <c r="J44" s="543"/>
      <c r="K44" s="543"/>
      <c r="L44" s="544" t="s">
        <v>744</v>
      </c>
      <c r="M44" s="550" t="s">
        <v>746</v>
      </c>
      <c r="N44" s="559"/>
      <c r="O44" s="559" t="s">
        <v>747</v>
      </c>
      <c r="P44" s="556" t="s">
        <v>748</v>
      </c>
      <c r="Q44" s="557"/>
      <c r="R44" s="557"/>
      <c r="S44" s="558"/>
      <c r="T44" s="559" t="s">
        <v>744</v>
      </c>
      <c r="U44" s="556" t="s">
        <v>748</v>
      </c>
      <c r="V44" s="557"/>
      <c r="W44" s="557"/>
      <c r="X44" s="558"/>
      <c r="Y44" s="559" t="s">
        <v>744</v>
      </c>
      <c r="Z44" s="556" t="s">
        <v>748</v>
      </c>
      <c r="AA44" s="557"/>
      <c r="AB44" s="557"/>
      <c r="AC44" s="558"/>
      <c r="AD44" s="559" t="s">
        <v>744</v>
      </c>
      <c r="AE44" s="556" t="s">
        <v>748</v>
      </c>
      <c r="AF44" s="557"/>
      <c r="AG44" s="557"/>
      <c r="AH44" s="558"/>
      <c r="AI44" s="559" t="s">
        <v>744</v>
      </c>
      <c r="AJ44" s="556" t="s">
        <v>748</v>
      </c>
      <c r="AK44" s="557"/>
      <c r="AL44" s="557"/>
      <c r="AM44" s="558"/>
      <c r="AN44" s="559" t="s">
        <v>744</v>
      </c>
      <c r="AO44" s="556" t="s">
        <v>748</v>
      </c>
      <c r="AP44" s="557"/>
      <c r="AQ44" s="557"/>
      <c r="AR44" s="558"/>
      <c r="AS44" s="559" t="s">
        <v>744</v>
      </c>
      <c r="AT44" s="556" t="s">
        <v>748</v>
      </c>
      <c r="AU44" s="557"/>
      <c r="AV44" s="557"/>
      <c r="AW44" s="558"/>
      <c r="AX44" s="559" t="s">
        <v>744</v>
      </c>
    </row>
    <row r="45" spans="2:50">
      <c r="B45" s="559"/>
      <c r="C45" s="559"/>
      <c r="D45" s="559"/>
      <c r="E45" s="559" t="s">
        <v>749</v>
      </c>
      <c r="F45" s="559"/>
      <c r="G45" s="559"/>
      <c r="H45" s="561"/>
      <c r="I45" s="543" t="s">
        <v>749</v>
      </c>
      <c r="J45" s="543"/>
      <c r="K45" s="543"/>
      <c r="L45" s="545"/>
      <c r="M45" s="551"/>
      <c r="N45" s="559"/>
      <c r="O45" s="559"/>
      <c r="P45" s="556" t="s">
        <v>750</v>
      </c>
      <c r="Q45" s="557"/>
      <c r="R45" s="557"/>
      <c r="S45" s="558"/>
      <c r="T45" s="559"/>
      <c r="U45" s="556" t="s">
        <v>750</v>
      </c>
      <c r="V45" s="557"/>
      <c r="W45" s="557"/>
      <c r="X45" s="558"/>
      <c r="Y45" s="559"/>
      <c r="Z45" s="556" t="s">
        <v>750</v>
      </c>
      <c r="AA45" s="557"/>
      <c r="AB45" s="557"/>
      <c r="AC45" s="558"/>
      <c r="AD45" s="559"/>
      <c r="AE45" s="556" t="s">
        <v>750</v>
      </c>
      <c r="AF45" s="557"/>
      <c r="AG45" s="557"/>
      <c r="AH45" s="558"/>
      <c r="AI45" s="559"/>
      <c r="AJ45" s="556" t="s">
        <v>750</v>
      </c>
      <c r="AK45" s="557"/>
      <c r="AL45" s="557"/>
      <c r="AM45" s="558"/>
      <c r="AN45" s="559"/>
      <c r="AO45" s="556" t="s">
        <v>750</v>
      </c>
      <c r="AP45" s="557"/>
      <c r="AQ45" s="557"/>
      <c r="AR45" s="558"/>
      <c r="AS45" s="559"/>
      <c r="AT45" s="556" t="s">
        <v>750</v>
      </c>
      <c r="AU45" s="557"/>
      <c r="AV45" s="557"/>
      <c r="AW45" s="558"/>
      <c r="AX45" s="559"/>
    </row>
    <row r="46" spans="2:50">
      <c r="B46" s="559"/>
      <c r="C46" s="559"/>
      <c r="D46" s="559"/>
      <c r="E46" s="440" t="s">
        <v>751</v>
      </c>
      <c r="F46" s="440" t="s">
        <v>752</v>
      </c>
      <c r="G46" s="440" t="s">
        <v>753</v>
      </c>
      <c r="H46" s="562"/>
      <c r="I46" s="444" t="s">
        <v>751</v>
      </c>
      <c r="J46" s="444" t="s">
        <v>752</v>
      </c>
      <c r="K46" s="444" t="s">
        <v>753</v>
      </c>
      <c r="L46" s="546"/>
      <c r="M46" s="552"/>
      <c r="N46" s="559"/>
      <c r="O46" s="559"/>
      <c r="P46" s="440" t="s">
        <v>751</v>
      </c>
      <c r="Q46" s="440" t="s">
        <v>752</v>
      </c>
      <c r="R46" s="440" t="s">
        <v>753</v>
      </c>
      <c r="S46" s="440" t="s">
        <v>746</v>
      </c>
      <c r="T46" s="559"/>
      <c r="U46" s="440" t="s">
        <v>751</v>
      </c>
      <c r="V46" s="440" t="s">
        <v>752</v>
      </c>
      <c r="W46" s="440" t="s">
        <v>753</v>
      </c>
      <c r="X46" s="440" t="s">
        <v>746</v>
      </c>
      <c r="Y46" s="559"/>
      <c r="Z46" s="440" t="s">
        <v>751</v>
      </c>
      <c r="AA46" s="440" t="s">
        <v>752</v>
      </c>
      <c r="AB46" s="440" t="s">
        <v>753</v>
      </c>
      <c r="AC46" s="440" t="s">
        <v>746</v>
      </c>
      <c r="AD46" s="559"/>
      <c r="AE46" s="440" t="s">
        <v>751</v>
      </c>
      <c r="AF46" s="440" t="s">
        <v>752</v>
      </c>
      <c r="AG46" s="440" t="s">
        <v>753</v>
      </c>
      <c r="AH46" s="440" t="s">
        <v>746</v>
      </c>
      <c r="AI46" s="559"/>
      <c r="AJ46" s="440" t="s">
        <v>751</v>
      </c>
      <c r="AK46" s="440" t="s">
        <v>752</v>
      </c>
      <c r="AL46" s="440" t="s">
        <v>753</v>
      </c>
      <c r="AM46" s="440" t="s">
        <v>746</v>
      </c>
      <c r="AN46" s="559"/>
      <c r="AO46" s="440" t="s">
        <v>751</v>
      </c>
      <c r="AP46" s="440" t="s">
        <v>752</v>
      </c>
      <c r="AQ46" s="440" t="s">
        <v>753</v>
      </c>
      <c r="AR46" s="440" t="s">
        <v>746</v>
      </c>
      <c r="AS46" s="559"/>
      <c r="AT46" s="440" t="s">
        <v>751</v>
      </c>
      <c r="AU46" s="440" t="s">
        <v>752</v>
      </c>
      <c r="AV46" s="440" t="s">
        <v>753</v>
      </c>
      <c r="AW46" s="440" t="s">
        <v>746</v>
      </c>
      <c r="AX46" s="559"/>
    </row>
    <row r="47" spans="2:50">
      <c r="B47" s="607" t="s">
        <v>783</v>
      </c>
      <c r="C47" s="436">
        <v>1</v>
      </c>
      <c r="D47" s="436" t="s">
        <v>368</v>
      </c>
      <c r="E47" s="436">
        <v>10</v>
      </c>
      <c r="F47" s="436">
        <v>1500</v>
      </c>
      <c r="G47" s="182">
        <v>150</v>
      </c>
      <c r="H47" s="608">
        <f>AVERAGE(G47:G61)</f>
        <v>167.14285714285714</v>
      </c>
      <c r="I47" s="446">
        <f>AVERAGE(P47,U47,Z47,AE47,AJ47,AO47,AT47)</f>
        <v>10</v>
      </c>
      <c r="J47" s="446">
        <f>AVERAGE(Q47,V47,AA47,AF47,AK47,AP47,AU47)</f>
        <v>1537.7142857142874</v>
      </c>
      <c r="K47" s="438">
        <f>AVERAGE(R47,W47,AB47,AG47,AL47,AQ47,AV47)</f>
        <v>153.77142857142871</v>
      </c>
      <c r="L47" s="540">
        <f>IFERROR(AVERAGE(K47:K61),"-")</f>
        <v>170.64700919967069</v>
      </c>
      <c r="M47" s="445">
        <f>RANK(K47, K$47:$K$61)</f>
        <v>4</v>
      </c>
      <c r="N47" s="559"/>
      <c r="O47" s="559"/>
      <c r="P47" s="436">
        <v>10</v>
      </c>
      <c r="Q47" s="182">
        <v>1535.9999999999995</v>
      </c>
      <c r="R47" s="182">
        <v>153.59999999999997</v>
      </c>
      <c r="S47" s="443">
        <f>RANK(R47, R$47:R$61)</f>
        <v>4</v>
      </c>
      <c r="T47" s="605">
        <f>AVERAGE(R47:R61)</f>
        <v>173.26327731092448</v>
      </c>
      <c r="U47" s="436">
        <v>10</v>
      </c>
      <c r="V47" s="182">
        <v>1587.0000000000057</v>
      </c>
      <c r="W47" s="182">
        <v>158.70000000000056</v>
      </c>
      <c r="X47" s="443">
        <f>RANK(W47, W$47:W$61)</f>
        <v>3</v>
      </c>
      <c r="Y47" s="605">
        <f>AVERAGE(W47:W61)</f>
        <v>173.44880952381251</v>
      </c>
      <c r="Z47" s="436">
        <v>10</v>
      </c>
      <c r="AA47" s="182">
        <v>1545.0000000000055</v>
      </c>
      <c r="AB47" s="182">
        <v>154.50000000000054</v>
      </c>
      <c r="AC47" s="443">
        <f>RANK(AB47, AB$47:AB$61)</f>
        <v>3</v>
      </c>
      <c r="AD47" s="605">
        <f>AVERAGE(AB47:AB61)</f>
        <v>168.37848549946301</v>
      </c>
      <c r="AE47" s="436">
        <v>10</v>
      </c>
      <c r="AF47" s="182">
        <v>1503.9999999999975</v>
      </c>
      <c r="AG47" s="182">
        <v>150.39999999999975</v>
      </c>
      <c r="AH47" s="443">
        <f>RANK(AG47, AG$47:AG$61)</f>
        <v>5</v>
      </c>
      <c r="AI47" s="605">
        <f>AVERAGE(AG47:AG61)</f>
        <v>166.27619047619049</v>
      </c>
      <c r="AJ47" s="436">
        <v>10</v>
      </c>
      <c r="AK47" s="182">
        <v>1579.9999999999973</v>
      </c>
      <c r="AL47" s="182">
        <v>157.99999999999972</v>
      </c>
      <c r="AM47" s="443">
        <f>RANK(AL47, AL$47:AL$61)</f>
        <v>3</v>
      </c>
      <c r="AN47" s="605">
        <f>AVERAGE(AL47:AL61)</f>
        <v>171.2293040293068</v>
      </c>
      <c r="AO47" s="436">
        <v>10</v>
      </c>
      <c r="AP47" s="182">
        <v>1589.9999999999993</v>
      </c>
      <c r="AQ47" s="182">
        <v>158.99999999999994</v>
      </c>
      <c r="AR47" s="443">
        <f>RANK(AQ47, AQ$47:AQ$61)</f>
        <v>3</v>
      </c>
      <c r="AS47" s="605">
        <f>AVERAGE(AQ47:AQ61)</f>
        <v>172.75680708180715</v>
      </c>
      <c r="AT47" s="436">
        <v>10</v>
      </c>
      <c r="AU47" s="182">
        <v>1422.000000000005</v>
      </c>
      <c r="AV47" s="182">
        <v>142.2000000000005</v>
      </c>
      <c r="AW47" s="443">
        <f>RANK(AV47, AV$47:AV$61)</f>
        <v>5</v>
      </c>
      <c r="AX47" s="605">
        <f>AVERAGE(AV47:AV61)</f>
        <v>169.1761904761905</v>
      </c>
    </row>
    <row r="48" spans="2:50">
      <c r="B48" s="572"/>
      <c r="C48" s="436">
        <v>2</v>
      </c>
      <c r="D48" s="436" t="s">
        <v>369</v>
      </c>
      <c r="E48" s="436">
        <v>15</v>
      </c>
      <c r="F48" s="436">
        <v>1800</v>
      </c>
      <c r="G48" s="182">
        <v>120</v>
      </c>
      <c r="H48" s="609"/>
      <c r="I48" s="446">
        <f t="shared" ref="I48:K53" si="24">AVERAGE(P48,U48,Z48,AE48,AJ48,AO48,AT48)</f>
        <v>12.285714285714286</v>
      </c>
      <c r="J48" s="446">
        <f t="shared" si="24"/>
        <v>1841.3571428571427</v>
      </c>
      <c r="K48" s="438">
        <f t="shared" si="24"/>
        <v>150.42346938775796</v>
      </c>
      <c r="L48" s="541"/>
      <c r="M48" s="445">
        <f>RANK(K48, K$47:$K$61)</f>
        <v>5</v>
      </c>
      <c r="N48" s="559"/>
      <c r="O48" s="559"/>
      <c r="P48" s="436">
        <v>12</v>
      </c>
      <c r="Q48" s="182">
        <v>1708.5000000000027</v>
      </c>
      <c r="R48" s="182">
        <v>142.37500000000023</v>
      </c>
      <c r="S48" s="443">
        <f t="shared" ref="S48:S53" si="25">RANK(R48, R$47:R$61)</f>
        <v>5</v>
      </c>
      <c r="T48" s="605"/>
      <c r="U48" s="436">
        <v>12</v>
      </c>
      <c r="V48" s="182">
        <v>1872.000000000003</v>
      </c>
      <c r="W48" s="182">
        <v>156.00000000000026</v>
      </c>
      <c r="X48" s="443">
        <f t="shared" ref="X48:X53" si="26">RANK(W48, W$47:W$61)</f>
        <v>4</v>
      </c>
      <c r="Y48" s="605"/>
      <c r="Z48" s="436">
        <v>14</v>
      </c>
      <c r="AA48" s="182">
        <v>1777.4999999999955</v>
      </c>
      <c r="AB48" s="182">
        <v>126.9642857142854</v>
      </c>
      <c r="AC48" s="443">
        <f t="shared" ref="AC48:AC53" si="27">RANK(AB48, AB$47:AB$61)</f>
        <v>5</v>
      </c>
      <c r="AD48" s="605"/>
      <c r="AE48" s="436">
        <v>12</v>
      </c>
      <c r="AF48" s="182">
        <v>1923.9999999999968</v>
      </c>
      <c r="AG48" s="182">
        <v>160.33333333333306</v>
      </c>
      <c r="AH48" s="443">
        <f t="shared" ref="AH48:AH53" si="28">RANK(AG48, AG$47:AG$61)</f>
        <v>4</v>
      </c>
      <c r="AI48" s="605"/>
      <c r="AJ48" s="436">
        <v>12</v>
      </c>
      <c r="AK48" s="182">
        <v>1862.0000000000018</v>
      </c>
      <c r="AL48" s="182">
        <v>155.16666666668701</v>
      </c>
      <c r="AM48" s="443">
        <f t="shared" ref="AM48:AM53" si="29">RANK(AL48, AL$47:AL$61)</f>
        <v>5</v>
      </c>
      <c r="AN48" s="605"/>
      <c r="AO48" s="436">
        <v>12</v>
      </c>
      <c r="AP48" s="182">
        <v>1801.4999999999955</v>
      </c>
      <c r="AQ48" s="182">
        <v>150.12499999999963</v>
      </c>
      <c r="AR48" s="443">
        <f t="shared" ref="AR48:AR53" si="30">RANK(AQ48, AQ$47:AQ$61)</f>
        <v>4</v>
      </c>
      <c r="AS48" s="605"/>
      <c r="AT48" s="436">
        <v>12</v>
      </c>
      <c r="AU48" s="182">
        <v>1944.0000000000025</v>
      </c>
      <c r="AV48" s="182">
        <v>162.0000000000002</v>
      </c>
      <c r="AW48" s="443">
        <f t="shared" ref="AW48:AW53" si="31">RANK(AV48, AV$47:AV$61)</f>
        <v>3</v>
      </c>
      <c r="AX48" s="605"/>
    </row>
    <row r="49" spans="2:50">
      <c r="B49" s="572"/>
      <c r="C49" s="436">
        <v>3</v>
      </c>
      <c r="D49" s="436" t="s">
        <v>370</v>
      </c>
      <c r="E49" s="436">
        <v>15</v>
      </c>
      <c r="F49" s="436">
        <v>1800</v>
      </c>
      <c r="G49" s="182">
        <v>120</v>
      </c>
      <c r="H49" s="609"/>
      <c r="I49" s="446">
        <f t="shared" si="24"/>
        <v>12.285714285714286</v>
      </c>
      <c r="J49" s="446">
        <f t="shared" si="24"/>
        <v>1893.4761904761906</v>
      </c>
      <c r="K49" s="438">
        <f t="shared" si="24"/>
        <v>154.69274376417232</v>
      </c>
      <c r="L49" s="541"/>
      <c r="M49" s="445">
        <f>RANK(K49, K$47:$K$61)</f>
        <v>3</v>
      </c>
      <c r="N49" s="559"/>
      <c r="O49" s="559"/>
      <c r="P49" s="436">
        <v>12</v>
      </c>
      <c r="Q49" s="182">
        <v>2338.5000000000041</v>
      </c>
      <c r="R49" s="182">
        <v>194.87500000000034</v>
      </c>
      <c r="S49" s="443">
        <f t="shared" si="25"/>
        <v>3</v>
      </c>
      <c r="T49" s="605"/>
      <c r="U49" s="436">
        <v>12</v>
      </c>
      <c r="V49" s="182">
        <v>1858.5000000000032</v>
      </c>
      <c r="W49" s="182">
        <v>154.87500000000026</v>
      </c>
      <c r="X49" s="443">
        <f t="shared" si="26"/>
        <v>5</v>
      </c>
      <c r="Y49" s="605"/>
      <c r="Z49" s="436">
        <v>14</v>
      </c>
      <c r="AA49" s="182">
        <v>1820.9999999999955</v>
      </c>
      <c r="AB49" s="182">
        <v>130.07142857142824</v>
      </c>
      <c r="AC49" s="443">
        <f t="shared" si="27"/>
        <v>4</v>
      </c>
      <c r="AD49" s="605"/>
      <c r="AE49" s="436">
        <v>12</v>
      </c>
      <c r="AF49" s="182">
        <v>1951.9999999999964</v>
      </c>
      <c r="AG49" s="182">
        <v>162.66666666666637</v>
      </c>
      <c r="AH49" s="443">
        <f t="shared" si="28"/>
        <v>3</v>
      </c>
      <c r="AI49" s="605"/>
      <c r="AJ49" s="436">
        <v>12</v>
      </c>
      <c r="AK49" s="182">
        <v>1890.0000000000018</v>
      </c>
      <c r="AL49" s="182">
        <v>157.50000000000014</v>
      </c>
      <c r="AM49" s="443">
        <f t="shared" si="29"/>
        <v>4</v>
      </c>
      <c r="AN49" s="605"/>
      <c r="AO49" s="436">
        <v>12</v>
      </c>
      <c r="AP49" s="182">
        <v>1645.3333333333333</v>
      </c>
      <c r="AQ49" s="182">
        <v>137.11111111111111</v>
      </c>
      <c r="AR49" s="443">
        <f t="shared" si="30"/>
        <v>5</v>
      </c>
      <c r="AS49" s="605"/>
      <c r="AT49" s="436">
        <v>12</v>
      </c>
      <c r="AU49" s="182">
        <v>1748.9999999999993</v>
      </c>
      <c r="AV49" s="182">
        <v>145.74999999999994</v>
      </c>
      <c r="AW49" s="443">
        <f t="shared" si="31"/>
        <v>4</v>
      </c>
      <c r="AX49" s="605"/>
    </row>
    <row r="50" spans="2:50">
      <c r="B50" s="572"/>
      <c r="C50" s="436">
        <v>4</v>
      </c>
      <c r="D50" s="436" t="s">
        <v>556</v>
      </c>
      <c r="E50" s="436">
        <v>5</v>
      </c>
      <c r="F50" s="436">
        <v>1500</v>
      </c>
      <c r="G50" s="182">
        <v>300</v>
      </c>
      <c r="H50" s="609"/>
      <c r="I50" s="446">
        <f t="shared" si="24"/>
        <v>6</v>
      </c>
      <c r="J50" s="446">
        <f t="shared" si="24"/>
        <v>1534.2415030789653</v>
      </c>
      <c r="K50" s="438">
        <f t="shared" si="24"/>
        <v>255.70691717982751</v>
      </c>
      <c r="L50" s="541"/>
      <c r="M50" s="445">
        <f>RANK(K50, K$47:$K$61)</f>
        <v>2</v>
      </c>
      <c r="N50" s="559"/>
      <c r="O50" s="559"/>
      <c r="P50" s="436">
        <v>6</v>
      </c>
      <c r="Q50" s="182">
        <v>1514.1176470588216</v>
      </c>
      <c r="R50" s="182">
        <v>252.35294117647027</v>
      </c>
      <c r="S50" s="443">
        <f t="shared" si="25"/>
        <v>2</v>
      </c>
      <c r="T50" s="605"/>
      <c r="U50" s="436">
        <v>6</v>
      </c>
      <c r="V50" s="182">
        <v>1496.9999999999995</v>
      </c>
      <c r="W50" s="182">
        <v>249.49999999999991</v>
      </c>
      <c r="X50" s="443">
        <f t="shared" si="26"/>
        <v>2</v>
      </c>
      <c r="Y50" s="605"/>
      <c r="Z50" s="436">
        <v>6</v>
      </c>
      <c r="AA50" s="182">
        <v>1556.8421052631602</v>
      </c>
      <c r="AB50" s="182">
        <v>259.4736842105267</v>
      </c>
      <c r="AC50" s="443">
        <f t="shared" si="27"/>
        <v>2</v>
      </c>
      <c r="AD50" s="605"/>
      <c r="AE50" s="436">
        <v>6</v>
      </c>
      <c r="AF50" s="182">
        <v>1460.0000000000014</v>
      </c>
      <c r="AG50" s="182">
        <v>243.33333333333357</v>
      </c>
      <c r="AH50" s="443">
        <f t="shared" si="28"/>
        <v>2</v>
      </c>
      <c r="AI50" s="605"/>
      <c r="AJ50" s="436">
        <v>6</v>
      </c>
      <c r="AK50" s="182">
        <v>1569.23076923077</v>
      </c>
      <c r="AL50" s="182">
        <v>261.53846153846166</v>
      </c>
      <c r="AM50" s="443">
        <f t="shared" si="29"/>
        <v>2</v>
      </c>
      <c r="AN50" s="605"/>
      <c r="AO50" s="436">
        <v>6</v>
      </c>
      <c r="AP50" s="182">
        <v>1590.000000000002</v>
      </c>
      <c r="AQ50" s="182">
        <v>265.00000000000034</v>
      </c>
      <c r="AR50" s="443">
        <f t="shared" si="30"/>
        <v>2</v>
      </c>
      <c r="AS50" s="605"/>
      <c r="AT50" s="436">
        <v>6</v>
      </c>
      <c r="AU50" s="182">
        <v>1552.5000000000018</v>
      </c>
      <c r="AV50" s="182">
        <v>258.75000000000028</v>
      </c>
      <c r="AW50" s="443">
        <f t="shared" si="31"/>
        <v>2</v>
      </c>
      <c r="AX50" s="605"/>
    </row>
    <row r="51" spans="2:50">
      <c r="B51" s="572"/>
      <c r="C51" s="436">
        <v>5</v>
      </c>
      <c r="D51" s="436" t="s">
        <v>490</v>
      </c>
      <c r="E51" s="436">
        <v>5</v>
      </c>
      <c r="F51" s="436">
        <v>1500</v>
      </c>
      <c r="G51" s="182">
        <v>300</v>
      </c>
      <c r="H51" s="609"/>
      <c r="I51" s="446">
        <f t="shared" si="24"/>
        <v>5</v>
      </c>
      <c r="J51" s="446">
        <f t="shared" si="24"/>
        <v>1529.8630036630034</v>
      </c>
      <c r="K51" s="438">
        <f t="shared" si="24"/>
        <v>305.9726007326035</v>
      </c>
      <c r="L51" s="541"/>
      <c r="M51" s="445">
        <f>RANK(K51, K$47:$K$61)</f>
        <v>1</v>
      </c>
      <c r="N51" s="559"/>
      <c r="O51" s="559"/>
      <c r="P51" s="436">
        <v>5</v>
      </c>
      <c r="Q51" s="182">
        <v>1495.2000000000028</v>
      </c>
      <c r="R51" s="182">
        <v>299.04000000000053</v>
      </c>
      <c r="S51" s="443">
        <f t="shared" si="25"/>
        <v>1</v>
      </c>
      <c r="T51" s="605"/>
      <c r="U51" s="436">
        <v>5</v>
      </c>
      <c r="V51" s="182">
        <v>1493.3333333333342</v>
      </c>
      <c r="W51" s="182">
        <v>298.66666666668698</v>
      </c>
      <c r="X51" s="443">
        <f t="shared" si="26"/>
        <v>1</v>
      </c>
      <c r="Y51" s="605"/>
      <c r="Z51" s="436">
        <v>5</v>
      </c>
      <c r="AA51" s="182">
        <v>1543.199999999998</v>
      </c>
      <c r="AB51" s="182">
        <v>308.63999999999959</v>
      </c>
      <c r="AC51" s="443">
        <f t="shared" si="27"/>
        <v>1</v>
      </c>
      <c r="AD51" s="605"/>
      <c r="AE51" s="436">
        <v>5</v>
      </c>
      <c r="AF51" s="182">
        <v>1500.0000000000023</v>
      </c>
      <c r="AG51" s="182">
        <v>300.00000000000045</v>
      </c>
      <c r="AH51" s="443">
        <f t="shared" si="28"/>
        <v>1</v>
      </c>
      <c r="AI51" s="605"/>
      <c r="AJ51" s="436">
        <v>5</v>
      </c>
      <c r="AK51" s="182">
        <v>1629.999999999995</v>
      </c>
      <c r="AL51" s="182">
        <v>325.99999999999898</v>
      </c>
      <c r="AM51" s="443">
        <f t="shared" si="29"/>
        <v>1</v>
      </c>
      <c r="AN51" s="605"/>
      <c r="AO51" s="436">
        <v>5</v>
      </c>
      <c r="AP51" s="182">
        <v>1532.3076923076931</v>
      </c>
      <c r="AQ51" s="182">
        <v>306.46153846153862</v>
      </c>
      <c r="AR51" s="443">
        <f t="shared" si="30"/>
        <v>1</v>
      </c>
      <c r="AS51" s="605"/>
      <c r="AT51" s="436">
        <v>5</v>
      </c>
      <c r="AU51" s="182">
        <v>1514.9999999999977</v>
      </c>
      <c r="AV51" s="182">
        <v>302.99999999999955</v>
      </c>
      <c r="AW51" s="443">
        <f t="shared" si="31"/>
        <v>1</v>
      </c>
      <c r="AX51" s="605"/>
    </row>
    <row r="52" spans="2:50">
      <c r="B52" s="572"/>
      <c r="C52" s="436">
        <v>6</v>
      </c>
      <c r="D52" s="436" t="s">
        <v>558</v>
      </c>
      <c r="E52" s="436">
        <v>15</v>
      </c>
      <c r="F52" s="436">
        <v>1200</v>
      </c>
      <c r="G52" s="182">
        <v>80</v>
      </c>
      <c r="H52" s="609"/>
      <c r="I52" s="446">
        <f t="shared" si="24"/>
        <v>10</v>
      </c>
      <c r="J52" s="446">
        <f t="shared" si="24"/>
        <v>985.14285714285768</v>
      </c>
      <c r="K52" s="438">
        <f t="shared" si="24"/>
        <v>98.514285714285805</v>
      </c>
      <c r="L52" s="541"/>
      <c r="M52" s="445">
        <f>RANK(K52, K$47:$K$61)</f>
        <v>6</v>
      </c>
      <c r="N52" s="559"/>
      <c r="O52" s="559"/>
      <c r="P52" s="436">
        <v>10</v>
      </c>
      <c r="Q52" s="182">
        <v>863.99999999999841</v>
      </c>
      <c r="R52" s="182">
        <v>86.399999999999835</v>
      </c>
      <c r="S52" s="443">
        <f t="shared" si="25"/>
        <v>6</v>
      </c>
      <c r="T52" s="605"/>
      <c r="U52" s="436">
        <v>10</v>
      </c>
      <c r="V52" s="182">
        <v>1147.999999999998</v>
      </c>
      <c r="W52" s="182">
        <v>114.7999999999998</v>
      </c>
      <c r="X52" s="443">
        <f t="shared" si="26"/>
        <v>6</v>
      </c>
      <c r="Y52" s="605"/>
      <c r="Z52" s="436">
        <v>10</v>
      </c>
      <c r="AA52" s="182">
        <v>1248.0000000000045</v>
      </c>
      <c r="AB52" s="182">
        <v>124.80000000000045</v>
      </c>
      <c r="AC52" s="443">
        <f t="shared" si="27"/>
        <v>6</v>
      </c>
      <c r="AD52" s="605"/>
      <c r="AE52" s="436">
        <v>10</v>
      </c>
      <c r="AF52" s="182">
        <v>768.00000000000273</v>
      </c>
      <c r="AG52" s="182">
        <v>76.800000000000267</v>
      </c>
      <c r="AH52" s="443">
        <f t="shared" si="28"/>
        <v>6</v>
      </c>
      <c r="AI52" s="605"/>
      <c r="AJ52" s="436">
        <v>10</v>
      </c>
      <c r="AK52" s="182">
        <v>624.00000000000227</v>
      </c>
      <c r="AL52" s="182">
        <v>62.400000000000226</v>
      </c>
      <c r="AM52" s="443">
        <f t="shared" si="29"/>
        <v>7</v>
      </c>
      <c r="AN52" s="605"/>
      <c r="AO52" s="436">
        <v>10</v>
      </c>
      <c r="AP52" s="182">
        <v>1140.0000000000041</v>
      </c>
      <c r="AQ52" s="182">
        <v>114.00000000000041</v>
      </c>
      <c r="AR52" s="443">
        <f t="shared" si="30"/>
        <v>6</v>
      </c>
      <c r="AS52" s="605"/>
      <c r="AT52" s="436">
        <v>10</v>
      </c>
      <c r="AU52" s="182">
        <v>1103.999999999995</v>
      </c>
      <c r="AV52" s="182">
        <v>110.39999999999949</v>
      </c>
      <c r="AW52" s="443">
        <f t="shared" si="31"/>
        <v>6</v>
      </c>
      <c r="AX52" s="605"/>
    </row>
    <row r="53" spans="2:50">
      <c r="B53" s="572"/>
      <c r="C53" s="436">
        <v>7</v>
      </c>
      <c r="D53" s="436" t="s">
        <v>631</v>
      </c>
      <c r="E53" s="436">
        <v>13</v>
      </c>
      <c r="F53" s="436">
        <v>1300</v>
      </c>
      <c r="G53" s="182">
        <v>100</v>
      </c>
      <c r="H53" s="609"/>
      <c r="I53" s="446">
        <f t="shared" si="24"/>
        <v>15</v>
      </c>
      <c r="J53" s="446">
        <f t="shared" si="24"/>
        <v>1131.7142857142844</v>
      </c>
      <c r="K53" s="438">
        <f t="shared" si="24"/>
        <v>75.447619047618971</v>
      </c>
      <c r="L53" s="541"/>
      <c r="M53" s="445">
        <f>RANK(K53, K$47:$K$61)</f>
        <v>7</v>
      </c>
      <c r="N53" s="559"/>
      <c r="O53" s="559"/>
      <c r="P53" s="436">
        <v>15</v>
      </c>
      <c r="Q53" s="182">
        <v>1262.9999999999995</v>
      </c>
      <c r="R53" s="182">
        <v>84.199999999999974</v>
      </c>
      <c r="S53" s="443">
        <f t="shared" si="25"/>
        <v>7</v>
      </c>
      <c r="T53" s="605"/>
      <c r="U53" s="436">
        <v>15</v>
      </c>
      <c r="V53" s="182">
        <v>1223.9999999999977</v>
      </c>
      <c r="W53" s="182">
        <v>81.599999999999852</v>
      </c>
      <c r="X53" s="443">
        <f t="shared" si="26"/>
        <v>7</v>
      </c>
      <c r="Y53" s="605"/>
      <c r="Z53" s="436">
        <v>15</v>
      </c>
      <c r="AA53" s="182">
        <v>1112.9999999999995</v>
      </c>
      <c r="AB53" s="182">
        <v>74.199999999999974</v>
      </c>
      <c r="AC53" s="443">
        <f t="shared" si="27"/>
        <v>7</v>
      </c>
      <c r="AD53" s="605"/>
      <c r="AE53" s="436">
        <v>15</v>
      </c>
      <c r="AF53" s="182">
        <v>1055.9999999999982</v>
      </c>
      <c r="AG53" s="182">
        <v>70.399999999999878</v>
      </c>
      <c r="AH53" s="443">
        <f t="shared" si="28"/>
        <v>7</v>
      </c>
      <c r="AI53" s="605"/>
      <c r="AJ53" s="436">
        <v>15</v>
      </c>
      <c r="AK53" s="182">
        <v>1169.999999999995</v>
      </c>
      <c r="AL53" s="182">
        <v>77.999999999999673</v>
      </c>
      <c r="AM53" s="443">
        <f t="shared" si="29"/>
        <v>6</v>
      </c>
      <c r="AN53" s="605"/>
      <c r="AO53" s="436">
        <v>15</v>
      </c>
      <c r="AP53" s="182">
        <v>1163.999999999998</v>
      </c>
      <c r="AQ53" s="182">
        <v>77.599999999999866</v>
      </c>
      <c r="AR53" s="443">
        <f t="shared" si="30"/>
        <v>7</v>
      </c>
      <c r="AS53" s="605"/>
      <c r="AT53" s="436">
        <v>15</v>
      </c>
      <c r="AU53" s="182">
        <v>932.0000000000033</v>
      </c>
      <c r="AV53" s="182">
        <v>62.133333333333553</v>
      </c>
      <c r="AW53" s="443">
        <f t="shared" si="31"/>
        <v>7</v>
      </c>
      <c r="AX53" s="605"/>
    </row>
    <row r="54" spans="2:50">
      <c r="B54" s="572"/>
      <c r="C54" s="436">
        <v>8</v>
      </c>
      <c r="D54" s="436"/>
      <c r="E54" s="436"/>
      <c r="F54" s="436"/>
      <c r="G54" s="182"/>
      <c r="H54" s="609"/>
      <c r="I54" s="446"/>
      <c r="J54" s="446"/>
      <c r="K54" s="438"/>
      <c r="L54" s="541"/>
      <c r="M54" s="445" t="e">
        <f>RANK(K54, K$47:$K$61)</f>
        <v>#N/A</v>
      </c>
      <c r="N54" s="559"/>
      <c r="O54" s="559"/>
      <c r="P54" s="436"/>
      <c r="Q54" s="436"/>
      <c r="R54" s="436"/>
      <c r="S54" s="443"/>
      <c r="T54" s="605"/>
      <c r="U54" s="436"/>
      <c r="V54" s="436"/>
      <c r="W54" s="436"/>
      <c r="X54" s="443"/>
      <c r="Y54" s="605"/>
      <c r="Z54" s="436"/>
      <c r="AA54" s="436"/>
      <c r="AB54" s="436"/>
      <c r="AC54" s="443"/>
      <c r="AD54" s="605"/>
      <c r="AE54" s="436"/>
      <c r="AF54" s="436"/>
      <c r="AG54" s="436"/>
      <c r="AH54" s="443"/>
      <c r="AI54" s="605"/>
      <c r="AJ54" s="436"/>
      <c r="AK54" s="436"/>
      <c r="AL54" s="436"/>
      <c r="AM54" s="443"/>
      <c r="AN54" s="605"/>
      <c r="AO54" s="436"/>
      <c r="AP54" s="436"/>
      <c r="AQ54" s="436"/>
      <c r="AR54" s="443"/>
      <c r="AS54" s="605"/>
      <c r="AT54" s="436"/>
      <c r="AU54" s="436"/>
      <c r="AV54" s="436"/>
      <c r="AW54" s="443"/>
      <c r="AX54" s="605"/>
    </row>
    <row r="55" spans="2:50">
      <c r="B55" s="572"/>
      <c r="C55" s="436">
        <v>9</v>
      </c>
      <c r="D55" s="436"/>
      <c r="E55" s="436"/>
      <c r="F55" s="436"/>
      <c r="G55" s="182"/>
      <c r="H55" s="609"/>
      <c r="I55" s="446"/>
      <c r="J55" s="446"/>
      <c r="K55" s="438"/>
      <c r="L55" s="541"/>
      <c r="M55" s="445" t="e">
        <f>RANK(K55, K$47:$K$61)</f>
        <v>#N/A</v>
      </c>
      <c r="N55" s="559"/>
      <c r="O55" s="559"/>
      <c r="P55" s="436"/>
      <c r="Q55" s="436"/>
      <c r="R55" s="436"/>
      <c r="S55" s="443"/>
      <c r="T55" s="605"/>
      <c r="U55" s="436"/>
      <c r="V55" s="436"/>
      <c r="W55" s="436"/>
      <c r="X55" s="443"/>
      <c r="Y55" s="605"/>
      <c r="Z55" s="436"/>
      <c r="AA55" s="436"/>
      <c r="AB55" s="436"/>
      <c r="AC55" s="443"/>
      <c r="AD55" s="605"/>
      <c r="AE55" s="436"/>
      <c r="AF55" s="436"/>
      <c r="AG55" s="436"/>
      <c r="AH55" s="443"/>
      <c r="AI55" s="605"/>
      <c r="AJ55" s="436"/>
      <c r="AK55" s="436"/>
      <c r="AL55" s="436"/>
      <c r="AM55" s="443"/>
      <c r="AN55" s="605"/>
      <c r="AO55" s="436"/>
      <c r="AP55" s="436"/>
      <c r="AQ55" s="436"/>
      <c r="AR55" s="443"/>
      <c r="AS55" s="605"/>
      <c r="AT55" s="436"/>
      <c r="AU55" s="436"/>
      <c r="AV55" s="436"/>
      <c r="AW55" s="443"/>
      <c r="AX55" s="605"/>
    </row>
    <row r="56" spans="2:50">
      <c r="B56" s="572"/>
      <c r="C56" s="436">
        <v>10</v>
      </c>
      <c r="D56" s="436"/>
      <c r="E56" s="436"/>
      <c r="F56" s="436"/>
      <c r="G56" s="182"/>
      <c r="H56" s="609"/>
      <c r="I56" s="446"/>
      <c r="J56" s="446"/>
      <c r="K56" s="438"/>
      <c r="L56" s="541"/>
      <c r="M56" s="445" t="e">
        <f>RANK(K56, K$47:$K$61)</f>
        <v>#N/A</v>
      </c>
      <c r="N56" s="559"/>
      <c r="O56" s="559"/>
      <c r="P56" s="436"/>
      <c r="Q56" s="436"/>
      <c r="R56" s="436"/>
      <c r="S56" s="443"/>
      <c r="T56" s="605"/>
      <c r="U56" s="436"/>
      <c r="V56" s="436"/>
      <c r="W56" s="436"/>
      <c r="X56" s="443"/>
      <c r="Y56" s="605"/>
      <c r="Z56" s="436"/>
      <c r="AA56" s="436"/>
      <c r="AB56" s="436"/>
      <c r="AC56" s="443"/>
      <c r="AD56" s="605"/>
      <c r="AE56" s="436"/>
      <c r="AF56" s="436"/>
      <c r="AG56" s="436"/>
      <c r="AH56" s="443"/>
      <c r="AI56" s="605"/>
      <c r="AJ56" s="436"/>
      <c r="AK56" s="436"/>
      <c r="AL56" s="436"/>
      <c r="AM56" s="443"/>
      <c r="AN56" s="605"/>
      <c r="AO56" s="436"/>
      <c r="AP56" s="436"/>
      <c r="AQ56" s="436"/>
      <c r="AR56" s="443"/>
      <c r="AS56" s="605"/>
      <c r="AT56" s="436"/>
      <c r="AU56" s="436"/>
      <c r="AV56" s="436"/>
      <c r="AW56" s="443"/>
      <c r="AX56" s="605"/>
    </row>
    <row r="57" spans="2:50">
      <c r="B57" s="572"/>
      <c r="C57" s="436">
        <v>11</v>
      </c>
      <c r="D57" s="436"/>
      <c r="E57" s="436"/>
      <c r="F57" s="436"/>
      <c r="G57" s="182"/>
      <c r="H57" s="609"/>
      <c r="I57" s="202"/>
      <c r="J57" s="202"/>
      <c r="K57" s="202"/>
      <c r="L57" s="541"/>
      <c r="M57" s="445" t="e">
        <f>RANK(K57, K$47:$K$61)</f>
        <v>#N/A</v>
      </c>
      <c r="N57" s="559"/>
      <c r="O57" s="559"/>
      <c r="P57" s="436"/>
      <c r="Q57" s="436"/>
      <c r="R57" s="436"/>
      <c r="S57" s="443"/>
      <c r="T57" s="605"/>
      <c r="U57" s="436"/>
      <c r="V57" s="436"/>
      <c r="W57" s="436"/>
      <c r="X57" s="443"/>
      <c r="Y57" s="605"/>
      <c r="Z57" s="436"/>
      <c r="AA57" s="436"/>
      <c r="AB57" s="436"/>
      <c r="AC57" s="443"/>
      <c r="AD57" s="605"/>
      <c r="AE57" s="436"/>
      <c r="AF57" s="436"/>
      <c r="AG57" s="436"/>
      <c r="AH57" s="443"/>
      <c r="AI57" s="605"/>
      <c r="AJ57" s="436"/>
      <c r="AK57" s="436"/>
      <c r="AL57" s="436"/>
      <c r="AM57" s="443"/>
      <c r="AN57" s="605"/>
      <c r="AO57" s="436"/>
      <c r="AP57" s="436"/>
      <c r="AQ57" s="436"/>
      <c r="AR57" s="443"/>
      <c r="AS57" s="605"/>
      <c r="AT57" s="436"/>
      <c r="AU57" s="436"/>
      <c r="AV57" s="436"/>
      <c r="AW57" s="443"/>
      <c r="AX57" s="605"/>
    </row>
    <row r="58" spans="2:50">
      <c r="B58" s="572"/>
      <c r="C58" s="436">
        <v>12</v>
      </c>
      <c r="D58" s="436"/>
      <c r="E58" s="436"/>
      <c r="F58" s="436"/>
      <c r="G58" s="182"/>
      <c r="H58" s="609"/>
      <c r="I58" s="202"/>
      <c r="J58" s="202"/>
      <c r="K58" s="202"/>
      <c r="L58" s="541"/>
      <c r="M58" s="445" t="e">
        <f>RANK(K58, K$47:$K$61)</f>
        <v>#N/A</v>
      </c>
      <c r="N58" s="559"/>
      <c r="O58" s="559"/>
      <c r="P58" s="436"/>
      <c r="Q58" s="436"/>
      <c r="R58" s="436"/>
      <c r="S58" s="443"/>
      <c r="T58" s="605"/>
      <c r="U58" s="436"/>
      <c r="V58" s="436"/>
      <c r="W58" s="436"/>
      <c r="X58" s="443"/>
      <c r="Y58" s="605"/>
      <c r="Z58" s="436"/>
      <c r="AA58" s="436"/>
      <c r="AB58" s="436"/>
      <c r="AC58" s="443"/>
      <c r="AD58" s="605"/>
      <c r="AE58" s="436"/>
      <c r="AF58" s="436"/>
      <c r="AG58" s="436"/>
      <c r="AH58" s="443"/>
      <c r="AI58" s="605"/>
      <c r="AJ58" s="436"/>
      <c r="AK58" s="436"/>
      <c r="AL58" s="436"/>
      <c r="AM58" s="443"/>
      <c r="AN58" s="605"/>
      <c r="AO58" s="436"/>
      <c r="AP58" s="436"/>
      <c r="AQ58" s="436"/>
      <c r="AR58" s="443"/>
      <c r="AS58" s="605"/>
      <c r="AT58" s="436"/>
      <c r="AU58" s="436"/>
      <c r="AV58" s="436"/>
      <c r="AW58" s="443"/>
      <c r="AX58" s="605"/>
    </row>
    <row r="59" spans="2:50">
      <c r="B59" s="572"/>
      <c r="C59" s="436">
        <v>13</v>
      </c>
      <c r="D59" s="436"/>
      <c r="E59" s="436"/>
      <c r="F59" s="436"/>
      <c r="G59" s="182"/>
      <c r="H59" s="609"/>
      <c r="I59" s="202"/>
      <c r="J59" s="202"/>
      <c r="K59" s="202"/>
      <c r="L59" s="541"/>
      <c r="M59" s="445" t="e">
        <f>RANK(K59, K$47:$K$61)</f>
        <v>#N/A</v>
      </c>
      <c r="N59" s="559"/>
      <c r="O59" s="559"/>
      <c r="P59" s="436"/>
      <c r="Q59" s="436"/>
      <c r="R59" s="436"/>
      <c r="S59" s="443"/>
      <c r="T59" s="605"/>
      <c r="U59" s="436"/>
      <c r="V59" s="436"/>
      <c r="W59" s="436"/>
      <c r="X59" s="443"/>
      <c r="Y59" s="605"/>
      <c r="Z59" s="436"/>
      <c r="AA59" s="436"/>
      <c r="AB59" s="436"/>
      <c r="AC59" s="443"/>
      <c r="AD59" s="605"/>
      <c r="AE59" s="436"/>
      <c r="AF59" s="436"/>
      <c r="AG59" s="436"/>
      <c r="AH59" s="443"/>
      <c r="AI59" s="605"/>
      <c r="AJ59" s="436"/>
      <c r="AK59" s="436"/>
      <c r="AL59" s="436"/>
      <c r="AM59" s="443"/>
      <c r="AN59" s="605"/>
      <c r="AO59" s="436"/>
      <c r="AP59" s="436"/>
      <c r="AQ59" s="436"/>
      <c r="AR59" s="443"/>
      <c r="AS59" s="605"/>
      <c r="AT59" s="436"/>
      <c r="AU59" s="436"/>
      <c r="AV59" s="436"/>
      <c r="AW59" s="443"/>
      <c r="AX59" s="605"/>
    </row>
    <row r="60" spans="2:50">
      <c r="B60" s="572"/>
      <c r="C60" s="436">
        <v>14</v>
      </c>
      <c r="D60" s="436"/>
      <c r="E60" s="436"/>
      <c r="F60" s="436"/>
      <c r="G60" s="182"/>
      <c r="H60" s="609"/>
      <c r="I60" s="202"/>
      <c r="J60" s="202"/>
      <c r="K60" s="202"/>
      <c r="L60" s="541"/>
      <c r="M60" s="445" t="e">
        <f>RANK(K60, K$47:$K$61)</f>
        <v>#N/A</v>
      </c>
      <c r="N60" s="559"/>
      <c r="O60" s="559"/>
      <c r="P60" s="436"/>
      <c r="Q60" s="436"/>
      <c r="R60" s="436"/>
      <c r="S60" s="443"/>
      <c r="T60" s="605"/>
      <c r="U60" s="436"/>
      <c r="V60" s="436"/>
      <c r="W60" s="436"/>
      <c r="X60" s="443"/>
      <c r="Y60" s="605"/>
      <c r="Z60" s="436"/>
      <c r="AA60" s="436"/>
      <c r="AB60" s="436"/>
      <c r="AC60" s="443"/>
      <c r="AD60" s="605"/>
      <c r="AE60" s="436"/>
      <c r="AF60" s="436"/>
      <c r="AG60" s="436"/>
      <c r="AH60" s="443"/>
      <c r="AI60" s="605"/>
      <c r="AJ60" s="436"/>
      <c r="AK60" s="436"/>
      <c r="AL60" s="436"/>
      <c r="AM60" s="443"/>
      <c r="AN60" s="605"/>
      <c r="AO60" s="436"/>
      <c r="AP60" s="436"/>
      <c r="AQ60" s="436"/>
      <c r="AR60" s="443"/>
      <c r="AS60" s="605"/>
      <c r="AT60" s="436"/>
      <c r="AU60" s="436"/>
      <c r="AV60" s="436"/>
      <c r="AW60" s="443"/>
      <c r="AX60" s="605"/>
    </row>
    <row r="61" spans="2:50">
      <c r="B61" s="572"/>
      <c r="C61" s="436">
        <v>15</v>
      </c>
      <c r="D61" s="436"/>
      <c r="E61" s="436"/>
      <c r="F61" s="436"/>
      <c r="G61" s="436"/>
      <c r="H61" s="610"/>
      <c r="I61" s="202"/>
      <c r="J61" s="202"/>
      <c r="K61" s="202"/>
      <c r="L61" s="542"/>
      <c r="M61" s="445" t="e">
        <f>RANK(K61, K$47:$K$61)</f>
        <v>#N/A</v>
      </c>
      <c r="N61" s="559"/>
      <c r="O61" s="559"/>
      <c r="P61" s="436"/>
      <c r="Q61" s="436"/>
      <c r="R61" s="436"/>
      <c r="S61" s="443"/>
      <c r="T61" s="605"/>
      <c r="U61" s="436"/>
      <c r="V61" s="436"/>
      <c r="W61" s="436"/>
      <c r="X61" s="443"/>
      <c r="Y61" s="605"/>
      <c r="Z61" s="436"/>
      <c r="AA61" s="436"/>
      <c r="AB61" s="436"/>
      <c r="AC61" s="443"/>
      <c r="AD61" s="605"/>
      <c r="AE61" s="436"/>
      <c r="AF61" s="436"/>
      <c r="AG61" s="436"/>
      <c r="AH61" s="443"/>
      <c r="AI61" s="605"/>
      <c r="AJ61" s="436"/>
      <c r="AK61" s="436"/>
      <c r="AL61" s="436"/>
      <c r="AM61" s="443"/>
      <c r="AN61" s="605"/>
      <c r="AO61" s="436"/>
      <c r="AP61" s="436"/>
      <c r="AQ61" s="436"/>
      <c r="AR61" s="443"/>
      <c r="AS61" s="605"/>
      <c r="AT61" s="436"/>
      <c r="AU61" s="436"/>
      <c r="AV61" s="436"/>
      <c r="AW61" s="443"/>
      <c r="AX61" s="605"/>
    </row>
    <row r="62" spans="2:50" ht="15.75">
      <c r="B62" s="576" t="s">
        <v>731</v>
      </c>
      <c r="C62" s="577"/>
      <c r="D62" s="577"/>
      <c r="E62" s="577"/>
      <c r="F62" s="577"/>
      <c r="G62" s="577"/>
      <c r="H62" s="578"/>
      <c r="I62" s="208"/>
      <c r="J62" s="208"/>
      <c r="K62" s="208"/>
      <c r="L62" s="208"/>
      <c r="M62" s="207"/>
      <c r="N62" s="565" t="s">
        <v>732</v>
      </c>
      <c r="O62" s="565" t="s">
        <v>733</v>
      </c>
      <c r="P62" s="571">
        <f>P42+7</f>
        <v>20</v>
      </c>
      <c r="Q62" s="572"/>
      <c r="R62" s="572"/>
      <c r="S62" s="572"/>
      <c r="T62" s="572"/>
      <c r="U62" s="568">
        <f>P62+1</f>
        <v>21</v>
      </c>
      <c r="V62" s="569"/>
      <c r="W62" s="569"/>
      <c r="X62" s="569"/>
      <c r="Y62" s="570"/>
      <c r="Z62" s="568">
        <f>U62+1</f>
        <v>22</v>
      </c>
      <c r="AA62" s="569"/>
      <c r="AB62" s="569"/>
      <c r="AC62" s="569"/>
      <c r="AD62" s="570"/>
      <c r="AE62" s="568">
        <f>Z62+1</f>
        <v>23</v>
      </c>
      <c r="AF62" s="569"/>
      <c r="AG62" s="569"/>
      <c r="AH62" s="569"/>
      <c r="AI62" s="570"/>
      <c r="AJ62" s="568">
        <f>AE62+1</f>
        <v>24</v>
      </c>
      <c r="AK62" s="569"/>
      <c r="AL62" s="569"/>
      <c r="AM62" s="569"/>
      <c r="AN62" s="570"/>
      <c r="AO62" s="568">
        <f>AJ62+1</f>
        <v>25</v>
      </c>
      <c r="AP62" s="569"/>
      <c r="AQ62" s="569"/>
      <c r="AR62" s="569"/>
      <c r="AS62" s="570"/>
      <c r="AT62" s="568">
        <f>AO62+1</f>
        <v>26</v>
      </c>
      <c r="AU62" s="569"/>
      <c r="AV62" s="569"/>
      <c r="AW62" s="569"/>
      <c r="AX62" s="570"/>
    </row>
    <row r="63" spans="2:50" ht="15.75">
      <c r="B63" s="579"/>
      <c r="C63" s="579"/>
      <c r="D63" s="579"/>
      <c r="E63" s="579"/>
      <c r="F63" s="579"/>
      <c r="G63" s="579"/>
      <c r="H63" s="579"/>
      <c r="I63" s="205"/>
      <c r="J63" s="205"/>
      <c r="K63" s="205"/>
      <c r="L63" s="205"/>
      <c r="M63" s="206"/>
      <c r="N63" s="567"/>
      <c r="O63" s="567"/>
      <c r="P63" s="571" t="s">
        <v>734</v>
      </c>
      <c r="Q63" s="572"/>
      <c r="R63" s="572"/>
      <c r="S63" s="572"/>
      <c r="T63" s="572"/>
      <c r="U63" s="571" t="s">
        <v>735</v>
      </c>
      <c r="V63" s="572"/>
      <c r="W63" s="572"/>
      <c r="X63" s="572"/>
      <c r="Y63" s="572"/>
      <c r="Z63" s="571" t="s">
        <v>736</v>
      </c>
      <c r="AA63" s="572"/>
      <c r="AB63" s="572"/>
      <c r="AC63" s="572"/>
      <c r="AD63" s="572"/>
      <c r="AE63" s="571" t="s">
        <v>737</v>
      </c>
      <c r="AF63" s="572"/>
      <c r="AG63" s="572"/>
      <c r="AH63" s="572"/>
      <c r="AI63" s="572"/>
      <c r="AJ63" s="571" t="s">
        <v>738</v>
      </c>
      <c r="AK63" s="572"/>
      <c r="AL63" s="572"/>
      <c r="AM63" s="572"/>
      <c r="AN63" s="572"/>
      <c r="AO63" s="571" t="s">
        <v>739</v>
      </c>
      <c r="AP63" s="572"/>
      <c r="AQ63" s="572"/>
      <c r="AR63" s="572"/>
      <c r="AS63" s="572"/>
      <c r="AT63" s="571" t="s">
        <v>740</v>
      </c>
      <c r="AU63" s="572"/>
      <c r="AV63" s="572"/>
      <c r="AW63" s="572"/>
      <c r="AX63" s="572"/>
    </row>
    <row r="64" spans="2:50">
      <c r="B64" s="559" t="s">
        <v>741</v>
      </c>
      <c r="C64" s="559" t="s">
        <v>742</v>
      </c>
      <c r="D64" s="559"/>
      <c r="E64" s="559" t="s">
        <v>743</v>
      </c>
      <c r="F64" s="559"/>
      <c r="G64" s="559"/>
      <c r="H64" s="560" t="s">
        <v>744</v>
      </c>
      <c r="I64" s="543" t="s">
        <v>745</v>
      </c>
      <c r="J64" s="543"/>
      <c r="K64" s="543"/>
      <c r="L64" s="544" t="s">
        <v>744</v>
      </c>
      <c r="M64" s="550" t="s">
        <v>746</v>
      </c>
      <c r="N64" s="559"/>
      <c r="O64" s="559" t="s">
        <v>747</v>
      </c>
      <c r="P64" s="556" t="s">
        <v>748</v>
      </c>
      <c r="Q64" s="557"/>
      <c r="R64" s="557"/>
      <c r="S64" s="558"/>
      <c r="T64" s="559" t="s">
        <v>744</v>
      </c>
      <c r="U64" s="556" t="s">
        <v>748</v>
      </c>
      <c r="V64" s="557"/>
      <c r="W64" s="557"/>
      <c r="X64" s="558"/>
      <c r="Y64" s="559" t="s">
        <v>744</v>
      </c>
      <c r="Z64" s="556" t="s">
        <v>748</v>
      </c>
      <c r="AA64" s="557"/>
      <c r="AB64" s="557"/>
      <c r="AC64" s="558"/>
      <c r="AD64" s="559" t="s">
        <v>744</v>
      </c>
      <c r="AE64" s="556" t="s">
        <v>748</v>
      </c>
      <c r="AF64" s="557"/>
      <c r="AG64" s="557"/>
      <c r="AH64" s="558"/>
      <c r="AI64" s="559" t="s">
        <v>744</v>
      </c>
      <c r="AJ64" s="556" t="s">
        <v>748</v>
      </c>
      <c r="AK64" s="557"/>
      <c r="AL64" s="557"/>
      <c r="AM64" s="558"/>
      <c r="AN64" s="559" t="s">
        <v>744</v>
      </c>
      <c r="AO64" s="556" t="s">
        <v>748</v>
      </c>
      <c r="AP64" s="557"/>
      <c r="AQ64" s="557"/>
      <c r="AR64" s="558"/>
      <c r="AS64" s="559" t="s">
        <v>744</v>
      </c>
      <c r="AT64" s="556" t="s">
        <v>748</v>
      </c>
      <c r="AU64" s="557"/>
      <c r="AV64" s="557"/>
      <c r="AW64" s="558"/>
      <c r="AX64" s="559" t="s">
        <v>744</v>
      </c>
    </row>
    <row r="65" spans="2:50">
      <c r="B65" s="559"/>
      <c r="C65" s="559"/>
      <c r="D65" s="559"/>
      <c r="E65" s="559" t="s">
        <v>749</v>
      </c>
      <c r="F65" s="559"/>
      <c r="G65" s="559"/>
      <c r="H65" s="561"/>
      <c r="I65" s="543" t="s">
        <v>749</v>
      </c>
      <c r="J65" s="543"/>
      <c r="K65" s="543"/>
      <c r="L65" s="545"/>
      <c r="M65" s="551"/>
      <c r="N65" s="559"/>
      <c r="O65" s="559"/>
      <c r="P65" s="556" t="s">
        <v>750</v>
      </c>
      <c r="Q65" s="557"/>
      <c r="R65" s="557"/>
      <c r="S65" s="558"/>
      <c r="T65" s="559"/>
      <c r="U65" s="556" t="s">
        <v>750</v>
      </c>
      <c r="V65" s="557"/>
      <c r="W65" s="557"/>
      <c r="X65" s="558"/>
      <c r="Y65" s="559"/>
      <c r="Z65" s="556" t="s">
        <v>750</v>
      </c>
      <c r="AA65" s="557"/>
      <c r="AB65" s="557"/>
      <c r="AC65" s="558"/>
      <c r="AD65" s="559"/>
      <c r="AE65" s="556" t="s">
        <v>750</v>
      </c>
      <c r="AF65" s="557"/>
      <c r="AG65" s="557"/>
      <c r="AH65" s="558"/>
      <c r="AI65" s="559"/>
      <c r="AJ65" s="556" t="s">
        <v>750</v>
      </c>
      <c r="AK65" s="557"/>
      <c r="AL65" s="557"/>
      <c r="AM65" s="558"/>
      <c r="AN65" s="559"/>
      <c r="AO65" s="556" t="s">
        <v>750</v>
      </c>
      <c r="AP65" s="557"/>
      <c r="AQ65" s="557"/>
      <c r="AR65" s="558"/>
      <c r="AS65" s="559"/>
      <c r="AT65" s="556" t="s">
        <v>750</v>
      </c>
      <c r="AU65" s="557"/>
      <c r="AV65" s="557"/>
      <c r="AW65" s="558"/>
      <c r="AX65" s="559"/>
    </row>
    <row r="66" spans="2:50">
      <c r="B66" s="559"/>
      <c r="C66" s="559"/>
      <c r="D66" s="559"/>
      <c r="E66" s="440" t="s">
        <v>751</v>
      </c>
      <c r="F66" s="440" t="s">
        <v>752</v>
      </c>
      <c r="G66" s="440" t="s">
        <v>753</v>
      </c>
      <c r="H66" s="562"/>
      <c r="I66" s="444" t="s">
        <v>751</v>
      </c>
      <c r="J66" s="444" t="s">
        <v>752</v>
      </c>
      <c r="K66" s="444" t="s">
        <v>753</v>
      </c>
      <c r="L66" s="546"/>
      <c r="M66" s="552"/>
      <c r="N66" s="559"/>
      <c r="O66" s="559"/>
      <c r="P66" s="440" t="s">
        <v>751</v>
      </c>
      <c r="Q66" s="440" t="s">
        <v>752</v>
      </c>
      <c r="R66" s="440" t="s">
        <v>753</v>
      </c>
      <c r="S66" s="440" t="s">
        <v>746</v>
      </c>
      <c r="T66" s="559"/>
      <c r="U66" s="440" t="s">
        <v>751</v>
      </c>
      <c r="V66" s="440" t="s">
        <v>752</v>
      </c>
      <c r="W66" s="440" t="s">
        <v>753</v>
      </c>
      <c r="X66" s="440" t="s">
        <v>746</v>
      </c>
      <c r="Y66" s="559"/>
      <c r="Z66" s="440" t="s">
        <v>751</v>
      </c>
      <c r="AA66" s="440" t="s">
        <v>752</v>
      </c>
      <c r="AB66" s="440" t="s">
        <v>753</v>
      </c>
      <c r="AC66" s="440" t="s">
        <v>746</v>
      </c>
      <c r="AD66" s="559"/>
      <c r="AE66" s="440" t="s">
        <v>751</v>
      </c>
      <c r="AF66" s="440" t="s">
        <v>752</v>
      </c>
      <c r="AG66" s="440" t="s">
        <v>753</v>
      </c>
      <c r="AH66" s="440" t="s">
        <v>746</v>
      </c>
      <c r="AI66" s="559"/>
      <c r="AJ66" s="440" t="s">
        <v>751</v>
      </c>
      <c r="AK66" s="440" t="s">
        <v>752</v>
      </c>
      <c r="AL66" s="440" t="s">
        <v>753</v>
      </c>
      <c r="AM66" s="440" t="s">
        <v>746</v>
      </c>
      <c r="AN66" s="559"/>
      <c r="AO66" s="440" t="s">
        <v>751</v>
      </c>
      <c r="AP66" s="440" t="s">
        <v>752</v>
      </c>
      <c r="AQ66" s="440" t="s">
        <v>753</v>
      </c>
      <c r="AR66" s="440" t="s">
        <v>746</v>
      </c>
      <c r="AS66" s="559"/>
      <c r="AT66" s="440" t="s">
        <v>751</v>
      </c>
      <c r="AU66" s="440" t="s">
        <v>752</v>
      </c>
      <c r="AV66" s="440" t="s">
        <v>753</v>
      </c>
      <c r="AW66" s="440" t="s">
        <v>746</v>
      </c>
      <c r="AX66" s="559"/>
    </row>
    <row r="67" spans="2:50">
      <c r="B67" s="607" t="s">
        <v>783</v>
      </c>
      <c r="C67" s="436">
        <v>1</v>
      </c>
      <c r="D67" s="436" t="s">
        <v>368</v>
      </c>
      <c r="E67" s="436">
        <v>10</v>
      </c>
      <c r="F67" s="436">
        <v>1500</v>
      </c>
      <c r="G67" s="182">
        <v>150</v>
      </c>
      <c r="H67" s="608">
        <f>AVERAGE(G81:G87)</f>
        <v>150</v>
      </c>
      <c r="I67" s="446">
        <f>AVERAGE(P87,U87,Z87,AE87,AJ87,AO87,AT87)</f>
        <v>10</v>
      </c>
      <c r="J67" s="446">
        <f>AVERAGE(Q87,V87,AA87,AF87,AK87,AP87,AU87)</f>
        <v>1465.9199999999955</v>
      </c>
      <c r="K67" s="438">
        <f>AVERAGE(R87,W87,AB87,AG87,AL87,AQ87,AV87)</f>
        <v>146.59199999999953</v>
      </c>
      <c r="L67" s="540">
        <f>IFERROR(AVERAGE(K81:K87),"-")</f>
        <v>146.59199999999953</v>
      </c>
      <c r="M67" s="445">
        <f>RANK(K87, K$81:$K$87)</f>
        <v>1</v>
      </c>
      <c r="N67" s="559"/>
      <c r="O67" s="559"/>
      <c r="P67" s="182">
        <v>10</v>
      </c>
      <c r="Q67" s="182">
        <v>1615.2000000000005</v>
      </c>
      <c r="R67" s="437">
        <v>161.52000000000004</v>
      </c>
      <c r="S67" s="436">
        <f>RANK(R87, R$81:R$87)</f>
        <v>1</v>
      </c>
      <c r="T67" s="605">
        <f>AVERAGE(R81:R87)</f>
        <v>164.39999999999927</v>
      </c>
      <c r="U67" s="182">
        <v>10</v>
      </c>
      <c r="V67" s="182">
        <v>1615.2000000000005</v>
      </c>
      <c r="W67" s="437">
        <v>161.52000000000004</v>
      </c>
      <c r="X67" s="436">
        <f>RANK(W87, W$81:W$87)</f>
        <v>1</v>
      </c>
      <c r="Y67" s="605">
        <f>AVERAGE(W81:W87)</f>
        <v>137.51999999999958</v>
      </c>
      <c r="Z67" s="182">
        <v>10</v>
      </c>
      <c r="AA67" s="182">
        <v>1490.4000000000003</v>
      </c>
      <c r="AB67" s="437">
        <v>149.04000000000002</v>
      </c>
      <c r="AC67" s="436">
        <f>RANK(AB87, AB$81:AB$87)</f>
        <v>1</v>
      </c>
      <c r="AD67" s="605">
        <f>AVERAGE(AB81:AB87)</f>
        <v>145.43999999999957</v>
      </c>
      <c r="AE67" s="182">
        <v>10</v>
      </c>
      <c r="AF67" s="182">
        <v>1317.0000000000045</v>
      </c>
      <c r="AG67" s="437">
        <v>131.70000000000044</v>
      </c>
      <c r="AH67" s="436">
        <f>RANK(AG87, AG$81:AG$87)</f>
        <v>1</v>
      </c>
      <c r="AI67" s="605">
        <f>AVERAGE(AG81:AG87)</f>
        <v>145.49999999999994</v>
      </c>
      <c r="AJ67" s="182">
        <v>10</v>
      </c>
      <c r="AK67" s="182">
        <v>1238.9999999999995</v>
      </c>
      <c r="AL67" s="437">
        <v>123.89999999999995</v>
      </c>
      <c r="AM67" s="436">
        <f>RANK(AL87, AL$81:AL$87)</f>
        <v>1</v>
      </c>
      <c r="AN67" s="605">
        <f>AVERAGE(AL81:AL87)</f>
        <v>140.09999999999937</v>
      </c>
      <c r="AO67" s="182">
        <v>10</v>
      </c>
      <c r="AP67" s="182">
        <v>1437.6000000000004</v>
      </c>
      <c r="AQ67" s="437">
        <v>143.76000000000005</v>
      </c>
      <c r="AR67" s="436" t="e">
        <f>RANK(AQ87, AQ$81:AQ$87)</f>
        <v>#N/A</v>
      </c>
      <c r="AS67" s="605" t="e">
        <f>AVERAGE(AQ81:AQ87)</f>
        <v>#DIV/0!</v>
      </c>
      <c r="AT67" s="182">
        <v>10</v>
      </c>
      <c r="AU67" s="182">
        <v>1368.0000000000005</v>
      </c>
      <c r="AV67" s="437">
        <v>136.80000000000004</v>
      </c>
      <c r="AW67" s="436" t="e">
        <f>RANK(AV87, AV$81:AV$87)</f>
        <v>#N/A</v>
      </c>
      <c r="AX67" s="605" t="e">
        <f>AVERAGE(AV81:AV87)</f>
        <v>#DIV/0!</v>
      </c>
    </row>
    <row r="68" spans="2:50">
      <c r="B68" s="572"/>
      <c r="C68" s="436">
        <v>2</v>
      </c>
      <c r="D68" s="436" t="s">
        <v>369</v>
      </c>
      <c r="E68" s="436">
        <v>15</v>
      </c>
      <c r="F68" s="436">
        <v>1800</v>
      </c>
      <c r="G68" s="182">
        <v>120</v>
      </c>
      <c r="H68" s="609"/>
      <c r="I68" s="446">
        <f t="shared" ref="I68:K73" si="32">AVERAGE(P68,U68,Z68,AE68,AJ68,AO68,AT68)</f>
        <v>12.285714285714286</v>
      </c>
      <c r="J68" s="446">
        <f t="shared" si="32"/>
        <v>1756.3571428571449</v>
      </c>
      <c r="K68" s="438">
        <f t="shared" si="32"/>
        <v>143.21003401360556</v>
      </c>
      <c r="L68" s="541"/>
      <c r="M68" s="445" t="e">
        <f>RANK(K68, K$81:$K$87)</f>
        <v>#N/A</v>
      </c>
      <c r="N68" s="559"/>
      <c r="O68" s="559"/>
      <c r="P68" s="436">
        <v>12</v>
      </c>
      <c r="Q68" s="182">
        <v>1684</v>
      </c>
      <c r="R68" s="437">
        <v>140.33333333333334</v>
      </c>
      <c r="S68" s="436" t="e">
        <f t="shared" ref="S68:S81" si="33">RANK(R68, R$81:R$87)</f>
        <v>#N/A</v>
      </c>
      <c r="T68" s="605"/>
      <c r="U68" s="436">
        <v>12</v>
      </c>
      <c r="V68" s="182">
        <v>1684</v>
      </c>
      <c r="W68" s="437">
        <v>140.33333333333334</v>
      </c>
      <c r="X68" s="436" t="e">
        <f t="shared" ref="X68:X81" si="34">RANK(W68, W$81:W$87)</f>
        <v>#N/A</v>
      </c>
      <c r="Y68" s="605"/>
      <c r="Z68" s="436">
        <v>14</v>
      </c>
      <c r="AA68" s="182">
        <v>1854.000000000003</v>
      </c>
      <c r="AB68" s="437">
        <v>132.42857142857164</v>
      </c>
      <c r="AC68" s="436" t="e">
        <f t="shared" ref="AC68:AC81" si="35">RANK(AB68, AB$81:AB$87)</f>
        <v>#N/A</v>
      </c>
      <c r="AD68" s="605"/>
      <c r="AE68" s="436">
        <v>12</v>
      </c>
      <c r="AF68" s="182">
        <v>1884.0000000000018</v>
      </c>
      <c r="AG68" s="437">
        <v>157.00000000000014</v>
      </c>
      <c r="AH68" s="436" t="e">
        <f t="shared" ref="AH68:AH81" si="36">RANK(AG68, AG$81:AG$87)</f>
        <v>#N/A</v>
      </c>
      <c r="AI68" s="605"/>
      <c r="AJ68" s="436">
        <v>12</v>
      </c>
      <c r="AK68" s="182">
        <v>1770.0000000000018</v>
      </c>
      <c r="AL68" s="437">
        <v>147.50000000000014</v>
      </c>
      <c r="AM68" s="436" t="e">
        <f t="shared" ref="AM68:AM81" si="37">RANK(AL68, AL$81:AL$87)</f>
        <v>#N/A</v>
      </c>
      <c r="AN68" s="605"/>
      <c r="AO68" s="436">
        <v>12</v>
      </c>
      <c r="AP68" s="182">
        <v>1734.0000000000027</v>
      </c>
      <c r="AQ68" s="437">
        <v>144.50000000000023</v>
      </c>
      <c r="AR68" s="436" t="e">
        <f t="shared" ref="AR68:AR81" si="38">RANK(AQ68, AQ$81:AQ$87)</f>
        <v>#N/A</v>
      </c>
      <c r="AS68" s="605"/>
      <c r="AT68" s="436">
        <v>12</v>
      </c>
      <c r="AU68" s="182">
        <v>1684.5000000000027</v>
      </c>
      <c r="AV68" s="437">
        <v>140.37500000000023</v>
      </c>
      <c r="AW68" s="436" t="e">
        <f t="shared" ref="AW68:AW81" si="39">RANK(AV68, AV$81:AV$87)</f>
        <v>#N/A</v>
      </c>
      <c r="AX68" s="605"/>
    </row>
    <row r="69" spans="2:50">
      <c r="B69" s="572"/>
      <c r="C69" s="436">
        <v>3</v>
      </c>
      <c r="D69" s="436" t="s">
        <v>370</v>
      </c>
      <c r="E69" s="436">
        <v>15</v>
      </c>
      <c r="F69" s="436">
        <v>1800</v>
      </c>
      <c r="G69" s="182">
        <v>120</v>
      </c>
      <c r="H69" s="609"/>
      <c r="I69" s="446">
        <f t="shared" si="32"/>
        <v>12.285714285714286</v>
      </c>
      <c r="J69" s="446">
        <f t="shared" si="32"/>
        <v>1793.0952380952392</v>
      </c>
      <c r="K69" s="438">
        <f t="shared" si="32"/>
        <v>146.21286848072859</v>
      </c>
      <c r="L69" s="541"/>
      <c r="M69" s="445" t="e">
        <f>RANK(K69, K$81:$K$87)</f>
        <v>#N/A</v>
      </c>
      <c r="N69" s="559"/>
      <c r="O69" s="559"/>
      <c r="P69" s="436">
        <v>12</v>
      </c>
      <c r="Q69" s="182">
        <v>1729.3333333333335</v>
      </c>
      <c r="R69" s="437">
        <v>144.11111111111111</v>
      </c>
      <c r="S69" s="436" t="e">
        <f t="shared" si="33"/>
        <v>#N/A</v>
      </c>
      <c r="T69" s="605"/>
      <c r="U69" s="436">
        <v>12</v>
      </c>
      <c r="V69" s="182">
        <v>1729.3333333333335</v>
      </c>
      <c r="W69" s="437">
        <v>144.11111111111111</v>
      </c>
      <c r="X69" s="436" t="e">
        <f t="shared" si="34"/>
        <v>#N/A</v>
      </c>
      <c r="Y69" s="605"/>
      <c r="Z69" s="436">
        <v>14</v>
      </c>
      <c r="AA69" s="182">
        <v>1888.5000000000032</v>
      </c>
      <c r="AB69" s="437">
        <v>134.89285714285737</v>
      </c>
      <c r="AC69" s="436" t="e">
        <f t="shared" si="35"/>
        <v>#N/A</v>
      </c>
      <c r="AD69" s="605"/>
      <c r="AE69" s="436">
        <v>12</v>
      </c>
      <c r="AF69" s="182">
        <v>1910.0000000000018</v>
      </c>
      <c r="AG69" s="437">
        <v>159.16666666668701</v>
      </c>
      <c r="AH69" s="436" t="e">
        <f t="shared" si="36"/>
        <v>#N/A</v>
      </c>
      <c r="AI69" s="605"/>
      <c r="AJ69" s="436">
        <v>12</v>
      </c>
      <c r="AK69" s="182">
        <v>1773.9999999999968</v>
      </c>
      <c r="AL69" s="437">
        <v>147.83333333333306</v>
      </c>
      <c r="AM69" s="436" t="e">
        <f t="shared" si="37"/>
        <v>#N/A</v>
      </c>
      <c r="AN69" s="605"/>
      <c r="AO69" s="436">
        <v>12</v>
      </c>
      <c r="AP69" s="182">
        <v>1792.5000000000027</v>
      </c>
      <c r="AQ69" s="437">
        <v>149.37500000000023</v>
      </c>
      <c r="AR69" s="436" t="e">
        <f t="shared" si="38"/>
        <v>#N/A</v>
      </c>
      <c r="AS69" s="605"/>
      <c r="AT69" s="436">
        <v>12</v>
      </c>
      <c r="AU69" s="182">
        <v>1728.0000000000027</v>
      </c>
      <c r="AV69" s="437">
        <v>144.00000000000023</v>
      </c>
      <c r="AW69" s="436" t="e">
        <f t="shared" si="39"/>
        <v>#N/A</v>
      </c>
      <c r="AX69" s="605"/>
    </row>
    <row r="70" spans="2:50">
      <c r="B70" s="572"/>
      <c r="C70" s="436">
        <v>4</v>
      </c>
      <c r="D70" s="436" t="s">
        <v>556</v>
      </c>
      <c r="E70" s="436">
        <v>5</v>
      </c>
      <c r="F70" s="436">
        <v>1500</v>
      </c>
      <c r="G70" s="182">
        <v>300</v>
      </c>
      <c r="H70" s="609"/>
      <c r="I70" s="446">
        <f t="shared" si="32"/>
        <v>6</v>
      </c>
      <c r="J70" s="446">
        <f t="shared" si="32"/>
        <v>1516.8319327731099</v>
      </c>
      <c r="K70" s="438">
        <f t="shared" si="32"/>
        <v>255.66246498599736</v>
      </c>
      <c r="L70" s="541"/>
      <c r="M70" s="445" t="e">
        <f>RANK(K70, K$81:$K$87)</f>
        <v>#N/A</v>
      </c>
      <c r="N70" s="559"/>
      <c r="O70" s="559"/>
      <c r="P70" s="436">
        <v>6</v>
      </c>
      <c r="Q70" s="182">
        <v>1530.0000000000023</v>
      </c>
      <c r="R70" s="437">
        <v>255.00000000000037</v>
      </c>
      <c r="S70" s="436" t="e">
        <f t="shared" si="33"/>
        <v>#N/A</v>
      </c>
      <c r="T70" s="605"/>
      <c r="U70" s="436">
        <v>6</v>
      </c>
      <c r="V70" s="182">
        <v>1530.0000000000023</v>
      </c>
      <c r="W70" s="437">
        <v>255.00000000000037</v>
      </c>
      <c r="X70" s="436" t="e">
        <f t="shared" si="34"/>
        <v>#N/A</v>
      </c>
      <c r="Y70" s="605"/>
      <c r="Z70" s="436">
        <v>6</v>
      </c>
      <c r="AA70" s="182">
        <v>1445.9999999999995</v>
      </c>
      <c r="AB70" s="437">
        <v>240.99999999999991</v>
      </c>
      <c r="AC70" s="436" t="e">
        <f t="shared" si="35"/>
        <v>#N/A</v>
      </c>
      <c r="AD70" s="605"/>
      <c r="AE70" s="436">
        <v>6</v>
      </c>
      <c r="AF70" s="182">
        <v>1468.0000000000014</v>
      </c>
      <c r="AG70" s="437">
        <v>244.66666666668701</v>
      </c>
      <c r="AH70" s="436" t="e">
        <f t="shared" si="36"/>
        <v>#N/A</v>
      </c>
      <c r="AI70" s="605"/>
      <c r="AJ70" s="436">
        <v>6</v>
      </c>
      <c r="AK70" s="182">
        <v>1605.0000000000005</v>
      </c>
      <c r="AL70" s="437">
        <v>287.5</v>
      </c>
      <c r="AM70" s="436" t="e">
        <f t="shared" si="37"/>
        <v>#N/A</v>
      </c>
      <c r="AN70" s="605"/>
      <c r="AO70" s="436">
        <v>6</v>
      </c>
      <c r="AP70" s="182">
        <v>1560.0000000000018</v>
      </c>
      <c r="AQ70" s="437">
        <v>260.00000000000028</v>
      </c>
      <c r="AR70" s="436" t="e">
        <f t="shared" si="38"/>
        <v>#N/A</v>
      </c>
      <c r="AS70" s="605"/>
      <c r="AT70" s="436">
        <v>6</v>
      </c>
      <c r="AU70" s="182">
        <v>1478.8235294117628</v>
      </c>
      <c r="AV70" s="437">
        <v>246.4705882352938</v>
      </c>
      <c r="AW70" s="436" t="e">
        <f t="shared" si="39"/>
        <v>#N/A</v>
      </c>
      <c r="AX70" s="605"/>
    </row>
    <row r="71" spans="2:50">
      <c r="B71" s="572"/>
      <c r="C71" s="436">
        <v>5</v>
      </c>
      <c r="D71" s="436" t="s">
        <v>490</v>
      </c>
      <c r="E71" s="436">
        <v>5</v>
      </c>
      <c r="F71" s="436">
        <v>1500</v>
      </c>
      <c r="G71" s="182">
        <v>300</v>
      </c>
      <c r="H71" s="609"/>
      <c r="I71" s="446">
        <f t="shared" si="32"/>
        <v>5</v>
      </c>
      <c r="J71" s="446">
        <f t="shared" si="32"/>
        <v>1534.0206948331179</v>
      </c>
      <c r="K71" s="438">
        <f t="shared" si="32"/>
        <v>306.80413896662361</v>
      </c>
      <c r="L71" s="541"/>
      <c r="M71" s="445" t="e">
        <f>RANK(K71, K$81:$K$87)</f>
        <v>#N/A</v>
      </c>
      <c r="N71" s="559"/>
      <c r="O71" s="559"/>
      <c r="P71" s="436">
        <v>5</v>
      </c>
      <c r="Q71" s="182">
        <v>1577.142857142856</v>
      </c>
      <c r="R71" s="437">
        <v>315.42857142857122</v>
      </c>
      <c r="S71" s="436" t="e">
        <f t="shared" si="33"/>
        <v>#N/A</v>
      </c>
      <c r="T71" s="605"/>
      <c r="U71" s="436">
        <v>5</v>
      </c>
      <c r="V71" s="182">
        <v>1577.142857142856</v>
      </c>
      <c r="W71" s="437">
        <v>315.42857142857122</v>
      </c>
      <c r="X71" s="436" t="e">
        <f t="shared" si="34"/>
        <v>#N/A</v>
      </c>
      <c r="Y71" s="605"/>
      <c r="Z71" s="436">
        <v>5</v>
      </c>
      <c r="AA71" s="182">
        <v>1452.857142857144</v>
      </c>
      <c r="AB71" s="437">
        <v>290.57142857142878</v>
      </c>
      <c r="AC71" s="436" t="e">
        <f t="shared" si="35"/>
        <v>#N/A</v>
      </c>
      <c r="AD71" s="605"/>
      <c r="AE71" s="436">
        <v>5</v>
      </c>
      <c r="AF71" s="182">
        <v>1445.2173913043505</v>
      </c>
      <c r="AG71" s="437">
        <v>289.04347826087007</v>
      </c>
      <c r="AH71" s="436" t="e">
        <f t="shared" si="36"/>
        <v>#N/A</v>
      </c>
      <c r="AI71" s="605"/>
      <c r="AJ71" s="436">
        <v>5</v>
      </c>
      <c r="AK71" s="182">
        <v>1640.0000000000023</v>
      </c>
      <c r="AL71" s="437">
        <v>328.00000000000045</v>
      </c>
      <c r="AM71" s="436" t="e">
        <f t="shared" si="37"/>
        <v>#N/A</v>
      </c>
      <c r="AN71" s="605"/>
      <c r="AO71" s="436">
        <v>5</v>
      </c>
      <c r="AP71" s="182">
        <v>1555.3846153846137</v>
      </c>
      <c r="AQ71" s="437">
        <v>311.07692307692275</v>
      </c>
      <c r="AR71" s="436" t="e">
        <f t="shared" si="38"/>
        <v>#N/A</v>
      </c>
      <c r="AS71" s="605"/>
      <c r="AT71" s="436">
        <v>5</v>
      </c>
      <c r="AU71" s="182">
        <v>1490.400000000003</v>
      </c>
      <c r="AV71" s="437">
        <v>298.08000000000061</v>
      </c>
      <c r="AW71" s="436" t="e">
        <f t="shared" si="39"/>
        <v>#N/A</v>
      </c>
      <c r="AX71" s="605"/>
    </row>
    <row r="72" spans="2:50">
      <c r="B72" s="572"/>
      <c r="C72" s="436">
        <v>6</v>
      </c>
      <c r="D72" s="436" t="s">
        <v>558</v>
      </c>
      <c r="E72" s="436">
        <v>15</v>
      </c>
      <c r="F72" s="436">
        <v>1200</v>
      </c>
      <c r="G72" s="182">
        <v>80</v>
      </c>
      <c r="H72" s="609"/>
      <c r="I72" s="446">
        <f t="shared" si="32"/>
        <v>12</v>
      </c>
      <c r="J72" s="446">
        <f t="shared" si="32"/>
        <v>1046.0000000000002</v>
      </c>
      <c r="K72" s="438">
        <f t="shared" si="32"/>
        <v>84.78571428571432</v>
      </c>
      <c r="L72" s="541"/>
      <c r="M72" s="445" t="e">
        <f>RANK(K72, K$81:$K$87)</f>
        <v>#N/A</v>
      </c>
      <c r="N72" s="559"/>
      <c r="O72" s="559"/>
      <c r="P72" s="436">
        <v>12</v>
      </c>
      <c r="Q72" s="182">
        <v>1284.0000000000045</v>
      </c>
      <c r="R72" s="437">
        <v>107.00000000000038</v>
      </c>
      <c r="S72" s="436" t="e">
        <f t="shared" si="33"/>
        <v>#N/A</v>
      </c>
      <c r="T72" s="605"/>
      <c r="U72" s="436">
        <v>12</v>
      </c>
      <c r="V72" s="182">
        <v>1284.0000000000045</v>
      </c>
      <c r="W72" s="437">
        <v>107.00000000000038</v>
      </c>
      <c r="X72" s="436" t="e">
        <f t="shared" si="34"/>
        <v>#N/A</v>
      </c>
      <c r="Y72" s="605"/>
      <c r="Z72" s="436">
        <v>12</v>
      </c>
      <c r="AA72" s="182">
        <v>1050.0000000000039</v>
      </c>
      <c r="AB72" s="437">
        <v>87.500000000000327</v>
      </c>
      <c r="AC72" s="436" t="e">
        <f t="shared" si="35"/>
        <v>#N/A</v>
      </c>
      <c r="AD72" s="605"/>
      <c r="AE72" s="436">
        <v>12</v>
      </c>
      <c r="AF72" s="182">
        <v>749.9999999999967</v>
      </c>
      <c r="AG72" s="437">
        <v>62.499999999999723</v>
      </c>
      <c r="AH72" s="436" t="e">
        <f t="shared" si="36"/>
        <v>#N/A</v>
      </c>
      <c r="AI72" s="605"/>
      <c r="AJ72" s="436">
        <v>12</v>
      </c>
      <c r="AK72" s="182">
        <v>878.00000000000205</v>
      </c>
      <c r="AL72" s="437">
        <v>56.500000000000199</v>
      </c>
      <c r="AM72" s="436" t="e">
        <f t="shared" si="37"/>
        <v>#N/A</v>
      </c>
      <c r="AN72" s="605"/>
      <c r="AO72" s="436">
        <v>12</v>
      </c>
      <c r="AP72" s="182">
        <v>1031.9999999999955</v>
      </c>
      <c r="AQ72" s="437">
        <v>85.999999999999616</v>
      </c>
      <c r="AR72" s="436" t="e">
        <f t="shared" si="38"/>
        <v>#N/A</v>
      </c>
      <c r="AS72" s="605"/>
      <c r="AT72" s="436">
        <v>12</v>
      </c>
      <c r="AU72" s="182">
        <v>1043.9999999999955</v>
      </c>
      <c r="AV72" s="437">
        <v>86.999999999999616</v>
      </c>
      <c r="AW72" s="436" t="e">
        <f t="shared" si="39"/>
        <v>#N/A</v>
      </c>
      <c r="AX72" s="605"/>
    </row>
    <row r="73" spans="2:50">
      <c r="B73" s="572"/>
      <c r="C73" s="436">
        <v>7</v>
      </c>
      <c r="D73" s="436" t="s">
        <v>631</v>
      </c>
      <c r="E73" s="436">
        <v>13</v>
      </c>
      <c r="F73" s="436">
        <v>1300</v>
      </c>
      <c r="G73" s="182">
        <v>100</v>
      </c>
      <c r="H73" s="609"/>
      <c r="I73" s="446">
        <f t="shared" si="32"/>
        <v>15</v>
      </c>
      <c r="J73" s="446">
        <f t="shared" si="32"/>
        <v>1011.9999999999981</v>
      </c>
      <c r="K73" s="438">
        <f t="shared" si="32"/>
        <v>87.466666666666498</v>
      </c>
      <c r="L73" s="541"/>
      <c r="M73" s="445" t="e">
        <f>RANK(K73, K$81:$K$87)</f>
        <v>#N/A</v>
      </c>
      <c r="N73" s="559"/>
      <c r="O73" s="559"/>
      <c r="P73" s="436">
        <v>15</v>
      </c>
      <c r="Q73" s="182">
        <v>1011.9999999999981</v>
      </c>
      <c r="R73" s="437">
        <v>87.466666666666498</v>
      </c>
      <c r="S73" s="436" t="e">
        <f t="shared" si="33"/>
        <v>#N/A</v>
      </c>
      <c r="T73" s="605"/>
      <c r="U73" s="436"/>
      <c r="V73" s="182"/>
      <c r="W73" s="437"/>
      <c r="X73" s="436" t="e">
        <f t="shared" si="34"/>
        <v>#N/A</v>
      </c>
      <c r="Y73" s="605"/>
      <c r="Z73" s="436"/>
      <c r="AA73" s="182"/>
      <c r="AB73" s="437"/>
      <c r="AC73" s="436" t="e">
        <f t="shared" si="35"/>
        <v>#N/A</v>
      </c>
      <c r="AD73" s="605"/>
      <c r="AE73" s="436"/>
      <c r="AF73" s="182"/>
      <c r="AG73" s="437"/>
      <c r="AH73" s="436" t="e">
        <f t="shared" si="36"/>
        <v>#N/A</v>
      </c>
      <c r="AI73" s="605"/>
      <c r="AJ73" s="436"/>
      <c r="AK73" s="182"/>
      <c r="AL73" s="437"/>
      <c r="AM73" s="436" t="e">
        <f t="shared" si="37"/>
        <v>#N/A</v>
      </c>
      <c r="AN73" s="605"/>
      <c r="AO73" s="436"/>
      <c r="AP73" s="182"/>
      <c r="AQ73" s="437"/>
      <c r="AR73" s="436" t="e">
        <f t="shared" si="38"/>
        <v>#N/A</v>
      </c>
      <c r="AS73" s="605"/>
      <c r="AT73" s="436"/>
      <c r="AU73" s="182"/>
      <c r="AV73" s="437"/>
      <c r="AW73" s="436" t="e">
        <f t="shared" si="39"/>
        <v>#N/A</v>
      </c>
      <c r="AX73" s="605"/>
    </row>
    <row r="74" spans="2:50">
      <c r="B74" s="572"/>
      <c r="C74" s="436">
        <v>8</v>
      </c>
      <c r="D74" s="436"/>
      <c r="E74" s="436"/>
      <c r="F74" s="436"/>
      <c r="G74" s="182"/>
      <c r="H74" s="609"/>
      <c r="I74" s="446"/>
      <c r="J74" s="446"/>
      <c r="K74" s="438"/>
      <c r="L74" s="541"/>
      <c r="M74" s="445" t="e">
        <f>RANK(K74, K$81:$K$87)</f>
        <v>#N/A</v>
      </c>
      <c r="N74" s="559"/>
      <c r="O74" s="559"/>
      <c r="P74" s="436"/>
      <c r="Q74" s="182"/>
      <c r="R74" s="437"/>
      <c r="S74" s="436" t="e">
        <f t="shared" si="33"/>
        <v>#N/A</v>
      </c>
      <c r="T74" s="605"/>
      <c r="U74" s="436"/>
      <c r="V74" s="182"/>
      <c r="W74" s="437"/>
      <c r="X74" s="436" t="e">
        <f t="shared" si="34"/>
        <v>#N/A</v>
      </c>
      <c r="Y74" s="605"/>
      <c r="Z74" s="436"/>
      <c r="AA74" s="182"/>
      <c r="AB74" s="437"/>
      <c r="AC74" s="436" t="e">
        <f t="shared" si="35"/>
        <v>#N/A</v>
      </c>
      <c r="AD74" s="605"/>
      <c r="AE74" s="436"/>
      <c r="AF74" s="182"/>
      <c r="AG74" s="437"/>
      <c r="AH74" s="436" t="e">
        <f t="shared" si="36"/>
        <v>#N/A</v>
      </c>
      <c r="AI74" s="605"/>
      <c r="AJ74" s="436"/>
      <c r="AK74" s="182"/>
      <c r="AL74" s="437"/>
      <c r="AM74" s="436" t="e">
        <f t="shared" si="37"/>
        <v>#N/A</v>
      </c>
      <c r="AN74" s="605"/>
      <c r="AO74" s="436"/>
      <c r="AP74" s="182"/>
      <c r="AQ74" s="437"/>
      <c r="AR74" s="436" t="e">
        <f t="shared" si="38"/>
        <v>#N/A</v>
      </c>
      <c r="AS74" s="605"/>
      <c r="AT74" s="436"/>
      <c r="AU74" s="182"/>
      <c r="AV74" s="437"/>
      <c r="AW74" s="436" t="e">
        <f t="shared" si="39"/>
        <v>#N/A</v>
      </c>
      <c r="AX74" s="605"/>
    </row>
    <row r="75" spans="2:50">
      <c r="B75" s="572"/>
      <c r="C75" s="436">
        <v>9</v>
      </c>
      <c r="D75" s="436"/>
      <c r="E75" s="436"/>
      <c r="F75" s="436"/>
      <c r="G75" s="182"/>
      <c r="H75" s="609"/>
      <c r="I75" s="446"/>
      <c r="J75" s="446"/>
      <c r="K75" s="438"/>
      <c r="L75" s="541"/>
      <c r="M75" s="445" t="e">
        <f>RANK(K75, K$81:$K$87)</f>
        <v>#N/A</v>
      </c>
      <c r="N75" s="559"/>
      <c r="O75" s="559"/>
      <c r="P75" s="436"/>
      <c r="Q75" s="182"/>
      <c r="R75" s="437"/>
      <c r="S75" s="436" t="e">
        <f t="shared" si="33"/>
        <v>#N/A</v>
      </c>
      <c r="T75" s="605"/>
      <c r="U75" s="436"/>
      <c r="V75" s="182"/>
      <c r="W75" s="437"/>
      <c r="X75" s="436" t="e">
        <f t="shared" si="34"/>
        <v>#N/A</v>
      </c>
      <c r="Y75" s="605"/>
      <c r="Z75" s="436"/>
      <c r="AA75" s="182"/>
      <c r="AB75" s="437"/>
      <c r="AC75" s="436" t="e">
        <f t="shared" si="35"/>
        <v>#N/A</v>
      </c>
      <c r="AD75" s="605"/>
      <c r="AE75" s="436"/>
      <c r="AF75" s="182"/>
      <c r="AG75" s="437"/>
      <c r="AH75" s="436" t="e">
        <f t="shared" si="36"/>
        <v>#N/A</v>
      </c>
      <c r="AI75" s="605"/>
      <c r="AJ75" s="436"/>
      <c r="AK75" s="182"/>
      <c r="AL75" s="437"/>
      <c r="AM75" s="436" t="e">
        <f t="shared" si="37"/>
        <v>#N/A</v>
      </c>
      <c r="AN75" s="605"/>
      <c r="AO75" s="436"/>
      <c r="AP75" s="182"/>
      <c r="AQ75" s="437"/>
      <c r="AR75" s="436" t="e">
        <f t="shared" si="38"/>
        <v>#N/A</v>
      </c>
      <c r="AS75" s="605"/>
      <c r="AT75" s="436"/>
      <c r="AU75" s="182"/>
      <c r="AV75" s="437"/>
      <c r="AW75" s="436" t="e">
        <f t="shared" si="39"/>
        <v>#N/A</v>
      </c>
      <c r="AX75" s="605"/>
    </row>
    <row r="76" spans="2:50">
      <c r="B76" s="572"/>
      <c r="C76" s="436">
        <v>10</v>
      </c>
      <c r="D76" s="436"/>
      <c r="E76" s="436"/>
      <c r="F76" s="436"/>
      <c r="G76" s="182"/>
      <c r="H76" s="609"/>
      <c r="I76" s="446"/>
      <c r="J76" s="446"/>
      <c r="K76" s="438"/>
      <c r="L76" s="541"/>
      <c r="M76" s="445" t="e">
        <f>RANK(K76, K$81:$K$87)</f>
        <v>#N/A</v>
      </c>
      <c r="N76" s="559"/>
      <c r="O76" s="559"/>
      <c r="P76" s="436"/>
      <c r="Q76" s="182"/>
      <c r="R76" s="437"/>
      <c r="S76" s="436" t="e">
        <f t="shared" si="33"/>
        <v>#N/A</v>
      </c>
      <c r="T76" s="605"/>
      <c r="U76" s="436"/>
      <c r="V76" s="182"/>
      <c r="W76" s="437"/>
      <c r="X76" s="436" t="e">
        <f t="shared" si="34"/>
        <v>#N/A</v>
      </c>
      <c r="Y76" s="605"/>
      <c r="Z76" s="436"/>
      <c r="AA76" s="182"/>
      <c r="AB76" s="437"/>
      <c r="AC76" s="436" t="e">
        <f t="shared" si="35"/>
        <v>#N/A</v>
      </c>
      <c r="AD76" s="605"/>
      <c r="AE76" s="436"/>
      <c r="AF76" s="182"/>
      <c r="AG76" s="437"/>
      <c r="AH76" s="436" t="e">
        <f t="shared" si="36"/>
        <v>#N/A</v>
      </c>
      <c r="AI76" s="605"/>
      <c r="AJ76" s="436"/>
      <c r="AK76" s="182"/>
      <c r="AL76" s="437"/>
      <c r="AM76" s="436" t="e">
        <f t="shared" si="37"/>
        <v>#N/A</v>
      </c>
      <c r="AN76" s="605"/>
      <c r="AO76" s="436"/>
      <c r="AP76" s="182"/>
      <c r="AQ76" s="437"/>
      <c r="AR76" s="436" t="e">
        <f t="shared" si="38"/>
        <v>#N/A</v>
      </c>
      <c r="AS76" s="605"/>
      <c r="AT76" s="436"/>
      <c r="AU76" s="182"/>
      <c r="AV76" s="437"/>
      <c r="AW76" s="436" t="e">
        <f t="shared" si="39"/>
        <v>#N/A</v>
      </c>
      <c r="AX76" s="605"/>
    </row>
    <row r="77" spans="2:50">
      <c r="B77" s="572"/>
      <c r="C77" s="436">
        <v>11</v>
      </c>
      <c r="D77" s="436"/>
      <c r="E77" s="436"/>
      <c r="F77" s="436"/>
      <c r="G77" s="182"/>
      <c r="H77" s="609"/>
      <c r="I77" s="202"/>
      <c r="J77" s="202"/>
      <c r="K77" s="202"/>
      <c r="L77" s="541"/>
      <c r="M77" s="445" t="e">
        <f>RANK(K77, K$81:$K$87)</f>
        <v>#N/A</v>
      </c>
      <c r="N77" s="559"/>
      <c r="O77" s="559"/>
      <c r="P77" s="436"/>
      <c r="Q77" s="436"/>
      <c r="R77" s="436"/>
      <c r="S77" s="436" t="e">
        <f t="shared" si="33"/>
        <v>#N/A</v>
      </c>
      <c r="T77" s="605"/>
      <c r="U77" s="436"/>
      <c r="V77" s="436"/>
      <c r="W77" s="436"/>
      <c r="X77" s="436" t="e">
        <f t="shared" si="34"/>
        <v>#N/A</v>
      </c>
      <c r="Y77" s="605"/>
      <c r="Z77" s="436"/>
      <c r="AA77" s="436"/>
      <c r="AB77" s="436"/>
      <c r="AC77" s="436" t="e">
        <f t="shared" si="35"/>
        <v>#N/A</v>
      </c>
      <c r="AD77" s="605"/>
      <c r="AE77" s="436"/>
      <c r="AF77" s="436"/>
      <c r="AG77" s="436"/>
      <c r="AH77" s="436" t="e">
        <f t="shared" si="36"/>
        <v>#N/A</v>
      </c>
      <c r="AI77" s="605"/>
      <c r="AJ77" s="436"/>
      <c r="AK77" s="436"/>
      <c r="AL77" s="436"/>
      <c r="AM77" s="436" t="e">
        <f t="shared" si="37"/>
        <v>#N/A</v>
      </c>
      <c r="AN77" s="605"/>
      <c r="AO77" s="436"/>
      <c r="AP77" s="436"/>
      <c r="AQ77" s="436"/>
      <c r="AR77" s="436" t="e">
        <f t="shared" si="38"/>
        <v>#N/A</v>
      </c>
      <c r="AS77" s="605"/>
      <c r="AT77" s="436"/>
      <c r="AU77" s="436"/>
      <c r="AV77" s="436"/>
      <c r="AW77" s="436" t="e">
        <f t="shared" si="39"/>
        <v>#N/A</v>
      </c>
      <c r="AX77" s="605"/>
    </row>
    <row r="78" spans="2:50">
      <c r="B78" s="572"/>
      <c r="C78" s="436">
        <v>12</v>
      </c>
      <c r="D78" s="436"/>
      <c r="E78" s="436"/>
      <c r="F78" s="436"/>
      <c r="G78" s="182"/>
      <c r="H78" s="609"/>
      <c r="I78" s="202"/>
      <c r="J78" s="202"/>
      <c r="K78" s="202"/>
      <c r="L78" s="541"/>
      <c r="M78" s="445" t="e">
        <f>RANK(K78, K$81:$K$87)</f>
        <v>#N/A</v>
      </c>
      <c r="N78" s="559"/>
      <c r="O78" s="559"/>
      <c r="P78" s="436"/>
      <c r="Q78" s="436"/>
      <c r="R78" s="436"/>
      <c r="S78" s="436" t="e">
        <f t="shared" si="33"/>
        <v>#N/A</v>
      </c>
      <c r="T78" s="605"/>
      <c r="U78" s="436"/>
      <c r="V78" s="436"/>
      <c r="W78" s="436"/>
      <c r="X78" s="436" t="e">
        <f t="shared" si="34"/>
        <v>#N/A</v>
      </c>
      <c r="Y78" s="605"/>
      <c r="Z78" s="436"/>
      <c r="AA78" s="436"/>
      <c r="AB78" s="436"/>
      <c r="AC78" s="436" t="e">
        <f t="shared" si="35"/>
        <v>#N/A</v>
      </c>
      <c r="AD78" s="605"/>
      <c r="AE78" s="436"/>
      <c r="AF78" s="436"/>
      <c r="AG78" s="436"/>
      <c r="AH78" s="436" t="e">
        <f t="shared" si="36"/>
        <v>#N/A</v>
      </c>
      <c r="AI78" s="605"/>
      <c r="AJ78" s="436"/>
      <c r="AK78" s="436"/>
      <c r="AL78" s="436"/>
      <c r="AM78" s="436" t="e">
        <f t="shared" si="37"/>
        <v>#N/A</v>
      </c>
      <c r="AN78" s="605"/>
      <c r="AO78" s="436"/>
      <c r="AP78" s="436"/>
      <c r="AQ78" s="436"/>
      <c r="AR78" s="436" t="e">
        <f t="shared" si="38"/>
        <v>#N/A</v>
      </c>
      <c r="AS78" s="605"/>
      <c r="AT78" s="436"/>
      <c r="AU78" s="436"/>
      <c r="AV78" s="436"/>
      <c r="AW78" s="436" t="e">
        <f t="shared" si="39"/>
        <v>#N/A</v>
      </c>
      <c r="AX78" s="605"/>
    </row>
    <row r="79" spans="2:50">
      <c r="B79" s="572"/>
      <c r="C79" s="436">
        <v>13</v>
      </c>
      <c r="D79" s="436"/>
      <c r="E79" s="436"/>
      <c r="F79" s="436"/>
      <c r="G79" s="182"/>
      <c r="H79" s="609"/>
      <c r="I79" s="202"/>
      <c r="J79" s="202"/>
      <c r="K79" s="202"/>
      <c r="L79" s="541"/>
      <c r="M79" s="445" t="e">
        <f>RANK(K79, K$81:$K$87)</f>
        <v>#N/A</v>
      </c>
      <c r="N79" s="559"/>
      <c r="O79" s="559"/>
      <c r="P79" s="436"/>
      <c r="Q79" s="436"/>
      <c r="R79" s="436"/>
      <c r="S79" s="436" t="e">
        <f t="shared" si="33"/>
        <v>#N/A</v>
      </c>
      <c r="T79" s="605"/>
      <c r="U79" s="436"/>
      <c r="V79" s="436"/>
      <c r="W79" s="436"/>
      <c r="X79" s="436" t="e">
        <f t="shared" si="34"/>
        <v>#N/A</v>
      </c>
      <c r="Y79" s="605"/>
      <c r="Z79" s="436"/>
      <c r="AA79" s="436"/>
      <c r="AB79" s="436"/>
      <c r="AC79" s="436" t="e">
        <f t="shared" si="35"/>
        <v>#N/A</v>
      </c>
      <c r="AD79" s="605"/>
      <c r="AE79" s="436"/>
      <c r="AF79" s="436"/>
      <c r="AG79" s="436"/>
      <c r="AH79" s="436" t="e">
        <f t="shared" si="36"/>
        <v>#N/A</v>
      </c>
      <c r="AI79" s="605"/>
      <c r="AJ79" s="436"/>
      <c r="AK79" s="436"/>
      <c r="AL79" s="436"/>
      <c r="AM79" s="436" t="e">
        <f t="shared" si="37"/>
        <v>#N/A</v>
      </c>
      <c r="AN79" s="605"/>
      <c r="AO79" s="436"/>
      <c r="AP79" s="436"/>
      <c r="AQ79" s="436"/>
      <c r="AR79" s="436" t="e">
        <f t="shared" si="38"/>
        <v>#N/A</v>
      </c>
      <c r="AS79" s="605"/>
      <c r="AT79" s="436"/>
      <c r="AU79" s="436"/>
      <c r="AV79" s="436"/>
      <c r="AW79" s="436" t="e">
        <f t="shared" si="39"/>
        <v>#N/A</v>
      </c>
      <c r="AX79" s="605"/>
    </row>
    <row r="80" spans="2:50">
      <c r="B80" s="572"/>
      <c r="C80" s="436">
        <v>14</v>
      </c>
      <c r="D80" s="436"/>
      <c r="E80" s="436"/>
      <c r="F80" s="436"/>
      <c r="G80" s="182"/>
      <c r="H80" s="609"/>
      <c r="I80" s="202"/>
      <c r="J80" s="202"/>
      <c r="K80" s="202"/>
      <c r="L80" s="541"/>
      <c r="M80" s="445" t="e">
        <f>RANK(K80, K$81:$K$87)</f>
        <v>#N/A</v>
      </c>
      <c r="N80" s="559"/>
      <c r="O80" s="559"/>
      <c r="P80" s="436"/>
      <c r="Q80" s="436"/>
      <c r="R80" s="436"/>
      <c r="S80" s="436" t="e">
        <f t="shared" si="33"/>
        <v>#N/A</v>
      </c>
      <c r="T80" s="605"/>
      <c r="U80" s="436"/>
      <c r="V80" s="436"/>
      <c r="W80" s="436"/>
      <c r="X80" s="436" t="e">
        <f t="shared" si="34"/>
        <v>#N/A</v>
      </c>
      <c r="Y80" s="605"/>
      <c r="Z80" s="436"/>
      <c r="AA80" s="436"/>
      <c r="AB80" s="436"/>
      <c r="AC80" s="436" t="e">
        <f t="shared" si="35"/>
        <v>#N/A</v>
      </c>
      <c r="AD80" s="605"/>
      <c r="AE80" s="436"/>
      <c r="AF80" s="436"/>
      <c r="AG80" s="436"/>
      <c r="AH80" s="436" t="e">
        <f t="shared" si="36"/>
        <v>#N/A</v>
      </c>
      <c r="AI80" s="605"/>
      <c r="AJ80" s="436"/>
      <c r="AK80" s="436"/>
      <c r="AL80" s="436"/>
      <c r="AM80" s="436" t="e">
        <f t="shared" si="37"/>
        <v>#N/A</v>
      </c>
      <c r="AN80" s="605"/>
      <c r="AO80" s="436"/>
      <c r="AP80" s="436"/>
      <c r="AQ80" s="436"/>
      <c r="AR80" s="436" t="e">
        <f t="shared" si="38"/>
        <v>#N/A</v>
      </c>
      <c r="AS80" s="605"/>
      <c r="AT80" s="436"/>
      <c r="AU80" s="436"/>
      <c r="AV80" s="436"/>
      <c r="AW80" s="436" t="e">
        <f t="shared" si="39"/>
        <v>#N/A</v>
      </c>
      <c r="AX80" s="605"/>
    </row>
    <row r="81" spans="2:50">
      <c r="B81" s="572"/>
      <c r="C81" s="436">
        <v>15</v>
      </c>
      <c r="D81" s="436"/>
      <c r="E81" s="436"/>
      <c r="F81" s="436"/>
      <c r="G81" s="436"/>
      <c r="H81" s="610"/>
      <c r="I81" s="202"/>
      <c r="J81" s="202"/>
      <c r="K81" s="202"/>
      <c r="L81" s="542"/>
      <c r="M81" s="445" t="e">
        <f>RANK(K81, K$81:$K$87)</f>
        <v>#N/A</v>
      </c>
      <c r="N81" s="559"/>
      <c r="O81" s="559"/>
      <c r="P81" s="436"/>
      <c r="Q81" s="436"/>
      <c r="R81" s="436"/>
      <c r="S81" s="436" t="e">
        <f t="shared" si="33"/>
        <v>#N/A</v>
      </c>
      <c r="T81" s="605"/>
      <c r="U81" s="436"/>
      <c r="V81" s="436"/>
      <c r="W81" s="436"/>
      <c r="X81" s="436" t="e">
        <f t="shared" si="34"/>
        <v>#N/A</v>
      </c>
      <c r="Y81" s="605"/>
      <c r="Z81" s="436"/>
      <c r="AA81" s="436"/>
      <c r="AB81" s="436"/>
      <c r="AC81" s="436" t="e">
        <f t="shared" si="35"/>
        <v>#N/A</v>
      </c>
      <c r="AD81" s="605"/>
      <c r="AE81" s="436"/>
      <c r="AF81" s="436"/>
      <c r="AG81" s="436"/>
      <c r="AH81" s="436" t="e">
        <f t="shared" si="36"/>
        <v>#N/A</v>
      </c>
      <c r="AI81" s="605"/>
      <c r="AJ81" s="436"/>
      <c r="AK81" s="436"/>
      <c r="AL81" s="436"/>
      <c r="AM81" s="436" t="e">
        <f t="shared" si="37"/>
        <v>#N/A</v>
      </c>
      <c r="AN81" s="605"/>
      <c r="AO81" s="436"/>
      <c r="AP81" s="436"/>
      <c r="AQ81" s="436"/>
      <c r="AR81" s="436" t="e">
        <f t="shared" si="38"/>
        <v>#N/A</v>
      </c>
      <c r="AS81" s="605"/>
      <c r="AT81" s="436"/>
      <c r="AU81" s="436"/>
      <c r="AV81" s="436"/>
      <c r="AW81" s="436" t="e">
        <f t="shared" si="39"/>
        <v>#N/A</v>
      </c>
      <c r="AX81" s="605"/>
    </row>
    <row r="82" spans="2:50" ht="15.75">
      <c r="B82" s="576" t="s">
        <v>162</v>
      </c>
      <c r="C82" s="577"/>
      <c r="D82" s="577"/>
      <c r="E82" s="577"/>
      <c r="F82" s="577"/>
      <c r="G82" s="577"/>
      <c r="H82" s="578"/>
      <c r="I82" s="208"/>
      <c r="J82" s="208"/>
      <c r="K82" s="208"/>
      <c r="L82" s="208"/>
      <c r="M82" s="207"/>
      <c r="N82" s="565" t="s">
        <v>156</v>
      </c>
      <c r="O82" s="565" t="s">
        <v>105</v>
      </c>
      <c r="P82" s="571">
        <f>P62+7</f>
        <v>27</v>
      </c>
      <c r="Q82" s="572"/>
      <c r="R82" s="572"/>
      <c r="S82" s="572"/>
      <c r="T82" s="572"/>
      <c r="U82" s="568">
        <f>P82+1</f>
        <v>28</v>
      </c>
      <c r="V82" s="569"/>
      <c r="W82" s="569"/>
      <c r="X82" s="569"/>
      <c r="Y82" s="570"/>
      <c r="Z82" s="568">
        <f>U82+1</f>
        <v>29</v>
      </c>
      <c r="AA82" s="569"/>
      <c r="AB82" s="569"/>
      <c r="AC82" s="569"/>
      <c r="AD82" s="570"/>
      <c r="AE82" s="568">
        <f>Z82+1</f>
        <v>30</v>
      </c>
      <c r="AF82" s="569"/>
      <c r="AG82" s="569"/>
      <c r="AH82" s="569"/>
      <c r="AI82" s="570"/>
      <c r="AJ82" s="568">
        <f>AE82+1</f>
        <v>31</v>
      </c>
      <c r="AK82" s="569"/>
      <c r="AL82" s="569"/>
      <c r="AM82" s="569"/>
      <c r="AN82" s="570"/>
      <c r="AO82" s="568">
        <f>AJ82+1</f>
        <v>32</v>
      </c>
      <c r="AP82" s="569"/>
      <c r="AQ82" s="569"/>
      <c r="AR82" s="569"/>
      <c r="AS82" s="570"/>
      <c r="AT82" s="568"/>
      <c r="AU82" s="569"/>
      <c r="AV82" s="569"/>
      <c r="AW82" s="569"/>
      <c r="AX82" s="570"/>
    </row>
    <row r="83" spans="2:50" ht="15.75">
      <c r="B83" s="579"/>
      <c r="C83" s="579"/>
      <c r="D83" s="579"/>
      <c r="E83" s="579"/>
      <c r="F83" s="579"/>
      <c r="G83" s="579"/>
      <c r="H83" s="579"/>
      <c r="I83" s="205"/>
      <c r="J83" s="205"/>
      <c r="K83" s="205"/>
      <c r="L83" s="205"/>
      <c r="M83" s="206"/>
      <c r="N83" s="567"/>
      <c r="O83" s="567"/>
      <c r="P83" s="571" t="s">
        <v>332</v>
      </c>
      <c r="Q83" s="572"/>
      <c r="R83" s="572"/>
      <c r="S83" s="572"/>
      <c r="T83" s="572"/>
      <c r="U83" s="571" t="s">
        <v>333</v>
      </c>
      <c r="V83" s="572"/>
      <c r="W83" s="572"/>
      <c r="X83" s="572"/>
      <c r="Y83" s="572"/>
      <c r="Z83" s="571" t="s">
        <v>334</v>
      </c>
      <c r="AA83" s="572"/>
      <c r="AB83" s="572"/>
      <c r="AC83" s="572"/>
      <c r="AD83" s="572"/>
      <c r="AE83" s="571" t="s">
        <v>335</v>
      </c>
      <c r="AF83" s="572"/>
      <c r="AG83" s="572"/>
      <c r="AH83" s="572"/>
      <c r="AI83" s="572"/>
      <c r="AJ83" s="571" t="s">
        <v>336</v>
      </c>
      <c r="AK83" s="572"/>
      <c r="AL83" s="572"/>
      <c r="AM83" s="572"/>
      <c r="AN83" s="572"/>
      <c r="AO83" s="571" t="s">
        <v>337</v>
      </c>
      <c r="AP83" s="572"/>
      <c r="AQ83" s="572"/>
      <c r="AR83" s="572"/>
      <c r="AS83" s="572"/>
      <c r="AT83" s="571"/>
      <c r="AU83" s="572"/>
      <c r="AV83" s="572"/>
      <c r="AW83" s="572"/>
      <c r="AX83" s="572"/>
    </row>
    <row r="84" spans="2:50">
      <c r="B84" s="559" t="s">
        <v>817</v>
      </c>
      <c r="C84" s="559" t="s">
        <v>818</v>
      </c>
      <c r="D84" s="559"/>
      <c r="E84" s="559" t="s">
        <v>819</v>
      </c>
      <c r="F84" s="559"/>
      <c r="G84" s="559"/>
      <c r="H84" s="560" t="s">
        <v>820</v>
      </c>
      <c r="I84" s="543" t="s">
        <v>821</v>
      </c>
      <c r="J84" s="543"/>
      <c r="K84" s="543"/>
      <c r="L84" s="544" t="s">
        <v>820</v>
      </c>
      <c r="M84" s="550" t="s">
        <v>839</v>
      </c>
      <c r="N84" s="559"/>
      <c r="O84" s="559" t="s">
        <v>840</v>
      </c>
      <c r="P84" s="556" t="s">
        <v>841</v>
      </c>
      <c r="Q84" s="557"/>
      <c r="R84" s="557"/>
      <c r="S84" s="558"/>
      <c r="T84" s="559" t="s">
        <v>820</v>
      </c>
      <c r="U84" s="556" t="s">
        <v>841</v>
      </c>
      <c r="V84" s="557"/>
      <c r="W84" s="557"/>
      <c r="X84" s="558"/>
      <c r="Y84" s="559" t="s">
        <v>820</v>
      </c>
      <c r="Z84" s="556" t="s">
        <v>841</v>
      </c>
      <c r="AA84" s="557"/>
      <c r="AB84" s="557"/>
      <c r="AC84" s="558"/>
      <c r="AD84" s="559" t="s">
        <v>820</v>
      </c>
      <c r="AE84" s="556" t="s">
        <v>841</v>
      </c>
      <c r="AF84" s="557"/>
      <c r="AG84" s="557"/>
      <c r="AH84" s="558"/>
      <c r="AI84" s="559" t="s">
        <v>820</v>
      </c>
      <c r="AJ84" s="556" t="s">
        <v>841</v>
      </c>
      <c r="AK84" s="557"/>
      <c r="AL84" s="557"/>
      <c r="AM84" s="558"/>
      <c r="AN84" s="559" t="s">
        <v>820</v>
      </c>
      <c r="AO84" s="556" t="s">
        <v>625</v>
      </c>
      <c r="AP84" s="557"/>
      <c r="AQ84" s="557"/>
      <c r="AR84" s="558"/>
      <c r="AS84" s="559" t="s">
        <v>623</v>
      </c>
      <c r="AT84" s="556" t="s">
        <v>625</v>
      </c>
      <c r="AU84" s="557"/>
      <c r="AV84" s="557"/>
      <c r="AW84" s="558"/>
      <c r="AX84" s="559" t="s">
        <v>623</v>
      </c>
    </row>
    <row r="85" spans="2:50">
      <c r="B85" s="559"/>
      <c r="C85" s="559"/>
      <c r="D85" s="559"/>
      <c r="E85" s="559" t="s">
        <v>842</v>
      </c>
      <c r="F85" s="559"/>
      <c r="G85" s="559"/>
      <c r="H85" s="561"/>
      <c r="I85" s="543" t="s">
        <v>842</v>
      </c>
      <c r="J85" s="543"/>
      <c r="K85" s="543"/>
      <c r="L85" s="545"/>
      <c r="M85" s="551"/>
      <c r="N85" s="559"/>
      <c r="O85" s="559"/>
      <c r="P85" s="556" t="s">
        <v>831</v>
      </c>
      <c r="Q85" s="557"/>
      <c r="R85" s="557"/>
      <c r="S85" s="558"/>
      <c r="T85" s="559"/>
      <c r="U85" s="556" t="s">
        <v>831</v>
      </c>
      <c r="V85" s="557"/>
      <c r="W85" s="557"/>
      <c r="X85" s="558"/>
      <c r="Y85" s="559"/>
      <c r="Z85" s="556" t="s">
        <v>831</v>
      </c>
      <c r="AA85" s="557"/>
      <c r="AB85" s="557"/>
      <c r="AC85" s="558"/>
      <c r="AD85" s="559"/>
      <c r="AE85" s="556" t="s">
        <v>831</v>
      </c>
      <c r="AF85" s="557"/>
      <c r="AG85" s="557"/>
      <c r="AH85" s="558"/>
      <c r="AI85" s="559"/>
      <c r="AJ85" s="556" t="s">
        <v>831</v>
      </c>
      <c r="AK85" s="557"/>
      <c r="AL85" s="557"/>
      <c r="AM85" s="558"/>
      <c r="AN85" s="559"/>
      <c r="AO85" s="556" t="s">
        <v>626</v>
      </c>
      <c r="AP85" s="557"/>
      <c r="AQ85" s="557"/>
      <c r="AR85" s="558"/>
      <c r="AS85" s="559"/>
      <c r="AT85" s="556" t="s">
        <v>626</v>
      </c>
      <c r="AU85" s="557"/>
      <c r="AV85" s="557"/>
      <c r="AW85" s="558"/>
      <c r="AX85" s="559"/>
    </row>
    <row r="86" spans="2:50">
      <c r="B86" s="559"/>
      <c r="C86" s="559"/>
      <c r="D86" s="559"/>
      <c r="E86" s="450" t="s">
        <v>838</v>
      </c>
      <c r="F86" s="450" t="s">
        <v>836</v>
      </c>
      <c r="G86" s="450" t="s">
        <v>837</v>
      </c>
      <c r="H86" s="562"/>
      <c r="I86" s="449" t="s">
        <v>838</v>
      </c>
      <c r="J86" s="449" t="s">
        <v>836</v>
      </c>
      <c r="K86" s="449" t="s">
        <v>837</v>
      </c>
      <c r="L86" s="546"/>
      <c r="M86" s="552"/>
      <c r="N86" s="559"/>
      <c r="O86" s="559"/>
      <c r="P86" s="450" t="s">
        <v>838</v>
      </c>
      <c r="Q86" s="450" t="s">
        <v>836</v>
      </c>
      <c r="R86" s="450" t="s">
        <v>837</v>
      </c>
      <c r="S86" s="450" t="s">
        <v>839</v>
      </c>
      <c r="T86" s="559"/>
      <c r="U86" s="450" t="s">
        <v>838</v>
      </c>
      <c r="V86" s="450" t="s">
        <v>836</v>
      </c>
      <c r="W86" s="450" t="s">
        <v>837</v>
      </c>
      <c r="X86" s="450" t="s">
        <v>839</v>
      </c>
      <c r="Y86" s="559"/>
      <c r="Z86" s="450" t="s">
        <v>838</v>
      </c>
      <c r="AA86" s="450" t="s">
        <v>836</v>
      </c>
      <c r="AB86" s="450" t="s">
        <v>837</v>
      </c>
      <c r="AC86" s="450" t="s">
        <v>839</v>
      </c>
      <c r="AD86" s="559"/>
      <c r="AE86" s="450" t="s">
        <v>838</v>
      </c>
      <c r="AF86" s="450" t="s">
        <v>836</v>
      </c>
      <c r="AG86" s="450" t="s">
        <v>837</v>
      </c>
      <c r="AH86" s="450" t="s">
        <v>839</v>
      </c>
      <c r="AI86" s="559"/>
      <c r="AJ86" s="450" t="s">
        <v>838</v>
      </c>
      <c r="AK86" s="450" t="s">
        <v>836</v>
      </c>
      <c r="AL86" s="450" t="s">
        <v>837</v>
      </c>
      <c r="AM86" s="450" t="s">
        <v>839</v>
      </c>
      <c r="AN86" s="559"/>
      <c r="AO86" s="389" t="s">
        <v>627</v>
      </c>
      <c r="AP86" s="389" t="s">
        <v>628</v>
      </c>
      <c r="AQ86" s="389" t="s">
        <v>629</v>
      </c>
      <c r="AR86" s="389" t="s">
        <v>624</v>
      </c>
      <c r="AS86" s="559"/>
      <c r="AT86" s="389" t="s">
        <v>627</v>
      </c>
      <c r="AU86" s="389" t="s">
        <v>628</v>
      </c>
      <c r="AV86" s="389" t="s">
        <v>629</v>
      </c>
      <c r="AW86" s="389" t="s">
        <v>624</v>
      </c>
      <c r="AX86" s="559"/>
    </row>
    <row r="87" spans="2:50">
      <c r="B87" s="607" t="s">
        <v>843</v>
      </c>
      <c r="C87" s="451">
        <v>1</v>
      </c>
      <c r="D87" s="451" t="s">
        <v>368</v>
      </c>
      <c r="E87" s="451">
        <v>10</v>
      </c>
      <c r="F87" s="451">
        <v>1500</v>
      </c>
      <c r="G87" s="182">
        <v>150</v>
      </c>
      <c r="H87" s="608">
        <f>AVERAGE(G87:G101)</f>
        <v>178.33333333333334</v>
      </c>
      <c r="I87" s="456">
        <f>AVERAGE(P87,U87,Z87,AE87,AJ87,AO87,AT87)</f>
        <v>10</v>
      </c>
      <c r="J87" s="456">
        <f>AVERAGE(Q87,V87,AA87,AF87,AK87,AP87,AU87)</f>
        <v>1465.9199999999955</v>
      </c>
      <c r="K87" s="454">
        <f>AVERAGE(R87,W87,AB87,AG87,AL87,AQ87,AV87)</f>
        <v>146.59199999999953</v>
      </c>
      <c r="L87" s="540">
        <f>IFERROR(AVERAGE(K87:K101),"-")</f>
        <v>177.69821747751155</v>
      </c>
      <c r="M87" s="455">
        <f>RANK(K87, K$87:$K$101)</f>
        <v>3</v>
      </c>
      <c r="N87" s="559"/>
      <c r="O87" s="559"/>
      <c r="P87" s="182">
        <v>10</v>
      </c>
      <c r="Q87" s="182">
        <v>1643.9999999999927</v>
      </c>
      <c r="R87" s="182">
        <v>164.39999999999927</v>
      </c>
      <c r="S87" s="451">
        <f>RANK(R87, R$87:R$101)</f>
        <v>3</v>
      </c>
      <c r="T87" s="605">
        <f>AVERAGE(R87:R101)</f>
        <v>178.54672364672351</v>
      </c>
      <c r="U87" s="182">
        <v>10</v>
      </c>
      <c r="V87" s="182">
        <v>1375.199999999996</v>
      </c>
      <c r="W87" s="182">
        <v>137.51999999999958</v>
      </c>
      <c r="X87" s="451">
        <f t="shared" ref="X87:X101" si="40">RANK(W87, W$87:W$101)</f>
        <v>5</v>
      </c>
      <c r="Y87" s="605">
        <f t="shared" ref="Y87" si="41">AVERAGE(W87:W101)</f>
        <v>181.77595776772236</v>
      </c>
      <c r="Z87" s="182">
        <v>10</v>
      </c>
      <c r="AA87" s="182">
        <v>1454.3999999999958</v>
      </c>
      <c r="AB87" s="182">
        <v>145.43999999999957</v>
      </c>
      <c r="AC87" s="451">
        <f t="shared" ref="AC87:AC101" si="42">RANK(AB87, AB$87:AB$101)</f>
        <v>3</v>
      </c>
      <c r="AD87" s="605">
        <f t="shared" ref="AD87" si="43">AVERAGE(AB87:AB101)</f>
        <v>174.67088127558716</v>
      </c>
      <c r="AE87" s="182">
        <v>10</v>
      </c>
      <c r="AF87" s="182">
        <v>1454.9999999999995</v>
      </c>
      <c r="AG87" s="453">
        <v>145.49999999999994</v>
      </c>
      <c r="AH87" s="451">
        <f t="shared" ref="AH87:AH101" si="44">RANK(AG87, AG$87:AG$101)</f>
        <v>3</v>
      </c>
      <c r="AI87" s="605">
        <f t="shared" ref="AI87" si="45">AVERAGE(AG87:AG101)</f>
        <v>176.14264069264075</v>
      </c>
      <c r="AJ87" s="182">
        <v>10</v>
      </c>
      <c r="AK87" s="182">
        <v>1400.9999999999936</v>
      </c>
      <c r="AL87" s="453">
        <v>140.09999999999937</v>
      </c>
      <c r="AM87" s="451">
        <f t="shared" ref="AM87:AM101" si="46">RANK(AL87, AL$87:AL$101)</f>
        <v>5</v>
      </c>
      <c r="AN87" s="605">
        <f t="shared" ref="AN87" si="47">AVERAGE(AL87:AL101)</f>
        <v>177.35488400488387</v>
      </c>
      <c r="AO87" s="182"/>
      <c r="AP87" s="182"/>
      <c r="AQ87" s="391"/>
      <c r="AR87" s="390" t="e">
        <f t="shared" ref="AR87:AR101" si="48">RANK(AQ87, AQ$87:AQ$101)</f>
        <v>#N/A</v>
      </c>
      <c r="AS87" s="605" t="e">
        <f t="shared" ref="AS87" si="49">AVERAGE(AQ87:AQ101)</f>
        <v>#DIV/0!</v>
      </c>
      <c r="AT87" s="182"/>
      <c r="AU87" s="182"/>
      <c r="AV87" s="391"/>
      <c r="AW87" s="390" t="e">
        <f t="shared" ref="AW87:AW101" si="50">RANK(AV87, AV$87:AV$101)</f>
        <v>#N/A</v>
      </c>
      <c r="AX87" s="605" t="e">
        <f t="shared" ref="AX87" si="51">AVERAGE(AV87:AV101)</f>
        <v>#DIV/0!</v>
      </c>
    </row>
    <row r="88" spans="2:50">
      <c r="B88" s="572"/>
      <c r="C88" s="451">
        <v>2</v>
      </c>
      <c r="D88" s="451" t="s">
        <v>369</v>
      </c>
      <c r="E88" s="451">
        <v>15</v>
      </c>
      <c r="F88" s="451">
        <v>1800</v>
      </c>
      <c r="G88" s="182">
        <v>120</v>
      </c>
      <c r="H88" s="609"/>
      <c r="I88" s="456">
        <f t="shared" ref="I88:K92" si="52">AVERAGE(P88,U88,Z88,AE88,AJ88,AO88,AT88)</f>
        <v>12.4</v>
      </c>
      <c r="J88" s="456">
        <f t="shared" si="52"/>
        <v>1763.4</v>
      </c>
      <c r="K88" s="454">
        <f t="shared" si="52"/>
        <v>142.87500000000003</v>
      </c>
      <c r="L88" s="541"/>
      <c r="M88" s="455">
        <f>RANK(K88, K$87:$K$101)</f>
        <v>4</v>
      </c>
      <c r="N88" s="559"/>
      <c r="O88" s="559"/>
      <c r="P88" s="182">
        <v>12</v>
      </c>
      <c r="Q88" s="182">
        <v>1811.9999999999982</v>
      </c>
      <c r="R88" s="182">
        <v>150.99999999999986</v>
      </c>
      <c r="S88" s="451">
        <f t="shared" ref="S88:S101" si="53">RANK(R88, R$87:R$101)</f>
        <v>4</v>
      </c>
      <c r="T88" s="605"/>
      <c r="U88" s="182">
        <v>12</v>
      </c>
      <c r="V88" s="182">
        <v>1765.4999999999993</v>
      </c>
      <c r="W88" s="182">
        <v>147.12499999999994</v>
      </c>
      <c r="X88" s="451">
        <f t="shared" si="40"/>
        <v>4</v>
      </c>
      <c r="Y88" s="605"/>
      <c r="Z88" s="182">
        <v>14</v>
      </c>
      <c r="AA88" s="182">
        <v>1711.4999999999995</v>
      </c>
      <c r="AB88" s="182">
        <v>122.24999999999997</v>
      </c>
      <c r="AC88" s="451">
        <f t="shared" si="42"/>
        <v>5</v>
      </c>
      <c r="AD88" s="605"/>
      <c r="AE88" s="451">
        <v>12</v>
      </c>
      <c r="AF88" s="182">
        <v>1680.000000000002</v>
      </c>
      <c r="AG88" s="453">
        <v>140.00000000000017</v>
      </c>
      <c r="AH88" s="451">
        <f t="shared" si="44"/>
        <v>5</v>
      </c>
      <c r="AI88" s="605"/>
      <c r="AJ88" s="451">
        <v>12</v>
      </c>
      <c r="AK88" s="182">
        <v>1848.0000000000018</v>
      </c>
      <c r="AL88" s="453">
        <v>154.00000000000014</v>
      </c>
      <c r="AM88" s="451">
        <f t="shared" si="46"/>
        <v>4</v>
      </c>
      <c r="AN88" s="605"/>
      <c r="AO88" s="390"/>
      <c r="AP88" s="182"/>
      <c r="AQ88" s="391"/>
      <c r="AR88" s="390" t="e">
        <f t="shared" si="48"/>
        <v>#N/A</v>
      </c>
      <c r="AS88" s="605"/>
      <c r="AT88" s="390"/>
      <c r="AU88" s="182"/>
      <c r="AV88" s="391"/>
      <c r="AW88" s="390" t="e">
        <f t="shared" si="50"/>
        <v>#N/A</v>
      </c>
      <c r="AX88" s="605"/>
    </row>
    <row r="89" spans="2:50">
      <c r="B89" s="572"/>
      <c r="C89" s="451">
        <v>3</v>
      </c>
      <c r="D89" s="451" t="s">
        <v>370</v>
      </c>
      <c r="E89" s="451">
        <v>15</v>
      </c>
      <c r="F89" s="451">
        <v>1800</v>
      </c>
      <c r="G89" s="182">
        <v>120</v>
      </c>
      <c r="H89" s="609"/>
      <c r="I89" s="456">
        <f t="shared" si="52"/>
        <v>12.4</v>
      </c>
      <c r="J89" s="456">
        <f t="shared" si="52"/>
        <v>1743.8952380952378</v>
      </c>
      <c r="K89" s="454">
        <f t="shared" si="52"/>
        <v>140.97103174603174</v>
      </c>
      <c r="L89" s="541"/>
      <c r="M89" s="455">
        <f>RANK(K89, K$87:$K$101)</f>
        <v>5</v>
      </c>
      <c r="N89" s="559"/>
      <c r="O89" s="559"/>
      <c r="P89" s="182">
        <v>12</v>
      </c>
      <c r="Q89" s="182">
        <v>1497.3333333333333</v>
      </c>
      <c r="R89" s="182">
        <v>124.77777777777777</v>
      </c>
      <c r="S89" s="451">
        <f t="shared" si="53"/>
        <v>5</v>
      </c>
      <c r="T89" s="605"/>
      <c r="U89" s="182">
        <v>12</v>
      </c>
      <c r="V89" s="182">
        <v>1798.4999999999995</v>
      </c>
      <c r="W89" s="182">
        <v>149.87499999999997</v>
      </c>
      <c r="X89" s="451">
        <f t="shared" si="40"/>
        <v>3</v>
      </c>
      <c r="Y89" s="605"/>
      <c r="Z89" s="182">
        <v>14</v>
      </c>
      <c r="AA89" s="182">
        <v>1828.4999999999995</v>
      </c>
      <c r="AB89" s="182">
        <v>130.60714285714283</v>
      </c>
      <c r="AC89" s="451">
        <f t="shared" si="42"/>
        <v>4</v>
      </c>
      <c r="AD89" s="605"/>
      <c r="AE89" s="451">
        <v>12</v>
      </c>
      <c r="AF89" s="182">
        <v>1709.1428571428553</v>
      </c>
      <c r="AG89" s="453">
        <v>142.42857142857127</v>
      </c>
      <c r="AH89" s="451">
        <f t="shared" si="44"/>
        <v>4</v>
      </c>
      <c r="AI89" s="605"/>
      <c r="AJ89" s="451">
        <v>12</v>
      </c>
      <c r="AK89" s="182">
        <v>1886.0000000000018</v>
      </c>
      <c r="AL89" s="453">
        <v>157.16666666666683</v>
      </c>
      <c r="AM89" s="451">
        <f t="shared" si="46"/>
        <v>3</v>
      </c>
      <c r="AN89" s="605"/>
      <c r="AO89" s="390"/>
      <c r="AP89" s="182"/>
      <c r="AQ89" s="391"/>
      <c r="AR89" s="390" t="e">
        <f t="shared" si="48"/>
        <v>#N/A</v>
      </c>
      <c r="AS89" s="605"/>
      <c r="AT89" s="390"/>
      <c r="AU89" s="182"/>
      <c r="AV89" s="391"/>
      <c r="AW89" s="390" t="e">
        <f t="shared" si="50"/>
        <v>#N/A</v>
      </c>
      <c r="AX89" s="605"/>
    </row>
    <row r="90" spans="2:50">
      <c r="B90" s="572"/>
      <c r="C90" s="451">
        <v>4</v>
      </c>
      <c r="D90" s="451" t="s">
        <v>556</v>
      </c>
      <c r="E90" s="451">
        <v>5</v>
      </c>
      <c r="F90" s="451">
        <v>1500</v>
      </c>
      <c r="G90" s="182">
        <v>300</v>
      </c>
      <c r="H90" s="609"/>
      <c r="I90" s="456">
        <f t="shared" si="52"/>
        <v>6</v>
      </c>
      <c r="J90" s="456">
        <f t="shared" si="52"/>
        <v>1526.75113122172</v>
      </c>
      <c r="K90" s="454">
        <f t="shared" si="52"/>
        <v>254.45852187028669</v>
      </c>
      <c r="L90" s="541"/>
      <c r="M90" s="455">
        <f>RANK(K90, K$87:$K$101)</f>
        <v>2</v>
      </c>
      <c r="N90" s="559"/>
      <c r="O90" s="559"/>
      <c r="P90" s="182">
        <v>6</v>
      </c>
      <c r="Q90" s="182">
        <v>1556.0000000000016</v>
      </c>
      <c r="R90" s="182">
        <v>259.3333333333336</v>
      </c>
      <c r="S90" s="451">
        <f t="shared" si="53"/>
        <v>2</v>
      </c>
      <c r="T90" s="605"/>
      <c r="U90" s="182">
        <v>6</v>
      </c>
      <c r="V90" s="182">
        <v>1542.3529411764725</v>
      </c>
      <c r="W90" s="182">
        <v>257.05882352941211</v>
      </c>
      <c r="X90" s="451">
        <f t="shared" si="40"/>
        <v>2</v>
      </c>
      <c r="Y90" s="605"/>
      <c r="Z90" s="182">
        <v>6</v>
      </c>
      <c r="AA90" s="182">
        <v>1552.9411764705862</v>
      </c>
      <c r="AB90" s="182">
        <v>258.82352941176435</v>
      </c>
      <c r="AC90" s="451">
        <f t="shared" si="42"/>
        <v>2</v>
      </c>
      <c r="AD90" s="605"/>
      <c r="AE90" s="451">
        <v>6</v>
      </c>
      <c r="AF90" s="182">
        <v>1464.0000000000014</v>
      </c>
      <c r="AG90" s="453">
        <v>244.00000000000023</v>
      </c>
      <c r="AH90" s="451">
        <f t="shared" si="44"/>
        <v>2</v>
      </c>
      <c r="AI90" s="605"/>
      <c r="AJ90" s="451">
        <v>6</v>
      </c>
      <c r="AK90" s="182">
        <v>1518.4615384615392</v>
      </c>
      <c r="AL90" s="453">
        <v>253.07692307692321</v>
      </c>
      <c r="AM90" s="451">
        <f t="shared" si="46"/>
        <v>2</v>
      </c>
      <c r="AN90" s="605"/>
      <c r="AO90" s="390"/>
      <c r="AP90" s="182"/>
      <c r="AQ90" s="391"/>
      <c r="AR90" s="390" t="e">
        <f t="shared" si="48"/>
        <v>#N/A</v>
      </c>
      <c r="AS90" s="605"/>
      <c r="AT90" s="390"/>
      <c r="AU90" s="182"/>
      <c r="AV90" s="391"/>
      <c r="AW90" s="390" t="e">
        <f t="shared" si="50"/>
        <v>#N/A</v>
      </c>
      <c r="AX90" s="605"/>
    </row>
    <row r="91" spans="2:50">
      <c r="B91" s="572"/>
      <c r="C91" s="451">
        <v>5</v>
      </c>
      <c r="D91" s="451" t="s">
        <v>490</v>
      </c>
      <c r="E91" s="451">
        <v>5</v>
      </c>
      <c r="F91" s="451">
        <v>1500</v>
      </c>
      <c r="G91" s="182">
        <v>300</v>
      </c>
      <c r="H91" s="609"/>
      <c r="I91" s="456">
        <f t="shared" si="52"/>
        <v>5</v>
      </c>
      <c r="J91" s="456">
        <f t="shared" si="52"/>
        <v>1524.6099100899098</v>
      </c>
      <c r="K91" s="454">
        <f t="shared" si="52"/>
        <v>304.92198201798203</v>
      </c>
      <c r="L91" s="541"/>
      <c r="M91" s="455">
        <f>RANK(K91, K$87:$K$101)</f>
        <v>1</v>
      </c>
      <c r="N91" s="559"/>
      <c r="O91" s="559"/>
      <c r="P91" s="182">
        <v>5</v>
      </c>
      <c r="Q91" s="182">
        <v>1514.9999999999977</v>
      </c>
      <c r="R91" s="182">
        <v>302.99999999999955</v>
      </c>
      <c r="S91" s="451">
        <f t="shared" si="53"/>
        <v>1</v>
      </c>
      <c r="T91" s="605"/>
      <c r="U91" s="182">
        <v>5</v>
      </c>
      <c r="V91" s="182">
        <v>1555.3846153846137</v>
      </c>
      <c r="W91" s="182">
        <v>311.07692307692275</v>
      </c>
      <c r="X91" s="451">
        <f t="shared" si="40"/>
        <v>1</v>
      </c>
      <c r="Y91" s="605"/>
      <c r="Z91" s="182">
        <v>5</v>
      </c>
      <c r="AA91" s="182">
        <v>1557.6000000000031</v>
      </c>
      <c r="AB91" s="182">
        <v>311.52000000000061</v>
      </c>
      <c r="AC91" s="451">
        <f t="shared" si="42"/>
        <v>1</v>
      </c>
      <c r="AD91" s="605"/>
      <c r="AE91" s="451">
        <v>5</v>
      </c>
      <c r="AF91" s="182">
        <v>1483.6363636363665</v>
      </c>
      <c r="AG91" s="453">
        <v>296.72727272727332</v>
      </c>
      <c r="AH91" s="451">
        <f t="shared" si="44"/>
        <v>1</v>
      </c>
      <c r="AI91" s="605"/>
      <c r="AJ91" s="451">
        <v>5</v>
      </c>
      <c r="AK91" s="182">
        <v>1511.4285714285681</v>
      </c>
      <c r="AL91" s="453">
        <v>302.28571428571365</v>
      </c>
      <c r="AM91" s="451">
        <f t="shared" si="46"/>
        <v>1</v>
      </c>
      <c r="AN91" s="605"/>
      <c r="AO91" s="390"/>
      <c r="AP91" s="182"/>
      <c r="AQ91" s="391"/>
      <c r="AR91" s="390" t="e">
        <f t="shared" si="48"/>
        <v>#N/A</v>
      </c>
      <c r="AS91" s="605"/>
      <c r="AT91" s="390"/>
      <c r="AU91" s="182"/>
      <c r="AV91" s="391"/>
      <c r="AW91" s="390" t="e">
        <f t="shared" si="50"/>
        <v>#N/A</v>
      </c>
      <c r="AX91" s="605"/>
    </row>
    <row r="92" spans="2:50">
      <c r="B92" s="572"/>
      <c r="C92" s="451">
        <v>6</v>
      </c>
      <c r="D92" s="451" t="s">
        <v>558</v>
      </c>
      <c r="E92" s="451">
        <v>15</v>
      </c>
      <c r="F92" s="451">
        <v>1200</v>
      </c>
      <c r="G92" s="182">
        <v>80</v>
      </c>
      <c r="H92" s="609"/>
      <c r="I92" s="456">
        <f t="shared" si="52"/>
        <v>12</v>
      </c>
      <c r="J92" s="456">
        <f t="shared" si="52"/>
        <v>910.80000000000018</v>
      </c>
      <c r="K92" s="454">
        <f t="shared" si="52"/>
        <v>76.370769230769227</v>
      </c>
      <c r="L92" s="541"/>
      <c r="M92" s="455">
        <f>RANK(K92, K$87:$K$101)</f>
        <v>6</v>
      </c>
      <c r="N92" s="559"/>
      <c r="O92" s="559"/>
      <c r="P92" s="182">
        <v>13</v>
      </c>
      <c r="Q92" s="182">
        <v>894.00000000000318</v>
      </c>
      <c r="R92" s="182">
        <v>68.769230769231015</v>
      </c>
      <c r="S92" s="451">
        <f t="shared" si="53"/>
        <v>6</v>
      </c>
      <c r="T92" s="605"/>
      <c r="U92" s="182">
        <v>12</v>
      </c>
      <c r="V92" s="182">
        <v>1055.9999999999955</v>
      </c>
      <c r="W92" s="182">
        <v>87.999999999999616</v>
      </c>
      <c r="X92" s="451">
        <f t="shared" si="40"/>
        <v>6</v>
      </c>
      <c r="Y92" s="605"/>
      <c r="Z92" s="182">
        <v>13</v>
      </c>
      <c r="AA92" s="182">
        <v>1032.0000000000036</v>
      </c>
      <c r="AB92" s="182">
        <v>79.384615384615671</v>
      </c>
      <c r="AC92" s="451">
        <f t="shared" si="42"/>
        <v>6</v>
      </c>
      <c r="AD92" s="605"/>
      <c r="AE92" s="451">
        <v>10</v>
      </c>
      <c r="AF92" s="182">
        <v>881.99999999999613</v>
      </c>
      <c r="AG92" s="453">
        <v>88.199999999999619</v>
      </c>
      <c r="AH92" s="451">
        <f t="shared" si="44"/>
        <v>6</v>
      </c>
      <c r="AI92" s="605"/>
      <c r="AJ92" s="451">
        <v>12</v>
      </c>
      <c r="AK92" s="182">
        <v>690.0000000000025</v>
      </c>
      <c r="AL92" s="453">
        <v>57.500000000000206</v>
      </c>
      <c r="AM92" s="451">
        <f t="shared" si="46"/>
        <v>6</v>
      </c>
      <c r="AN92" s="605"/>
      <c r="AO92" s="390"/>
      <c r="AP92" s="182"/>
      <c r="AQ92" s="391"/>
      <c r="AR92" s="390" t="e">
        <f t="shared" si="48"/>
        <v>#N/A</v>
      </c>
      <c r="AS92" s="605"/>
      <c r="AT92" s="390"/>
      <c r="AU92" s="182"/>
      <c r="AV92" s="391"/>
      <c r="AW92" s="390" t="e">
        <f t="shared" si="50"/>
        <v>#N/A</v>
      </c>
      <c r="AX92" s="605"/>
    </row>
    <row r="93" spans="2:50">
      <c r="B93" s="572"/>
      <c r="C93" s="451">
        <v>7</v>
      </c>
      <c r="D93" s="451"/>
      <c r="E93" s="451"/>
      <c r="F93" s="451"/>
      <c r="G93" s="182"/>
      <c r="H93" s="609"/>
      <c r="I93" s="456"/>
      <c r="J93" s="456"/>
      <c r="K93" s="454"/>
      <c r="L93" s="541"/>
      <c r="M93" s="455" t="e">
        <f>RANK(K93, K$87:$K$101)</f>
        <v>#N/A</v>
      </c>
      <c r="N93" s="559"/>
      <c r="O93" s="559"/>
      <c r="P93" s="451"/>
      <c r="Q93" s="182"/>
      <c r="R93" s="453"/>
      <c r="S93" s="451" t="e">
        <f t="shared" si="53"/>
        <v>#N/A</v>
      </c>
      <c r="T93" s="605"/>
      <c r="U93" s="451"/>
      <c r="V93" s="182"/>
      <c r="W93" s="453"/>
      <c r="X93" s="451" t="e">
        <f t="shared" si="40"/>
        <v>#N/A</v>
      </c>
      <c r="Y93" s="605"/>
      <c r="Z93" s="451"/>
      <c r="AA93" s="182"/>
      <c r="AB93" s="453"/>
      <c r="AC93" s="451" t="e">
        <f t="shared" si="42"/>
        <v>#N/A</v>
      </c>
      <c r="AD93" s="605"/>
      <c r="AE93" s="451"/>
      <c r="AF93" s="182"/>
      <c r="AG93" s="453"/>
      <c r="AH93" s="451" t="e">
        <f t="shared" si="44"/>
        <v>#N/A</v>
      </c>
      <c r="AI93" s="605"/>
      <c r="AJ93" s="451"/>
      <c r="AK93" s="182"/>
      <c r="AL93" s="453"/>
      <c r="AM93" s="451" t="e">
        <f t="shared" si="46"/>
        <v>#N/A</v>
      </c>
      <c r="AN93" s="605"/>
      <c r="AO93" s="390"/>
      <c r="AP93" s="182"/>
      <c r="AQ93" s="391"/>
      <c r="AR93" s="390" t="e">
        <f t="shared" si="48"/>
        <v>#N/A</v>
      </c>
      <c r="AS93" s="605"/>
      <c r="AT93" s="390"/>
      <c r="AU93" s="182"/>
      <c r="AV93" s="391"/>
      <c r="AW93" s="390" t="e">
        <f t="shared" si="50"/>
        <v>#N/A</v>
      </c>
      <c r="AX93" s="605"/>
    </row>
    <row r="94" spans="2:50">
      <c r="B94" s="572"/>
      <c r="C94" s="451">
        <v>8</v>
      </c>
      <c r="D94" s="451"/>
      <c r="E94" s="451"/>
      <c r="F94" s="451"/>
      <c r="G94" s="182"/>
      <c r="H94" s="609"/>
      <c r="I94" s="456"/>
      <c r="J94" s="456"/>
      <c r="K94" s="454"/>
      <c r="L94" s="541"/>
      <c r="M94" s="455" t="e">
        <f>RANK(K94, K$87:$K$101)</f>
        <v>#N/A</v>
      </c>
      <c r="N94" s="559"/>
      <c r="O94" s="559"/>
      <c r="P94" s="451"/>
      <c r="Q94" s="182"/>
      <c r="R94" s="453"/>
      <c r="S94" s="451" t="e">
        <f t="shared" si="53"/>
        <v>#N/A</v>
      </c>
      <c r="T94" s="605"/>
      <c r="U94" s="451"/>
      <c r="V94" s="182"/>
      <c r="W94" s="453"/>
      <c r="X94" s="451" t="e">
        <f t="shared" si="40"/>
        <v>#N/A</v>
      </c>
      <c r="Y94" s="605"/>
      <c r="Z94" s="451"/>
      <c r="AA94" s="182"/>
      <c r="AB94" s="453"/>
      <c r="AC94" s="451" t="e">
        <f t="shared" si="42"/>
        <v>#N/A</v>
      </c>
      <c r="AD94" s="605"/>
      <c r="AE94" s="451"/>
      <c r="AF94" s="182"/>
      <c r="AG94" s="453"/>
      <c r="AH94" s="451" t="e">
        <f t="shared" si="44"/>
        <v>#N/A</v>
      </c>
      <c r="AI94" s="605"/>
      <c r="AJ94" s="451"/>
      <c r="AK94" s="182"/>
      <c r="AL94" s="453"/>
      <c r="AM94" s="451" t="e">
        <f t="shared" si="46"/>
        <v>#N/A</v>
      </c>
      <c r="AN94" s="605"/>
      <c r="AO94" s="390"/>
      <c r="AP94" s="182"/>
      <c r="AQ94" s="391"/>
      <c r="AR94" s="390" t="e">
        <f t="shared" si="48"/>
        <v>#N/A</v>
      </c>
      <c r="AS94" s="605"/>
      <c r="AT94" s="390"/>
      <c r="AU94" s="182"/>
      <c r="AV94" s="391"/>
      <c r="AW94" s="390" t="e">
        <f t="shared" si="50"/>
        <v>#N/A</v>
      </c>
      <c r="AX94" s="605"/>
    </row>
    <row r="95" spans="2:50">
      <c r="B95" s="572"/>
      <c r="C95" s="451">
        <v>9</v>
      </c>
      <c r="D95" s="451"/>
      <c r="E95" s="451"/>
      <c r="F95" s="451"/>
      <c r="G95" s="182"/>
      <c r="H95" s="609"/>
      <c r="I95" s="456"/>
      <c r="J95" s="456"/>
      <c r="K95" s="454"/>
      <c r="L95" s="541"/>
      <c r="M95" s="455" t="e">
        <f>RANK(K95, K$87:$K$101)</f>
        <v>#N/A</v>
      </c>
      <c r="N95" s="559"/>
      <c r="O95" s="559"/>
      <c r="P95" s="451"/>
      <c r="Q95" s="182"/>
      <c r="R95" s="453"/>
      <c r="S95" s="451" t="e">
        <f t="shared" si="53"/>
        <v>#N/A</v>
      </c>
      <c r="T95" s="605"/>
      <c r="U95" s="451"/>
      <c r="V95" s="182"/>
      <c r="W95" s="453"/>
      <c r="X95" s="451" t="e">
        <f t="shared" si="40"/>
        <v>#N/A</v>
      </c>
      <c r="Y95" s="605"/>
      <c r="Z95" s="451"/>
      <c r="AA95" s="182"/>
      <c r="AB95" s="453"/>
      <c r="AC95" s="451" t="e">
        <f t="shared" si="42"/>
        <v>#N/A</v>
      </c>
      <c r="AD95" s="605"/>
      <c r="AE95" s="451"/>
      <c r="AF95" s="182"/>
      <c r="AG95" s="453"/>
      <c r="AH95" s="451" t="e">
        <f t="shared" si="44"/>
        <v>#N/A</v>
      </c>
      <c r="AI95" s="605"/>
      <c r="AJ95" s="451"/>
      <c r="AK95" s="182"/>
      <c r="AL95" s="453"/>
      <c r="AM95" s="451" t="e">
        <f t="shared" si="46"/>
        <v>#N/A</v>
      </c>
      <c r="AN95" s="605"/>
      <c r="AO95" s="390"/>
      <c r="AP95" s="182"/>
      <c r="AQ95" s="391"/>
      <c r="AR95" s="390" t="e">
        <f t="shared" si="48"/>
        <v>#N/A</v>
      </c>
      <c r="AS95" s="605"/>
      <c r="AT95" s="390"/>
      <c r="AU95" s="182"/>
      <c r="AV95" s="391"/>
      <c r="AW95" s="390" t="e">
        <f t="shared" si="50"/>
        <v>#N/A</v>
      </c>
      <c r="AX95" s="605"/>
    </row>
    <row r="96" spans="2:50">
      <c r="B96" s="572"/>
      <c r="C96" s="451">
        <v>10</v>
      </c>
      <c r="D96" s="451"/>
      <c r="E96" s="451"/>
      <c r="F96" s="451"/>
      <c r="G96" s="182"/>
      <c r="H96" s="609"/>
      <c r="I96" s="456"/>
      <c r="J96" s="456"/>
      <c r="K96" s="454"/>
      <c r="L96" s="541"/>
      <c r="M96" s="455" t="e">
        <f>RANK(K96, K$87:$K$101)</f>
        <v>#N/A</v>
      </c>
      <c r="N96" s="559"/>
      <c r="O96" s="559"/>
      <c r="P96" s="451"/>
      <c r="Q96" s="182"/>
      <c r="R96" s="453"/>
      <c r="S96" s="451" t="e">
        <f t="shared" si="53"/>
        <v>#N/A</v>
      </c>
      <c r="T96" s="605"/>
      <c r="U96" s="451"/>
      <c r="V96" s="182"/>
      <c r="W96" s="453"/>
      <c r="X96" s="451" t="e">
        <f t="shared" si="40"/>
        <v>#N/A</v>
      </c>
      <c r="Y96" s="605"/>
      <c r="Z96" s="451"/>
      <c r="AA96" s="182"/>
      <c r="AB96" s="453"/>
      <c r="AC96" s="451" t="e">
        <f t="shared" si="42"/>
        <v>#N/A</v>
      </c>
      <c r="AD96" s="605"/>
      <c r="AE96" s="451"/>
      <c r="AF96" s="182"/>
      <c r="AG96" s="453"/>
      <c r="AH96" s="451" t="e">
        <f t="shared" si="44"/>
        <v>#N/A</v>
      </c>
      <c r="AI96" s="605"/>
      <c r="AJ96" s="451"/>
      <c r="AK96" s="182"/>
      <c r="AL96" s="453"/>
      <c r="AM96" s="451" t="e">
        <f t="shared" si="46"/>
        <v>#N/A</v>
      </c>
      <c r="AN96" s="605"/>
      <c r="AO96" s="390"/>
      <c r="AP96" s="182"/>
      <c r="AQ96" s="391"/>
      <c r="AR96" s="390" t="e">
        <f t="shared" si="48"/>
        <v>#N/A</v>
      </c>
      <c r="AS96" s="605"/>
      <c r="AT96" s="390"/>
      <c r="AU96" s="182"/>
      <c r="AV96" s="391"/>
      <c r="AW96" s="390" t="e">
        <f t="shared" si="50"/>
        <v>#N/A</v>
      </c>
      <c r="AX96" s="605"/>
    </row>
    <row r="97" spans="2:50">
      <c r="B97" s="572"/>
      <c r="C97" s="451">
        <v>11</v>
      </c>
      <c r="D97" s="451"/>
      <c r="E97" s="451"/>
      <c r="F97" s="451"/>
      <c r="G97" s="182"/>
      <c r="H97" s="609"/>
      <c r="I97" s="202"/>
      <c r="J97" s="202"/>
      <c r="K97" s="202"/>
      <c r="L97" s="541"/>
      <c r="M97" s="455" t="e">
        <f>RANK(K97, K$87:$K$101)</f>
        <v>#N/A</v>
      </c>
      <c r="N97" s="559"/>
      <c r="O97" s="559"/>
      <c r="P97" s="451"/>
      <c r="Q97" s="451"/>
      <c r="R97" s="451"/>
      <c r="S97" s="451" t="e">
        <f t="shared" si="53"/>
        <v>#N/A</v>
      </c>
      <c r="T97" s="605"/>
      <c r="U97" s="451"/>
      <c r="V97" s="451"/>
      <c r="W97" s="451"/>
      <c r="X97" s="451" t="e">
        <f t="shared" si="40"/>
        <v>#N/A</v>
      </c>
      <c r="Y97" s="605"/>
      <c r="Z97" s="451"/>
      <c r="AA97" s="451"/>
      <c r="AB97" s="451"/>
      <c r="AC97" s="451" t="e">
        <f t="shared" si="42"/>
        <v>#N/A</v>
      </c>
      <c r="AD97" s="605"/>
      <c r="AE97" s="451"/>
      <c r="AF97" s="451"/>
      <c r="AG97" s="451"/>
      <c r="AH97" s="451" t="e">
        <f t="shared" si="44"/>
        <v>#N/A</v>
      </c>
      <c r="AI97" s="605"/>
      <c r="AJ97" s="451"/>
      <c r="AK97" s="451"/>
      <c r="AL97" s="451"/>
      <c r="AM97" s="451" t="e">
        <f t="shared" si="46"/>
        <v>#N/A</v>
      </c>
      <c r="AN97" s="605"/>
      <c r="AO97" s="390"/>
      <c r="AP97" s="390"/>
      <c r="AQ97" s="390"/>
      <c r="AR97" s="390" t="e">
        <f t="shared" si="48"/>
        <v>#N/A</v>
      </c>
      <c r="AS97" s="605"/>
      <c r="AT97" s="390"/>
      <c r="AU97" s="390"/>
      <c r="AV97" s="390"/>
      <c r="AW97" s="390" t="e">
        <f t="shared" si="50"/>
        <v>#N/A</v>
      </c>
      <c r="AX97" s="605"/>
    </row>
    <row r="98" spans="2:50">
      <c r="B98" s="572"/>
      <c r="C98" s="451">
        <v>12</v>
      </c>
      <c r="D98" s="451"/>
      <c r="E98" s="451"/>
      <c r="F98" s="451"/>
      <c r="G98" s="182"/>
      <c r="H98" s="609"/>
      <c r="I98" s="202"/>
      <c r="J98" s="202"/>
      <c r="K98" s="202"/>
      <c r="L98" s="541"/>
      <c r="M98" s="455" t="e">
        <f>RANK(K98, K$87:$K$101)</f>
        <v>#N/A</v>
      </c>
      <c r="N98" s="559"/>
      <c r="O98" s="559"/>
      <c r="P98" s="451"/>
      <c r="Q98" s="451"/>
      <c r="R98" s="451"/>
      <c r="S98" s="451" t="e">
        <f t="shared" si="53"/>
        <v>#N/A</v>
      </c>
      <c r="T98" s="605"/>
      <c r="U98" s="451"/>
      <c r="V98" s="451"/>
      <c r="W98" s="451"/>
      <c r="X98" s="451" t="e">
        <f t="shared" si="40"/>
        <v>#N/A</v>
      </c>
      <c r="Y98" s="605"/>
      <c r="Z98" s="451"/>
      <c r="AA98" s="451"/>
      <c r="AB98" s="451"/>
      <c r="AC98" s="451" t="e">
        <f t="shared" si="42"/>
        <v>#N/A</v>
      </c>
      <c r="AD98" s="605"/>
      <c r="AE98" s="451"/>
      <c r="AF98" s="451"/>
      <c r="AG98" s="451"/>
      <c r="AH98" s="451" t="e">
        <f t="shared" si="44"/>
        <v>#N/A</v>
      </c>
      <c r="AI98" s="605"/>
      <c r="AJ98" s="451"/>
      <c r="AK98" s="451"/>
      <c r="AL98" s="451"/>
      <c r="AM98" s="451" t="e">
        <f t="shared" si="46"/>
        <v>#N/A</v>
      </c>
      <c r="AN98" s="605"/>
      <c r="AO98" s="390"/>
      <c r="AP98" s="390"/>
      <c r="AQ98" s="390"/>
      <c r="AR98" s="390" t="e">
        <f t="shared" si="48"/>
        <v>#N/A</v>
      </c>
      <c r="AS98" s="605"/>
      <c r="AT98" s="390"/>
      <c r="AU98" s="390"/>
      <c r="AV98" s="390"/>
      <c r="AW98" s="390" t="e">
        <f t="shared" si="50"/>
        <v>#N/A</v>
      </c>
      <c r="AX98" s="605"/>
    </row>
    <row r="99" spans="2:50">
      <c r="B99" s="572"/>
      <c r="C99" s="451">
        <v>13</v>
      </c>
      <c r="D99" s="451"/>
      <c r="E99" s="451"/>
      <c r="F99" s="451"/>
      <c r="G99" s="182"/>
      <c r="H99" s="609"/>
      <c r="I99" s="202"/>
      <c r="J99" s="202"/>
      <c r="K99" s="202"/>
      <c r="L99" s="541"/>
      <c r="M99" s="455" t="e">
        <f>RANK(K99, K$87:$K$101)</f>
        <v>#N/A</v>
      </c>
      <c r="N99" s="559"/>
      <c r="O99" s="559"/>
      <c r="P99" s="451"/>
      <c r="Q99" s="451"/>
      <c r="R99" s="451"/>
      <c r="S99" s="451" t="e">
        <f t="shared" si="53"/>
        <v>#N/A</v>
      </c>
      <c r="T99" s="605"/>
      <c r="U99" s="451"/>
      <c r="V99" s="451"/>
      <c r="W99" s="451"/>
      <c r="X99" s="451" t="e">
        <f t="shared" si="40"/>
        <v>#N/A</v>
      </c>
      <c r="Y99" s="605"/>
      <c r="Z99" s="451"/>
      <c r="AA99" s="451"/>
      <c r="AB99" s="451"/>
      <c r="AC99" s="451" t="e">
        <f t="shared" si="42"/>
        <v>#N/A</v>
      </c>
      <c r="AD99" s="605"/>
      <c r="AE99" s="451"/>
      <c r="AF99" s="451"/>
      <c r="AG99" s="451"/>
      <c r="AH99" s="451" t="e">
        <f t="shared" si="44"/>
        <v>#N/A</v>
      </c>
      <c r="AI99" s="605"/>
      <c r="AJ99" s="451"/>
      <c r="AK99" s="451"/>
      <c r="AL99" s="451"/>
      <c r="AM99" s="451" t="e">
        <f t="shared" si="46"/>
        <v>#N/A</v>
      </c>
      <c r="AN99" s="605"/>
      <c r="AO99" s="390"/>
      <c r="AP99" s="390"/>
      <c r="AQ99" s="390"/>
      <c r="AR99" s="390" t="e">
        <f t="shared" si="48"/>
        <v>#N/A</v>
      </c>
      <c r="AS99" s="605"/>
      <c r="AT99" s="390"/>
      <c r="AU99" s="390"/>
      <c r="AV99" s="390"/>
      <c r="AW99" s="390" t="e">
        <f t="shared" si="50"/>
        <v>#N/A</v>
      </c>
      <c r="AX99" s="605"/>
    </row>
    <row r="100" spans="2:50">
      <c r="B100" s="572"/>
      <c r="C100" s="451">
        <v>14</v>
      </c>
      <c r="D100" s="451"/>
      <c r="E100" s="451"/>
      <c r="F100" s="451"/>
      <c r="G100" s="182"/>
      <c r="H100" s="609"/>
      <c r="I100" s="202"/>
      <c r="J100" s="202"/>
      <c r="K100" s="202"/>
      <c r="L100" s="541"/>
      <c r="M100" s="455" t="e">
        <f>RANK(K100, K$87:$K$101)</f>
        <v>#N/A</v>
      </c>
      <c r="N100" s="559"/>
      <c r="O100" s="559"/>
      <c r="P100" s="451"/>
      <c r="Q100" s="451"/>
      <c r="R100" s="451"/>
      <c r="S100" s="451" t="e">
        <f t="shared" si="53"/>
        <v>#N/A</v>
      </c>
      <c r="T100" s="605"/>
      <c r="U100" s="451"/>
      <c r="V100" s="451"/>
      <c r="W100" s="451"/>
      <c r="X100" s="451" t="e">
        <f t="shared" si="40"/>
        <v>#N/A</v>
      </c>
      <c r="Y100" s="605"/>
      <c r="Z100" s="451"/>
      <c r="AA100" s="451"/>
      <c r="AB100" s="451"/>
      <c r="AC100" s="451" t="e">
        <f t="shared" si="42"/>
        <v>#N/A</v>
      </c>
      <c r="AD100" s="605"/>
      <c r="AE100" s="451"/>
      <c r="AF100" s="451"/>
      <c r="AG100" s="451"/>
      <c r="AH100" s="451" t="e">
        <f t="shared" si="44"/>
        <v>#N/A</v>
      </c>
      <c r="AI100" s="605"/>
      <c r="AJ100" s="451"/>
      <c r="AK100" s="451"/>
      <c r="AL100" s="451"/>
      <c r="AM100" s="451" t="e">
        <f t="shared" si="46"/>
        <v>#N/A</v>
      </c>
      <c r="AN100" s="605"/>
      <c r="AO100" s="390"/>
      <c r="AP100" s="390"/>
      <c r="AQ100" s="390"/>
      <c r="AR100" s="390" t="e">
        <f t="shared" si="48"/>
        <v>#N/A</v>
      </c>
      <c r="AS100" s="605"/>
      <c r="AT100" s="390"/>
      <c r="AU100" s="390"/>
      <c r="AV100" s="390"/>
      <c r="AW100" s="390" t="e">
        <f t="shared" si="50"/>
        <v>#N/A</v>
      </c>
      <c r="AX100" s="605"/>
    </row>
    <row r="101" spans="2:50">
      <c r="B101" s="572"/>
      <c r="C101" s="451">
        <v>15</v>
      </c>
      <c r="D101" s="451"/>
      <c r="E101" s="451"/>
      <c r="F101" s="451"/>
      <c r="G101" s="451"/>
      <c r="H101" s="610"/>
      <c r="I101" s="202"/>
      <c r="J101" s="202"/>
      <c r="K101" s="202"/>
      <c r="L101" s="542"/>
      <c r="M101" s="456" t="e">
        <f>RANK(K101, K$87:$K$101)</f>
        <v>#N/A</v>
      </c>
      <c r="N101" s="559"/>
      <c r="O101" s="559"/>
      <c r="P101" s="451"/>
      <c r="Q101" s="451"/>
      <c r="R101" s="451"/>
      <c r="S101" s="451" t="e">
        <f t="shared" si="53"/>
        <v>#N/A</v>
      </c>
      <c r="T101" s="605"/>
      <c r="U101" s="451"/>
      <c r="V101" s="451"/>
      <c r="W101" s="451"/>
      <c r="X101" s="451" t="e">
        <f t="shared" si="40"/>
        <v>#N/A</v>
      </c>
      <c r="Y101" s="605"/>
      <c r="Z101" s="451"/>
      <c r="AA101" s="451"/>
      <c r="AB101" s="451"/>
      <c r="AC101" s="451" t="e">
        <f t="shared" si="42"/>
        <v>#N/A</v>
      </c>
      <c r="AD101" s="605"/>
      <c r="AE101" s="451"/>
      <c r="AF101" s="451"/>
      <c r="AG101" s="451"/>
      <c r="AH101" s="451" t="e">
        <f t="shared" si="44"/>
        <v>#N/A</v>
      </c>
      <c r="AI101" s="605"/>
      <c r="AJ101" s="451"/>
      <c r="AK101" s="451"/>
      <c r="AL101" s="451"/>
      <c r="AM101" s="451" t="e">
        <f t="shared" si="46"/>
        <v>#N/A</v>
      </c>
      <c r="AN101" s="605"/>
      <c r="AO101" s="390"/>
      <c r="AP101" s="390"/>
      <c r="AQ101" s="390"/>
      <c r="AR101" s="390" t="e">
        <f t="shared" si="48"/>
        <v>#N/A</v>
      </c>
      <c r="AS101" s="605"/>
      <c r="AT101" s="390"/>
      <c r="AU101" s="390"/>
      <c r="AV101" s="390"/>
      <c r="AW101" s="390" t="e">
        <f t="shared" si="50"/>
        <v>#N/A</v>
      </c>
      <c r="AX101" s="605"/>
    </row>
    <row r="102" spans="2:50" ht="15.75">
      <c r="B102" s="576" t="s">
        <v>162</v>
      </c>
      <c r="C102" s="577"/>
      <c r="D102" s="577"/>
      <c r="E102" s="577"/>
      <c r="F102" s="577"/>
      <c r="G102" s="577"/>
      <c r="H102" s="578"/>
      <c r="I102" s="208"/>
      <c r="J102" s="208"/>
      <c r="K102" s="208"/>
      <c r="L102" s="208"/>
      <c r="M102" s="207"/>
      <c r="N102" s="565" t="s">
        <v>156</v>
      </c>
      <c r="O102" s="565" t="s">
        <v>105</v>
      </c>
      <c r="P102" s="571">
        <f>P82+7</f>
        <v>34</v>
      </c>
      <c r="Q102" s="572"/>
      <c r="R102" s="572"/>
      <c r="S102" s="572"/>
      <c r="T102" s="572"/>
      <c r="U102" s="568">
        <f>P102+1</f>
        <v>35</v>
      </c>
      <c r="V102" s="569"/>
      <c r="W102" s="569"/>
      <c r="X102" s="569"/>
      <c r="Y102" s="570"/>
      <c r="Z102" s="568">
        <f>U102+1</f>
        <v>36</v>
      </c>
      <c r="AA102" s="569"/>
      <c r="AB102" s="569"/>
      <c r="AC102" s="569"/>
      <c r="AD102" s="570"/>
      <c r="AE102" s="568">
        <f>Z102+1</f>
        <v>37</v>
      </c>
      <c r="AF102" s="569"/>
      <c r="AG102" s="569"/>
      <c r="AH102" s="569"/>
      <c r="AI102" s="570"/>
      <c r="AJ102" s="568">
        <f>AE102+1</f>
        <v>38</v>
      </c>
      <c r="AK102" s="569"/>
      <c r="AL102" s="569"/>
      <c r="AM102" s="569"/>
      <c r="AN102" s="570"/>
      <c r="AO102" s="568">
        <f>AJ102+1</f>
        <v>39</v>
      </c>
      <c r="AP102" s="569"/>
      <c r="AQ102" s="569"/>
      <c r="AR102" s="569"/>
      <c r="AS102" s="570"/>
      <c r="AT102" s="568">
        <f>AO102+1</f>
        <v>40</v>
      </c>
      <c r="AU102" s="569"/>
      <c r="AV102" s="569"/>
      <c r="AW102" s="569"/>
      <c r="AX102" s="570"/>
    </row>
    <row r="103" spans="2:50" ht="15.75">
      <c r="B103" s="579"/>
      <c r="C103" s="579"/>
      <c r="D103" s="579"/>
      <c r="E103" s="579"/>
      <c r="F103" s="579"/>
      <c r="G103" s="579"/>
      <c r="H103" s="579"/>
      <c r="I103" s="205"/>
      <c r="J103" s="205"/>
      <c r="K103" s="205"/>
      <c r="L103" s="205"/>
      <c r="M103" s="206"/>
      <c r="N103" s="567"/>
      <c r="O103" s="567"/>
      <c r="P103" s="571" t="s">
        <v>158</v>
      </c>
      <c r="Q103" s="572"/>
      <c r="R103" s="572"/>
      <c r="S103" s="572"/>
      <c r="T103" s="572"/>
      <c r="U103" s="571" t="s">
        <v>114</v>
      </c>
      <c r="V103" s="572"/>
      <c r="W103" s="572"/>
      <c r="X103" s="572"/>
      <c r="Y103" s="572"/>
      <c r="Z103" s="571" t="s">
        <v>159</v>
      </c>
      <c r="AA103" s="572"/>
      <c r="AB103" s="572"/>
      <c r="AC103" s="572"/>
      <c r="AD103" s="572"/>
      <c r="AE103" s="571" t="s">
        <v>157</v>
      </c>
      <c r="AF103" s="572"/>
      <c r="AG103" s="572"/>
      <c r="AH103" s="572"/>
      <c r="AI103" s="572"/>
      <c r="AJ103" s="571" t="s">
        <v>160</v>
      </c>
      <c r="AK103" s="572"/>
      <c r="AL103" s="572"/>
      <c r="AM103" s="572"/>
      <c r="AN103" s="572"/>
      <c r="AO103" s="571" t="s">
        <v>115</v>
      </c>
      <c r="AP103" s="572"/>
      <c r="AQ103" s="572"/>
      <c r="AR103" s="572"/>
      <c r="AS103" s="572"/>
      <c r="AT103" s="571" t="s">
        <v>161</v>
      </c>
      <c r="AU103" s="572"/>
      <c r="AV103" s="572"/>
      <c r="AW103" s="572"/>
      <c r="AX103" s="572"/>
    </row>
    <row r="104" spans="2:50">
      <c r="B104" s="559" t="s">
        <v>685</v>
      </c>
      <c r="C104" s="559" t="s">
        <v>686</v>
      </c>
      <c r="D104" s="559"/>
      <c r="E104" s="559" t="s">
        <v>687</v>
      </c>
      <c r="F104" s="559"/>
      <c r="G104" s="559"/>
      <c r="H104" s="560" t="s">
        <v>688</v>
      </c>
      <c r="I104" s="559" t="s">
        <v>689</v>
      </c>
      <c r="J104" s="559"/>
      <c r="K104" s="559"/>
      <c r="L104" s="560" t="s">
        <v>688</v>
      </c>
      <c r="M104" s="565" t="s">
        <v>690</v>
      </c>
      <c r="N104" s="559"/>
      <c r="O104" s="559" t="s">
        <v>691</v>
      </c>
      <c r="P104" s="556" t="s">
        <v>692</v>
      </c>
      <c r="Q104" s="557"/>
      <c r="R104" s="557"/>
      <c r="S104" s="558"/>
      <c r="T104" s="559" t="s">
        <v>688</v>
      </c>
      <c r="U104" s="556" t="s">
        <v>692</v>
      </c>
      <c r="V104" s="557"/>
      <c r="W104" s="557"/>
      <c r="X104" s="558"/>
      <c r="Y104" s="559" t="s">
        <v>688</v>
      </c>
      <c r="Z104" s="556" t="s">
        <v>418</v>
      </c>
      <c r="AA104" s="557"/>
      <c r="AB104" s="557"/>
      <c r="AC104" s="558"/>
      <c r="AD104" s="559" t="s">
        <v>416</v>
      </c>
      <c r="AE104" s="556" t="s">
        <v>418</v>
      </c>
      <c r="AF104" s="557"/>
      <c r="AG104" s="557"/>
      <c r="AH104" s="558"/>
      <c r="AI104" s="559" t="s">
        <v>416</v>
      </c>
      <c r="AJ104" s="556" t="s">
        <v>418</v>
      </c>
      <c r="AK104" s="557"/>
      <c r="AL104" s="557"/>
      <c r="AM104" s="558"/>
      <c r="AN104" s="559" t="s">
        <v>416</v>
      </c>
      <c r="AO104" s="556" t="s">
        <v>418</v>
      </c>
      <c r="AP104" s="557"/>
      <c r="AQ104" s="557"/>
      <c r="AR104" s="558"/>
      <c r="AS104" s="559" t="s">
        <v>416</v>
      </c>
      <c r="AT104" s="556" t="s">
        <v>418</v>
      </c>
      <c r="AU104" s="557"/>
      <c r="AV104" s="557"/>
      <c r="AW104" s="558"/>
      <c r="AX104" s="559" t="s">
        <v>416</v>
      </c>
    </row>
    <row r="105" spans="2:50">
      <c r="B105" s="559"/>
      <c r="C105" s="559"/>
      <c r="D105" s="559"/>
      <c r="E105" s="559" t="s">
        <v>693</v>
      </c>
      <c r="F105" s="559"/>
      <c r="G105" s="559"/>
      <c r="H105" s="561"/>
      <c r="I105" s="559" t="s">
        <v>693</v>
      </c>
      <c r="J105" s="559"/>
      <c r="K105" s="559"/>
      <c r="L105" s="561"/>
      <c r="M105" s="566"/>
      <c r="N105" s="559"/>
      <c r="O105" s="559"/>
      <c r="P105" s="556" t="s">
        <v>694</v>
      </c>
      <c r="Q105" s="557"/>
      <c r="R105" s="557"/>
      <c r="S105" s="558"/>
      <c r="T105" s="559"/>
      <c r="U105" s="556" t="s">
        <v>694</v>
      </c>
      <c r="V105" s="557"/>
      <c r="W105" s="557"/>
      <c r="X105" s="558"/>
      <c r="Y105" s="559"/>
      <c r="Z105" s="556" t="s">
        <v>423</v>
      </c>
      <c r="AA105" s="557"/>
      <c r="AB105" s="557"/>
      <c r="AC105" s="558"/>
      <c r="AD105" s="559"/>
      <c r="AE105" s="556" t="s">
        <v>423</v>
      </c>
      <c r="AF105" s="557"/>
      <c r="AG105" s="557"/>
      <c r="AH105" s="558"/>
      <c r="AI105" s="559"/>
      <c r="AJ105" s="556" t="s">
        <v>423</v>
      </c>
      <c r="AK105" s="557"/>
      <c r="AL105" s="557"/>
      <c r="AM105" s="558"/>
      <c r="AN105" s="559"/>
      <c r="AO105" s="556" t="s">
        <v>423</v>
      </c>
      <c r="AP105" s="557"/>
      <c r="AQ105" s="557"/>
      <c r="AR105" s="558"/>
      <c r="AS105" s="559"/>
      <c r="AT105" s="556" t="s">
        <v>423</v>
      </c>
      <c r="AU105" s="557"/>
      <c r="AV105" s="557"/>
      <c r="AW105" s="558"/>
      <c r="AX105" s="559"/>
    </row>
    <row r="106" spans="2:50">
      <c r="B106" s="559"/>
      <c r="C106" s="559"/>
      <c r="D106" s="559"/>
      <c r="E106" s="400" t="s">
        <v>695</v>
      </c>
      <c r="F106" s="400" t="s">
        <v>696</v>
      </c>
      <c r="G106" s="400" t="s">
        <v>697</v>
      </c>
      <c r="H106" s="562"/>
      <c r="I106" s="400" t="s">
        <v>695</v>
      </c>
      <c r="J106" s="400" t="s">
        <v>696</v>
      </c>
      <c r="K106" s="400" t="s">
        <v>697</v>
      </c>
      <c r="L106" s="562"/>
      <c r="M106" s="567"/>
      <c r="N106" s="559"/>
      <c r="O106" s="559"/>
      <c r="P106" s="400" t="s">
        <v>695</v>
      </c>
      <c r="Q106" s="400" t="s">
        <v>696</v>
      </c>
      <c r="R106" s="400" t="s">
        <v>697</v>
      </c>
      <c r="S106" s="400" t="s">
        <v>690</v>
      </c>
      <c r="T106" s="559"/>
      <c r="U106" s="400" t="s">
        <v>695</v>
      </c>
      <c r="V106" s="400" t="s">
        <v>696</v>
      </c>
      <c r="W106" s="400" t="s">
        <v>697</v>
      </c>
      <c r="X106" s="400" t="s">
        <v>690</v>
      </c>
      <c r="Y106" s="559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9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9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9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9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9"/>
    </row>
    <row r="107" spans="2:50">
      <c r="B107" s="607" t="s">
        <v>700</v>
      </c>
      <c r="C107" s="431">
        <v>1</v>
      </c>
      <c r="D107" s="435"/>
      <c r="E107" s="432"/>
      <c r="F107" s="432"/>
      <c r="G107" s="432"/>
      <c r="H107" s="563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63"/>
      <c r="M107" s="432" t="e">
        <f>RANK(K107, K$107:$K$121)</f>
        <v>#DIV/0!</v>
      </c>
      <c r="N107" s="559"/>
      <c r="O107" s="559"/>
      <c r="P107" s="431"/>
      <c r="Q107" s="432"/>
      <c r="R107" s="432"/>
      <c r="S107" s="431" t="e">
        <f>RANK(R107, R$107:R$121)</f>
        <v>#N/A</v>
      </c>
      <c r="T107" s="588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88" t="e">
        <f t="shared" ref="Y107" si="54">AVERAGE(W107:W121)</f>
        <v>#DIV/0!</v>
      </c>
      <c r="Z107" s="182"/>
      <c r="AA107" s="182"/>
      <c r="AB107" s="312"/>
      <c r="AC107" s="297" t="e">
        <f>RANK(AB107, AB$87:AB$101)</f>
        <v>#N/A</v>
      </c>
      <c r="AD107" s="605" t="e">
        <f>AVERAGE(AB107:AB121)</f>
        <v>#DIV/0!</v>
      </c>
      <c r="AE107" s="182"/>
      <c r="AF107" s="182"/>
      <c r="AG107" s="312"/>
      <c r="AH107" s="297" t="e">
        <f>RANK(AG107, AG$87:AG$101)</f>
        <v>#N/A</v>
      </c>
      <c r="AI107" s="605" t="e">
        <f>AVERAGE(AG107:AG121)</f>
        <v>#DIV/0!</v>
      </c>
      <c r="AJ107" s="182"/>
      <c r="AK107" s="182"/>
      <c r="AL107" s="312"/>
      <c r="AM107" s="297" t="e">
        <f>RANK(AL107, AL$87:AL$101)</f>
        <v>#N/A</v>
      </c>
      <c r="AN107" s="605" t="e">
        <f>AVERAGE(AL107:AL121)</f>
        <v>#DIV/0!</v>
      </c>
      <c r="AO107" s="182"/>
      <c r="AP107" s="182"/>
      <c r="AQ107" s="312"/>
      <c r="AR107" s="297" t="e">
        <f>RANK(AQ107, AQ$87:AQ$101)</f>
        <v>#N/A</v>
      </c>
      <c r="AS107" s="605" t="e">
        <f>AVERAGE(AQ107:AQ121)</f>
        <v>#DIV/0!</v>
      </c>
      <c r="AT107" s="182"/>
      <c r="AU107" s="182"/>
      <c r="AV107" s="312"/>
      <c r="AW107" s="297" t="e">
        <f>RANK(AV107, AV$87:AV$101)</f>
        <v>#N/A</v>
      </c>
      <c r="AX107" s="605" t="e">
        <f>AVERAGE(AV107:AV121)</f>
        <v>#DIV/0!</v>
      </c>
    </row>
    <row r="108" spans="2:50">
      <c r="B108" s="599"/>
      <c r="C108" s="431">
        <v>2</v>
      </c>
      <c r="D108" s="435"/>
      <c r="E108" s="432"/>
      <c r="F108" s="432"/>
      <c r="G108" s="432"/>
      <c r="H108" s="564"/>
      <c r="I108" s="432" t="e">
        <f t="shared" ref="I108:K110" si="55">AVERAGE(P108,U108,Z108,AE108,AJ108,AO108,AT108)</f>
        <v>#DIV/0!</v>
      </c>
      <c r="J108" s="432" t="e">
        <f t="shared" si="55"/>
        <v>#DIV/0!</v>
      </c>
      <c r="K108" s="433" t="e">
        <f t="shared" si="55"/>
        <v>#DIV/0!</v>
      </c>
      <c r="L108" s="564"/>
      <c r="M108" s="432" t="e">
        <f>RANK(K108, K$107:$K$121)</f>
        <v>#DIV/0!</v>
      </c>
      <c r="N108" s="559"/>
      <c r="O108" s="559"/>
      <c r="P108" s="431"/>
      <c r="Q108" s="432"/>
      <c r="R108" s="432"/>
      <c r="S108" s="431" t="e">
        <f t="shared" ref="S108:S121" si="56">RANK(R108, R$107:R$121)</f>
        <v>#N/A</v>
      </c>
      <c r="T108" s="588"/>
      <c r="U108" s="431"/>
      <c r="V108" s="432"/>
      <c r="W108" s="432"/>
      <c r="X108" s="431" t="e">
        <f t="shared" ref="X108:X121" si="57">RANK(W108, W$107:W$121)</f>
        <v>#N/A</v>
      </c>
      <c r="Y108" s="588"/>
      <c r="Z108" s="311"/>
      <c r="AA108" s="182"/>
      <c r="AB108" s="312"/>
      <c r="AC108" s="297" t="e">
        <f t="shared" ref="AC108:AC121" si="58">RANK(AB108, AB$87:AB$101)</f>
        <v>#N/A</v>
      </c>
      <c r="AD108" s="605"/>
      <c r="AE108" s="311"/>
      <c r="AF108" s="182"/>
      <c r="AG108" s="312"/>
      <c r="AH108" s="297" t="e">
        <f t="shared" ref="AH108:AH121" si="59">RANK(AG108, AG$87:AG$101)</f>
        <v>#N/A</v>
      </c>
      <c r="AI108" s="605"/>
      <c r="AJ108" s="311"/>
      <c r="AK108" s="182"/>
      <c r="AL108" s="312"/>
      <c r="AM108" s="297" t="e">
        <f t="shared" ref="AM108:AM121" si="60">RANK(AL108, AL$87:AL$101)</f>
        <v>#N/A</v>
      </c>
      <c r="AN108" s="605"/>
      <c r="AO108" s="311"/>
      <c r="AP108" s="182"/>
      <c r="AQ108" s="312"/>
      <c r="AR108" s="297" t="e">
        <f t="shared" ref="AR108:AR121" si="61">RANK(AQ108, AQ$87:AQ$101)</f>
        <v>#N/A</v>
      </c>
      <c r="AS108" s="605"/>
      <c r="AT108" s="311"/>
      <c r="AU108" s="182"/>
      <c r="AV108" s="312"/>
      <c r="AW108" s="297" t="e">
        <f t="shared" ref="AW108:AW121" si="62">RANK(AV108, AV$87:AV$101)</f>
        <v>#N/A</v>
      </c>
      <c r="AX108" s="605"/>
    </row>
    <row r="109" spans="2:50">
      <c r="B109" s="599"/>
      <c r="C109" s="431">
        <v>3</v>
      </c>
      <c r="D109" s="435"/>
      <c r="E109" s="432"/>
      <c r="F109" s="432"/>
      <c r="G109" s="432"/>
      <c r="H109" s="564"/>
      <c r="I109" s="432" t="e">
        <f t="shared" si="55"/>
        <v>#DIV/0!</v>
      </c>
      <c r="J109" s="432" t="e">
        <f t="shared" si="55"/>
        <v>#DIV/0!</v>
      </c>
      <c r="K109" s="433" t="e">
        <f t="shared" si="55"/>
        <v>#DIV/0!</v>
      </c>
      <c r="L109" s="564"/>
      <c r="M109" s="432" t="e">
        <f>RANK(K109, K$107:$K$121)</f>
        <v>#DIV/0!</v>
      </c>
      <c r="N109" s="559"/>
      <c r="O109" s="559"/>
      <c r="P109" s="431"/>
      <c r="Q109" s="432"/>
      <c r="R109" s="432"/>
      <c r="S109" s="431" t="e">
        <f t="shared" si="56"/>
        <v>#N/A</v>
      </c>
      <c r="T109" s="588"/>
      <c r="U109" s="431"/>
      <c r="V109" s="432"/>
      <c r="W109" s="432"/>
      <c r="X109" s="431" t="e">
        <f t="shared" si="57"/>
        <v>#N/A</v>
      </c>
      <c r="Y109" s="588"/>
      <c r="Z109" s="311"/>
      <c r="AA109" s="182"/>
      <c r="AB109" s="312"/>
      <c r="AC109" s="297" t="e">
        <f t="shared" si="58"/>
        <v>#N/A</v>
      </c>
      <c r="AD109" s="605"/>
      <c r="AE109" s="311"/>
      <c r="AF109" s="182"/>
      <c r="AG109" s="312"/>
      <c r="AH109" s="297" t="e">
        <f t="shared" si="59"/>
        <v>#N/A</v>
      </c>
      <c r="AI109" s="605"/>
      <c r="AJ109" s="311"/>
      <c r="AK109" s="182"/>
      <c r="AL109" s="312"/>
      <c r="AM109" s="297" t="e">
        <f t="shared" si="60"/>
        <v>#N/A</v>
      </c>
      <c r="AN109" s="605"/>
      <c r="AO109" s="311"/>
      <c r="AP109" s="182"/>
      <c r="AQ109" s="312"/>
      <c r="AR109" s="297" t="e">
        <f t="shared" si="61"/>
        <v>#N/A</v>
      </c>
      <c r="AS109" s="605"/>
      <c r="AT109" s="311"/>
      <c r="AU109" s="182"/>
      <c r="AV109" s="312"/>
      <c r="AW109" s="297" t="e">
        <f t="shared" si="62"/>
        <v>#N/A</v>
      </c>
      <c r="AX109" s="605"/>
    </row>
    <row r="110" spans="2:50">
      <c r="B110" s="599"/>
      <c r="C110" s="431">
        <v>4</v>
      </c>
      <c r="D110" s="435"/>
      <c r="E110" s="432"/>
      <c r="F110" s="432"/>
      <c r="G110" s="432"/>
      <c r="H110" s="564"/>
      <c r="I110" s="432" t="e">
        <f t="shared" si="55"/>
        <v>#DIV/0!</v>
      </c>
      <c r="J110" s="432" t="e">
        <f t="shared" si="55"/>
        <v>#DIV/0!</v>
      </c>
      <c r="K110" s="433" t="e">
        <f t="shared" si="55"/>
        <v>#DIV/0!</v>
      </c>
      <c r="L110" s="564"/>
      <c r="M110" s="432" t="e">
        <f>RANK(K110, K$107:$K$121)</f>
        <v>#DIV/0!</v>
      </c>
      <c r="N110" s="559"/>
      <c r="O110" s="559"/>
      <c r="P110" s="431"/>
      <c r="Q110" s="432"/>
      <c r="R110" s="432"/>
      <c r="S110" s="431" t="e">
        <f t="shared" si="56"/>
        <v>#N/A</v>
      </c>
      <c r="T110" s="588"/>
      <c r="U110" s="431"/>
      <c r="V110" s="432"/>
      <c r="W110" s="432"/>
      <c r="X110" s="431" t="e">
        <f t="shared" si="57"/>
        <v>#N/A</v>
      </c>
      <c r="Y110" s="588"/>
      <c r="Z110" s="311"/>
      <c r="AA110" s="182"/>
      <c r="AB110" s="312"/>
      <c r="AC110" s="297" t="e">
        <f t="shared" si="58"/>
        <v>#N/A</v>
      </c>
      <c r="AD110" s="605"/>
      <c r="AE110" s="311"/>
      <c r="AF110" s="182"/>
      <c r="AG110" s="312"/>
      <c r="AH110" s="297" t="e">
        <f t="shared" si="59"/>
        <v>#N/A</v>
      </c>
      <c r="AI110" s="605"/>
      <c r="AJ110" s="311"/>
      <c r="AK110" s="182"/>
      <c r="AL110" s="312"/>
      <c r="AM110" s="297" t="e">
        <f t="shared" si="60"/>
        <v>#N/A</v>
      </c>
      <c r="AN110" s="605"/>
      <c r="AO110" s="311"/>
      <c r="AP110" s="182"/>
      <c r="AQ110" s="312"/>
      <c r="AR110" s="297" t="e">
        <f t="shared" si="61"/>
        <v>#N/A</v>
      </c>
      <c r="AS110" s="605"/>
      <c r="AT110" s="311"/>
      <c r="AU110" s="182"/>
      <c r="AV110" s="312"/>
      <c r="AW110" s="297" t="e">
        <f t="shared" si="62"/>
        <v>#N/A</v>
      </c>
      <c r="AX110" s="605"/>
    </row>
    <row r="111" spans="2:50">
      <c r="B111" s="599"/>
      <c r="C111" s="431">
        <v>5</v>
      </c>
      <c r="D111" s="435"/>
      <c r="E111" s="432"/>
      <c r="F111" s="432"/>
      <c r="G111" s="432"/>
      <c r="H111" s="564"/>
      <c r="I111" s="432" t="e">
        <f>AVERAGE(P111,U111,Z111,AE111,AJ111,AO111,AT111)</f>
        <v>#DIV/0!</v>
      </c>
      <c r="J111" s="432" t="e">
        <f>AVERAGE(Q111,V111,AA111,AF111,AK111,AP111,AU111)</f>
        <v>#DIV/0!</v>
      </c>
      <c r="K111" s="433" t="e">
        <f>AVERAGE(R111,W111,AB111,AG111,AL111,AQ111,AV111)</f>
        <v>#DIV/0!</v>
      </c>
      <c r="L111" s="564"/>
      <c r="M111" s="432" t="e">
        <f>RANK(K111, K$107:$K$121)</f>
        <v>#DIV/0!</v>
      </c>
      <c r="N111" s="559"/>
      <c r="O111" s="559"/>
      <c r="P111" s="431"/>
      <c r="Q111" s="432"/>
      <c r="R111" s="432"/>
      <c r="S111" s="431" t="e">
        <f t="shared" si="56"/>
        <v>#N/A</v>
      </c>
      <c r="T111" s="588"/>
      <c r="U111" s="431"/>
      <c r="V111" s="432"/>
      <c r="W111" s="432"/>
      <c r="X111" s="431" t="e">
        <f t="shared" si="57"/>
        <v>#N/A</v>
      </c>
      <c r="Y111" s="588"/>
      <c r="Z111" s="311"/>
      <c r="AA111" s="182"/>
      <c r="AB111" s="312"/>
      <c r="AC111" s="297" t="e">
        <f t="shared" si="58"/>
        <v>#N/A</v>
      </c>
      <c r="AD111" s="605"/>
      <c r="AE111" s="311"/>
      <c r="AF111" s="182"/>
      <c r="AG111" s="312"/>
      <c r="AH111" s="297" t="e">
        <f t="shared" si="59"/>
        <v>#N/A</v>
      </c>
      <c r="AI111" s="605"/>
      <c r="AJ111" s="311"/>
      <c r="AK111" s="182"/>
      <c r="AL111" s="312"/>
      <c r="AM111" s="297" t="e">
        <f t="shared" si="60"/>
        <v>#N/A</v>
      </c>
      <c r="AN111" s="605"/>
      <c r="AO111" s="311"/>
      <c r="AP111" s="182"/>
      <c r="AQ111" s="312"/>
      <c r="AR111" s="297" t="e">
        <f t="shared" si="61"/>
        <v>#N/A</v>
      </c>
      <c r="AS111" s="605"/>
      <c r="AT111" s="311"/>
      <c r="AU111" s="182"/>
      <c r="AV111" s="312"/>
      <c r="AW111" s="297" t="e">
        <f t="shared" si="62"/>
        <v>#N/A</v>
      </c>
      <c r="AX111" s="605"/>
    </row>
    <row r="112" spans="2:50">
      <c r="B112" s="599"/>
      <c r="C112" s="431">
        <v>6</v>
      </c>
      <c r="D112" s="435"/>
      <c r="E112" s="432"/>
      <c r="F112" s="432"/>
      <c r="G112" s="432"/>
      <c r="H112" s="564"/>
      <c r="I112" s="432" t="e">
        <f t="shared" ref="I112:K113" si="63">AVERAGE(P112,U112,Z112,AE112,AJ112,AO112,AT112)</f>
        <v>#DIV/0!</v>
      </c>
      <c r="J112" s="432" t="e">
        <f t="shared" si="63"/>
        <v>#DIV/0!</v>
      </c>
      <c r="K112" s="433" t="e">
        <f t="shared" si="63"/>
        <v>#DIV/0!</v>
      </c>
      <c r="L112" s="564"/>
      <c r="M112" s="432" t="e">
        <f>RANK(K112, K$107:$K$121)</f>
        <v>#DIV/0!</v>
      </c>
      <c r="N112" s="559"/>
      <c r="O112" s="559"/>
      <c r="P112" s="431"/>
      <c r="Q112" s="432"/>
      <c r="R112" s="432"/>
      <c r="S112" s="431" t="e">
        <f t="shared" si="56"/>
        <v>#N/A</v>
      </c>
      <c r="T112" s="588"/>
      <c r="U112" s="431"/>
      <c r="V112" s="432"/>
      <c r="W112" s="432"/>
      <c r="X112" s="431" t="e">
        <f t="shared" si="57"/>
        <v>#N/A</v>
      </c>
      <c r="Y112" s="588"/>
      <c r="Z112" s="311"/>
      <c r="AA112" s="182"/>
      <c r="AB112" s="312"/>
      <c r="AC112" s="297" t="e">
        <f t="shared" si="58"/>
        <v>#N/A</v>
      </c>
      <c r="AD112" s="605"/>
      <c r="AE112" s="311"/>
      <c r="AF112" s="182"/>
      <c r="AG112" s="312"/>
      <c r="AH112" s="297" t="e">
        <f t="shared" si="59"/>
        <v>#N/A</v>
      </c>
      <c r="AI112" s="605"/>
      <c r="AJ112" s="311"/>
      <c r="AK112" s="182"/>
      <c r="AL112" s="312"/>
      <c r="AM112" s="297" t="e">
        <f t="shared" si="60"/>
        <v>#N/A</v>
      </c>
      <c r="AN112" s="605"/>
      <c r="AO112" s="311"/>
      <c r="AP112" s="182"/>
      <c r="AQ112" s="312"/>
      <c r="AR112" s="297" t="e">
        <f t="shared" si="61"/>
        <v>#N/A</v>
      </c>
      <c r="AS112" s="605"/>
      <c r="AT112" s="311"/>
      <c r="AU112" s="182"/>
      <c r="AV112" s="312"/>
      <c r="AW112" s="297" t="e">
        <f t="shared" si="62"/>
        <v>#N/A</v>
      </c>
      <c r="AX112" s="605"/>
    </row>
    <row r="113" spans="2:50">
      <c r="B113" s="599"/>
      <c r="C113" s="431">
        <v>7</v>
      </c>
      <c r="D113" s="435"/>
      <c r="E113" s="432"/>
      <c r="F113" s="432"/>
      <c r="G113" s="432"/>
      <c r="H113" s="564"/>
      <c r="I113" s="432" t="e">
        <f t="shared" si="63"/>
        <v>#DIV/0!</v>
      </c>
      <c r="J113" s="432" t="e">
        <f t="shared" si="63"/>
        <v>#DIV/0!</v>
      </c>
      <c r="K113" s="433" t="e">
        <f t="shared" si="63"/>
        <v>#DIV/0!</v>
      </c>
      <c r="L113" s="564"/>
      <c r="M113" s="432" t="e">
        <f>RANK(K113, K$107:$K$121)</f>
        <v>#DIV/0!</v>
      </c>
      <c r="N113" s="559"/>
      <c r="O113" s="559"/>
      <c r="P113" s="431"/>
      <c r="Q113" s="432"/>
      <c r="R113" s="432"/>
      <c r="S113" s="431" t="e">
        <f t="shared" si="56"/>
        <v>#N/A</v>
      </c>
      <c r="T113" s="588"/>
      <c r="U113" s="431"/>
      <c r="V113" s="432"/>
      <c r="W113" s="432"/>
      <c r="X113" s="431" t="e">
        <f t="shared" si="57"/>
        <v>#N/A</v>
      </c>
      <c r="Y113" s="588"/>
      <c r="Z113" s="311"/>
      <c r="AA113" s="182"/>
      <c r="AB113" s="312"/>
      <c r="AC113" s="297" t="e">
        <f t="shared" si="58"/>
        <v>#N/A</v>
      </c>
      <c r="AD113" s="605"/>
      <c r="AE113" s="311"/>
      <c r="AF113" s="182"/>
      <c r="AG113" s="312"/>
      <c r="AH113" s="297" t="e">
        <f t="shared" si="59"/>
        <v>#N/A</v>
      </c>
      <c r="AI113" s="605"/>
      <c r="AJ113" s="311"/>
      <c r="AK113" s="182"/>
      <c r="AL113" s="312"/>
      <c r="AM113" s="297" t="e">
        <f t="shared" si="60"/>
        <v>#N/A</v>
      </c>
      <c r="AN113" s="605"/>
      <c r="AO113" s="311"/>
      <c r="AP113" s="182"/>
      <c r="AQ113" s="312"/>
      <c r="AR113" s="297" t="e">
        <f t="shared" si="61"/>
        <v>#N/A</v>
      </c>
      <c r="AS113" s="605"/>
      <c r="AT113" s="311"/>
      <c r="AU113" s="182"/>
      <c r="AV113" s="312"/>
      <c r="AW113" s="297" t="e">
        <f t="shared" si="62"/>
        <v>#N/A</v>
      </c>
      <c r="AX113" s="605"/>
    </row>
    <row r="114" spans="2:50">
      <c r="B114" s="599"/>
      <c r="C114" s="431">
        <v>8</v>
      </c>
      <c r="D114" s="306"/>
      <c r="E114" s="432" t="s">
        <v>561</v>
      </c>
      <c r="F114" s="432" t="s">
        <v>561</v>
      </c>
      <c r="G114" s="432" t="s">
        <v>561</v>
      </c>
      <c r="H114" s="564"/>
      <c r="I114" s="432"/>
      <c r="J114" s="432"/>
      <c r="K114" s="433"/>
      <c r="L114" s="564"/>
      <c r="M114" s="432" t="e">
        <f>RANK(K114, K$107:$K$121)</f>
        <v>#DIV/0!</v>
      </c>
      <c r="N114" s="559"/>
      <c r="O114" s="559"/>
      <c r="P114" s="431" t="s">
        <v>561</v>
      </c>
      <c r="Q114" s="432" t="s">
        <v>561</v>
      </c>
      <c r="R114" s="432" t="s">
        <v>561</v>
      </c>
      <c r="S114" s="431" t="e">
        <f t="shared" si="56"/>
        <v>#VALUE!</v>
      </c>
      <c r="T114" s="588"/>
      <c r="U114" s="431"/>
      <c r="V114" s="432"/>
      <c r="W114" s="432"/>
      <c r="X114" s="431" t="e">
        <f t="shared" si="57"/>
        <v>#N/A</v>
      </c>
      <c r="Y114" s="588"/>
      <c r="Z114" s="311"/>
      <c r="AA114" s="182"/>
      <c r="AB114" s="312"/>
      <c r="AC114" s="297" t="e">
        <f t="shared" si="58"/>
        <v>#N/A</v>
      </c>
      <c r="AD114" s="605"/>
      <c r="AE114" s="311"/>
      <c r="AF114" s="182"/>
      <c r="AG114" s="312"/>
      <c r="AH114" s="297" t="e">
        <f t="shared" si="59"/>
        <v>#N/A</v>
      </c>
      <c r="AI114" s="605"/>
      <c r="AJ114" s="311"/>
      <c r="AK114" s="182"/>
      <c r="AL114" s="312"/>
      <c r="AM114" s="297" t="e">
        <f t="shared" si="60"/>
        <v>#N/A</v>
      </c>
      <c r="AN114" s="605"/>
      <c r="AO114" s="311"/>
      <c r="AP114" s="182"/>
      <c r="AQ114" s="312"/>
      <c r="AR114" s="297" t="e">
        <f t="shared" si="61"/>
        <v>#N/A</v>
      </c>
      <c r="AS114" s="605"/>
      <c r="AT114" s="311"/>
      <c r="AU114" s="182"/>
      <c r="AV114" s="312"/>
      <c r="AW114" s="297" t="e">
        <f t="shared" si="62"/>
        <v>#N/A</v>
      </c>
      <c r="AX114" s="605"/>
    </row>
    <row r="115" spans="2:50">
      <c r="B115" s="599"/>
      <c r="C115" s="431">
        <v>9</v>
      </c>
      <c r="D115" s="435"/>
      <c r="E115" s="432" t="s">
        <v>561</v>
      </c>
      <c r="F115" s="432" t="s">
        <v>561</v>
      </c>
      <c r="G115" s="432" t="s">
        <v>561</v>
      </c>
      <c r="H115" s="564"/>
      <c r="I115" s="432"/>
      <c r="J115" s="432"/>
      <c r="K115" s="433"/>
      <c r="L115" s="564"/>
      <c r="M115" s="432" t="e">
        <f>RANK(K115, K$107:$K$121)</f>
        <v>#DIV/0!</v>
      </c>
      <c r="N115" s="559"/>
      <c r="O115" s="559"/>
      <c r="P115" s="431" t="s">
        <v>561</v>
      </c>
      <c r="Q115" s="432" t="s">
        <v>561</v>
      </c>
      <c r="R115" s="432" t="s">
        <v>561</v>
      </c>
      <c r="S115" s="431" t="e">
        <f t="shared" si="56"/>
        <v>#VALUE!</v>
      </c>
      <c r="T115" s="588"/>
      <c r="U115" s="431" t="s">
        <v>561</v>
      </c>
      <c r="V115" s="432" t="s">
        <v>561</v>
      </c>
      <c r="W115" s="432" t="s">
        <v>561</v>
      </c>
      <c r="X115" s="431" t="e">
        <f t="shared" si="57"/>
        <v>#VALUE!</v>
      </c>
      <c r="Y115" s="588"/>
      <c r="Z115" s="311"/>
      <c r="AA115" s="182"/>
      <c r="AB115" s="312"/>
      <c r="AC115" s="297" t="e">
        <f t="shared" si="58"/>
        <v>#N/A</v>
      </c>
      <c r="AD115" s="605"/>
      <c r="AE115" s="311"/>
      <c r="AF115" s="182"/>
      <c r="AG115" s="312"/>
      <c r="AH115" s="297" t="e">
        <f t="shared" si="59"/>
        <v>#N/A</v>
      </c>
      <c r="AI115" s="605"/>
      <c r="AJ115" s="311"/>
      <c r="AK115" s="182"/>
      <c r="AL115" s="312"/>
      <c r="AM115" s="297" t="e">
        <f t="shared" si="60"/>
        <v>#N/A</v>
      </c>
      <c r="AN115" s="605"/>
      <c r="AO115" s="311"/>
      <c r="AP115" s="182"/>
      <c r="AQ115" s="312"/>
      <c r="AR115" s="297" t="e">
        <f t="shared" si="61"/>
        <v>#N/A</v>
      </c>
      <c r="AS115" s="605"/>
      <c r="AT115" s="311"/>
      <c r="AU115" s="182"/>
      <c r="AV115" s="312"/>
      <c r="AW115" s="297" t="e">
        <f t="shared" si="62"/>
        <v>#N/A</v>
      </c>
      <c r="AX115" s="605"/>
    </row>
    <row r="116" spans="2:50">
      <c r="B116" s="599"/>
      <c r="C116" s="431">
        <v>10</v>
      </c>
      <c r="D116" s="435"/>
      <c r="E116" s="432" t="s">
        <v>561</v>
      </c>
      <c r="F116" s="432" t="s">
        <v>561</v>
      </c>
      <c r="G116" s="432" t="s">
        <v>561</v>
      </c>
      <c r="H116" s="564"/>
      <c r="I116" s="432"/>
      <c r="J116" s="432"/>
      <c r="K116" s="433"/>
      <c r="L116" s="564"/>
      <c r="M116" s="432" t="e">
        <f>RANK(K116, K$107:$K$121)</f>
        <v>#DIV/0!</v>
      </c>
      <c r="N116" s="559"/>
      <c r="O116" s="559"/>
      <c r="P116" s="431" t="s">
        <v>561</v>
      </c>
      <c r="Q116" s="432" t="s">
        <v>561</v>
      </c>
      <c r="R116" s="432" t="s">
        <v>561</v>
      </c>
      <c r="S116" s="431" t="e">
        <f t="shared" si="56"/>
        <v>#VALUE!</v>
      </c>
      <c r="T116" s="588"/>
      <c r="U116" s="431" t="s">
        <v>561</v>
      </c>
      <c r="V116" s="432" t="s">
        <v>561</v>
      </c>
      <c r="W116" s="432" t="s">
        <v>561</v>
      </c>
      <c r="X116" s="431" t="e">
        <f t="shared" si="57"/>
        <v>#VALUE!</v>
      </c>
      <c r="Y116" s="588"/>
      <c r="Z116" s="311"/>
      <c r="AA116" s="182"/>
      <c r="AB116" s="312"/>
      <c r="AC116" s="297" t="e">
        <f t="shared" si="58"/>
        <v>#N/A</v>
      </c>
      <c r="AD116" s="605"/>
      <c r="AE116" s="311"/>
      <c r="AF116" s="182"/>
      <c r="AG116" s="312"/>
      <c r="AH116" s="297" t="e">
        <f t="shared" si="59"/>
        <v>#N/A</v>
      </c>
      <c r="AI116" s="605"/>
      <c r="AJ116" s="311"/>
      <c r="AK116" s="182"/>
      <c r="AL116" s="312"/>
      <c r="AM116" s="297" t="e">
        <f t="shared" si="60"/>
        <v>#N/A</v>
      </c>
      <c r="AN116" s="605"/>
      <c r="AO116" s="311"/>
      <c r="AP116" s="182"/>
      <c r="AQ116" s="312"/>
      <c r="AR116" s="297" t="e">
        <f t="shared" si="61"/>
        <v>#N/A</v>
      </c>
      <c r="AS116" s="605"/>
      <c r="AT116" s="311"/>
      <c r="AU116" s="182"/>
      <c r="AV116" s="312"/>
      <c r="AW116" s="297" t="e">
        <f t="shared" si="62"/>
        <v>#N/A</v>
      </c>
      <c r="AX116" s="605"/>
    </row>
    <row r="117" spans="2:50">
      <c r="B117" s="599"/>
      <c r="C117" s="431">
        <v>11</v>
      </c>
      <c r="D117" s="435"/>
      <c r="E117" s="432" t="s">
        <v>561</v>
      </c>
      <c r="F117" s="432" t="s">
        <v>561</v>
      </c>
      <c r="G117" s="432" t="s">
        <v>561</v>
      </c>
      <c r="H117" s="564"/>
      <c r="I117" s="431"/>
      <c r="J117" s="431"/>
      <c r="K117" s="431"/>
      <c r="L117" s="564"/>
      <c r="M117" s="432" t="e">
        <f>RANK(K117, K$107:$K$121)</f>
        <v>#DIV/0!</v>
      </c>
      <c r="N117" s="559"/>
      <c r="O117" s="559"/>
      <c r="P117" s="431" t="s">
        <v>561</v>
      </c>
      <c r="Q117" s="432" t="s">
        <v>561</v>
      </c>
      <c r="R117" s="432" t="s">
        <v>561</v>
      </c>
      <c r="S117" s="431" t="e">
        <f t="shared" si="56"/>
        <v>#VALUE!</v>
      </c>
      <c r="T117" s="588"/>
      <c r="U117" s="431" t="s">
        <v>561</v>
      </c>
      <c r="V117" s="432" t="s">
        <v>561</v>
      </c>
      <c r="W117" s="432" t="s">
        <v>561</v>
      </c>
      <c r="X117" s="431" t="e">
        <f t="shared" si="57"/>
        <v>#VALUE!</v>
      </c>
      <c r="Y117" s="588"/>
      <c r="Z117" s="311"/>
      <c r="AA117" s="311"/>
      <c r="AB117" s="311"/>
      <c r="AC117" s="297" t="e">
        <f t="shared" si="58"/>
        <v>#N/A</v>
      </c>
      <c r="AD117" s="605"/>
      <c r="AE117" s="311"/>
      <c r="AF117" s="311"/>
      <c r="AG117" s="311"/>
      <c r="AH117" s="297" t="e">
        <f t="shared" si="59"/>
        <v>#N/A</v>
      </c>
      <c r="AI117" s="605"/>
      <c r="AJ117" s="311"/>
      <c r="AK117" s="311"/>
      <c r="AL117" s="311"/>
      <c r="AM117" s="297" t="e">
        <f t="shared" si="60"/>
        <v>#N/A</v>
      </c>
      <c r="AN117" s="605"/>
      <c r="AO117" s="311"/>
      <c r="AP117" s="311"/>
      <c r="AQ117" s="311"/>
      <c r="AR117" s="297" t="e">
        <f t="shared" si="61"/>
        <v>#N/A</v>
      </c>
      <c r="AS117" s="605"/>
      <c r="AT117" s="311"/>
      <c r="AU117" s="311"/>
      <c r="AV117" s="311"/>
      <c r="AW117" s="297" t="e">
        <f t="shared" si="62"/>
        <v>#N/A</v>
      </c>
      <c r="AX117" s="605"/>
    </row>
    <row r="118" spans="2:50">
      <c r="B118" s="599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564"/>
      <c r="I118" s="431"/>
      <c r="J118" s="431"/>
      <c r="K118" s="431"/>
      <c r="L118" s="564"/>
      <c r="M118" s="432" t="e">
        <f>RANK(K118, K$107:$K$121)</f>
        <v>#DIV/0!</v>
      </c>
      <c r="N118" s="559"/>
      <c r="O118" s="559"/>
      <c r="P118" s="431" t="s">
        <v>561</v>
      </c>
      <c r="Q118" s="432" t="s">
        <v>561</v>
      </c>
      <c r="R118" s="432" t="s">
        <v>561</v>
      </c>
      <c r="S118" s="431" t="e">
        <f t="shared" si="56"/>
        <v>#VALUE!</v>
      </c>
      <c r="T118" s="588"/>
      <c r="U118" s="431" t="s">
        <v>561</v>
      </c>
      <c r="V118" s="432" t="s">
        <v>561</v>
      </c>
      <c r="W118" s="432" t="s">
        <v>561</v>
      </c>
      <c r="X118" s="431" t="e">
        <f t="shared" si="57"/>
        <v>#VALUE!</v>
      </c>
      <c r="Y118" s="588"/>
      <c r="Z118" s="311"/>
      <c r="AA118" s="311"/>
      <c r="AB118" s="311"/>
      <c r="AC118" s="297" t="e">
        <f t="shared" si="58"/>
        <v>#N/A</v>
      </c>
      <c r="AD118" s="605"/>
      <c r="AE118" s="311"/>
      <c r="AF118" s="311"/>
      <c r="AG118" s="311"/>
      <c r="AH118" s="297" t="e">
        <f t="shared" si="59"/>
        <v>#N/A</v>
      </c>
      <c r="AI118" s="605"/>
      <c r="AJ118" s="311"/>
      <c r="AK118" s="311"/>
      <c r="AL118" s="311"/>
      <c r="AM118" s="297" t="e">
        <f t="shared" si="60"/>
        <v>#N/A</v>
      </c>
      <c r="AN118" s="605"/>
      <c r="AO118" s="311"/>
      <c r="AP118" s="311"/>
      <c r="AQ118" s="311"/>
      <c r="AR118" s="297" t="e">
        <f t="shared" si="61"/>
        <v>#N/A</v>
      </c>
      <c r="AS118" s="605"/>
      <c r="AT118" s="311"/>
      <c r="AU118" s="311"/>
      <c r="AV118" s="311"/>
      <c r="AW118" s="297" t="e">
        <f t="shared" si="62"/>
        <v>#N/A</v>
      </c>
      <c r="AX118" s="605"/>
    </row>
    <row r="119" spans="2:50">
      <c r="B119" s="599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64"/>
      <c r="I119" s="431"/>
      <c r="J119" s="431"/>
      <c r="K119" s="431"/>
      <c r="L119" s="564"/>
      <c r="M119" s="432" t="e">
        <f>RANK(K119, K$107:$K$121)</f>
        <v>#DIV/0!</v>
      </c>
      <c r="N119" s="559"/>
      <c r="O119" s="559"/>
      <c r="P119" s="431" t="s">
        <v>561</v>
      </c>
      <c r="Q119" s="432" t="s">
        <v>561</v>
      </c>
      <c r="R119" s="432" t="s">
        <v>561</v>
      </c>
      <c r="S119" s="431" t="e">
        <f t="shared" si="56"/>
        <v>#VALUE!</v>
      </c>
      <c r="T119" s="588"/>
      <c r="U119" s="431" t="s">
        <v>561</v>
      </c>
      <c r="V119" s="432" t="s">
        <v>561</v>
      </c>
      <c r="W119" s="432" t="s">
        <v>561</v>
      </c>
      <c r="X119" s="431" t="e">
        <f t="shared" si="57"/>
        <v>#VALUE!</v>
      </c>
      <c r="Y119" s="588"/>
      <c r="Z119" s="311"/>
      <c r="AA119" s="311"/>
      <c r="AB119" s="311"/>
      <c r="AC119" s="297" t="e">
        <f t="shared" si="58"/>
        <v>#N/A</v>
      </c>
      <c r="AD119" s="605"/>
      <c r="AE119" s="311"/>
      <c r="AF119" s="311"/>
      <c r="AG119" s="311"/>
      <c r="AH119" s="297" t="e">
        <f t="shared" si="59"/>
        <v>#N/A</v>
      </c>
      <c r="AI119" s="605"/>
      <c r="AJ119" s="311"/>
      <c r="AK119" s="311"/>
      <c r="AL119" s="311"/>
      <c r="AM119" s="297" t="e">
        <f t="shared" si="60"/>
        <v>#N/A</v>
      </c>
      <c r="AN119" s="605"/>
      <c r="AO119" s="311"/>
      <c r="AP119" s="311"/>
      <c r="AQ119" s="311"/>
      <c r="AR119" s="297" t="e">
        <f t="shared" si="61"/>
        <v>#N/A</v>
      </c>
      <c r="AS119" s="605"/>
      <c r="AT119" s="311"/>
      <c r="AU119" s="311"/>
      <c r="AV119" s="311"/>
      <c r="AW119" s="297" t="e">
        <f t="shared" si="62"/>
        <v>#N/A</v>
      </c>
      <c r="AX119" s="605"/>
    </row>
    <row r="120" spans="2:50">
      <c r="B120" s="599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64"/>
      <c r="I120" s="431"/>
      <c r="J120" s="431"/>
      <c r="K120" s="431"/>
      <c r="L120" s="564"/>
      <c r="M120" s="432" t="e">
        <f>RANK(K120, K$107:$K$121)</f>
        <v>#DIV/0!</v>
      </c>
      <c r="N120" s="559"/>
      <c r="O120" s="559"/>
      <c r="P120" s="431" t="s">
        <v>561</v>
      </c>
      <c r="Q120" s="432" t="s">
        <v>561</v>
      </c>
      <c r="R120" s="432" t="s">
        <v>561</v>
      </c>
      <c r="S120" s="431" t="e">
        <f t="shared" si="56"/>
        <v>#VALUE!</v>
      </c>
      <c r="T120" s="588"/>
      <c r="U120" s="431" t="s">
        <v>561</v>
      </c>
      <c r="V120" s="432" t="s">
        <v>561</v>
      </c>
      <c r="W120" s="432" t="s">
        <v>561</v>
      </c>
      <c r="X120" s="431" t="e">
        <f t="shared" si="57"/>
        <v>#VALUE!</v>
      </c>
      <c r="Y120" s="588"/>
      <c r="Z120" s="311"/>
      <c r="AA120" s="311"/>
      <c r="AB120" s="311"/>
      <c r="AC120" s="297" t="e">
        <f t="shared" si="58"/>
        <v>#N/A</v>
      </c>
      <c r="AD120" s="605"/>
      <c r="AE120" s="311"/>
      <c r="AF120" s="311"/>
      <c r="AG120" s="311"/>
      <c r="AH120" s="297" t="e">
        <f t="shared" si="59"/>
        <v>#N/A</v>
      </c>
      <c r="AI120" s="605"/>
      <c r="AJ120" s="311"/>
      <c r="AK120" s="311"/>
      <c r="AL120" s="311"/>
      <c r="AM120" s="297" t="e">
        <f t="shared" si="60"/>
        <v>#N/A</v>
      </c>
      <c r="AN120" s="605"/>
      <c r="AO120" s="311"/>
      <c r="AP120" s="311"/>
      <c r="AQ120" s="311"/>
      <c r="AR120" s="297" t="e">
        <f t="shared" si="61"/>
        <v>#N/A</v>
      </c>
      <c r="AS120" s="605"/>
      <c r="AT120" s="311"/>
      <c r="AU120" s="311"/>
      <c r="AV120" s="311"/>
      <c r="AW120" s="297" t="e">
        <f t="shared" si="62"/>
        <v>#N/A</v>
      </c>
      <c r="AX120" s="605"/>
    </row>
    <row r="121" spans="2:50">
      <c r="B121" s="599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16"/>
      <c r="I121" s="431"/>
      <c r="J121" s="431"/>
      <c r="K121" s="431"/>
      <c r="L121" s="616"/>
      <c r="M121" s="432" t="e">
        <f>RANK(K121, K$107:$K$121)</f>
        <v>#DIV/0!</v>
      </c>
      <c r="N121" s="559"/>
      <c r="O121" s="559"/>
      <c r="P121" s="431" t="s">
        <v>561</v>
      </c>
      <c r="Q121" s="432" t="s">
        <v>561</v>
      </c>
      <c r="R121" s="432" t="s">
        <v>561</v>
      </c>
      <c r="S121" s="431" t="e">
        <f t="shared" si="56"/>
        <v>#VALUE!</v>
      </c>
      <c r="T121" s="588"/>
      <c r="U121" s="431" t="s">
        <v>561</v>
      </c>
      <c r="V121" s="432" t="s">
        <v>561</v>
      </c>
      <c r="W121" s="432" t="s">
        <v>561</v>
      </c>
      <c r="X121" s="431" t="e">
        <f t="shared" si="57"/>
        <v>#VALUE!</v>
      </c>
      <c r="Y121" s="588"/>
      <c r="Z121" s="311"/>
      <c r="AA121" s="311"/>
      <c r="AB121" s="311"/>
      <c r="AC121" s="297" t="e">
        <f t="shared" si="58"/>
        <v>#N/A</v>
      </c>
      <c r="AD121" s="605"/>
      <c r="AE121" s="311"/>
      <c r="AF121" s="311"/>
      <c r="AG121" s="311"/>
      <c r="AH121" s="297" t="e">
        <f t="shared" si="59"/>
        <v>#N/A</v>
      </c>
      <c r="AI121" s="605"/>
      <c r="AJ121" s="311"/>
      <c r="AK121" s="311"/>
      <c r="AL121" s="311"/>
      <c r="AM121" s="297" t="e">
        <f t="shared" si="60"/>
        <v>#N/A</v>
      </c>
      <c r="AN121" s="605"/>
      <c r="AO121" s="311"/>
      <c r="AP121" s="311"/>
      <c r="AQ121" s="311"/>
      <c r="AR121" s="297" t="e">
        <f t="shared" si="61"/>
        <v>#N/A</v>
      </c>
      <c r="AS121" s="605"/>
      <c r="AT121" s="311"/>
      <c r="AU121" s="311"/>
      <c r="AV121" s="311"/>
      <c r="AW121" s="297" t="e">
        <f t="shared" si="62"/>
        <v>#N/A</v>
      </c>
      <c r="AX121" s="605"/>
    </row>
    <row r="123" spans="2:50" ht="15.75">
      <c r="B123" s="600" t="s">
        <v>469</v>
      </c>
      <c r="C123" s="601"/>
      <c r="D123" s="601"/>
      <c r="E123" s="601"/>
      <c r="F123" s="601"/>
      <c r="G123" s="601"/>
      <c r="H123" s="602"/>
      <c r="I123" s="301"/>
      <c r="J123" s="301"/>
      <c r="K123" s="301"/>
      <c r="L123" s="301"/>
      <c r="M123" s="302"/>
    </row>
    <row r="124" spans="2:50" ht="15.75">
      <c r="B124" s="603"/>
      <c r="C124" s="603"/>
      <c r="D124" s="603"/>
      <c r="E124" s="603"/>
      <c r="F124" s="603"/>
      <c r="G124" s="603"/>
      <c r="H124" s="603"/>
      <c r="I124" s="303"/>
      <c r="J124" s="303"/>
      <c r="K124" s="303"/>
      <c r="L124" s="303"/>
      <c r="M124" s="304"/>
    </row>
    <row r="125" spans="2:50">
      <c r="B125" s="559" t="s">
        <v>470</v>
      </c>
      <c r="C125" s="559" t="s">
        <v>471</v>
      </c>
      <c r="D125" s="559"/>
      <c r="E125" s="559" t="s">
        <v>472</v>
      </c>
      <c r="F125" s="559"/>
      <c r="G125" s="559"/>
      <c r="H125" s="560" t="s">
        <v>473</v>
      </c>
      <c r="I125" s="604" t="s">
        <v>474</v>
      </c>
      <c r="J125" s="604"/>
      <c r="K125" s="604"/>
      <c r="L125" s="623" t="s">
        <v>473</v>
      </c>
      <c r="M125" s="626" t="s">
        <v>475</v>
      </c>
    </row>
    <row r="126" spans="2:50">
      <c r="B126" s="559"/>
      <c r="C126" s="559"/>
      <c r="D126" s="559"/>
      <c r="E126" s="559" t="s">
        <v>476</v>
      </c>
      <c r="F126" s="559"/>
      <c r="G126" s="559"/>
      <c r="H126" s="561"/>
      <c r="I126" s="604" t="s">
        <v>476</v>
      </c>
      <c r="J126" s="604"/>
      <c r="K126" s="604"/>
      <c r="L126" s="624"/>
      <c r="M126" s="627"/>
    </row>
    <row r="127" spans="2:50">
      <c r="B127" s="559"/>
      <c r="C127" s="559"/>
      <c r="D127" s="559"/>
      <c r="E127" s="298" t="s">
        <v>477</v>
      </c>
      <c r="F127" s="298" t="s">
        <v>478</v>
      </c>
      <c r="G127" s="298" t="s">
        <v>479</v>
      </c>
      <c r="H127" s="562"/>
      <c r="I127" s="305" t="s">
        <v>477</v>
      </c>
      <c r="J127" s="305" t="s">
        <v>478</v>
      </c>
      <c r="K127" s="305" t="s">
        <v>479</v>
      </c>
      <c r="L127" s="625"/>
      <c r="M127" s="628"/>
    </row>
    <row r="128" spans="2:50">
      <c r="B128" s="607" t="s">
        <v>481</v>
      </c>
      <c r="C128" s="297">
        <v>1</v>
      </c>
      <c r="D128" s="226" t="s">
        <v>368</v>
      </c>
      <c r="E128" s="182">
        <v>10</v>
      </c>
      <c r="F128" s="297">
        <v>1500</v>
      </c>
      <c r="G128" s="300">
        <v>150</v>
      </c>
      <c r="H128" s="608">
        <f>AVERAGE(G128:G142)</f>
        <v>167.14285714285714</v>
      </c>
      <c r="I128" s="199">
        <f t="shared" ref="I128:K135" si="64">AVERAGEIF($D$7:$D$121,$D128,I$7:I$121)</f>
        <v>10</v>
      </c>
      <c r="J128" s="199">
        <f t="shared" si="64"/>
        <v>1476.0194285714269</v>
      </c>
      <c r="K128" s="199">
        <f>AVERAGEIF($D$7:$D$121,$D128,K$7:K$121)</f>
        <v>147.5219428571427</v>
      </c>
      <c r="L128" s="620" t="e">
        <f>AVERAGE(K128:K142)</f>
        <v>#DIV/0!</v>
      </c>
      <c r="M128" s="199" t="e">
        <f>RANK(K128, K$128:$K$142)</f>
        <v>#DIV/0!</v>
      </c>
    </row>
    <row r="129" spans="2:13">
      <c r="B129" s="572"/>
      <c r="C129" s="297">
        <v>2</v>
      </c>
      <c r="D129" s="226" t="s">
        <v>369</v>
      </c>
      <c r="E129" s="182">
        <v>15</v>
      </c>
      <c r="F129" s="297">
        <v>1800</v>
      </c>
      <c r="G129" s="300">
        <v>120</v>
      </c>
      <c r="H129" s="609"/>
      <c r="I129" s="199">
        <f t="shared" si="64"/>
        <v>12.388571428571428</v>
      </c>
      <c r="J129" s="199">
        <f t="shared" si="64"/>
        <v>1798.8342857142866</v>
      </c>
      <c r="K129" s="199">
        <f t="shared" si="64"/>
        <v>145.80530612245101</v>
      </c>
      <c r="L129" s="621"/>
      <c r="M129" s="199" t="e">
        <f>RANK(K129, K$128:$K$142)</f>
        <v>#DIV/0!</v>
      </c>
    </row>
    <row r="130" spans="2:13">
      <c r="B130" s="572"/>
      <c r="C130" s="297">
        <v>3</v>
      </c>
      <c r="D130" s="226" t="s">
        <v>370</v>
      </c>
      <c r="E130" s="182">
        <v>15</v>
      </c>
      <c r="F130" s="297">
        <v>1800</v>
      </c>
      <c r="G130" s="300">
        <v>120</v>
      </c>
      <c r="H130" s="609"/>
      <c r="I130" s="199">
        <f t="shared" si="64"/>
        <v>12.388571428571428</v>
      </c>
      <c r="J130" s="199">
        <f t="shared" si="64"/>
        <v>1729.8431836734781</v>
      </c>
      <c r="K130" s="199">
        <f t="shared" si="64"/>
        <v>140.03746485260831</v>
      </c>
      <c r="L130" s="621"/>
      <c r="M130" s="199" t="e">
        <f>RANK(K130, K$128:$K$142)</f>
        <v>#DIV/0!</v>
      </c>
    </row>
    <row r="131" spans="2:13">
      <c r="B131" s="572"/>
      <c r="C131" s="297">
        <v>4</v>
      </c>
      <c r="D131" s="226" t="s">
        <v>556</v>
      </c>
      <c r="E131" s="182">
        <v>5</v>
      </c>
      <c r="F131" s="297">
        <v>1500</v>
      </c>
      <c r="G131" s="300">
        <v>300</v>
      </c>
      <c r="H131" s="609"/>
      <c r="I131" s="199">
        <f t="shared" si="64"/>
        <v>6</v>
      </c>
      <c r="J131" s="199">
        <f t="shared" si="64"/>
        <v>1521.6453173522636</v>
      </c>
      <c r="K131" s="199">
        <f t="shared" si="64"/>
        <v>254.04564813014031</v>
      </c>
      <c r="L131" s="621"/>
      <c r="M131" s="199" t="e">
        <f>RANK(K131, K$128:$K$142)</f>
        <v>#DIV/0!</v>
      </c>
    </row>
    <row r="132" spans="2:13">
      <c r="B132" s="572"/>
      <c r="C132" s="297">
        <v>5</v>
      </c>
      <c r="D132" s="226" t="s">
        <v>490</v>
      </c>
      <c r="E132" s="182">
        <v>5</v>
      </c>
      <c r="F132" s="297">
        <v>1500</v>
      </c>
      <c r="G132" s="300">
        <v>300</v>
      </c>
      <c r="H132" s="609"/>
      <c r="I132" s="199">
        <f t="shared" si="64"/>
        <v>5</v>
      </c>
      <c r="J132" s="199">
        <f t="shared" si="64"/>
        <v>1517.8033960467142</v>
      </c>
      <c r="K132" s="199">
        <f t="shared" si="64"/>
        <v>303.5606792093422</v>
      </c>
      <c r="L132" s="621"/>
      <c r="M132" s="199" t="e">
        <f>RANK(K132, K$128:$K$142)</f>
        <v>#DIV/0!</v>
      </c>
    </row>
    <row r="133" spans="2:13">
      <c r="B133" s="572"/>
      <c r="C133" s="297">
        <v>6</v>
      </c>
      <c r="D133" s="306" t="s">
        <v>558</v>
      </c>
      <c r="E133" s="182">
        <v>15</v>
      </c>
      <c r="F133" s="297">
        <v>1200</v>
      </c>
      <c r="G133" s="300">
        <v>80</v>
      </c>
      <c r="H133" s="609"/>
      <c r="I133" s="199">
        <f t="shared" si="64"/>
        <v>10.937142857142856</v>
      </c>
      <c r="J133" s="199">
        <f t="shared" si="64"/>
        <v>1030.5485714285724</v>
      </c>
      <c r="K133" s="199">
        <f t="shared" si="64"/>
        <v>94.976820512820609</v>
      </c>
      <c r="L133" s="621"/>
      <c r="M133" s="199" t="e">
        <f>RANK(K133, K$128:$K$142)</f>
        <v>#DIV/0!</v>
      </c>
    </row>
    <row r="134" spans="2:13">
      <c r="B134" s="572"/>
      <c r="C134" s="297">
        <v>7</v>
      </c>
      <c r="D134" s="226" t="s">
        <v>631</v>
      </c>
      <c r="E134" s="182">
        <v>13</v>
      </c>
      <c r="F134" s="297">
        <v>1300</v>
      </c>
      <c r="G134" s="300">
        <v>100</v>
      </c>
      <c r="H134" s="609"/>
      <c r="I134" s="199">
        <f t="shared" si="64"/>
        <v>15</v>
      </c>
      <c r="J134" s="199">
        <f t="shared" si="64"/>
        <v>1124.4028138528236</v>
      </c>
      <c r="K134" s="199">
        <f t="shared" si="64"/>
        <v>79.893520923520867</v>
      </c>
      <c r="L134" s="621"/>
      <c r="M134" s="199" t="e">
        <f>RANK(K134, K$128:$K$142)</f>
        <v>#DIV/0!</v>
      </c>
    </row>
    <row r="135" spans="2:13">
      <c r="B135" s="572"/>
      <c r="C135" s="297">
        <v>8</v>
      </c>
      <c r="D135" s="226"/>
      <c r="E135" s="182"/>
      <c r="F135" s="297"/>
      <c r="G135" s="300"/>
      <c r="H135" s="609"/>
      <c r="I135" s="388" t="e">
        <f t="shared" si="64"/>
        <v>#DIV/0!</v>
      </c>
      <c r="J135" s="388" t="e">
        <f t="shared" si="64"/>
        <v>#DIV/0!</v>
      </c>
      <c r="K135" s="388" t="e">
        <f t="shared" si="64"/>
        <v>#DIV/0!</v>
      </c>
      <c r="L135" s="621"/>
      <c r="M135" s="199" t="e">
        <f>RANK(K135, K$128:$K$142)</f>
        <v>#DIV/0!</v>
      </c>
    </row>
    <row r="136" spans="2:13">
      <c r="B136" s="572"/>
      <c r="C136" s="297">
        <v>9</v>
      </c>
      <c r="D136" s="226"/>
      <c r="E136" s="297"/>
      <c r="F136" s="297"/>
      <c r="G136" s="297"/>
      <c r="H136" s="609"/>
      <c r="I136" s="199"/>
      <c r="J136" s="199"/>
      <c r="K136" s="199"/>
      <c r="L136" s="621"/>
      <c r="M136" s="199" t="e">
        <f>RANK(K136, K$128:$K$142)</f>
        <v>#DIV/0!</v>
      </c>
    </row>
    <row r="137" spans="2:13">
      <c r="B137" s="572"/>
      <c r="C137" s="297">
        <v>10</v>
      </c>
      <c r="D137" s="226"/>
      <c r="E137" s="297"/>
      <c r="F137" s="297"/>
      <c r="G137" s="297"/>
      <c r="H137" s="609"/>
      <c r="I137" s="199"/>
      <c r="J137" s="199"/>
      <c r="K137" s="199"/>
      <c r="L137" s="621"/>
      <c r="M137" s="199" t="e">
        <f>RANK(K137, K$128:$K$142)</f>
        <v>#DIV/0!</v>
      </c>
    </row>
    <row r="138" spans="2:13">
      <c r="B138" s="572"/>
      <c r="C138" s="297">
        <v>11</v>
      </c>
      <c r="D138" s="226"/>
      <c r="E138" s="297"/>
      <c r="F138" s="297"/>
      <c r="G138" s="297"/>
      <c r="H138" s="609"/>
      <c r="I138" s="199"/>
      <c r="J138" s="199"/>
      <c r="K138" s="199"/>
      <c r="L138" s="621"/>
      <c r="M138" s="199" t="e">
        <f>RANK(K138, K$128:$K$142)</f>
        <v>#DIV/0!</v>
      </c>
    </row>
    <row r="139" spans="2:13">
      <c r="B139" s="572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21"/>
      <c r="M139" s="199" t="e">
        <f>RANK(K139, K$128:$K$142)</f>
        <v>#DIV/0!</v>
      </c>
    </row>
    <row r="140" spans="2:13">
      <c r="B140" s="572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21"/>
      <c r="M140" s="199" t="e">
        <f>RANK(K140, K$128:$K$142)</f>
        <v>#DIV/0!</v>
      </c>
    </row>
    <row r="141" spans="2:13">
      <c r="B141" s="572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21"/>
      <c r="M141" s="199" t="e">
        <f>RANK(K141, K$128:$K$142)</f>
        <v>#DIV/0!</v>
      </c>
    </row>
    <row r="142" spans="2:13">
      <c r="B142" s="572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8" zoomScale="50" zoomScaleNormal="50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1" t="s">
        <v>329</v>
      </c>
      <c r="C1" s="220">
        <f>AVERAGE(L7,L27,L47,L67,L87,L107)</f>
        <v>255.36298275117537</v>
      </c>
    </row>
    <row r="2" spans="1:54" ht="15.75">
      <c r="A2" s="81"/>
      <c r="B2" s="576" t="s">
        <v>731</v>
      </c>
      <c r="C2" s="576"/>
      <c r="D2" s="576"/>
      <c r="E2" s="576"/>
      <c r="F2" s="576"/>
      <c r="G2" s="576"/>
      <c r="H2" s="576"/>
      <c r="I2" s="441"/>
      <c r="J2" s="441"/>
      <c r="K2" s="441"/>
      <c r="L2" s="441"/>
      <c r="M2" s="197"/>
      <c r="N2" s="565" t="s">
        <v>732</v>
      </c>
      <c r="O2" s="565" t="s">
        <v>733</v>
      </c>
      <c r="P2" s="617"/>
      <c r="Q2" s="618"/>
      <c r="R2" s="618"/>
      <c r="S2" s="618"/>
      <c r="T2" s="619"/>
      <c r="U2" s="571"/>
      <c r="V2" s="572"/>
      <c r="W2" s="572"/>
      <c r="X2" s="572"/>
      <c r="Y2" s="572"/>
      <c r="Z2" s="571">
        <f>U2+1</f>
        <v>1</v>
      </c>
      <c r="AA2" s="572"/>
      <c r="AB2" s="572"/>
      <c r="AC2" s="572"/>
      <c r="AD2" s="572"/>
      <c r="AE2" s="571">
        <f>Z2+1</f>
        <v>2</v>
      </c>
      <c r="AF2" s="572"/>
      <c r="AG2" s="572"/>
      <c r="AH2" s="572"/>
      <c r="AI2" s="572"/>
      <c r="AJ2" s="571">
        <f>AE2+1</f>
        <v>3</v>
      </c>
      <c r="AK2" s="572"/>
      <c r="AL2" s="572"/>
      <c r="AM2" s="572"/>
      <c r="AN2" s="572"/>
      <c r="AO2" s="571">
        <f>AJ2+1</f>
        <v>4</v>
      </c>
      <c r="AP2" s="572"/>
      <c r="AQ2" s="572"/>
      <c r="AR2" s="572"/>
      <c r="AS2" s="572"/>
      <c r="AT2" s="571">
        <f>AO2+1</f>
        <v>5</v>
      </c>
      <c r="AU2" s="572"/>
      <c r="AV2" s="572"/>
      <c r="AW2" s="572"/>
      <c r="AX2" s="572"/>
    </row>
    <row r="3" spans="1:54" ht="15.75">
      <c r="A3" s="81"/>
      <c r="B3" s="597"/>
      <c r="C3" s="597"/>
      <c r="D3" s="597"/>
      <c r="E3" s="597"/>
      <c r="F3" s="597"/>
      <c r="G3" s="597"/>
      <c r="H3" s="597"/>
      <c r="I3" s="442"/>
      <c r="J3" s="442"/>
      <c r="K3" s="442"/>
      <c r="L3" s="442"/>
      <c r="M3" s="198"/>
      <c r="N3" s="567"/>
      <c r="O3" s="567"/>
      <c r="P3" s="568" t="s">
        <v>734</v>
      </c>
      <c r="Q3" s="569"/>
      <c r="R3" s="569"/>
      <c r="S3" s="569"/>
      <c r="T3" s="570"/>
      <c r="U3" s="568" t="s">
        <v>735</v>
      </c>
      <c r="V3" s="569"/>
      <c r="W3" s="569"/>
      <c r="X3" s="569"/>
      <c r="Y3" s="570"/>
      <c r="Z3" s="568" t="s">
        <v>736</v>
      </c>
      <c r="AA3" s="569"/>
      <c r="AB3" s="569"/>
      <c r="AC3" s="569"/>
      <c r="AD3" s="570"/>
      <c r="AE3" s="568" t="s">
        <v>737</v>
      </c>
      <c r="AF3" s="569"/>
      <c r="AG3" s="569"/>
      <c r="AH3" s="569"/>
      <c r="AI3" s="570"/>
      <c r="AJ3" s="568" t="s">
        <v>738</v>
      </c>
      <c r="AK3" s="569"/>
      <c r="AL3" s="569"/>
      <c r="AM3" s="569"/>
      <c r="AN3" s="570"/>
      <c r="AO3" s="568" t="s">
        <v>739</v>
      </c>
      <c r="AP3" s="569"/>
      <c r="AQ3" s="569"/>
      <c r="AR3" s="569"/>
      <c r="AS3" s="570"/>
      <c r="AT3" s="568" t="s">
        <v>740</v>
      </c>
      <c r="AU3" s="569"/>
      <c r="AV3" s="569"/>
      <c r="AW3" s="569"/>
      <c r="AX3" s="570"/>
    </row>
    <row r="4" spans="1:54">
      <c r="A4" s="81"/>
      <c r="B4" s="559" t="s">
        <v>741</v>
      </c>
      <c r="C4" s="559" t="s">
        <v>742</v>
      </c>
      <c r="D4" s="559"/>
      <c r="E4" s="559" t="s">
        <v>743</v>
      </c>
      <c r="F4" s="559"/>
      <c r="G4" s="559"/>
      <c r="H4" s="560" t="s">
        <v>744</v>
      </c>
      <c r="I4" s="559" t="s">
        <v>745</v>
      </c>
      <c r="J4" s="559"/>
      <c r="K4" s="559"/>
      <c r="L4" s="560" t="s">
        <v>744</v>
      </c>
      <c r="M4" s="565" t="s">
        <v>746</v>
      </c>
      <c r="N4" s="559"/>
      <c r="O4" s="559" t="s">
        <v>747</v>
      </c>
      <c r="P4" s="556" t="s">
        <v>748</v>
      </c>
      <c r="Q4" s="557"/>
      <c r="R4" s="557"/>
      <c r="S4" s="558"/>
      <c r="T4" s="559" t="s">
        <v>744</v>
      </c>
      <c r="U4" s="556" t="s">
        <v>748</v>
      </c>
      <c r="V4" s="557"/>
      <c r="W4" s="557"/>
      <c r="X4" s="558"/>
      <c r="Y4" s="559" t="s">
        <v>744</v>
      </c>
      <c r="Z4" s="556" t="s">
        <v>748</v>
      </c>
      <c r="AA4" s="557"/>
      <c r="AB4" s="557"/>
      <c r="AC4" s="558"/>
      <c r="AD4" s="559" t="s">
        <v>744</v>
      </c>
      <c r="AE4" s="556" t="s">
        <v>748</v>
      </c>
      <c r="AF4" s="557"/>
      <c r="AG4" s="557"/>
      <c r="AH4" s="558"/>
      <c r="AI4" s="559" t="s">
        <v>744</v>
      </c>
      <c r="AJ4" s="556" t="s">
        <v>748</v>
      </c>
      <c r="AK4" s="557"/>
      <c r="AL4" s="557"/>
      <c r="AM4" s="558"/>
      <c r="AN4" s="559" t="s">
        <v>744</v>
      </c>
      <c r="AO4" s="556" t="s">
        <v>748</v>
      </c>
      <c r="AP4" s="557"/>
      <c r="AQ4" s="557"/>
      <c r="AR4" s="558"/>
      <c r="AS4" s="559" t="s">
        <v>744</v>
      </c>
      <c r="AT4" s="556" t="s">
        <v>748</v>
      </c>
      <c r="AU4" s="557"/>
      <c r="AV4" s="557"/>
      <c r="AW4" s="558"/>
      <c r="AX4" s="559" t="s">
        <v>744</v>
      </c>
    </row>
    <row r="5" spans="1:54">
      <c r="A5" s="81"/>
      <c r="B5" s="559"/>
      <c r="C5" s="559"/>
      <c r="D5" s="559"/>
      <c r="E5" s="559" t="s">
        <v>749</v>
      </c>
      <c r="F5" s="559"/>
      <c r="G5" s="559"/>
      <c r="H5" s="561"/>
      <c r="I5" s="559" t="s">
        <v>749</v>
      </c>
      <c r="J5" s="559"/>
      <c r="K5" s="559"/>
      <c r="L5" s="561"/>
      <c r="M5" s="566"/>
      <c r="N5" s="559"/>
      <c r="O5" s="559"/>
      <c r="P5" s="556" t="s">
        <v>750</v>
      </c>
      <c r="Q5" s="557"/>
      <c r="R5" s="557"/>
      <c r="S5" s="558"/>
      <c r="T5" s="559"/>
      <c r="U5" s="556" t="s">
        <v>750</v>
      </c>
      <c r="V5" s="557"/>
      <c r="W5" s="557"/>
      <c r="X5" s="558"/>
      <c r="Y5" s="559"/>
      <c r="Z5" s="556" t="s">
        <v>750</v>
      </c>
      <c r="AA5" s="557"/>
      <c r="AB5" s="557"/>
      <c r="AC5" s="558"/>
      <c r="AD5" s="559"/>
      <c r="AE5" s="556" t="s">
        <v>750</v>
      </c>
      <c r="AF5" s="557"/>
      <c r="AG5" s="557"/>
      <c r="AH5" s="558"/>
      <c r="AI5" s="559"/>
      <c r="AJ5" s="556" t="s">
        <v>750</v>
      </c>
      <c r="AK5" s="557"/>
      <c r="AL5" s="557"/>
      <c r="AM5" s="558"/>
      <c r="AN5" s="559"/>
      <c r="AO5" s="556" t="s">
        <v>750</v>
      </c>
      <c r="AP5" s="557"/>
      <c r="AQ5" s="557"/>
      <c r="AR5" s="558"/>
      <c r="AS5" s="559"/>
      <c r="AT5" s="556" t="s">
        <v>750</v>
      </c>
      <c r="AU5" s="557"/>
      <c r="AV5" s="557"/>
      <c r="AW5" s="558"/>
      <c r="AX5" s="559"/>
    </row>
    <row r="6" spans="1:54">
      <c r="A6" s="79"/>
      <c r="B6" s="559"/>
      <c r="C6" s="559"/>
      <c r="D6" s="559"/>
      <c r="E6" s="440" t="s">
        <v>751</v>
      </c>
      <c r="F6" s="440" t="s">
        <v>752</v>
      </c>
      <c r="G6" s="440" t="s">
        <v>753</v>
      </c>
      <c r="H6" s="562"/>
      <c r="I6" s="440" t="s">
        <v>751</v>
      </c>
      <c r="J6" s="440" t="s">
        <v>752</v>
      </c>
      <c r="K6" s="440" t="s">
        <v>753</v>
      </c>
      <c r="L6" s="562"/>
      <c r="M6" s="567"/>
      <c r="N6" s="559"/>
      <c r="O6" s="559"/>
      <c r="P6" s="440" t="s">
        <v>751</v>
      </c>
      <c r="Q6" s="440" t="s">
        <v>752</v>
      </c>
      <c r="R6" s="440" t="s">
        <v>753</v>
      </c>
      <c r="S6" s="440" t="s">
        <v>746</v>
      </c>
      <c r="T6" s="559"/>
      <c r="U6" s="440" t="s">
        <v>751</v>
      </c>
      <c r="V6" s="440" t="s">
        <v>752</v>
      </c>
      <c r="W6" s="440" t="s">
        <v>753</v>
      </c>
      <c r="X6" s="440" t="s">
        <v>746</v>
      </c>
      <c r="Y6" s="559"/>
      <c r="Z6" s="440" t="s">
        <v>751</v>
      </c>
      <c r="AA6" s="440" t="s">
        <v>752</v>
      </c>
      <c r="AB6" s="440" t="s">
        <v>753</v>
      </c>
      <c r="AC6" s="440" t="s">
        <v>746</v>
      </c>
      <c r="AD6" s="559"/>
      <c r="AE6" s="440" t="s">
        <v>751</v>
      </c>
      <c r="AF6" s="440" t="s">
        <v>752</v>
      </c>
      <c r="AG6" s="440" t="s">
        <v>753</v>
      </c>
      <c r="AH6" s="440" t="s">
        <v>746</v>
      </c>
      <c r="AI6" s="559"/>
      <c r="AJ6" s="440" t="s">
        <v>751</v>
      </c>
      <c r="AK6" s="440" t="s">
        <v>752</v>
      </c>
      <c r="AL6" s="440" t="s">
        <v>753</v>
      </c>
      <c r="AM6" s="440" t="s">
        <v>746</v>
      </c>
      <c r="AN6" s="559"/>
      <c r="AO6" s="440" t="s">
        <v>751</v>
      </c>
      <c r="AP6" s="440" t="s">
        <v>752</v>
      </c>
      <c r="AQ6" s="440" t="s">
        <v>753</v>
      </c>
      <c r="AR6" s="440" t="s">
        <v>746</v>
      </c>
      <c r="AS6" s="559"/>
      <c r="AT6" s="440" t="s">
        <v>751</v>
      </c>
      <c r="AU6" s="440" t="s">
        <v>752</v>
      </c>
      <c r="AV6" s="440" t="s">
        <v>753</v>
      </c>
      <c r="AW6" s="440" t="s">
        <v>746</v>
      </c>
      <c r="AX6" s="559"/>
    </row>
    <row r="7" spans="1:54">
      <c r="A7" s="81"/>
      <c r="B7" s="607" t="s">
        <v>784</v>
      </c>
      <c r="C7" s="443">
        <v>1</v>
      </c>
      <c r="D7" s="435" t="s">
        <v>400</v>
      </c>
      <c r="E7" s="447">
        <v>4</v>
      </c>
      <c r="F7" s="447">
        <v>2000</v>
      </c>
      <c r="G7" s="447">
        <v>500</v>
      </c>
      <c r="H7" s="563">
        <f>AVERAGE(G7:G21)</f>
        <v>272.17979797979797</v>
      </c>
      <c r="I7" s="447">
        <f>AVERAGE(P7,U7,Z7,AE7,AJ7,AO7,AT7)</f>
        <v>5</v>
      </c>
      <c r="J7" s="447">
        <f>AVERAGE(Q7,V7,AA7,AF7,AK7,AP7,AU7)</f>
        <v>2155.0704808385553</v>
      </c>
      <c r="K7" s="439">
        <f>AVERAGE(R7,W7,AB7,AG7,AL7,AQ7,AV7)</f>
        <v>431.01409616771105</v>
      </c>
      <c r="L7" s="563">
        <f>AVERAGE(K7:K21)</f>
        <v>244.27093768377711</v>
      </c>
      <c r="M7" s="447">
        <f>RANK(K7, K$7:$K$21)</f>
        <v>2</v>
      </c>
      <c r="N7" s="559"/>
      <c r="O7" s="559"/>
      <c r="P7" s="443"/>
      <c r="Q7" s="447"/>
      <c r="R7" s="447"/>
      <c r="S7" s="443" t="e">
        <f>RANK(R7, R$7:R$21)</f>
        <v>#N/A</v>
      </c>
      <c r="T7" s="588" t="e">
        <f>AVERAGE(R7:R21)</f>
        <v>#DIV/0!</v>
      </c>
      <c r="U7" s="443"/>
      <c r="V7" s="447"/>
      <c r="W7" s="447"/>
      <c r="X7" s="443" t="e">
        <f>RANK(W7, W$7:W$21)</f>
        <v>#N/A</v>
      </c>
      <c r="Y7" s="588" t="e">
        <f t="shared" ref="Y7" si="0">AVERAGE(W7:W21)</f>
        <v>#DIV/0!</v>
      </c>
      <c r="Z7" s="443">
        <v>5</v>
      </c>
      <c r="AA7" s="447">
        <v>2138.6301369863013</v>
      </c>
      <c r="AB7" s="447">
        <v>427.72602739726028</v>
      </c>
      <c r="AC7" s="443">
        <f>RANK(AB7, AB$7:AB$21)</f>
        <v>1</v>
      </c>
      <c r="AD7" s="588">
        <f t="shared" ref="AD7" si="1">AVERAGE(AB7:AB21)</f>
        <v>247.31782427365658</v>
      </c>
      <c r="AE7" s="443">
        <v>5</v>
      </c>
      <c r="AF7" s="447">
        <v>2173.1999999999989</v>
      </c>
      <c r="AG7" s="447">
        <v>434.63999999999976</v>
      </c>
      <c r="AH7" s="443">
        <f>RANK(AG7, AG$7:AG$21)</f>
        <v>2</v>
      </c>
      <c r="AI7" s="588">
        <f t="shared" ref="AI7" si="2">AVERAGE(AG7:AG21)</f>
        <v>240.55513969473998</v>
      </c>
      <c r="AJ7" s="443">
        <v>5</v>
      </c>
      <c r="AK7" s="447">
        <v>2160.0000000000005</v>
      </c>
      <c r="AL7" s="447">
        <v>432.00000000000011</v>
      </c>
      <c r="AM7" s="443">
        <f>RANK(AL7, AL$7:AL$21)</f>
        <v>1</v>
      </c>
      <c r="AN7" s="588">
        <f t="shared" ref="AN7" si="3">AVERAGE(AL7:AL21)</f>
        <v>242.07671828975847</v>
      </c>
      <c r="AO7" s="443">
        <v>5</v>
      </c>
      <c r="AP7" s="447">
        <v>2186.1538461538462</v>
      </c>
      <c r="AQ7" s="447">
        <v>437.23076923076923</v>
      </c>
      <c r="AR7" s="443">
        <f>RANK(AQ7, AQ$7:AQ$21)</f>
        <v>2</v>
      </c>
      <c r="AS7" s="588">
        <f t="shared" ref="AS7" si="4">AVERAGE(AQ7:AQ21)</f>
        <v>244.44000598435252</v>
      </c>
      <c r="AT7" s="443">
        <v>5</v>
      </c>
      <c r="AU7" s="447">
        <v>2117.3684210526312</v>
      </c>
      <c r="AV7" s="447">
        <v>423.47368421052624</v>
      </c>
      <c r="AW7" s="443">
        <f>RANK(AV7, AV$7:AV$21)</f>
        <v>2</v>
      </c>
      <c r="AX7" s="588">
        <f t="shared" ref="AX7" si="5">AVERAGE(AV7:AV21)</f>
        <v>246.965000176378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99"/>
      <c r="C8" s="443">
        <v>2</v>
      </c>
      <c r="D8" s="435" t="s">
        <v>452</v>
      </c>
      <c r="E8" s="447">
        <v>4</v>
      </c>
      <c r="F8" s="447">
        <v>2000</v>
      </c>
      <c r="G8" s="447">
        <v>500</v>
      </c>
      <c r="H8" s="564"/>
      <c r="I8" s="447">
        <f t="shared" ref="I8:K17" si="6">AVERAGE(P8,U8,Z8,AE8,AJ8,AO8,AT8)</f>
        <v>5</v>
      </c>
      <c r="J8" s="447">
        <f t="shared" si="6"/>
        <v>2171.2276421334082</v>
      </c>
      <c r="K8" s="439">
        <f t="shared" si="6"/>
        <v>434.24552842668163</v>
      </c>
      <c r="L8" s="564"/>
      <c r="M8" s="447">
        <f>RANK(K8, K$7:$K$21)</f>
        <v>1</v>
      </c>
      <c r="N8" s="559"/>
      <c r="O8" s="559"/>
      <c r="P8" s="443"/>
      <c r="Q8" s="447"/>
      <c r="R8" s="447"/>
      <c r="S8" s="443" t="e">
        <f t="shared" ref="S8:S21" si="7">RANK(R8, R$7:R$21)</f>
        <v>#N/A</v>
      </c>
      <c r="T8" s="588"/>
      <c r="U8" s="443"/>
      <c r="V8" s="447"/>
      <c r="W8" s="447"/>
      <c r="X8" s="443" t="e">
        <f t="shared" ref="X8:X21" si="8">RANK(W8, W$7:W$21)</f>
        <v>#N/A</v>
      </c>
      <c r="Y8" s="588"/>
      <c r="Z8" s="443">
        <v>5</v>
      </c>
      <c r="AA8" s="447">
        <v>2126.363636363636</v>
      </c>
      <c r="AB8" s="447">
        <v>425.2727272727272</v>
      </c>
      <c r="AC8" s="443">
        <f t="shared" ref="AC8:AC21" si="9">RANK(AB8, AB$7:AB$21)</f>
        <v>2</v>
      </c>
      <c r="AD8" s="588"/>
      <c r="AE8" s="443">
        <v>5</v>
      </c>
      <c r="AF8" s="447">
        <v>2187.5000000000005</v>
      </c>
      <c r="AG8" s="447">
        <v>437.50000000000011</v>
      </c>
      <c r="AH8" s="443">
        <f t="shared" ref="AH8:AH21" si="10">RANK(AG8, AG$7:AG$21)</f>
        <v>1</v>
      </c>
      <c r="AI8" s="588"/>
      <c r="AJ8" s="443">
        <v>5</v>
      </c>
      <c r="AK8" s="447">
        <v>2138.9473684210511</v>
      </c>
      <c r="AL8" s="447">
        <v>427.78947368421024</v>
      </c>
      <c r="AM8" s="443">
        <f t="shared" ref="AM8:AM21" si="11">RANK(AL8, AL$7:AL$21)</f>
        <v>2</v>
      </c>
      <c r="AN8" s="588"/>
      <c r="AO8" s="443">
        <v>5</v>
      </c>
      <c r="AP8" s="447">
        <v>2191.7647058823532</v>
      </c>
      <c r="AQ8" s="447">
        <v>438.35294117647061</v>
      </c>
      <c r="AR8" s="443">
        <f t="shared" ref="AR8:AR21" si="12">RANK(AQ8, AQ$7:AQ$21)</f>
        <v>1</v>
      </c>
      <c r="AS8" s="588"/>
      <c r="AT8" s="443">
        <v>5</v>
      </c>
      <c r="AU8" s="447">
        <v>2211.5624999999995</v>
      </c>
      <c r="AV8" s="447">
        <v>442.31249999999989</v>
      </c>
      <c r="AW8" s="443">
        <f t="shared" ref="AW8:AW21" si="13">RANK(AV8, AV$7:AV$21)</f>
        <v>1</v>
      </c>
      <c r="AX8" s="588"/>
      <c r="AZ8" s="314" t="e">
        <f>RANK(AX8, $K$7:AX$21)</f>
        <v>#N/A</v>
      </c>
      <c r="BB8" s="311" t="e">
        <f t="shared" ref="BB8:BB21" si="14">RANK(BA8, BA$7:BA$21)</f>
        <v>#N/A</v>
      </c>
    </row>
    <row r="9" spans="1:54">
      <c r="A9" s="81"/>
      <c r="B9" s="599"/>
      <c r="C9" s="443">
        <v>3</v>
      </c>
      <c r="D9" s="435" t="s">
        <v>401</v>
      </c>
      <c r="E9" s="447">
        <v>14</v>
      </c>
      <c r="F9" s="447">
        <v>2118</v>
      </c>
      <c r="G9" s="447">
        <v>151.30000000000001</v>
      </c>
      <c r="H9" s="564"/>
      <c r="I9" s="447">
        <f t="shared" si="6"/>
        <v>14</v>
      </c>
      <c r="J9" s="447">
        <f t="shared" si="6"/>
        <v>2002.0636778203145</v>
      </c>
      <c r="K9" s="439">
        <f t="shared" si="6"/>
        <v>143.00454841573676</v>
      </c>
      <c r="L9" s="564"/>
      <c r="M9" s="447">
        <f>RANK(K9, K$7:$K$21)</f>
        <v>10</v>
      </c>
      <c r="N9" s="559"/>
      <c r="O9" s="559"/>
      <c r="P9" s="443"/>
      <c r="Q9" s="447"/>
      <c r="R9" s="447"/>
      <c r="S9" s="443" t="e">
        <f t="shared" si="7"/>
        <v>#N/A</v>
      </c>
      <c r="T9" s="588"/>
      <c r="U9" s="443"/>
      <c r="V9" s="447"/>
      <c r="W9" s="447"/>
      <c r="X9" s="443" t="e">
        <f t="shared" si="8"/>
        <v>#N/A</v>
      </c>
      <c r="Y9" s="588"/>
      <c r="Z9" s="443">
        <v>14</v>
      </c>
      <c r="AA9" s="447">
        <v>2013.5593220338988</v>
      </c>
      <c r="AB9" s="447">
        <v>143.8256658595642</v>
      </c>
      <c r="AC9" s="443">
        <f t="shared" si="9"/>
        <v>10</v>
      </c>
      <c r="AD9" s="588"/>
      <c r="AE9" s="443">
        <v>14</v>
      </c>
      <c r="AF9" s="447">
        <v>1974.8936170212771</v>
      </c>
      <c r="AG9" s="447">
        <v>141.06382978723408</v>
      </c>
      <c r="AH9" s="443">
        <f t="shared" si="10"/>
        <v>10</v>
      </c>
      <c r="AI9" s="588"/>
      <c r="AJ9" s="443">
        <v>14</v>
      </c>
      <c r="AK9" s="447">
        <v>1995.8490566037731</v>
      </c>
      <c r="AL9" s="447">
        <v>142.56064690026952</v>
      </c>
      <c r="AM9" s="443">
        <f t="shared" si="11"/>
        <v>10</v>
      </c>
      <c r="AN9" s="588"/>
      <c r="AO9" s="443">
        <v>14</v>
      </c>
      <c r="AP9" s="447">
        <v>1979.0163934426234</v>
      </c>
      <c r="AQ9" s="447">
        <v>141.35831381733024</v>
      </c>
      <c r="AR9" s="443">
        <f t="shared" si="12"/>
        <v>10</v>
      </c>
      <c r="AS9" s="588"/>
      <c r="AT9" s="443">
        <v>14</v>
      </c>
      <c r="AU9" s="447">
        <v>2047.0000000000005</v>
      </c>
      <c r="AV9" s="447">
        <v>146.21428571428575</v>
      </c>
      <c r="AW9" s="443">
        <f t="shared" si="13"/>
        <v>10</v>
      </c>
      <c r="AX9" s="588"/>
      <c r="AZ9" s="314" t="e">
        <f>RANK(AX9, $K$7:AX$21)</f>
        <v>#N/A</v>
      </c>
      <c r="BB9" s="311" t="e">
        <f t="shared" si="14"/>
        <v>#N/A</v>
      </c>
    </row>
    <row r="10" spans="1:54">
      <c r="A10" s="81"/>
      <c r="B10" s="599"/>
      <c r="C10" s="443">
        <v>4</v>
      </c>
      <c r="D10" s="435" t="s">
        <v>402</v>
      </c>
      <c r="E10" s="447">
        <v>13</v>
      </c>
      <c r="F10" s="447">
        <v>2118</v>
      </c>
      <c r="G10" s="447">
        <v>162.9</v>
      </c>
      <c r="H10" s="564"/>
      <c r="I10" s="447">
        <f t="shared" si="6"/>
        <v>13</v>
      </c>
      <c r="J10" s="447">
        <f t="shared" si="6"/>
        <v>2023.8626433751572</v>
      </c>
      <c r="K10" s="439">
        <f t="shared" si="6"/>
        <v>155.68174179808901</v>
      </c>
      <c r="L10" s="564"/>
      <c r="M10" s="447">
        <f>RANK(K10, K$7:$K$21)</f>
        <v>9</v>
      </c>
      <c r="N10" s="559"/>
      <c r="O10" s="559"/>
      <c r="P10" s="443"/>
      <c r="Q10" s="447"/>
      <c r="R10" s="447"/>
      <c r="S10" s="443" t="e">
        <f t="shared" si="7"/>
        <v>#N/A</v>
      </c>
      <c r="T10" s="588"/>
      <c r="U10" s="443"/>
      <c r="V10" s="447"/>
      <c r="W10" s="447"/>
      <c r="X10" s="443" t="e">
        <f t="shared" si="8"/>
        <v>#N/A</v>
      </c>
      <c r="Y10" s="588"/>
      <c r="Z10" s="443">
        <v>13</v>
      </c>
      <c r="AA10" s="447">
        <v>2010.4225352112669</v>
      </c>
      <c r="AB10" s="447">
        <v>154.64788732394362</v>
      </c>
      <c r="AC10" s="443">
        <f t="shared" si="9"/>
        <v>9</v>
      </c>
      <c r="AD10" s="588"/>
      <c r="AE10" s="443">
        <v>13</v>
      </c>
      <c r="AF10" s="447">
        <v>1995.5172413793105</v>
      </c>
      <c r="AG10" s="447">
        <v>153.50132625994695</v>
      </c>
      <c r="AH10" s="443">
        <f t="shared" si="10"/>
        <v>9</v>
      </c>
      <c r="AI10" s="588"/>
      <c r="AJ10" s="443">
        <v>13</v>
      </c>
      <c r="AK10" s="447">
        <v>1986.3636363636374</v>
      </c>
      <c r="AL10" s="447">
        <v>152.79720279720289</v>
      </c>
      <c r="AM10" s="443">
        <f t="shared" si="11"/>
        <v>9</v>
      </c>
      <c r="AN10" s="588"/>
      <c r="AO10" s="443">
        <v>13</v>
      </c>
      <c r="AP10" s="447">
        <v>2020.8333333333339</v>
      </c>
      <c r="AQ10" s="447">
        <v>155.44871794871798</v>
      </c>
      <c r="AR10" s="443">
        <f t="shared" si="12"/>
        <v>9</v>
      </c>
      <c r="AS10" s="588"/>
      <c r="AT10" s="443">
        <v>13</v>
      </c>
      <c r="AU10" s="447">
        <v>2106.1764705882365</v>
      </c>
      <c r="AV10" s="447">
        <v>162.01357466063357</v>
      </c>
      <c r="AW10" s="443">
        <f t="shared" si="13"/>
        <v>9</v>
      </c>
      <c r="AX10" s="588"/>
      <c r="AZ10" s="314" t="e">
        <f>RANK(AX10, $K$7:AX$21)</f>
        <v>#N/A</v>
      </c>
      <c r="BB10" s="311" t="e">
        <f t="shared" si="14"/>
        <v>#N/A</v>
      </c>
    </row>
    <row r="11" spans="1:54">
      <c r="A11" s="81"/>
      <c r="B11" s="599"/>
      <c r="C11" s="443">
        <v>5</v>
      </c>
      <c r="D11" s="435" t="s">
        <v>403</v>
      </c>
      <c r="E11" s="447">
        <v>11</v>
      </c>
      <c r="F11" s="447">
        <v>2250</v>
      </c>
      <c r="G11" s="447">
        <v>204.5</v>
      </c>
      <c r="H11" s="564"/>
      <c r="I11" s="447">
        <f t="shared" si="6"/>
        <v>11</v>
      </c>
      <c r="J11" s="447">
        <f t="shared" si="6"/>
        <v>2207.8483333333329</v>
      </c>
      <c r="K11" s="439">
        <f t="shared" si="6"/>
        <v>200.71348484848477</v>
      </c>
      <c r="L11" s="564"/>
      <c r="M11" s="447">
        <f>RANK(K11, K$7:$K$21)</f>
        <v>6</v>
      </c>
      <c r="N11" s="559"/>
      <c r="O11" s="559"/>
      <c r="P11" s="443"/>
      <c r="Q11" s="447"/>
      <c r="R11" s="447"/>
      <c r="S11" s="443" t="e">
        <f t="shared" si="7"/>
        <v>#N/A</v>
      </c>
      <c r="T11" s="588"/>
      <c r="U11" s="443"/>
      <c r="V11" s="447"/>
      <c r="W11" s="447"/>
      <c r="X11" s="443" t="e">
        <f t="shared" si="8"/>
        <v>#N/A</v>
      </c>
      <c r="Y11" s="588"/>
      <c r="Z11" s="443">
        <v>11</v>
      </c>
      <c r="AA11" s="447">
        <v>2175.8333333333321</v>
      </c>
      <c r="AB11" s="447">
        <v>197.8030303030302</v>
      </c>
      <c r="AC11" s="443">
        <f t="shared" si="9"/>
        <v>6</v>
      </c>
      <c r="AD11" s="588"/>
      <c r="AE11" s="443">
        <v>11</v>
      </c>
      <c r="AF11" s="447">
        <v>2177.0000000000005</v>
      </c>
      <c r="AG11" s="447">
        <v>197.90909090909096</v>
      </c>
      <c r="AH11" s="443">
        <f t="shared" si="10"/>
        <v>6</v>
      </c>
      <c r="AI11" s="588"/>
      <c r="AJ11" s="443">
        <v>11</v>
      </c>
      <c r="AK11" s="447">
        <v>2251.8749999999995</v>
      </c>
      <c r="AL11" s="447">
        <v>204.71590909090904</v>
      </c>
      <c r="AM11" s="443">
        <f t="shared" si="11"/>
        <v>6</v>
      </c>
      <c r="AN11" s="588"/>
      <c r="AO11" s="443">
        <v>11</v>
      </c>
      <c r="AP11" s="447">
        <v>2191.1999999999998</v>
      </c>
      <c r="AQ11" s="447">
        <v>199.2</v>
      </c>
      <c r="AR11" s="443">
        <f t="shared" si="12"/>
        <v>6</v>
      </c>
      <c r="AS11" s="588"/>
      <c r="AT11" s="443">
        <v>11</v>
      </c>
      <c r="AU11" s="447">
        <v>2243.3333333333321</v>
      </c>
      <c r="AV11" s="447">
        <v>203.93939393939382</v>
      </c>
      <c r="AW11" s="443">
        <f t="shared" si="13"/>
        <v>5</v>
      </c>
      <c r="AX11" s="588"/>
      <c r="AZ11" s="314" t="e">
        <f>RANK(AX11, $K$7:AX$21)</f>
        <v>#N/A</v>
      </c>
      <c r="BB11" s="311" t="e">
        <f t="shared" si="14"/>
        <v>#N/A</v>
      </c>
    </row>
    <row r="12" spans="1:54">
      <c r="A12" s="81"/>
      <c r="B12" s="599"/>
      <c r="C12" s="443">
        <v>6</v>
      </c>
      <c r="D12" s="435" t="s">
        <v>404</v>
      </c>
      <c r="E12" s="447">
        <v>12</v>
      </c>
      <c r="F12" s="447">
        <v>2250</v>
      </c>
      <c r="G12" s="447">
        <v>187.5</v>
      </c>
      <c r="H12" s="564"/>
      <c r="I12" s="447">
        <f t="shared" si="6"/>
        <v>12</v>
      </c>
      <c r="J12" s="447">
        <f t="shared" si="6"/>
        <v>2173.2476613773301</v>
      </c>
      <c r="K12" s="439">
        <f t="shared" si="6"/>
        <v>181.10397178144419</v>
      </c>
      <c r="L12" s="564"/>
      <c r="M12" s="447">
        <f>RANK(K12, K$7:$K$21)</f>
        <v>8</v>
      </c>
      <c r="N12" s="559"/>
      <c r="O12" s="559"/>
      <c r="P12" s="443"/>
      <c r="Q12" s="447"/>
      <c r="R12" s="447"/>
      <c r="S12" s="443" t="e">
        <f t="shared" si="7"/>
        <v>#N/A</v>
      </c>
      <c r="T12" s="588"/>
      <c r="U12" s="443"/>
      <c r="V12" s="447"/>
      <c r="W12" s="447"/>
      <c r="X12" s="443" t="e">
        <f t="shared" si="8"/>
        <v>#N/A</v>
      </c>
      <c r="Y12" s="588"/>
      <c r="Z12" s="443">
        <v>12</v>
      </c>
      <c r="AA12" s="447">
        <v>2183.8554216867465</v>
      </c>
      <c r="AB12" s="447">
        <v>181.98795180722888</v>
      </c>
      <c r="AC12" s="443">
        <f t="shared" si="9"/>
        <v>7</v>
      </c>
      <c r="AD12" s="588"/>
      <c r="AE12" s="443">
        <v>12</v>
      </c>
      <c r="AF12" s="447">
        <v>2127.6923076923067</v>
      </c>
      <c r="AG12" s="447">
        <v>177.30769230769224</v>
      </c>
      <c r="AH12" s="443">
        <f t="shared" si="10"/>
        <v>8</v>
      </c>
      <c r="AI12" s="588"/>
      <c r="AJ12" s="443">
        <v>12</v>
      </c>
      <c r="AK12" s="447">
        <v>2208.5714285714289</v>
      </c>
      <c r="AL12" s="447">
        <v>184.04761904761907</v>
      </c>
      <c r="AM12" s="443">
        <f t="shared" si="11"/>
        <v>7</v>
      </c>
      <c r="AN12" s="588"/>
      <c r="AO12" s="443">
        <v>12</v>
      </c>
      <c r="AP12" s="447">
        <v>2140.7999999999993</v>
      </c>
      <c r="AQ12" s="447">
        <v>178.39999999999995</v>
      </c>
      <c r="AR12" s="443">
        <f t="shared" si="12"/>
        <v>8</v>
      </c>
      <c r="AS12" s="588"/>
      <c r="AT12" s="443">
        <v>12</v>
      </c>
      <c r="AU12" s="447">
        <v>2205.3191489361698</v>
      </c>
      <c r="AV12" s="447">
        <v>183.7765957446808</v>
      </c>
      <c r="AW12" s="443">
        <f t="shared" si="13"/>
        <v>8</v>
      </c>
      <c r="AX12" s="588"/>
      <c r="AZ12" s="314" t="e">
        <f>RANK(AX12, $K$7:AX$21)</f>
        <v>#N/A</v>
      </c>
      <c r="BB12" s="311" t="e">
        <f t="shared" si="14"/>
        <v>#N/A</v>
      </c>
    </row>
    <row r="13" spans="1:54">
      <c r="A13" s="81"/>
      <c r="B13" s="599"/>
      <c r="C13" s="443">
        <v>7</v>
      </c>
      <c r="D13" s="435" t="s">
        <v>405</v>
      </c>
      <c r="E13" s="447">
        <v>11</v>
      </c>
      <c r="F13" s="447">
        <v>2118</v>
      </c>
      <c r="G13" s="447">
        <v>192.5</v>
      </c>
      <c r="H13" s="564"/>
      <c r="I13" s="447">
        <f t="shared" si="6"/>
        <v>11</v>
      </c>
      <c r="J13" s="447">
        <f t="shared" si="6"/>
        <v>2010.3414638012534</v>
      </c>
      <c r="K13" s="439">
        <f t="shared" si="6"/>
        <v>182.75831489102305</v>
      </c>
      <c r="L13" s="564"/>
      <c r="M13" s="447">
        <f>RANK(K13, K$7:$K$21)</f>
        <v>7</v>
      </c>
      <c r="N13" s="559"/>
      <c r="O13" s="559"/>
      <c r="P13" s="443"/>
      <c r="Q13" s="447"/>
      <c r="R13" s="447"/>
      <c r="S13" s="443" t="e">
        <f t="shared" si="7"/>
        <v>#N/A</v>
      </c>
      <c r="T13" s="588"/>
      <c r="U13" s="443"/>
      <c r="V13" s="447"/>
      <c r="W13" s="447"/>
      <c r="X13" s="443" t="e">
        <f t="shared" si="8"/>
        <v>#N/A</v>
      </c>
      <c r="Y13" s="588"/>
      <c r="Z13" s="443">
        <v>11</v>
      </c>
      <c r="AA13" s="447">
        <v>1978.0312500000005</v>
      </c>
      <c r="AB13" s="447">
        <v>179.82102272727278</v>
      </c>
      <c r="AC13" s="443">
        <f t="shared" si="9"/>
        <v>8</v>
      </c>
      <c r="AD13" s="588"/>
      <c r="AE13" s="443">
        <v>11</v>
      </c>
      <c r="AF13" s="447">
        <v>1971.9204545454547</v>
      </c>
      <c r="AG13" s="447">
        <v>179.26549586776861</v>
      </c>
      <c r="AH13" s="443">
        <f t="shared" si="10"/>
        <v>7</v>
      </c>
      <c r="AI13" s="588"/>
      <c r="AJ13" s="443">
        <v>11</v>
      </c>
      <c r="AK13" s="447">
        <v>1977.9587628865986</v>
      </c>
      <c r="AL13" s="447">
        <v>179.81443298969077</v>
      </c>
      <c r="AM13" s="443">
        <f t="shared" si="11"/>
        <v>8</v>
      </c>
      <c r="AN13" s="588"/>
      <c r="AO13" s="443">
        <v>11</v>
      </c>
      <c r="AP13" s="447">
        <v>2013.3620689655177</v>
      </c>
      <c r="AQ13" s="447">
        <v>183.03291536050162</v>
      </c>
      <c r="AR13" s="443">
        <f t="shared" si="12"/>
        <v>7</v>
      </c>
      <c r="AS13" s="588"/>
      <c r="AT13" s="443">
        <v>11</v>
      </c>
      <c r="AU13" s="447">
        <v>2110.4347826086955</v>
      </c>
      <c r="AV13" s="447">
        <v>191.85770750988141</v>
      </c>
      <c r="AW13" s="443">
        <f t="shared" si="13"/>
        <v>7</v>
      </c>
      <c r="AX13" s="588"/>
      <c r="AZ13" s="314" t="e">
        <f>RANK(AX13, $K$7:AX$21)</f>
        <v>#N/A</v>
      </c>
      <c r="BB13" s="311" t="e">
        <f t="shared" si="14"/>
        <v>#N/A</v>
      </c>
    </row>
    <row r="14" spans="1:54">
      <c r="A14" s="81"/>
      <c r="B14" s="599"/>
      <c r="C14" s="443">
        <v>8</v>
      </c>
      <c r="D14" s="435" t="s">
        <v>399</v>
      </c>
      <c r="E14" s="447">
        <v>18</v>
      </c>
      <c r="F14" s="447">
        <v>1250</v>
      </c>
      <c r="G14" s="447">
        <v>69.444444444444443</v>
      </c>
      <c r="H14" s="564"/>
      <c r="I14" s="447">
        <f t="shared" si="6"/>
        <v>13.2</v>
      </c>
      <c r="J14" s="447">
        <f t="shared" si="6"/>
        <v>1252.5836709420614</v>
      </c>
      <c r="K14" s="439">
        <f t="shared" si="6"/>
        <v>95.000553873371231</v>
      </c>
      <c r="L14" s="564"/>
      <c r="M14" s="447">
        <f>RANK(K14, K$7:$K$21)</f>
        <v>11</v>
      </c>
      <c r="N14" s="559"/>
      <c r="O14" s="559"/>
      <c r="P14" s="443"/>
      <c r="Q14" s="447"/>
      <c r="R14" s="447"/>
      <c r="S14" s="443" t="e">
        <f t="shared" si="7"/>
        <v>#N/A</v>
      </c>
      <c r="T14" s="588"/>
      <c r="U14" s="443"/>
      <c r="V14" s="447"/>
      <c r="W14" s="447"/>
      <c r="X14" s="443" t="e">
        <f t="shared" si="8"/>
        <v>#N/A</v>
      </c>
      <c r="Y14" s="588"/>
      <c r="Z14" s="443">
        <v>13</v>
      </c>
      <c r="AA14" s="447">
        <v>1242.3157894736844</v>
      </c>
      <c r="AB14" s="447">
        <v>95.562753036437257</v>
      </c>
      <c r="AC14" s="443">
        <f t="shared" si="9"/>
        <v>11</v>
      </c>
      <c r="AD14" s="588"/>
      <c r="AE14" s="443">
        <v>13</v>
      </c>
      <c r="AF14" s="447">
        <v>1254.4000000000003</v>
      </c>
      <c r="AG14" s="447">
        <v>96.492307692307719</v>
      </c>
      <c r="AH14" s="443">
        <f t="shared" si="10"/>
        <v>11</v>
      </c>
      <c r="AI14" s="588"/>
      <c r="AJ14" s="443">
        <v>14</v>
      </c>
      <c r="AK14" s="447">
        <v>1230.3529411764714</v>
      </c>
      <c r="AL14" s="447">
        <v>87.882352941176535</v>
      </c>
      <c r="AM14" s="443">
        <f t="shared" si="11"/>
        <v>11</v>
      </c>
      <c r="AN14" s="588"/>
      <c r="AO14" s="443">
        <v>13</v>
      </c>
      <c r="AP14" s="447">
        <v>1259.4285714285716</v>
      </c>
      <c r="AQ14" s="447">
        <v>96.87912087912089</v>
      </c>
      <c r="AR14" s="443">
        <f t="shared" si="12"/>
        <v>11</v>
      </c>
      <c r="AS14" s="588"/>
      <c r="AT14" s="443">
        <v>13</v>
      </c>
      <c r="AU14" s="447">
        <v>1276.4210526315792</v>
      </c>
      <c r="AV14" s="447">
        <v>98.186234817813784</v>
      </c>
      <c r="AW14" s="443">
        <f t="shared" si="13"/>
        <v>11</v>
      </c>
      <c r="AX14" s="588"/>
      <c r="AZ14" s="314" t="e">
        <f>RANK(AX14, $K$7:AX$21)</f>
        <v>#N/A</v>
      </c>
      <c r="BB14" s="311" t="e">
        <f t="shared" si="14"/>
        <v>#N/A</v>
      </c>
    </row>
    <row r="15" spans="1:54">
      <c r="A15" s="81"/>
      <c r="B15" s="599"/>
      <c r="C15" s="443">
        <v>9</v>
      </c>
      <c r="D15" s="435" t="s">
        <v>600</v>
      </c>
      <c r="E15" s="447">
        <v>6</v>
      </c>
      <c r="F15" s="447">
        <v>2000</v>
      </c>
      <c r="G15" s="447">
        <v>333.33333333333331</v>
      </c>
      <c r="H15" s="564"/>
      <c r="I15" s="447">
        <f t="shared" si="6"/>
        <v>7</v>
      </c>
      <c r="J15" s="447">
        <f t="shared" si="6"/>
        <v>1699.4122823042264</v>
      </c>
      <c r="K15" s="439">
        <f t="shared" si="6"/>
        <v>242.77318318631805</v>
      </c>
      <c r="L15" s="564"/>
      <c r="M15" s="447">
        <f>RANK(K15, K$7:$K$21)</f>
        <v>4</v>
      </c>
      <c r="N15" s="559"/>
      <c r="O15" s="559"/>
      <c r="P15" s="443"/>
      <c r="Q15" s="447"/>
      <c r="R15" s="447"/>
      <c r="S15" s="443" t="e">
        <f t="shared" si="7"/>
        <v>#N/A</v>
      </c>
      <c r="T15" s="588"/>
      <c r="U15" s="443"/>
      <c r="V15" s="447"/>
      <c r="W15" s="447"/>
      <c r="X15" s="443" t="e">
        <f t="shared" si="8"/>
        <v>#N/A</v>
      </c>
      <c r="Y15" s="588"/>
      <c r="Z15" s="443">
        <v>7</v>
      </c>
      <c r="AA15" s="447">
        <v>1717.058823529414</v>
      </c>
      <c r="AB15" s="447">
        <v>245.29411764705915</v>
      </c>
      <c r="AC15" s="443">
        <f t="shared" si="9"/>
        <v>4</v>
      </c>
      <c r="AD15" s="588"/>
      <c r="AE15" s="443">
        <v>7</v>
      </c>
      <c r="AF15" s="447">
        <v>1484.3478260869565</v>
      </c>
      <c r="AG15" s="447">
        <v>212.04968944099377</v>
      </c>
      <c r="AH15" s="443">
        <f t="shared" si="10"/>
        <v>5</v>
      </c>
      <c r="AI15" s="588"/>
      <c r="AJ15" s="443">
        <v>7</v>
      </c>
      <c r="AK15" s="447">
        <v>1713.3333333333344</v>
      </c>
      <c r="AL15" s="447">
        <v>244.7619047619049</v>
      </c>
      <c r="AM15" s="443">
        <f t="shared" si="11"/>
        <v>4</v>
      </c>
      <c r="AN15" s="588"/>
      <c r="AO15" s="443">
        <v>7</v>
      </c>
      <c r="AP15" s="447">
        <v>1718.5714285714298</v>
      </c>
      <c r="AQ15" s="447">
        <v>245.51020408163282</v>
      </c>
      <c r="AR15" s="443">
        <f t="shared" si="12"/>
        <v>5</v>
      </c>
      <c r="AS15" s="588"/>
      <c r="AT15" s="443">
        <v>7</v>
      </c>
      <c r="AU15" s="447">
        <v>1863.7499999999975</v>
      </c>
      <c r="AV15" s="447">
        <v>266.24999999999966</v>
      </c>
      <c r="AW15" s="443">
        <f t="shared" si="13"/>
        <v>4</v>
      </c>
      <c r="AX15" s="588"/>
      <c r="AZ15" s="314" t="e">
        <f>RANK(AX15, $K$7:AX$21)</f>
        <v>#N/A</v>
      </c>
      <c r="BB15" s="311" t="e">
        <f t="shared" si="14"/>
        <v>#N/A</v>
      </c>
    </row>
    <row r="16" spans="1:54">
      <c r="A16" s="81"/>
      <c r="B16" s="599"/>
      <c r="C16" s="443">
        <v>10</v>
      </c>
      <c r="D16" s="435" t="s">
        <v>617</v>
      </c>
      <c r="E16" s="447">
        <v>4</v>
      </c>
      <c r="F16" s="447">
        <v>2000</v>
      </c>
      <c r="G16" s="447">
        <v>500</v>
      </c>
      <c r="H16" s="564"/>
      <c r="I16" s="447">
        <f t="shared" si="6"/>
        <v>5</v>
      </c>
      <c r="J16" s="447">
        <f t="shared" si="6"/>
        <v>1925.7598039215736</v>
      </c>
      <c r="K16" s="439">
        <f t="shared" si="6"/>
        <v>385.15196078431461</v>
      </c>
      <c r="L16" s="564"/>
      <c r="M16" s="447">
        <f>RANK(K16, K$7:$K$21)</f>
        <v>3</v>
      </c>
      <c r="N16" s="559"/>
      <c r="O16" s="559"/>
      <c r="P16" s="443"/>
      <c r="Q16" s="447"/>
      <c r="R16" s="447"/>
      <c r="S16" s="443" t="e">
        <f t="shared" si="7"/>
        <v>#N/A</v>
      </c>
      <c r="T16" s="588"/>
      <c r="U16" s="443"/>
      <c r="V16" s="447"/>
      <c r="W16" s="447"/>
      <c r="X16" s="443" t="e">
        <f t="shared" si="8"/>
        <v>#N/A</v>
      </c>
      <c r="Y16" s="588"/>
      <c r="Z16" s="443">
        <v>5</v>
      </c>
      <c r="AA16" s="447">
        <v>2124.7058823529487</v>
      </c>
      <c r="AB16" s="447">
        <v>424.94117647058977</v>
      </c>
      <c r="AC16" s="443">
        <f t="shared" si="9"/>
        <v>3</v>
      </c>
      <c r="AD16" s="588"/>
      <c r="AE16" s="443">
        <v>5</v>
      </c>
      <c r="AF16" s="447">
        <v>1860.0000000000066</v>
      </c>
      <c r="AG16" s="447">
        <v>372.00000000000131</v>
      </c>
      <c r="AH16" s="443">
        <f t="shared" si="10"/>
        <v>3</v>
      </c>
      <c r="AI16" s="588"/>
      <c r="AJ16" s="443">
        <v>5</v>
      </c>
      <c r="AK16" s="447">
        <v>1816.6666666666731</v>
      </c>
      <c r="AL16" s="447">
        <v>363.33333333333462</v>
      </c>
      <c r="AM16" s="443">
        <f t="shared" si="11"/>
        <v>3</v>
      </c>
      <c r="AN16" s="588"/>
      <c r="AO16" s="443">
        <v>5</v>
      </c>
      <c r="AP16" s="447">
        <v>1826.2500000000064</v>
      </c>
      <c r="AQ16" s="447">
        <v>365.25000000000125</v>
      </c>
      <c r="AR16" s="443">
        <f t="shared" si="12"/>
        <v>3</v>
      </c>
      <c r="AS16" s="588"/>
      <c r="AT16" s="443">
        <v>5</v>
      </c>
      <c r="AU16" s="447">
        <v>2001.1764705882326</v>
      </c>
      <c r="AV16" s="447">
        <v>400.2352941176465</v>
      </c>
      <c r="AW16" s="443">
        <f t="shared" si="13"/>
        <v>3</v>
      </c>
      <c r="AX16" s="588"/>
      <c r="AZ16" s="314" t="e">
        <f>RANK(AX16, $K$7:AX$21)</f>
        <v>#N/A</v>
      </c>
      <c r="BB16" s="311" t="e">
        <f t="shared" si="14"/>
        <v>#N/A</v>
      </c>
    </row>
    <row r="17" spans="2:54">
      <c r="B17" s="599"/>
      <c r="C17" s="443">
        <v>11</v>
      </c>
      <c r="D17" s="435" t="s">
        <v>632</v>
      </c>
      <c r="E17" s="447">
        <v>11</v>
      </c>
      <c r="F17" s="447">
        <v>2250</v>
      </c>
      <c r="G17" s="447">
        <v>192.5</v>
      </c>
      <c r="H17" s="564"/>
      <c r="I17" s="447">
        <f t="shared" si="6"/>
        <v>9.4</v>
      </c>
      <c r="J17" s="447">
        <f t="shared" si="6"/>
        <v>2199.1386656254826</v>
      </c>
      <c r="K17" s="439">
        <f t="shared" si="6"/>
        <v>235.53293034837378</v>
      </c>
      <c r="L17" s="564"/>
      <c r="M17" s="447">
        <f>RANK(K17, K$7:$K$21)</f>
        <v>5</v>
      </c>
      <c r="N17" s="559"/>
      <c r="O17" s="559"/>
      <c r="P17" s="443"/>
      <c r="Q17" s="447"/>
      <c r="R17" s="447"/>
      <c r="S17" s="443" t="e">
        <f t="shared" si="7"/>
        <v>#N/A</v>
      </c>
      <c r="T17" s="588"/>
      <c r="U17" s="443"/>
      <c r="V17" s="447"/>
      <c r="W17" s="447"/>
      <c r="X17" s="443" t="e">
        <f t="shared" si="8"/>
        <v>#N/A</v>
      </c>
      <c r="Y17" s="588"/>
      <c r="Z17" s="443">
        <v>9</v>
      </c>
      <c r="AA17" s="447">
        <v>2192.5233644859823</v>
      </c>
      <c r="AB17" s="447">
        <v>243.61370716510913</v>
      </c>
      <c r="AC17" s="443">
        <f t="shared" si="9"/>
        <v>5</v>
      </c>
      <c r="AD17" s="588"/>
      <c r="AE17" s="443">
        <v>9</v>
      </c>
      <c r="AF17" s="447">
        <v>2199.3939393939386</v>
      </c>
      <c r="AG17" s="447">
        <v>244.37710437710427</v>
      </c>
      <c r="AH17" s="443">
        <f t="shared" si="10"/>
        <v>4</v>
      </c>
      <c r="AI17" s="588"/>
      <c r="AJ17" s="443">
        <v>9</v>
      </c>
      <c r="AK17" s="447">
        <v>2188.2692307692305</v>
      </c>
      <c r="AL17" s="447">
        <v>243.14102564102561</v>
      </c>
      <c r="AM17" s="443">
        <f t="shared" si="11"/>
        <v>5</v>
      </c>
      <c r="AN17" s="588"/>
      <c r="AO17" s="443">
        <v>9</v>
      </c>
      <c r="AP17" s="447">
        <v>2233.5937500000009</v>
      </c>
      <c r="AQ17" s="447">
        <v>248.17708333333343</v>
      </c>
      <c r="AR17" s="443">
        <f t="shared" si="12"/>
        <v>4</v>
      </c>
      <c r="AS17" s="588"/>
      <c r="AT17" s="443">
        <v>11</v>
      </c>
      <c r="AU17" s="447">
        <v>2181.9130434782614</v>
      </c>
      <c r="AV17" s="447">
        <v>198.35573122529649</v>
      </c>
      <c r="AW17" s="443">
        <f t="shared" si="13"/>
        <v>6</v>
      </c>
      <c r="AX17" s="588"/>
      <c r="AZ17" s="314" t="e">
        <f>RANK(AX17, $K$7:AX$21)</f>
        <v>#N/A</v>
      </c>
      <c r="BB17" s="311" t="e">
        <f t="shared" si="14"/>
        <v>#N/A</v>
      </c>
    </row>
    <row r="18" spans="2:54">
      <c r="B18" s="599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564"/>
      <c r="I18" s="447"/>
      <c r="J18" s="447"/>
      <c r="K18" s="439"/>
      <c r="L18" s="564"/>
      <c r="M18" s="447" t="e">
        <f>RANK(K18, K$7:$K$21)</f>
        <v>#N/A</v>
      </c>
      <c r="N18" s="559"/>
      <c r="O18" s="559"/>
      <c r="P18" s="443"/>
      <c r="Q18" s="447"/>
      <c r="R18" s="447"/>
      <c r="S18" s="443" t="e">
        <f t="shared" si="7"/>
        <v>#N/A</v>
      </c>
      <c r="T18" s="588"/>
      <c r="U18" s="443"/>
      <c r="V18" s="447"/>
      <c r="W18" s="447"/>
      <c r="X18" s="443" t="e">
        <f t="shared" si="8"/>
        <v>#N/A</v>
      </c>
      <c r="Y18" s="588"/>
      <c r="Z18" s="443"/>
      <c r="AA18" s="447"/>
      <c r="AB18" s="447"/>
      <c r="AC18" s="443" t="e">
        <f t="shared" si="9"/>
        <v>#N/A</v>
      </c>
      <c r="AD18" s="588"/>
      <c r="AE18" s="443"/>
      <c r="AF18" s="447"/>
      <c r="AG18" s="447"/>
      <c r="AH18" s="443" t="e">
        <f t="shared" si="10"/>
        <v>#N/A</v>
      </c>
      <c r="AI18" s="588"/>
      <c r="AJ18" s="443"/>
      <c r="AK18" s="447"/>
      <c r="AL18" s="447"/>
      <c r="AM18" s="443" t="e">
        <f t="shared" si="11"/>
        <v>#N/A</v>
      </c>
      <c r="AN18" s="588"/>
      <c r="AO18" s="443"/>
      <c r="AP18" s="447"/>
      <c r="AQ18" s="447"/>
      <c r="AR18" s="443" t="e">
        <f t="shared" si="12"/>
        <v>#N/A</v>
      </c>
      <c r="AS18" s="588"/>
      <c r="AT18" s="443"/>
      <c r="AU18" s="447"/>
      <c r="AV18" s="447"/>
      <c r="AW18" s="443" t="e">
        <f t="shared" si="13"/>
        <v>#N/A</v>
      </c>
      <c r="AX18" s="588"/>
      <c r="AZ18" s="314" t="e">
        <f>RANK(AX18, $K$7:AX$21)</f>
        <v>#N/A</v>
      </c>
      <c r="BB18" s="311" t="e">
        <f t="shared" si="14"/>
        <v>#N/A</v>
      </c>
    </row>
    <row r="19" spans="2:54">
      <c r="B19" s="599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564"/>
      <c r="I19" s="447"/>
      <c r="J19" s="447"/>
      <c r="K19" s="439"/>
      <c r="L19" s="564"/>
      <c r="M19" s="447" t="e">
        <f>RANK(K19, K$7:$K$21)</f>
        <v>#N/A</v>
      </c>
      <c r="N19" s="559"/>
      <c r="O19" s="559"/>
      <c r="P19" s="443"/>
      <c r="Q19" s="447"/>
      <c r="R19" s="447"/>
      <c r="S19" s="443" t="e">
        <f t="shared" si="7"/>
        <v>#N/A</v>
      </c>
      <c r="T19" s="588"/>
      <c r="U19" s="443"/>
      <c r="V19" s="447"/>
      <c r="W19" s="447"/>
      <c r="X19" s="443" t="e">
        <f t="shared" si="8"/>
        <v>#N/A</v>
      </c>
      <c r="Y19" s="588"/>
      <c r="Z19" s="443"/>
      <c r="AA19" s="447"/>
      <c r="AB19" s="447"/>
      <c r="AC19" s="443" t="e">
        <f t="shared" si="9"/>
        <v>#N/A</v>
      </c>
      <c r="AD19" s="588"/>
      <c r="AE19" s="443"/>
      <c r="AF19" s="447"/>
      <c r="AG19" s="447"/>
      <c r="AH19" s="443" t="e">
        <f t="shared" si="10"/>
        <v>#N/A</v>
      </c>
      <c r="AI19" s="588"/>
      <c r="AJ19" s="443"/>
      <c r="AK19" s="447"/>
      <c r="AL19" s="447"/>
      <c r="AM19" s="443" t="e">
        <f t="shared" si="11"/>
        <v>#N/A</v>
      </c>
      <c r="AN19" s="588"/>
      <c r="AO19" s="443"/>
      <c r="AP19" s="447"/>
      <c r="AQ19" s="447"/>
      <c r="AR19" s="443" t="e">
        <f t="shared" si="12"/>
        <v>#N/A</v>
      </c>
      <c r="AS19" s="588"/>
      <c r="AT19" s="443"/>
      <c r="AU19" s="447"/>
      <c r="AV19" s="447"/>
      <c r="AW19" s="443" t="e">
        <f t="shared" si="13"/>
        <v>#N/A</v>
      </c>
      <c r="AX19" s="588"/>
      <c r="AZ19" s="314" t="e">
        <f>RANK(AX19, $K$7:AX$21)</f>
        <v>#N/A</v>
      </c>
      <c r="BB19" s="311" t="e">
        <f t="shared" si="14"/>
        <v>#N/A</v>
      </c>
    </row>
    <row r="20" spans="2:54">
      <c r="B20" s="599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564"/>
      <c r="I20" s="447"/>
      <c r="J20" s="447"/>
      <c r="K20" s="439"/>
      <c r="L20" s="564"/>
      <c r="M20" s="447" t="e">
        <f>RANK(K20, K$7:$K$21)</f>
        <v>#N/A</v>
      </c>
      <c r="N20" s="559"/>
      <c r="O20" s="559"/>
      <c r="P20" s="443"/>
      <c r="Q20" s="447"/>
      <c r="R20" s="447"/>
      <c r="S20" s="443" t="e">
        <f t="shared" si="7"/>
        <v>#N/A</v>
      </c>
      <c r="T20" s="588"/>
      <c r="U20" s="443"/>
      <c r="V20" s="447"/>
      <c r="W20" s="447"/>
      <c r="X20" s="443" t="e">
        <f t="shared" si="8"/>
        <v>#N/A</v>
      </c>
      <c r="Y20" s="588"/>
      <c r="Z20" s="443"/>
      <c r="AA20" s="447"/>
      <c r="AB20" s="447"/>
      <c r="AC20" s="443" t="e">
        <f t="shared" si="9"/>
        <v>#N/A</v>
      </c>
      <c r="AD20" s="588"/>
      <c r="AE20" s="443"/>
      <c r="AF20" s="447"/>
      <c r="AG20" s="447"/>
      <c r="AH20" s="443" t="e">
        <f t="shared" si="10"/>
        <v>#N/A</v>
      </c>
      <c r="AI20" s="588"/>
      <c r="AJ20" s="443"/>
      <c r="AK20" s="447"/>
      <c r="AL20" s="447"/>
      <c r="AM20" s="443" t="e">
        <f t="shared" si="11"/>
        <v>#N/A</v>
      </c>
      <c r="AN20" s="588"/>
      <c r="AO20" s="443"/>
      <c r="AP20" s="447"/>
      <c r="AQ20" s="447"/>
      <c r="AR20" s="443" t="e">
        <f t="shared" si="12"/>
        <v>#N/A</v>
      </c>
      <c r="AS20" s="588"/>
      <c r="AT20" s="443"/>
      <c r="AU20" s="447"/>
      <c r="AV20" s="447"/>
      <c r="AW20" s="443" t="e">
        <f t="shared" si="13"/>
        <v>#N/A</v>
      </c>
      <c r="AX20" s="588"/>
      <c r="AZ20" s="314" t="e">
        <f>RANK(AX20, $K$7:AX$21)</f>
        <v>#N/A</v>
      </c>
      <c r="BB20" s="311" t="e">
        <f t="shared" si="14"/>
        <v>#N/A</v>
      </c>
    </row>
    <row r="21" spans="2:54">
      <c r="B21" s="599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16"/>
      <c r="I21" s="447"/>
      <c r="J21" s="447"/>
      <c r="K21" s="439"/>
      <c r="L21" s="616"/>
      <c r="M21" s="447" t="e">
        <f>RANK(K21, K$7:$K$21)</f>
        <v>#N/A</v>
      </c>
      <c r="N21" s="559"/>
      <c r="O21" s="559"/>
      <c r="P21" s="443"/>
      <c r="Q21" s="447"/>
      <c r="R21" s="447"/>
      <c r="S21" s="443" t="e">
        <f t="shared" si="7"/>
        <v>#N/A</v>
      </c>
      <c r="T21" s="588"/>
      <c r="U21" s="443"/>
      <c r="V21" s="447"/>
      <c r="W21" s="447"/>
      <c r="X21" s="443" t="e">
        <f t="shared" si="8"/>
        <v>#N/A</v>
      </c>
      <c r="Y21" s="588"/>
      <c r="Z21" s="443"/>
      <c r="AA21" s="447"/>
      <c r="AB21" s="447"/>
      <c r="AC21" s="443" t="e">
        <f t="shared" si="9"/>
        <v>#N/A</v>
      </c>
      <c r="AD21" s="588"/>
      <c r="AE21" s="443"/>
      <c r="AF21" s="447"/>
      <c r="AG21" s="447"/>
      <c r="AH21" s="443" t="e">
        <f t="shared" si="10"/>
        <v>#N/A</v>
      </c>
      <c r="AI21" s="588"/>
      <c r="AJ21" s="443"/>
      <c r="AK21" s="447"/>
      <c r="AL21" s="447"/>
      <c r="AM21" s="443" t="e">
        <f t="shared" si="11"/>
        <v>#N/A</v>
      </c>
      <c r="AN21" s="588"/>
      <c r="AO21" s="443"/>
      <c r="AP21" s="447"/>
      <c r="AQ21" s="447"/>
      <c r="AR21" s="443" t="e">
        <f t="shared" si="12"/>
        <v>#N/A</v>
      </c>
      <c r="AS21" s="588"/>
      <c r="AT21" s="443"/>
      <c r="AU21" s="447"/>
      <c r="AV21" s="447"/>
      <c r="AW21" s="443" t="e">
        <f t="shared" si="13"/>
        <v>#N/A</v>
      </c>
      <c r="AX21" s="588"/>
      <c r="AZ21" s="313" t="e">
        <f>RANK(AX21, $K$7:AX$21)</f>
        <v>#N/A</v>
      </c>
      <c r="BB21" s="311" t="e">
        <f t="shared" si="14"/>
        <v>#N/A</v>
      </c>
    </row>
    <row r="22" spans="2:54" ht="15.75">
      <c r="B22" s="592" t="s">
        <v>731</v>
      </c>
      <c r="C22" s="593"/>
      <c r="D22" s="593"/>
      <c r="E22" s="593"/>
      <c r="F22" s="593"/>
      <c r="G22" s="593"/>
      <c r="H22" s="593"/>
      <c r="I22" s="203"/>
      <c r="J22" s="203"/>
      <c r="K22" s="203"/>
      <c r="L22" s="203"/>
      <c r="M22" s="204"/>
      <c r="N22" s="565" t="s">
        <v>732</v>
      </c>
      <c r="O22" s="565" t="s">
        <v>733</v>
      </c>
      <c r="P22" s="571">
        <f>P2+7</f>
        <v>7</v>
      </c>
      <c r="Q22" s="572"/>
      <c r="R22" s="572"/>
      <c r="S22" s="572"/>
      <c r="T22" s="572"/>
      <c r="U22" s="571">
        <f>P22+1</f>
        <v>8</v>
      </c>
      <c r="V22" s="572"/>
      <c r="W22" s="572"/>
      <c r="X22" s="572"/>
      <c r="Y22" s="572"/>
      <c r="Z22" s="571">
        <f>U22+1</f>
        <v>9</v>
      </c>
      <c r="AA22" s="572"/>
      <c r="AB22" s="572"/>
      <c r="AC22" s="572"/>
      <c r="AD22" s="572"/>
      <c r="AE22" s="571">
        <f>Z22+1</f>
        <v>10</v>
      </c>
      <c r="AF22" s="572"/>
      <c r="AG22" s="572"/>
      <c r="AH22" s="572"/>
      <c r="AI22" s="572"/>
      <c r="AJ22" s="571">
        <f>AE22+1</f>
        <v>11</v>
      </c>
      <c r="AK22" s="572"/>
      <c r="AL22" s="572"/>
      <c r="AM22" s="572"/>
      <c r="AN22" s="572"/>
      <c r="AO22" s="571">
        <f>AJ22+1</f>
        <v>12</v>
      </c>
      <c r="AP22" s="572"/>
      <c r="AQ22" s="572"/>
      <c r="AR22" s="572"/>
      <c r="AS22" s="572"/>
      <c r="AT22" s="571">
        <f>AO22+1</f>
        <v>13</v>
      </c>
      <c r="AU22" s="572"/>
      <c r="AV22" s="572"/>
      <c r="AW22" s="572"/>
      <c r="AX22" s="572"/>
    </row>
    <row r="23" spans="2:54" ht="15.75">
      <c r="B23" s="579"/>
      <c r="C23" s="579"/>
      <c r="D23" s="579"/>
      <c r="E23" s="579"/>
      <c r="F23" s="579"/>
      <c r="G23" s="579"/>
      <c r="H23" s="579"/>
      <c r="I23" s="205"/>
      <c r="J23" s="205"/>
      <c r="K23" s="205"/>
      <c r="L23" s="205"/>
      <c r="M23" s="206"/>
      <c r="N23" s="567"/>
      <c r="O23" s="567"/>
      <c r="P23" s="571" t="s">
        <v>734</v>
      </c>
      <c r="Q23" s="572"/>
      <c r="R23" s="572"/>
      <c r="S23" s="572"/>
      <c r="T23" s="572"/>
      <c r="U23" s="571" t="s">
        <v>735</v>
      </c>
      <c r="V23" s="572"/>
      <c r="W23" s="572"/>
      <c r="X23" s="572"/>
      <c r="Y23" s="572"/>
      <c r="Z23" s="571" t="s">
        <v>736</v>
      </c>
      <c r="AA23" s="572"/>
      <c r="AB23" s="572"/>
      <c r="AC23" s="572"/>
      <c r="AD23" s="572"/>
      <c r="AE23" s="571" t="s">
        <v>737</v>
      </c>
      <c r="AF23" s="572"/>
      <c r="AG23" s="572"/>
      <c r="AH23" s="572"/>
      <c r="AI23" s="572"/>
      <c r="AJ23" s="571" t="s">
        <v>738</v>
      </c>
      <c r="AK23" s="572"/>
      <c r="AL23" s="572"/>
      <c r="AM23" s="572"/>
      <c r="AN23" s="572"/>
      <c r="AO23" s="571" t="s">
        <v>739</v>
      </c>
      <c r="AP23" s="572"/>
      <c r="AQ23" s="572"/>
      <c r="AR23" s="572"/>
      <c r="AS23" s="572"/>
      <c r="AT23" s="571" t="s">
        <v>740</v>
      </c>
      <c r="AU23" s="572"/>
      <c r="AV23" s="572"/>
      <c r="AW23" s="572"/>
      <c r="AX23" s="572"/>
    </row>
    <row r="24" spans="2:54">
      <c r="B24" s="559" t="s">
        <v>741</v>
      </c>
      <c r="C24" s="559" t="s">
        <v>742</v>
      </c>
      <c r="D24" s="559"/>
      <c r="E24" s="559" t="s">
        <v>743</v>
      </c>
      <c r="F24" s="559"/>
      <c r="G24" s="559"/>
      <c r="H24" s="560" t="s">
        <v>744</v>
      </c>
      <c r="I24" s="543" t="s">
        <v>745</v>
      </c>
      <c r="J24" s="543"/>
      <c r="K24" s="543"/>
      <c r="L24" s="544" t="s">
        <v>744</v>
      </c>
      <c r="M24" s="550" t="s">
        <v>746</v>
      </c>
      <c r="N24" s="559"/>
      <c r="O24" s="559" t="s">
        <v>747</v>
      </c>
      <c r="P24" s="556" t="s">
        <v>748</v>
      </c>
      <c r="Q24" s="557"/>
      <c r="R24" s="557"/>
      <c r="S24" s="558"/>
      <c r="T24" s="559" t="s">
        <v>744</v>
      </c>
      <c r="U24" s="556" t="s">
        <v>748</v>
      </c>
      <c r="V24" s="557"/>
      <c r="W24" s="557"/>
      <c r="X24" s="558"/>
      <c r="Y24" s="559" t="s">
        <v>744</v>
      </c>
      <c r="Z24" s="556" t="s">
        <v>748</v>
      </c>
      <c r="AA24" s="557"/>
      <c r="AB24" s="557"/>
      <c r="AC24" s="558"/>
      <c r="AD24" s="559" t="s">
        <v>744</v>
      </c>
      <c r="AE24" s="556" t="s">
        <v>748</v>
      </c>
      <c r="AF24" s="557"/>
      <c r="AG24" s="557"/>
      <c r="AH24" s="558"/>
      <c r="AI24" s="559" t="s">
        <v>744</v>
      </c>
      <c r="AJ24" s="556" t="s">
        <v>748</v>
      </c>
      <c r="AK24" s="557"/>
      <c r="AL24" s="557"/>
      <c r="AM24" s="558"/>
      <c r="AN24" s="559" t="s">
        <v>744</v>
      </c>
      <c r="AO24" s="556" t="s">
        <v>748</v>
      </c>
      <c r="AP24" s="557"/>
      <c r="AQ24" s="557"/>
      <c r="AR24" s="558"/>
      <c r="AS24" s="559" t="s">
        <v>744</v>
      </c>
      <c r="AT24" s="556" t="s">
        <v>748</v>
      </c>
      <c r="AU24" s="557"/>
      <c r="AV24" s="557"/>
      <c r="AW24" s="558"/>
      <c r="AX24" s="559" t="s">
        <v>744</v>
      </c>
    </row>
    <row r="25" spans="2:54">
      <c r="B25" s="559"/>
      <c r="C25" s="559"/>
      <c r="D25" s="559"/>
      <c r="E25" s="559" t="s">
        <v>749</v>
      </c>
      <c r="F25" s="559"/>
      <c r="G25" s="559"/>
      <c r="H25" s="561"/>
      <c r="I25" s="543" t="s">
        <v>749</v>
      </c>
      <c r="J25" s="543"/>
      <c r="K25" s="543"/>
      <c r="L25" s="545"/>
      <c r="M25" s="551"/>
      <c r="N25" s="559"/>
      <c r="O25" s="559"/>
      <c r="P25" s="556" t="s">
        <v>750</v>
      </c>
      <c r="Q25" s="557"/>
      <c r="R25" s="557"/>
      <c r="S25" s="558"/>
      <c r="T25" s="559"/>
      <c r="U25" s="556" t="s">
        <v>750</v>
      </c>
      <c r="V25" s="557"/>
      <c r="W25" s="557"/>
      <c r="X25" s="558"/>
      <c r="Y25" s="559"/>
      <c r="Z25" s="556" t="s">
        <v>750</v>
      </c>
      <c r="AA25" s="557"/>
      <c r="AB25" s="557"/>
      <c r="AC25" s="558"/>
      <c r="AD25" s="559"/>
      <c r="AE25" s="556" t="s">
        <v>750</v>
      </c>
      <c r="AF25" s="557"/>
      <c r="AG25" s="557"/>
      <c r="AH25" s="558"/>
      <c r="AI25" s="559"/>
      <c r="AJ25" s="556" t="s">
        <v>750</v>
      </c>
      <c r="AK25" s="557"/>
      <c r="AL25" s="557"/>
      <c r="AM25" s="558"/>
      <c r="AN25" s="559"/>
      <c r="AO25" s="556" t="s">
        <v>750</v>
      </c>
      <c r="AP25" s="557"/>
      <c r="AQ25" s="557"/>
      <c r="AR25" s="558"/>
      <c r="AS25" s="559"/>
      <c r="AT25" s="556" t="s">
        <v>750</v>
      </c>
      <c r="AU25" s="557"/>
      <c r="AV25" s="557"/>
      <c r="AW25" s="558"/>
      <c r="AX25" s="559"/>
    </row>
    <row r="26" spans="2:54">
      <c r="B26" s="559"/>
      <c r="C26" s="559"/>
      <c r="D26" s="559"/>
      <c r="E26" s="440" t="s">
        <v>751</v>
      </c>
      <c r="F26" s="440" t="s">
        <v>752</v>
      </c>
      <c r="G26" s="440" t="s">
        <v>753</v>
      </c>
      <c r="H26" s="562"/>
      <c r="I26" s="444" t="s">
        <v>751</v>
      </c>
      <c r="J26" s="444" t="s">
        <v>752</v>
      </c>
      <c r="K26" s="444" t="s">
        <v>753</v>
      </c>
      <c r="L26" s="546"/>
      <c r="M26" s="552"/>
      <c r="N26" s="559"/>
      <c r="O26" s="559"/>
      <c r="P26" s="440" t="s">
        <v>751</v>
      </c>
      <c r="Q26" s="440" t="s">
        <v>752</v>
      </c>
      <c r="R26" s="440" t="s">
        <v>753</v>
      </c>
      <c r="S26" s="440" t="s">
        <v>746</v>
      </c>
      <c r="T26" s="559"/>
      <c r="U26" s="440" t="s">
        <v>751</v>
      </c>
      <c r="V26" s="440" t="s">
        <v>752</v>
      </c>
      <c r="W26" s="440" t="s">
        <v>753</v>
      </c>
      <c r="X26" s="440" t="s">
        <v>746</v>
      </c>
      <c r="Y26" s="559"/>
      <c r="Z26" s="440" t="s">
        <v>751</v>
      </c>
      <c r="AA26" s="440" t="s">
        <v>752</v>
      </c>
      <c r="AB26" s="440" t="s">
        <v>753</v>
      </c>
      <c r="AC26" s="440" t="s">
        <v>746</v>
      </c>
      <c r="AD26" s="559"/>
      <c r="AE26" s="440" t="s">
        <v>751</v>
      </c>
      <c r="AF26" s="440" t="s">
        <v>752</v>
      </c>
      <c r="AG26" s="440" t="s">
        <v>753</v>
      </c>
      <c r="AH26" s="440" t="s">
        <v>746</v>
      </c>
      <c r="AI26" s="559"/>
      <c r="AJ26" s="440" t="s">
        <v>751</v>
      </c>
      <c r="AK26" s="440" t="s">
        <v>752</v>
      </c>
      <c r="AL26" s="440" t="s">
        <v>753</v>
      </c>
      <c r="AM26" s="440" t="s">
        <v>746</v>
      </c>
      <c r="AN26" s="559"/>
      <c r="AO26" s="440" t="s">
        <v>751</v>
      </c>
      <c r="AP26" s="440" t="s">
        <v>752</v>
      </c>
      <c r="AQ26" s="440" t="s">
        <v>753</v>
      </c>
      <c r="AR26" s="440" t="s">
        <v>746</v>
      </c>
      <c r="AS26" s="559"/>
      <c r="AT26" s="440" t="s">
        <v>751</v>
      </c>
      <c r="AU26" s="440" t="s">
        <v>752</v>
      </c>
      <c r="AV26" s="440" t="s">
        <v>753</v>
      </c>
      <c r="AW26" s="440" t="s">
        <v>746</v>
      </c>
      <c r="AX26" s="559"/>
    </row>
    <row r="27" spans="2:54">
      <c r="B27" s="607" t="s">
        <v>784</v>
      </c>
      <c r="C27" s="436">
        <v>1</v>
      </c>
      <c r="D27" s="226" t="s">
        <v>400</v>
      </c>
      <c r="E27" s="182">
        <v>4</v>
      </c>
      <c r="F27" s="436">
        <v>2000</v>
      </c>
      <c r="G27" s="437">
        <v>500</v>
      </c>
      <c r="H27" s="608">
        <f>AVERAGE(G27:G41)</f>
        <v>291.1648148148148</v>
      </c>
      <c r="I27" s="446">
        <f>AVERAGE(P27,U27,Z27,AE27,AJ27,AO27,AT27)</f>
        <v>4.8571428571428568</v>
      </c>
      <c r="J27" s="446">
        <f>AVERAGE(Q27,V27,AA27,AF27,AK27,AP27,AU27)</f>
        <v>2153.8012156598038</v>
      </c>
      <c r="K27" s="438">
        <f>AVERAGE(R27,W27,AB27,AG27,AL27,AQ27,AV27)</f>
        <v>446.46680683852446</v>
      </c>
      <c r="L27" s="540">
        <f>IFERROR(AVERAGE(K27:K41),"-")</f>
        <v>263.08341366807707</v>
      </c>
      <c r="M27" s="445">
        <f>RANK(K27, K$27:$K$41)</f>
        <v>1</v>
      </c>
      <c r="N27" s="559"/>
      <c r="O27" s="559"/>
      <c r="P27" s="436">
        <v>5</v>
      </c>
      <c r="Q27" s="182">
        <v>2132.8767123287666</v>
      </c>
      <c r="R27" s="182">
        <v>426.57534246575335</v>
      </c>
      <c r="S27" s="436">
        <f>RANK(R27, R$27:R$41)</f>
        <v>1</v>
      </c>
      <c r="T27" s="605">
        <f>AVERAGE(R27:R41)</f>
        <v>256.99341693688717</v>
      </c>
      <c r="U27" s="436">
        <v>5</v>
      </c>
      <c r="V27" s="182">
        <v>2144.5454545454545</v>
      </c>
      <c r="W27" s="182">
        <v>428.90909090909088</v>
      </c>
      <c r="X27" s="436">
        <f>RANK(W27, W$27:W$41)</f>
        <v>1</v>
      </c>
      <c r="Y27" s="605">
        <f>AVERAGE(W27:W41)</f>
        <v>258.36938733287593</v>
      </c>
      <c r="Z27" s="182">
        <v>5</v>
      </c>
      <c r="AA27" s="182">
        <v>2116.5217391304345</v>
      </c>
      <c r="AB27" s="182">
        <v>423.30434782608688</v>
      </c>
      <c r="AC27" s="436">
        <f>RANK(AB27, AB$27:AB$41)</f>
        <v>2</v>
      </c>
      <c r="AD27" s="605">
        <f>AVERAGE(AB27:AB41)</f>
        <v>258.45286244443531</v>
      </c>
      <c r="AE27" s="182">
        <v>5</v>
      </c>
      <c r="AF27" s="182">
        <v>2153.454545454545</v>
      </c>
      <c r="AG27" s="182">
        <v>430.69090909090903</v>
      </c>
      <c r="AH27" s="436">
        <f>RANK(AG27, AG$27:AG$41)</f>
        <v>1</v>
      </c>
      <c r="AI27" s="605">
        <f>AVERAGE(AG27:AG41)</f>
        <v>255.94359500477472</v>
      </c>
      <c r="AJ27" s="182">
        <v>5</v>
      </c>
      <c r="AK27" s="182">
        <v>2187.0000000000005</v>
      </c>
      <c r="AL27" s="182">
        <v>437.40000000000009</v>
      </c>
      <c r="AM27" s="436">
        <f>RANK(AL27, AL$27:AL$41)</f>
        <v>2</v>
      </c>
      <c r="AN27" s="605">
        <f>AVERAGE(AL27:AL41)</f>
        <v>261.09064094857308</v>
      </c>
      <c r="AO27" s="436">
        <v>5</v>
      </c>
      <c r="AP27" s="182">
        <v>2143.2911392405063</v>
      </c>
      <c r="AQ27" s="182">
        <v>428.65822784810126</v>
      </c>
      <c r="AR27" s="436"/>
      <c r="AS27" s="605">
        <f>AVERAGE(AQ27:AQ41)</f>
        <v>260.3029137121228</v>
      </c>
      <c r="AT27" s="436">
        <v>4</v>
      </c>
      <c r="AU27" s="182">
        <v>2198.9189189189183</v>
      </c>
      <c r="AV27" s="182">
        <v>549.72972972972957</v>
      </c>
      <c r="AW27" s="436"/>
      <c r="AX27" s="605">
        <f>AVERAGE(AV27:AV41)</f>
        <v>290.43107929687028</v>
      </c>
    </row>
    <row r="28" spans="2:54">
      <c r="B28" s="572"/>
      <c r="C28" s="436">
        <v>2</v>
      </c>
      <c r="D28" s="226" t="s">
        <v>452</v>
      </c>
      <c r="E28" s="182">
        <v>4</v>
      </c>
      <c r="F28" s="436">
        <v>2000</v>
      </c>
      <c r="G28" s="437">
        <v>500</v>
      </c>
      <c r="H28" s="609"/>
      <c r="I28" s="446">
        <f t="shared" ref="I28:K38" si="15">AVERAGE(P28,U28,Z28,AE28,AJ28,AO28,AT28)</f>
        <v>4.8571428571428568</v>
      </c>
      <c r="J28" s="446">
        <f t="shared" si="15"/>
        <v>2152.0884267840911</v>
      </c>
      <c r="K28" s="438">
        <f t="shared" si="15"/>
        <v>445.68634207323618</v>
      </c>
      <c r="L28" s="541"/>
      <c r="M28" s="445">
        <f>RANK(K28, K$27:$K$41)</f>
        <v>2</v>
      </c>
      <c r="N28" s="559"/>
      <c r="O28" s="559"/>
      <c r="P28" s="436">
        <v>5</v>
      </c>
      <c r="Q28" s="182">
        <v>2111.0769230769224</v>
      </c>
      <c r="R28" s="182">
        <v>422.21538461538449</v>
      </c>
      <c r="S28" s="436">
        <f t="shared" ref="S28:S41" si="16">RANK(R28, R$27:R$41)</f>
        <v>2</v>
      </c>
      <c r="T28" s="605"/>
      <c r="U28" s="436">
        <v>5</v>
      </c>
      <c r="V28" s="182">
        <v>2135.4098360655744</v>
      </c>
      <c r="W28" s="182">
        <v>427.08196721311486</v>
      </c>
      <c r="X28" s="436">
        <f t="shared" ref="X28:X40" si="17">RANK(W28, W$27:W$41)</f>
        <v>2</v>
      </c>
      <c r="Y28" s="605"/>
      <c r="Z28" s="182">
        <v>5</v>
      </c>
      <c r="AA28" s="182">
        <v>2168.5714285714294</v>
      </c>
      <c r="AB28" s="182">
        <v>433.71428571428589</v>
      </c>
      <c r="AC28" s="436">
        <f t="shared" ref="AC28:AC40" si="18">RANK(AB28, AB$27:AB$41)</f>
        <v>1</v>
      </c>
      <c r="AD28" s="605"/>
      <c r="AE28" s="182">
        <v>5</v>
      </c>
      <c r="AF28" s="182">
        <v>2150.4000000000005</v>
      </c>
      <c r="AG28" s="182">
        <v>430.0800000000001</v>
      </c>
      <c r="AH28" s="436">
        <f t="shared" ref="AH28:AH40" si="19">RANK(AG28, AG$27:AG$41)</f>
        <v>2</v>
      </c>
      <c r="AI28" s="605"/>
      <c r="AJ28" s="436">
        <v>5</v>
      </c>
      <c r="AK28" s="182">
        <v>2191.6981132075466</v>
      </c>
      <c r="AL28" s="182">
        <v>438.33962264150932</v>
      </c>
      <c r="AM28" s="436">
        <f t="shared" ref="AM28:AM40" si="20">RANK(AL28, AL$27:AL$41)</f>
        <v>1</v>
      </c>
      <c r="AN28" s="605"/>
      <c r="AO28" s="436">
        <v>5</v>
      </c>
      <c r="AP28" s="182">
        <v>2169.8507462686566</v>
      </c>
      <c r="AQ28" s="182">
        <v>433.97014925373134</v>
      </c>
      <c r="AR28" s="436"/>
      <c r="AS28" s="605"/>
      <c r="AT28" s="436">
        <v>4</v>
      </c>
      <c r="AU28" s="182">
        <v>2137.6119402985073</v>
      </c>
      <c r="AV28" s="182">
        <v>534.40298507462683</v>
      </c>
      <c r="AW28" s="436"/>
      <c r="AX28" s="605"/>
    </row>
    <row r="29" spans="2:54">
      <c r="B29" s="572"/>
      <c r="C29" s="436">
        <v>3</v>
      </c>
      <c r="D29" s="226" t="s">
        <v>401</v>
      </c>
      <c r="E29" s="182">
        <v>14</v>
      </c>
      <c r="F29" s="436">
        <v>2118</v>
      </c>
      <c r="G29" s="437">
        <v>151.30000000000001</v>
      </c>
      <c r="H29" s="609"/>
      <c r="I29" s="446">
        <f t="shared" si="15"/>
        <v>14</v>
      </c>
      <c r="J29" s="446">
        <f t="shared" si="15"/>
        <v>2130.527208510422</v>
      </c>
      <c r="K29" s="438">
        <f t="shared" si="15"/>
        <v>152.18051489360161</v>
      </c>
      <c r="L29" s="541"/>
      <c r="M29" s="445">
        <f>RANK(K29, K$27:$K$41)</f>
        <v>11</v>
      </c>
      <c r="N29" s="559"/>
      <c r="O29" s="559"/>
      <c r="P29" s="436">
        <v>14</v>
      </c>
      <c r="Q29" s="182">
        <v>2130.5454545454545</v>
      </c>
      <c r="R29" s="182">
        <v>152.18181818181819</v>
      </c>
      <c r="S29" s="436">
        <f t="shared" si="16"/>
        <v>11</v>
      </c>
      <c r="T29" s="605"/>
      <c r="U29" s="436">
        <v>14</v>
      </c>
      <c r="V29" s="182">
        <v>2095.4716981132069</v>
      </c>
      <c r="W29" s="182">
        <v>149.67654986522908</v>
      </c>
      <c r="X29" s="436">
        <f t="shared" si="17"/>
        <v>11</v>
      </c>
      <c r="Y29" s="605"/>
      <c r="Z29" s="182">
        <v>14</v>
      </c>
      <c r="AA29" s="182">
        <v>2134.9090909090905</v>
      </c>
      <c r="AB29" s="182">
        <v>152.49350649350646</v>
      </c>
      <c r="AC29" s="436">
        <f t="shared" si="18"/>
        <v>11</v>
      </c>
      <c r="AD29" s="605"/>
      <c r="AE29" s="436">
        <v>14</v>
      </c>
      <c r="AF29" s="182">
        <v>2115</v>
      </c>
      <c r="AG29" s="182">
        <v>151.07142857142858</v>
      </c>
      <c r="AH29" s="436">
        <f t="shared" si="19"/>
        <v>11</v>
      </c>
      <c r="AI29" s="605"/>
      <c r="AJ29" s="436">
        <v>14</v>
      </c>
      <c r="AK29" s="182">
        <v>2122.7999999999993</v>
      </c>
      <c r="AL29" s="182">
        <v>151.62857142857138</v>
      </c>
      <c r="AM29" s="436">
        <f t="shared" si="20"/>
        <v>11</v>
      </c>
      <c r="AN29" s="605"/>
      <c r="AO29" s="436">
        <v>14</v>
      </c>
      <c r="AP29" s="182">
        <v>2173.584905660377</v>
      </c>
      <c r="AQ29" s="182">
        <v>155.25606469002693</v>
      </c>
      <c r="AR29" s="436"/>
      <c r="AS29" s="605"/>
      <c r="AT29" s="436">
        <v>14</v>
      </c>
      <c r="AU29" s="182">
        <v>2141.3793103448279</v>
      </c>
      <c r="AV29" s="182">
        <v>152.95566502463058</v>
      </c>
      <c r="AW29" s="436"/>
      <c r="AX29" s="605"/>
    </row>
    <row r="30" spans="2:54">
      <c r="B30" s="572"/>
      <c r="C30" s="436">
        <v>4</v>
      </c>
      <c r="D30" s="226" t="s">
        <v>402</v>
      </c>
      <c r="E30" s="182">
        <v>13</v>
      </c>
      <c r="F30" s="436">
        <v>2118</v>
      </c>
      <c r="G30" s="437">
        <v>162.9</v>
      </c>
      <c r="H30" s="609"/>
      <c r="I30" s="446">
        <f t="shared" si="15"/>
        <v>13</v>
      </c>
      <c r="J30" s="446">
        <f t="shared" si="15"/>
        <v>2121.9929543989533</v>
      </c>
      <c r="K30" s="438">
        <f t="shared" si="15"/>
        <v>163.23022726145797</v>
      </c>
      <c r="L30" s="541"/>
      <c r="M30" s="445">
        <f>RANK(K30, K$27:$K$41)</f>
        <v>10</v>
      </c>
      <c r="N30" s="559"/>
      <c r="O30" s="559"/>
      <c r="P30" s="436">
        <v>13</v>
      </c>
      <c r="Q30" s="182">
        <v>2088.1818181818189</v>
      </c>
      <c r="R30" s="182">
        <v>160.6293706293707</v>
      </c>
      <c r="S30" s="436">
        <f t="shared" si="16"/>
        <v>10</v>
      </c>
      <c r="T30" s="605"/>
      <c r="U30" s="436">
        <v>13</v>
      </c>
      <c r="V30" s="182">
        <v>2133.4426229508204</v>
      </c>
      <c r="W30" s="182">
        <v>164.11097099621696</v>
      </c>
      <c r="X30" s="436">
        <f t="shared" si="17"/>
        <v>10</v>
      </c>
      <c r="Y30" s="605"/>
      <c r="Z30" s="182">
        <v>13</v>
      </c>
      <c r="AA30" s="182">
        <v>2121.2903225806458</v>
      </c>
      <c r="AB30" s="182">
        <v>163.17617866004969</v>
      </c>
      <c r="AC30" s="436">
        <f t="shared" si="18"/>
        <v>10</v>
      </c>
      <c r="AD30" s="605"/>
      <c r="AE30" s="436">
        <v>13</v>
      </c>
      <c r="AF30" s="182">
        <v>2163.1034482758623</v>
      </c>
      <c r="AG30" s="182">
        <v>166.39257294429711</v>
      </c>
      <c r="AH30" s="436">
        <f t="shared" si="19"/>
        <v>10</v>
      </c>
      <c r="AI30" s="605"/>
      <c r="AJ30" s="436">
        <v>13</v>
      </c>
      <c r="AK30" s="182">
        <v>2085.245901639345</v>
      </c>
      <c r="AL30" s="182">
        <v>160.40353089533423</v>
      </c>
      <c r="AM30" s="436">
        <f t="shared" si="20"/>
        <v>10</v>
      </c>
      <c r="AN30" s="605"/>
      <c r="AO30" s="436">
        <v>13</v>
      </c>
      <c r="AP30" s="182">
        <v>2124.1791044776132</v>
      </c>
      <c r="AQ30" s="182">
        <v>163.3983926521241</v>
      </c>
      <c r="AR30" s="436"/>
      <c r="AS30" s="605"/>
      <c r="AT30" s="436">
        <v>13</v>
      </c>
      <c r="AU30" s="182">
        <v>2138.5074626865685</v>
      </c>
      <c r="AV30" s="182">
        <v>164.50057405281296</v>
      </c>
      <c r="AW30" s="436"/>
      <c r="AX30" s="605"/>
    </row>
    <row r="31" spans="2:54">
      <c r="B31" s="572"/>
      <c r="C31" s="436">
        <v>5</v>
      </c>
      <c r="D31" s="226" t="s">
        <v>403</v>
      </c>
      <c r="E31" s="182">
        <v>11</v>
      </c>
      <c r="F31" s="436">
        <v>2250</v>
      </c>
      <c r="G31" s="437">
        <v>204.5</v>
      </c>
      <c r="H31" s="609"/>
      <c r="I31" s="446">
        <f t="shared" si="15"/>
        <v>11</v>
      </c>
      <c r="J31" s="446">
        <f t="shared" si="15"/>
        <v>2211.0582022954964</v>
      </c>
      <c r="K31" s="438">
        <f t="shared" si="15"/>
        <v>201.00529111777237</v>
      </c>
      <c r="L31" s="541"/>
      <c r="M31" s="445">
        <f>RANK(K31, K$27:$K$41)</f>
        <v>6</v>
      </c>
      <c r="N31" s="559"/>
      <c r="O31" s="559"/>
      <c r="P31" s="436">
        <v>11</v>
      </c>
      <c r="Q31" s="182">
        <v>2247.8873239436625</v>
      </c>
      <c r="R31" s="182">
        <v>204.3533930857875</v>
      </c>
      <c r="S31" s="436">
        <f t="shared" si="16"/>
        <v>6</v>
      </c>
      <c r="T31" s="605"/>
      <c r="U31" s="436">
        <v>11</v>
      </c>
      <c r="V31" s="182">
        <v>2208.7499999999995</v>
      </c>
      <c r="W31" s="182">
        <v>200.7954545454545</v>
      </c>
      <c r="X31" s="436">
        <f t="shared" si="17"/>
        <v>6</v>
      </c>
      <c r="Y31" s="605"/>
      <c r="Z31" s="436">
        <v>11</v>
      </c>
      <c r="AA31" s="182">
        <v>2207.8260869565215</v>
      </c>
      <c r="AB31" s="182">
        <v>200.71146245059288</v>
      </c>
      <c r="AC31" s="436">
        <f t="shared" si="18"/>
        <v>6</v>
      </c>
      <c r="AD31" s="605"/>
      <c r="AE31" s="436">
        <v>11</v>
      </c>
      <c r="AF31" s="182">
        <v>2241.6393442622953</v>
      </c>
      <c r="AG31" s="182">
        <v>203.78539493293593</v>
      </c>
      <c r="AH31" s="436">
        <f t="shared" si="19"/>
        <v>7</v>
      </c>
      <c r="AI31" s="605"/>
      <c r="AJ31" s="436">
        <v>11</v>
      </c>
      <c r="AK31" s="182">
        <v>2157.313432835821</v>
      </c>
      <c r="AL31" s="182">
        <v>196.11940298507463</v>
      </c>
      <c r="AM31" s="436">
        <f t="shared" si="20"/>
        <v>7</v>
      </c>
      <c r="AN31" s="605"/>
      <c r="AO31" s="436">
        <v>11</v>
      </c>
      <c r="AP31" s="182">
        <v>2235.8333333333321</v>
      </c>
      <c r="AQ31" s="182">
        <v>203.25757575757564</v>
      </c>
      <c r="AR31" s="436"/>
      <c r="AS31" s="605"/>
      <c r="AT31" s="436">
        <v>11</v>
      </c>
      <c r="AU31" s="182">
        <v>2178.1578947368416</v>
      </c>
      <c r="AV31" s="182">
        <v>198.01435406698559</v>
      </c>
      <c r="AW31" s="436"/>
      <c r="AX31" s="605"/>
    </row>
    <row r="32" spans="2:54">
      <c r="B32" s="572"/>
      <c r="C32" s="436">
        <v>6</v>
      </c>
      <c r="D32" s="226" t="s">
        <v>404</v>
      </c>
      <c r="E32" s="182">
        <v>12</v>
      </c>
      <c r="F32" s="436">
        <v>2250</v>
      </c>
      <c r="G32" s="437">
        <v>187.5</v>
      </c>
      <c r="H32" s="609"/>
      <c r="I32" s="446">
        <f t="shared" si="15"/>
        <v>12</v>
      </c>
      <c r="J32" s="446">
        <f t="shared" si="15"/>
        <v>2146.7592274501999</v>
      </c>
      <c r="K32" s="438">
        <f t="shared" si="15"/>
        <v>178.89660228751669</v>
      </c>
      <c r="L32" s="541"/>
      <c r="M32" s="445">
        <f>RANK(K32, K$27:$K$41)</f>
        <v>9</v>
      </c>
      <c r="N32" s="559"/>
      <c r="O32" s="559"/>
      <c r="P32" s="436">
        <v>12</v>
      </c>
      <c r="Q32" s="182">
        <v>2134.1935483870971</v>
      </c>
      <c r="R32" s="182">
        <v>177.84946236559142</v>
      </c>
      <c r="S32" s="436">
        <f t="shared" si="16"/>
        <v>9</v>
      </c>
      <c r="T32" s="605"/>
      <c r="U32" s="436">
        <v>12</v>
      </c>
      <c r="V32" s="182">
        <v>2162.8915662650593</v>
      </c>
      <c r="W32" s="182">
        <v>180.2409638554216</v>
      </c>
      <c r="X32" s="436">
        <f t="shared" si="17"/>
        <v>9</v>
      </c>
      <c r="Y32" s="605"/>
      <c r="Z32" s="436">
        <v>12</v>
      </c>
      <c r="AA32" s="182">
        <v>2129.2857142857138</v>
      </c>
      <c r="AB32" s="182">
        <v>177.44047619047615</v>
      </c>
      <c r="AC32" s="436">
        <f t="shared" si="18"/>
        <v>9</v>
      </c>
      <c r="AD32" s="605"/>
      <c r="AE32" s="436">
        <v>12</v>
      </c>
      <c r="AF32" s="182">
        <v>2146.666666666667</v>
      </c>
      <c r="AG32" s="182">
        <v>178.88888888888891</v>
      </c>
      <c r="AH32" s="436">
        <f t="shared" si="19"/>
        <v>9</v>
      </c>
      <c r="AI32" s="605"/>
      <c r="AJ32" s="436">
        <v>12</v>
      </c>
      <c r="AK32" s="182">
        <v>2122.3255813953483</v>
      </c>
      <c r="AL32" s="182">
        <v>176.86046511627902</v>
      </c>
      <c r="AM32" s="436">
        <f t="shared" si="20"/>
        <v>9</v>
      </c>
      <c r="AN32" s="605"/>
      <c r="AO32" s="436">
        <v>12</v>
      </c>
      <c r="AP32" s="182">
        <v>2176.8000000000002</v>
      </c>
      <c r="AQ32" s="182">
        <v>181.4</v>
      </c>
      <c r="AR32" s="436"/>
      <c r="AS32" s="605"/>
      <c r="AT32" s="436">
        <v>12</v>
      </c>
      <c r="AU32" s="182">
        <v>2155.151515151515</v>
      </c>
      <c r="AV32" s="182">
        <v>179.59595959595958</v>
      </c>
      <c r="AW32" s="436"/>
      <c r="AX32" s="605"/>
    </row>
    <row r="33" spans="2:50">
      <c r="B33" s="572"/>
      <c r="C33" s="436">
        <v>7</v>
      </c>
      <c r="D33" s="226" t="s">
        <v>405</v>
      </c>
      <c r="E33" s="182">
        <v>11</v>
      </c>
      <c r="F33" s="436">
        <v>2118</v>
      </c>
      <c r="G33" s="437">
        <v>192.5</v>
      </c>
      <c r="H33" s="609"/>
      <c r="I33" s="446">
        <f t="shared" si="15"/>
        <v>11</v>
      </c>
      <c r="J33" s="446">
        <f t="shared" si="15"/>
        <v>2138.949081384058</v>
      </c>
      <c r="K33" s="438">
        <f t="shared" si="15"/>
        <v>194.44991648945984</v>
      </c>
      <c r="L33" s="541"/>
      <c r="M33" s="445">
        <f>RANK(K33, K$27:$K$41)</f>
        <v>8</v>
      </c>
      <c r="N33" s="559"/>
      <c r="O33" s="559"/>
      <c r="P33" s="436">
        <v>11</v>
      </c>
      <c r="Q33" s="182">
        <v>2156.1230769230765</v>
      </c>
      <c r="R33" s="182">
        <v>196.01118881118876</v>
      </c>
      <c r="S33" s="436">
        <f t="shared" si="16"/>
        <v>8</v>
      </c>
      <c r="T33" s="605"/>
      <c r="U33" s="436">
        <v>11</v>
      </c>
      <c r="V33" s="182">
        <v>2106.7200000000007</v>
      </c>
      <c r="W33" s="182">
        <v>191.52000000000007</v>
      </c>
      <c r="X33" s="436">
        <f t="shared" si="17"/>
        <v>8</v>
      </c>
      <c r="Y33" s="605"/>
      <c r="Z33" s="436">
        <v>11</v>
      </c>
      <c r="AA33" s="182">
        <v>2167.2857142857138</v>
      </c>
      <c r="AB33" s="182">
        <v>197.02597402597397</v>
      </c>
      <c r="AC33" s="436">
        <f t="shared" si="18"/>
        <v>8</v>
      </c>
      <c r="AD33" s="605"/>
      <c r="AE33" s="436">
        <v>11</v>
      </c>
      <c r="AF33" s="182">
        <v>2175.5769230769242</v>
      </c>
      <c r="AG33" s="182">
        <v>197.77972027972038</v>
      </c>
      <c r="AH33" s="436">
        <f t="shared" si="19"/>
        <v>8</v>
      </c>
      <c r="AI33" s="605"/>
      <c r="AJ33" s="436">
        <v>11</v>
      </c>
      <c r="AK33" s="182">
        <v>2142.1682242990651</v>
      </c>
      <c r="AL33" s="182">
        <v>194.74256584536954</v>
      </c>
      <c r="AM33" s="436">
        <f t="shared" si="20"/>
        <v>8</v>
      </c>
      <c r="AN33" s="605"/>
      <c r="AO33" s="436">
        <v>11</v>
      </c>
      <c r="AP33" s="182">
        <v>2124.258992805755</v>
      </c>
      <c r="AQ33" s="182">
        <v>193.11445389143228</v>
      </c>
      <c r="AR33" s="436"/>
      <c r="AS33" s="605"/>
      <c r="AT33" s="436">
        <v>11</v>
      </c>
      <c r="AU33" s="182">
        <v>2100.5106382978729</v>
      </c>
      <c r="AV33" s="182">
        <v>190.95551257253391</v>
      </c>
      <c r="AW33" s="436"/>
      <c r="AX33" s="605"/>
    </row>
    <row r="34" spans="2:50">
      <c r="B34" s="572"/>
      <c r="C34" s="436">
        <v>8</v>
      </c>
      <c r="D34" s="226" t="s">
        <v>399</v>
      </c>
      <c r="E34" s="182">
        <v>18</v>
      </c>
      <c r="F34" s="436">
        <v>1250</v>
      </c>
      <c r="G34" s="437">
        <v>69.444444444444443</v>
      </c>
      <c r="H34" s="609"/>
      <c r="I34" s="446">
        <f t="shared" si="15"/>
        <v>13.285714285714286</v>
      </c>
      <c r="J34" s="446">
        <f t="shared" si="15"/>
        <v>1247.8483740864772</v>
      </c>
      <c r="K34" s="438">
        <f t="shared" si="15"/>
        <v>94.065639616170373</v>
      </c>
      <c r="L34" s="541"/>
      <c r="M34" s="445">
        <f>RANK(K34, K$27:$K$41)</f>
        <v>12</v>
      </c>
      <c r="N34" s="559"/>
      <c r="O34" s="559"/>
      <c r="P34" s="436">
        <v>14</v>
      </c>
      <c r="Q34" s="182">
        <v>1231.2000000000005</v>
      </c>
      <c r="R34" s="182">
        <v>87.942857142857179</v>
      </c>
      <c r="S34" s="436">
        <f t="shared" si="16"/>
        <v>12</v>
      </c>
      <c r="T34" s="605"/>
      <c r="U34" s="436">
        <v>13</v>
      </c>
      <c r="V34" s="182">
        <v>1233.3333333333335</v>
      </c>
      <c r="W34" s="182">
        <v>94.87179487179489</v>
      </c>
      <c r="X34" s="436">
        <f t="shared" si="17"/>
        <v>12</v>
      </c>
      <c r="Y34" s="605"/>
      <c r="Z34" s="436">
        <v>14</v>
      </c>
      <c r="AA34" s="182">
        <v>1218.3157894736844</v>
      </c>
      <c r="AB34" s="182">
        <v>87.022556390977456</v>
      </c>
      <c r="AC34" s="436">
        <f t="shared" si="18"/>
        <v>12</v>
      </c>
      <c r="AD34" s="605"/>
      <c r="AE34" s="436">
        <v>13</v>
      </c>
      <c r="AF34" s="182">
        <v>1273.6000000000004</v>
      </c>
      <c r="AG34" s="182">
        <v>97.969230769230791</v>
      </c>
      <c r="AH34" s="436">
        <f t="shared" si="19"/>
        <v>12</v>
      </c>
      <c r="AI34" s="605"/>
      <c r="AJ34" s="436">
        <v>13</v>
      </c>
      <c r="AK34" s="182">
        <v>1245.7500000000007</v>
      </c>
      <c r="AL34" s="182">
        <v>95.826923076923123</v>
      </c>
      <c r="AM34" s="436">
        <f t="shared" si="20"/>
        <v>12</v>
      </c>
      <c r="AN34" s="605"/>
      <c r="AO34" s="436">
        <v>13</v>
      </c>
      <c r="AP34" s="182">
        <v>1262.8571428571431</v>
      </c>
      <c r="AQ34" s="182">
        <v>97.142857142857167</v>
      </c>
      <c r="AR34" s="436"/>
      <c r="AS34" s="605"/>
      <c r="AT34" s="436">
        <v>13</v>
      </c>
      <c r="AU34" s="182">
        <v>1269.8823529411773</v>
      </c>
      <c r="AV34" s="182">
        <v>97.683257918552101</v>
      </c>
      <c r="AW34" s="436"/>
      <c r="AX34" s="605"/>
    </row>
    <row r="35" spans="2:50">
      <c r="B35" s="572"/>
      <c r="C35" s="436">
        <v>9</v>
      </c>
      <c r="D35" s="226" t="s">
        <v>600</v>
      </c>
      <c r="E35" s="182">
        <v>6</v>
      </c>
      <c r="F35" s="436">
        <v>2000</v>
      </c>
      <c r="G35" s="437">
        <v>333.33333333333331</v>
      </c>
      <c r="H35" s="609"/>
      <c r="I35" s="446">
        <f t="shared" si="15"/>
        <v>6.8571428571428568</v>
      </c>
      <c r="J35" s="446">
        <f t="shared" si="15"/>
        <v>2070.2426013883801</v>
      </c>
      <c r="K35" s="438">
        <f t="shared" si="15"/>
        <v>302.81194216817141</v>
      </c>
      <c r="L35" s="541"/>
      <c r="M35" s="445">
        <f>RANK(K35, K$27:$K$41)</f>
        <v>5</v>
      </c>
      <c r="N35" s="559"/>
      <c r="O35" s="559"/>
      <c r="P35" s="436">
        <v>7</v>
      </c>
      <c r="Q35" s="182">
        <v>2093.9999999999991</v>
      </c>
      <c r="R35" s="182">
        <v>299.142857142857</v>
      </c>
      <c r="S35" s="436">
        <f t="shared" si="16"/>
        <v>5</v>
      </c>
      <c r="T35" s="605"/>
      <c r="U35" s="436">
        <v>7</v>
      </c>
      <c r="V35" s="182">
        <v>2130</v>
      </c>
      <c r="W35" s="182">
        <v>304.28571428571428</v>
      </c>
      <c r="X35" s="436">
        <f t="shared" si="17"/>
        <v>5</v>
      </c>
      <c r="Y35" s="605"/>
      <c r="Z35" s="436">
        <v>7</v>
      </c>
      <c r="AA35" s="182">
        <v>2154.2857142857133</v>
      </c>
      <c r="AB35" s="182">
        <v>307.75510204081621</v>
      </c>
      <c r="AC35" s="436">
        <f t="shared" si="18"/>
        <v>5</v>
      </c>
      <c r="AD35" s="605"/>
      <c r="AE35" s="436">
        <v>7</v>
      </c>
      <c r="AF35" s="182">
        <v>1829.9999999999959</v>
      </c>
      <c r="AG35" s="182">
        <v>261.42857142857082</v>
      </c>
      <c r="AH35" s="436">
        <f t="shared" si="19"/>
        <v>5</v>
      </c>
      <c r="AI35" s="605"/>
      <c r="AJ35" s="436">
        <v>7</v>
      </c>
      <c r="AK35" s="182">
        <v>2085.7142857142853</v>
      </c>
      <c r="AL35" s="182">
        <v>297.95918367346934</v>
      </c>
      <c r="AM35" s="436">
        <f t="shared" si="20"/>
        <v>5</v>
      </c>
      <c r="AN35" s="605"/>
      <c r="AO35" s="436">
        <v>7</v>
      </c>
      <c r="AP35" s="182">
        <v>2121.1764705882329</v>
      </c>
      <c r="AQ35" s="182">
        <v>303.02521008403329</v>
      </c>
      <c r="AR35" s="436"/>
      <c r="AS35" s="605"/>
      <c r="AT35" s="436">
        <v>6</v>
      </c>
      <c r="AU35" s="182">
        <v>2076.521739130435</v>
      </c>
      <c r="AV35" s="182">
        <v>346.08695652173918</v>
      </c>
      <c r="AW35" s="436"/>
      <c r="AX35" s="605"/>
    </row>
    <row r="36" spans="2:50">
      <c r="B36" s="572"/>
      <c r="C36" s="436">
        <v>10</v>
      </c>
      <c r="D36" s="226" t="s">
        <v>617</v>
      </c>
      <c r="E36" s="182">
        <v>4</v>
      </c>
      <c r="F36" s="436">
        <v>2000</v>
      </c>
      <c r="G36" s="437">
        <v>500</v>
      </c>
      <c r="H36" s="609"/>
      <c r="I36" s="446">
        <f t="shared" si="15"/>
        <v>4.8571428571428568</v>
      </c>
      <c r="J36" s="446">
        <f t="shared" si="15"/>
        <v>1780.7773109243669</v>
      </c>
      <c r="K36" s="438">
        <f t="shared" si="15"/>
        <v>368.93224789915905</v>
      </c>
      <c r="L36" s="541"/>
      <c r="M36" s="445">
        <f>RANK(K36, K$27:$K$41)</f>
        <v>4</v>
      </c>
      <c r="N36" s="559"/>
      <c r="O36" s="559"/>
      <c r="P36" s="436">
        <v>5</v>
      </c>
      <c r="Q36" s="182">
        <v>1788.7499999999977</v>
      </c>
      <c r="R36" s="182">
        <v>357.74999999999955</v>
      </c>
      <c r="S36" s="436">
        <f t="shared" si="16"/>
        <v>4</v>
      </c>
      <c r="T36" s="605"/>
      <c r="U36" s="436">
        <v>5</v>
      </c>
      <c r="V36" s="182">
        <v>1792.941176470586</v>
      </c>
      <c r="W36" s="182">
        <v>358.58823529411723</v>
      </c>
      <c r="X36" s="436">
        <f t="shared" si="17"/>
        <v>4</v>
      </c>
      <c r="Y36" s="605"/>
      <c r="Z36" s="436">
        <v>5</v>
      </c>
      <c r="AA36" s="182">
        <v>1796.2499999999977</v>
      </c>
      <c r="AB36" s="182">
        <v>359.24999999999955</v>
      </c>
      <c r="AC36" s="436">
        <f t="shared" si="18"/>
        <v>4</v>
      </c>
      <c r="AD36" s="605"/>
      <c r="AE36" s="436">
        <v>5</v>
      </c>
      <c r="AF36" s="182">
        <v>1744.6153846153802</v>
      </c>
      <c r="AG36" s="182">
        <v>348.92307692307605</v>
      </c>
      <c r="AH36" s="436">
        <f t="shared" si="19"/>
        <v>4</v>
      </c>
      <c r="AI36" s="605"/>
      <c r="AJ36" s="436">
        <v>5</v>
      </c>
      <c r="AK36" s="182">
        <v>1818.7499999999977</v>
      </c>
      <c r="AL36" s="182">
        <v>363.74999999999955</v>
      </c>
      <c r="AM36" s="436">
        <f t="shared" si="20"/>
        <v>4</v>
      </c>
      <c r="AN36" s="605"/>
      <c r="AO36" s="436">
        <v>5</v>
      </c>
      <c r="AP36" s="182">
        <v>1735.3846153846109</v>
      </c>
      <c r="AQ36" s="182">
        <v>347.07692307692218</v>
      </c>
      <c r="AR36" s="436"/>
      <c r="AS36" s="605"/>
      <c r="AT36" s="436">
        <v>4</v>
      </c>
      <c r="AU36" s="182">
        <v>1788.7499999999977</v>
      </c>
      <c r="AV36" s="182">
        <v>447.18749999999943</v>
      </c>
      <c r="AW36" s="436"/>
      <c r="AX36" s="605"/>
    </row>
    <row r="37" spans="2:50">
      <c r="B37" s="572"/>
      <c r="C37" s="436">
        <v>11</v>
      </c>
      <c r="D37" s="226" t="s">
        <v>632</v>
      </c>
      <c r="E37" s="182">
        <v>11</v>
      </c>
      <c r="F37" s="436">
        <v>2250</v>
      </c>
      <c r="G37" s="437">
        <v>192.5</v>
      </c>
      <c r="H37" s="609"/>
      <c r="I37" s="446">
        <f t="shared" si="15"/>
        <v>11</v>
      </c>
      <c r="J37" s="446">
        <f t="shared" si="15"/>
        <v>2203.355362040063</v>
      </c>
      <c r="K37" s="438">
        <f t="shared" si="15"/>
        <v>200.305032912733</v>
      </c>
      <c r="L37" s="541"/>
      <c r="M37" s="445">
        <f>RANK(K37, K$27:$K$41)</f>
        <v>7</v>
      </c>
      <c r="N37" s="559"/>
      <c r="O37" s="559"/>
      <c r="P37" s="436">
        <v>11</v>
      </c>
      <c r="Q37" s="182">
        <v>2191.9626168224295</v>
      </c>
      <c r="R37" s="182">
        <v>199.26932880203904</v>
      </c>
      <c r="S37" s="436">
        <f t="shared" si="16"/>
        <v>7</v>
      </c>
      <c r="T37" s="605"/>
      <c r="U37" s="436">
        <v>11</v>
      </c>
      <c r="V37" s="182">
        <v>2203.8709677419356</v>
      </c>
      <c r="W37" s="182">
        <v>200.35190615835779</v>
      </c>
      <c r="X37" s="436">
        <f t="shared" si="17"/>
        <v>7</v>
      </c>
      <c r="Y37" s="605"/>
      <c r="Z37" s="436">
        <v>11</v>
      </c>
      <c r="AA37" s="182">
        <v>2194.9450549450548</v>
      </c>
      <c r="AB37" s="182">
        <v>199.54045954045952</v>
      </c>
      <c r="AC37" s="436">
        <f t="shared" si="18"/>
        <v>7</v>
      </c>
      <c r="AD37" s="605"/>
      <c r="AE37" s="436">
        <v>11</v>
      </c>
      <c r="AF37" s="182">
        <v>2247.4468085106387</v>
      </c>
      <c r="AG37" s="182">
        <v>204.31334622823988</v>
      </c>
      <c r="AH37" s="436">
        <f t="shared" si="19"/>
        <v>6</v>
      </c>
      <c r="AI37" s="605"/>
      <c r="AJ37" s="436">
        <v>11</v>
      </c>
      <c r="AK37" s="182">
        <v>2226.7415730337079</v>
      </c>
      <c r="AL37" s="182">
        <v>202.43105209397345</v>
      </c>
      <c r="AM37" s="436">
        <f t="shared" si="20"/>
        <v>6</v>
      </c>
      <c r="AN37" s="605"/>
      <c r="AO37" s="436">
        <v>11</v>
      </c>
      <c r="AP37" s="182">
        <v>2167.118644067797</v>
      </c>
      <c r="AQ37" s="182">
        <v>197.01078582434519</v>
      </c>
      <c r="AR37" s="436"/>
      <c r="AS37" s="605"/>
      <c r="AT37" s="436">
        <v>11</v>
      </c>
      <c r="AU37" s="182">
        <v>2191.4018691588781</v>
      </c>
      <c r="AV37" s="182">
        <v>199.21835174171619</v>
      </c>
      <c r="AW37" s="436"/>
      <c r="AX37" s="605"/>
    </row>
    <row r="38" spans="2:50">
      <c r="B38" s="572"/>
      <c r="C38" s="436">
        <v>12</v>
      </c>
      <c r="D38" s="226" t="s">
        <v>785</v>
      </c>
      <c r="E38" s="182">
        <v>4</v>
      </c>
      <c r="F38" s="436">
        <v>2000</v>
      </c>
      <c r="G38" s="437">
        <v>500</v>
      </c>
      <c r="H38" s="609"/>
      <c r="I38" s="446">
        <f t="shared" si="15"/>
        <v>5</v>
      </c>
      <c r="J38" s="446">
        <f t="shared" si="15"/>
        <v>2044.8520022956088</v>
      </c>
      <c r="K38" s="438">
        <f t="shared" si="15"/>
        <v>408.97040045912172</v>
      </c>
      <c r="L38" s="541"/>
      <c r="M38" s="445">
        <f>RANK(K38, K$27:$K$41)</f>
        <v>3</v>
      </c>
      <c r="N38" s="559"/>
      <c r="O38" s="559"/>
      <c r="P38" s="436">
        <v>5</v>
      </c>
      <c r="Q38" s="182">
        <v>1999.9999999999964</v>
      </c>
      <c r="R38" s="182">
        <v>399.99999999999926</v>
      </c>
      <c r="S38" s="436">
        <f t="shared" si="16"/>
        <v>3</v>
      </c>
      <c r="T38" s="605"/>
      <c r="U38" s="436">
        <v>5</v>
      </c>
      <c r="V38" s="182">
        <v>1999.9999999999964</v>
      </c>
      <c r="W38" s="182">
        <v>399.99999999999926</v>
      </c>
      <c r="X38" s="436">
        <f t="shared" si="17"/>
        <v>3</v>
      </c>
      <c r="Y38" s="605"/>
      <c r="Z38" s="436">
        <v>5</v>
      </c>
      <c r="AA38" s="182">
        <v>1999.9999999999964</v>
      </c>
      <c r="AB38" s="182">
        <v>399.99999999999926</v>
      </c>
      <c r="AC38" s="436">
        <f t="shared" si="18"/>
        <v>3</v>
      </c>
      <c r="AD38" s="605"/>
      <c r="AE38" s="436">
        <v>5</v>
      </c>
      <c r="AF38" s="182">
        <v>1999.9999999999964</v>
      </c>
      <c r="AG38" s="182">
        <v>399.99999999999926</v>
      </c>
      <c r="AH38" s="436">
        <f t="shared" si="19"/>
        <v>3</v>
      </c>
      <c r="AI38" s="605"/>
      <c r="AJ38" s="436">
        <v>5</v>
      </c>
      <c r="AK38" s="182">
        <v>2088.131868131868</v>
      </c>
      <c r="AL38" s="182">
        <v>417.62637362637361</v>
      </c>
      <c r="AM38" s="436">
        <f t="shared" si="20"/>
        <v>3</v>
      </c>
      <c r="AN38" s="605"/>
      <c r="AO38" s="436">
        <v>5</v>
      </c>
      <c r="AP38" s="182">
        <v>2101.6216216216203</v>
      </c>
      <c r="AQ38" s="182">
        <v>420.32432432432404</v>
      </c>
      <c r="AR38" s="436"/>
      <c r="AS38" s="605"/>
      <c r="AT38" s="436">
        <v>5</v>
      </c>
      <c r="AU38" s="182">
        <v>2124.2105263157882</v>
      </c>
      <c r="AV38" s="182">
        <v>424.84210526315763</v>
      </c>
      <c r="AW38" s="436"/>
      <c r="AX38" s="605"/>
    </row>
    <row r="39" spans="2:50">
      <c r="B39" s="572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41"/>
      <c r="M39" s="445" t="e">
        <f>RANK(K39, K$27:$K$41)</f>
        <v>#N/A</v>
      </c>
      <c r="N39" s="559"/>
      <c r="O39" s="559"/>
      <c r="P39" s="436"/>
      <c r="Q39" s="182"/>
      <c r="R39" s="182"/>
      <c r="S39" s="436" t="e">
        <f t="shared" si="16"/>
        <v>#N/A</v>
      </c>
      <c r="T39" s="605"/>
      <c r="U39" s="436"/>
      <c r="V39" s="182"/>
      <c r="W39" s="182"/>
      <c r="X39" s="436" t="e">
        <f t="shared" si="17"/>
        <v>#N/A</v>
      </c>
      <c r="Y39" s="605"/>
      <c r="Z39" s="436"/>
      <c r="AA39" s="182"/>
      <c r="AB39" s="182"/>
      <c r="AC39" s="436" t="e">
        <f t="shared" si="18"/>
        <v>#N/A</v>
      </c>
      <c r="AD39" s="605"/>
      <c r="AE39" s="436"/>
      <c r="AF39" s="182"/>
      <c r="AG39" s="182"/>
      <c r="AH39" s="436" t="e">
        <f t="shared" si="19"/>
        <v>#N/A</v>
      </c>
      <c r="AI39" s="605"/>
      <c r="AJ39" s="436"/>
      <c r="AK39" s="182"/>
      <c r="AL39" s="182"/>
      <c r="AM39" s="436" t="e">
        <f t="shared" si="20"/>
        <v>#N/A</v>
      </c>
      <c r="AN39" s="605"/>
      <c r="AO39" s="436"/>
      <c r="AP39" s="182"/>
      <c r="AQ39" s="182"/>
      <c r="AR39" s="436"/>
      <c r="AS39" s="605"/>
      <c r="AT39" s="436"/>
      <c r="AU39" s="182"/>
      <c r="AV39" s="182"/>
      <c r="AW39" s="436"/>
      <c r="AX39" s="605"/>
    </row>
    <row r="40" spans="2:50">
      <c r="B40" s="572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41"/>
      <c r="M40" s="445" t="e">
        <f>RANK(K40, K$27:$K$41)</f>
        <v>#N/A</v>
      </c>
      <c r="N40" s="559"/>
      <c r="O40" s="559"/>
      <c r="P40" s="436"/>
      <c r="Q40" s="182"/>
      <c r="R40" s="182"/>
      <c r="S40" s="436" t="e">
        <f t="shared" si="16"/>
        <v>#N/A</v>
      </c>
      <c r="T40" s="605"/>
      <c r="U40" s="436"/>
      <c r="V40" s="182"/>
      <c r="W40" s="182"/>
      <c r="X40" s="436" t="e">
        <f t="shared" si="17"/>
        <v>#N/A</v>
      </c>
      <c r="Y40" s="605"/>
      <c r="Z40" s="436"/>
      <c r="AA40" s="182"/>
      <c r="AB40" s="182"/>
      <c r="AC40" s="436" t="e">
        <f t="shared" si="18"/>
        <v>#N/A</v>
      </c>
      <c r="AD40" s="605"/>
      <c r="AE40" s="436"/>
      <c r="AF40" s="182"/>
      <c r="AG40" s="182"/>
      <c r="AH40" s="436" t="e">
        <f t="shared" si="19"/>
        <v>#N/A</v>
      </c>
      <c r="AI40" s="605"/>
      <c r="AJ40" s="436"/>
      <c r="AK40" s="182"/>
      <c r="AL40" s="182"/>
      <c r="AM40" s="436" t="e">
        <f t="shared" si="20"/>
        <v>#N/A</v>
      </c>
      <c r="AN40" s="605"/>
      <c r="AO40" s="436"/>
      <c r="AP40" s="182"/>
      <c r="AQ40" s="182"/>
      <c r="AR40" s="436"/>
      <c r="AS40" s="605"/>
      <c r="AT40" s="436"/>
      <c r="AU40" s="182"/>
      <c r="AV40" s="182"/>
      <c r="AW40" s="436"/>
      <c r="AX40" s="605"/>
    </row>
    <row r="41" spans="2:50">
      <c r="B41" s="572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42"/>
      <c r="M41" s="446" t="e">
        <f>RANK(K41, K$27:$K$41)</f>
        <v>#N/A</v>
      </c>
      <c r="N41" s="559"/>
      <c r="O41" s="559"/>
      <c r="P41" s="436"/>
      <c r="Q41" s="182"/>
      <c r="R41" s="182"/>
      <c r="S41" s="436" t="e">
        <f t="shared" si="16"/>
        <v>#N/A</v>
      </c>
      <c r="T41" s="605"/>
      <c r="U41" s="436"/>
      <c r="V41" s="182"/>
      <c r="W41" s="182"/>
      <c r="X41" s="436"/>
      <c r="Y41" s="605"/>
      <c r="Z41" s="436"/>
      <c r="AA41" s="182"/>
      <c r="AB41" s="182"/>
      <c r="AC41" s="436"/>
      <c r="AD41" s="605"/>
      <c r="AE41" s="436"/>
      <c r="AF41" s="182"/>
      <c r="AG41" s="182"/>
      <c r="AH41" s="436"/>
      <c r="AI41" s="605"/>
      <c r="AJ41" s="436"/>
      <c r="AK41" s="182"/>
      <c r="AL41" s="182"/>
      <c r="AM41" s="436"/>
      <c r="AN41" s="605"/>
      <c r="AO41" s="436"/>
      <c r="AP41" s="182"/>
      <c r="AQ41" s="182"/>
      <c r="AR41" s="436"/>
      <c r="AS41" s="605"/>
      <c r="AT41" s="436"/>
      <c r="AU41" s="182"/>
      <c r="AV41" s="182"/>
      <c r="AW41" s="436"/>
      <c r="AX41" s="605"/>
    </row>
    <row r="42" spans="2:50" ht="15.75">
      <c r="B42" s="592" t="s">
        <v>731</v>
      </c>
      <c r="C42" s="593"/>
      <c r="D42" s="593"/>
      <c r="E42" s="593"/>
      <c r="F42" s="593"/>
      <c r="G42" s="593"/>
      <c r="H42" s="593"/>
      <c r="I42" s="208"/>
      <c r="J42" s="203"/>
      <c r="K42" s="208"/>
      <c r="L42" s="208"/>
      <c r="M42" s="204"/>
      <c r="N42" s="565" t="s">
        <v>732</v>
      </c>
      <c r="O42" s="565" t="s">
        <v>733</v>
      </c>
      <c r="P42" s="571">
        <f>P22+7</f>
        <v>14</v>
      </c>
      <c r="Q42" s="572"/>
      <c r="R42" s="572"/>
      <c r="S42" s="572"/>
      <c r="T42" s="572"/>
      <c r="U42" s="568">
        <f>P42+1</f>
        <v>15</v>
      </c>
      <c r="V42" s="569"/>
      <c r="W42" s="569"/>
      <c r="X42" s="569"/>
      <c r="Y42" s="570"/>
      <c r="Z42" s="568">
        <f>U42+1</f>
        <v>16</v>
      </c>
      <c r="AA42" s="569"/>
      <c r="AB42" s="569"/>
      <c r="AC42" s="569"/>
      <c r="AD42" s="570"/>
      <c r="AE42" s="568">
        <f>Z42+1</f>
        <v>17</v>
      </c>
      <c r="AF42" s="569"/>
      <c r="AG42" s="569"/>
      <c r="AH42" s="569"/>
      <c r="AI42" s="570"/>
      <c r="AJ42" s="568">
        <f>AE42+1</f>
        <v>18</v>
      </c>
      <c r="AK42" s="569"/>
      <c r="AL42" s="569"/>
      <c r="AM42" s="569"/>
      <c r="AN42" s="570"/>
      <c r="AO42" s="568">
        <f>AJ42+1</f>
        <v>19</v>
      </c>
      <c r="AP42" s="569"/>
      <c r="AQ42" s="569"/>
      <c r="AR42" s="569"/>
      <c r="AS42" s="570"/>
      <c r="AT42" s="568">
        <f>AO42+1</f>
        <v>20</v>
      </c>
      <c r="AU42" s="569"/>
      <c r="AV42" s="569"/>
      <c r="AW42" s="569"/>
      <c r="AX42" s="570"/>
    </row>
    <row r="43" spans="2:50" ht="15.75">
      <c r="B43" s="579"/>
      <c r="C43" s="579"/>
      <c r="D43" s="579"/>
      <c r="E43" s="579"/>
      <c r="F43" s="579"/>
      <c r="G43" s="579"/>
      <c r="H43" s="579"/>
      <c r="I43" s="205"/>
      <c r="J43" s="205"/>
      <c r="K43" s="205"/>
      <c r="L43" s="205"/>
      <c r="M43" s="206"/>
      <c r="N43" s="567"/>
      <c r="O43" s="567"/>
      <c r="P43" s="571" t="s">
        <v>734</v>
      </c>
      <c r="Q43" s="572"/>
      <c r="R43" s="572"/>
      <c r="S43" s="572"/>
      <c r="T43" s="572"/>
      <c r="U43" s="571" t="s">
        <v>735</v>
      </c>
      <c r="V43" s="572"/>
      <c r="W43" s="572"/>
      <c r="X43" s="572"/>
      <c r="Y43" s="572"/>
      <c r="Z43" s="571" t="s">
        <v>736</v>
      </c>
      <c r="AA43" s="572"/>
      <c r="AB43" s="572"/>
      <c r="AC43" s="572"/>
      <c r="AD43" s="572"/>
      <c r="AE43" s="571" t="s">
        <v>737</v>
      </c>
      <c r="AF43" s="572"/>
      <c r="AG43" s="572"/>
      <c r="AH43" s="572"/>
      <c r="AI43" s="572"/>
      <c r="AJ43" s="571" t="s">
        <v>738</v>
      </c>
      <c r="AK43" s="572"/>
      <c r="AL43" s="572"/>
      <c r="AM43" s="572"/>
      <c r="AN43" s="572"/>
      <c r="AO43" s="571" t="s">
        <v>739</v>
      </c>
      <c r="AP43" s="572"/>
      <c r="AQ43" s="572"/>
      <c r="AR43" s="572"/>
      <c r="AS43" s="572"/>
      <c r="AT43" s="571" t="s">
        <v>740</v>
      </c>
      <c r="AU43" s="572"/>
      <c r="AV43" s="572"/>
      <c r="AW43" s="572"/>
      <c r="AX43" s="572"/>
    </row>
    <row r="44" spans="2:50">
      <c r="B44" s="559" t="s">
        <v>741</v>
      </c>
      <c r="C44" s="559" t="s">
        <v>742</v>
      </c>
      <c r="D44" s="559"/>
      <c r="E44" s="559" t="s">
        <v>743</v>
      </c>
      <c r="F44" s="559"/>
      <c r="G44" s="559"/>
      <c r="H44" s="560" t="s">
        <v>744</v>
      </c>
      <c r="I44" s="543" t="s">
        <v>745</v>
      </c>
      <c r="J44" s="543"/>
      <c r="K44" s="543"/>
      <c r="L44" s="544" t="s">
        <v>744</v>
      </c>
      <c r="M44" s="550" t="s">
        <v>746</v>
      </c>
      <c r="N44" s="559"/>
      <c r="O44" s="559" t="s">
        <v>747</v>
      </c>
      <c r="P44" s="556" t="s">
        <v>748</v>
      </c>
      <c r="Q44" s="557"/>
      <c r="R44" s="557"/>
      <c r="S44" s="558"/>
      <c r="T44" s="559" t="s">
        <v>744</v>
      </c>
      <c r="U44" s="556" t="s">
        <v>748</v>
      </c>
      <c r="V44" s="557"/>
      <c r="W44" s="557"/>
      <c r="X44" s="558"/>
      <c r="Y44" s="559" t="s">
        <v>744</v>
      </c>
      <c r="Z44" s="556" t="s">
        <v>748</v>
      </c>
      <c r="AA44" s="557"/>
      <c r="AB44" s="557"/>
      <c r="AC44" s="558"/>
      <c r="AD44" s="559" t="s">
        <v>744</v>
      </c>
      <c r="AE44" s="556" t="s">
        <v>748</v>
      </c>
      <c r="AF44" s="557"/>
      <c r="AG44" s="557"/>
      <c r="AH44" s="558"/>
      <c r="AI44" s="559" t="s">
        <v>744</v>
      </c>
      <c r="AJ44" s="556" t="s">
        <v>748</v>
      </c>
      <c r="AK44" s="557"/>
      <c r="AL44" s="557"/>
      <c r="AM44" s="558"/>
      <c r="AN44" s="559" t="s">
        <v>744</v>
      </c>
      <c r="AO44" s="556" t="s">
        <v>748</v>
      </c>
      <c r="AP44" s="557"/>
      <c r="AQ44" s="557"/>
      <c r="AR44" s="558"/>
      <c r="AS44" s="559" t="s">
        <v>744</v>
      </c>
      <c r="AT44" s="556" t="s">
        <v>748</v>
      </c>
      <c r="AU44" s="557"/>
      <c r="AV44" s="557"/>
      <c r="AW44" s="558"/>
      <c r="AX44" s="559" t="s">
        <v>744</v>
      </c>
    </row>
    <row r="45" spans="2:50">
      <c r="B45" s="559"/>
      <c r="C45" s="559"/>
      <c r="D45" s="559"/>
      <c r="E45" s="559" t="s">
        <v>749</v>
      </c>
      <c r="F45" s="559"/>
      <c r="G45" s="559"/>
      <c r="H45" s="561"/>
      <c r="I45" s="543" t="s">
        <v>749</v>
      </c>
      <c r="J45" s="543"/>
      <c r="K45" s="543"/>
      <c r="L45" s="545"/>
      <c r="M45" s="551"/>
      <c r="N45" s="559"/>
      <c r="O45" s="559"/>
      <c r="P45" s="556" t="s">
        <v>750</v>
      </c>
      <c r="Q45" s="557"/>
      <c r="R45" s="557"/>
      <c r="S45" s="558"/>
      <c r="T45" s="559"/>
      <c r="U45" s="556" t="s">
        <v>750</v>
      </c>
      <c r="V45" s="557"/>
      <c r="W45" s="557"/>
      <c r="X45" s="558"/>
      <c r="Y45" s="559"/>
      <c r="Z45" s="556" t="s">
        <v>750</v>
      </c>
      <c r="AA45" s="557"/>
      <c r="AB45" s="557"/>
      <c r="AC45" s="558"/>
      <c r="AD45" s="559"/>
      <c r="AE45" s="556" t="s">
        <v>750</v>
      </c>
      <c r="AF45" s="557"/>
      <c r="AG45" s="557"/>
      <c r="AH45" s="558"/>
      <c r="AI45" s="559"/>
      <c r="AJ45" s="556" t="s">
        <v>750</v>
      </c>
      <c r="AK45" s="557"/>
      <c r="AL45" s="557"/>
      <c r="AM45" s="558"/>
      <c r="AN45" s="559"/>
      <c r="AO45" s="556" t="s">
        <v>750</v>
      </c>
      <c r="AP45" s="557"/>
      <c r="AQ45" s="557"/>
      <c r="AR45" s="558"/>
      <c r="AS45" s="559"/>
      <c r="AT45" s="556" t="s">
        <v>750</v>
      </c>
      <c r="AU45" s="557"/>
      <c r="AV45" s="557"/>
      <c r="AW45" s="558"/>
      <c r="AX45" s="559"/>
    </row>
    <row r="46" spans="2:50">
      <c r="B46" s="559"/>
      <c r="C46" s="559"/>
      <c r="D46" s="559"/>
      <c r="E46" s="440" t="s">
        <v>751</v>
      </c>
      <c r="F46" s="440" t="s">
        <v>752</v>
      </c>
      <c r="G46" s="440" t="s">
        <v>753</v>
      </c>
      <c r="H46" s="562"/>
      <c r="I46" s="444" t="s">
        <v>751</v>
      </c>
      <c r="J46" s="444" t="s">
        <v>752</v>
      </c>
      <c r="K46" s="444" t="s">
        <v>753</v>
      </c>
      <c r="L46" s="546"/>
      <c r="M46" s="552"/>
      <c r="N46" s="559"/>
      <c r="O46" s="559"/>
      <c r="P46" s="440" t="s">
        <v>751</v>
      </c>
      <c r="Q46" s="440" t="s">
        <v>752</v>
      </c>
      <c r="R46" s="440" t="s">
        <v>753</v>
      </c>
      <c r="S46" s="440" t="s">
        <v>746</v>
      </c>
      <c r="T46" s="559"/>
      <c r="U46" s="440" t="s">
        <v>751</v>
      </c>
      <c r="V46" s="440" t="s">
        <v>752</v>
      </c>
      <c r="W46" s="440" t="s">
        <v>753</v>
      </c>
      <c r="X46" s="440" t="s">
        <v>746</v>
      </c>
      <c r="Y46" s="559"/>
      <c r="Z46" s="440" t="s">
        <v>751</v>
      </c>
      <c r="AA46" s="440" t="s">
        <v>752</v>
      </c>
      <c r="AB46" s="440" t="s">
        <v>753</v>
      </c>
      <c r="AC46" s="440" t="s">
        <v>746</v>
      </c>
      <c r="AD46" s="559"/>
      <c r="AE46" s="440" t="s">
        <v>751</v>
      </c>
      <c r="AF46" s="440" t="s">
        <v>752</v>
      </c>
      <c r="AG46" s="440" t="s">
        <v>753</v>
      </c>
      <c r="AH46" s="440" t="s">
        <v>746</v>
      </c>
      <c r="AI46" s="559"/>
      <c r="AJ46" s="440" t="s">
        <v>751</v>
      </c>
      <c r="AK46" s="440" t="s">
        <v>752</v>
      </c>
      <c r="AL46" s="440" t="s">
        <v>753</v>
      </c>
      <c r="AM46" s="440" t="s">
        <v>746</v>
      </c>
      <c r="AN46" s="559"/>
      <c r="AO46" s="440" t="s">
        <v>751</v>
      </c>
      <c r="AP46" s="440" t="s">
        <v>752</v>
      </c>
      <c r="AQ46" s="440" t="s">
        <v>753</v>
      </c>
      <c r="AR46" s="440" t="s">
        <v>746</v>
      </c>
      <c r="AS46" s="559"/>
      <c r="AT46" s="440" t="s">
        <v>751</v>
      </c>
      <c r="AU46" s="440" t="s">
        <v>752</v>
      </c>
      <c r="AV46" s="440" t="s">
        <v>753</v>
      </c>
      <c r="AW46" s="440" t="s">
        <v>746</v>
      </c>
      <c r="AX46" s="559"/>
    </row>
    <row r="47" spans="2:50">
      <c r="B47" s="607" t="s">
        <v>784</v>
      </c>
      <c r="C47" s="436">
        <v>1</v>
      </c>
      <c r="D47" s="226" t="s">
        <v>400</v>
      </c>
      <c r="E47" s="182">
        <v>4</v>
      </c>
      <c r="F47" s="436">
        <v>2000</v>
      </c>
      <c r="G47" s="437">
        <v>500</v>
      </c>
      <c r="H47" s="608">
        <f>AVERAGE(G47:G61)</f>
        <v>291.1648148148148</v>
      </c>
      <c r="I47" s="446">
        <f>AVERAGE(P47,U47,Z47,AE47,AJ47,AO47,AT47)</f>
        <v>5</v>
      </c>
      <c r="J47" s="446">
        <f>AVERAGE(Q47,V47,AA47,AF47,AK47,AP47,AU47)</f>
        <v>2087.826317039327</v>
      </c>
      <c r="K47" s="438">
        <f>AVERAGE(R47,W47,AB47,AG47,AL47,AQ47,AV47)</f>
        <v>417.56526340786547</v>
      </c>
      <c r="L47" s="540">
        <f>IFERROR(AVERAGE(K47:K61),"-")</f>
        <v>253.37110103454836</v>
      </c>
      <c r="M47" s="445">
        <f>RANK(K47, K$47:$K$61)</f>
        <v>1</v>
      </c>
      <c r="N47" s="559"/>
      <c r="O47" s="559"/>
      <c r="P47" s="436">
        <v>5</v>
      </c>
      <c r="Q47" s="182">
        <v>2109.565217391304</v>
      </c>
      <c r="R47" s="182">
        <v>421.91304347826082</v>
      </c>
      <c r="S47" s="436">
        <f>RANK(R47, R$47:R$61)</f>
        <v>2</v>
      </c>
      <c r="T47" s="605">
        <f>AVERAGE(R47:R61)</f>
        <v>260.68487399675661</v>
      </c>
      <c r="U47" s="436">
        <v>5</v>
      </c>
      <c r="V47" s="182">
        <v>2045.2941176470588</v>
      </c>
      <c r="W47" s="182">
        <v>409.05882352941177</v>
      </c>
      <c r="X47" s="436">
        <f>RANK(W47, W$47:W$61)</f>
        <v>3</v>
      </c>
      <c r="Y47" s="605">
        <f>AVERAGE(W47:W61)</f>
        <v>253.26121377642892</v>
      </c>
      <c r="Z47" s="436">
        <v>5</v>
      </c>
      <c r="AA47" s="182">
        <v>2083.1249999999995</v>
      </c>
      <c r="AB47" s="182">
        <v>416.62499999999989</v>
      </c>
      <c r="AC47" s="436">
        <f>RANK(AB47, AB$47:AB$61)</f>
        <v>1</v>
      </c>
      <c r="AD47" s="605">
        <f>AVERAGE(AB47:AB61)</f>
        <v>253.94433124217801</v>
      </c>
      <c r="AE47" s="436">
        <v>5</v>
      </c>
      <c r="AF47" s="182">
        <v>2091.599999999999</v>
      </c>
      <c r="AG47" s="182">
        <v>418.31999999999982</v>
      </c>
      <c r="AH47" s="436">
        <f>RANK(AG47, AG$47:AG$61)</f>
        <v>1</v>
      </c>
      <c r="AI47" s="605">
        <f>AVERAGE(AG47:AG61)</f>
        <v>249.97703454167092</v>
      </c>
      <c r="AJ47" s="436">
        <v>5</v>
      </c>
      <c r="AK47" s="182">
        <v>2057.0000000000005</v>
      </c>
      <c r="AL47" s="182">
        <v>411.40000000000009</v>
      </c>
      <c r="AM47" s="436">
        <f>RANK(AL47, AL$47:AL$61)</f>
        <v>3</v>
      </c>
      <c r="AN47" s="605">
        <f>AVERAGE(AL47:AL61)</f>
        <v>251.20224956113222</v>
      </c>
      <c r="AO47" s="436">
        <v>5</v>
      </c>
      <c r="AP47" s="182">
        <v>2118.9041095890407</v>
      </c>
      <c r="AQ47" s="182">
        <v>423.78082191780811</v>
      </c>
      <c r="AR47" s="436">
        <f>RANK(AQ47, AQ$47:AQ$61)</f>
        <v>1</v>
      </c>
      <c r="AS47" s="605">
        <f>AVERAGE(AQ47:AQ61)</f>
        <v>252.91300480492211</v>
      </c>
      <c r="AT47" s="436">
        <v>5</v>
      </c>
      <c r="AU47" s="182">
        <v>2109.2957746478878</v>
      </c>
      <c r="AV47" s="182">
        <v>421.85915492957758</v>
      </c>
      <c r="AW47" s="436">
        <f>RANK(AV47, AV$47:AV$61)</f>
        <v>1</v>
      </c>
      <c r="AX47" s="605">
        <f>AVERAGE(AV47:AV61)</f>
        <v>251.61499931874957</v>
      </c>
    </row>
    <row r="48" spans="2:50">
      <c r="B48" s="572"/>
      <c r="C48" s="436">
        <v>2</v>
      </c>
      <c r="D48" s="226" t="s">
        <v>452</v>
      </c>
      <c r="E48" s="182">
        <v>4</v>
      </c>
      <c r="F48" s="436">
        <v>2000</v>
      </c>
      <c r="G48" s="437">
        <v>500</v>
      </c>
      <c r="H48" s="609"/>
      <c r="I48" s="446">
        <f t="shared" ref="I48:K58" si="21">AVERAGE(P48,U48,Z48,AE48,AJ48,AO48,AT48)</f>
        <v>5</v>
      </c>
      <c r="J48" s="446">
        <f t="shared" si="21"/>
        <v>2077.2763199497058</v>
      </c>
      <c r="K48" s="438">
        <f t="shared" si="21"/>
        <v>415.45526398994116</v>
      </c>
      <c r="L48" s="541"/>
      <c r="M48" s="445">
        <f>RANK(K48, K$47:$K$61)</f>
        <v>3</v>
      </c>
      <c r="N48" s="559"/>
      <c r="O48" s="559"/>
      <c r="P48" s="436">
        <v>5</v>
      </c>
      <c r="Q48" s="182">
        <v>2100.0000000000009</v>
      </c>
      <c r="R48" s="182">
        <v>420.00000000000017</v>
      </c>
      <c r="S48" s="436">
        <f t="shared" ref="S48:S61" si="22">RANK(R48, R$47:R$61)</f>
        <v>3</v>
      </c>
      <c r="T48" s="605"/>
      <c r="U48" s="436">
        <v>5</v>
      </c>
      <c r="V48" s="182">
        <v>2094.0000000000005</v>
      </c>
      <c r="W48" s="182">
        <v>418.80000000000007</v>
      </c>
      <c r="X48" s="436">
        <f t="shared" ref="X48:X61" si="23">RANK(W48, W$47:W$61)</f>
        <v>1</v>
      </c>
      <c r="Y48" s="605"/>
      <c r="Z48" s="436">
        <v>5</v>
      </c>
      <c r="AA48" s="182">
        <v>2054.7540983606559</v>
      </c>
      <c r="AB48" s="182">
        <v>410.95081967213116</v>
      </c>
      <c r="AC48" s="436">
        <f t="shared" ref="AC48:AC61" si="24">RANK(AB48, AB$47:AB$61)</f>
        <v>3</v>
      </c>
      <c r="AD48" s="605"/>
      <c r="AE48" s="436">
        <v>5</v>
      </c>
      <c r="AF48" s="182">
        <v>2071.836734693878</v>
      </c>
      <c r="AG48" s="182">
        <v>414.3673469387756</v>
      </c>
      <c r="AH48" s="436">
        <f t="shared" ref="AH48:AH61" si="25">RANK(AG48, AG$47:AG$61)</f>
        <v>2</v>
      </c>
      <c r="AI48" s="605"/>
      <c r="AJ48" s="436">
        <v>5</v>
      </c>
      <c r="AK48" s="182">
        <v>2081.7857142857129</v>
      </c>
      <c r="AL48" s="182">
        <v>416.35714285714255</v>
      </c>
      <c r="AM48" s="436">
        <f t="shared" ref="AM48:AM61" si="26">RANK(AL48, AL$47:AL$61)</f>
        <v>2</v>
      </c>
      <c r="AN48" s="605"/>
      <c r="AO48" s="436">
        <v>5</v>
      </c>
      <c r="AP48" s="182">
        <v>2072.3076923076919</v>
      </c>
      <c r="AQ48" s="182">
        <v>414.4615384615384</v>
      </c>
      <c r="AR48" s="436">
        <f t="shared" ref="AR48:AR61" si="27">RANK(AQ48, AQ$47:AQ$61)</f>
        <v>3</v>
      </c>
      <c r="AS48" s="605"/>
      <c r="AT48" s="436">
        <v>5</v>
      </c>
      <c r="AU48" s="182">
        <v>2066.2500000000009</v>
      </c>
      <c r="AV48" s="182">
        <v>413.25000000000017</v>
      </c>
      <c r="AW48" s="436">
        <f t="shared" ref="AW48:AW61" si="28">RANK(AV48, AV$47:AV$61)</f>
        <v>3</v>
      </c>
      <c r="AX48" s="605"/>
    </row>
    <row r="49" spans="2:50">
      <c r="B49" s="572"/>
      <c r="C49" s="436">
        <v>3</v>
      </c>
      <c r="D49" s="226" t="s">
        <v>401</v>
      </c>
      <c r="E49" s="182">
        <v>14</v>
      </c>
      <c r="F49" s="436">
        <v>2118</v>
      </c>
      <c r="G49" s="437">
        <v>151.30000000000001</v>
      </c>
      <c r="H49" s="609"/>
      <c r="I49" s="446">
        <f t="shared" si="21"/>
        <v>14</v>
      </c>
      <c r="J49" s="446">
        <f t="shared" si="21"/>
        <v>2108.4214783277057</v>
      </c>
      <c r="K49" s="438">
        <f t="shared" si="21"/>
        <v>150.60153416626468</v>
      </c>
      <c r="L49" s="541"/>
      <c r="M49" s="445">
        <f>RANK(K49, K$47:$K$61)</f>
        <v>11</v>
      </c>
      <c r="N49" s="559"/>
      <c r="O49" s="559"/>
      <c r="P49" s="436">
        <v>14</v>
      </c>
      <c r="Q49" s="182">
        <v>2173.584905660377</v>
      </c>
      <c r="R49" s="182">
        <v>155.25606469002693</v>
      </c>
      <c r="S49" s="436">
        <f t="shared" si="22"/>
        <v>11</v>
      </c>
      <c r="T49" s="605"/>
      <c r="U49" s="436">
        <v>14</v>
      </c>
      <c r="V49" s="182">
        <v>2087.5471698113201</v>
      </c>
      <c r="W49" s="182">
        <v>149.11051212938</v>
      </c>
      <c r="X49" s="436">
        <f t="shared" si="23"/>
        <v>11</v>
      </c>
      <c r="Y49" s="605"/>
      <c r="Z49" s="436">
        <v>14</v>
      </c>
      <c r="AA49" s="182">
        <v>2122.6415094339618</v>
      </c>
      <c r="AB49" s="182">
        <v>151.61725067385441</v>
      </c>
      <c r="AC49" s="436">
        <f t="shared" si="24"/>
        <v>11</v>
      </c>
      <c r="AD49" s="605"/>
      <c r="AE49" s="436">
        <v>14</v>
      </c>
      <c r="AF49" s="182">
        <v>2114.6341463414628</v>
      </c>
      <c r="AG49" s="182">
        <v>151.04529616724736</v>
      </c>
      <c r="AH49" s="436">
        <f t="shared" si="25"/>
        <v>11</v>
      </c>
      <c r="AI49" s="605"/>
      <c r="AJ49" s="436">
        <v>14</v>
      </c>
      <c r="AK49" s="182">
        <v>2131.836734693878</v>
      </c>
      <c r="AL49" s="182">
        <v>152.27405247813414</v>
      </c>
      <c r="AM49" s="436">
        <f t="shared" si="26"/>
        <v>11</v>
      </c>
      <c r="AN49" s="605"/>
      <c r="AO49" s="436">
        <v>14</v>
      </c>
      <c r="AP49" s="182">
        <v>2144.7058823529401</v>
      </c>
      <c r="AQ49" s="182">
        <v>153.19327731092429</v>
      </c>
      <c r="AR49" s="436">
        <f t="shared" si="27"/>
        <v>11</v>
      </c>
      <c r="AS49" s="605"/>
      <c r="AT49" s="436">
        <v>14</v>
      </c>
      <c r="AU49" s="182">
        <v>1984.0000000000007</v>
      </c>
      <c r="AV49" s="182">
        <v>141.71428571428575</v>
      </c>
      <c r="AW49" s="436">
        <f t="shared" si="28"/>
        <v>11</v>
      </c>
      <c r="AX49" s="605"/>
    </row>
    <row r="50" spans="2:50">
      <c r="B50" s="572"/>
      <c r="C50" s="436">
        <v>4</v>
      </c>
      <c r="D50" s="226" t="s">
        <v>402</v>
      </c>
      <c r="E50" s="182">
        <v>13</v>
      </c>
      <c r="F50" s="436">
        <v>2118</v>
      </c>
      <c r="G50" s="437">
        <v>162.9</v>
      </c>
      <c r="H50" s="609"/>
      <c r="I50" s="446">
        <f t="shared" si="21"/>
        <v>13</v>
      </c>
      <c r="J50" s="446">
        <f t="shared" si="21"/>
        <v>2118.4883426370857</v>
      </c>
      <c r="K50" s="438">
        <f t="shared" si="21"/>
        <v>162.9606417413143</v>
      </c>
      <c r="L50" s="541"/>
      <c r="M50" s="445">
        <f>RANK(K50, K$47:$K$61)</f>
        <v>10</v>
      </c>
      <c r="N50" s="559"/>
      <c r="O50" s="559"/>
      <c r="P50" s="436">
        <v>13</v>
      </c>
      <c r="Q50" s="182">
        <v>2143.1250000000009</v>
      </c>
      <c r="R50" s="182">
        <v>164.85576923076931</v>
      </c>
      <c r="S50" s="436">
        <f t="shared" si="22"/>
        <v>10</v>
      </c>
      <c r="T50" s="605"/>
      <c r="U50" s="436">
        <v>13</v>
      </c>
      <c r="V50" s="182">
        <v>2149.354838709678</v>
      </c>
      <c r="W50" s="182">
        <v>165.33498759305215</v>
      </c>
      <c r="X50" s="436">
        <f t="shared" si="23"/>
        <v>10</v>
      </c>
      <c r="Y50" s="605"/>
      <c r="Z50" s="436">
        <v>13</v>
      </c>
      <c r="AA50" s="182">
        <v>2138.0000000000005</v>
      </c>
      <c r="AB50" s="182">
        <v>164.46153846153851</v>
      </c>
      <c r="AC50" s="436">
        <f t="shared" si="24"/>
        <v>10</v>
      </c>
      <c r="AD50" s="605"/>
      <c r="AE50" s="436">
        <v>13</v>
      </c>
      <c r="AF50" s="182">
        <v>2129.4117647058833</v>
      </c>
      <c r="AG50" s="182">
        <v>163.80090497737564</v>
      </c>
      <c r="AH50" s="436">
        <f t="shared" si="25"/>
        <v>10</v>
      </c>
      <c r="AI50" s="605"/>
      <c r="AJ50" s="436">
        <v>13</v>
      </c>
      <c r="AK50" s="182">
        <v>2139.3103448275865</v>
      </c>
      <c r="AL50" s="182">
        <v>164.56233421750665</v>
      </c>
      <c r="AM50" s="436">
        <f t="shared" si="26"/>
        <v>10</v>
      </c>
      <c r="AN50" s="605"/>
      <c r="AO50" s="436">
        <v>13</v>
      </c>
      <c r="AP50" s="182">
        <v>2084.7619047619055</v>
      </c>
      <c r="AQ50" s="182">
        <v>160.36630036630044</v>
      </c>
      <c r="AR50" s="436">
        <f t="shared" si="27"/>
        <v>10</v>
      </c>
      <c r="AS50" s="605"/>
      <c r="AT50" s="436">
        <v>13</v>
      </c>
      <c r="AU50" s="182">
        <v>2045.4545454545464</v>
      </c>
      <c r="AV50" s="182">
        <v>157.34265734265742</v>
      </c>
      <c r="AW50" s="436">
        <f t="shared" si="28"/>
        <v>10</v>
      </c>
      <c r="AX50" s="605"/>
    </row>
    <row r="51" spans="2:50">
      <c r="B51" s="572"/>
      <c r="C51" s="436">
        <v>5</v>
      </c>
      <c r="D51" s="226" t="s">
        <v>403</v>
      </c>
      <c r="E51" s="182">
        <v>11</v>
      </c>
      <c r="F51" s="436">
        <v>2250</v>
      </c>
      <c r="G51" s="437">
        <v>204.5</v>
      </c>
      <c r="H51" s="609"/>
      <c r="I51" s="446">
        <f t="shared" si="21"/>
        <v>11</v>
      </c>
      <c r="J51" s="446">
        <f t="shared" si="21"/>
        <v>2115.9263498647165</v>
      </c>
      <c r="K51" s="438">
        <f t="shared" si="21"/>
        <v>192.35694089679242</v>
      </c>
      <c r="L51" s="541"/>
      <c r="M51" s="445">
        <f>RANK(K51, K$47:$K$61)</f>
        <v>7</v>
      </c>
      <c r="N51" s="559"/>
      <c r="O51" s="559"/>
      <c r="P51" s="436">
        <v>11</v>
      </c>
      <c r="Q51" s="182">
        <v>2101.5999999999995</v>
      </c>
      <c r="R51" s="182">
        <v>191.0545454545454</v>
      </c>
      <c r="S51" s="436">
        <f t="shared" si="22"/>
        <v>7</v>
      </c>
      <c r="T51" s="605"/>
      <c r="U51" s="436">
        <v>11</v>
      </c>
      <c r="V51" s="182">
        <v>2100.0000000000005</v>
      </c>
      <c r="W51" s="182">
        <v>190.90909090909096</v>
      </c>
      <c r="X51" s="436">
        <f t="shared" si="23"/>
        <v>8</v>
      </c>
      <c r="Y51" s="605"/>
      <c r="Z51" s="436">
        <v>11</v>
      </c>
      <c r="AA51" s="182">
        <v>2134.0298507462689</v>
      </c>
      <c r="AB51" s="182">
        <v>194.00271370420626</v>
      </c>
      <c r="AC51" s="436">
        <f t="shared" si="24"/>
        <v>6</v>
      </c>
      <c r="AD51" s="605"/>
      <c r="AE51" s="436">
        <v>11</v>
      </c>
      <c r="AF51" s="182">
        <v>2143.4482758620688</v>
      </c>
      <c r="AG51" s="182">
        <v>194.858934169279</v>
      </c>
      <c r="AH51" s="436">
        <f t="shared" si="25"/>
        <v>6</v>
      </c>
      <c r="AI51" s="605"/>
      <c r="AJ51" s="436">
        <v>11</v>
      </c>
      <c r="AK51" s="182">
        <v>2156.3076923076919</v>
      </c>
      <c r="AL51" s="182">
        <v>196.027972027972</v>
      </c>
      <c r="AM51" s="436">
        <f t="shared" si="26"/>
        <v>7</v>
      </c>
      <c r="AN51" s="605"/>
      <c r="AO51" s="436">
        <v>11</v>
      </c>
      <c r="AP51" s="182">
        <v>2133.6986301369857</v>
      </c>
      <c r="AQ51" s="182">
        <v>193.97260273972597</v>
      </c>
      <c r="AR51" s="436">
        <f t="shared" si="27"/>
        <v>7</v>
      </c>
      <c r="AS51" s="605"/>
      <c r="AT51" s="436">
        <v>11</v>
      </c>
      <c r="AU51" s="182">
        <v>2042.3999999999996</v>
      </c>
      <c r="AV51" s="182">
        <v>185.67272727272723</v>
      </c>
      <c r="AW51" s="436">
        <f t="shared" si="28"/>
        <v>6</v>
      </c>
      <c r="AX51" s="605"/>
    </row>
    <row r="52" spans="2:50">
      <c r="B52" s="572"/>
      <c r="C52" s="436">
        <v>6</v>
      </c>
      <c r="D52" s="226" t="s">
        <v>404</v>
      </c>
      <c r="E52" s="182">
        <v>12</v>
      </c>
      <c r="F52" s="436">
        <v>2250</v>
      </c>
      <c r="G52" s="437">
        <v>187.5</v>
      </c>
      <c r="H52" s="609"/>
      <c r="I52" s="446">
        <f t="shared" si="21"/>
        <v>12</v>
      </c>
      <c r="J52" s="446">
        <f t="shared" si="21"/>
        <v>2054.2006435289877</v>
      </c>
      <c r="K52" s="438">
        <f t="shared" si="21"/>
        <v>171.18338696074898</v>
      </c>
      <c r="L52" s="541"/>
      <c r="M52" s="445">
        <f>RANK(K52, K$47:$K$61)</f>
        <v>9</v>
      </c>
      <c r="N52" s="559"/>
      <c r="O52" s="559"/>
      <c r="P52" s="436">
        <v>12</v>
      </c>
      <c r="Q52" s="182">
        <v>2071.3513513513503</v>
      </c>
      <c r="R52" s="182">
        <v>172.61261261261254</v>
      </c>
      <c r="S52" s="436">
        <f t="shared" si="22"/>
        <v>9</v>
      </c>
      <c r="T52" s="605"/>
      <c r="U52" s="436">
        <v>12</v>
      </c>
      <c r="V52" s="182">
        <v>2049.2307692307704</v>
      </c>
      <c r="W52" s="182">
        <v>170.76923076923086</v>
      </c>
      <c r="X52" s="436">
        <f t="shared" si="23"/>
        <v>9</v>
      </c>
      <c r="Y52" s="605"/>
      <c r="Z52" s="436">
        <v>12</v>
      </c>
      <c r="AA52" s="182">
        <v>2045.6074766355139</v>
      </c>
      <c r="AB52" s="182">
        <v>170.46728971962617</v>
      </c>
      <c r="AC52" s="436">
        <f t="shared" si="24"/>
        <v>9</v>
      </c>
      <c r="AD52" s="605"/>
      <c r="AE52" s="436">
        <v>12</v>
      </c>
      <c r="AF52" s="182">
        <v>2069.5999999999995</v>
      </c>
      <c r="AG52" s="182">
        <v>172.46666666666661</v>
      </c>
      <c r="AH52" s="436">
        <f t="shared" si="25"/>
        <v>9</v>
      </c>
      <c r="AI52" s="605"/>
      <c r="AJ52" s="436">
        <v>12</v>
      </c>
      <c r="AK52" s="182">
        <v>2089.024390243902</v>
      </c>
      <c r="AL52" s="182">
        <v>174.08536585365849</v>
      </c>
      <c r="AM52" s="436">
        <f t="shared" si="26"/>
        <v>9</v>
      </c>
      <c r="AN52" s="605"/>
      <c r="AO52" s="436">
        <v>12</v>
      </c>
      <c r="AP52" s="182">
        <v>2075.6250000000005</v>
      </c>
      <c r="AQ52" s="182">
        <v>172.96875000000003</v>
      </c>
      <c r="AR52" s="436">
        <f t="shared" si="27"/>
        <v>9</v>
      </c>
      <c r="AS52" s="605"/>
      <c r="AT52" s="436">
        <v>12</v>
      </c>
      <c r="AU52" s="182">
        <v>1978.9655172413786</v>
      </c>
      <c r="AV52" s="182">
        <v>164.91379310344823</v>
      </c>
      <c r="AW52" s="436">
        <f t="shared" si="28"/>
        <v>9</v>
      </c>
      <c r="AX52" s="605"/>
    </row>
    <row r="53" spans="2:50">
      <c r="B53" s="572"/>
      <c r="C53" s="436">
        <v>7</v>
      </c>
      <c r="D53" s="226" t="s">
        <v>405</v>
      </c>
      <c r="E53" s="182">
        <v>11</v>
      </c>
      <c r="F53" s="436">
        <v>2118</v>
      </c>
      <c r="G53" s="437">
        <v>192.5</v>
      </c>
      <c r="H53" s="609"/>
      <c r="I53" s="446">
        <f t="shared" si="21"/>
        <v>11</v>
      </c>
      <c r="J53" s="446">
        <f t="shared" si="21"/>
        <v>2096.3488426709109</v>
      </c>
      <c r="K53" s="438">
        <f t="shared" si="21"/>
        <v>190.57716751553735</v>
      </c>
      <c r="L53" s="541"/>
      <c r="M53" s="445">
        <f>RANK(K53, K$47:$K$61)</f>
        <v>8</v>
      </c>
      <c r="N53" s="559"/>
      <c r="O53" s="559"/>
      <c r="P53" s="436">
        <v>11</v>
      </c>
      <c r="Q53" s="182">
        <v>2097.3076923076937</v>
      </c>
      <c r="R53" s="182">
        <v>190.66433566433579</v>
      </c>
      <c r="S53" s="436">
        <f t="shared" si="22"/>
        <v>8</v>
      </c>
      <c r="T53" s="605"/>
      <c r="U53" s="436">
        <v>11</v>
      </c>
      <c r="V53" s="182">
        <v>2109.1304347826085</v>
      </c>
      <c r="W53" s="182">
        <v>191.7391304347826</v>
      </c>
      <c r="X53" s="436">
        <f t="shared" si="23"/>
        <v>7</v>
      </c>
      <c r="Y53" s="605"/>
      <c r="Z53" s="436">
        <v>11</v>
      </c>
      <c r="AA53" s="182">
        <v>2099.6769230769223</v>
      </c>
      <c r="AB53" s="182">
        <v>190.8797202797202</v>
      </c>
      <c r="AC53" s="436">
        <f t="shared" si="24"/>
        <v>7</v>
      </c>
      <c r="AD53" s="605"/>
      <c r="AE53" s="436">
        <v>11</v>
      </c>
      <c r="AF53" s="182">
        <v>2115.8421052631593</v>
      </c>
      <c r="AG53" s="182">
        <v>192.34928229665084</v>
      </c>
      <c r="AH53" s="436">
        <f t="shared" si="25"/>
        <v>8</v>
      </c>
      <c r="AI53" s="605"/>
      <c r="AJ53" s="436">
        <v>11</v>
      </c>
      <c r="AK53" s="182">
        <v>2107.2187499999995</v>
      </c>
      <c r="AL53" s="182">
        <v>191.56534090909088</v>
      </c>
      <c r="AM53" s="436">
        <f t="shared" si="26"/>
        <v>8</v>
      </c>
      <c r="AN53" s="605"/>
      <c r="AO53" s="436">
        <v>11</v>
      </c>
      <c r="AP53" s="182">
        <v>2103.6296296296287</v>
      </c>
      <c r="AQ53" s="182">
        <v>191.23905723905716</v>
      </c>
      <c r="AR53" s="436">
        <f t="shared" si="27"/>
        <v>8</v>
      </c>
      <c r="AS53" s="605"/>
      <c r="AT53" s="436">
        <v>11</v>
      </c>
      <c r="AU53" s="182">
        <v>2041.6363636363635</v>
      </c>
      <c r="AV53" s="182">
        <v>185.60330578512395</v>
      </c>
      <c r="AW53" s="436">
        <f t="shared" si="28"/>
        <v>7</v>
      </c>
      <c r="AX53" s="605"/>
    </row>
    <row r="54" spans="2:50">
      <c r="B54" s="572"/>
      <c r="C54" s="436">
        <v>8</v>
      </c>
      <c r="D54" s="226" t="s">
        <v>399</v>
      </c>
      <c r="E54" s="182">
        <v>18</v>
      </c>
      <c r="F54" s="436">
        <v>1250</v>
      </c>
      <c r="G54" s="437">
        <v>69.444444444444443</v>
      </c>
      <c r="H54" s="609"/>
      <c r="I54" s="446">
        <f t="shared" si="21"/>
        <v>13.142857142857142</v>
      </c>
      <c r="J54" s="446">
        <f t="shared" si="21"/>
        <v>1251.1349939975994</v>
      </c>
      <c r="K54" s="438">
        <f t="shared" si="21"/>
        <v>95.265747837596592</v>
      </c>
      <c r="L54" s="541"/>
      <c r="M54" s="445">
        <f>RANK(K54, K$47:$K$61)</f>
        <v>12</v>
      </c>
      <c r="N54" s="559"/>
      <c r="O54" s="559"/>
      <c r="P54" s="436">
        <v>13</v>
      </c>
      <c r="Q54" s="182">
        <v>1220.5714285714287</v>
      </c>
      <c r="R54" s="182">
        <v>93.890109890109898</v>
      </c>
      <c r="S54" s="436">
        <f t="shared" si="22"/>
        <v>12</v>
      </c>
      <c r="T54" s="605"/>
      <c r="U54" s="436">
        <v>13</v>
      </c>
      <c r="V54" s="182">
        <v>1286.8235294117655</v>
      </c>
      <c r="W54" s="182">
        <v>98.986425339366576</v>
      </c>
      <c r="X54" s="436">
        <f t="shared" si="23"/>
        <v>12</v>
      </c>
      <c r="Y54" s="605"/>
      <c r="Z54" s="436">
        <v>14</v>
      </c>
      <c r="AA54" s="182">
        <v>1242.6666666666667</v>
      </c>
      <c r="AB54" s="182">
        <v>88.761904761904773</v>
      </c>
      <c r="AC54" s="436">
        <f t="shared" si="24"/>
        <v>12</v>
      </c>
      <c r="AD54" s="605"/>
      <c r="AE54" s="436">
        <v>13</v>
      </c>
      <c r="AF54" s="182">
        <v>1257.7500000000007</v>
      </c>
      <c r="AG54" s="182">
        <v>96.750000000000057</v>
      </c>
      <c r="AH54" s="436">
        <f t="shared" si="25"/>
        <v>12</v>
      </c>
      <c r="AI54" s="605"/>
      <c r="AJ54" s="436">
        <v>13</v>
      </c>
      <c r="AK54" s="182">
        <v>1233.0000000000007</v>
      </c>
      <c r="AL54" s="182">
        <v>94.846153846153896</v>
      </c>
      <c r="AM54" s="436">
        <f t="shared" si="26"/>
        <v>12</v>
      </c>
      <c r="AN54" s="605"/>
      <c r="AO54" s="436">
        <v>13</v>
      </c>
      <c r="AP54" s="182">
        <v>1267.8000000000004</v>
      </c>
      <c r="AQ54" s="182">
        <v>97.523076923076957</v>
      </c>
      <c r="AR54" s="436">
        <f t="shared" si="27"/>
        <v>12</v>
      </c>
      <c r="AS54" s="605"/>
      <c r="AT54" s="436">
        <v>13</v>
      </c>
      <c r="AU54" s="182">
        <v>1249.3333333333335</v>
      </c>
      <c r="AV54" s="182">
        <v>96.102564102564116</v>
      </c>
      <c r="AW54" s="436">
        <f t="shared" si="28"/>
        <v>12</v>
      </c>
      <c r="AX54" s="605"/>
    </row>
    <row r="55" spans="2:50">
      <c r="B55" s="572"/>
      <c r="C55" s="436">
        <v>9</v>
      </c>
      <c r="D55" s="226" t="s">
        <v>600</v>
      </c>
      <c r="E55" s="182">
        <v>6</v>
      </c>
      <c r="F55" s="436">
        <v>2000</v>
      </c>
      <c r="G55" s="437">
        <v>333.33333333333331</v>
      </c>
      <c r="H55" s="609"/>
      <c r="I55" s="446">
        <f t="shared" si="21"/>
        <v>7</v>
      </c>
      <c r="J55" s="446">
        <f t="shared" si="21"/>
        <v>1912.8317565892737</v>
      </c>
      <c r="K55" s="438">
        <f t="shared" si="21"/>
        <v>273.26167951275335</v>
      </c>
      <c r="L55" s="541"/>
      <c r="M55" s="445">
        <f>RANK(K55, K$47:$K$61)</f>
        <v>5</v>
      </c>
      <c r="N55" s="559"/>
      <c r="O55" s="559"/>
      <c r="P55" s="436">
        <v>7</v>
      </c>
      <c r="Q55" s="182">
        <v>2043.1578947368405</v>
      </c>
      <c r="R55" s="182">
        <v>291.87969924812006</v>
      </c>
      <c r="S55" s="436">
        <f t="shared" si="22"/>
        <v>5</v>
      </c>
      <c r="T55" s="605"/>
      <c r="U55" s="436">
        <v>7</v>
      </c>
      <c r="V55" s="182">
        <v>2011.4285714285706</v>
      </c>
      <c r="W55" s="182">
        <v>287.34693877551007</v>
      </c>
      <c r="X55" s="436">
        <f t="shared" si="23"/>
        <v>5</v>
      </c>
      <c r="Y55" s="605"/>
      <c r="Z55" s="436">
        <v>7</v>
      </c>
      <c r="AA55" s="182">
        <v>2079.9999999999982</v>
      </c>
      <c r="AB55" s="182">
        <v>297.14285714285688</v>
      </c>
      <c r="AC55" s="436">
        <f t="shared" si="24"/>
        <v>5</v>
      </c>
      <c r="AD55" s="605"/>
      <c r="AE55" s="436">
        <v>7</v>
      </c>
      <c r="AF55" s="182">
        <v>1721.5384615384571</v>
      </c>
      <c r="AG55" s="182">
        <v>245.9340659340653</v>
      </c>
      <c r="AH55" s="436">
        <f t="shared" si="25"/>
        <v>5</v>
      </c>
      <c r="AI55" s="605"/>
      <c r="AJ55" s="436">
        <v>7</v>
      </c>
      <c r="AK55" s="182">
        <v>1730.9999999999995</v>
      </c>
      <c r="AL55" s="182">
        <v>247.28571428571422</v>
      </c>
      <c r="AM55" s="436">
        <f t="shared" si="26"/>
        <v>5</v>
      </c>
      <c r="AN55" s="605"/>
      <c r="AO55" s="436">
        <v>7</v>
      </c>
      <c r="AP55" s="182">
        <v>1743.7499999999977</v>
      </c>
      <c r="AQ55" s="182">
        <v>249.10714285714252</v>
      </c>
      <c r="AR55" s="436">
        <f t="shared" si="27"/>
        <v>5</v>
      </c>
      <c r="AS55" s="605"/>
      <c r="AT55" s="436">
        <v>7</v>
      </c>
      <c r="AU55" s="182">
        <v>2058.9473684210511</v>
      </c>
      <c r="AV55" s="182">
        <v>294.13533834586445</v>
      </c>
      <c r="AW55" s="436">
        <f t="shared" si="28"/>
        <v>5</v>
      </c>
      <c r="AX55" s="605"/>
    </row>
    <row r="56" spans="2:50">
      <c r="B56" s="572"/>
      <c r="C56" s="436">
        <v>10</v>
      </c>
      <c r="D56" s="226" t="s">
        <v>617</v>
      </c>
      <c r="E56" s="182">
        <v>4</v>
      </c>
      <c r="F56" s="436">
        <v>2000</v>
      </c>
      <c r="G56" s="437">
        <v>500</v>
      </c>
      <c r="H56" s="609"/>
      <c r="I56" s="446">
        <f t="shared" si="21"/>
        <v>5</v>
      </c>
      <c r="J56" s="446">
        <f t="shared" si="21"/>
        <v>1808.1438561438554</v>
      </c>
      <c r="K56" s="438">
        <f t="shared" si="21"/>
        <v>361.62877122877114</v>
      </c>
      <c r="L56" s="541"/>
      <c r="M56" s="445">
        <f>RANK(K56, K$47:$K$61)</f>
        <v>4</v>
      </c>
      <c r="N56" s="559"/>
      <c r="O56" s="559"/>
      <c r="P56" s="436">
        <v>5</v>
      </c>
      <c r="Q56" s="182">
        <v>2058.4615384614954</v>
      </c>
      <c r="R56" s="182">
        <v>411.6923076922991</v>
      </c>
      <c r="S56" s="436">
        <f t="shared" si="22"/>
        <v>4</v>
      </c>
      <c r="T56" s="605"/>
      <c r="U56" s="436">
        <v>5</v>
      </c>
      <c r="V56" s="182">
        <v>1732.0000000000061</v>
      </c>
      <c r="W56" s="182">
        <v>346.40000000000123</v>
      </c>
      <c r="X56" s="436">
        <f t="shared" si="23"/>
        <v>4</v>
      </c>
      <c r="Y56" s="605"/>
      <c r="Z56" s="436">
        <v>5</v>
      </c>
      <c r="AA56" s="182">
        <v>1780.0000000000064</v>
      </c>
      <c r="AB56" s="182">
        <v>356.00000000000125</v>
      </c>
      <c r="AC56" s="436">
        <f t="shared" si="24"/>
        <v>4</v>
      </c>
      <c r="AD56" s="605"/>
      <c r="AE56" s="436">
        <v>5</v>
      </c>
      <c r="AF56" s="182">
        <v>1729.0909090909151</v>
      </c>
      <c r="AG56" s="182">
        <v>345.81818181818301</v>
      </c>
      <c r="AH56" s="436">
        <f t="shared" si="25"/>
        <v>4</v>
      </c>
      <c r="AI56" s="605"/>
      <c r="AJ56" s="436">
        <v>5</v>
      </c>
      <c r="AK56" s="182">
        <v>1760.0000000000064</v>
      </c>
      <c r="AL56" s="182">
        <v>352.00000000000125</v>
      </c>
      <c r="AM56" s="436">
        <f t="shared" si="26"/>
        <v>4</v>
      </c>
      <c r="AN56" s="605"/>
      <c r="AO56" s="436">
        <v>5</v>
      </c>
      <c r="AP56" s="182">
        <v>1805.4545454545519</v>
      </c>
      <c r="AQ56" s="182">
        <v>361.09090909091037</v>
      </c>
      <c r="AR56" s="436">
        <f t="shared" si="27"/>
        <v>4</v>
      </c>
      <c r="AS56" s="605"/>
      <c r="AT56" s="436">
        <v>5</v>
      </c>
      <c r="AU56" s="182">
        <v>1792.0000000000064</v>
      </c>
      <c r="AV56" s="182">
        <v>358.40000000000128</v>
      </c>
      <c r="AW56" s="436">
        <f t="shared" si="28"/>
        <v>4</v>
      </c>
      <c r="AX56" s="605"/>
    </row>
    <row r="57" spans="2:50">
      <c r="B57" s="572"/>
      <c r="C57" s="436">
        <v>11</v>
      </c>
      <c r="D57" s="226" t="s">
        <v>632</v>
      </c>
      <c r="E57" s="182">
        <v>11</v>
      </c>
      <c r="F57" s="436">
        <v>2250</v>
      </c>
      <c r="G57" s="437">
        <v>192.5</v>
      </c>
      <c r="H57" s="609"/>
      <c r="I57" s="446">
        <f t="shared" si="21"/>
        <v>11</v>
      </c>
      <c r="J57" s="446">
        <f t="shared" si="21"/>
        <v>2121.7994253111219</v>
      </c>
      <c r="K57" s="438">
        <f t="shared" si="21"/>
        <v>192.89085684646562</v>
      </c>
      <c r="L57" s="541"/>
      <c r="M57" s="445">
        <f>RANK(K57, K$47:$K$61)</f>
        <v>6</v>
      </c>
      <c r="N57" s="559"/>
      <c r="O57" s="559"/>
      <c r="P57" s="436">
        <v>11</v>
      </c>
      <c r="Q57" s="182">
        <v>2111.9999999999991</v>
      </c>
      <c r="R57" s="182">
        <v>191.99999999999991</v>
      </c>
      <c r="S57" s="436">
        <f t="shared" si="22"/>
        <v>6</v>
      </c>
      <c r="T57" s="605"/>
      <c r="U57" s="436">
        <v>11</v>
      </c>
      <c r="V57" s="182">
        <v>2160.0000000000005</v>
      </c>
      <c r="W57" s="182">
        <v>196.3636363636364</v>
      </c>
      <c r="X57" s="436">
        <f t="shared" si="23"/>
        <v>6</v>
      </c>
      <c r="Y57" s="605"/>
      <c r="Z57" s="436">
        <v>11</v>
      </c>
      <c r="AA57" s="182">
        <v>2098.6516853932585</v>
      </c>
      <c r="AB57" s="182">
        <v>190.7865168539326</v>
      </c>
      <c r="AC57" s="436">
        <f t="shared" si="24"/>
        <v>8</v>
      </c>
      <c r="AD57" s="605"/>
      <c r="AE57" s="436">
        <v>11</v>
      </c>
      <c r="AF57" s="182">
        <v>2138.3132530120474</v>
      </c>
      <c r="AG57" s="182">
        <v>194.39211391018614</v>
      </c>
      <c r="AH57" s="436">
        <f t="shared" si="25"/>
        <v>7</v>
      </c>
      <c r="AI57" s="605"/>
      <c r="AJ57" s="436">
        <v>11</v>
      </c>
      <c r="AK57" s="182">
        <v>2161.4285714285706</v>
      </c>
      <c r="AL57" s="182">
        <v>196.49350649350643</v>
      </c>
      <c r="AM57" s="436">
        <f t="shared" si="26"/>
        <v>6</v>
      </c>
      <c r="AN57" s="605"/>
      <c r="AO57" s="436">
        <v>11</v>
      </c>
      <c r="AP57" s="182">
        <v>2146.7307692307704</v>
      </c>
      <c r="AQ57" s="182">
        <v>195.15734265734275</v>
      </c>
      <c r="AR57" s="436">
        <f t="shared" si="27"/>
        <v>6</v>
      </c>
      <c r="AS57" s="605"/>
      <c r="AT57" s="436">
        <v>11</v>
      </c>
      <c r="AU57" s="182">
        <v>2035.4716981132069</v>
      </c>
      <c r="AV57" s="182">
        <v>185.04288164665516</v>
      </c>
      <c r="AW57" s="436">
        <f t="shared" si="28"/>
        <v>8</v>
      </c>
      <c r="AX57" s="605"/>
    </row>
    <row r="58" spans="2:50">
      <c r="B58" s="572"/>
      <c r="C58" s="436">
        <v>12</v>
      </c>
      <c r="D58" s="226" t="s">
        <v>785</v>
      </c>
      <c r="E58" s="182">
        <v>4</v>
      </c>
      <c r="F58" s="436">
        <v>2000</v>
      </c>
      <c r="G58" s="437">
        <v>500</v>
      </c>
      <c r="H58" s="609"/>
      <c r="I58" s="446">
        <f t="shared" si="21"/>
        <v>5</v>
      </c>
      <c r="J58" s="446">
        <f t="shared" si="21"/>
        <v>2083.5297915526448</v>
      </c>
      <c r="K58" s="438">
        <f t="shared" si="21"/>
        <v>416.7059583105289</v>
      </c>
      <c r="L58" s="541"/>
      <c r="M58" s="445">
        <f>RANK(K58, K$47:$K$61)</f>
        <v>2</v>
      </c>
      <c r="N58" s="559"/>
      <c r="O58" s="559"/>
      <c r="P58" s="436">
        <v>5</v>
      </c>
      <c r="Q58" s="182">
        <v>2111.9999999999991</v>
      </c>
      <c r="R58" s="182">
        <v>422.39999999999981</v>
      </c>
      <c r="S58" s="436">
        <f t="shared" si="22"/>
        <v>1</v>
      </c>
      <c r="T58" s="605"/>
      <c r="U58" s="436">
        <v>5</v>
      </c>
      <c r="V58" s="182">
        <v>2071.5789473684199</v>
      </c>
      <c r="W58" s="182">
        <v>414.31578947368399</v>
      </c>
      <c r="X58" s="436">
        <f t="shared" si="23"/>
        <v>2</v>
      </c>
      <c r="Y58" s="605"/>
      <c r="Z58" s="436">
        <v>5</v>
      </c>
      <c r="AA58" s="182">
        <v>2078.1818181818167</v>
      </c>
      <c r="AB58" s="182">
        <v>415.63636363636334</v>
      </c>
      <c r="AC58" s="436">
        <f t="shared" si="24"/>
        <v>2</v>
      </c>
      <c r="AD58" s="605"/>
      <c r="AE58" s="436">
        <v>5</v>
      </c>
      <c r="AF58" s="182">
        <v>2048.1081081081093</v>
      </c>
      <c r="AG58" s="182">
        <v>409.62162162162184</v>
      </c>
      <c r="AH58" s="436">
        <f t="shared" si="25"/>
        <v>3</v>
      </c>
      <c r="AI58" s="605"/>
      <c r="AJ58" s="436">
        <v>5</v>
      </c>
      <c r="AK58" s="182">
        <v>2087.6470588235297</v>
      </c>
      <c r="AL58" s="182">
        <v>417.52941176470597</v>
      </c>
      <c r="AM58" s="436">
        <f t="shared" si="26"/>
        <v>1</v>
      </c>
      <c r="AN58" s="605"/>
      <c r="AO58" s="436">
        <v>5</v>
      </c>
      <c r="AP58" s="182">
        <v>2110.4761904761899</v>
      </c>
      <c r="AQ58" s="182">
        <v>422.09523809523796</v>
      </c>
      <c r="AR58" s="436">
        <f t="shared" si="27"/>
        <v>2</v>
      </c>
      <c r="AS58" s="605"/>
      <c r="AT58" s="436">
        <v>5</v>
      </c>
      <c r="AU58" s="182">
        <v>2076.7164179104479</v>
      </c>
      <c r="AV58" s="182">
        <v>415.34328358208961</v>
      </c>
      <c r="AW58" s="436">
        <f t="shared" si="28"/>
        <v>2</v>
      </c>
      <c r="AX58" s="605"/>
    </row>
    <row r="59" spans="2:50">
      <c r="B59" s="572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41"/>
      <c r="M59" s="445" t="e">
        <f>RANK(K59, K$47:$K$61)</f>
        <v>#N/A</v>
      </c>
      <c r="N59" s="559"/>
      <c r="O59" s="559"/>
      <c r="P59" s="436"/>
      <c r="Q59" s="182"/>
      <c r="R59" s="182"/>
      <c r="S59" s="436" t="e">
        <f t="shared" si="22"/>
        <v>#N/A</v>
      </c>
      <c r="T59" s="605"/>
      <c r="U59" s="436"/>
      <c r="V59" s="182"/>
      <c r="W59" s="182"/>
      <c r="X59" s="436" t="e">
        <f t="shared" si="23"/>
        <v>#N/A</v>
      </c>
      <c r="Y59" s="605"/>
      <c r="Z59" s="436"/>
      <c r="AA59" s="182"/>
      <c r="AB59" s="182"/>
      <c r="AC59" s="436" t="e">
        <f t="shared" si="24"/>
        <v>#N/A</v>
      </c>
      <c r="AD59" s="605"/>
      <c r="AE59" s="436"/>
      <c r="AF59" s="182"/>
      <c r="AG59" s="182"/>
      <c r="AH59" s="436" t="e">
        <f t="shared" si="25"/>
        <v>#N/A</v>
      </c>
      <c r="AI59" s="605"/>
      <c r="AJ59" s="436"/>
      <c r="AK59" s="182"/>
      <c r="AL59" s="182"/>
      <c r="AM59" s="436" t="e">
        <f t="shared" si="26"/>
        <v>#N/A</v>
      </c>
      <c r="AN59" s="605"/>
      <c r="AO59" s="436"/>
      <c r="AP59" s="182"/>
      <c r="AQ59" s="182"/>
      <c r="AR59" s="436" t="e">
        <f t="shared" si="27"/>
        <v>#N/A</v>
      </c>
      <c r="AS59" s="605"/>
      <c r="AT59" s="436"/>
      <c r="AU59" s="182"/>
      <c r="AV59" s="182"/>
      <c r="AW59" s="436" t="e">
        <f t="shared" si="28"/>
        <v>#N/A</v>
      </c>
      <c r="AX59" s="605"/>
    </row>
    <row r="60" spans="2:50">
      <c r="B60" s="572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41"/>
      <c r="M60" s="445" t="e">
        <f>RANK(K60, K$47:$K$61)</f>
        <v>#N/A</v>
      </c>
      <c r="N60" s="559"/>
      <c r="O60" s="559"/>
      <c r="P60" s="436"/>
      <c r="Q60" s="182"/>
      <c r="R60" s="182"/>
      <c r="S60" s="436" t="e">
        <f t="shared" si="22"/>
        <v>#N/A</v>
      </c>
      <c r="T60" s="605"/>
      <c r="U60" s="436"/>
      <c r="V60" s="182"/>
      <c r="W60" s="182"/>
      <c r="X60" s="436" t="e">
        <f t="shared" si="23"/>
        <v>#N/A</v>
      </c>
      <c r="Y60" s="605"/>
      <c r="Z60" s="436"/>
      <c r="AA60" s="182"/>
      <c r="AB60" s="182"/>
      <c r="AC60" s="436" t="e">
        <f t="shared" si="24"/>
        <v>#N/A</v>
      </c>
      <c r="AD60" s="605"/>
      <c r="AE60" s="436"/>
      <c r="AF60" s="182"/>
      <c r="AG60" s="182"/>
      <c r="AH60" s="436" t="e">
        <f t="shared" si="25"/>
        <v>#N/A</v>
      </c>
      <c r="AI60" s="605"/>
      <c r="AJ60" s="436"/>
      <c r="AK60" s="182"/>
      <c r="AL60" s="182"/>
      <c r="AM60" s="436" t="e">
        <f t="shared" si="26"/>
        <v>#N/A</v>
      </c>
      <c r="AN60" s="605"/>
      <c r="AO60" s="436"/>
      <c r="AP60" s="182"/>
      <c r="AQ60" s="182"/>
      <c r="AR60" s="436" t="e">
        <f t="shared" si="27"/>
        <v>#N/A</v>
      </c>
      <c r="AS60" s="605"/>
      <c r="AT60" s="436"/>
      <c r="AU60" s="182"/>
      <c r="AV60" s="182"/>
      <c r="AW60" s="436" t="e">
        <f t="shared" si="28"/>
        <v>#N/A</v>
      </c>
      <c r="AX60" s="605"/>
    </row>
    <row r="61" spans="2:50">
      <c r="B61" s="572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42"/>
      <c r="M61" s="445" t="e">
        <f>RANK(K61, K$47:$K$61)</f>
        <v>#N/A</v>
      </c>
      <c r="N61" s="559"/>
      <c r="O61" s="559"/>
      <c r="P61" s="436"/>
      <c r="Q61" s="182"/>
      <c r="R61" s="182"/>
      <c r="S61" s="436" t="e">
        <f t="shared" si="22"/>
        <v>#N/A</v>
      </c>
      <c r="T61" s="605"/>
      <c r="U61" s="436"/>
      <c r="V61" s="182"/>
      <c r="W61" s="182"/>
      <c r="X61" s="436" t="e">
        <f t="shared" si="23"/>
        <v>#N/A</v>
      </c>
      <c r="Y61" s="605"/>
      <c r="Z61" s="436"/>
      <c r="AA61" s="182"/>
      <c r="AB61" s="182"/>
      <c r="AC61" s="436" t="e">
        <f t="shared" si="24"/>
        <v>#N/A</v>
      </c>
      <c r="AD61" s="605"/>
      <c r="AE61" s="436"/>
      <c r="AF61" s="182"/>
      <c r="AG61" s="182"/>
      <c r="AH61" s="436" t="e">
        <f t="shared" si="25"/>
        <v>#N/A</v>
      </c>
      <c r="AI61" s="605"/>
      <c r="AJ61" s="436"/>
      <c r="AK61" s="182"/>
      <c r="AL61" s="182"/>
      <c r="AM61" s="436" t="e">
        <f t="shared" si="26"/>
        <v>#N/A</v>
      </c>
      <c r="AN61" s="605"/>
      <c r="AO61" s="436"/>
      <c r="AP61" s="182"/>
      <c r="AQ61" s="182"/>
      <c r="AR61" s="436" t="e">
        <f t="shared" si="27"/>
        <v>#N/A</v>
      </c>
      <c r="AS61" s="605"/>
      <c r="AT61" s="436"/>
      <c r="AU61" s="182"/>
      <c r="AV61" s="182"/>
      <c r="AW61" s="436" t="e">
        <f t="shared" si="28"/>
        <v>#N/A</v>
      </c>
      <c r="AX61" s="605"/>
    </row>
    <row r="62" spans="2:50" ht="15.75">
      <c r="B62" s="576" t="s">
        <v>731</v>
      </c>
      <c r="C62" s="577"/>
      <c r="D62" s="577"/>
      <c r="E62" s="577"/>
      <c r="F62" s="577"/>
      <c r="G62" s="577"/>
      <c r="H62" s="578"/>
      <c r="I62" s="208"/>
      <c r="J62" s="208"/>
      <c r="K62" s="208"/>
      <c r="L62" s="208"/>
      <c r="M62" s="207"/>
      <c r="N62" s="565" t="s">
        <v>732</v>
      </c>
      <c r="O62" s="565" t="s">
        <v>733</v>
      </c>
      <c r="P62" s="571">
        <f>P42+7</f>
        <v>21</v>
      </c>
      <c r="Q62" s="572"/>
      <c r="R62" s="572"/>
      <c r="S62" s="572"/>
      <c r="T62" s="572"/>
      <c r="U62" s="568">
        <f>P62+1</f>
        <v>22</v>
      </c>
      <c r="V62" s="569"/>
      <c r="W62" s="569"/>
      <c r="X62" s="569"/>
      <c r="Y62" s="570"/>
      <c r="Z62" s="568">
        <f>U62+1</f>
        <v>23</v>
      </c>
      <c r="AA62" s="569"/>
      <c r="AB62" s="569"/>
      <c r="AC62" s="569"/>
      <c r="AD62" s="570"/>
      <c r="AE62" s="568">
        <f>Z62+1</f>
        <v>24</v>
      </c>
      <c r="AF62" s="569"/>
      <c r="AG62" s="569"/>
      <c r="AH62" s="569"/>
      <c r="AI62" s="570"/>
      <c r="AJ62" s="568">
        <f>AE62+1</f>
        <v>25</v>
      </c>
      <c r="AK62" s="569"/>
      <c r="AL62" s="569"/>
      <c r="AM62" s="569"/>
      <c r="AN62" s="570"/>
      <c r="AO62" s="568">
        <f>AJ62+1</f>
        <v>26</v>
      </c>
      <c r="AP62" s="569"/>
      <c r="AQ62" s="569"/>
      <c r="AR62" s="569"/>
      <c r="AS62" s="570"/>
      <c r="AT62" s="568">
        <f>AO62+1</f>
        <v>27</v>
      </c>
      <c r="AU62" s="569"/>
      <c r="AV62" s="569"/>
      <c r="AW62" s="569"/>
      <c r="AX62" s="570"/>
    </row>
    <row r="63" spans="2:50" ht="15.75">
      <c r="B63" s="579"/>
      <c r="C63" s="579"/>
      <c r="D63" s="579"/>
      <c r="E63" s="579"/>
      <c r="F63" s="579"/>
      <c r="G63" s="579"/>
      <c r="H63" s="579"/>
      <c r="I63" s="205"/>
      <c r="J63" s="205"/>
      <c r="K63" s="205"/>
      <c r="L63" s="205"/>
      <c r="M63" s="206"/>
      <c r="N63" s="567"/>
      <c r="O63" s="567"/>
      <c r="P63" s="571" t="s">
        <v>734</v>
      </c>
      <c r="Q63" s="572"/>
      <c r="R63" s="572"/>
      <c r="S63" s="572"/>
      <c r="T63" s="572"/>
      <c r="U63" s="571" t="s">
        <v>735</v>
      </c>
      <c r="V63" s="572"/>
      <c r="W63" s="572"/>
      <c r="X63" s="572"/>
      <c r="Y63" s="572"/>
      <c r="Z63" s="571" t="s">
        <v>736</v>
      </c>
      <c r="AA63" s="572"/>
      <c r="AB63" s="572"/>
      <c r="AC63" s="572"/>
      <c r="AD63" s="572"/>
      <c r="AE63" s="571" t="s">
        <v>737</v>
      </c>
      <c r="AF63" s="572"/>
      <c r="AG63" s="572"/>
      <c r="AH63" s="572"/>
      <c r="AI63" s="572"/>
      <c r="AJ63" s="571" t="s">
        <v>738</v>
      </c>
      <c r="AK63" s="572"/>
      <c r="AL63" s="572"/>
      <c r="AM63" s="572"/>
      <c r="AN63" s="572"/>
      <c r="AO63" s="571" t="s">
        <v>739</v>
      </c>
      <c r="AP63" s="572"/>
      <c r="AQ63" s="572"/>
      <c r="AR63" s="572"/>
      <c r="AS63" s="572"/>
      <c r="AT63" s="571" t="s">
        <v>740</v>
      </c>
      <c r="AU63" s="572"/>
      <c r="AV63" s="572"/>
      <c r="AW63" s="572"/>
      <c r="AX63" s="572"/>
    </row>
    <row r="64" spans="2:50">
      <c r="B64" s="559" t="s">
        <v>741</v>
      </c>
      <c r="C64" s="559" t="s">
        <v>742</v>
      </c>
      <c r="D64" s="559"/>
      <c r="E64" s="559" t="s">
        <v>743</v>
      </c>
      <c r="F64" s="559"/>
      <c r="G64" s="559"/>
      <c r="H64" s="560" t="s">
        <v>744</v>
      </c>
      <c r="I64" s="543" t="s">
        <v>745</v>
      </c>
      <c r="J64" s="543"/>
      <c r="K64" s="543"/>
      <c r="L64" s="544" t="s">
        <v>744</v>
      </c>
      <c r="M64" s="550" t="s">
        <v>746</v>
      </c>
      <c r="N64" s="559"/>
      <c r="O64" s="559" t="s">
        <v>747</v>
      </c>
      <c r="P64" s="556" t="s">
        <v>748</v>
      </c>
      <c r="Q64" s="557"/>
      <c r="R64" s="557"/>
      <c r="S64" s="558"/>
      <c r="T64" s="559" t="s">
        <v>744</v>
      </c>
      <c r="U64" s="556" t="s">
        <v>748</v>
      </c>
      <c r="V64" s="557"/>
      <c r="W64" s="557"/>
      <c r="X64" s="558"/>
      <c r="Y64" s="559" t="s">
        <v>744</v>
      </c>
      <c r="Z64" s="556" t="s">
        <v>748</v>
      </c>
      <c r="AA64" s="557"/>
      <c r="AB64" s="557"/>
      <c r="AC64" s="558"/>
      <c r="AD64" s="559" t="s">
        <v>744</v>
      </c>
      <c r="AE64" s="556" t="s">
        <v>748</v>
      </c>
      <c r="AF64" s="557"/>
      <c r="AG64" s="557"/>
      <c r="AH64" s="558"/>
      <c r="AI64" s="559" t="s">
        <v>744</v>
      </c>
      <c r="AJ64" s="556" t="s">
        <v>748</v>
      </c>
      <c r="AK64" s="557"/>
      <c r="AL64" s="557"/>
      <c r="AM64" s="558"/>
      <c r="AN64" s="559" t="s">
        <v>744</v>
      </c>
      <c r="AO64" s="556" t="s">
        <v>748</v>
      </c>
      <c r="AP64" s="557"/>
      <c r="AQ64" s="557"/>
      <c r="AR64" s="558"/>
      <c r="AS64" s="559" t="s">
        <v>744</v>
      </c>
      <c r="AT64" s="556" t="s">
        <v>748</v>
      </c>
      <c r="AU64" s="557"/>
      <c r="AV64" s="557"/>
      <c r="AW64" s="558"/>
      <c r="AX64" s="559" t="s">
        <v>744</v>
      </c>
    </row>
    <row r="65" spans="2:50">
      <c r="B65" s="559"/>
      <c r="C65" s="559"/>
      <c r="D65" s="559"/>
      <c r="E65" s="559" t="s">
        <v>749</v>
      </c>
      <c r="F65" s="559"/>
      <c r="G65" s="559"/>
      <c r="H65" s="561"/>
      <c r="I65" s="543" t="s">
        <v>749</v>
      </c>
      <c r="J65" s="543"/>
      <c r="K65" s="543"/>
      <c r="L65" s="545"/>
      <c r="M65" s="551"/>
      <c r="N65" s="559"/>
      <c r="O65" s="559"/>
      <c r="P65" s="556" t="s">
        <v>750</v>
      </c>
      <c r="Q65" s="557"/>
      <c r="R65" s="557"/>
      <c r="S65" s="558"/>
      <c r="T65" s="559"/>
      <c r="U65" s="556" t="s">
        <v>750</v>
      </c>
      <c r="V65" s="557"/>
      <c r="W65" s="557"/>
      <c r="X65" s="558"/>
      <c r="Y65" s="559"/>
      <c r="Z65" s="556" t="s">
        <v>750</v>
      </c>
      <c r="AA65" s="557"/>
      <c r="AB65" s="557"/>
      <c r="AC65" s="558"/>
      <c r="AD65" s="559"/>
      <c r="AE65" s="556" t="s">
        <v>750</v>
      </c>
      <c r="AF65" s="557"/>
      <c r="AG65" s="557"/>
      <c r="AH65" s="558"/>
      <c r="AI65" s="559"/>
      <c r="AJ65" s="556" t="s">
        <v>750</v>
      </c>
      <c r="AK65" s="557"/>
      <c r="AL65" s="557"/>
      <c r="AM65" s="558"/>
      <c r="AN65" s="559"/>
      <c r="AO65" s="556" t="s">
        <v>750</v>
      </c>
      <c r="AP65" s="557"/>
      <c r="AQ65" s="557"/>
      <c r="AR65" s="558"/>
      <c r="AS65" s="559"/>
      <c r="AT65" s="556" t="s">
        <v>750</v>
      </c>
      <c r="AU65" s="557"/>
      <c r="AV65" s="557"/>
      <c r="AW65" s="558"/>
      <c r="AX65" s="559"/>
    </row>
    <row r="66" spans="2:50">
      <c r="B66" s="559"/>
      <c r="C66" s="559"/>
      <c r="D66" s="559"/>
      <c r="E66" s="440" t="s">
        <v>751</v>
      </c>
      <c r="F66" s="440" t="s">
        <v>752</v>
      </c>
      <c r="G66" s="440" t="s">
        <v>753</v>
      </c>
      <c r="H66" s="562"/>
      <c r="I66" s="444" t="s">
        <v>751</v>
      </c>
      <c r="J66" s="444" t="s">
        <v>752</v>
      </c>
      <c r="K66" s="444" t="s">
        <v>753</v>
      </c>
      <c r="L66" s="546"/>
      <c r="M66" s="552"/>
      <c r="N66" s="559"/>
      <c r="O66" s="559"/>
      <c r="P66" s="440" t="s">
        <v>751</v>
      </c>
      <c r="Q66" s="440" t="s">
        <v>752</v>
      </c>
      <c r="R66" s="440" t="s">
        <v>753</v>
      </c>
      <c r="S66" s="440" t="s">
        <v>746</v>
      </c>
      <c r="T66" s="559"/>
      <c r="U66" s="440" t="s">
        <v>751</v>
      </c>
      <c r="V66" s="440" t="s">
        <v>752</v>
      </c>
      <c r="W66" s="440" t="s">
        <v>753</v>
      </c>
      <c r="X66" s="440" t="s">
        <v>746</v>
      </c>
      <c r="Y66" s="559"/>
      <c r="Z66" s="440" t="s">
        <v>751</v>
      </c>
      <c r="AA66" s="440" t="s">
        <v>752</v>
      </c>
      <c r="AB66" s="440" t="s">
        <v>753</v>
      </c>
      <c r="AC66" s="440" t="s">
        <v>746</v>
      </c>
      <c r="AD66" s="559"/>
      <c r="AE66" s="440" t="s">
        <v>751</v>
      </c>
      <c r="AF66" s="440" t="s">
        <v>752</v>
      </c>
      <c r="AG66" s="440" t="s">
        <v>753</v>
      </c>
      <c r="AH66" s="440" t="s">
        <v>746</v>
      </c>
      <c r="AI66" s="559"/>
      <c r="AJ66" s="440" t="s">
        <v>751</v>
      </c>
      <c r="AK66" s="440" t="s">
        <v>752</v>
      </c>
      <c r="AL66" s="440" t="s">
        <v>753</v>
      </c>
      <c r="AM66" s="440" t="s">
        <v>746</v>
      </c>
      <c r="AN66" s="559"/>
      <c r="AO66" s="440" t="s">
        <v>751</v>
      </c>
      <c r="AP66" s="440" t="s">
        <v>752</v>
      </c>
      <c r="AQ66" s="440" t="s">
        <v>753</v>
      </c>
      <c r="AR66" s="440" t="s">
        <v>746</v>
      </c>
      <c r="AS66" s="559"/>
      <c r="AT66" s="440" t="s">
        <v>751</v>
      </c>
      <c r="AU66" s="440" t="s">
        <v>752</v>
      </c>
      <c r="AV66" s="440" t="s">
        <v>753</v>
      </c>
      <c r="AW66" s="440" t="s">
        <v>746</v>
      </c>
      <c r="AX66" s="559"/>
    </row>
    <row r="67" spans="2:50">
      <c r="B67" s="607" t="s">
        <v>784</v>
      </c>
      <c r="C67" s="436">
        <v>1</v>
      </c>
      <c r="D67" s="226" t="s">
        <v>400</v>
      </c>
      <c r="E67" s="182">
        <v>4</v>
      </c>
      <c r="F67" s="436">
        <v>2000</v>
      </c>
      <c r="G67" s="437">
        <v>500</v>
      </c>
      <c r="H67" s="608">
        <f>AVERAGE(G67:G81)</f>
        <v>291.1648148148148</v>
      </c>
      <c r="I67" s="446">
        <f>AVERAGE(P67,U67,Z67,AE67,AJ67,AO67,AT67)</f>
        <v>5</v>
      </c>
      <c r="J67" s="446">
        <f>AVERAGE(Q67,V67,AA67,AF67,AK67,AP67,AU67)</f>
        <v>2172.5965408852944</v>
      </c>
      <c r="K67" s="438">
        <f>AVERAGE(R67,W67,AB67,AG67,AL67,AQ67,AV67)</f>
        <v>434.51930817705886</v>
      </c>
      <c r="L67" s="540">
        <f>IFERROR(AVERAGE(K67:K81),"-")</f>
        <v>261.47141363125291</v>
      </c>
      <c r="M67" s="445">
        <f>RANK(K67, K$67:$K$81)</f>
        <v>3</v>
      </c>
      <c r="N67" s="559"/>
      <c r="O67" s="559"/>
      <c r="P67" s="182">
        <v>5</v>
      </c>
      <c r="Q67" s="182">
        <v>2177.5384615384614</v>
      </c>
      <c r="R67" s="182">
        <v>435.50769230769231</v>
      </c>
      <c r="S67" s="436">
        <f>RANK(R67, R$67:R$81)</f>
        <v>4</v>
      </c>
      <c r="T67" s="605">
        <f>AVERAGE(R67:R81)</f>
        <v>259.97576747569229</v>
      </c>
      <c r="U67" s="182">
        <v>5</v>
      </c>
      <c r="V67" s="182">
        <v>2132.3809523809532</v>
      </c>
      <c r="W67" s="182">
        <v>426.47619047619065</v>
      </c>
      <c r="X67" s="436">
        <f t="shared" ref="X67:X81" si="29">RANK(W67, W$67:W$81)</f>
        <v>4</v>
      </c>
      <c r="Y67" s="605">
        <f t="shared" ref="Y67" si="30">AVERAGE(W67:W81)</f>
        <v>260.91840878164959</v>
      </c>
      <c r="Z67" s="182">
        <v>5</v>
      </c>
      <c r="AA67" s="182">
        <v>2184.4067796610175</v>
      </c>
      <c r="AB67" s="182">
        <v>436.88135593220352</v>
      </c>
      <c r="AC67" s="436">
        <f t="shared" ref="AC67:AC81" si="31">RANK(AB67, AB$67:AB$81)</f>
        <v>2</v>
      </c>
      <c r="AD67" s="605">
        <f t="shared" ref="AD67" si="32">AVERAGE(AB67:AB81)</f>
        <v>259.71180648253011</v>
      </c>
      <c r="AE67" s="182">
        <v>5</v>
      </c>
      <c r="AF67" s="182">
        <v>2212.1739130434785</v>
      </c>
      <c r="AG67" s="182">
        <v>442.43478260869568</v>
      </c>
      <c r="AH67" s="436">
        <f t="shared" ref="AH67:AH81" si="33">RANK(AG67, AG$67:AG$81)</f>
        <v>2</v>
      </c>
      <c r="AI67" s="605">
        <f t="shared" ref="AI67" si="34">AVERAGE(AG67:AG81)</f>
        <v>266.86943980250629</v>
      </c>
      <c r="AJ67" s="182">
        <v>5</v>
      </c>
      <c r="AK67" s="182">
        <v>2171.1111111111109</v>
      </c>
      <c r="AL67" s="182">
        <v>434.22222222222217</v>
      </c>
      <c r="AM67" s="436">
        <f t="shared" ref="AM67:AM81" si="35">RANK(AL67, AL$67:AL$81)</f>
        <v>3</v>
      </c>
      <c r="AN67" s="605">
        <f t="shared" ref="AN67" si="36">AVERAGE(AL67:AL81)</f>
        <v>263.48404443180198</v>
      </c>
      <c r="AO67" s="182">
        <v>5</v>
      </c>
      <c r="AP67" s="182">
        <v>2166.086956521739</v>
      </c>
      <c r="AQ67" s="182">
        <v>433.21739130434781</v>
      </c>
      <c r="AR67" s="436">
        <f t="shared" ref="AR67:AR81" si="37">RANK(AQ67, AQ$67:AQ$81)</f>
        <v>1</v>
      </c>
      <c r="AS67" s="605">
        <f t="shared" ref="AS67" si="38">AVERAGE(AQ67:AQ81)</f>
        <v>260.08213227376172</v>
      </c>
      <c r="AT67" s="182">
        <v>5</v>
      </c>
      <c r="AU67" s="182">
        <v>2164.4776119402982</v>
      </c>
      <c r="AV67" s="182">
        <v>432.89552238805965</v>
      </c>
      <c r="AW67" s="436">
        <f t="shared" ref="AW67:AW81" si="39">RANK(AV67, AV$67:AV$81)</f>
        <v>3</v>
      </c>
      <c r="AX67" s="605">
        <f t="shared" ref="AX67" si="40">AVERAGE(AV67:AV81)</f>
        <v>259.25829617082877</v>
      </c>
    </row>
    <row r="68" spans="2:50">
      <c r="B68" s="572"/>
      <c r="C68" s="436">
        <v>2</v>
      </c>
      <c r="D68" s="226" t="s">
        <v>452</v>
      </c>
      <c r="E68" s="182">
        <v>4</v>
      </c>
      <c r="F68" s="436">
        <v>2000</v>
      </c>
      <c r="G68" s="437">
        <v>500</v>
      </c>
      <c r="H68" s="609"/>
      <c r="I68" s="446">
        <f t="shared" ref="I68:K78" si="41">AVERAGE(P68,U68,Z68,AE68,AJ68,AO68,AT68)</f>
        <v>5</v>
      </c>
      <c r="J68" s="446">
        <f t="shared" si="41"/>
        <v>2158.6126173603152</v>
      </c>
      <c r="K68" s="438">
        <f t="shared" si="41"/>
        <v>431.72252347206307</v>
      </c>
      <c r="L68" s="541"/>
      <c r="M68" s="445">
        <f>RANK(K68, K$67:$K$81)</f>
        <v>4</v>
      </c>
      <c r="N68" s="559"/>
      <c r="O68" s="559"/>
      <c r="P68" s="182">
        <v>5</v>
      </c>
      <c r="Q68" s="182">
        <v>2184.4067796610175</v>
      </c>
      <c r="R68" s="182">
        <v>436.88135593220352</v>
      </c>
      <c r="S68" s="436">
        <f t="shared" ref="S68:S81" si="42">RANK(R68, R$67:R$81)</f>
        <v>2</v>
      </c>
      <c r="T68" s="605"/>
      <c r="U68" s="182">
        <v>5</v>
      </c>
      <c r="V68" s="182">
        <v>2146.5517241379298</v>
      </c>
      <c r="W68" s="182">
        <v>429.31034482758594</v>
      </c>
      <c r="X68" s="436">
        <f t="shared" si="29"/>
        <v>3</v>
      </c>
      <c r="Y68" s="605"/>
      <c r="Z68" s="182">
        <v>5</v>
      </c>
      <c r="AA68" s="182">
        <v>2127.9999999999986</v>
      </c>
      <c r="AB68" s="182">
        <v>425.59999999999974</v>
      </c>
      <c r="AC68" s="436">
        <f t="shared" si="31"/>
        <v>3</v>
      </c>
      <c r="AD68" s="605"/>
      <c r="AE68" s="182">
        <v>5</v>
      </c>
      <c r="AF68" s="182">
        <v>2154.5454545454545</v>
      </c>
      <c r="AG68" s="182">
        <v>430.90909090909088</v>
      </c>
      <c r="AH68" s="436">
        <f t="shared" si="33"/>
        <v>3</v>
      </c>
      <c r="AI68" s="605"/>
      <c r="AJ68" s="182">
        <v>5</v>
      </c>
      <c r="AK68" s="182">
        <v>2186.5384615384628</v>
      </c>
      <c r="AL68" s="182">
        <v>437.30769230769255</v>
      </c>
      <c r="AM68" s="436">
        <f t="shared" si="35"/>
        <v>2</v>
      </c>
      <c r="AN68" s="605"/>
      <c r="AO68" s="182">
        <v>5</v>
      </c>
      <c r="AP68" s="182">
        <v>2145.245901639345</v>
      </c>
      <c r="AQ68" s="182">
        <v>429.04918032786901</v>
      </c>
      <c r="AR68" s="436">
        <f t="shared" si="37"/>
        <v>2</v>
      </c>
      <c r="AS68" s="605"/>
      <c r="AT68" s="182">
        <v>5</v>
      </c>
      <c r="AU68" s="182">
        <v>2165.0000000000005</v>
      </c>
      <c r="AV68" s="182">
        <v>433.00000000000011</v>
      </c>
      <c r="AW68" s="436">
        <f t="shared" si="39"/>
        <v>2</v>
      </c>
      <c r="AX68" s="605"/>
    </row>
    <row r="69" spans="2:50">
      <c r="B69" s="572"/>
      <c r="C69" s="436">
        <v>3</v>
      </c>
      <c r="D69" s="226" t="s">
        <v>401</v>
      </c>
      <c r="E69" s="182">
        <v>14</v>
      </c>
      <c r="F69" s="436">
        <v>2118</v>
      </c>
      <c r="G69" s="437">
        <v>151.30000000000001</v>
      </c>
      <c r="H69" s="609"/>
      <c r="I69" s="446">
        <f t="shared" si="41"/>
        <v>14</v>
      </c>
      <c r="J69" s="446">
        <f t="shared" si="41"/>
        <v>2063.9979032440497</v>
      </c>
      <c r="K69" s="438">
        <f t="shared" si="41"/>
        <v>147.42842166028927</v>
      </c>
      <c r="L69" s="541"/>
      <c r="M69" s="445">
        <f>RANK(K69, K$67:$K$81)</f>
        <v>11</v>
      </c>
      <c r="N69" s="559"/>
      <c r="O69" s="559"/>
      <c r="P69" s="182">
        <v>14</v>
      </c>
      <c r="Q69" s="182">
        <v>2019.6610169491528</v>
      </c>
      <c r="R69" s="182">
        <v>144.26150121065376</v>
      </c>
      <c r="S69" s="436">
        <f t="shared" si="42"/>
        <v>11</v>
      </c>
      <c r="T69" s="605"/>
      <c r="U69" s="182">
        <v>14</v>
      </c>
      <c r="V69" s="182">
        <v>2101.1320754716976</v>
      </c>
      <c r="W69" s="182">
        <v>150.08086253369268</v>
      </c>
      <c r="X69" s="436">
        <f t="shared" si="29"/>
        <v>11</v>
      </c>
      <c r="Y69" s="605"/>
      <c r="Z69" s="182">
        <v>14</v>
      </c>
      <c r="AA69" s="182">
        <v>2106.4285714285711</v>
      </c>
      <c r="AB69" s="182">
        <v>150.45918367346937</v>
      </c>
      <c r="AC69" s="436">
        <f t="shared" si="31"/>
        <v>11</v>
      </c>
      <c r="AD69" s="605"/>
      <c r="AE69" s="182">
        <v>14</v>
      </c>
      <c r="AF69" s="182">
        <v>2089.9999999999991</v>
      </c>
      <c r="AG69" s="182">
        <v>149.28571428571422</v>
      </c>
      <c r="AH69" s="436">
        <f t="shared" si="33"/>
        <v>11</v>
      </c>
      <c r="AI69" s="605"/>
      <c r="AJ69" s="182">
        <v>14</v>
      </c>
      <c r="AK69" s="182">
        <v>2020.7547169811314</v>
      </c>
      <c r="AL69" s="182">
        <v>144.33962264150938</v>
      </c>
      <c r="AM69" s="436">
        <f t="shared" si="35"/>
        <v>11</v>
      </c>
      <c r="AN69" s="605"/>
      <c r="AO69" s="182">
        <v>14</v>
      </c>
      <c r="AP69" s="182">
        <v>2065.090909090909</v>
      </c>
      <c r="AQ69" s="182">
        <v>147.50649350649351</v>
      </c>
      <c r="AR69" s="436">
        <f t="shared" si="37"/>
        <v>11</v>
      </c>
      <c r="AS69" s="605"/>
      <c r="AT69" s="182">
        <v>14</v>
      </c>
      <c r="AU69" s="182">
        <v>2044.918032786886</v>
      </c>
      <c r="AV69" s="182">
        <v>146.06557377049185</v>
      </c>
      <c r="AW69" s="436">
        <f t="shared" si="39"/>
        <v>11</v>
      </c>
      <c r="AX69" s="605"/>
    </row>
    <row r="70" spans="2:50">
      <c r="B70" s="572"/>
      <c r="C70" s="436">
        <v>4</v>
      </c>
      <c r="D70" s="226" t="s">
        <v>402</v>
      </c>
      <c r="E70" s="182">
        <v>13</v>
      </c>
      <c r="F70" s="436">
        <v>2118</v>
      </c>
      <c r="G70" s="437">
        <v>162.9</v>
      </c>
      <c r="H70" s="609"/>
      <c r="I70" s="446">
        <f t="shared" si="41"/>
        <v>13</v>
      </c>
      <c r="J70" s="446">
        <f t="shared" si="41"/>
        <v>2037.2175581397264</v>
      </c>
      <c r="K70" s="438">
        <f t="shared" si="41"/>
        <v>156.70904293382509</v>
      </c>
      <c r="L70" s="541"/>
      <c r="M70" s="445">
        <f>RANK(K70, K$67:$K$81)</f>
        <v>10</v>
      </c>
      <c r="N70" s="559"/>
      <c r="O70" s="559"/>
      <c r="P70" s="182">
        <v>13</v>
      </c>
      <c r="Q70" s="182">
        <v>2031.6923076923088</v>
      </c>
      <c r="R70" s="182">
        <v>156.28402366863912</v>
      </c>
      <c r="S70" s="436">
        <f t="shared" si="42"/>
        <v>10</v>
      </c>
      <c r="T70" s="605"/>
      <c r="U70" s="182">
        <v>13</v>
      </c>
      <c r="V70" s="182">
        <v>2017.8461538461547</v>
      </c>
      <c r="W70" s="182">
        <v>155.21893491124268</v>
      </c>
      <c r="X70" s="436">
        <f t="shared" si="29"/>
        <v>10</v>
      </c>
      <c r="Y70" s="605"/>
      <c r="Z70" s="182">
        <v>13</v>
      </c>
      <c r="AA70" s="182">
        <v>2027.2727272727282</v>
      </c>
      <c r="AB70" s="182">
        <v>155.944055944056</v>
      </c>
      <c r="AC70" s="436">
        <f t="shared" si="31"/>
        <v>10</v>
      </c>
      <c r="AD70" s="605"/>
      <c r="AE70" s="182">
        <v>13</v>
      </c>
      <c r="AF70" s="182">
        <v>2035.2000000000005</v>
      </c>
      <c r="AG70" s="182">
        <v>156.55384615384619</v>
      </c>
      <c r="AH70" s="436">
        <f t="shared" si="33"/>
        <v>10</v>
      </c>
      <c r="AI70" s="605"/>
      <c r="AJ70" s="182">
        <v>13</v>
      </c>
      <c r="AK70" s="182">
        <v>2033.7931034482763</v>
      </c>
      <c r="AL70" s="182">
        <v>156.44562334217511</v>
      </c>
      <c r="AM70" s="436">
        <f t="shared" si="35"/>
        <v>10</v>
      </c>
      <c r="AN70" s="605"/>
      <c r="AO70" s="182">
        <v>13</v>
      </c>
      <c r="AP70" s="182">
        <v>2063.8095238095243</v>
      </c>
      <c r="AQ70" s="182">
        <v>158.7545787545788</v>
      </c>
      <c r="AR70" s="436">
        <f t="shared" si="37"/>
        <v>10</v>
      </c>
      <c r="AS70" s="605"/>
      <c r="AT70" s="182">
        <v>13</v>
      </c>
      <c r="AU70" s="182">
        <v>2050.9090909090914</v>
      </c>
      <c r="AV70" s="182">
        <v>157.76223776223782</v>
      </c>
      <c r="AW70" s="436">
        <f t="shared" si="39"/>
        <v>10</v>
      </c>
      <c r="AX70" s="605"/>
    </row>
    <row r="71" spans="2:50">
      <c r="B71" s="572"/>
      <c r="C71" s="436">
        <v>5</v>
      </c>
      <c r="D71" s="226" t="s">
        <v>403</v>
      </c>
      <c r="E71" s="182">
        <v>11</v>
      </c>
      <c r="F71" s="436">
        <v>2250</v>
      </c>
      <c r="G71" s="437">
        <v>204.5</v>
      </c>
      <c r="H71" s="609"/>
      <c r="I71" s="446">
        <f t="shared" si="41"/>
        <v>12</v>
      </c>
      <c r="J71" s="446">
        <f t="shared" si="41"/>
        <v>2205.2544038061069</v>
      </c>
      <c r="K71" s="438">
        <f t="shared" si="41"/>
        <v>183.77120031717556</v>
      </c>
      <c r="L71" s="541"/>
      <c r="M71" s="445">
        <f>RANK(K71, K$67:$K$81)</f>
        <v>8</v>
      </c>
      <c r="N71" s="559"/>
      <c r="O71" s="559"/>
      <c r="P71" s="182">
        <v>12</v>
      </c>
      <c r="Q71" s="182">
        <v>2175.211267605634</v>
      </c>
      <c r="R71" s="182">
        <v>181.26760563380284</v>
      </c>
      <c r="S71" s="436">
        <f t="shared" si="42"/>
        <v>8</v>
      </c>
      <c r="T71" s="605"/>
      <c r="U71" s="182">
        <v>12</v>
      </c>
      <c r="V71" s="182">
        <v>2205.6716417910447</v>
      </c>
      <c r="W71" s="182">
        <v>183.80597014925374</v>
      </c>
      <c r="X71" s="436">
        <f t="shared" si="29"/>
        <v>8</v>
      </c>
      <c r="Y71" s="605"/>
      <c r="Z71" s="182">
        <v>12</v>
      </c>
      <c r="AA71" s="182">
        <v>2188.6567164179105</v>
      </c>
      <c r="AB71" s="182">
        <v>182.38805970149255</v>
      </c>
      <c r="AC71" s="436">
        <f t="shared" si="31"/>
        <v>8</v>
      </c>
      <c r="AD71" s="605"/>
      <c r="AE71" s="182">
        <v>12</v>
      </c>
      <c r="AF71" s="182">
        <v>2221.0714285714289</v>
      </c>
      <c r="AG71" s="182">
        <v>185.08928571428575</v>
      </c>
      <c r="AH71" s="436">
        <f t="shared" si="33"/>
        <v>7</v>
      </c>
      <c r="AI71" s="605"/>
      <c r="AJ71" s="182">
        <v>12</v>
      </c>
      <c r="AK71" s="182">
        <v>2200.9523809523816</v>
      </c>
      <c r="AL71" s="182">
        <v>183.41269841269846</v>
      </c>
      <c r="AM71" s="436">
        <f t="shared" si="35"/>
        <v>8</v>
      </c>
      <c r="AN71" s="605"/>
      <c r="AO71" s="182">
        <v>12</v>
      </c>
      <c r="AP71" s="182">
        <v>2225.217391304348</v>
      </c>
      <c r="AQ71" s="182">
        <v>185.43478260869566</v>
      </c>
      <c r="AR71" s="436">
        <f t="shared" si="37"/>
        <v>7</v>
      </c>
      <c r="AS71" s="605"/>
      <c r="AT71" s="182">
        <v>12</v>
      </c>
      <c r="AU71" s="182">
        <v>2220.0000000000005</v>
      </c>
      <c r="AV71" s="182">
        <v>185.00000000000003</v>
      </c>
      <c r="AW71" s="436">
        <f t="shared" si="39"/>
        <v>7</v>
      </c>
      <c r="AX71" s="605"/>
    </row>
    <row r="72" spans="2:50">
      <c r="B72" s="572"/>
      <c r="C72" s="436">
        <v>6</v>
      </c>
      <c r="D72" s="226" t="s">
        <v>404</v>
      </c>
      <c r="E72" s="182">
        <v>12</v>
      </c>
      <c r="F72" s="436">
        <v>2250</v>
      </c>
      <c r="G72" s="437">
        <v>187.5</v>
      </c>
      <c r="H72" s="609"/>
      <c r="I72" s="446">
        <f t="shared" si="41"/>
        <v>13</v>
      </c>
      <c r="J72" s="446">
        <f t="shared" si="41"/>
        <v>2152.2147318830139</v>
      </c>
      <c r="K72" s="438">
        <f t="shared" si="41"/>
        <v>165.55497937561645</v>
      </c>
      <c r="L72" s="541"/>
      <c r="M72" s="445">
        <f>RANK(K72, K$67:$K$81)</f>
        <v>9</v>
      </c>
      <c r="N72" s="559"/>
      <c r="O72" s="559"/>
      <c r="P72" s="182">
        <v>13</v>
      </c>
      <c r="Q72" s="182">
        <v>2092.0000000000005</v>
      </c>
      <c r="R72" s="182">
        <v>160.92307692307696</v>
      </c>
      <c r="S72" s="436">
        <f t="shared" si="42"/>
        <v>9</v>
      </c>
      <c r="T72" s="605"/>
      <c r="U72" s="182">
        <v>13</v>
      </c>
      <c r="V72" s="182">
        <v>2179.090909090909</v>
      </c>
      <c r="W72" s="182">
        <v>167.62237762237763</v>
      </c>
      <c r="X72" s="436">
        <f t="shared" si="29"/>
        <v>9</v>
      </c>
      <c r="Y72" s="605"/>
      <c r="Z72" s="182">
        <v>13</v>
      </c>
      <c r="AA72" s="182">
        <v>2121.5730337078653</v>
      </c>
      <c r="AB72" s="182">
        <v>163.1979256698358</v>
      </c>
      <c r="AC72" s="436">
        <f t="shared" si="31"/>
        <v>9</v>
      </c>
      <c r="AD72" s="605"/>
      <c r="AE72" s="182">
        <v>13</v>
      </c>
      <c r="AF72" s="182">
        <v>2184.0000000000014</v>
      </c>
      <c r="AG72" s="182">
        <v>168.00000000000011</v>
      </c>
      <c r="AH72" s="436">
        <f t="shared" si="33"/>
        <v>9</v>
      </c>
      <c r="AI72" s="605"/>
      <c r="AJ72" s="182">
        <v>13</v>
      </c>
      <c r="AK72" s="182">
        <v>2185.6179775280889</v>
      </c>
      <c r="AL72" s="182">
        <v>168.12445980985299</v>
      </c>
      <c r="AM72" s="436">
        <f t="shared" si="35"/>
        <v>9</v>
      </c>
      <c r="AN72" s="605"/>
      <c r="AO72" s="182">
        <v>13</v>
      </c>
      <c r="AP72" s="182">
        <v>2172.110091743119</v>
      </c>
      <c r="AQ72" s="182">
        <v>167.08539167254762</v>
      </c>
      <c r="AR72" s="436">
        <f t="shared" si="37"/>
        <v>9</v>
      </c>
      <c r="AS72" s="605"/>
      <c r="AT72" s="182">
        <v>13</v>
      </c>
      <c r="AU72" s="182">
        <v>2131.1111111111109</v>
      </c>
      <c r="AV72" s="182">
        <v>163.9316239316239</v>
      </c>
      <c r="AW72" s="436">
        <f t="shared" si="39"/>
        <v>9</v>
      </c>
      <c r="AX72" s="605"/>
    </row>
    <row r="73" spans="2:50">
      <c r="B73" s="572"/>
      <c r="C73" s="436">
        <v>7</v>
      </c>
      <c r="D73" s="226" t="s">
        <v>405</v>
      </c>
      <c r="E73" s="182">
        <v>11</v>
      </c>
      <c r="F73" s="436">
        <v>2118</v>
      </c>
      <c r="G73" s="437">
        <v>192.5</v>
      </c>
      <c r="H73" s="609"/>
      <c r="I73" s="446">
        <f t="shared" si="41"/>
        <v>11</v>
      </c>
      <c r="J73" s="446">
        <f t="shared" si="41"/>
        <v>2046.3851970149371</v>
      </c>
      <c r="K73" s="438">
        <f t="shared" si="41"/>
        <v>186.03501791044886</v>
      </c>
      <c r="L73" s="541"/>
      <c r="M73" s="445">
        <f>RANK(K73, K$67:$K$81)</f>
        <v>6</v>
      </c>
      <c r="N73" s="559"/>
      <c r="O73" s="559"/>
      <c r="P73" s="182">
        <v>11</v>
      </c>
      <c r="Q73" s="182">
        <v>2032.8000000000006</v>
      </c>
      <c r="R73" s="182">
        <v>184.80000000000007</v>
      </c>
      <c r="S73" s="436">
        <f t="shared" si="42"/>
        <v>6</v>
      </c>
      <c r="T73" s="605"/>
      <c r="U73" s="182">
        <v>11</v>
      </c>
      <c r="V73" s="182">
        <v>2057.3636363636365</v>
      </c>
      <c r="W73" s="182">
        <v>187.03305785123968</v>
      </c>
      <c r="X73" s="436">
        <f t="shared" si="29"/>
        <v>6</v>
      </c>
      <c r="Y73" s="605"/>
      <c r="Z73" s="182">
        <v>11</v>
      </c>
      <c r="AA73" s="182">
        <v>2050.7704918032778</v>
      </c>
      <c r="AB73" s="182">
        <v>186.43368107302524</v>
      </c>
      <c r="AC73" s="436">
        <f t="shared" si="31"/>
        <v>6</v>
      </c>
      <c r="AD73" s="605"/>
      <c r="AE73" s="182">
        <v>11</v>
      </c>
      <c r="AF73" s="182">
        <v>2067.4499999999989</v>
      </c>
      <c r="AG73" s="182">
        <v>187.9499999999999</v>
      </c>
      <c r="AH73" s="436">
        <f t="shared" si="33"/>
        <v>6</v>
      </c>
      <c r="AI73" s="605"/>
      <c r="AJ73" s="182">
        <v>11</v>
      </c>
      <c r="AK73" s="182">
        <v>2021.9062499999993</v>
      </c>
      <c r="AL73" s="182">
        <v>183.80965909090904</v>
      </c>
      <c r="AM73" s="436">
        <f t="shared" si="35"/>
        <v>7</v>
      </c>
      <c r="AN73" s="605"/>
      <c r="AO73" s="182">
        <v>11</v>
      </c>
      <c r="AP73" s="182">
        <v>2065.4430379746846</v>
      </c>
      <c r="AQ73" s="182">
        <v>187.7675489067895</v>
      </c>
      <c r="AR73" s="436">
        <f t="shared" si="37"/>
        <v>6</v>
      </c>
      <c r="AS73" s="605"/>
      <c r="AT73" s="182">
        <v>11</v>
      </c>
      <c r="AU73" s="182">
        <v>2028.9629629629624</v>
      </c>
      <c r="AV73" s="182">
        <v>184.45117845117841</v>
      </c>
      <c r="AW73" s="436">
        <f t="shared" si="39"/>
        <v>8</v>
      </c>
      <c r="AX73" s="605"/>
    </row>
    <row r="74" spans="2:50">
      <c r="B74" s="572"/>
      <c r="C74" s="436">
        <v>8</v>
      </c>
      <c r="D74" s="226" t="s">
        <v>399</v>
      </c>
      <c r="E74" s="182">
        <v>18</v>
      </c>
      <c r="F74" s="436">
        <v>1250</v>
      </c>
      <c r="G74" s="437">
        <v>69.444444444444443</v>
      </c>
      <c r="H74" s="609"/>
      <c r="I74" s="446">
        <f t="shared" si="41"/>
        <v>13</v>
      </c>
      <c r="J74" s="446">
        <f t="shared" si="41"/>
        <v>1212.1428571428576</v>
      </c>
      <c r="K74" s="438">
        <f t="shared" si="41"/>
        <v>93.241758241758276</v>
      </c>
      <c r="L74" s="541"/>
      <c r="M74" s="445">
        <f>RANK(K74, K$67:$K$81)</f>
        <v>12</v>
      </c>
      <c r="N74" s="559"/>
      <c r="O74" s="559"/>
      <c r="P74" s="182">
        <v>13</v>
      </c>
      <c r="Q74" s="182">
        <v>1204.5000000000007</v>
      </c>
      <c r="R74" s="182">
        <v>92.653846153846203</v>
      </c>
      <c r="S74" s="436">
        <f t="shared" si="42"/>
        <v>12</v>
      </c>
      <c r="T74" s="605"/>
      <c r="U74" s="182">
        <v>13</v>
      </c>
      <c r="V74" s="182">
        <v>1204.5000000000007</v>
      </c>
      <c r="W74" s="182">
        <v>92.653846153846203</v>
      </c>
      <c r="X74" s="436">
        <f t="shared" si="29"/>
        <v>12</v>
      </c>
      <c r="Y74" s="605"/>
      <c r="Z74" s="182">
        <v>13</v>
      </c>
      <c r="AA74" s="182">
        <v>1239.7500000000007</v>
      </c>
      <c r="AB74" s="182">
        <v>95.36538461538467</v>
      </c>
      <c r="AC74" s="436">
        <f t="shared" si="31"/>
        <v>12</v>
      </c>
      <c r="AD74" s="605"/>
      <c r="AE74" s="182">
        <v>13</v>
      </c>
      <c r="AF74" s="182">
        <v>1271.2000000000005</v>
      </c>
      <c r="AG74" s="182">
        <v>97.784615384615421</v>
      </c>
      <c r="AH74" s="436">
        <f t="shared" si="33"/>
        <v>12</v>
      </c>
      <c r="AI74" s="605"/>
      <c r="AJ74" s="182">
        <v>13</v>
      </c>
      <c r="AK74" s="182">
        <v>1232.2500000000007</v>
      </c>
      <c r="AL74" s="182">
        <v>94.78846153846159</v>
      </c>
      <c r="AM74" s="436">
        <f t="shared" si="35"/>
        <v>12</v>
      </c>
      <c r="AN74" s="605"/>
      <c r="AO74" s="182">
        <v>13</v>
      </c>
      <c r="AP74" s="182">
        <v>1222.8000000000004</v>
      </c>
      <c r="AQ74" s="182">
        <v>94.06153846153849</v>
      </c>
      <c r="AR74" s="436">
        <f t="shared" si="37"/>
        <v>12</v>
      </c>
      <c r="AS74" s="605"/>
      <c r="AT74" s="182">
        <v>13</v>
      </c>
      <c r="AU74" s="182">
        <v>1110.0000000000002</v>
      </c>
      <c r="AV74" s="182">
        <v>85.384615384615401</v>
      </c>
      <c r="AW74" s="436">
        <f t="shared" si="39"/>
        <v>12</v>
      </c>
      <c r="AX74" s="605"/>
    </row>
    <row r="75" spans="2:50">
      <c r="B75" s="572"/>
      <c r="C75" s="436">
        <v>9</v>
      </c>
      <c r="D75" s="226" t="s">
        <v>600</v>
      </c>
      <c r="E75" s="182">
        <v>6</v>
      </c>
      <c r="F75" s="436">
        <v>2000</v>
      </c>
      <c r="G75" s="437">
        <v>333.33333333333331</v>
      </c>
      <c r="H75" s="609"/>
      <c r="I75" s="446">
        <f t="shared" si="41"/>
        <v>6.7142857142857144</v>
      </c>
      <c r="J75" s="446">
        <f t="shared" si="41"/>
        <v>1787.1622495151885</v>
      </c>
      <c r="K75" s="438">
        <f t="shared" si="41"/>
        <v>267.20144468043594</v>
      </c>
      <c r="L75" s="541"/>
      <c r="M75" s="445">
        <f>RANK(K75, K$67:$K$81)</f>
        <v>5</v>
      </c>
      <c r="N75" s="559"/>
      <c r="O75" s="559"/>
      <c r="P75" s="182">
        <v>7</v>
      </c>
      <c r="Q75" s="182">
        <v>1779.9999999999986</v>
      </c>
      <c r="R75" s="182">
        <v>254.28571428571408</v>
      </c>
      <c r="S75" s="436">
        <f t="shared" si="42"/>
        <v>5</v>
      </c>
      <c r="T75" s="605"/>
      <c r="U75" s="182">
        <v>7</v>
      </c>
      <c r="V75" s="182">
        <v>1859.9999999999984</v>
      </c>
      <c r="W75" s="182">
        <v>265.7142857142855</v>
      </c>
      <c r="X75" s="436">
        <f t="shared" si="29"/>
        <v>5</v>
      </c>
      <c r="Y75" s="605"/>
      <c r="Z75" s="182">
        <v>7</v>
      </c>
      <c r="AA75" s="182">
        <v>1867.0588235294094</v>
      </c>
      <c r="AB75" s="182">
        <v>266.72268907562994</v>
      </c>
      <c r="AC75" s="436">
        <f t="shared" si="31"/>
        <v>5</v>
      </c>
      <c r="AD75" s="605"/>
      <c r="AE75" s="182">
        <v>7</v>
      </c>
      <c r="AF75" s="182">
        <v>1706.6666666666654</v>
      </c>
      <c r="AG75" s="182">
        <v>243.80952380952363</v>
      </c>
      <c r="AH75" s="436">
        <f t="shared" si="33"/>
        <v>5</v>
      </c>
      <c r="AI75" s="605"/>
      <c r="AJ75" s="182">
        <v>6</v>
      </c>
      <c r="AK75" s="182">
        <v>1793.3333333333319</v>
      </c>
      <c r="AL75" s="182">
        <v>298.88888888888863</v>
      </c>
      <c r="AM75" s="436">
        <f t="shared" si="35"/>
        <v>5</v>
      </c>
      <c r="AN75" s="605"/>
      <c r="AO75" s="182">
        <v>6</v>
      </c>
      <c r="AP75" s="182">
        <v>1703.0769230769188</v>
      </c>
      <c r="AQ75" s="182">
        <v>283.84615384615313</v>
      </c>
      <c r="AR75" s="436">
        <f t="shared" si="37"/>
        <v>5</v>
      </c>
      <c r="AS75" s="605"/>
      <c r="AT75" s="182">
        <v>7</v>
      </c>
      <c r="AU75" s="182">
        <v>1799.9999999999984</v>
      </c>
      <c r="AV75" s="182">
        <v>257.14285714285694</v>
      </c>
      <c r="AW75" s="436">
        <f t="shared" si="39"/>
        <v>5</v>
      </c>
      <c r="AX75" s="605"/>
    </row>
    <row r="76" spans="2:50">
      <c r="B76" s="572"/>
      <c r="C76" s="436">
        <v>10</v>
      </c>
      <c r="D76" s="226" t="s">
        <v>617</v>
      </c>
      <c r="E76" s="182">
        <v>4</v>
      </c>
      <c r="F76" s="436">
        <v>2000</v>
      </c>
      <c r="G76" s="437">
        <v>500</v>
      </c>
      <c r="H76" s="609"/>
      <c r="I76" s="446">
        <f t="shared" si="41"/>
        <v>4</v>
      </c>
      <c r="J76" s="446">
        <f t="shared" si="41"/>
        <v>1772.8260073260135</v>
      </c>
      <c r="K76" s="438">
        <f t="shared" si="41"/>
        <v>443.20650183150337</v>
      </c>
      <c r="L76" s="541"/>
      <c r="M76" s="445">
        <f>RANK(K76, K$67:$K$81)</f>
        <v>2</v>
      </c>
      <c r="N76" s="559"/>
      <c r="O76" s="559"/>
      <c r="P76" s="182">
        <v>4</v>
      </c>
      <c r="Q76" s="182">
        <v>1820.0000000000066</v>
      </c>
      <c r="R76" s="182">
        <v>455.00000000000165</v>
      </c>
      <c r="S76" s="436">
        <f t="shared" si="42"/>
        <v>1</v>
      </c>
      <c r="T76" s="605"/>
      <c r="U76" s="182">
        <v>4</v>
      </c>
      <c r="V76" s="182">
        <v>1804.6153846153909</v>
      </c>
      <c r="W76" s="182">
        <v>451.15384615384772</v>
      </c>
      <c r="X76" s="436">
        <f t="shared" si="29"/>
        <v>1</v>
      </c>
      <c r="Y76" s="605"/>
      <c r="Z76" s="182">
        <v>4</v>
      </c>
      <c r="AA76" s="182">
        <v>1785.0000000000064</v>
      </c>
      <c r="AB76" s="182">
        <v>446.25000000000159</v>
      </c>
      <c r="AC76" s="436">
        <f t="shared" si="31"/>
        <v>1</v>
      </c>
      <c r="AD76" s="605"/>
      <c r="AE76" s="182">
        <v>4</v>
      </c>
      <c r="AF76" s="182">
        <v>1702.5000000000059</v>
      </c>
      <c r="AG76" s="182">
        <v>425.62500000000148</v>
      </c>
      <c r="AH76" s="436">
        <f t="shared" si="33"/>
        <v>4</v>
      </c>
      <c r="AI76" s="605"/>
      <c r="AJ76" s="182">
        <v>4</v>
      </c>
      <c r="AK76" s="182">
        <v>1806.0000000000064</v>
      </c>
      <c r="AL76" s="182">
        <v>451.50000000000159</v>
      </c>
      <c r="AM76" s="436">
        <f t="shared" si="35"/>
        <v>1</v>
      </c>
      <c r="AN76" s="605"/>
      <c r="AO76" s="182">
        <v>4</v>
      </c>
      <c r="AP76" s="182">
        <v>1706.6666666666727</v>
      </c>
      <c r="AQ76" s="182">
        <v>426.66666666666816</v>
      </c>
      <c r="AR76" s="436">
        <f t="shared" si="37"/>
        <v>3</v>
      </c>
      <c r="AS76" s="605"/>
      <c r="AT76" s="182">
        <v>4</v>
      </c>
      <c r="AU76" s="182">
        <v>1785.0000000000064</v>
      </c>
      <c r="AV76" s="182">
        <v>446.25000000000159</v>
      </c>
      <c r="AW76" s="436">
        <f t="shared" si="39"/>
        <v>1</v>
      </c>
      <c r="AX76" s="605"/>
    </row>
    <row r="77" spans="2:50">
      <c r="B77" s="572"/>
      <c r="C77" s="436">
        <v>11</v>
      </c>
      <c r="D77" s="226" t="s">
        <v>632</v>
      </c>
      <c r="E77" s="182">
        <v>11</v>
      </c>
      <c r="F77" s="436">
        <v>2250</v>
      </c>
      <c r="G77" s="437">
        <v>192.5</v>
      </c>
      <c r="H77" s="609"/>
      <c r="I77" s="446">
        <f t="shared" si="41"/>
        <v>12</v>
      </c>
      <c r="J77" s="446">
        <f t="shared" si="41"/>
        <v>2205.3253762665831</v>
      </c>
      <c r="K77" s="438">
        <f t="shared" si="41"/>
        <v>183.77711468888188</v>
      </c>
      <c r="L77" s="541"/>
      <c r="M77" s="445">
        <f>RANK(K77, K$67:$K$81)</f>
        <v>7</v>
      </c>
      <c r="N77" s="559"/>
      <c r="O77" s="559"/>
      <c r="P77" s="182">
        <v>12</v>
      </c>
      <c r="Q77" s="182">
        <v>2180.8695652173915</v>
      </c>
      <c r="R77" s="182">
        <v>181.73913043478262</v>
      </c>
      <c r="S77" s="436">
        <f t="shared" si="42"/>
        <v>7</v>
      </c>
      <c r="T77" s="605"/>
      <c r="U77" s="182">
        <v>12</v>
      </c>
      <c r="V77" s="182">
        <v>2205.8823529411761</v>
      </c>
      <c r="W77" s="182">
        <v>183.82352941176467</v>
      </c>
      <c r="X77" s="436">
        <f t="shared" si="29"/>
        <v>7</v>
      </c>
      <c r="Y77" s="605"/>
      <c r="Z77" s="182">
        <v>12</v>
      </c>
      <c r="AA77" s="182">
        <v>2214.7499999999991</v>
      </c>
      <c r="AB77" s="182">
        <v>184.56249999999991</v>
      </c>
      <c r="AC77" s="436">
        <f t="shared" si="31"/>
        <v>7</v>
      </c>
      <c r="AD77" s="605"/>
      <c r="AE77" s="182">
        <v>12</v>
      </c>
      <c r="AF77" s="182">
        <v>2178.157894736843</v>
      </c>
      <c r="AG77" s="182">
        <v>181.51315789473691</v>
      </c>
      <c r="AH77" s="436">
        <f t="shared" si="33"/>
        <v>8</v>
      </c>
      <c r="AI77" s="605"/>
      <c r="AJ77" s="182">
        <v>12</v>
      </c>
      <c r="AK77" s="182">
        <v>2224.7368421052643</v>
      </c>
      <c r="AL77" s="182">
        <v>185.39473684210535</v>
      </c>
      <c r="AM77" s="436">
        <f t="shared" si="35"/>
        <v>6</v>
      </c>
      <c r="AN77" s="605"/>
      <c r="AO77" s="182">
        <v>12</v>
      </c>
      <c r="AP77" s="182">
        <v>2183.2258064516132</v>
      </c>
      <c r="AQ77" s="182">
        <v>181.93548387096777</v>
      </c>
      <c r="AR77" s="436">
        <f t="shared" si="37"/>
        <v>8</v>
      </c>
      <c r="AS77" s="605"/>
      <c r="AT77" s="182">
        <v>12</v>
      </c>
      <c r="AU77" s="182">
        <v>2249.6551724137926</v>
      </c>
      <c r="AV77" s="182">
        <v>187.47126436781605</v>
      </c>
      <c r="AW77" s="436">
        <f t="shared" si="39"/>
        <v>6</v>
      </c>
      <c r="AX77" s="605"/>
    </row>
    <row r="78" spans="2:50">
      <c r="B78" s="572"/>
      <c r="C78" s="436">
        <v>12</v>
      </c>
      <c r="D78" s="226" t="s">
        <v>785</v>
      </c>
      <c r="E78" s="182">
        <v>4</v>
      </c>
      <c r="F78" s="436">
        <v>2000</v>
      </c>
      <c r="G78" s="437">
        <v>500</v>
      </c>
      <c r="H78" s="609"/>
      <c r="I78" s="446">
        <f t="shared" si="41"/>
        <v>4.8571428571428568</v>
      </c>
      <c r="J78" s="446">
        <f t="shared" si="41"/>
        <v>2146.2370713056707</v>
      </c>
      <c r="K78" s="438">
        <f t="shared" si="41"/>
        <v>444.48965028597883</v>
      </c>
      <c r="L78" s="541"/>
      <c r="M78" s="445">
        <f>RANK(K78, K$67:$K$81)</f>
        <v>1</v>
      </c>
      <c r="N78" s="559"/>
      <c r="O78" s="559"/>
      <c r="P78" s="182">
        <v>5</v>
      </c>
      <c r="Q78" s="182">
        <v>2180.5263157894719</v>
      </c>
      <c r="R78" s="182">
        <v>436.1052631578944</v>
      </c>
      <c r="S78" s="436">
        <f t="shared" si="42"/>
        <v>3</v>
      </c>
      <c r="T78" s="605"/>
      <c r="U78" s="182">
        <v>5</v>
      </c>
      <c r="V78" s="182">
        <v>2190.6382978723409</v>
      </c>
      <c r="W78" s="182">
        <v>438.12765957446817</v>
      </c>
      <c r="X78" s="436">
        <f t="shared" si="29"/>
        <v>2</v>
      </c>
      <c r="Y78" s="605"/>
      <c r="Z78" s="182">
        <v>5</v>
      </c>
      <c r="AA78" s="182">
        <v>2113.6842105263145</v>
      </c>
      <c r="AB78" s="182">
        <v>422.73684210526289</v>
      </c>
      <c r="AC78" s="436">
        <f t="shared" si="31"/>
        <v>4</v>
      </c>
      <c r="AD78" s="605"/>
      <c r="AE78" s="182">
        <v>4</v>
      </c>
      <c r="AF78" s="182">
        <v>2133.913043478261</v>
      </c>
      <c r="AG78" s="182">
        <v>533.47826086956525</v>
      </c>
      <c r="AH78" s="436">
        <f t="shared" si="33"/>
        <v>1</v>
      </c>
      <c r="AI78" s="605"/>
      <c r="AJ78" s="182">
        <v>5</v>
      </c>
      <c r="AK78" s="182">
        <v>2117.872340425532</v>
      </c>
      <c r="AL78" s="182">
        <v>423.57446808510639</v>
      </c>
      <c r="AM78" s="436">
        <f t="shared" si="35"/>
        <v>4</v>
      </c>
      <c r="AN78" s="605"/>
      <c r="AO78" s="182">
        <v>5</v>
      </c>
      <c r="AP78" s="182">
        <v>2128.3018867924538</v>
      </c>
      <c r="AQ78" s="182">
        <v>425.66037735849079</v>
      </c>
      <c r="AR78" s="436">
        <f t="shared" si="37"/>
        <v>4</v>
      </c>
      <c r="AS78" s="605"/>
      <c r="AT78" s="182">
        <v>5</v>
      </c>
      <c r="AU78" s="182">
        <v>2158.7234042553196</v>
      </c>
      <c r="AV78" s="182">
        <v>431.74468085106389</v>
      </c>
      <c r="AW78" s="436">
        <f t="shared" si="39"/>
        <v>4</v>
      </c>
      <c r="AX78" s="605"/>
    </row>
    <row r="79" spans="2:50">
      <c r="B79" s="572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41"/>
      <c r="M79" s="445" t="e">
        <f>RANK(K79, K$67:$K$81)</f>
        <v>#N/A</v>
      </c>
      <c r="N79" s="559"/>
      <c r="O79" s="559"/>
      <c r="P79" s="182"/>
      <c r="Q79" s="182"/>
      <c r="R79" s="182"/>
      <c r="S79" s="436" t="e">
        <f t="shared" si="42"/>
        <v>#N/A</v>
      </c>
      <c r="T79" s="605"/>
      <c r="U79" s="182"/>
      <c r="V79" s="182"/>
      <c r="W79" s="182"/>
      <c r="X79" s="436" t="e">
        <f t="shared" si="29"/>
        <v>#N/A</v>
      </c>
      <c r="Y79" s="605"/>
      <c r="Z79" s="182"/>
      <c r="AA79" s="182"/>
      <c r="AB79" s="182"/>
      <c r="AC79" s="436" t="e">
        <f t="shared" si="31"/>
        <v>#N/A</v>
      </c>
      <c r="AD79" s="605"/>
      <c r="AE79" s="182"/>
      <c r="AF79" s="182"/>
      <c r="AG79" s="182"/>
      <c r="AH79" s="436" t="e">
        <f t="shared" si="33"/>
        <v>#N/A</v>
      </c>
      <c r="AI79" s="605"/>
      <c r="AJ79" s="182"/>
      <c r="AK79" s="182"/>
      <c r="AL79" s="182"/>
      <c r="AM79" s="436" t="e">
        <f t="shared" si="35"/>
        <v>#N/A</v>
      </c>
      <c r="AN79" s="605"/>
      <c r="AO79" s="182"/>
      <c r="AP79" s="182"/>
      <c r="AQ79" s="182"/>
      <c r="AR79" s="436" t="e">
        <f t="shared" si="37"/>
        <v>#N/A</v>
      </c>
      <c r="AS79" s="605"/>
      <c r="AT79" s="182"/>
      <c r="AU79" s="182"/>
      <c r="AV79" s="182"/>
      <c r="AW79" s="436" t="e">
        <f t="shared" si="39"/>
        <v>#N/A</v>
      </c>
      <c r="AX79" s="605"/>
    </row>
    <row r="80" spans="2:50">
      <c r="B80" s="572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41"/>
      <c r="M80" s="445" t="e">
        <f>RANK(K80, K$67:$K$81)</f>
        <v>#N/A</v>
      </c>
      <c r="N80" s="559"/>
      <c r="O80" s="559"/>
      <c r="P80" s="182"/>
      <c r="Q80" s="182"/>
      <c r="R80" s="182"/>
      <c r="S80" s="436" t="e">
        <f t="shared" si="42"/>
        <v>#N/A</v>
      </c>
      <c r="T80" s="605"/>
      <c r="U80" s="182"/>
      <c r="V80" s="182"/>
      <c r="W80" s="182"/>
      <c r="X80" s="436" t="e">
        <f t="shared" si="29"/>
        <v>#N/A</v>
      </c>
      <c r="Y80" s="605"/>
      <c r="Z80" s="182"/>
      <c r="AA80" s="182"/>
      <c r="AB80" s="182"/>
      <c r="AC80" s="436" t="e">
        <f t="shared" si="31"/>
        <v>#N/A</v>
      </c>
      <c r="AD80" s="605"/>
      <c r="AE80" s="182"/>
      <c r="AF80" s="182"/>
      <c r="AG80" s="182"/>
      <c r="AH80" s="436" t="e">
        <f t="shared" si="33"/>
        <v>#N/A</v>
      </c>
      <c r="AI80" s="605"/>
      <c r="AJ80" s="182"/>
      <c r="AK80" s="182"/>
      <c r="AL80" s="182"/>
      <c r="AM80" s="436" t="e">
        <f t="shared" si="35"/>
        <v>#N/A</v>
      </c>
      <c r="AN80" s="605"/>
      <c r="AO80" s="182"/>
      <c r="AP80" s="182"/>
      <c r="AQ80" s="182"/>
      <c r="AR80" s="436" t="e">
        <f t="shared" si="37"/>
        <v>#N/A</v>
      </c>
      <c r="AS80" s="605"/>
      <c r="AT80" s="182"/>
      <c r="AU80" s="182"/>
      <c r="AV80" s="182"/>
      <c r="AW80" s="436" t="e">
        <f t="shared" si="39"/>
        <v>#N/A</v>
      </c>
      <c r="AX80" s="605"/>
    </row>
    <row r="81" spans="2:50">
      <c r="B81" s="572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42"/>
      <c r="M81" s="445" t="e">
        <f>RANK(K81, K$67:$K$81)</f>
        <v>#N/A</v>
      </c>
      <c r="N81" s="559"/>
      <c r="O81" s="559"/>
      <c r="P81" s="182"/>
      <c r="Q81" s="182"/>
      <c r="R81" s="182"/>
      <c r="S81" s="436" t="e">
        <f t="shared" si="42"/>
        <v>#N/A</v>
      </c>
      <c r="T81" s="605"/>
      <c r="U81" s="182"/>
      <c r="V81" s="182"/>
      <c r="W81" s="182"/>
      <c r="X81" s="436" t="e">
        <f t="shared" si="29"/>
        <v>#N/A</v>
      </c>
      <c r="Y81" s="605"/>
      <c r="Z81" s="182"/>
      <c r="AA81" s="182"/>
      <c r="AB81" s="182"/>
      <c r="AC81" s="436" t="e">
        <f t="shared" si="31"/>
        <v>#N/A</v>
      </c>
      <c r="AD81" s="605"/>
      <c r="AE81" s="182"/>
      <c r="AF81" s="182"/>
      <c r="AG81" s="182"/>
      <c r="AH81" s="436" t="e">
        <f t="shared" si="33"/>
        <v>#N/A</v>
      </c>
      <c r="AI81" s="605"/>
      <c r="AJ81" s="182"/>
      <c r="AK81" s="182"/>
      <c r="AL81" s="182"/>
      <c r="AM81" s="436" t="e">
        <f t="shared" si="35"/>
        <v>#N/A</v>
      </c>
      <c r="AN81" s="605"/>
      <c r="AO81" s="182"/>
      <c r="AP81" s="182"/>
      <c r="AQ81" s="182"/>
      <c r="AR81" s="436" t="e">
        <f t="shared" si="37"/>
        <v>#N/A</v>
      </c>
      <c r="AS81" s="605"/>
      <c r="AT81" s="182"/>
      <c r="AU81" s="182"/>
      <c r="AV81" s="182"/>
      <c r="AW81" s="436" t="e">
        <f t="shared" si="39"/>
        <v>#N/A</v>
      </c>
      <c r="AX81" s="605"/>
    </row>
    <row r="82" spans="2:50" ht="15.75">
      <c r="B82" s="576" t="s">
        <v>162</v>
      </c>
      <c r="C82" s="577"/>
      <c r="D82" s="577"/>
      <c r="E82" s="577"/>
      <c r="F82" s="577"/>
      <c r="G82" s="577"/>
      <c r="H82" s="578"/>
      <c r="I82" s="208"/>
      <c r="J82" s="208"/>
      <c r="K82" s="208"/>
      <c r="L82" s="208"/>
      <c r="M82" s="207"/>
      <c r="N82" s="565" t="s">
        <v>640</v>
      </c>
      <c r="O82" s="565" t="s">
        <v>641</v>
      </c>
      <c r="P82" s="571">
        <f>P62+7</f>
        <v>28</v>
      </c>
      <c r="Q82" s="572"/>
      <c r="R82" s="572"/>
      <c r="S82" s="572"/>
      <c r="T82" s="572"/>
      <c r="U82" s="568">
        <f>P82+1</f>
        <v>29</v>
      </c>
      <c r="V82" s="569"/>
      <c r="W82" s="569"/>
      <c r="X82" s="569"/>
      <c r="Y82" s="570"/>
      <c r="Z82" s="568">
        <f>U82+1</f>
        <v>30</v>
      </c>
      <c r="AA82" s="569"/>
      <c r="AB82" s="569"/>
      <c r="AC82" s="569"/>
      <c r="AD82" s="570"/>
      <c r="AE82" s="568">
        <f>Z82+1</f>
        <v>31</v>
      </c>
      <c r="AF82" s="569"/>
      <c r="AG82" s="569"/>
      <c r="AH82" s="569"/>
      <c r="AI82" s="570"/>
      <c r="AJ82" s="568">
        <f>AE82+1</f>
        <v>32</v>
      </c>
      <c r="AK82" s="569"/>
      <c r="AL82" s="569"/>
      <c r="AM82" s="569"/>
      <c r="AN82" s="570"/>
      <c r="AO82" s="568">
        <f>AJ82+1</f>
        <v>33</v>
      </c>
      <c r="AP82" s="569"/>
      <c r="AQ82" s="569"/>
      <c r="AR82" s="569"/>
      <c r="AS82" s="570"/>
      <c r="AT82" s="568">
        <f>AO82+1</f>
        <v>34</v>
      </c>
      <c r="AU82" s="569"/>
      <c r="AV82" s="569"/>
      <c r="AW82" s="569"/>
      <c r="AX82" s="570"/>
    </row>
    <row r="83" spans="2:50" ht="15.75">
      <c r="B83" s="579"/>
      <c r="C83" s="579"/>
      <c r="D83" s="579"/>
      <c r="E83" s="579"/>
      <c r="F83" s="579"/>
      <c r="G83" s="579"/>
      <c r="H83" s="579"/>
      <c r="I83" s="205"/>
      <c r="J83" s="205"/>
      <c r="K83" s="205"/>
      <c r="L83" s="205"/>
      <c r="M83" s="206"/>
      <c r="N83" s="567"/>
      <c r="O83" s="567"/>
      <c r="P83" s="571" t="s">
        <v>642</v>
      </c>
      <c r="Q83" s="572"/>
      <c r="R83" s="572"/>
      <c r="S83" s="572"/>
      <c r="T83" s="572"/>
      <c r="U83" s="571" t="s">
        <v>643</v>
      </c>
      <c r="V83" s="572"/>
      <c r="W83" s="572"/>
      <c r="X83" s="572"/>
      <c r="Y83" s="572"/>
      <c r="Z83" s="571" t="s">
        <v>644</v>
      </c>
      <c r="AA83" s="572"/>
      <c r="AB83" s="572"/>
      <c r="AC83" s="572"/>
      <c r="AD83" s="572"/>
      <c r="AE83" s="571" t="s">
        <v>645</v>
      </c>
      <c r="AF83" s="572"/>
      <c r="AG83" s="572"/>
      <c r="AH83" s="572"/>
      <c r="AI83" s="572"/>
      <c r="AJ83" s="571" t="s">
        <v>646</v>
      </c>
      <c r="AK83" s="572"/>
      <c r="AL83" s="572"/>
      <c r="AM83" s="572"/>
      <c r="AN83" s="572"/>
      <c r="AO83" s="571" t="s">
        <v>647</v>
      </c>
      <c r="AP83" s="572"/>
      <c r="AQ83" s="572"/>
      <c r="AR83" s="572"/>
      <c r="AS83" s="572"/>
      <c r="AT83" s="571" t="s">
        <v>648</v>
      </c>
      <c r="AU83" s="572"/>
      <c r="AV83" s="572"/>
      <c r="AW83" s="572"/>
      <c r="AX83" s="572"/>
    </row>
    <row r="84" spans="2:50">
      <c r="B84" s="559" t="s">
        <v>817</v>
      </c>
      <c r="C84" s="559" t="s">
        <v>818</v>
      </c>
      <c r="D84" s="559"/>
      <c r="E84" s="559" t="s">
        <v>819</v>
      </c>
      <c r="F84" s="559"/>
      <c r="G84" s="559"/>
      <c r="H84" s="560" t="s">
        <v>820</v>
      </c>
      <c r="I84" s="543" t="s">
        <v>821</v>
      </c>
      <c r="J84" s="543"/>
      <c r="K84" s="543"/>
      <c r="L84" s="544" t="s">
        <v>820</v>
      </c>
      <c r="M84" s="550" t="s">
        <v>839</v>
      </c>
      <c r="N84" s="559"/>
      <c r="O84" s="559" t="s">
        <v>840</v>
      </c>
      <c r="P84" s="556" t="s">
        <v>841</v>
      </c>
      <c r="Q84" s="557"/>
      <c r="R84" s="557"/>
      <c r="S84" s="558"/>
      <c r="T84" s="559" t="s">
        <v>820</v>
      </c>
      <c r="U84" s="556" t="s">
        <v>841</v>
      </c>
      <c r="V84" s="557"/>
      <c r="W84" s="557"/>
      <c r="X84" s="558"/>
      <c r="Y84" s="559" t="s">
        <v>820</v>
      </c>
      <c r="Z84" s="556" t="s">
        <v>841</v>
      </c>
      <c r="AA84" s="557"/>
      <c r="AB84" s="557"/>
      <c r="AC84" s="558"/>
      <c r="AD84" s="559" t="s">
        <v>820</v>
      </c>
      <c r="AE84" s="556" t="s">
        <v>841</v>
      </c>
      <c r="AF84" s="557"/>
      <c r="AG84" s="557"/>
      <c r="AH84" s="558"/>
      <c r="AI84" s="559" t="s">
        <v>820</v>
      </c>
      <c r="AJ84" s="556" t="s">
        <v>841</v>
      </c>
      <c r="AK84" s="557"/>
      <c r="AL84" s="557"/>
      <c r="AM84" s="558"/>
      <c r="AN84" s="559" t="s">
        <v>820</v>
      </c>
      <c r="AO84" s="556" t="s">
        <v>633</v>
      </c>
      <c r="AP84" s="557"/>
      <c r="AQ84" s="557"/>
      <c r="AR84" s="558"/>
      <c r="AS84" s="559" t="s">
        <v>634</v>
      </c>
      <c r="AT84" s="556" t="s">
        <v>633</v>
      </c>
      <c r="AU84" s="557"/>
      <c r="AV84" s="557"/>
      <c r="AW84" s="558"/>
      <c r="AX84" s="559" t="s">
        <v>634</v>
      </c>
    </row>
    <row r="85" spans="2:50">
      <c r="B85" s="559"/>
      <c r="C85" s="559"/>
      <c r="D85" s="559"/>
      <c r="E85" s="559" t="s">
        <v>842</v>
      </c>
      <c r="F85" s="559"/>
      <c r="G85" s="559"/>
      <c r="H85" s="561"/>
      <c r="I85" s="543" t="s">
        <v>842</v>
      </c>
      <c r="J85" s="543"/>
      <c r="K85" s="543"/>
      <c r="L85" s="545"/>
      <c r="M85" s="551"/>
      <c r="N85" s="559"/>
      <c r="O85" s="559"/>
      <c r="P85" s="556" t="s">
        <v>831</v>
      </c>
      <c r="Q85" s="557"/>
      <c r="R85" s="557"/>
      <c r="S85" s="558"/>
      <c r="T85" s="559"/>
      <c r="U85" s="556" t="s">
        <v>831</v>
      </c>
      <c r="V85" s="557"/>
      <c r="W85" s="557"/>
      <c r="X85" s="558"/>
      <c r="Y85" s="559"/>
      <c r="Z85" s="556" t="s">
        <v>831</v>
      </c>
      <c r="AA85" s="557"/>
      <c r="AB85" s="557"/>
      <c r="AC85" s="558"/>
      <c r="AD85" s="559"/>
      <c r="AE85" s="556" t="s">
        <v>831</v>
      </c>
      <c r="AF85" s="557"/>
      <c r="AG85" s="557"/>
      <c r="AH85" s="558"/>
      <c r="AI85" s="559"/>
      <c r="AJ85" s="556" t="s">
        <v>831</v>
      </c>
      <c r="AK85" s="557"/>
      <c r="AL85" s="557"/>
      <c r="AM85" s="558"/>
      <c r="AN85" s="559"/>
      <c r="AO85" s="556" t="s">
        <v>635</v>
      </c>
      <c r="AP85" s="557"/>
      <c r="AQ85" s="557"/>
      <c r="AR85" s="558"/>
      <c r="AS85" s="559"/>
      <c r="AT85" s="556" t="s">
        <v>635</v>
      </c>
      <c r="AU85" s="557"/>
      <c r="AV85" s="557"/>
      <c r="AW85" s="558"/>
      <c r="AX85" s="559"/>
    </row>
    <row r="86" spans="2:50">
      <c r="B86" s="559"/>
      <c r="C86" s="559"/>
      <c r="D86" s="559"/>
      <c r="E86" s="450" t="s">
        <v>838</v>
      </c>
      <c r="F86" s="450" t="s">
        <v>836</v>
      </c>
      <c r="G86" s="450" t="s">
        <v>837</v>
      </c>
      <c r="H86" s="562"/>
      <c r="I86" s="449" t="s">
        <v>838</v>
      </c>
      <c r="J86" s="449" t="s">
        <v>836</v>
      </c>
      <c r="K86" s="449" t="s">
        <v>837</v>
      </c>
      <c r="L86" s="546"/>
      <c r="M86" s="552"/>
      <c r="N86" s="559"/>
      <c r="O86" s="559"/>
      <c r="P86" s="450" t="s">
        <v>838</v>
      </c>
      <c r="Q86" s="450" t="s">
        <v>836</v>
      </c>
      <c r="R86" s="450" t="s">
        <v>837</v>
      </c>
      <c r="S86" s="450" t="s">
        <v>839</v>
      </c>
      <c r="T86" s="559"/>
      <c r="U86" s="450" t="s">
        <v>838</v>
      </c>
      <c r="V86" s="450" t="s">
        <v>836</v>
      </c>
      <c r="W86" s="450" t="s">
        <v>837</v>
      </c>
      <c r="X86" s="450" t="s">
        <v>839</v>
      </c>
      <c r="Y86" s="559"/>
      <c r="Z86" s="450" t="s">
        <v>838</v>
      </c>
      <c r="AA86" s="450" t="s">
        <v>836</v>
      </c>
      <c r="AB86" s="450" t="s">
        <v>837</v>
      </c>
      <c r="AC86" s="450" t="s">
        <v>839</v>
      </c>
      <c r="AD86" s="559"/>
      <c r="AE86" s="450" t="s">
        <v>838</v>
      </c>
      <c r="AF86" s="450" t="s">
        <v>836</v>
      </c>
      <c r="AG86" s="450" t="s">
        <v>837</v>
      </c>
      <c r="AH86" s="450" t="s">
        <v>839</v>
      </c>
      <c r="AI86" s="559"/>
      <c r="AJ86" s="450" t="s">
        <v>838</v>
      </c>
      <c r="AK86" s="450" t="s">
        <v>836</v>
      </c>
      <c r="AL86" s="450" t="s">
        <v>837</v>
      </c>
      <c r="AM86" s="450" t="s">
        <v>839</v>
      </c>
      <c r="AN86" s="559"/>
      <c r="AO86" s="389" t="s">
        <v>637</v>
      </c>
      <c r="AP86" s="389" t="s">
        <v>636</v>
      </c>
      <c r="AQ86" s="389" t="s">
        <v>638</v>
      </c>
      <c r="AR86" s="389" t="s">
        <v>639</v>
      </c>
      <c r="AS86" s="559"/>
      <c r="AT86" s="389" t="s">
        <v>637</v>
      </c>
      <c r="AU86" s="389" t="s">
        <v>636</v>
      </c>
      <c r="AV86" s="389" t="s">
        <v>638</v>
      </c>
      <c r="AW86" s="389" t="s">
        <v>639</v>
      </c>
      <c r="AX86" s="559"/>
    </row>
    <row r="87" spans="2:50">
      <c r="B87" s="607" t="s">
        <v>844</v>
      </c>
      <c r="C87" s="451">
        <v>1</v>
      </c>
      <c r="D87" s="226" t="s">
        <v>400</v>
      </c>
      <c r="E87" s="182">
        <v>4</v>
      </c>
      <c r="F87" s="451">
        <v>2000</v>
      </c>
      <c r="G87" s="453">
        <v>500</v>
      </c>
      <c r="H87" s="608">
        <f>AVERAGE(G87:G101)</f>
        <v>291.83148148148149</v>
      </c>
      <c r="I87" s="456">
        <f>AVERAGE(P87,U87,Z87,AE87,AJ87,AO87,AT87)</f>
        <v>5</v>
      </c>
      <c r="J87" s="456">
        <f>AVERAGE(Q87,V87,AA87,AF87,AK87,AP87,AU87)</f>
        <v>2169.9666488636117</v>
      </c>
      <c r="K87" s="454">
        <f>AVERAGE(R87,W87,AB87,AG87,AL87,AQ87,AV87)</f>
        <v>433.9933297727224</v>
      </c>
      <c r="L87" s="540">
        <f>IFERROR(AVERAGE(K87:K101),"-")</f>
        <v>254.61804773822141</v>
      </c>
      <c r="M87" s="455">
        <f>RANK(K87, K$87:$K$101)</f>
        <v>1</v>
      </c>
      <c r="N87" s="559"/>
      <c r="O87" s="559"/>
      <c r="P87" s="182">
        <v>5</v>
      </c>
      <c r="Q87" s="182">
        <v>2180.6557377049185</v>
      </c>
      <c r="R87" s="182">
        <v>436.1311475409837</v>
      </c>
      <c r="S87" s="451">
        <f>RANK(R87, R$87:R$101)</f>
        <v>1</v>
      </c>
      <c r="T87" s="605">
        <f>AVERAGE(R87:R101)</f>
        <v>255.55956847653781</v>
      </c>
      <c r="U87" s="182">
        <v>5</v>
      </c>
      <c r="V87" s="182">
        <v>2194.1379310344828</v>
      </c>
      <c r="W87" s="182">
        <v>438.82758620689657</v>
      </c>
      <c r="X87" s="451">
        <f t="shared" ref="X87:X101" si="43">RANK(W87, W$87:W$101)</f>
        <v>1</v>
      </c>
      <c r="Y87" s="605">
        <f t="shared" ref="Y87" si="44">AVERAGE(W87:W101)</f>
        <v>254.19939839950902</v>
      </c>
      <c r="Z87" s="182">
        <v>5</v>
      </c>
      <c r="AA87" s="182">
        <v>2175.5555555555552</v>
      </c>
      <c r="AB87" s="182">
        <v>435.11111111111103</v>
      </c>
      <c r="AC87" s="451">
        <f t="shared" ref="AC87:AC101" si="45">RANK(AB87, AB$87:AB$101)</f>
        <v>1</v>
      </c>
      <c r="AD87" s="605">
        <f t="shared" ref="AD87" si="46">AVERAGE(AB87:AB101)</f>
        <v>254.28772393120713</v>
      </c>
      <c r="AE87" s="182">
        <v>5</v>
      </c>
      <c r="AF87" s="182">
        <v>2128.1632653061229</v>
      </c>
      <c r="AG87" s="182">
        <v>425.63265306122457</v>
      </c>
      <c r="AH87" s="451">
        <f t="shared" ref="AH87:AH101" si="47">RANK(AG87, AG$87:AG$101)</f>
        <v>2</v>
      </c>
      <c r="AI87" s="605">
        <f t="shared" ref="AI87" si="48">AVERAGE(AG87:AG101)</f>
        <v>253.42354824872032</v>
      </c>
      <c r="AJ87" s="182">
        <v>5</v>
      </c>
      <c r="AK87" s="182">
        <v>2171.3207547169809</v>
      </c>
      <c r="AL87" s="182">
        <v>434.2641509433962</v>
      </c>
      <c r="AM87" s="451">
        <f t="shared" ref="AM87:AM101" si="49">RANK(AL87, AL$87:AL$101)</f>
        <v>1</v>
      </c>
      <c r="AN87" s="605">
        <f t="shared" ref="AN87" si="50">AVERAGE(AL87:AL101)</f>
        <v>255.61999963513301</v>
      </c>
      <c r="AO87" s="182"/>
      <c r="AP87" s="182"/>
      <c r="AQ87" s="182"/>
      <c r="AR87" s="390" t="e">
        <f t="shared" ref="AR87:AR101" si="51">RANK(AQ87, AQ$87:AQ$101)</f>
        <v>#N/A</v>
      </c>
      <c r="AS87" s="605" t="e">
        <f t="shared" ref="AS87" si="52">AVERAGE(AQ87:AQ101)</f>
        <v>#DIV/0!</v>
      </c>
      <c r="AT87" s="182"/>
      <c r="AU87" s="182"/>
      <c r="AV87" s="182"/>
      <c r="AW87" s="390" t="e">
        <f t="shared" ref="AW87:AW101" si="53">RANK(AV87, AV$87:AV$101)</f>
        <v>#N/A</v>
      </c>
      <c r="AX87" s="605" t="e">
        <f t="shared" ref="AX87" si="54">AVERAGE(AV87:AV101)</f>
        <v>#DIV/0!</v>
      </c>
    </row>
    <row r="88" spans="2:50">
      <c r="B88" s="572"/>
      <c r="C88" s="451">
        <v>2</v>
      </c>
      <c r="D88" s="226" t="s">
        <v>452</v>
      </c>
      <c r="E88" s="182">
        <v>4</v>
      </c>
      <c r="F88" s="451">
        <v>2000</v>
      </c>
      <c r="G88" s="453">
        <v>500</v>
      </c>
      <c r="H88" s="609"/>
      <c r="I88" s="456">
        <f t="shared" ref="I88:K98" si="55">AVERAGE(P88,U88,Z88,AE88,AJ88,AO88,AT88)</f>
        <v>5</v>
      </c>
      <c r="J88" s="456">
        <f t="shared" si="55"/>
        <v>2150.5595645969629</v>
      </c>
      <c r="K88" s="454">
        <f t="shared" si="55"/>
        <v>430.11191291939258</v>
      </c>
      <c r="L88" s="541"/>
      <c r="M88" s="455">
        <f>RANK(K88, K$87:$K$101)</f>
        <v>2</v>
      </c>
      <c r="N88" s="559"/>
      <c r="O88" s="559"/>
      <c r="P88" s="182">
        <v>5</v>
      </c>
      <c r="Q88" s="182">
        <v>2166.4285714285697</v>
      </c>
      <c r="R88" s="182">
        <v>433.28571428571394</v>
      </c>
      <c r="S88" s="451">
        <f t="shared" ref="S88:S101" si="56">RANK(R88, R$87:R$101)</f>
        <v>3</v>
      </c>
      <c r="T88" s="605"/>
      <c r="U88" s="182">
        <v>5</v>
      </c>
      <c r="V88" s="182">
        <v>2166.7924528301878</v>
      </c>
      <c r="W88" s="182">
        <v>433.35849056603757</v>
      </c>
      <c r="X88" s="451">
        <f t="shared" si="43"/>
        <v>2</v>
      </c>
      <c r="Y88" s="605"/>
      <c r="Z88" s="182">
        <v>5</v>
      </c>
      <c r="AA88" s="182">
        <v>2136.2264150943411</v>
      </c>
      <c r="AB88" s="182">
        <v>427.24528301886824</v>
      </c>
      <c r="AC88" s="451">
        <f t="shared" si="45"/>
        <v>2</v>
      </c>
      <c r="AD88" s="605"/>
      <c r="AE88" s="182">
        <v>5</v>
      </c>
      <c r="AF88" s="182">
        <v>2122.1739130434803</v>
      </c>
      <c r="AG88" s="182">
        <v>424.43478260869608</v>
      </c>
      <c r="AH88" s="451">
        <f t="shared" si="47"/>
        <v>3</v>
      </c>
      <c r="AI88" s="605"/>
      <c r="AJ88" s="182">
        <v>5</v>
      </c>
      <c r="AK88" s="182">
        <v>2161.1764705882365</v>
      </c>
      <c r="AL88" s="182">
        <v>432.2352941176473</v>
      </c>
      <c r="AM88" s="451">
        <f t="shared" si="49"/>
        <v>2</v>
      </c>
      <c r="AN88" s="605"/>
      <c r="AO88" s="182"/>
      <c r="AP88" s="182"/>
      <c r="AQ88" s="182"/>
      <c r="AR88" s="390" t="e">
        <f t="shared" si="51"/>
        <v>#N/A</v>
      </c>
      <c r="AS88" s="605"/>
      <c r="AT88" s="182"/>
      <c r="AU88" s="182"/>
      <c r="AV88" s="182"/>
      <c r="AW88" s="390" t="e">
        <f t="shared" si="53"/>
        <v>#N/A</v>
      </c>
      <c r="AX88" s="605"/>
    </row>
    <row r="89" spans="2:50">
      <c r="B89" s="572"/>
      <c r="C89" s="451">
        <v>3</v>
      </c>
      <c r="D89" s="226" t="s">
        <v>401</v>
      </c>
      <c r="E89" s="182">
        <v>13</v>
      </c>
      <c r="F89" s="451">
        <v>2250</v>
      </c>
      <c r="G89" s="453">
        <v>160.69999999999999</v>
      </c>
      <c r="H89" s="609"/>
      <c r="I89" s="456">
        <f t="shared" si="55"/>
        <v>13</v>
      </c>
      <c r="J89" s="456">
        <f t="shared" si="55"/>
        <v>1982.2878959082348</v>
      </c>
      <c r="K89" s="454">
        <f t="shared" si="55"/>
        <v>152.48368430063346</v>
      </c>
      <c r="L89" s="541"/>
      <c r="M89" s="455">
        <f>RANK(K89, K$87:$K$101)</f>
        <v>11</v>
      </c>
      <c r="N89" s="559"/>
      <c r="O89" s="559"/>
      <c r="P89" s="182">
        <v>13</v>
      </c>
      <c r="Q89" s="182">
        <v>1965.7627118644068</v>
      </c>
      <c r="R89" s="182">
        <v>151.21251629726206</v>
      </c>
      <c r="S89" s="451">
        <f t="shared" si="56"/>
        <v>11</v>
      </c>
      <c r="T89" s="605"/>
      <c r="U89" s="182">
        <v>13</v>
      </c>
      <c r="V89" s="182">
        <v>1985.4545454545453</v>
      </c>
      <c r="W89" s="182">
        <v>152.72727272727272</v>
      </c>
      <c r="X89" s="451">
        <f t="shared" si="43"/>
        <v>11</v>
      </c>
      <c r="Y89" s="605"/>
      <c r="Z89" s="182">
        <v>13</v>
      </c>
      <c r="AA89" s="182">
        <v>2012.2222222222219</v>
      </c>
      <c r="AB89" s="182">
        <v>154.78632478632477</v>
      </c>
      <c r="AC89" s="451">
        <f t="shared" si="45"/>
        <v>11</v>
      </c>
      <c r="AD89" s="605"/>
      <c r="AE89" s="182">
        <v>13</v>
      </c>
      <c r="AF89" s="182">
        <v>1980</v>
      </c>
      <c r="AG89" s="182">
        <v>152.30769230769232</v>
      </c>
      <c r="AH89" s="451">
        <f t="shared" si="47"/>
        <v>11</v>
      </c>
      <c r="AI89" s="605"/>
      <c r="AJ89" s="182">
        <v>13</v>
      </c>
      <c r="AK89" s="182">
        <v>1967.9999999999998</v>
      </c>
      <c r="AL89" s="182">
        <v>151.38461538461536</v>
      </c>
      <c r="AM89" s="451">
        <f t="shared" si="49"/>
        <v>11</v>
      </c>
      <c r="AN89" s="605"/>
      <c r="AO89" s="182"/>
      <c r="AP89" s="182"/>
      <c r="AQ89" s="182"/>
      <c r="AR89" s="390" t="e">
        <f t="shared" si="51"/>
        <v>#N/A</v>
      </c>
      <c r="AS89" s="605"/>
      <c r="AT89" s="182"/>
      <c r="AU89" s="182"/>
      <c r="AV89" s="182"/>
      <c r="AW89" s="390" t="e">
        <f t="shared" si="53"/>
        <v>#N/A</v>
      </c>
      <c r="AX89" s="605"/>
    </row>
    <row r="90" spans="2:50">
      <c r="B90" s="572"/>
      <c r="C90" s="451">
        <v>4</v>
      </c>
      <c r="D90" s="226" t="s">
        <v>402</v>
      </c>
      <c r="E90" s="182">
        <v>12</v>
      </c>
      <c r="F90" s="451">
        <v>2250</v>
      </c>
      <c r="G90" s="453">
        <v>176.5</v>
      </c>
      <c r="H90" s="609"/>
      <c r="I90" s="456">
        <f t="shared" si="55"/>
        <v>12</v>
      </c>
      <c r="J90" s="456">
        <f t="shared" si="55"/>
        <v>1981.7490514202782</v>
      </c>
      <c r="K90" s="454">
        <f t="shared" si="55"/>
        <v>165.14575428502317</v>
      </c>
      <c r="L90" s="541"/>
      <c r="M90" s="455">
        <f>RANK(K90, K$87:$K$101)</f>
        <v>10</v>
      </c>
      <c r="N90" s="559"/>
      <c r="O90" s="559"/>
      <c r="P90" s="182">
        <v>12</v>
      </c>
      <c r="Q90" s="182">
        <v>2014.2857142857151</v>
      </c>
      <c r="R90" s="182">
        <v>167.85714285714292</v>
      </c>
      <c r="S90" s="451">
        <f t="shared" si="56"/>
        <v>9</v>
      </c>
      <c r="T90" s="605"/>
      <c r="U90" s="182">
        <v>12</v>
      </c>
      <c r="V90" s="182">
        <v>1965.2307692307702</v>
      </c>
      <c r="W90" s="182">
        <v>163.76923076923086</v>
      </c>
      <c r="X90" s="451">
        <f t="shared" si="43"/>
        <v>10</v>
      </c>
      <c r="Y90" s="605"/>
      <c r="Z90" s="182">
        <v>12</v>
      </c>
      <c r="AA90" s="182">
        <v>1970.6250000000009</v>
      </c>
      <c r="AB90" s="182">
        <v>164.21875000000009</v>
      </c>
      <c r="AC90" s="451">
        <f t="shared" si="45"/>
        <v>10</v>
      </c>
      <c r="AD90" s="605"/>
      <c r="AE90" s="182">
        <v>12</v>
      </c>
      <c r="AF90" s="182">
        <v>1976.603773584905</v>
      </c>
      <c r="AG90" s="182">
        <v>164.7169811320754</v>
      </c>
      <c r="AH90" s="451">
        <f t="shared" si="47"/>
        <v>10</v>
      </c>
      <c r="AI90" s="605"/>
      <c r="AJ90" s="182">
        <v>12</v>
      </c>
      <c r="AK90" s="182">
        <v>1982.0000000000002</v>
      </c>
      <c r="AL90" s="182">
        <v>165.16666666666669</v>
      </c>
      <c r="AM90" s="451">
        <f t="shared" si="49"/>
        <v>10</v>
      </c>
      <c r="AN90" s="605"/>
      <c r="AO90" s="182"/>
      <c r="AP90" s="182"/>
      <c r="AQ90" s="182"/>
      <c r="AR90" s="390" t="e">
        <f t="shared" si="51"/>
        <v>#N/A</v>
      </c>
      <c r="AS90" s="605"/>
      <c r="AT90" s="182"/>
      <c r="AU90" s="182"/>
      <c r="AV90" s="182"/>
      <c r="AW90" s="390" t="e">
        <f t="shared" si="53"/>
        <v>#N/A</v>
      </c>
      <c r="AX90" s="605"/>
    </row>
    <row r="91" spans="2:50">
      <c r="B91" s="572"/>
      <c r="C91" s="451">
        <v>5</v>
      </c>
      <c r="D91" s="226" t="s">
        <v>403</v>
      </c>
      <c r="E91" s="182">
        <v>12</v>
      </c>
      <c r="F91" s="451">
        <v>2250</v>
      </c>
      <c r="G91" s="453">
        <v>187.5</v>
      </c>
      <c r="H91" s="609"/>
      <c r="I91" s="456">
        <f t="shared" si="55"/>
        <v>12</v>
      </c>
      <c r="J91" s="456">
        <f t="shared" si="55"/>
        <v>2220.3714923569687</v>
      </c>
      <c r="K91" s="454">
        <f t="shared" si="55"/>
        <v>185.03095769641402</v>
      </c>
      <c r="L91" s="541"/>
      <c r="M91" s="455">
        <f>RANK(K91, K$87:$K$101)</f>
        <v>8</v>
      </c>
      <c r="N91" s="559"/>
      <c r="O91" s="559"/>
      <c r="P91" s="182">
        <v>12</v>
      </c>
      <c r="Q91" s="182">
        <v>2189.5652173913045</v>
      </c>
      <c r="R91" s="182">
        <v>182.46376811594203</v>
      </c>
      <c r="S91" s="451">
        <f t="shared" si="56"/>
        <v>8</v>
      </c>
      <c r="T91" s="605"/>
      <c r="U91" s="182">
        <v>12</v>
      </c>
      <c r="V91" s="182">
        <v>2235.4545454545455</v>
      </c>
      <c r="W91" s="182">
        <v>186.28787878787878</v>
      </c>
      <c r="X91" s="451">
        <f t="shared" si="43"/>
        <v>7</v>
      </c>
      <c r="Y91" s="605"/>
      <c r="Z91" s="182">
        <v>12</v>
      </c>
      <c r="AA91" s="182">
        <v>2260.3124999999995</v>
      </c>
      <c r="AB91" s="182">
        <v>188.35937499999997</v>
      </c>
      <c r="AC91" s="451">
        <f t="shared" si="45"/>
        <v>7</v>
      </c>
      <c r="AD91" s="605"/>
      <c r="AE91" s="182">
        <v>12</v>
      </c>
      <c r="AF91" s="182">
        <v>2173.4482758620688</v>
      </c>
      <c r="AG91" s="182">
        <v>181.12068965517241</v>
      </c>
      <c r="AH91" s="451">
        <f t="shared" si="47"/>
        <v>8</v>
      </c>
      <c r="AI91" s="605"/>
      <c r="AJ91" s="182">
        <v>12</v>
      </c>
      <c r="AK91" s="182">
        <v>2243.0769230769229</v>
      </c>
      <c r="AL91" s="182">
        <v>186.92307692307691</v>
      </c>
      <c r="AM91" s="451">
        <f t="shared" si="49"/>
        <v>8</v>
      </c>
      <c r="AN91" s="605"/>
      <c r="AO91" s="182"/>
      <c r="AP91" s="182"/>
      <c r="AQ91" s="182"/>
      <c r="AR91" s="390" t="e">
        <f t="shared" si="51"/>
        <v>#N/A</v>
      </c>
      <c r="AS91" s="605"/>
      <c r="AT91" s="182"/>
      <c r="AU91" s="182"/>
      <c r="AV91" s="182"/>
      <c r="AW91" s="390" t="e">
        <f t="shared" si="53"/>
        <v>#N/A</v>
      </c>
      <c r="AX91" s="605"/>
    </row>
    <row r="92" spans="2:50">
      <c r="B92" s="572"/>
      <c r="C92" s="451">
        <v>6</v>
      </c>
      <c r="D92" s="226" t="s">
        <v>404</v>
      </c>
      <c r="E92" s="182">
        <v>13</v>
      </c>
      <c r="F92" s="451">
        <v>2250</v>
      </c>
      <c r="G92" s="453">
        <v>173</v>
      </c>
      <c r="H92" s="609"/>
      <c r="I92" s="456">
        <f t="shared" si="55"/>
        <v>13</v>
      </c>
      <c r="J92" s="456">
        <f t="shared" si="55"/>
        <v>2172.9421866279363</v>
      </c>
      <c r="K92" s="454">
        <f t="shared" si="55"/>
        <v>167.14939897137972</v>
      </c>
      <c r="L92" s="541"/>
      <c r="M92" s="455">
        <f>RANK(K92, K$87:$K$101)</f>
        <v>9</v>
      </c>
      <c r="N92" s="559"/>
      <c r="O92" s="559"/>
      <c r="P92" s="182">
        <v>13</v>
      </c>
      <c r="Q92" s="182">
        <v>2135.5339805825251</v>
      </c>
      <c r="R92" s="182">
        <v>164.27184466019423</v>
      </c>
      <c r="S92" s="451">
        <f t="shared" si="56"/>
        <v>10</v>
      </c>
      <c r="T92" s="605"/>
      <c r="U92" s="182">
        <v>13</v>
      </c>
      <c r="V92" s="182">
        <v>2199.5744680851067</v>
      </c>
      <c r="W92" s="182">
        <v>169.19803600654666</v>
      </c>
      <c r="X92" s="451">
        <f t="shared" si="43"/>
        <v>9</v>
      </c>
      <c r="Y92" s="605"/>
      <c r="Z92" s="182">
        <v>13</v>
      </c>
      <c r="AA92" s="182">
        <v>2152.1739130434785</v>
      </c>
      <c r="AB92" s="182">
        <v>165.55183946488296</v>
      </c>
      <c r="AC92" s="451">
        <f t="shared" si="45"/>
        <v>9</v>
      </c>
      <c r="AD92" s="605"/>
      <c r="AE92" s="182">
        <v>13</v>
      </c>
      <c r="AF92" s="182">
        <v>2201.428571428572</v>
      </c>
      <c r="AG92" s="182">
        <v>169.34065934065939</v>
      </c>
      <c r="AH92" s="451">
        <f t="shared" si="47"/>
        <v>9</v>
      </c>
      <c r="AI92" s="605"/>
      <c r="AJ92" s="182">
        <v>13</v>
      </c>
      <c r="AK92" s="182">
        <v>2176</v>
      </c>
      <c r="AL92" s="182">
        <v>167.38461538461539</v>
      </c>
      <c r="AM92" s="451">
        <f t="shared" si="49"/>
        <v>9</v>
      </c>
      <c r="AN92" s="605"/>
      <c r="AO92" s="182"/>
      <c r="AP92" s="182"/>
      <c r="AQ92" s="182"/>
      <c r="AR92" s="390" t="e">
        <f t="shared" si="51"/>
        <v>#N/A</v>
      </c>
      <c r="AS92" s="605"/>
      <c r="AT92" s="182"/>
      <c r="AU92" s="182"/>
      <c r="AV92" s="182"/>
      <c r="AW92" s="390" t="e">
        <f t="shared" si="53"/>
        <v>#N/A</v>
      </c>
      <c r="AX92" s="605"/>
    </row>
    <row r="93" spans="2:50">
      <c r="B93" s="572"/>
      <c r="C93" s="451">
        <v>7</v>
      </c>
      <c r="D93" s="226" t="s">
        <v>405</v>
      </c>
      <c r="E93" s="182">
        <v>10</v>
      </c>
      <c r="F93" s="451">
        <v>2250</v>
      </c>
      <c r="G93" s="453">
        <v>225</v>
      </c>
      <c r="H93" s="609"/>
      <c r="I93" s="456">
        <f t="shared" si="55"/>
        <v>10</v>
      </c>
      <c r="J93" s="456">
        <f t="shared" si="55"/>
        <v>1997.2921760563381</v>
      </c>
      <c r="K93" s="454">
        <f t="shared" si="55"/>
        <v>199.72921760563381</v>
      </c>
      <c r="L93" s="541"/>
      <c r="M93" s="455">
        <f>RANK(K93, K$87:$K$101)</f>
        <v>6</v>
      </c>
      <c r="N93" s="559"/>
      <c r="O93" s="559"/>
      <c r="P93" s="182">
        <v>10</v>
      </c>
      <c r="Q93" s="182">
        <v>1992.6374999999991</v>
      </c>
      <c r="R93" s="182">
        <v>199.2637499999999</v>
      </c>
      <c r="S93" s="451">
        <f t="shared" si="56"/>
        <v>6</v>
      </c>
      <c r="T93" s="605"/>
      <c r="U93" s="182">
        <v>10</v>
      </c>
      <c r="V93" s="182">
        <v>2003.9600000000007</v>
      </c>
      <c r="W93" s="182">
        <v>200.39600000000007</v>
      </c>
      <c r="X93" s="451">
        <f t="shared" si="43"/>
        <v>6</v>
      </c>
      <c r="Y93" s="605"/>
      <c r="Z93" s="182">
        <v>10</v>
      </c>
      <c r="AA93" s="182">
        <v>1969.5633802816903</v>
      </c>
      <c r="AB93" s="182">
        <v>196.95633802816903</v>
      </c>
      <c r="AC93" s="451">
        <f t="shared" si="45"/>
        <v>6</v>
      </c>
      <c r="AD93" s="605"/>
      <c r="AE93" s="182">
        <v>10</v>
      </c>
      <c r="AF93" s="182">
        <v>1993.5000000000005</v>
      </c>
      <c r="AG93" s="182">
        <v>199.35000000000005</v>
      </c>
      <c r="AH93" s="451">
        <f t="shared" si="47"/>
        <v>6</v>
      </c>
      <c r="AI93" s="605"/>
      <c r="AJ93" s="182">
        <v>10</v>
      </c>
      <c r="AK93" s="182">
        <v>2026.8000000000004</v>
      </c>
      <c r="AL93" s="182">
        <v>202.68000000000004</v>
      </c>
      <c r="AM93" s="451">
        <f t="shared" si="49"/>
        <v>6</v>
      </c>
      <c r="AN93" s="605"/>
      <c r="AO93" s="182"/>
      <c r="AP93" s="182"/>
      <c r="AQ93" s="182"/>
      <c r="AR93" s="390" t="e">
        <f t="shared" si="51"/>
        <v>#N/A</v>
      </c>
      <c r="AS93" s="605"/>
      <c r="AT93" s="182"/>
      <c r="AU93" s="182"/>
      <c r="AV93" s="182"/>
      <c r="AW93" s="390" t="e">
        <f t="shared" si="53"/>
        <v>#N/A</v>
      </c>
      <c r="AX93" s="605"/>
    </row>
    <row r="94" spans="2:50">
      <c r="B94" s="572"/>
      <c r="C94" s="451">
        <v>8</v>
      </c>
      <c r="D94" s="226" t="s">
        <v>399</v>
      </c>
      <c r="E94" s="182">
        <v>18</v>
      </c>
      <c r="F94" s="451">
        <v>1250</v>
      </c>
      <c r="G94" s="453">
        <v>69.444444444444443</v>
      </c>
      <c r="H94" s="609"/>
      <c r="I94" s="456">
        <f t="shared" si="55"/>
        <v>13</v>
      </c>
      <c r="J94" s="456">
        <f t="shared" si="55"/>
        <v>1251.3055933952533</v>
      </c>
      <c r="K94" s="454">
        <f t="shared" si="55"/>
        <v>96.254276415019476</v>
      </c>
      <c r="L94" s="541"/>
      <c r="M94" s="455">
        <f>RANK(K94, K$87:$K$101)</f>
        <v>12</v>
      </c>
      <c r="N94" s="559"/>
      <c r="O94" s="559"/>
      <c r="P94" s="182">
        <v>13</v>
      </c>
      <c r="Q94" s="182">
        <v>1243.5789473684213</v>
      </c>
      <c r="R94" s="182">
        <v>95.659919028340099</v>
      </c>
      <c r="S94" s="451">
        <f t="shared" si="56"/>
        <v>12</v>
      </c>
      <c r="T94" s="605"/>
      <c r="U94" s="182">
        <v>13</v>
      </c>
      <c r="V94" s="182">
        <v>1245.8823529411775</v>
      </c>
      <c r="W94" s="182">
        <v>95.837104072398262</v>
      </c>
      <c r="X94" s="451">
        <f t="shared" si="43"/>
        <v>12</v>
      </c>
      <c r="Y94" s="605"/>
      <c r="Z94" s="182">
        <v>13</v>
      </c>
      <c r="AA94" s="182">
        <v>1244.6666666666665</v>
      </c>
      <c r="AB94" s="182">
        <v>95.743589743589737</v>
      </c>
      <c r="AC94" s="451">
        <f t="shared" si="45"/>
        <v>12</v>
      </c>
      <c r="AD94" s="605"/>
      <c r="AE94" s="182">
        <v>13</v>
      </c>
      <c r="AF94" s="182">
        <v>1262.4000000000003</v>
      </c>
      <c r="AG94" s="182">
        <v>97.107692307692332</v>
      </c>
      <c r="AH94" s="451">
        <f t="shared" si="47"/>
        <v>12</v>
      </c>
      <c r="AI94" s="605"/>
      <c r="AJ94" s="182">
        <v>13</v>
      </c>
      <c r="AK94" s="182">
        <v>1260.0000000000007</v>
      </c>
      <c r="AL94" s="182">
        <v>96.923076923076977</v>
      </c>
      <c r="AM94" s="451">
        <f t="shared" si="49"/>
        <v>12</v>
      </c>
      <c r="AN94" s="605"/>
      <c r="AO94" s="182"/>
      <c r="AP94" s="182"/>
      <c r="AQ94" s="182"/>
      <c r="AR94" s="390" t="e">
        <f t="shared" si="51"/>
        <v>#N/A</v>
      </c>
      <c r="AS94" s="605"/>
      <c r="AT94" s="182"/>
      <c r="AU94" s="182"/>
      <c r="AV94" s="182"/>
      <c r="AW94" s="390" t="e">
        <f t="shared" si="53"/>
        <v>#N/A</v>
      </c>
      <c r="AX94" s="605"/>
    </row>
    <row r="95" spans="2:50">
      <c r="B95" s="572"/>
      <c r="C95" s="451">
        <v>9</v>
      </c>
      <c r="D95" s="226" t="s">
        <v>600</v>
      </c>
      <c r="E95" s="182">
        <v>6</v>
      </c>
      <c r="F95" s="451">
        <v>2000</v>
      </c>
      <c r="G95" s="453">
        <v>333.33333333333331</v>
      </c>
      <c r="H95" s="609"/>
      <c r="I95" s="456">
        <f t="shared" si="55"/>
        <v>7</v>
      </c>
      <c r="J95" s="456">
        <f t="shared" si="55"/>
        <v>1776.149999999999</v>
      </c>
      <c r="K95" s="454">
        <f t="shared" si="55"/>
        <v>253.73571428571412</v>
      </c>
      <c r="L95" s="541"/>
      <c r="M95" s="455">
        <f>RANK(K95, K$87:$K$101)</f>
        <v>5</v>
      </c>
      <c r="N95" s="559"/>
      <c r="O95" s="559"/>
      <c r="P95" s="182">
        <v>7</v>
      </c>
      <c r="Q95" s="182">
        <v>1739.9999999999977</v>
      </c>
      <c r="R95" s="182">
        <v>248.57142857142824</v>
      </c>
      <c r="S95" s="451">
        <f t="shared" si="56"/>
        <v>5</v>
      </c>
      <c r="T95" s="605"/>
      <c r="U95" s="182">
        <v>7</v>
      </c>
      <c r="V95" s="182">
        <v>1811.9999999999968</v>
      </c>
      <c r="W95" s="182">
        <v>258.85714285714238</v>
      </c>
      <c r="X95" s="451">
        <f t="shared" si="43"/>
        <v>5</v>
      </c>
      <c r="Y95" s="605"/>
      <c r="Z95" s="182">
        <v>7</v>
      </c>
      <c r="AA95" s="182">
        <v>1799.9999999999961</v>
      </c>
      <c r="AB95" s="182">
        <v>257.1428571428566</v>
      </c>
      <c r="AC95" s="451">
        <f t="shared" si="45"/>
        <v>5</v>
      </c>
      <c r="AD95" s="605"/>
      <c r="AE95" s="182">
        <v>7</v>
      </c>
      <c r="AF95" s="182">
        <v>1710.0000000000059</v>
      </c>
      <c r="AG95" s="182">
        <v>244.28571428571513</v>
      </c>
      <c r="AH95" s="451">
        <f t="shared" si="47"/>
        <v>5</v>
      </c>
      <c r="AI95" s="605"/>
      <c r="AJ95" s="182">
        <v>7</v>
      </c>
      <c r="AK95" s="182">
        <v>1818.7499999999977</v>
      </c>
      <c r="AL95" s="182">
        <v>259.82142857142827</v>
      </c>
      <c r="AM95" s="451">
        <f t="shared" si="49"/>
        <v>5</v>
      </c>
      <c r="AN95" s="605"/>
      <c r="AO95" s="182"/>
      <c r="AP95" s="182"/>
      <c r="AQ95" s="182"/>
      <c r="AR95" s="390" t="e">
        <f t="shared" si="51"/>
        <v>#N/A</v>
      </c>
      <c r="AS95" s="605"/>
      <c r="AT95" s="182"/>
      <c r="AU95" s="182"/>
      <c r="AV95" s="182"/>
      <c r="AW95" s="390" t="e">
        <f t="shared" si="53"/>
        <v>#N/A</v>
      </c>
      <c r="AX95" s="605"/>
    </row>
    <row r="96" spans="2:50">
      <c r="B96" s="572"/>
      <c r="C96" s="451">
        <v>10</v>
      </c>
      <c r="D96" s="226" t="s">
        <v>617</v>
      </c>
      <c r="E96" s="182">
        <v>4</v>
      </c>
      <c r="F96" s="451">
        <v>2000</v>
      </c>
      <c r="G96" s="453">
        <v>500</v>
      </c>
      <c r="H96" s="609"/>
      <c r="I96" s="456">
        <f t="shared" si="55"/>
        <v>5</v>
      </c>
      <c r="J96" s="456">
        <f t="shared" si="55"/>
        <v>1791.4285714285754</v>
      </c>
      <c r="K96" s="454">
        <f t="shared" si="55"/>
        <v>358.28571428571513</v>
      </c>
      <c r="L96" s="541"/>
      <c r="M96" s="455">
        <f>RANK(K96, K$87:$K$101)</f>
        <v>4</v>
      </c>
      <c r="N96" s="559"/>
      <c r="O96" s="559"/>
      <c r="P96" s="182">
        <v>5</v>
      </c>
      <c r="Q96" s="182">
        <v>1840.0000000000064</v>
      </c>
      <c r="R96" s="182">
        <v>368.00000000000125</v>
      </c>
      <c r="S96" s="451">
        <f t="shared" si="56"/>
        <v>4</v>
      </c>
      <c r="T96" s="605"/>
      <c r="U96" s="182">
        <v>5</v>
      </c>
      <c r="V96" s="182">
        <v>1699.9999999999948</v>
      </c>
      <c r="W96" s="182">
        <v>339.99999999999898</v>
      </c>
      <c r="X96" s="451">
        <f t="shared" si="43"/>
        <v>4</v>
      </c>
      <c r="Y96" s="605"/>
      <c r="Z96" s="182">
        <v>5</v>
      </c>
      <c r="AA96" s="182">
        <v>1794.0000000000064</v>
      </c>
      <c r="AB96" s="182">
        <v>358.80000000000126</v>
      </c>
      <c r="AC96" s="451">
        <f t="shared" si="45"/>
        <v>4</v>
      </c>
      <c r="AD96" s="605"/>
      <c r="AE96" s="182">
        <v>5</v>
      </c>
      <c r="AF96" s="182">
        <v>1817.1428571428637</v>
      </c>
      <c r="AG96" s="182">
        <v>363.42857142857275</v>
      </c>
      <c r="AH96" s="451">
        <f t="shared" si="47"/>
        <v>4</v>
      </c>
      <c r="AI96" s="605"/>
      <c r="AJ96" s="182">
        <v>5</v>
      </c>
      <c r="AK96" s="182">
        <v>1806.0000000000064</v>
      </c>
      <c r="AL96" s="182">
        <v>361.2000000000013</v>
      </c>
      <c r="AM96" s="451">
        <f t="shared" si="49"/>
        <v>4</v>
      </c>
      <c r="AN96" s="605"/>
      <c r="AO96" s="182"/>
      <c r="AP96" s="182"/>
      <c r="AQ96" s="182"/>
      <c r="AR96" s="390" t="e">
        <f t="shared" si="51"/>
        <v>#N/A</v>
      </c>
      <c r="AS96" s="605"/>
      <c r="AT96" s="182"/>
      <c r="AU96" s="182"/>
      <c r="AV96" s="182"/>
      <c r="AW96" s="390" t="e">
        <f t="shared" si="53"/>
        <v>#N/A</v>
      </c>
      <c r="AX96" s="605"/>
    </row>
    <row r="97" spans="2:50">
      <c r="B97" s="572"/>
      <c r="C97" s="451">
        <v>11</v>
      </c>
      <c r="D97" s="226" t="s">
        <v>632</v>
      </c>
      <c r="E97" s="182">
        <v>12</v>
      </c>
      <c r="F97" s="451">
        <v>2250</v>
      </c>
      <c r="G97" s="453">
        <v>176.5</v>
      </c>
      <c r="H97" s="609"/>
      <c r="I97" s="456">
        <f t="shared" si="55"/>
        <v>12</v>
      </c>
      <c r="J97" s="456">
        <f t="shared" si="55"/>
        <v>2221.0170355302885</v>
      </c>
      <c r="K97" s="454">
        <f t="shared" si="55"/>
        <v>185.08475296085737</v>
      </c>
      <c r="L97" s="541"/>
      <c r="M97" s="455">
        <f>RANK(K97, K$87:$K$101)</f>
        <v>7</v>
      </c>
      <c r="N97" s="559"/>
      <c r="O97" s="559"/>
      <c r="P97" s="182">
        <v>12</v>
      </c>
      <c r="Q97" s="182">
        <v>2212.7710843373488</v>
      </c>
      <c r="R97" s="182">
        <v>184.39759036144574</v>
      </c>
      <c r="S97" s="451">
        <f t="shared" si="56"/>
        <v>7</v>
      </c>
      <c r="T97" s="605"/>
      <c r="U97" s="182">
        <v>12</v>
      </c>
      <c r="V97" s="182">
        <v>2177.037037037036</v>
      </c>
      <c r="W97" s="182">
        <v>181.41975308641966</v>
      </c>
      <c r="X97" s="451">
        <f t="shared" si="43"/>
        <v>8</v>
      </c>
      <c r="Y97" s="605"/>
      <c r="Z97" s="182">
        <v>12</v>
      </c>
      <c r="AA97" s="182">
        <v>2215.3246753246763</v>
      </c>
      <c r="AB97" s="182">
        <v>184.61038961038969</v>
      </c>
      <c r="AC97" s="451">
        <f t="shared" si="45"/>
        <v>8</v>
      </c>
      <c r="AD97" s="605"/>
      <c r="AE97" s="182">
        <v>12</v>
      </c>
      <c r="AF97" s="182">
        <v>2248.2857142857151</v>
      </c>
      <c r="AG97" s="182">
        <v>187.35714285714292</v>
      </c>
      <c r="AH97" s="451">
        <f t="shared" si="47"/>
        <v>7</v>
      </c>
      <c r="AI97" s="605"/>
      <c r="AJ97" s="182">
        <v>12</v>
      </c>
      <c r="AK97" s="182">
        <v>2251.666666666667</v>
      </c>
      <c r="AL97" s="182">
        <v>187.63888888888891</v>
      </c>
      <c r="AM97" s="451">
        <f t="shared" si="49"/>
        <v>7</v>
      </c>
      <c r="AN97" s="605"/>
      <c r="AO97" s="182"/>
      <c r="AP97" s="182"/>
      <c r="AQ97" s="182"/>
      <c r="AR97" s="390" t="e">
        <f t="shared" si="51"/>
        <v>#N/A</v>
      </c>
      <c r="AS97" s="605"/>
      <c r="AT97" s="182"/>
      <c r="AU97" s="182"/>
      <c r="AV97" s="182"/>
      <c r="AW97" s="390" t="e">
        <f t="shared" si="53"/>
        <v>#N/A</v>
      </c>
      <c r="AX97" s="605"/>
    </row>
    <row r="98" spans="2:50">
      <c r="B98" s="572"/>
      <c r="C98" s="451">
        <v>12</v>
      </c>
      <c r="D98" s="226" t="s">
        <v>785</v>
      </c>
      <c r="E98" s="182">
        <v>4</v>
      </c>
      <c r="F98" s="451">
        <v>2000</v>
      </c>
      <c r="G98" s="453">
        <v>500</v>
      </c>
      <c r="H98" s="609"/>
      <c r="I98" s="456">
        <f t="shared" si="55"/>
        <v>5</v>
      </c>
      <c r="J98" s="456">
        <f t="shared" si="55"/>
        <v>2142.0592968007609</v>
      </c>
      <c r="K98" s="454">
        <f t="shared" si="55"/>
        <v>428.41185936015216</v>
      </c>
      <c r="L98" s="541"/>
      <c r="M98" s="455">
        <f>RANK(K98, K$87:$K$101)</f>
        <v>3</v>
      </c>
      <c r="N98" s="559"/>
      <c r="O98" s="559"/>
      <c r="P98" s="182">
        <v>5</v>
      </c>
      <c r="Q98" s="182">
        <v>2177.9999999999995</v>
      </c>
      <c r="R98" s="182">
        <v>435.59999999999991</v>
      </c>
      <c r="S98" s="451">
        <f t="shared" si="56"/>
        <v>2</v>
      </c>
      <c r="T98" s="605"/>
      <c r="U98" s="182">
        <v>5</v>
      </c>
      <c r="V98" s="182">
        <v>2148.5714285714275</v>
      </c>
      <c r="W98" s="182">
        <v>429.7142857142855</v>
      </c>
      <c r="X98" s="451">
        <f t="shared" si="43"/>
        <v>3</v>
      </c>
      <c r="Y98" s="605"/>
      <c r="Z98" s="182">
        <v>5</v>
      </c>
      <c r="AA98" s="182">
        <v>2114.6341463414628</v>
      </c>
      <c r="AB98" s="182">
        <v>422.92682926829258</v>
      </c>
      <c r="AC98" s="451">
        <f t="shared" si="45"/>
        <v>3</v>
      </c>
      <c r="AD98" s="605"/>
      <c r="AE98" s="182">
        <v>5</v>
      </c>
      <c r="AF98" s="182">
        <v>2160.0000000000018</v>
      </c>
      <c r="AG98" s="182">
        <v>432.00000000000034</v>
      </c>
      <c r="AH98" s="451">
        <f t="shared" si="47"/>
        <v>1</v>
      </c>
      <c r="AI98" s="605"/>
      <c r="AJ98" s="182">
        <v>5</v>
      </c>
      <c r="AK98" s="182">
        <v>2109.0909090909113</v>
      </c>
      <c r="AL98" s="182">
        <v>421.81818181818227</v>
      </c>
      <c r="AM98" s="451">
        <f t="shared" si="49"/>
        <v>3</v>
      </c>
      <c r="AN98" s="605"/>
      <c r="AO98" s="182"/>
      <c r="AP98" s="182"/>
      <c r="AQ98" s="182"/>
      <c r="AR98" s="390" t="e">
        <f t="shared" si="51"/>
        <v>#N/A</v>
      </c>
      <c r="AS98" s="605"/>
      <c r="AT98" s="182"/>
      <c r="AU98" s="182"/>
      <c r="AV98" s="182"/>
      <c r="AW98" s="390" t="e">
        <f t="shared" si="53"/>
        <v>#N/A</v>
      </c>
      <c r="AX98" s="605"/>
    </row>
    <row r="99" spans="2:50">
      <c r="B99" s="572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41"/>
      <c r="M99" s="455" t="e">
        <f>RANK(K99, K$87:$K$101)</f>
        <v>#N/A</v>
      </c>
      <c r="N99" s="559"/>
      <c r="O99" s="559"/>
      <c r="P99" s="182"/>
      <c r="Q99" s="182"/>
      <c r="R99" s="182"/>
      <c r="S99" s="451" t="e">
        <f t="shared" si="56"/>
        <v>#N/A</v>
      </c>
      <c r="T99" s="605"/>
      <c r="U99" s="182"/>
      <c r="V99" s="182"/>
      <c r="W99" s="182"/>
      <c r="X99" s="451" t="e">
        <f t="shared" si="43"/>
        <v>#N/A</v>
      </c>
      <c r="Y99" s="605"/>
      <c r="Z99" s="182"/>
      <c r="AA99" s="182"/>
      <c r="AB99" s="182"/>
      <c r="AC99" s="451" t="e">
        <f t="shared" si="45"/>
        <v>#N/A</v>
      </c>
      <c r="AD99" s="605"/>
      <c r="AE99" s="182"/>
      <c r="AF99" s="182"/>
      <c r="AG99" s="182"/>
      <c r="AH99" s="451" t="e">
        <f t="shared" si="47"/>
        <v>#N/A</v>
      </c>
      <c r="AI99" s="605"/>
      <c r="AJ99" s="182"/>
      <c r="AK99" s="182"/>
      <c r="AL99" s="182"/>
      <c r="AM99" s="451" t="e">
        <f t="shared" si="49"/>
        <v>#N/A</v>
      </c>
      <c r="AN99" s="605"/>
      <c r="AO99" s="182"/>
      <c r="AP99" s="182"/>
      <c r="AQ99" s="182"/>
      <c r="AR99" s="390" t="e">
        <f t="shared" si="51"/>
        <v>#N/A</v>
      </c>
      <c r="AS99" s="605"/>
      <c r="AT99" s="182"/>
      <c r="AU99" s="182"/>
      <c r="AV99" s="182"/>
      <c r="AW99" s="390" t="e">
        <f t="shared" si="53"/>
        <v>#N/A</v>
      </c>
      <c r="AX99" s="605"/>
    </row>
    <row r="100" spans="2:50">
      <c r="B100" s="572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41"/>
      <c r="M100" s="455" t="e">
        <f>RANK(K100, K$87:$K$101)</f>
        <v>#N/A</v>
      </c>
      <c r="N100" s="559"/>
      <c r="O100" s="559"/>
      <c r="P100" s="182"/>
      <c r="Q100" s="182"/>
      <c r="R100" s="182"/>
      <c r="S100" s="451" t="e">
        <f t="shared" si="56"/>
        <v>#N/A</v>
      </c>
      <c r="T100" s="605"/>
      <c r="U100" s="182"/>
      <c r="V100" s="182"/>
      <c r="W100" s="182"/>
      <c r="X100" s="451" t="e">
        <f t="shared" si="43"/>
        <v>#N/A</v>
      </c>
      <c r="Y100" s="605"/>
      <c r="Z100" s="182"/>
      <c r="AA100" s="182"/>
      <c r="AB100" s="182"/>
      <c r="AC100" s="451" t="e">
        <f t="shared" si="45"/>
        <v>#N/A</v>
      </c>
      <c r="AD100" s="605"/>
      <c r="AE100" s="182"/>
      <c r="AF100" s="182"/>
      <c r="AG100" s="182"/>
      <c r="AH100" s="451" t="e">
        <f t="shared" si="47"/>
        <v>#N/A</v>
      </c>
      <c r="AI100" s="605"/>
      <c r="AJ100" s="182"/>
      <c r="AK100" s="182"/>
      <c r="AL100" s="182"/>
      <c r="AM100" s="451" t="e">
        <f t="shared" si="49"/>
        <v>#N/A</v>
      </c>
      <c r="AN100" s="605"/>
      <c r="AO100" s="182"/>
      <c r="AP100" s="182"/>
      <c r="AQ100" s="182"/>
      <c r="AR100" s="390" t="e">
        <f t="shared" si="51"/>
        <v>#N/A</v>
      </c>
      <c r="AS100" s="605"/>
      <c r="AT100" s="182"/>
      <c r="AU100" s="182"/>
      <c r="AV100" s="182"/>
      <c r="AW100" s="390" t="e">
        <f t="shared" si="53"/>
        <v>#N/A</v>
      </c>
      <c r="AX100" s="605"/>
    </row>
    <row r="101" spans="2:50">
      <c r="B101" s="572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42"/>
      <c r="M101" s="456" t="e">
        <f>RANK(K101, K$87:$K$101)</f>
        <v>#N/A</v>
      </c>
      <c r="N101" s="559"/>
      <c r="O101" s="559"/>
      <c r="P101" s="182"/>
      <c r="Q101" s="182"/>
      <c r="R101" s="182"/>
      <c r="S101" s="451" t="e">
        <f t="shared" si="56"/>
        <v>#N/A</v>
      </c>
      <c r="T101" s="605"/>
      <c r="U101" s="182"/>
      <c r="V101" s="182"/>
      <c r="W101" s="182"/>
      <c r="X101" s="451" t="e">
        <f t="shared" si="43"/>
        <v>#N/A</v>
      </c>
      <c r="Y101" s="605"/>
      <c r="Z101" s="182"/>
      <c r="AA101" s="182"/>
      <c r="AB101" s="182"/>
      <c r="AC101" s="451" t="e">
        <f t="shared" si="45"/>
        <v>#N/A</v>
      </c>
      <c r="AD101" s="605"/>
      <c r="AE101" s="182"/>
      <c r="AF101" s="182"/>
      <c r="AG101" s="182"/>
      <c r="AH101" s="451" t="e">
        <f t="shared" si="47"/>
        <v>#N/A</v>
      </c>
      <c r="AI101" s="605"/>
      <c r="AJ101" s="182"/>
      <c r="AK101" s="182"/>
      <c r="AL101" s="182"/>
      <c r="AM101" s="451" t="e">
        <f t="shared" si="49"/>
        <v>#N/A</v>
      </c>
      <c r="AN101" s="605"/>
      <c r="AO101" s="182"/>
      <c r="AP101" s="182"/>
      <c r="AQ101" s="182"/>
      <c r="AR101" s="390" t="e">
        <f t="shared" si="51"/>
        <v>#N/A</v>
      </c>
      <c r="AS101" s="605"/>
      <c r="AT101" s="182"/>
      <c r="AU101" s="182"/>
      <c r="AV101" s="182"/>
      <c r="AW101" s="390" t="e">
        <f t="shared" si="53"/>
        <v>#N/A</v>
      </c>
      <c r="AX101" s="605"/>
    </row>
    <row r="102" spans="2:50" ht="15.75">
      <c r="B102" s="576" t="s">
        <v>162</v>
      </c>
      <c r="C102" s="577"/>
      <c r="D102" s="577"/>
      <c r="E102" s="577"/>
      <c r="F102" s="577"/>
      <c r="G102" s="577"/>
      <c r="H102" s="578"/>
      <c r="I102" s="208"/>
      <c r="J102" s="208"/>
      <c r="K102" s="208"/>
      <c r="L102" s="208"/>
      <c r="M102" s="207"/>
      <c r="N102" s="565" t="s">
        <v>156</v>
      </c>
      <c r="O102" s="565" t="s">
        <v>105</v>
      </c>
      <c r="P102" s="571">
        <f>P82+7</f>
        <v>35</v>
      </c>
      <c r="Q102" s="572"/>
      <c r="R102" s="572"/>
      <c r="S102" s="572"/>
      <c r="T102" s="572"/>
      <c r="U102" s="568">
        <f>P102+1</f>
        <v>36</v>
      </c>
      <c r="V102" s="569"/>
      <c r="W102" s="569"/>
      <c r="X102" s="569"/>
      <c r="Y102" s="570"/>
      <c r="Z102" s="568">
        <f>U102+1</f>
        <v>37</v>
      </c>
      <c r="AA102" s="569"/>
      <c r="AB102" s="569"/>
      <c r="AC102" s="569"/>
      <c r="AD102" s="570"/>
      <c r="AE102" s="568">
        <f>Z102+1</f>
        <v>38</v>
      </c>
      <c r="AF102" s="569"/>
      <c r="AG102" s="569"/>
      <c r="AH102" s="569"/>
      <c r="AI102" s="570"/>
      <c r="AJ102" s="568">
        <f>AE102+1</f>
        <v>39</v>
      </c>
      <c r="AK102" s="569"/>
      <c r="AL102" s="569"/>
      <c r="AM102" s="569"/>
      <c r="AN102" s="570"/>
      <c r="AO102" s="568">
        <f>AJ102+1</f>
        <v>40</v>
      </c>
      <c r="AP102" s="569"/>
      <c r="AQ102" s="569"/>
      <c r="AR102" s="569"/>
      <c r="AS102" s="570"/>
      <c r="AT102" s="568">
        <f>AO102+1</f>
        <v>41</v>
      </c>
      <c r="AU102" s="569"/>
      <c r="AV102" s="569"/>
      <c r="AW102" s="569"/>
      <c r="AX102" s="570"/>
    </row>
    <row r="103" spans="2:50" ht="15.75">
      <c r="B103" s="579"/>
      <c r="C103" s="579"/>
      <c r="D103" s="579"/>
      <c r="E103" s="579"/>
      <c r="F103" s="579"/>
      <c r="G103" s="579"/>
      <c r="H103" s="579"/>
      <c r="I103" s="205"/>
      <c r="J103" s="205"/>
      <c r="K103" s="205"/>
      <c r="L103" s="205"/>
      <c r="M103" s="206"/>
      <c r="N103" s="567"/>
      <c r="O103" s="567"/>
      <c r="P103" s="571" t="s">
        <v>158</v>
      </c>
      <c r="Q103" s="572"/>
      <c r="R103" s="572"/>
      <c r="S103" s="572"/>
      <c r="T103" s="572"/>
      <c r="U103" s="571" t="s">
        <v>114</v>
      </c>
      <c r="V103" s="572"/>
      <c r="W103" s="572"/>
      <c r="X103" s="572"/>
      <c r="Y103" s="572"/>
      <c r="Z103" s="571" t="s">
        <v>159</v>
      </c>
      <c r="AA103" s="572"/>
      <c r="AB103" s="572"/>
      <c r="AC103" s="572"/>
      <c r="AD103" s="572"/>
      <c r="AE103" s="571" t="s">
        <v>157</v>
      </c>
      <c r="AF103" s="572"/>
      <c r="AG103" s="572"/>
      <c r="AH103" s="572"/>
      <c r="AI103" s="572"/>
      <c r="AJ103" s="571" t="s">
        <v>160</v>
      </c>
      <c r="AK103" s="572"/>
      <c r="AL103" s="572"/>
      <c r="AM103" s="572"/>
      <c r="AN103" s="572"/>
      <c r="AO103" s="571" t="s">
        <v>115</v>
      </c>
      <c r="AP103" s="572"/>
      <c r="AQ103" s="572"/>
      <c r="AR103" s="572"/>
      <c r="AS103" s="572"/>
      <c r="AT103" s="571" t="s">
        <v>161</v>
      </c>
      <c r="AU103" s="572"/>
      <c r="AV103" s="572"/>
      <c r="AW103" s="572"/>
      <c r="AX103" s="572"/>
    </row>
    <row r="104" spans="2:50">
      <c r="B104" s="559" t="s">
        <v>685</v>
      </c>
      <c r="C104" s="559" t="s">
        <v>686</v>
      </c>
      <c r="D104" s="559"/>
      <c r="E104" s="559" t="s">
        <v>687</v>
      </c>
      <c r="F104" s="559"/>
      <c r="G104" s="559"/>
      <c r="H104" s="560" t="s">
        <v>688</v>
      </c>
      <c r="I104" s="559" t="s">
        <v>689</v>
      </c>
      <c r="J104" s="559"/>
      <c r="K104" s="559"/>
      <c r="L104" s="560" t="s">
        <v>688</v>
      </c>
      <c r="M104" s="565" t="s">
        <v>690</v>
      </c>
      <c r="N104" s="559"/>
      <c r="O104" s="559" t="s">
        <v>691</v>
      </c>
      <c r="P104" s="556" t="s">
        <v>692</v>
      </c>
      <c r="Q104" s="557"/>
      <c r="R104" s="557"/>
      <c r="S104" s="558"/>
      <c r="T104" s="559" t="s">
        <v>688</v>
      </c>
      <c r="U104" s="556" t="s">
        <v>692</v>
      </c>
      <c r="V104" s="557"/>
      <c r="W104" s="557"/>
      <c r="X104" s="558"/>
      <c r="Y104" s="559" t="s">
        <v>688</v>
      </c>
      <c r="Z104" s="556" t="s">
        <v>418</v>
      </c>
      <c r="AA104" s="557"/>
      <c r="AB104" s="557"/>
      <c r="AC104" s="558"/>
      <c r="AD104" s="559" t="s">
        <v>416</v>
      </c>
      <c r="AE104" s="556" t="s">
        <v>418</v>
      </c>
      <c r="AF104" s="557"/>
      <c r="AG104" s="557"/>
      <c r="AH104" s="558"/>
      <c r="AI104" s="559" t="s">
        <v>416</v>
      </c>
      <c r="AJ104" s="556" t="s">
        <v>418</v>
      </c>
      <c r="AK104" s="557"/>
      <c r="AL104" s="557"/>
      <c r="AM104" s="558"/>
      <c r="AN104" s="559" t="s">
        <v>416</v>
      </c>
      <c r="AO104" s="556" t="s">
        <v>418</v>
      </c>
      <c r="AP104" s="557"/>
      <c r="AQ104" s="557"/>
      <c r="AR104" s="558"/>
      <c r="AS104" s="559" t="s">
        <v>416</v>
      </c>
      <c r="AT104" s="556" t="s">
        <v>418</v>
      </c>
      <c r="AU104" s="557"/>
      <c r="AV104" s="557"/>
      <c r="AW104" s="558"/>
      <c r="AX104" s="559" t="s">
        <v>416</v>
      </c>
    </row>
    <row r="105" spans="2:50">
      <c r="B105" s="559"/>
      <c r="C105" s="559"/>
      <c r="D105" s="559"/>
      <c r="E105" s="559" t="s">
        <v>693</v>
      </c>
      <c r="F105" s="559"/>
      <c r="G105" s="559"/>
      <c r="H105" s="561"/>
      <c r="I105" s="559" t="s">
        <v>693</v>
      </c>
      <c r="J105" s="559"/>
      <c r="K105" s="559"/>
      <c r="L105" s="561"/>
      <c r="M105" s="566"/>
      <c r="N105" s="559"/>
      <c r="O105" s="559"/>
      <c r="P105" s="556" t="s">
        <v>694</v>
      </c>
      <c r="Q105" s="557"/>
      <c r="R105" s="557"/>
      <c r="S105" s="558"/>
      <c r="T105" s="559"/>
      <c r="U105" s="556" t="s">
        <v>694</v>
      </c>
      <c r="V105" s="557"/>
      <c r="W105" s="557"/>
      <c r="X105" s="558"/>
      <c r="Y105" s="559"/>
      <c r="Z105" s="556" t="s">
        <v>423</v>
      </c>
      <c r="AA105" s="557"/>
      <c r="AB105" s="557"/>
      <c r="AC105" s="558"/>
      <c r="AD105" s="559"/>
      <c r="AE105" s="556" t="s">
        <v>423</v>
      </c>
      <c r="AF105" s="557"/>
      <c r="AG105" s="557"/>
      <c r="AH105" s="558"/>
      <c r="AI105" s="559"/>
      <c r="AJ105" s="556" t="s">
        <v>423</v>
      </c>
      <c r="AK105" s="557"/>
      <c r="AL105" s="557"/>
      <c r="AM105" s="558"/>
      <c r="AN105" s="559"/>
      <c r="AO105" s="556" t="s">
        <v>423</v>
      </c>
      <c r="AP105" s="557"/>
      <c r="AQ105" s="557"/>
      <c r="AR105" s="558"/>
      <c r="AS105" s="559"/>
      <c r="AT105" s="556" t="s">
        <v>423</v>
      </c>
      <c r="AU105" s="557"/>
      <c r="AV105" s="557"/>
      <c r="AW105" s="558"/>
      <c r="AX105" s="559"/>
    </row>
    <row r="106" spans="2:50">
      <c r="B106" s="559"/>
      <c r="C106" s="559"/>
      <c r="D106" s="559"/>
      <c r="E106" s="400" t="s">
        <v>695</v>
      </c>
      <c r="F106" s="400" t="s">
        <v>696</v>
      </c>
      <c r="G106" s="400" t="s">
        <v>697</v>
      </c>
      <c r="H106" s="562"/>
      <c r="I106" s="400" t="s">
        <v>695</v>
      </c>
      <c r="J106" s="400" t="s">
        <v>696</v>
      </c>
      <c r="K106" s="400" t="s">
        <v>697</v>
      </c>
      <c r="L106" s="562"/>
      <c r="M106" s="567"/>
      <c r="N106" s="559"/>
      <c r="O106" s="559"/>
      <c r="P106" s="400" t="s">
        <v>695</v>
      </c>
      <c r="Q106" s="400" t="s">
        <v>696</v>
      </c>
      <c r="R106" s="400" t="s">
        <v>697</v>
      </c>
      <c r="S106" s="400" t="s">
        <v>690</v>
      </c>
      <c r="T106" s="559"/>
      <c r="U106" s="400" t="s">
        <v>695</v>
      </c>
      <c r="V106" s="400" t="s">
        <v>696</v>
      </c>
      <c r="W106" s="400" t="s">
        <v>697</v>
      </c>
      <c r="X106" s="400" t="s">
        <v>690</v>
      </c>
      <c r="Y106" s="559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9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9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9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9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9"/>
    </row>
    <row r="107" spans="2:50">
      <c r="B107" s="607" t="s">
        <v>701</v>
      </c>
      <c r="C107" s="431">
        <v>1</v>
      </c>
      <c r="D107" s="435"/>
      <c r="E107" s="432"/>
      <c r="F107" s="432"/>
      <c r="G107" s="432"/>
      <c r="H107" s="563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63"/>
      <c r="M107" s="432" t="e">
        <f>RANK(K107, K$107:$K$121)</f>
        <v>#DIV/0!</v>
      </c>
      <c r="N107" s="559"/>
      <c r="O107" s="559"/>
      <c r="P107" s="431"/>
      <c r="Q107" s="432"/>
      <c r="R107" s="432"/>
      <c r="S107" s="431" t="e">
        <f>RANK(R107, R$107:R$121)</f>
        <v>#N/A</v>
      </c>
      <c r="T107" s="588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88" t="e">
        <f t="shared" ref="Y107" si="57">AVERAGE(W107:W121)</f>
        <v>#DIV/0!</v>
      </c>
      <c r="Z107" s="182"/>
      <c r="AA107" s="182"/>
      <c r="AB107" s="182"/>
      <c r="AC107" s="308" t="e">
        <f>RANK(AB107, AB$107:AB$121)</f>
        <v>#N/A</v>
      </c>
      <c r="AD107" s="605" t="e">
        <f>AVERAGE(AB107:AB121)</f>
        <v>#DIV/0!</v>
      </c>
      <c r="AE107" s="182"/>
      <c r="AF107" s="182"/>
      <c r="AG107" s="182"/>
      <c r="AH107" s="308" t="e">
        <f>RANK(AG107, AG$107:AG$121)</f>
        <v>#N/A</v>
      </c>
      <c r="AI107" s="605" t="e">
        <f>AVERAGE(AG107:AG121)</f>
        <v>#DIV/0!</v>
      </c>
      <c r="AJ107" s="182"/>
      <c r="AK107" s="182"/>
      <c r="AL107" s="182"/>
      <c r="AM107" s="308" t="e">
        <f>RANK(AL107, AL$107:AL$121)</f>
        <v>#N/A</v>
      </c>
      <c r="AN107" s="605" t="e">
        <f>AVERAGE(AL107:AL121)</f>
        <v>#DIV/0!</v>
      </c>
      <c r="AO107" s="182"/>
      <c r="AP107" s="182"/>
      <c r="AQ107" s="182"/>
      <c r="AR107" s="308" t="e">
        <f>RANK(AQ107, AQ$107:AQ$121)</f>
        <v>#N/A</v>
      </c>
      <c r="AS107" s="605" t="e">
        <f>AVERAGE(AQ107:AQ121)</f>
        <v>#DIV/0!</v>
      </c>
      <c r="AT107" s="182"/>
      <c r="AU107" s="182"/>
      <c r="AV107" s="182"/>
      <c r="AW107" s="308" t="e">
        <f>RANK(AV107, AV$107:AV$121)</f>
        <v>#N/A</v>
      </c>
      <c r="AX107" s="605" t="e">
        <f>AVERAGE(AV107:AV121)</f>
        <v>#DIV/0!</v>
      </c>
    </row>
    <row r="108" spans="2:50">
      <c r="B108" s="599"/>
      <c r="C108" s="431">
        <v>2</v>
      </c>
      <c r="D108" s="435"/>
      <c r="E108" s="432"/>
      <c r="F108" s="432"/>
      <c r="G108" s="432"/>
      <c r="H108" s="564"/>
      <c r="I108" s="432" t="e">
        <f t="shared" ref="I108:K117" si="58">AVERAGE(P108,U108,Z108,AE108,AJ108,AO108,AT108)</f>
        <v>#DIV/0!</v>
      </c>
      <c r="J108" s="432" t="e">
        <f t="shared" si="58"/>
        <v>#DIV/0!</v>
      </c>
      <c r="K108" s="433" t="e">
        <f t="shared" si="58"/>
        <v>#DIV/0!</v>
      </c>
      <c r="L108" s="564"/>
      <c r="M108" s="432" t="e">
        <f>RANK(K108, K$107:$K$121)</f>
        <v>#DIV/0!</v>
      </c>
      <c r="N108" s="559"/>
      <c r="O108" s="559"/>
      <c r="P108" s="431"/>
      <c r="Q108" s="432"/>
      <c r="R108" s="432"/>
      <c r="S108" s="431" t="e">
        <f t="shared" ref="S108:S121" si="59">RANK(R108, R$107:R$121)</f>
        <v>#N/A</v>
      </c>
      <c r="T108" s="588"/>
      <c r="U108" s="431"/>
      <c r="V108" s="432"/>
      <c r="W108" s="432"/>
      <c r="X108" s="431" t="e">
        <f t="shared" ref="X108:X121" si="60">RANK(W108, W$107:W$121)</f>
        <v>#N/A</v>
      </c>
      <c r="Y108" s="588"/>
      <c r="Z108" s="182"/>
      <c r="AA108" s="182"/>
      <c r="AB108" s="182"/>
      <c r="AC108" s="308" t="e">
        <f t="shared" ref="AC108:AC121" si="61">RANK(AB108, AB$107:AB$121)</f>
        <v>#N/A</v>
      </c>
      <c r="AD108" s="605"/>
      <c r="AE108" s="182"/>
      <c r="AF108" s="182"/>
      <c r="AG108" s="182"/>
      <c r="AH108" s="308" t="e">
        <f t="shared" ref="AH108:AH121" si="62">RANK(AG108, AG$107:AG$121)</f>
        <v>#N/A</v>
      </c>
      <c r="AI108" s="605"/>
      <c r="AJ108" s="182"/>
      <c r="AK108" s="182"/>
      <c r="AL108" s="182"/>
      <c r="AM108" s="308" t="e">
        <f t="shared" ref="AM108:AM121" si="63">RANK(AL108, AL$107:AL$121)</f>
        <v>#N/A</v>
      </c>
      <c r="AN108" s="605"/>
      <c r="AO108" s="182"/>
      <c r="AP108" s="182"/>
      <c r="AQ108" s="182"/>
      <c r="AR108" s="308" t="e">
        <f t="shared" ref="AR108:AR121" si="64">RANK(AQ108, AQ$107:AQ$121)</f>
        <v>#N/A</v>
      </c>
      <c r="AS108" s="605"/>
      <c r="AT108" s="182"/>
      <c r="AU108" s="182"/>
      <c r="AV108" s="182"/>
      <c r="AW108" s="308" t="e">
        <f t="shared" ref="AW108:AW121" si="65">RANK(AV108, AV$107:AV$121)</f>
        <v>#N/A</v>
      </c>
      <c r="AX108" s="605"/>
    </row>
    <row r="109" spans="2:50">
      <c r="B109" s="599"/>
      <c r="C109" s="431">
        <v>3</v>
      </c>
      <c r="D109" s="435"/>
      <c r="E109" s="432"/>
      <c r="F109" s="432"/>
      <c r="G109" s="432"/>
      <c r="H109" s="564"/>
      <c r="I109" s="432" t="e">
        <f t="shared" si="58"/>
        <v>#DIV/0!</v>
      </c>
      <c r="J109" s="432" t="e">
        <f t="shared" si="58"/>
        <v>#DIV/0!</v>
      </c>
      <c r="K109" s="433" t="e">
        <f t="shared" si="58"/>
        <v>#DIV/0!</v>
      </c>
      <c r="L109" s="564"/>
      <c r="M109" s="432" t="e">
        <f>RANK(K109, K$107:$K$121)</f>
        <v>#DIV/0!</v>
      </c>
      <c r="N109" s="559"/>
      <c r="O109" s="559"/>
      <c r="P109" s="431"/>
      <c r="Q109" s="432"/>
      <c r="R109" s="432"/>
      <c r="S109" s="431" t="e">
        <f t="shared" si="59"/>
        <v>#N/A</v>
      </c>
      <c r="T109" s="588"/>
      <c r="U109" s="431"/>
      <c r="V109" s="432"/>
      <c r="W109" s="432"/>
      <c r="X109" s="431" t="e">
        <f t="shared" si="60"/>
        <v>#N/A</v>
      </c>
      <c r="Y109" s="588"/>
      <c r="Z109" s="182"/>
      <c r="AA109" s="182"/>
      <c r="AB109" s="182"/>
      <c r="AC109" s="308" t="e">
        <f t="shared" si="61"/>
        <v>#N/A</v>
      </c>
      <c r="AD109" s="605"/>
      <c r="AE109" s="182"/>
      <c r="AF109" s="182"/>
      <c r="AG109" s="182"/>
      <c r="AH109" s="308" t="e">
        <f t="shared" si="62"/>
        <v>#N/A</v>
      </c>
      <c r="AI109" s="605"/>
      <c r="AJ109" s="182"/>
      <c r="AK109" s="182"/>
      <c r="AL109" s="182"/>
      <c r="AM109" s="308" t="e">
        <f t="shared" si="63"/>
        <v>#N/A</v>
      </c>
      <c r="AN109" s="605"/>
      <c r="AO109" s="182"/>
      <c r="AP109" s="182"/>
      <c r="AQ109" s="182"/>
      <c r="AR109" s="308" t="e">
        <f t="shared" si="64"/>
        <v>#N/A</v>
      </c>
      <c r="AS109" s="605"/>
      <c r="AT109" s="182"/>
      <c r="AU109" s="182"/>
      <c r="AV109" s="182"/>
      <c r="AW109" s="308" t="e">
        <f t="shared" si="65"/>
        <v>#N/A</v>
      </c>
      <c r="AX109" s="605"/>
    </row>
    <row r="110" spans="2:50">
      <c r="B110" s="599"/>
      <c r="C110" s="431">
        <v>4</v>
      </c>
      <c r="D110" s="435"/>
      <c r="E110" s="432"/>
      <c r="F110" s="432"/>
      <c r="G110" s="432"/>
      <c r="H110" s="564"/>
      <c r="I110" s="432" t="e">
        <f t="shared" si="58"/>
        <v>#DIV/0!</v>
      </c>
      <c r="J110" s="432" t="e">
        <f t="shared" si="58"/>
        <v>#DIV/0!</v>
      </c>
      <c r="K110" s="433" t="e">
        <f t="shared" si="58"/>
        <v>#DIV/0!</v>
      </c>
      <c r="L110" s="564"/>
      <c r="M110" s="432" t="e">
        <f>RANK(K110, K$107:$K$121)</f>
        <v>#DIV/0!</v>
      </c>
      <c r="N110" s="559"/>
      <c r="O110" s="559"/>
      <c r="P110" s="431"/>
      <c r="Q110" s="432"/>
      <c r="R110" s="432"/>
      <c r="S110" s="431" t="e">
        <f t="shared" si="59"/>
        <v>#N/A</v>
      </c>
      <c r="T110" s="588"/>
      <c r="U110" s="431"/>
      <c r="V110" s="432"/>
      <c r="W110" s="432"/>
      <c r="X110" s="431" t="e">
        <f t="shared" si="60"/>
        <v>#N/A</v>
      </c>
      <c r="Y110" s="588"/>
      <c r="Z110" s="182"/>
      <c r="AA110" s="182"/>
      <c r="AB110" s="182"/>
      <c r="AC110" s="308" t="e">
        <f t="shared" si="61"/>
        <v>#N/A</v>
      </c>
      <c r="AD110" s="605"/>
      <c r="AE110" s="182"/>
      <c r="AF110" s="182"/>
      <c r="AG110" s="182"/>
      <c r="AH110" s="308" t="e">
        <f t="shared" si="62"/>
        <v>#N/A</v>
      </c>
      <c r="AI110" s="605"/>
      <c r="AJ110" s="182"/>
      <c r="AK110" s="182"/>
      <c r="AL110" s="182"/>
      <c r="AM110" s="308" t="e">
        <f t="shared" si="63"/>
        <v>#N/A</v>
      </c>
      <c r="AN110" s="605"/>
      <c r="AO110" s="182"/>
      <c r="AP110" s="182"/>
      <c r="AQ110" s="182"/>
      <c r="AR110" s="308" t="e">
        <f t="shared" si="64"/>
        <v>#N/A</v>
      </c>
      <c r="AS110" s="605"/>
      <c r="AT110" s="182"/>
      <c r="AU110" s="182"/>
      <c r="AV110" s="182"/>
      <c r="AW110" s="308" t="e">
        <f t="shared" si="65"/>
        <v>#N/A</v>
      </c>
      <c r="AX110" s="605"/>
    </row>
    <row r="111" spans="2:50">
      <c r="B111" s="599"/>
      <c r="C111" s="431">
        <v>5</v>
      </c>
      <c r="D111" s="435"/>
      <c r="E111" s="432"/>
      <c r="F111" s="432"/>
      <c r="G111" s="432"/>
      <c r="H111" s="564"/>
      <c r="I111" s="432" t="e">
        <f t="shared" si="58"/>
        <v>#DIV/0!</v>
      </c>
      <c r="J111" s="432" t="e">
        <f t="shared" si="58"/>
        <v>#DIV/0!</v>
      </c>
      <c r="K111" s="433" t="e">
        <f t="shared" si="58"/>
        <v>#DIV/0!</v>
      </c>
      <c r="L111" s="564"/>
      <c r="M111" s="432" t="e">
        <f>RANK(K111, K$107:$K$121)</f>
        <v>#DIV/0!</v>
      </c>
      <c r="N111" s="559"/>
      <c r="O111" s="559"/>
      <c r="P111" s="431"/>
      <c r="Q111" s="432"/>
      <c r="R111" s="432"/>
      <c r="S111" s="431" t="e">
        <f t="shared" si="59"/>
        <v>#N/A</v>
      </c>
      <c r="T111" s="588"/>
      <c r="U111" s="431"/>
      <c r="V111" s="432"/>
      <c r="W111" s="432"/>
      <c r="X111" s="431" t="e">
        <f t="shared" si="60"/>
        <v>#N/A</v>
      </c>
      <c r="Y111" s="588"/>
      <c r="Z111" s="182"/>
      <c r="AA111" s="182"/>
      <c r="AB111" s="182"/>
      <c r="AC111" s="308" t="e">
        <f t="shared" si="61"/>
        <v>#N/A</v>
      </c>
      <c r="AD111" s="605"/>
      <c r="AE111" s="182"/>
      <c r="AF111" s="182"/>
      <c r="AG111" s="182"/>
      <c r="AH111" s="308" t="e">
        <f t="shared" si="62"/>
        <v>#N/A</v>
      </c>
      <c r="AI111" s="605"/>
      <c r="AJ111" s="182"/>
      <c r="AK111" s="182"/>
      <c r="AL111" s="182"/>
      <c r="AM111" s="308" t="e">
        <f t="shared" si="63"/>
        <v>#N/A</v>
      </c>
      <c r="AN111" s="605"/>
      <c r="AO111" s="182"/>
      <c r="AP111" s="182"/>
      <c r="AQ111" s="182"/>
      <c r="AR111" s="308" t="e">
        <f t="shared" si="64"/>
        <v>#N/A</v>
      </c>
      <c r="AS111" s="605"/>
      <c r="AT111" s="182"/>
      <c r="AU111" s="182"/>
      <c r="AV111" s="182"/>
      <c r="AW111" s="308" t="e">
        <f t="shared" si="65"/>
        <v>#N/A</v>
      </c>
      <c r="AX111" s="605"/>
    </row>
    <row r="112" spans="2:50">
      <c r="B112" s="599"/>
      <c r="C112" s="431">
        <v>6</v>
      </c>
      <c r="D112" s="435"/>
      <c r="E112" s="432"/>
      <c r="F112" s="432"/>
      <c r="G112" s="432"/>
      <c r="H112" s="564"/>
      <c r="I112" s="432" t="e">
        <f t="shared" si="58"/>
        <v>#DIV/0!</v>
      </c>
      <c r="J112" s="432" t="e">
        <f t="shared" si="58"/>
        <v>#DIV/0!</v>
      </c>
      <c r="K112" s="433" t="e">
        <f t="shared" si="58"/>
        <v>#DIV/0!</v>
      </c>
      <c r="L112" s="564"/>
      <c r="M112" s="432" t="e">
        <f>RANK(K112, K$107:$K$121)</f>
        <v>#DIV/0!</v>
      </c>
      <c r="N112" s="559"/>
      <c r="O112" s="559"/>
      <c r="P112" s="431"/>
      <c r="Q112" s="432"/>
      <c r="R112" s="432"/>
      <c r="S112" s="431" t="e">
        <f t="shared" si="59"/>
        <v>#N/A</v>
      </c>
      <c r="T112" s="588"/>
      <c r="U112" s="431"/>
      <c r="V112" s="432"/>
      <c r="W112" s="432"/>
      <c r="X112" s="431" t="e">
        <f t="shared" si="60"/>
        <v>#N/A</v>
      </c>
      <c r="Y112" s="588"/>
      <c r="Z112" s="182"/>
      <c r="AA112" s="182"/>
      <c r="AB112" s="182"/>
      <c r="AC112" s="308" t="e">
        <f t="shared" si="61"/>
        <v>#N/A</v>
      </c>
      <c r="AD112" s="605"/>
      <c r="AE112" s="182"/>
      <c r="AF112" s="182"/>
      <c r="AG112" s="182"/>
      <c r="AH112" s="308" t="e">
        <f t="shared" si="62"/>
        <v>#N/A</v>
      </c>
      <c r="AI112" s="605"/>
      <c r="AJ112" s="182"/>
      <c r="AK112" s="182"/>
      <c r="AL112" s="182"/>
      <c r="AM112" s="308" t="e">
        <f t="shared" si="63"/>
        <v>#N/A</v>
      </c>
      <c r="AN112" s="605"/>
      <c r="AO112" s="182"/>
      <c r="AP112" s="182"/>
      <c r="AQ112" s="182"/>
      <c r="AR112" s="308" t="e">
        <f t="shared" si="64"/>
        <v>#N/A</v>
      </c>
      <c r="AS112" s="605"/>
      <c r="AT112" s="182"/>
      <c r="AU112" s="182"/>
      <c r="AV112" s="182"/>
      <c r="AW112" s="308" t="e">
        <f t="shared" si="65"/>
        <v>#N/A</v>
      </c>
      <c r="AX112" s="605"/>
    </row>
    <row r="113" spans="2:50">
      <c r="B113" s="599"/>
      <c r="C113" s="431">
        <v>7</v>
      </c>
      <c r="D113" s="435"/>
      <c r="E113" s="432"/>
      <c r="F113" s="432"/>
      <c r="G113" s="432"/>
      <c r="H113" s="564"/>
      <c r="I113" s="432" t="e">
        <f t="shared" si="58"/>
        <v>#DIV/0!</v>
      </c>
      <c r="J113" s="432" t="e">
        <f t="shared" si="58"/>
        <v>#DIV/0!</v>
      </c>
      <c r="K113" s="433" t="e">
        <f t="shared" si="58"/>
        <v>#DIV/0!</v>
      </c>
      <c r="L113" s="564"/>
      <c r="M113" s="432" t="e">
        <f>RANK(K113, K$107:$K$121)</f>
        <v>#DIV/0!</v>
      </c>
      <c r="N113" s="559"/>
      <c r="O113" s="559"/>
      <c r="P113" s="431"/>
      <c r="Q113" s="432"/>
      <c r="R113" s="432"/>
      <c r="S113" s="431" t="e">
        <f t="shared" si="59"/>
        <v>#N/A</v>
      </c>
      <c r="T113" s="588"/>
      <c r="U113" s="431"/>
      <c r="V113" s="432"/>
      <c r="W113" s="432"/>
      <c r="X113" s="431" t="e">
        <f t="shared" si="60"/>
        <v>#N/A</v>
      </c>
      <c r="Y113" s="588"/>
      <c r="Z113" s="182"/>
      <c r="AA113" s="182"/>
      <c r="AB113" s="182"/>
      <c r="AC113" s="308" t="e">
        <f t="shared" si="61"/>
        <v>#N/A</v>
      </c>
      <c r="AD113" s="605"/>
      <c r="AE113" s="182"/>
      <c r="AF113" s="182"/>
      <c r="AG113" s="182"/>
      <c r="AH113" s="308" t="e">
        <f t="shared" si="62"/>
        <v>#N/A</v>
      </c>
      <c r="AI113" s="605"/>
      <c r="AJ113" s="182"/>
      <c r="AK113" s="182"/>
      <c r="AL113" s="182"/>
      <c r="AM113" s="308" t="e">
        <f t="shared" si="63"/>
        <v>#N/A</v>
      </c>
      <c r="AN113" s="605"/>
      <c r="AO113" s="182"/>
      <c r="AP113" s="182"/>
      <c r="AQ113" s="182"/>
      <c r="AR113" s="308" t="e">
        <f t="shared" si="64"/>
        <v>#N/A</v>
      </c>
      <c r="AS113" s="605"/>
      <c r="AT113" s="182"/>
      <c r="AU113" s="182"/>
      <c r="AV113" s="182"/>
      <c r="AW113" s="308" t="e">
        <f t="shared" si="65"/>
        <v>#N/A</v>
      </c>
      <c r="AX113" s="605"/>
    </row>
    <row r="114" spans="2:50">
      <c r="B114" s="599"/>
      <c r="C114" s="431">
        <v>8</v>
      </c>
      <c r="D114" s="435"/>
      <c r="E114" s="432"/>
      <c r="F114" s="432"/>
      <c r="G114" s="432"/>
      <c r="H114" s="564"/>
      <c r="I114" s="432" t="e">
        <f t="shared" si="58"/>
        <v>#DIV/0!</v>
      </c>
      <c r="J114" s="432" t="e">
        <f t="shared" si="58"/>
        <v>#DIV/0!</v>
      </c>
      <c r="K114" s="433" t="e">
        <f t="shared" si="58"/>
        <v>#DIV/0!</v>
      </c>
      <c r="L114" s="564"/>
      <c r="M114" s="432" t="e">
        <f>RANK(K114, K$107:$K$121)</f>
        <v>#DIV/0!</v>
      </c>
      <c r="N114" s="559"/>
      <c r="O114" s="559"/>
      <c r="P114" s="431"/>
      <c r="Q114" s="432"/>
      <c r="R114" s="432"/>
      <c r="S114" s="431" t="e">
        <f t="shared" si="59"/>
        <v>#N/A</v>
      </c>
      <c r="T114" s="588"/>
      <c r="U114" s="431"/>
      <c r="V114" s="432"/>
      <c r="W114" s="432"/>
      <c r="X114" s="431" t="e">
        <f t="shared" si="60"/>
        <v>#N/A</v>
      </c>
      <c r="Y114" s="588"/>
      <c r="Z114" s="182"/>
      <c r="AA114" s="182"/>
      <c r="AB114" s="182"/>
      <c r="AC114" s="308" t="e">
        <f t="shared" si="61"/>
        <v>#N/A</v>
      </c>
      <c r="AD114" s="605"/>
      <c r="AE114" s="182"/>
      <c r="AF114" s="182"/>
      <c r="AG114" s="182"/>
      <c r="AH114" s="308" t="e">
        <f t="shared" si="62"/>
        <v>#N/A</v>
      </c>
      <c r="AI114" s="605"/>
      <c r="AJ114" s="182"/>
      <c r="AK114" s="182"/>
      <c r="AL114" s="182"/>
      <c r="AM114" s="308" t="e">
        <f t="shared" si="63"/>
        <v>#N/A</v>
      </c>
      <c r="AN114" s="605"/>
      <c r="AO114" s="182"/>
      <c r="AP114" s="182"/>
      <c r="AQ114" s="182"/>
      <c r="AR114" s="308" t="e">
        <f t="shared" si="64"/>
        <v>#N/A</v>
      </c>
      <c r="AS114" s="605"/>
      <c r="AT114" s="182"/>
      <c r="AU114" s="182"/>
      <c r="AV114" s="182"/>
      <c r="AW114" s="308" t="e">
        <f t="shared" si="65"/>
        <v>#N/A</v>
      </c>
      <c r="AX114" s="605"/>
    </row>
    <row r="115" spans="2:50">
      <c r="B115" s="599"/>
      <c r="C115" s="431">
        <v>9</v>
      </c>
      <c r="D115" s="435"/>
      <c r="E115" s="432"/>
      <c r="F115" s="432"/>
      <c r="G115" s="432"/>
      <c r="H115" s="564"/>
      <c r="I115" s="432" t="e">
        <f t="shared" si="58"/>
        <v>#DIV/0!</v>
      </c>
      <c r="J115" s="432" t="e">
        <f t="shared" si="58"/>
        <v>#DIV/0!</v>
      </c>
      <c r="K115" s="433" t="e">
        <f t="shared" si="58"/>
        <v>#DIV/0!</v>
      </c>
      <c r="L115" s="564"/>
      <c r="M115" s="432" t="e">
        <f>RANK(K115, K$107:$K$121)</f>
        <v>#DIV/0!</v>
      </c>
      <c r="N115" s="559"/>
      <c r="O115" s="559"/>
      <c r="P115" s="431"/>
      <c r="Q115" s="432"/>
      <c r="R115" s="432"/>
      <c r="S115" s="431" t="e">
        <f t="shared" si="59"/>
        <v>#N/A</v>
      </c>
      <c r="T115" s="588"/>
      <c r="U115" s="431"/>
      <c r="V115" s="432"/>
      <c r="W115" s="432"/>
      <c r="X115" s="431" t="e">
        <f t="shared" si="60"/>
        <v>#N/A</v>
      </c>
      <c r="Y115" s="588"/>
      <c r="Z115" s="182"/>
      <c r="AA115" s="182"/>
      <c r="AB115" s="182"/>
      <c r="AC115" s="308" t="e">
        <f t="shared" si="61"/>
        <v>#N/A</v>
      </c>
      <c r="AD115" s="605"/>
      <c r="AE115" s="182"/>
      <c r="AF115" s="182"/>
      <c r="AG115" s="182"/>
      <c r="AH115" s="308" t="e">
        <f t="shared" si="62"/>
        <v>#N/A</v>
      </c>
      <c r="AI115" s="605"/>
      <c r="AJ115" s="182"/>
      <c r="AK115" s="182"/>
      <c r="AL115" s="182"/>
      <c r="AM115" s="308" t="e">
        <f t="shared" si="63"/>
        <v>#N/A</v>
      </c>
      <c r="AN115" s="605"/>
      <c r="AO115" s="182"/>
      <c r="AP115" s="182"/>
      <c r="AQ115" s="182"/>
      <c r="AR115" s="308" t="e">
        <f t="shared" si="64"/>
        <v>#N/A</v>
      </c>
      <c r="AS115" s="605"/>
      <c r="AT115" s="182"/>
      <c r="AU115" s="182"/>
      <c r="AV115" s="182"/>
      <c r="AW115" s="308" t="e">
        <f t="shared" si="65"/>
        <v>#N/A</v>
      </c>
      <c r="AX115" s="605"/>
    </row>
    <row r="116" spans="2:50">
      <c r="B116" s="599"/>
      <c r="C116" s="431">
        <v>10</v>
      </c>
      <c r="D116" s="435"/>
      <c r="E116" s="432"/>
      <c r="F116" s="432"/>
      <c r="G116" s="432"/>
      <c r="H116" s="564"/>
      <c r="I116" s="432" t="e">
        <f t="shared" si="58"/>
        <v>#DIV/0!</v>
      </c>
      <c r="J116" s="432" t="e">
        <f t="shared" si="58"/>
        <v>#DIV/0!</v>
      </c>
      <c r="K116" s="433" t="e">
        <f t="shared" si="58"/>
        <v>#DIV/0!</v>
      </c>
      <c r="L116" s="564"/>
      <c r="M116" s="432" t="e">
        <f>RANK(K116, K$107:$K$121)</f>
        <v>#DIV/0!</v>
      </c>
      <c r="N116" s="559"/>
      <c r="O116" s="559"/>
      <c r="P116" s="431"/>
      <c r="Q116" s="432"/>
      <c r="R116" s="432"/>
      <c r="S116" s="431" t="e">
        <f t="shared" si="59"/>
        <v>#N/A</v>
      </c>
      <c r="T116" s="588"/>
      <c r="U116" s="431"/>
      <c r="V116" s="432"/>
      <c r="W116" s="432"/>
      <c r="X116" s="431" t="e">
        <f t="shared" si="60"/>
        <v>#N/A</v>
      </c>
      <c r="Y116" s="588"/>
      <c r="Z116" s="182"/>
      <c r="AA116" s="182"/>
      <c r="AB116" s="182"/>
      <c r="AC116" s="308" t="e">
        <f t="shared" si="61"/>
        <v>#N/A</v>
      </c>
      <c r="AD116" s="605"/>
      <c r="AE116" s="182"/>
      <c r="AF116" s="182"/>
      <c r="AG116" s="182"/>
      <c r="AH116" s="308" t="e">
        <f t="shared" si="62"/>
        <v>#N/A</v>
      </c>
      <c r="AI116" s="605"/>
      <c r="AJ116" s="182"/>
      <c r="AK116" s="182"/>
      <c r="AL116" s="182"/>
      <c r="AM116" s="308" t="e">
        <f t="shared" si="63"/>
        <v>#N/A</v>
      </c>
      <c r="AN116" s="605"/>
      <c r="AO116" s="182"/>
      <c r="AP116" s="182"/>
      <c r="AQ116" s="182"/>
      <c r="AR116" s="308" t="e">
        <f t="shared" si="64"/>
        <v>#N/A</v>
      </c>
      <c r="AS116" s="605"/>
      <c r="AT116" s="182"/>
      <c r="AU116" s="182"/>
      <c r="AV116" s="182"/>
      <c r="AW116" s="308" t="e">
        <f t="shared" si="65"/>
        <v>#N/A</v>
      </c>
      <c r="AX116" s="605"/>
    </row>
    <row r="117" spans="2:50">
      <c r="B117" s="599"/>
      <c r="C117" s="431">
        <v>11</v>
      </c>
      <c r="D117" s="435"/>
      <c r="E117" s="432"/>
      <c r="F117" s="432"/>
      <c r="G117" s="432"/>
      <c r="H117" s="564"/>
      <c r="I117" s="432" t="e">
        <f t="shared" si="58"/>
        <v>#DIV/0!</v>
      </c>
      <c r="J117" s="432" t="e">
        <f t="shared" si="58"/>
        <v>#DIV/0!</v>
      </c>
      <c r="K117" s="433" t="e">
        <f t="shared" si="58"/>
        <v>#DIV/0!</v>
      </c>
      <c r="L117" s="564"/>
      <c r="M117" s="432" t="e">
        <f>RANK(K117, K$107:$K$121)</f>
        <v>#DIV/0!</v>
      </c>
      <c r="N117" s="559"/>
      <c r="O117" s="559"/>
      <c r="P117" s="431"/>
      <c r="Q117" s="432"/>
      <c r="R117" s="432"/>
      <c r="S117" s="431" t="e">
        <f t="shared" si="59"/>
        <v>#N/A</v>
      </c>
      <c r="T117" s="588"/>
      <c r="U117" s="431"/>
      <c r="V117" s="432"/>
      <c r="W117" s="432"/>
      <c r="X117" s="431" t="e">
        <f t="shared" si="60"/>
        <v>#N/A</v>
      </c>
      <c r="Y117" s="588"/>
      <c r="Z117" s="182"/>
      <c r="AA117" s="182"/>
      <c r="AB117" s="182"/>
      <c r="AC117" s="308" t="e">
        <f t="shared" si="61"/>
        <v>#N/A</v>
      </c>
      <c r="AD117" s="605"/>
      <c r="AE117" s="182"/>
      <c r="AF117" s="182"/>
      <c r="AG117" s="182"/>
      <c r="AH117" s="308" t="e">
        <f t="shared" si="62"/>
        <v>#N/A</v>
      </c>
      <c r="AI117" s="605"/>
      <c r="AJ117" s="182"/>
      <c r="AK117" s="182"/>
      <c r="AL117" s="182"/>
      <c r="AM117" s="308" t="e">
        <f t="shared" si="63"/>
        <v>#N/A</v>
      </c>
      <c r="AN117" s="605"/>
      <c r="AO117" s="182"/>
      <c r="AP117" s="182"/>
      <c r="AQ117" s="182"/>
      <c r="AR117" s="308" t="e">
        <f t="shared" si="64"/>
        <v>#N/A</v>
      </c>
      <c r="AS117" s="605"/>
      <c r="AT117" s="182"/>
      <c r="AU117" s="182"/>
      <c r="AV117" s="182"/>
      <c r="AW117" s="308" t="e">
        <f t="shared" si="65"/>
        <v>#N/A</v>
      </c>
      <c r="AX117" s="605"/>
    </row>
    <row r="118" spans="2:50">
      <c r="B118" s="599"/>
      <c r="C118" s="431">
        <v>12</v>
      </c>
      <c r="D118" s="435"/>
      <c r="E118" s="432"/>
      <c r="F118" s="432"/>
      <c r="G118" s="432"/>
      <c r="H118" s="564"/>
      <c r="I118" s="432"/>
      <c r="J118" s="432"/>
      <c r="K118" s="433"/>
      <c r="L118" s="564"/>
      <c r="M118" s="432" t="e">
        <f>RANK(K118, K$107:$K$121)</f>
        <v>#DIV/0!</v>
      </c>
      <c r="N118" s="559"/>
      <c r="O118" s="559"/>
      <c r="P118" s="431"/>
      <c r="Q118" s="432"/>
      <c r="R118" s="432"/>
      <c r="S118" s="431" t="e">
        <f t="shared" si="59"/>
        <v>#N/A</v>
      </c>
      <c r="T118" s="588"/>
      <c r="U118" s="431"/>
      <c r="V118" s="432"/>
      <c r="W118" s="432"/>
      <c r="X118" s="431" t="e">
        <f t="shared" si="60"/>
        <v>#N/A</v>
      </c>
      <c r="Y118" s="588"/>
      <c r="Z118" s="182"/>
      <c r="AA118" s="182"/>
      <c r="AB118" s="182"/>
      <c r="AC118" s="308" t="e">
        <f t="shared" si="61"/>
        <v>#N/A</v>
      </c>
      <c r="AD118" s="605"/>
      <c r="AE118" s="182"/>
      <c r="AF118" s="182"/>
      <c r="AG118" s="182"/>
      <c r="AH118" s="308" t="e">
        <f t="shared" si="62"/>
        <v>#N/A</v>
      </c>
      <c r="AI118" s="605"/>
      <c r="AJ118" s="182"/>
      <c r="AK118" s="182"/>
      <c r="AL118" s="182"/>
      <c r="AM118" s="308" t="e">
        <f t="shared" si="63"/>
        <v>#N/A</v>
      </c>
      <c r="AN118" s="605"/>
      <c r="AO118" s="182"/>
      <c r="AP118" s="182"/>
      <c r="AQ118" s="182"/>
      <c r="AR118" s="308" t="e">
        <f t="shared" si="64"/>
        <v>#N/A</v>
      </c>
      <c r="AS118" s="605"/>
      <c r="AT118" s="182"/>
      <c r="AU118" s="182"/>
      <c r="AV118" s="182"/>
      <c r="AW118" s="308" t="e">
        <f t="shared" si="65"/>
        <v>#N/A</v>
      </c>
      <c r="AX118" s="605"/>
    </row>
    <row r="119" spans="2:50">
      <c r="B119" s="599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64"/>
      <c r="I119" s="432"/>
      <c r="J119" s="432"/>
      <c r="K119" s="433"/>
      <c r="L119" s="564"/>
      <c r="M119" s="432" t="e">
        <f>RANK(K119, K$107:$K$121)</f>
        <v>#DIV/0!</v>
      </c>
      <c r="N119" s="559"/>
      <c r="O119" s="559"/>
      <c r="P119" s="431" t="s">
        <v>561</v>
      </c>
      <c r="Q119" s="432" t="s">
        <v>561</v>
      </c>
      <c r="R119" s="432" t="s">
        <v>561</v>
      </c>
      <c r="S119" s="431" t="e">
        <f t="shared" si="59"/>
        <v>#VALUE!</v>
      </c>
      <c r="T119" s="588"/>
      <c r="U119" s="431"/>
      <c r="V119" s="432"/>
      <c r="W119" s="432"/>
      <c r="X119" s="431" t="e">
        <f t="shared" si="60"/>
        <v>#N/A</v>
      </c>
      <c r="Y119" s="588"/>
      <c r="Z119" s="182"/>
      <c r="AA119" s="182"/>
      <c r="AB119" s="182"/>
      <c r="AC119" s="308" t="e">
        <f t="shared" si="61"/>
        <v>#N/A</v>
      </c>
      <c r="AD119" s="605"/>
      <c r="AE119" s="182"/>
      <c r="AF119" s="182"/>
      <c r="AG119" s="182"/>
      <c r="AH119" s="308" t="e">
        <f t="shared" si="62"/>
        <v>#N/A</v>
      </c>
      <c r="AI119" s="605"/>
      <c r="AJ119" s="182"/>
      <c r="AK119" s="182"/>
      <c r="AL119" s="182"/>
      <c r="AM119" s="308" t="e">
        <f t="shared" si="63"/>
        <v>#N/A</v>
      </c>
      <c r="AN119" s="605"/>
      <c r="AO119" s="182"/>
      <c r="AP119" s="182"/>
      <c r="AQ119" s="182"/>
      <c r="AR119" s="308" t="e">
        <f t="shared" si="64"/>
        <v>#N/A</v>
      </c>
      <c r="AS119" s="605"/>
      <c r="AT119" s="182"/>
      <c r="AU119" s="182"/>
      <c r="AV119" s="182"/>
      <c r="AW119" s="308" t="e">
        <f t="shared" si="65"/>
        <v>#N/A</v>
      </c>
      <c r="AX119" s="605"/>
    </row>
    <row r="120" spans="2:50">
      <c r="B120" s="599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64"/>
      <c r="I120" s="432"/>
      <c r="J120" s="432"/>
      <c r="K120" s="433"/>
      <c r="L120" s="564"/>
      <c r="M120" s="432" t="e">
        <f>RANK(K120, K$107:$K$121)</f>
        <v>#DIV/0!</v>
      </c>
      <c r="N120" s="559"/>
      <c r="O120" s="559"/>
      <c r="P120" s="431" t="s">
        <v>561</v>
      </c>
      <c r="Q120" s="432" t="s">
        <v>561</v>
      </c>
      <c r="R120" s="432" t="s">
        <v>561</v>
      </c>
      <c r="S120" s="431" t="e">
        <f t="shared" si="59"/>
        <v>#VALUE!</v>
      </c>
      <c r="T120" s="588"/>
      <c r="U120" s="431"/>
      <c r="V120" s="432"/>
      <c r="W120" s="432"/>
      <c r="X120" s="431" t="e">
        <f t="shared" si="60"/>
        <v>#N/A</v>
      </c>
      <c r="Y120" s="588"/>
      <c r="Z120" s="182"/>
      <c r="AA120" s="182"/>
      <c r="AB120" s="182"/>
      <c r="AC120" s="308" t="e">
        <f t="shared" si="61"/>
        <v>#N/A</v>
      </c>
      <c r="AD120" s="605"/>
      <c r="AE120" s="182"/>
      <c r="AF120" s="182"/>
      <c r="AG120" s="182"/>
      <c r="AH120" s="308" t="e">
        <f t="shared" si="62"/>
        <v>#N/A</v>
      </c>
      <c r="AI120" s="605"/>
      <c r="AJ120" s="182"/>
      <c r="AK120" s="182"/>
      <c r="AL120" s="182"/>
      <c r="AM120" s="308" t="e">
        <f t="shared" si="63"/>
        <v>#N/A</v>
      </c>
      <c r="AN120" s="605"/>
      <c r="AO120" s="182"/>
      <c r="AP120" s="182"/>
      <c r="AQ120" s="182"/>
      <c r="AR120" s="308" t="e">
        <f t="shared" si="64"/>
        <v>#N/A</v>
      </c>
      <c r="AS120" s="605"/>
      <c r="AT120" s="182"/>
      <c r="AU120" s="182"/>
      <c r="AV120" s="182"/>
      <c r="AW120" s="308" t="e">
        <f t="shared" si="65"/>
        <v>#N/A</v>
      </c>
      <c r="AX120" s="605"/>
    </row>
    <row r="121" spans="2:50">
      <c r="B121" s="599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16"/>
      <c r="I121" s="432"/>
      <c r="J121" s="432"/>
      <c r="K121" s="433"/>
      <c r="L121" s="616"/>
      <c r="M121" s="432" t="e">
        <f>RANK(K121, K$107:$K$121)</f>
        <v>#DIV/0!</v>
      </c>
      <c r="N121" s="559"/>
      <c r="O121" s="559"/>
      <c r="P121" s="431" t="s">
        <v>561</v>
      </c>
      <c r="Q121" s="432" t="s">
        <v>561</v>
      </c>
      <c r="R121" s="432" t="s">
        <v>561</v>
      </c>
      <c r="S121" s="431" t="e">
        <f t="shared" si="59"/>
        <v>#VALUE!</v>
      </c>
      <c r="T121" s="588"/>
      <c r="U121" s="431"/>
      <c r="V121" s="432"/>
      <c r="W121" s="432"/>
      <c r="X121" s="431" t="e">
        <f t="shared" si="60"/>
        <v>#N/A</v>
      </c>
      <c r="Y121" s="588"/>
      <c r="Z121" s="182"/>
      <c r="AA121" s="182"/>
      <c r="AB121" s="182"/>
      <c r="AC121" s="308" t="e">
        <f t="shared" si="61"/>
        <v>#N/A</v>
      </c>
      <c r="AD121" s="605"/>
      <c r="AE121" s="182"/>
      <c r="AF121" s="182"/>
      <c r="AG121" s="182"/>
      <c r="AH121" s="308" t="e">
        <f t="shared" si="62"/>
        <v>#N/A</v>
      </c>
      <c r="AI121" s="605"/>
      <c r="AJ121" s="182"/>
      <c r="AK121" s="182"/>
      <c r="AL121" s="182"/>
      <c r="AM121" s="308" t="e">
        <f t="shared" si="63"/>
        <v>#N/A</v>
      </c>
      <c r="AN121" s="605"/>
      <c r="AO121" s="182"/>
      <c r="AP121" s="182"/>
      <c r="AQ121" s="182"/>
      <c r="AR121" s="308" t="e">
        <f t="shared" si="64"/>
        <v>#N/A</v>
      </c>
      <c r="AS121" s="605"/>
      <c r="AT121" s="182"/>
      <c r="AU121" s="182"/>
      <c r="AV121" s="182"/>
      <c r="AW121" s="308" t="e">
        <f t="shared" si="65"/>
        <v>#N/A</v>
      </c>
      <c r="AX121" s="605"/>
    </row>
    <row r="123" spans="2:50" ht="15.75">
      <c r="B123" s="600" t="s">
        <v>482</v>
      </c>
      <c r="C123" s="601"/>
      <c r="D123" s="601"/>
      <c r="E123" s="601"/>
      <c r="F123" s="601"/>
      <c r="G123" s="601"/>
      <c r="H123" s="602"/>
      <c r="I123" s="301"/>
      <c r="J123" s="301"/>
      <c r="K123" s="301"/>
      <c r="L123" s="301"/>
      <c r="M123" s="302"/>
    </row>
    <row r="124" spans="2:50" ht="15.75">
      <c r="B124" s="603"/>
      <c r="C124" s="603"/>
      <c r="D124" s="603"/>
      <c r="E124" s="603"/>
      <c r="F124" s="603"/>
      <c r="G124" s="603"/>
      <c r="H124" s="603"/>
      <c r="I124" s="303"/>
      <c r="J124" s="303"/>
      <c r="K124" s="303"/>
      <c r="L124" s="303"/>
      <c r="M124" s="304"/>
    </row>
    <row r="125" spans="2:50">
      <c r="B125" s="559" t="s">
        <v>154</v>
      </c>
      <c r="C125" s="559" t="s">
        <v>428</v>
      </c>
      <c r="D125" s="559"/>
      <c r="E125" s="559" t="s">
        <v>419</v>
      </c>
      <c r="F125" s="559"/>
      <c r="G125" s="559"/>
      <c r="H125" s="560" t="s">
        <v>416</v>
      </c>
      <c r="I125" s="604" t="s">
        <v>420</v>
      </c>
      <c r="J125" s="604"/>
      <c r="K125" s="604"/>
      <c r="L125" s="623" t="s">
        <v>416</v>
      </c>
      <c r="M125" s="626" t="s">
        <v>417</v>
      </c>
    </row>
    <row r="126" spans="2:50">
      <c r="B126" s="559"/>
      <c r="C126" s="559"/>
      <c r="D126" s="559"/>
      <c r="E126" s="559" t="s">
        <v>422</v>
      </c>
      <c r="F126" s="559"/>
      <c r="G126" s="559"/>
      <c r="H126" s="561"/>
      <c r="I126" s="604" t="s">
        <v>422</v>
      </c>
      <c r="J126" s="604"/>
      <c r="K126" s="604"/>
      <c r="L126" s="624"/>
      <c r="M126" s="627"/>
    </row>
    <row r="127" spans="2:50">
      <c r="B127" s="559"/>
      <c r="C127" s="559"/>
      <c r="D127" s="559"/>
      <c r="E127" s="298" t="s">
        <v>424</v>
      </c>
      <c r="F127" s="298" t="s">
        <v>425</v>
      </c>
      <c r="G127" s="298" t="s">
        <v>426</v>
      </c>
      <c r="H127" s="562"/>
      <c r="I127" s="305" t="s">
        <v>424</v>
      </c>
      <c r="J127" s="305" t="s">
        <v>425</v>
      </c>
      <c r="K127" s="305" t="s">
        <v>426</v>
      </c>
      <c r="L127" s="625"/>
      <c r="M127" s="628"/>
    </row>
    <row r="128" spans="2:50">
      <c r="B128" s="607" t="s">
        <v>427</v>
      </c>
      <c r="C128" s="297">
        <v>1</v>
      </c>
      <c r="D128" s="226" t="s">
        <v>400</v>
      </c>
      <c r="E128" s="182">
        <v>4</v>
      </c>
      <c r="F128" s="297">
        <v>2000</v>
      </c>
      <c r="G128" s="300">
        <v>500</v>
      </c>
      <c r="H128" s="608">
        <f>AVERAGE(G128:G142)</f>
        <v>272.17979797979797</v>
      </c>
      <c r="I128" s="199">
        <f t="shared" ref="I128:J138" si="66">AVERAGEIF($D$7:$D$121,$D128,I$7:I$121)</f>
        <v>4.9714285714285715</v>
      </c>
      <c r="J128" s="199">
        <f t="shared" si="66"/>
        <v>2147.8522406573184</v>
      </c>
      <c r="K128" s="199">
        <f t="shared" ref="K128:K138" si="67">AVERAGEIF($D$7:$D$121,$D128,K$7:K$121)</f>
        <v>432.71176087277644</v>
      </c>
      <c r="L128" s="620">
        <f>AVERAGE(K128:K142)</f>
        <v>243.25327561765388</v>
      </c>
      <c r="M128" s="199">
        <f>RANK(K128, K$128:$K$142)</f>
        <v>1</v>
      </c>
    </row>
    <row r="129" spans="2:13">
      <c r="B129" s="572"/>
      <c r="C129" s="297">
        <v>2</v>
      </c>
      <c r="D129" s="226" t="s">
        <v>452</v>
      </c>
      <c r="E129" s="182">
        <v>4</v>
      </c>
      <c r="F129" s="297">
        <v>2000</v>
      </c>
      <c r="G129" s="300">
        <v>500</v>
      </c>
      <c r="H129" s="609"/>
      <c r="I129" s="199">
        <f t="shared" si="66"/>
        <v>4.9714285714285715</v>
      </c>
      <c r="J129" s="199">
        <f t="shared" si="66"/>
        <v>2141.9529141648964</v>
      </c>
      <c r="K129" s="199">
        <f t="shared" si="67"/>
        <v>431.44431417626294</v>
      </c>
      <c r="L129" s="621"/>
      <c r="M129" s="199">
        <f>RANK(K129, K$128:$K$142)</f>
        <v>2</v>
      </c>
    </row>
    <row r="130" spans="2:13">
      <c r="B130" s="572"/>
      <c r="C130" s="297">
        <v>3</v>
      </c>
      <c r="D130" s="226" t="s">
        <v>401</v>
      </c>
      <c r="E130" s="182">
        <v>14</v>
      </c>
      <c r="F130" s="297">
        <v>2118</v>
      </c>
      <c r="G130" s="300">
        <v>151.30000000000001</v>
      </c>
      <c r="H130" s="609"/>
      <c r="I130" s="199">
        <f t="shared" si="66"/>
        <v>13.8</v>
      </c>
      <c r="J130" s="199">
        <f t="shared" si="66"/>
        <v>2057.4596327621457</v>
      </c>
      <c r="K130" s="199">
        <f t="shared" si="67"/>
        <v>149.13974068730516</v>
      </c>
      <c r="L130" s="621"/>
      <c r="M130" s="199">
        <f>RANK(K130, K$128:$K$142)</f>
        <v>10</v>
      </c>
    </row>
    <row r="131" spans="2:13">
      <c r="B131" s="572"/>
      <c r="C131" s="297">
        <v>4</v>
      </c>
      <c r="D131" s="226" t="s">
        <v>402</v>
      </c>
      <c r="E131" s="182">
        <v>13</v>
      </c>
      <c r="F131" s="297">
        <v>2118</v>
      </c>
      <c r="G131" s="300">
        <v>162.9</v>
      </c>
      <c r="H131" s="609"/>
      <c r="I131" s="199">
        <f t="shared" si="66"/>
        <v>12.8</v>
      </c>
      <c r="J131" s="199">
        <f t="shared" si="66"/>
        <v>2056.6621099942399</v>
      </c>
      <c r="K131" s="199">
        <f t="shared" si="67"/>
        <v>160.7454816039419</v>
      </c>
      <c r="L131" s="621"/>
      <c r="M131" s="199">
        <f>RANK(K131, K$128:$K$142)</f>
        <v>9</v>
      </c>
    </row>
    <row r="132" spans="2:13">
      <c r="B132" s="572"/>
      <c r="C132" s="297">
        <v>5</v>
      </c>
      <c r="D132" s="226" t="s">
        <v>403</v>
      </c>
      <c r="E132" s="182">
        <v>11</v>
      </c>
      <c r="F132" s="297">
        <v>2250</v>
      </c>
      <c r="G132" s="300">
        <v>204.5</v>
      </c>
      <c r="H132" s="609"/>
      <c r="I132" s="199">
        <f t="shared" si="66"/>
        <v>11.4</v>
      </c>
      <c r="J132" s="199">
        <f t="shared" si="66"/>
        <v>2192.0917563313242</v>
      </c>
      <c r="K132" s="199">
        <f t="shared" si="67"/>
        <v>192.57557497532781</v>
      </c>
      <c r="L132" s="621"/>
      <c r="M132" s="199">
        <f>RANK(K132, K$128:$K$142)</f>
        <v>6</v>
      </c>
    </row>
    <row r="133" spans="2:13">
      <c r="B133" s="572"/>
      <c r="C133" s="297">
        <v>6</v>
      </c>
      <c r="D133" s="306" t="s">
        <v>404</v>
      </c>
      <c r="E133" s="182">
        <v>12</v>
      </c>
      <c r="F133" s="297">
        <v>2250</v>
      </c>
      <c r="G133" s="300">
        <v>187.5</v>
      </c>
      <c r="H133" s="609"/>
      <c r="I133" s="199">
        <f t="shared" si="66"/>
        <v>12.4</v>
      </c>
      <c r="J133" s="199">
        <f t="shared" si="66"/>
        <v>2139.8728901734939</v>
      </c>
      <c r="K133" s="199">
        <f t="shared" si="67"/>
        <v>172.77766787534119</v>
      </c>
      <c r="L133" s="621"/>
      <c r="M133" s="199">
        <f>RANK(K133, K$128:$K$142)</f>
        <v>8</v>
      </c>
    </row>
    <row r="134" spans="2:13">
      <c r="B134" s="572"/>
      <c r="C134" s="297">
        <v>7</v>
      </c>
      <c r="D134" s="226" t="s">
        <v>405</v>
      </c>
      <c r="E134" s="182">
        <v>11</v>
      </c>
      <c r="F134" s="297">
        <v>2118</v>
      </c>
      <c r="G134" s="300">
        <v>192.5</v>
      </c>
      <c r="H134" s="609"/>
      <c r="I134" s="199">
        <f t="shared" si="66"/>
        <v>10.8</v>
      </c>
      <c r="J134" s="199">
        <f t="shared" si="66"/>
        <v>2057.8633521854999</v>
      </c>
      <c r="K134" s="199">
        <f t="shared" si="67"/>
        <v>190.70992688242058</v>
      </c>
      <c r="L134" s="621"/>
      <c r="M134" s="199">
        <f>RANK(K134, K$128:$K$142)</f>
        <v>7</v>
      </c>
    </row>
    <row r="135" spans="2:13">
      <c r="B135" s="572"/>
      <c r="C135" s="297">
        <v>8</v>
      </c>
      <c r="D135" s="226" t="s">
        <v>399</v>
      </c>
      <c r="E135" s="182">
        <v>18</v>
      </c>
      <c r="F135" s="297">
        <v>1250</v>
      </c>
      <c r="G135" s="300">
        <v>69.444444444444443</v>
      </c>
      <c r="H135" s="609"/>
      <c r="I135" s="199">
        <f t="shared" si="66"/>
        <v>13.125714285714286</v>
      </c>
      <c r="J135" s="199">
        <f t="shared" si="66"/>
        <v>1243.0030979128496</v>
      </c>
      <c r="K135" s="199">
        <f t="shared" si="67"/>
        <v>94.765595196783195</v>
      </c>
      <c r="L135" s="621"/>
      <c r="M135" s="199">
        <f>RANK(K135, K$128:$K$142)</f>
        <v>11</v>
      </c>
    </row>
    <row r="136" spans="2:13">
      <c r="B136" s="572"/>
      <c r="C136" s="297">
        <v>9</v>
      </c>
      <c r="D136" s="226" t="s">
        <v>600</v>
      </c>
      <c r="E136" s="297">
        <v>6</v>
      </c>
      <c r="F136" s="297">
        <v>2000</v>
      </c>
      <c r="G136" s="297">
        <v>333.33333333333331</v>
      </c>
      <c r="H136" s="609"/>
      <c r="I136" s="199">
        <f t="shared" si="66"/>
        <v>6.9142857142857137</v>
      </c>
      <c r="J136" s="199">
        <f t="shared" si="66"/>
        <v>1849.1597779594135</v>
      </c>
      <c r="K136" s="199">
        <f t="shared" si="67"/>
        <v>267.95679276667857</v>
      </c>
      <c r="L136" s="621"/>
      <c r="M136" s="199">
        <f>RANK(K136, K$128:$K$142)</f>
        <v>4</v>
      </c>
    </row>
    <row r="137" spans="2:13">
      <c r="B137" s="572"/>
      <c r="C137" s="297">
        <v>10</v>
      </c>
      <c r="D137" s="226" t="s">
        <v>617</v>
      </c>
      <c r="E137" s="297">
        <v>4</v>
      </c>
      <c r="F137" s="297">
        <v>2000</v>
      </c>
      <c r="G137" s="297">
        <v>500</v>
      </c>
      <c r="H137" s="609"/>
      <c r="I137" s="199">
        <f t="shared" si="66"/>
        <v>4.7714285714285714</v>
      </c>
      <c r="J137" s="199">
        <f t="shared" si="66"/>
        <v>1815.7871099488771</v>
      </c>
      <c r="K137" s="199">
        <f t="shared" si="67"/>
        <v>383.44103920589271</v>
      </c>
      <c r="L137" s="621"/>
      <c r="M137" s="199">
        <f>RANK(K137, K$128:$K$142)</f>
        <v>3</v>
      </c>
    </row>
    <row r="138" spans="2:13">
      <c r="B138" s="572"/>
      <c r="C138" s="297">
        <v>11</v>
      </c>
      <c r="D138" s="226" t="s">
        <v>632</v>
      </c>
      <c r="E138" s="297">
        <v>11</v>
      </c>
      <c r="F138" s="297">
        <v>2250</v>
      </c>
      <c r="G138" s="297">
        <v>192.5</v>
      </c>
      <c r="H138" s="609"/>
      <c r="I138" s="401">
        <f t="shared" si="66"/>
        <v>11.08</v>
      </c>
      <c r="J138" s="401">
        <f t="shared" si="66"/>
        <v>2190.1271729547079</v>
      </c>
      <c r="K138" s="401">
        <f t="shared" si="67"/>
        <v>199.5181375514623</v>
      </c>
      <c r="L138" s="621"/>
      <c r="M138" s="199">
        <f>RANK(K138, K$128:$K$142)</f>
        <v>5</v>
      </c>
    </row>
    <row r="139" spans="2:13">
      <c r="B139" s="572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21"/>
      <c r="M139" s="199" t="e">
        <f>RANK(K139, K$128:$K$142)</f>
        <v>#N/A</v>
      </c>
    </row>
    <row r="140" spans="2:13">
      <c r="B140" s="572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21"/>
      <c r="M140" s="199" t="e">
        <f>RANK(K140, K$128:$K$142)</f>
        <v>#N/A</v>
      </c>
    </row>
    <row r="141" spans="2:13">
      <c r="B141" s="572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21"/>
      <c r="M141" s="199" t="e">
        <f>RANK(K141, K$128:$K$142)</f>
        <v>#N/A</v>
      </c>
    </row>
    <row r="142" spans="2:13">
      <c r="B142" s="572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22"/>
      <c r="M142" s="199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0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1" t="s">
        <v>329</v>
      </c>
      <c r="C1" s="220">
        <f>AVERAGE(L7,L27,L47,L67,L87,L107)</f>
        <v>118.36196777858777</v>
      </c>
    </row>
    <row r="2" spans="1:54" ht="15.75">
      <c r="A2" s="81"/>
      <c r="B2" s="576" t="s">
        <v>731</v>
      </c>
      <c r="C2" s="576"/>
      <c r="D2" s="576"/>
      <c r="E2" s="576"/>
      <c r="F2" s="576"/>
      <c r="G2" s="576"/>
      <c r="H2" s="576"/>
      <c r="I2" s="441"/>
      <c r="J2" s="441"/>
      <c r="K2" s="441"/>
      <c r="L2" s="441"/>
      <c r="M2" s="197"/>
      <c r="N2" s="565" t="s">
        <v>732</v>
      </c>
      <c r="O2" s="565" t="s">
        <v>733</v>
      </c>
      <c r="P2" s="617">
        <v>46386</v>
      </c>
      <c r="Q2" s="618"/>
      <c r="R2" s="618"/>
      <c r="S2" s="618"/>
      <c r="T2" s="619"/>
      <c r="U2" s="571"/>
      <c r="V2" s="572"/>
      <c r="W2" s="572"/>
      <c r="X2" s="572"/>
      <c r="Y2" s="572"/>
      <c r="Z2" s="571">
        <f>U2+1</f>
        <v>1</v>
      </c>
      <c r="AA2" s="572"/>
      <c r="AB2" s="572"/>
      <c r="AC2" s="572"/>
      <c r="AD2" s="572"/>
      <c r="AE2" s="571">
        <f>Z2+1</f>
        <v>2</v>
      </c>
      <c r="AF2" s="572"/>
      <c r="AG2" s="572"/>
      <c r="AH2" s="572"/>
      <c r="AI2" s="572"/>
      <c r="AJ2" s="571">
        <f>AE2+1</f>
        <v>3</v>
      </c>
      <c r="AK2" s="572"/>
      <c r="AL2" s="572"/>
      <c r="AM2" s="572"/>
      <c r="AN2" s="572"/>
      <c r="AO2" s="571">
        <f>AJ2+1</f>
        <v>4</v>
      </c>
      <c r="AP2" s="572"/>
      <c r="AQ2" s="572"/>
      <c r="AR2" s="572"/>
      <c r="AS2" s="572"/>
      <c r="AT2" s="571">
        <f>AO2+1</f>
        <v>5</v>
      </c>
      <c r="AU2" s="572"/>
      <c r="AV2" s="572"/>
      <c r="AW2" s="572"/>
      <c r="AX2" s="572"/>
    </row>
    <row r="3" spans="1:54" ht="15.75">
      <c r="A3" s="81"/>
      <c r="B3" s="597"/>
      <c r="C3" s="597"/>
      <c r="D3" s="597"/>
      <c r="E3" s="597"/>
      <c r="F3" s="597"/>
      <c r="G3" s="597"/>
      <c r="H3" s="597"/>
      <c r="I3" s="442"/>
      <c r="J3" s="442"/>
      <c r="K3" s="442"/>
      <c r="L3" s="442"/>
      <c r="M3" s="198"/>
      <c r="N3" s="567"/>
      <c r="O3" s="567"/>
      <c r="P3" s="568" t="s">
        <v>734</v>
      </c>
      <c r="Q3" s="569"/>
      <c r="R3" s="569"/>
      <c r="S3" s="569"/>
      <c r="T3" s="570"/>
      <c r="U3" s="568" t="s">
        <v>735</v>
      </c>
      <c r="V3" s="569"/>
      <c r="W3" s="569"/>
      <c r="X3" s="569"/>
      <c r="Y3" s="570"/>
      <c r="Z3" s="568" t="s">
        <v>736</v>
      </c>
      <c r="AA3" s="569"/>
      <c r="AB3" s="569"/>
      <c r="AC3" s="569"/>
      <c r="AD3" s="570"/>
      <c r="AE3" s="568" t="s">
        <v>737</v>
      </c>
      <c r="AF3" s="569"/>
      <c r="AG3" s="569"/>
      <c r="AH3" s="569"/>
      <c r="AI3" s="570"/>
      <c r="AJ3" s="568" t="s">
        <v>738</v>
      </c>
      <c r="AK3" s="569"/>
      <c r="AL3" s="569"/>
      <c r="AM3" s="569"/>
      <c r="AN3" s="570"/>
      <c r="AO3" s="568" t="s">
        <v>739</v>
      </c>
      <c r="AP3" s="569"/>
      <c r="AQ3" s="569"/>
      <c r="AR3" s="569"/>
      <c r="AS3" s="570"/>
      <c r="AT3" s="568" t="s">
        <v>740</v>
      </c>
      <c r="AU3" s="569"/>
      <c r="AV3" s="569"/>
      <c r="AW3" s="569"/>
      <c r="AX3" s="570"/>
    </row>
    <row r="4" spans="1:54">
      <c r="A4" s="81"/>
      <c r="B4" s="559" t="s">
        <v>741</v>
      </c>
      <c r="C4" s="559" t="s">
        <v>742</v>
      </c>
      <c r="D4" s="559"/>
      <c r="E4" s="559" t="s">
        <v>743</v>
      </c>
      <c r="F4" s="559"/>
      <c r="G4" s="559"/>
      <c r="H4" s="560" t="s">
        <v>744</v>
      </c>
      <c r="I4" s="543" t="s">
        <v>745</v>
      </c>
      <c r="J4" s="543"/>
      <c r="K4" s="543"/>
      <c r="L4" s="544" t="s">
        <v>744</v>
      </c>
      <c r="M4" s="550" t="s">
        <v>746</v>
      </c>
      <c r="N4" s="559"/>
      <c r="O4" s="559" t="s">
        <v>747</v>
      </c>
      <c r="P4" s="556" t="s">
        <v>748</v>
      </c>
      <c r="Q4" s="557"/>
      <c r="R4" s="557"/>
      <c r="S4" s="558"/>
      <c r="T4" s="559" t="s">
        <v>744</v>
      </c>
      <c r="U4" s="556" t="s">
        <v>748</v>
      </c>
      <c r="V4" s="557"/>
      <c r="W4" s="557"/>
      <c r="X4" s="558"/>
      <c r="Y4" s="559" t="s">
        <v>744</v>
      </c>
      <c r="Z4" s="556" t="s">
        <v>748</v>
      </c>
      <c r="AA4" s="557"/>
      <c r="AB4" s="557"/>
      <c r="AC4" s="558"/>
      <c r="AD4" s="559" t="s">
        <v>744</v>
      </c>
      <c r="AE4" s="556" t="s">
        <v>748</v>
      </c>
      <c r="AF4" s="557"/>
      <c r="AG4" s="557"/>
      <c r="AH4" s="558"/>
      <c r="AI4" s="559" t="s">
        <v>744</v>
      </c>
      <c r="AJ4" s="556" t="s">
        <v>748</v>
      </c>
      <c r="AK4" s="557"/>
      <c r="AL4" s="557"/>
      <c r="AM4" s="558"/>
      <c r="AN4" s="559" t="s">
        <v>744</v>
      </c>
      <c r="AO4" s="556" t="s">
        <v>748</v>
      </c>
      <c r="AP4" s="557"/>
      <c r="AQ4" s="557"/>
      <c r="AR4" s="558"/>
      <c r="AS4" s="559" t="s">
        <v>744</v>
      </c>
      <c r="AT4" s="556" t="s">
        <v>748</v>
      </c>
      <c r="AU4" s="557"/>
      <c r="AV4" s="557"/>
      <c r="AW4" s="558"/>
      <c r="AX4" s="559" t="s">
        <v>744</v>
      </c>
    </row>
    <row r="5" spans="1:54">
      <c r="A5" s="81"/>
      <c r="B5" s="559"/>
      <c r="C5" s="559"/>
      <c r="D5" s="559"/>
      <c r="E5" s="559" t="s">
        <v>749</v>
      </c>
      <c r="F5" s="559"/>
      <c r="G5" s="559"/>
      <c r="H5" s="561"/>
      <c r="I5" s="543" t="s">
        <v>749</v>
      </c>
      <c r="J5" s="543"/>
      <c r="K5" s="543"/>
      <c r="L5" s="545"/>
      <c r="M5" s="551"/>
      <c r="N5" s="559"/>
      <c r="O5" s="559"/>
      <c r="P5" s="556" t="s">
        <v>750</v>
      </c>
      <c r="Q5" s="557"/>
      <c r="R5" s="557"/>
      <c r="S5" s="558"/>
      <c r="T5" s="559"/>
      <c r="U5" s="556" t="s">
        <v>750</v>
      </c>
      <c r="V5" s="557"/>
      <c r="W5" s="557"/>
      <c r="X5" s="558"/>
      <c r="Y5" s="559"/>
      <c r="Z5" s="556" t="s">
        <v>750</v>
      </c>
      <c r="AA5" s="557"/>
      <c r="AB5" s="557"/>
      <c r="AC5" s="558"/>
      <c r="AD5" s="559"/>
      <c r="AE5" s="556" t="s">
        <v>750</v>
      </c>
      <c r="AF5" s="557"/>
      <c r="AG5" s="557"/>
      <c r="AH5" s="558"/>
      <c r="AI5" s="559"/>
      <c r="AJ5" s="556" t="s">
        <v>750</v>
      </c>
      <c r="AK5" s="557"/>
      <c r="AL5" s="557"/>
      <c r="AM5" s="558"/>
      <c r="AN5" s="559"/>
      <c r="AO5" s="556" t="s">
        <v>750</v>
      </c>
      <c r="AP5" s="557"/>
      <c r="AQ5" s="557"/>
      <c r="AR5" s="558"/>
      <c r="AS5" s="559"/>
      <c r="AT5" s="556" t="s">
        <v>750</v>
      </c>
      <c r="AU5" s="557"/>
      <c r="AV5" s="557"/>
      <c r="AW5" s="558"/>
      <c r="AX5" s="559"/>
    </row>
    <row r="6" spans="1:54">
      <c r="A6" s="79"/>
      <c r="B6" s="559"/>
      <c r="C6" s="559"/>
      <c r="D6" s="559"/>
      <c r="E6" s="440" t="s">
        <v>751</v>
      </c>
      <c r="F6" s="440" t="s">
        <v>752</v>
      </c>
      <c r="G6" s="440" t="s">
        <v>753</v>
      </c>
      <c r="H6" s="562"/>
      <c r="I6" s="444" t="s">
        <v>751</v>
      </c>
      <c r="J6" s="444" t="s">
        <v>752</v>
      </c>
      <c r="K6" s="444" t="s">
        <v>753</v>
      </c>
      <c r="L6" s="546"/>
      <c r="M6" s="552"/>
      <c r="N6" s="559"/>
      <c r="O6" s="559"/>
      <c r="P6" s="440" t="s">
        <v>751</v>
      </c>
      <c r="Q6" s="440" t="s">
        <v>752</v>
      </c>
      <c r="R6" s="440" t="s">
        <v>753</v>
      </c>
      <c r="S6" s="440" t="s">
        <v>746</v>
      </c>
      <c r="T6" s="559"/>
      <c r="U6" s="440" t="s">
        <v>751</v>
      </c>
      <c r="V6" s="440" t="s">
        <v>752</v>
      </c>
      <c r="W6" s="440" t="s">
        <v>753</v>
      </c>
      <c r="X6" s="440" t="s">
        <v>746</v>
      </c>
      <c r="Y6" s="559"/>
      <c r="Z6" s="440" t="s">
        <v>751</v>
      </c>
      <c r="AA6" s="440" t="s">
        <v>752</v>
      </c>
      <c r="AB6" s="440" t="s">
        <v>753</v>
      </c>
      <c r="AC6" s="440" t="s">
        <v>746</v>
      </c>
      <c r="AD6" s="559"/>
      <c r="AE6" s="440" t="s">
        <v>751</v>
      </c>
      <c r="AF6" s="440" t="s">
        <v>752</v>
      </c>
      <c r="AG6" s="440" t="s">
        <v>753</v>
      </c>
      <c r="AH6" s="440" t="s">
        <v>746</v>
      </c>
      <c r="AI6" s="559"/>
      <c r="AJ6" s="440" t="s">
        <v>751</v>
      </c>
      <c r="AK6" s="440" t="s">
        <v>752</v>
      </c>
      <c r="AL6" s="440" t="s">
        <v>753</v>
      </c>
      <c r="AM6" s="440" t="s">
        <v>746</v>
      </c>
      <c r="AN6" s="559"/>
      <c r="AO6" s="440" t="s">
        <v>751</v>
      </c>
      <c r="AP6" s="440" t="s">
        <v>752</v>
      </c>
      <c r="AQ6" s="440" t="s">
        <v>753</v>
      </c>
      <c r="AR6" s="440" t="s">
        <v>746</v>
      </c>
      <c r="AS6" s="559"/>
      <c r="AT6" s="440" t="s">
        <v>751</v>
      </c>
      <c r="AU6" s="440" t="s">
        <v>752</v>
      </c>
      <c r="AV6" s="440" t="s">
        <v>753</v>
      </c>
      <c r="AW6" s="440" t="s">
        <v>746</v>
      </c>
      <c r="AX6" s="559"/>
    </row>
    <row r="7" spans="1:54">
      <c r="A7" s="81"/>
      <c r="B7" s="559" t="s">
        <v>786</v>
      </c>
      <c r="C7" s="436">
        <v>1</v>
      </c>
      <c r="D7" s="226"/>
      <c r="E7" s="182"/>
      <c r="F7" s="436"/>
      <c r="G7" s="437"/>
      <c r="H7" s="608" t="e">
        <f>AVERAGE(G7:G21)</f>
        <v>#DIV/0!</v>
      </c>
      <c r="I7" s="446"/>
      <c r="J7" s="446"/>
      <c r="K7" s="438"/>
      <c r="L7" s="540" t="str">
        <f>IFERROR(AVERAGE(K7:K21),"-")</f>
        <v>-</v>
      </c>
      <c r="M7" s="445" t="e">
        <f>RANK(K7, $K$7:K$21)</f>
        <v>#DIV/0!</v>
      </c>
      <c r="N7" s="559"/>
      <c r="O7" s="559"/>
      <c r="P7" s="182"/>
      <c r="Q7" s="182"/>
      <c r="R7" s="437"/>
      <c r="S7" s="436" t="e">
        <f>RANK(R7, R$7:R$21)</f>
        <v>#N/A</v>
      </c>
      <c r="T7" s="605" t="e">
        <f>AVERAGE(R7:R21)</f>
        <v>#DIV/0!</v>
      </c>
      <c r="U7" s="182"/>
      <c r="V7" s="182"/>
      <c r="W7" s="437"/>
      <c r="X7" s="436" t="e">
        <f t="shared" ref="X7:X21" si="0">RANK(W7, W$7:W$21)</f>
        <v>#N/A</v>
      </c>
      <c r="Y7" s="605" t="e">
        <f t="shared" ref="Y7" si="1">AVERAGE(W7:W21)</f>
        <v>#DIV/0!</v>
      </c>
      <c r="Z7" s="182"/>
      <c r="AA7" s="182"/>
      <c r="AB7" s="437"/>
      <c r="AC7" s="436" t="e">
        <f t="shared" ref="AC7:AC21" si="2">RANK(AB7, AB$7:AB$21)</f>
        <v>#N/A</v>
      </c>
      <c r="AD7" s="605" t="e">
        <f t="shared" ref="AD7" si="3">AVERAGE(AB7:AB21)</f>
        <v>#DIV/0!</v>
      </c>
      <c r="AE7" s="182"/>
      <c r="AF7" s="182"/>
      <c r="AG7" s="437"/>
      <c r="AH7" s="436" t="e">
        <f t="shared" ref="AH7:AH21" si="4">RANK(AG7, AG$7:AG$21)</f>
        <v>#N/A</v>
      </c>
      <c r="AI7" s="605" t="e">
        <f t="shared" ref="AI7" si="5">AVERAGE(AG7:AG21)</f>
        <v>#DIV/0!</v>
      </c>
      <c r="AJ7" s="182"/>
      <c r="AK7" s="182"/>
      <c r="AL7" s="437"/>
      <c r="AM7" s="436" t="e">
        <f t="shared" ref="AM7:AM21" si="6">RANK(AL7, AL$7:AL$21)</f>
        <v>#N/A</v>
      </c>
      <c r="AN7" s="605" t="e">
        <f t="shared" ref="AN7" si="7">AVERAGE(AL7:AL21)</f>
        <v>#DIV/0!</v>
      </c>
      <c r="AO7" s="182"/>
      <c r="AP7" s="182"/>
      <c r="AQ7" s="437"/>
      <c r="AR7" s="436" t="e">
        <f t="shared" ref="AR7:AR21" si="8">RANK(AQ7, AQ$7:AQ$21)</f>
        <v>#N/A</v>
      </c>
      <c r="AS7" s="605" t="e">
        <f t="shared" ref="AS7" si="9">AVERAGE(AQ7:AQ21)</f>
        <v>#DIV/0!</v>
      </c>
      <c r="AT7" s="182"/>
      <c r="AU7" s="182"/>
      <c r="AV7" s="437"/>
      <c r="AW7" s="436" t="e">
        <f>RANK(AV7, AV$7:AV$21)</f>
        <v>#N/A</v>
      </c>
      <c r="AX7" s="605" t="e">
        <f>AVERAGE(AV7:AV21)</f>
        <v>#DIV/0!</v>
      </c>
      <c r="AZ7" s="314" t="e">
        <f>RANK(AX7, $K$7:AX$21)</f>
        <v>#DIV/0!</v>
      </c>
      <c r="BB7" s="311" t="e">
        <f>RANK(BA7, BA$7:BA$21)</f>
        <v>#N/A</v>
      </c>
    </row>
    <row r="8" spans="1:54" ht="15" customHeight="1">
      <c r="A8" s="81"/>
      <c r="B8" s="572"/>
      <c r="C8" s="436">
        <v>2</v>
      </c>
      <c r="D8" s="226"/>
      <c r="E8" s="182"/>
      <c r="F8" s="436"/>
      <c r="G8" s="437"/>
      <c r="H8" s="609"/>
      <c r="I8" s="446" t="e">
        <f t="shared" ref="I8:K8" si="10">AVERAGE(P8,U8,Z8,AE8,AJ8,AO8,AT8)</f>
        <v>#DIV/0!</v>
      </c>
      <c r="J8" s="446" t="e">
        <f t="shared" si="10"/>
        <v>#DIV/0!</v>
      </c>
      <c r="K8" s="438" t="e">
        <f t="shared" si="10"/>
        <v>#DIV/0!</v>
      </c>
      <c r="L8" s="541"/>
      <c r="M8" s="445" t="e">
        <f>RANK(K8, $K$7:K$21)</f>
        <v>#DIV/0!</v>
      </c>
      <c r="N8" s="559"/>
      <c r="O8" s="559"/>
      <c r="P8" s="436"/>
      <c r="Q8" s="182"/>
      <c r="R8" s="437"/>
      <c r="S8" s="436" t="e">
        <f t="shared" ref="S8:S21" si="11">RANK(R8, R$7:R$21)</f>
        <v>#N/A</v>
      </c>
      <c r="T8" s="605"/>
      <c r="U8" s="436"/>
      <c r="V8" s="182"/>
      <c r="W8" s="437"/>
      <c r="X8" s="436" t="e">
        <f t="shared" si="0"/>
        <v>#N/A</v>
      </c>
      <c r="Y8" s="605"/>
      <c r="Z8" s="436"/>
      <c r="AA8" s="182"/>
      <c r="AB8" s="437"/>
      <c r="AC8" s="436" t="e">
        <f t="shared" si="2"/>
        <v>#N/A</v>
      </c>
      <c r="AD8" s="605"/>
      <c r="AE8" s="436"/>
      <c r="AF8" s="182"/>
      <c r="AG8" s="437"/>
      <c r="AH8" s="436" t="e">
        <f t="shared" si="4"/>
        <v>#N/A</v>
      </c>
      <c r="AI8" s="605"/>
      <c r="AJ8" s="436"/>
      <c r="AK8" s="182"/>
      <c r="AL8" s="437"/>
      <c r="AM8" s="436" t="e">
        <f t="shared" si="6"/>
        <v>#N/A</v>
      </c>
      <c r="AN8" s="605"/>
      <c r="AO8" s="436"/>
      <c r="AP8" s="182"/>
      <c r="AQ8" s="437"/>
      <c r="AR8" s="436" t="e">
        <f t="shared" si="8"/>
        <v>#N/A</v>
      </c>
      <c r="AS8" s="605"/>
      <c r="AT8" s="436"/>
      <c r="AU8" s="182"/>
      <c r="AV8" s="437"/>
      <c r="AW8" s="436" t="e">
        <f t="shared" ref="AW8:AW21" si="12">RANK(AV8, AV$7:AV$21)</f>
        <v>#N/A</v>
      </c>
      <c r="AX8" s="605"/>
      <c r="AZ8" s="314" t="e">
        <f>RANK(AX8, $K$7:AX$21)</f>
        <v>#DIV/0!</v>
      </c>
      <c r="BB8" s="311" t="e">
        <f t="shared" ref="BB8:BB21" si="13">RANK(BA8, BA$7:BA$21)</f>
        <v>#N/A</v>
      </c>
    </row>
    <row r="9" spans="1:54">
      <c r="A9" s="81"/>
      <c r="B9" s="572"/>
      <c r="C9" s="436">
        <v>3</v>
      </c>
      <c r="D9" s="226"/>
      <c r="E9" s="182"/>
      <c r="F9" s="436"/>
      <c r="G9" s="437"/>
      <c r="H9" s="609"/>
      <c r="I9" s="446"/>
      <c r="J9" s="446"/>
      <c r="K9" s="438"/>
      <c r="L9" s="541"/>
      <c r="M9" s="445" t="e">
        <f>RANK(K9, $K$7:K$21)</f>
        <v>#DIV/0!</v>
      </c>
      <c r="N9" s="559"/>
      <c r="O9" s="559"/>
      <c r="P9" s="436"/>
      <c r="Q9" s="436"/>
      <c r="R9" s="436"/>
      <c r="S9" s="436" t="e">
        <f t="shared" si="11"/>
        <v>#N/A</v>
      </c>
      <c r="T9" s="605"/>
      <c r="U9" s="436"/>
      <c r="V9" s="436"/>
      <c r="W9" s="436"/>
      <c r="X9" s="436" t="e">
        <f t="shared" si="0"/>
        <v>#N/A</v>
      </c>
      <c r="Y9" s="605"/>
      <c r="Z9" s="436"/>
      <c r="AA9" s="436"/>
      <c r="AB9" s="436"/>
      <c r="AC9" s="436" t="e">
        <f t="shared" si="2"/>
        <v>#N/A</v>
      </c>
      <c r="AD9" s="605"/>
      <c r="AE9" s="436"/>
      <c r="AF9" s="436"/>
      <c r="AG9" s="436"/>
      <c r="AH9" s="436" t="e">
        <f t="shared" si="4"/>
        <v>#N/A</v>
      </c>
      <c r="AI9" s="605"/>
      <c r="AJ9" s="436"/>
      <c r="AK9" s="436"/>
      <c r="AL9" s="436"/>
      <c r="AM9" s="436" t="e">
        <f t="shared" si="6"/>
        <v>#N/A</v>
      </c>
      <c r="AN9" s="605"/>
      <c r="AO9" s="436"/>
      <c r="AP9" s="436"/>
      <c r="AQ9" s="436"/>
      <c r="AR9" s="436" t="e">
        <f t="shared" si="8"/>
        <v>#N/A</v>
      </c>
      <c r="AS9" s="605"/>
      <c r="AT9" s="436"/>
      <c r="AU9" s="436"/>
      <c r="AV9" s="436"/>
      <c r="AW9" s="436" t="e">
        <f t="shared" si="12"/>
        <v>#N/A</v>
      </c>
      <c r="AX9" s="605"/>
      <c r="AZ9" s="314" t="e">
        <f>RANK(AX9, $K$7:AX$21)</f>
        <v>#DIV/0!</v>
      </c>
      <c r="BB9" s="311" t="e">
        <f t="shared" si="13"/>
        <v>#N/A</v>
      </c>
    </row>
    <row r="10" spans="1:54">
      <c r="A10" s="81"/>
      <c r="B10" s="572"/>
      <c r="C10" s="436">
        <v>4</v>
      </c>
      <c r="D10" s="226"/>
      <c r="E10" s="182"/>
      <c r="F10" s="436"/>
      <c r="G10" s="437"/>
      <c r="H10" s="609"/>
      <c r="I10" s="446"/>
      <c r="J10" s="446"/>
      <c r="K10" s="438"/>
      <c r="L10" s="541"/>
      <c r="M10" s="445" t="e">
        <f>RANK(K10, $K$7:K$21)</f>
        <v>#DIV/0!</v>
      </c>
      <c r="N10" s="559"/>
      <c r="O10" s="559"/>
      <c r="P10" s="436"/>
      <c r="Q10" s="436"/>
      <c r="R10" s="436"/>
      <c r="S10" s="436" t="e">
        <f t="shared" si="11"/>
        <v>#N/A</v>
      </c>
      <c r="T10" s="605"/>
      <c r="U10" s="436"/>
      <c r="V10" s="436"/>
      <c r="W10" s="436"/>
      <c r="X10" s="436" t="e">
        <f t="shared" si="0"/>
        <v>#N/A</v>
      </c>
      <c r="Y10" s="605"/>
      <c r="Z10" s="436"/>
      <c r="AA10" s="436"/>
      <c r="AB10" s="436"/>
      <c r="AC10" s="436" t="e">
        <f t="shared" si="2"/>
        <v>#N/A</v>
      </c>
      <c r="AD10" s="605"/>
      <c r="AE10" s="436"/>
      <c r="AF10" s="436"/>
      <c r="AG10" s="436"/>
      <c r="AH10" s="436" t="e">
        <f t="shared" si="4"/>
        <v>#N/A</v>
      </c>
      <c r="AI10" s="605"/>
      <c r="AJ10" s="436"/>
      <c r="AK10" s="436"/>
      <c r="AL10" s="436"/>
      <c r="AM10" s="436" t="e">
        <f t="shared" si="6"/>
        <v>#N/A</v>
      </c>
      <c r="AN10" s="605"/>
      <c r="AO10" s="436"/>
      <c r="AP10" s="436"/>
      <c r="AQ10" s="436"/>
      <c r="AR10" s="436" t="e">
        <f t="shared" si="8"/>
        <v>#N/A</v>
      </c>
      <c r="AS10" s="605"/>
      <c r="AT10" s="436"/>
      <c r="AU10" s="436"/>
      <c r="AV10" s="436"/>
      <c r="AW10" s="436" t="e">
        <f t="shared" si="12"/>
        <v>#N/A</v>
      </c>
      <c r="AX10" s="605"/>
      <c r="AZ10" s="314" t="e">
        <f>RANK(AX10, $K$7:AX$21)</f>
        <v>#DIV/0!</v>
      </c>
      <c r="BB10" s="311" t="e">
        <f t="shared" si="13"/>
        <v>#N/A</v>
      </c>
    </row>
    <row r="11" spans="1:54">
      <c r="A11" s="81"/>
      <c r="B11" s="572"/>
      <c r="C11" s="436">
        <v>5</v>
      </c>
      <c r="D11" s="226"/>
      <c r="E11" s="182"/>
      <c r="F11" s="436"/>
      <c r="G11" s="437"/>
      <c r="H11" s="609"/>
      <c r="I11" s="446"/>
      <c r="J11" s="446"/>
      <c r="K11" s="438"/>
      <c r="L11" s="541"/>
      <c r="M11" s="445" t="e">
        <f>RANK(K11, $K$7:K$21)</f>
        <v>#DIV/0!</v>
      </c>
      <c r="N11" s="559"/>
      <c r="O11" s="559"/>
      <c r="P11" s="436"/>
      <c r="Q11" s="436"/>
      <c r="R11" s="436"/>
      <c r="S11" s="436" t="e">
        <f t="shared" si="11"/>
        <v>#N/A</v>
      </c>
      <c r="T11" s="605"/>
      <c r="U11" s="436"/>
      <c r="V11" s="436"/>
      <c r="W11" s="436"/>
      <c r="X11" s="436" t="e">
        <f t="shared" si="0"/>
        <v>#N/A</v>
      </c>
      <c r="Y11" s="605"/>
      <c r="Z11" s="436"/>
      <c r="AA11" s="436"/>
      <c r="AB11" s="436"/>
      <c r="AC11" s="436" t="e">
        <f t="shared" si="2"/>
        <v>#N/A</v>
      </c>
      <c r="AD11" s="605"/>
      <c r="AE11" s="436"/>
      <c r="AF11" s="436"/>
      <c r="AG11" s="436"/>
      <c r="AH11" s="436" t="e">
        <f t="shared" si="4"/>
        <v>#N/A</v>
      </c>
      <c r="AI11" s="605"/>
      <c r="AJ11" s="436"/>
      <c r="AK11" s="436"/>
      <c r="AL11" s="436"/>
      <c r="AM11" s="436" t="e">
        <f t="shared" si="6"/>
        <v>#N/A</v>
      </c>
      <c r="AN11" s="605"/>
      <c r="AO11" s="436"/>
      <c r="AP11" s="436"/>
      <c r="AQ11" s="436"/>
      <c r="AR11" s="436" t="e">
        <f t="shared" si="8"/>
        <v>#N/A</v>
      </c>
      <c r="AS11" s="605"/>
      <c r="AT11" s="436"/>
      <c r="AU11" s="436"/>
      <c r="AV11" s="436"/>
      <c r="AW11" s="436" t="e">
        <f t="shared" si="12"/>
        <v>#N/A</v>
      </c>
      <c r="AX11" s="605"/>
      <c r="AZ11" s="314" t="e">
        <f>RANK(AX11, $K$7:AX$21)</f>
        <v>#DIV/0!</v>
      </c>
      <c r="BB11" s="311" t="e">
        <f t="shared" si="13"/>
        <v>#N/A</v>
      </c>
    </row>
    <row r="12" spans="1:54">
      <c r="A12" s="81"/>
      <c r="B12" s="572"/>
      <c r="C12" s="436">
        <v>6</v>
      </c>
      <c r="D12" s="226"/>
      <c r="E12" s="182"/>
      <c r="F12" s="436"/>
      <c r="G12" s="437"/>
      <c r="H12" s="609"/>
      <c r="I12" s="446"/>
      <c r="J12" s="446"/>
      <c r="K12" s="438"/>
      <c r="L12" s="541"/>
      <c r="M12" s="445" t="e">
        <f>RANK(K12, $K$7:K$21)</f>
        <v>#DIV/0!</v>
      </c>
      <c r="N12" s="559"/>
      <c r="O12" s="559"/>
      <c r="P12" s="436"/>
      <c r="Q12" s="436"/>
      <c r="R12" s="436"/>
      <c r="S12" s="436" t="e">
        <f t="shared" si="11"/>
        <v>#N/A</v>
      </c>
      <c r="T12" s="605"/>
      <c r="U12" s="436"/>
      <c r="V12" s="436"/>
      <c r="W12" s="436"/>
      <c r="X12" s="436" t="e">
        <f t="shared" si="0"/>
        <v>#N/A</v>
      </c>
      <c r="Y12" s="605"/>
      <c r="Z12" s="436"/>
      <c r="AA12" s="436"/>
      <c r="AB12" s="436"/>
      <c r="AC12" s="436" t="e">
        <f t="shared" si="2"/>
        <v>#N/A</v>
      </c>
      <c r="AD12" s="605"/>
      <c r="AE12" s="436"/>
      <c r="AF12" s="436"/>
      <c r="AG12" s="436"/>
      <c r="AH12" s="436" t="e">
        <f t="shared" si="4"/>
        <v>#N/A</v>
      </c>
      <c r="AI12" s="605"/>
      <c r="AJ12" s="436"/>
      <c r="AK12" s="436"/>
      <c r="AL12" s="436"/>
      <c r="AM12" s="436" t="e">
        <f t="shared" si="6"/>
        <v>#N/A</v>
      </c>
      <c r="AN12" s="605"/>
      <c r="AO12" s="436"/>
      <c r="AP12" s="436"/>
      <c r="AQ12" s="436"/>
      <c r="AR12" s="436" t="e">
        <f t="shared" si="8"/>
        <v>#N/A</v>
      </c>
      <c r="AS12" s="605"/>
      <c r="AT12" s="436"/>
      <c r="AU12" s="436"/>
      <c r="AV12" s="436"/>
      <c r="AW12" s="436" t="e">
        <f t="shared" si="12"/>
        <v>#N/A</v>
      </c>
      <c r="AX12" s="605"/>
      <c r="AZ12" s="314" t="e">
        <f>RANK(AX12, $K$7:AX$21)</f>
        <v>#DIV/0!</v>
      </c>
      <c r="BB12" s="311" t="e">
        <f t="shared" si="13"/>
        <v>#N/A</v>
      </c>
    </row>
    <row r="13" spans="1:54">
      <c r="A13" s="81"/>
      <c r="B13" s="572"/>
      <c r="C13" s="436">
        <v>7</v>
      </c>
      <c r="D13" s="226"/>
      <c r="E13" s="182"/>
      <c r="F13" s="436"/>
      <c r="G13" s="437"/>
      <c r="H13" s="609"/>
      <c r="I13" s="446"/>
      <c r="J13" s="446"/>
      <c r="K13" s="438"/>
      <c r="L13" s="541"/>
      <c r="M13" s="445" t="e">
        <f>RANK(K13, $K$7:K$21)</f>
        <v>#DIV/0!</v>
      </c>
      <c r="N13" s="559"/>
      <c r="O13" s="559"/>
      <c r="P13" s="436"/>
      <c r="Q13" s="436"/>
      <c r="R13" s="436"/>
      <c r="S13" s="436" t="e">
        <f t="shared" si="11"/>
        <v>#N/A</v>
      </c>
      <c r="T13" s="605"/>
      <c r="U13" s="436"/>
      <c r="V13" s="436"/>
      <c r="W13" s="436"/>
      <c r="X13" s="436" t="e">
        <f t="shared" si="0"/>
        <v>#N/A</v>
      </c>
      <c r="Y13" s="605"/>
      <c r="Z13" s="436"/>
      <c r="AA13" s="436"/>
      <c r="AB13" s="436"/>
      <c r="AC13" s="436" t="e">
        <f t="shared" si="2"/>
        <v>#N/A</v>
      </c>
      <c r="AD13" s="605"/>
      <c r="AE13" s="436"/>
      <c r="AF13" s="436"/>
      <c r="AG13" s="436"/>
      <c r="AH13" s="436" t="e">
        <f t="shared" si="4"/>
        <v>#N/A</v>
      </c>
      <c r="AI13" s="605"/>
      <c r="AJ13" s="436"/>
      <c r="AK13" s="436"/>
      <c r="AL13" s="436"/>
      <c r="AM13" s="436" t="e">
        <f t="shared" si="6"/>
        <v>#N/A</v>
      </c>
      <c r="AN13" s="605"/>
      <c r="AO13" s="436"/>
      <c r="AP13" s="436"/>
      <c r="AQ13" s="436"/>
      <c r="AR13" s="436" t="e">
        <f t="shared" si="8"/>
        <v>#N/A</v>
      </c>
      <c r="AS13" s="605"/>
      <c r="AT13" s="436"/>
      <c r="AU13" s="436"/>
      <c r="AV13" s="436"/>
      <c r="AW13" s="436" t="e">
        <f t="shared" si="12"/>
        <v>#N/A</v>
      </c>
      <c r="AX13" s="605"/>
      <c r="AZ13" s="314" t="e">
        <f>RANK(AX13, $K$7:AX$21)</f>
        <v>#DIV/0!</v>
      </c>
      <c r="BB13" s="311" t="e">
        <f t="shared" si="13"/>
        <v>#N/A</v>
      </c>
    </row>
    <row r="14" spans="1:54">
      <c r="A14" s="81"/>
      <c r="B14" s="572"/>
      <c r="C14" s="436">
        <v>8</v>
      </c>
      <c r="D14" s="226"/>
      <c r="E14" s="182"/>
      <c r="F14" s="436"/>
      <c r="G14" s="437"/>
      <c r="H14" s="609"/>
      <c r="I14" s="446"/>
      <c r="J14" s="446"/>
      <c r="K14" s="438"/>
      <c r="L14" s="541"/>
      <c r="M14" s="445" t="e">
        <f>RANK(K14, $K$7:K$21)</f>
        <v>#DIV/0!</v>
      </c>
      <c r="N14" s="559"/>
      <c r="O14" s="559"/>
      <c r="P14" s="436"/>
      <c r="Q14" s="436"/>
      <c r="R14" s="436"/>
      <c r="S14" s="436" t="e">
        <f t="shared" si="11"/>
        <v>#N/A</v>
      </c>
      <c r="T14" s="605"/>
      <c r="U14" s="436"/>
      <c r="V14" s="436"/>
      <c r="W14" s="436"/>
      <c r="X14" s="436" t="e">
        <f t="shared" si="0"/>
        <v>#N/A</v>
      </c>
      <c r="Y14" s="605"/>
      <c r="Z14" s="436"/>
      <c r="AA14" s="436"/>
      <c r="AB14" s="436"/>
      <c r="AC14" s="436" t="e">
        <f t="shared" si="2"/>
        <v>#N/A</v>
      </c>
      <c r="AD14" s="605"/>
      <c r="AE14" s="436"/>
      <c r="AF14" s="436"/>
      <c r="AG14" s="436"/>
      <c r="AH14" s="436" t="e">
        <f t="shared" si="4"/>
        <v>#N/A</v>
      </c>
      <c r="AI14" s="605"/>
      <c r="AJ14" s="436"/>
      <c r="AK14" s="436"/>
      <c r="AL14" s="436"/>
      <c r="AM14" s="436" t="e">
        <f t="shared" si="6"/>
        <v>#N/A</v>
      </c>
      <c r="AN14" s="605"/>
      <c r="AO14" s="436"/>
      <c r="AP14" s="436"/>
      <c r="AQ14" s="436"/>
      <c r="AR14" s="436" t="e">
        <f t="shared" si="8"/>
        <v>#N/A</v>
      </c>
      <c r="AS14" s="605"/>
      <c r="AT14" s="436"/>
      <c r="AU14" s="436"/>
      <c r="AV14" s="436"/>
      <c r="AW14" s="436" t="e">
        <f t="shared" si="12"/>
        <v>#N/A</v>
      </c>
      <c r="AX14" s="605"/>
      <c r="AZ14" s="314" t="e">
        <f>RANK(AX14, $K$7:AX$21)</f>
        <v>#DIV/0!</v>
      </c>
      <c r="BB14" s="311" t="e">
        <f t="shared" si="13"/>
        <v>#N/A</v>
      </c>
    </row>
    <row r="15" spans="1:54">
      <c r="A15" s="81"/>
      <c r="B15" s="572"/>
      <c r="C15" s="436">
        <v>9</v>
      </c>
      <c r="D15" s="226"/>
      <c r="E15" s="182"/>
      <c r="F15" s="436"/>
      <c r="G15" s="437"/>
      <c r="H15" s="609"/>
      <c r="I15" s="446"/>
      <c r="J15" s="446"/>
      <c r="K15" s="438"/>
      <c r="L15" s="541"/>
      <c r="M15" s="445" t="e">
        <f>RANK(K15, $K$7:K$21)</f>
        <v>#DIV/0!</v>
      </c>
      <c r="N15" s="559"/>
      <c r="O15" s="559"/>
      <c r="P15" s="436"/>
      <c r="Q15" s="436"/>
      <c r="R15" s="436"/>
      <c r="S15" s="436" t="e">
        <f t="shared" si="11"/>
        <v>#N/A</v>
      </c>
      <c r="T15" s="605"/>
      <c r="U15" s="436"/>
      <c r="V15" s="436"/>
      <c r="W15" s="436"/>
      <c r="X15" s="436" t="e">
        <f t="shared" si="0"/>
        <v>#N/A</v>
      </c>
      <c r="Y15" s="605"/>
      <c r="Z15" s="436"/>
      <c r="AA15" s="436"/>
      <c r="AB15" s="436"/>
      <c r="AC15" s="436" t="e">
        <f t="shared" si="2"/>
        <v>#N/A</v>
      </c>
      <c r="AD15" s="605"/>
      <c r="AE15" s="436"/>
      <c r="AF15" s="436"/>
      <c r="AG15" s="436"/>
      <c r="AH15" s="436" t="e">
        <f t="shared" si="4"/>
        <v>#N/A</v>
      </c>
      <c r="AI15" s="605"/>
      <c r="AJ15" s="436"/>
      <c r="AK15" s="436"/>
      <c r="AL15" s="436"/>
      <c r="AM15" s="436" t="e">
        <f t="shared" si="6"/>
        <v>#N/A</v>
      </c>
      <c r="AN15" s="605"/>
      <c r="AO15" s="436"/>
      <c r="AP15" s="436"/>
      <c r="AQ15" s="436"/>
      <c r="AR15" s="436" t="e">
        <f t="shared" si="8"/>
        <v>#N/A</v>
      </c>
      <c r="AS15" s="605"/>
      <c r="AT15" s="436"/>
      <c r="AU15" s="436"/>
      <c r="AV15" s="436"/>
      <c r="AW15" s="436" t="e">
        <f t="shared" si="12"/>
        <v>#N/A</v>
      </c>
      <c r="AX15" s="605"/>
      <c r="AZ15" s="314" t="e">
        <f>RANK(AX15, $K$7:AX$21)</f>
        <v>#DIV/0!</v>
      </c>
      <c r="BB15" s="311" t="e">
        <f t="shared" si="13"/>
        <v>#N/A</v>
      </c>
    </row>
    <row r="16" spans="1:54">
      <c r="A16" s="81"/>
      <c r="B16" s="572"/>
      <c r="C16" s="436">
        <v>10</v>
      </c>
      <c r="D16" s="226"/>
      <c r="E16" s="182"/>
      <c r="F16" s="436"/>
      <c r="G16" s="437"/>
      <c r="H16" s="609"/>
      <c r="I16" s="446"/>
      <c r="J16" s="446"/>
      <c r="K16" s="438"/>
      <c r="L16" s="541"/>
      <c r="M16" s="445" t="e">
        <f>RANK(K16, $K$7:K$21)</f>
        <v>#DIV/0!</v>
      </c>
      <c r="N16" s="559"/>
      <c r="O16" s="559"/>
      <c r="P16" s="436"/>
      <c r="Q16" s="436"/>
      <c r="R16" s="436"/>
      <c r="S16" s="436" t="e">
        <f t="shared" si="11"/>
        <v>#N/A</v>
      </c>
      <c r="T16" s="605"/>
      <c r="U16" s="436"/>
      <c r="V16" s="436"/>
      <c r="W16" s="436"/>
      <c r="X16" s="436" t="e">
        <f t="shared" si="0"/>
        <v>#N/A</v>
      </c>
      <c r="Y16" s="605"/>
      <c r="Z16" s="436"/>
      <c r="AA16" s="436"/>
      <c r="AB16" s="436"/>
      <c r="AC16" s="436" t="e">
        <f t="shared" si="2"/>
        <v>#N/A</v>
      </c>
      <c r="AD16" s="605"/>
      <c r="AE16" s="436"/>
      <c r="AF16" s="436"/>
      <c r="AG16" s="436"/>
      <c r="AH16" s="436" t="e">
        <f t="shared" si="4"/>
        <v>#N/A</v>
      </c>
      <c r="AI16" s="605"/>
      <c r="AJ16" s="436"/>
      <c r="AK16" s="436"/>
      <c r="AL16" s="436"/>
      <c r="AM16" s="436" t="e">
        <f t="shared" si="6"/>
        <v>#N/A</v>
      </c>
      <c r="AN16" s="605"/>
      <c r="AO16" s="436"/>
      <c r="AP16" s="436"/>
      <c r="AQ16" s="436"/>
      <c r="AR16" s="436" t="e">
        <f t="shared" si="8"/>
        <v>#N/A</v>
      </c>
      <c r="AS16" s="605"/>
      <c r="AT16" s="436"/>
      <c r="AU16" s="436"/>
      <c r="AV16" s="436"/>
      <c r="AW16" s="436" t="e">
        <f t="shared" si="12"/>
        <v>#N/A</v>
      </c>
      <c r="AX16" s="605"/>
      <c r="AZ16" s="314" t="e">
        <f>RANK(AX16, $K$7:AX$21)</f>
        <v>#DIV/0!</v>
      </c>
      <c r="BB16" s="311" t="e">
        <f t="shared" si="13"/>
        <v>#N/A</v>
      </c>
    </row>
    <row r="17" spans="2:54">
      <c r="B17" s="572"/>
      <c r="C17" s="436">
        <v>11</v>
      </c>
      <c r="D17" s="226"/>
      <c r="E17" s="182"/>
      <c r="F17" s="436"/>
      <c r="G17" s="437"/>
      <c r="H17" s="609"/>
      <c r="I17" s="202"/>
      <c r="J17" s="202"/>
      <c r="K17" s="202"/>
      <c r="L17" s="541"/>
      <c r="M17" s="445" t="e">
        <f>RANK(K17, $K$7:K$21)</f>
        <v>#DIV/0!</v>
      </c>
      <c r="N17" s="559"/>
      <c r="O17" s="559"/>
      <c r="P17" s="436"/>
      <c r="Q17" s="436"/>
      <c r="R17" s="436"/>
      <c r="S17" s="436" t="e">
        <f t="shared" si="11"/>
        <v>#N/A</v>
      </c>
      <c r="T17" s="605"/>
      <c r="U17" s="436"/>
      <c r="V17" s="436"/>
      <c r="W17" s="436"/>
      <c r="X17" s="436" t="e">
        <f t="shared" si="0"/>
        <v>#N/A</v>
      </c>
      <c r="Y17" s="605"/>
      <c r="Z17" s="436"/>
      <c r="AA17" s="436"/>
      <c r="AB17" s="436"/>
      <c r="AC17" s="436" t="e">
        <f t="shared" si="2"/>
        <v>#N/A</v>
      </c>
      <c r="AD17" s="605"/>
      <c r="AE17" s="436"/>
      <c r="AF17" s="436"/>
      <c r="AG17" s="436"/>
      <c r="AH17" s="436" t="e">
        <f t="shared" si="4"/>
        <v>#N/A</v>
      </c>
      <c r="AI17" s="605"/>
      <c r="AJ17" s="436"/>
      <c r="AK17" s="436"/>
      <c r="AL17" s="436"/>
      <c r="AM17" s="436" t="e">
        <f t="shared" si="6"/>
        <v>#N/A</v>
      </c>
      <c r="AN17" s="605"/>
      <c r="AO17" s="436"/>
      <c r="AP17" s="436"/>
      <c r="AQ17" s="436"/>
      <c r="AR17" s="436" t="e">
        <f t="shared" si="8"/>
        <v>#N/A</v>
      </c>
      <c r="AS17" s="605"/>
      <c r="AT17" s="436"/>
      <c r="AU17" s="436"/>
      <c r="AV17" s="436"/>
      <c r="AW17" s="436" t="e">
        <f t="shared" si="12"/>
        <v>#N/A</v>
      </c>
      <c r="AX17" s="605"/>
      <c r="AZ17" s="314" t="e">
        <f>RANK(AX17, $K$7:AX$21)</f>
        <v>#DIV/0!</v>
      </c>
      <c r="BB17" s="311" t="e">
        <f t="shared" si="13"/>
        <v>#N/A</v>
      </c>
    </row>
    <row r="18" spans="2:54">
      <c r="B18" s="572"/>
      <c r="C18" s="436">
        <v>12</v>
      </c>
      <c r="D18" s="226"/>
      <c r="E18" s="182"/>
      <c r="F18" s="436"/>
      <c r="G18" s="437"/>
      <c r="H18" s="609"/>
      <c r="I18" s="202"/>
      <c r="J18" s="202"/>
      <c r="K18" s="202"/>
      <c r="L18" s="541"/>
      <c r="M18" s="445" t="e">
        <f>RANK(K18, $K$7:K$21)</f>
        <v>#DIV/0!</v>
      </c>
      <c r="N18" s="559"/>
      <c r="O18" s="559"/>
      <c r="P18" s="436"/>
      <c r="Q18" s="436"/>
      <c r="R18" s="436"/>
      <c r="S18" s="436" t="e">
        <f t="shared" si="11"/>
        <v>#N/A</v>
      </c>
      <c r="T18" s="605"/>
      <c r="U18" s="436"/>
      <c r="V18" s="436"/>
      <c r="W18" s="436"/>
      <c r="X18" s="436" t="e">
        <f t="shared" si="0"/>
        <v>#N/A</v>
      </c>
      <c r="Y18" s="605"/>
      <c r="Z18" s="436"/>
      <c r="AA18" s="436"/>
      <c r="AB18" s="436"/>
      <c r="AC18" s="436" t="e">
        <f t="shared" si="2"/>
        <v>#N/A</v>
      </c>
      <c r="AD18" s="605"/>
      <c r="AE18" s="436"/>
      <c r="AF18" s="436"/>
      <c r="AG18" s="436"/>
      <c r="AH18" s="436" t="e">
        <f t="shared" si="4"/>
        <v>#N/A</v>
      </c>
      <c r="AI18" s="605"/>
      <c r="AJ18" s="436"/>
      <c r="AK18" s="436"/>
      <c r="AL18" s="436"/>
      <c r="AM18" s="436" t="e">
        <f t="shared" si="6"/>
        <v>#N/A</v>
      </c>
      <c r="AN18" s="605"/>
      <c r="AO18" s="436"/>
      <c r="AP18" s="436"/>
      <c r="AQ18" s="436"/>
      <c r="AR18" s="436" t="e">
        <f t="shared" si="8"/>
        <v>#N/A</v>
      </c>
      <c r="AS18" s="605"/>
      <c r="AT18" s="436"/>
      <c r="AU18" s="436"/>
      <c r="AV18" s="436"/>
      <c r="AW18" s="436" t="e">
        <f t="shared" si="12"/>
        <v>#N/A</v>
      </c>
      <c r="AX18" s="605"/>
      <c r="AZ18" s="314" t="e">
        <f>RANK(AX18, $K$7:AX$21)</f>
        <v>#DIV/0!</v>
      </c>
      <c r="BB18" s="311" t="e">
        <f t="shared" si="13"/>
        <v>#N/A</v>
      </c>
    </row>
    <row r="19" spans="2:54">
      <c r="B19" s="572"/>
      <c r="C19" s="436">
        <v>13</v>
      </c>
      <c r="D19" s="226"/>
      <c r="E19" s="182"/>
      <c r="F19" s="436"/>
      <c r="G19" s="437"/>
      <c r="H19" s="609"/>
      <c r="I19" s="202"/>
      <c r="J19" s="202"/>
      <c r="K19" s="202"/>
      <c r="L19" s="541"/>
      <c r="M19" s="445" t="e">
        <f>RANK(K19, $K$7:K$21)</f>
        <v>#DIV/0!</v>
      </c>
      <c r="N19" s="559"/>
      <c r="O19" s="559"/>
      <c r="P19" s="436"/>
      <c r="Q19" s="436"/>
      <c r="R19" s="436"/>
      <c r="S19" s="436" t="e">
        <f t="shared" si="11"/>
        <v>#N/A</v>
      </c>
      <c r="T19" s="605"/>
      <c r="U19" s="436"/>
      <c r="V19" s="436"/>
      <c r="W19" s="436"/>
      <c r="X19" s="436" t="e">
        <f t="shared" si="0"/>
        <v>#N/A</v>
      </c>
      <c r="Y19" s="605"/>
      <c r="Z19" s="436"/>
      <c r="AA19" s="436"/>
      <c r="AB19" s="436"/>
      <c r="AC19" s="436" t="e">
        <f t="shared" si="2"/>
        <v>#N/A</v>
      </c>
      <c r="AD19" s="605"/>
      <c r="AE19" s="436"/>
      <c r="AF19" s="436"/>
      <c r="AG19" s="436"/>
      <c r="AH19" s="436" t="e">
        <f t="shared" si="4"/>
        <v>#N/A</v>
      </c>
      <c r="AI19" s="605"/>
      <c r="AJ19" s="436"/>
      <c r="AK19" s="436"/>
      <c r="AL19" s="436"/>
      <c r="AM19" s="436" t="e">
        <f t="shared" si="6"/>
        <v>#N/A</v>
      </c>
      <c r="AN19" s="605"/>
      <c r="AO19" s="436"/>
      <c r="AP19" s="436"/>
      <c r="AQ19" s="436"/>
      <c r="AR19" s="436" t="e">
        <f t="shared" si="8"/>
        <v>#N/A</v>
      </c>
      <c r="AS19" s="605"/>
      <c r="AT19" s="436"/>
      <c r="AU19" s="436"/>
      <c r="AV19" s="436"/>
      <c r="AW19" s="436" t="e">
        <f t="shared" si="12"/>
        <v>#N/A</v>
      </c>
      <c r="AX19" s="605"/>
      <c r="AZ19" s="314" t="e">
        <f>RANK(AX19, $K$7:AX$21)</f>
        <v>#DIV/0!</v>
      </c>
      <c r="BB19" s="311" t="e">
        <f t="shared" si="13"/>
        <v>#N/A</v>
      </c>
    </row>
    <row r="20" spans="2:54">
      <c r="B20" s="572"/>
      <c r="C20" s="436">
        <v>14</v>
      </c>
      <c r="D20" s="226"/>
      <c r="E20" s="182"/>
      <c r="F20" s="436"/>
      <c r="G20" s="437"/>
      <c r="H20" s="609"/>
      <c r="I20" s="202"/>
      <c r="J20" s="202"/>
      <c r="K20" s="202"/>
      <c r="L20" s="541"/>
      <c r="M20" s="445" t="e">
        <f>RANK(K20, $K$7:K$21)</f>
        <v>#DIV/0!</v>
      </c>
      <c r="N20" s="559"/>
      <c r="O20" s="559"/>
      <c r="P20" s="436"/>
      <c r="Q20" s="436"/>
      <c r="R20" s="436"/>
      <c r="S20" s="436" t="e">
        <f t="shared" si="11"/>
        <v>#N/A</v>
      </c>
      <c r="T20" s="605"/>
      <c r="U20" s="436"/>
      <c r="V20" s="436"/>
      <c r="W20" s="436"/>
      <c r="X20" s="436" t="e">
        <f t="shared" si="0"/>
        <v>#N/A</v>
      </c>
      <c r="Y20" s="605"/>
      <c r="Z20" s="436"/>
      <c r="AA20" s="436"/>
      <c r="AB20" s="436"/>
      <c r="AC20" s="436" t="e">
        <f t="shared" si="2"/>
        <v>#N/A</v>
      </c>
      <c r="AD20" s="605"/>
      <c r="AE20" s="436"/>
      <c r="AF20" s="436"/>
      <c r="AG20" s="436"/>
      <c r="AH20" s="436" t="e">
        <f t="shared" si="4"/>
        <v>#N/A</v>
      </c>
      <c r="AI20" s="605"/>
      <c r="AJ20" s="436"/>
      <c r="AK20" s="436"/>
      <c r="AL20" s="436"/>
      <c r="AM20" s="436" t="e">
        <f t="shared" si="6"/>
        <v>#N/A</v>
      </c>
      <c r="AN20" s="605"/>
      <c r="AO20" s="436"/>
      <c r="AP20" s="436"/>
      <c r="AQ20" s="436"/>
      <c r="AR20" s="436" t="e">
        <f t="shared" si="8"/>
        <v>#N/A</v>
      </c>
      <c r="AS20" s="605"/>
      <c r="AT20" s="436"/>
      <c r="AU20" s="436"/>
      <c r="AV20" s="436"/>
      <c r="AW20" s="436" t="e">
        <f t="shared" si="12"/>
        <v>#N/A</v>
      </c>
      <c r="AX20" s="605"/>
      <c r="AZ20" s="314" t="e">
        <f>RANK(AX20, $K$7:AX$21)</f>
        <v>#DIV/0!</v>
      </c>
      <c r="BB20" s="311" t="e">
        <f t="shared" si="13"/>
        <v>#N/A</v>
      </c>
    </row>
    <row r="21" spans="2:54">
      <c r="B21" s="572"/>
      <c r="C21" s="436">
        <v>15</v>
      </c>
      <c r="D21" s="226"/>
      <c r="E21" s="182"/>
      <c r="F21" s="436"/>
      <c r="G21" s="437"/>
      <c r="H21" s="610"/>
      <c r="I21" s="202"/>
      <c r="J21" s="202"/>
      <c r="K21" s="202"/>
      <c r="L21" s="542"/>
      <c r="M21" s="446" t="e">
        <f>RANK(K21, $K$7:K$21)</f>
        <v>#DIV/0!</v>
      </c>
      <c r="N21" s="559"/>
      <c r="O21" s="559"/>
      <c r="P21" s="436"/>
      <c r="Q21" s="436"/>
      <c r="R21" s="436"/>
      <c r="S21" s="436" t="e">
        <f t="shared" si="11"/>
        <v>#N/A</v>
      </c>
      <c r="T21" s="605"/>
      <c r="U21" s="436"/>
      <c r="V21" s="436"/>
      <c r="W21" s="436"/>
      <c r="X21" s="436" t="e">
        <f t="shared" si="0"/>
        <v>#N/A</v>
      </c>
      <c r="Y21" s="605"/>
      <c r="Z21" s="436"/>
      <c r="AA21" s="436"/>
      <c r="AB21" s="436"/>
      <c r="AC21" s="436" t="e">
        <f t="shared" si="2"/>
        <v>#N/A</v>
      </c>
      <c r="AD21" s="605"/>
      <c r="AE21" s="436"/>
      <c r="AF21" s="436"/>
      <c r="AG21" s="436"/>
      <c r="AH21" s="436" t="e">
        <f t="shared" si="4"/>
        <v>#N/A</v>
      </c>
      <c r="AI21" s="605"/>
      <c r="AJ21" s="436"/>
      <c r="AK21" s="436"/>
      <c r="AL21" s="436"/>
      <c r="AM21" s="436" t="e">
        <f t="shared" si="6"/>
        <v>#N/A</v>
      </c>
      <c r="AN21" s="605"/>
      <c r="AO21" s="436"/>
      <c r="AP21" s="436"/>
      <c r="AQ21" s="436"/>
      <c r="AR21" s="436" t="e">
        <f t="shared" si="8"/>
        <v>#N/A</v>
      </c>
      <c r="AS21" s="605"/>
      <c r="AT21" s="436"/>
      <c r="AU21" s="436"/>
      <c r="AV21" s="436"/>
      <c r="AW21" s="436" t="e">
        <f t="shared" si="12"/>
        <v>#N/A</v>
      </c>
      <c r="AX21" s="605"/>
      <c r="AZ21" s="313" t="e">
        <f>RANK(AX21, $K$7:AX$21)</f>
        <v>#DIV/0!</v>
      </c>
      <c r="BB21" s="311" t="e">
        <f t="shared" si="13"/>
        <v>#N/A</v>
      </c>
    </row>
    <row r="22" spans="2:54" ht="15.75">
      <c r="B22" s="592" t="s">
        <v>731</v>
      </c>
      <c r="C22" s="593"/>
      <c r="D22" s="593"/>
      <c r="E22" s="593"/>
      <c r="F22" s="593"/>
      <c r="G22" s="593"/>
      <c r="H22" s="593"/>
      <c r="I22" s="203"/>
      <c r="J22" s="203"/>
      <c r="K22" s="203"/>
      <c r="L22" s="203"/>
      <c r="M22" s="204"/>
      <c r="N22" s="565" t="s">
        <v>732</v>
      </c>
      <c r="O22" s="565" t="s">
        <v>733</v>
      </c>
      <c r="P22" s="571">
        <f>P2+7</f>
        <v>46393</v>
      </c>
      <c r="Q22" s="572"/>
      <c r="R22" s="572"/>
      <c r="S22" s="572"/>
      <c r="T22" s="572"/>
      <c r="U22" s="571">
        <f>P22+1</f>
        <v>46394</v>
      </c>
      <c r="V22" s="572"/>
      <c r="W22" s="572"/>
      <c r="X22" s="572"/>
      <c r="Y22" s="572"/>
      <c r="Z22" s="571">
        <f>U22+1</f>
        <v>46395</v>
      </c>
      <c r="AA22" s="572"/>
      <c r="AB22" s="572"/>
      <c r="AC22" s="572"/>
      <c r="AD22" s="572"/>
      <c r="AE22" s="571">
        <f>Z22+1</f>
        <v>46396</v>
      </c>
      <c r="AF22" s="572"/>
      <c r="AG22" s="572"/>
      <c r="AH22" s="572"/>
      <c r="AI22" s="572"/>
      <c r="AJ22" s="571">
        <f>AE22+1</f>
        <v>46397</v>
      </c>
      <c r="AK22" s="572"/>
      <c r="AL22" s="572"/>
      <c r="AM22" s="572"/>
      <c r="AN22" s="572"/>
      <c r="AO22" s="571">
        <f>AJ22+1</f>
        <v>46398</v>
      </c>
      <c r="AP22" s="572"/>
      <c r="AQ22" s="572"/>
      <c r="AR22" s="572"/>
      <c r="AS22" s="572"/>
      <c r="AT22" s="571">
        <f>AO22+1</f>
        <v>46399</v>
      </c>
      <c r="AU22" s="572"/>
      <c r="AV22" s="572"/>
      <c r="AW22" s="572"/>
      <c r="AX22" s="572"/>
    </row>
    <row r="23" spans="2:54" ht="15.75">
      <c r="B23" s="579"/>
      <c r="C23" s="579"/>
      <c r="D23" s="579"/>
      <c r="E23" s="579"/>
      <c r="F23" s="579"/>
      <c r="G23" s="579"/>
      <c r="H23" s="579"/>
      <c r="I23" s="205"/>
      <c r="J23" s="205"/>
      <c r="K23" s="205"/>
      <c r="L23" s="205"/>
      <c r="M23" s="206"/>
      <c r="N23" s="567"/>
      <c r="O23" s="567"/>
      <c r="P23" s="571" t="s">
        <v>734</v>
      </c>
      <c r="Q23" s="572"/>
      <c r="R23" s="572"/>
      <c r="S23" s="572"/>
      <c r="T23" s="572"/>
      <c r="U23" s="571" t="s">
        <v>735</v>
      </c>
      <c r="V23" s="572"/>
      <c r="W23" s="572"/>
      <c r="X23" s="572"/>
      <c r="Y23" s="572"/>
      <c r="Z23" s="571" t="s">
        <v>736</v>
      </c>
      <c r="AA23" s="572"/>
      <c r="AB23" s="572"/>
      <c r="AC23" s="572"/>
      <c r="AD23" s="572"/>
      <c r="AE23" s="571" t="s">
        <v>737</v>
      </c>
      <c r="AF23" s="572"/>
      <c r="AG23" s="572"/>
      <c r="AH23" s="572"/>
      <c r="AI23" s="572"/>
      <c r="AJ23" s="571" t="s">
        <v>738</v>
      </c>
      <c r="AK23" s="572"/>
      <c r="AL23" s="572"/>
      <c r="AM23" s="572"/>
      <c r="AN23" s="572"/>
      <c r="AO23" s="571" t="s">
        <v>739</v>
      </c>
      <c r="AP23" s="572"/>
      <c r="AQ23" s="572"/>
      <c r="AR23" s="572"/>
      <c r="AS23" s="572"/>
      <c r="AT23" s="571" t="s">
        <v>740</v>
      </c>
      <c r="AU23" s="572"/>
      <c r="AV23" s="572"/>
      <c r="AW23" s="572"/>
      <c r="AX23" s="572"/>
    </row>
    <row r="24" spans="2:54">
      <c r="B24" s="559" t="s">
        <v>741</v>
      </c>
      <c r="C24" s="559" t="s">
        <v>742</v>
      </c>
      <c r="D24" s="559"/>
      <c r="E24" s="559" t="s">
        <v>743</v>
      </c>
      <c r="F24" s="559"/>
      <c r="G24" s="559"/>
      <c r="H24" s="560" t="s">
        <v>744</v>
      </c>
      <c r="I24" s="543" t="s">
        <v>745</v>
      </c>
      <c r="J24" s="543"/>
      <c r="K24" s="543"/>
      <c r="L24" s="544" t="s">
        <v>744</v>
      </c>
      <c r="M24" s="550" t="s">
        <v>746</v>
      </c>
      <c r="N24" s="559"/>
      <c r="O24" s="559" t="s">
        <v>747</v>
      </c>
      <c r="P24" s="556" t="s">
        <v>748</v>
      </c>
      <c r="Q24" s="557"/>
      <c r="R24" s="557"/>
      <c r="S24" s="558"/>
      <c r="T24" s="559" t="s">
        <v>744</v>
      </c>
      <c r="U24" s="556" t="s">
        <v>748</v>
      </c>
      <c r="V24" s="557"/>
      <c r="W24" s="557"/>
      <c r="X24" s="558"/>
      <c r="Y24" s="559" t="s">
        <v>744</v>
      </c>
      <c r="Z24" s="556" t="s">
        <v>748</v>
      </c>
      <c r="AA24" s="557"/>
      <c r="AB24" s="557"/>
      <c r="AC24" s="558"/>
      <c r="AD24" s="559" t="s">
        <v>744</v>
      </c>
      <c r="AE24" s="556" t="s">
        <v>748</v>
      </c>
      <c r="AF24" s="557"/>
      <c r="AG24" s="557"/>
      <c r="AH24" s="558"/>
      <c r="AI24" s="559" t="s">
        <v>744</v>
      </c>
      <c r="AJ24" s="556" t="s">
        <v>748</v>
      </c>
      <c r="AK24" s="557"/>
      <c r="AL24" s="557"/>
      <c r="AM24" s="558"/>
      <c r="AN24" s="559" t="s">
        <v>744</v>
      </c>
      <c r="AO24" s="556" t="s">
        <v>748</v>
      </c>
      <c r="AP24" s="557"/>
      <c r="AQ24" s="557"/>
      <c r="AR24" s="558"/>
      <c r="AS24" s="559" t="s">
        <v>744</v>
      </c>
      <c r="AT24" s="556" t="s">
        <v>748</v>
      </c>
      <c r="AU24" s="557"/>
      <c r="AV24" s="557"/>
      <c r="AW24" s="558"/>
      <c r="AX24" s="559" t="s">
        <v>744</v>
      </c>
    </row>
    <row r="25" spans="2:54">
      <c r="B25" s="559"/>
      <c r="C25" s="559"/>
      <c r="D25" s="559"/>
      <c r="E25" s="559" t="s">
        <v>749</v>
      </c>
      <c r="F25" s="559"/>
      <c r="G25" s="559"/>
      <c r="H25" s="561"/>
      <c r="I25" s="543" t="s">
        <v>749</v>
      </c>
      <c r="J25" s="543"/>
      <c r="K25" s="543"/>
      <c r="L25" s="545"/>
      <c r="M25" s="551"/>
      <c r="N25" s="559"/>
      <c r="O25" s="559"/>
      <c r="P25" s="556" t="s">
        <v>750</v>
      </c>
      <c r="Q25" s="557"/>
      <c r="R25" s="557"/>
      <c r="S25" s="558"/>
      <c r="T25" s="559"/>
      <c r="U25" s="556" t="s">
        <v>750</v>
      </c>
      <c r="V25" s="557"/>
      <c r="W25" s="557"/>
      <c r="X25" s="558"/>
      <c r="Y25" s="559"/>
      <c r="Z25" s="556" t="s">
        <v>750</v>
      </c>
      <c r="AA25" s="557"/>
      <c r="AB25" s="557"/>
      <c r="AC25" s="558"/>
      <c r="AD25" s="559"/>
      <c r="AE25" s="556" t="s">
        <v>750</v>
      </c>
      <c r="AF25" s="557"/>
      <c r="AG25" s="557"/>
      <c r="AH25" s="558"/>
      <c r="AI25" s="559"/>
      <c r="AJ25" s="556" t="s">
        <v>750</v>
      </c>
      <c r="AK25" s="557"/>
      <c r="AL25" s="557"/>
      <c r="AM25" s="558"/>
      <c r="AN25" s="559"/>
      <c r="AO25" s="556" t="s">
        <v>750</v>
      </c>
      <c r="AP25" s="557"/>
      <c r="AQ25" s="557"/>
      <c r="AR25" s="558"/>
      <c r="AS25" s="559"/>
      <c r="AT25" s="556" t="s">
        <v>750</v>
      </c>
      <c r="AU25" s="557"/>
      <c r="AV25" s="557"/>
      <c r="AW25" s="558"/>
      <c r="AX25" s="559"/>
    </row>
    <row r="26" spans="2:54">
      <c r="B26" s="559"/>
      <c r="C26" s="559"/>
      <c r="D26" s="559"/>
      <c r="E26" s="440" t="s">
        <v>751</v>
      </c>
      <c r="F26" s="440" t="s">
        <v>752</v>
      </c>
      <c r="G26" s="440" t="s">
        <v>753</v>
      </c>
      <c r="H26" s="562"/>
      <c r="I26" s="444" t="s">
        <v>751</v>
      </c>
      <c r="J26" s="444" t="s">
        <v>752</v>
      </c>
      <c r="K26" s="444" t="s">
        <v>753</v>
      </c>
      <c r="L26" s="546"/>
      <c r="M26" s="552"/>
      <c r="N26" s="559"/>
      <c r="O26" s="559"/>
      <c r="P26" s="440" t="s">
        <v>751</v>
      </c>
      <c r="Q26" s="440" t="s">
        <v>752</v>
      </c>
      <c r="R26" s="440" t="s">
        <v>753</v>
      </c>
      <c r="S26" s="440" t="s">
        <v>746</v>
      </c>
      <c r="T26" s="559"/>
      <c r="U26" s="440" t="s">
        <v>751</v>
      </c>
      <c r="V26" s="440" t="s">
        <v>752</v>
      </c>
      <c r="W26" s="440" t="s">
        <v>753</v>
      </c>
      <c r="X26" s="440" t="s">
        <v>746</v>
      </c>
      <c r="Y26" s="559"/>
      <c r="Z26" s="440" t="s">
        <v>751</v>
      </c>
      <c r="AA26" s="440" t="s">
        <v>752</v>
      </c>
      <c r="AB26" s="440" t="s">
        <v>753</v>
      </c>
      <c r="AC26" s="440" t="s">
        <v>746</v>
      </c>
      <c r="AD26" s="559"/>
      <c r="AE26" s="440" t="s">
        <v>751</v>
      </c>
      <c r="AF26" s="440" t="s">
        <v>752</v>
      </c>
      <c r="AG26" s="440" t="s">
        <v>753</v>
      </c>
      <c r="AH26" s="440" t="s">
        <v>746</v>
      </c>
      <c r="AI26" s="559"/>
      <c r="AJ26" s="440" t="s">
        <v>751</v>
      </c>
      <c r="AK26" s="440" t="s">
        <v>752</v>
      </c>
      <c r="AL26" s="440" t="s">
        <v>753</v>
      </c>
      <c r="AM26" s="440" t="s">
        <v>746</v>
      </c>
      <c r="AN26" s="559"/>
      <c r="AO26" s="440" t="s">
        <v>751</v>
      </c>
      <c r="AP26" s="440" t="s">
        <v>752</v>
      </c>
      <c r="AQ26" s="440" t="s">
        <v>753</v>
      </c>
      <c r="AR26" s="440" t="s">
        <v>746</v>
      </c>
      <c r="AS26" s="559"/>
      <c r="AT26" s="440" t="s">
        <v>751</v>
      </c>
      <c r="AU26" s="440" t="s">
        <v>752</v>
      </c>
      <c r="AV26" s="440" t="s">
        <v>753</v>
      </c>
      <c r="AW26" s="440" t="s">
        <v>746</v>
      </c>
      <c r="AX26" s="559"/>
    </row>
    <row r="27" spans="2:54">
      <c r="B27" s="559" t="s">
        <v>786</v>
      </c>
      <c r="C27" s="436">
        <v>1</v>
      </c>
      <c r="D27" s="226" t="s">
        <v>787</v>
      </c>
      <c r="E27" s="182">
        <v>13</v>
      </c>
      <c r="F27" s="436">
        <v>1500</v>
      </c>
      <c r="G27" s="437">
        <v>115.38461538461539</v>
      </c>
      <c r="H27" s="608">
        <f>AVERAGE(G27:G41)</f>
        <v>115.38461538461539</v>
      </c>
      <c r="I27" s="446">
        <f t="shared" ref="I27:K27" si="14">AVERAGE(P27,U27,Z27,AE27,AJ27,AO27,AT27)</f>
        <v>12.285714285714286</v>
      </c>
      <c r="J27" s="446">
        <f t="shared" si="14"/>
        <v>1428.7558441558447</v>
      </c>
      <c r="K27" s="438">
        <f t="shared" si="14"/>
        <v>116.75666833166835</v>
      </c>
      <c r="L27" s="540">
        <f>IFERROR(AVERAGE(K27:K41),"-")</f>
        <v>116.75666833166835</v>
      </c>
      <c r="M27" s="445">
        <f>RANK(K27, K$27:$K$41)</f>
        <v>1</v>
      </c>
      <c r="N27" s="559"/>
      <c r="O27" s="559"/>
      <c r="P27" s="182">
        <v>13</v>
      </c>
      <c r="Q27" s="182">
        <v>1480.4999999999993</v>
      </c>
      <c r="R27" s="437">
        <v>113.88461538461533</v>
      </c>
      <c r="S27" s="436">
        <f t="shared" ref="S27:S41" si="15">RANK(R27, R$27:R$41)</f>
        <v>1</v>
      </c>
      <c r="T27" s="605">
        <f>AVERAGE(R27:R41)</f>
        <v>113.88461538461533</v>
      </c>
      <c r="U27" s="182">
        <v>12</v>
      </c>
      <c r="V27" s="182">
        <v>1454.9999999999995</v>
      </c>
      <c r="W27" s="437">
        <v>121.24999999999996</v>
      </c>
      <c r="X27" s="436">
        <f t="shared" ref="X27:X41" si="16">RANK(W27, W$27:W$41)</f>
        <v>1</v>
      </c>
      <c r="Y27" s="605">
        <f t="shared" ref="Y27" si="17">AVERAGE(W27:W41)</f>
        <v>121.24999999999996</v>
      </c>
      <c r="Z27" s="182">
        <v>13</v>
      </c>
      <c r="AA27" s="182">
        <v>1038.0000000000036</v>
      </c>
      <c r="AB27" s="437">
        <v>79.846153846154124</v>
      </c>
      <c r="AC27" s="436">
        <f t="shared" ref="AC27:AC41" si="18">RANK(AB27, AB$27:AB$41)</f>
        <v>1</v>
      </c>
      <c r="AD27" s="605">
        <f t="shared" ref="AD27" si="19">AVERAGE(AB27:AB41)</f>
        <v>79.846153846154124</v>
      </c>
      <c r="AE27" s="182">
        <v>12</v>
      </c>
      <c r="AF27" s="182">
        <v>1459.4999999999995</v>
      </c>
      <c r="AG27" s="437">
        <v>121.62499999999996</v>
      </c>
      <c r="AH27" s="436">
        <f t="shared" ref="AH27:AH41" si="20">RANK(AG27, AG$27:AG$41)</f>
        <v>1</v>
      </c>
      <c r="AI27" s="605">
        <f t="shared" ref="AI27" si="21">AVERAGE(AG27:AG41)</f>
        <v>121.62499999999996</v>
      </c>
      <c r="AJ27" s="182">
        <v>12</v>
      </c>
      <c r="AK27" s="182">
        <v>1513.0909090909079</v>
      </c>
      <c r="AL27" s="437">
        <v>126.09090909090899</v>
      </c>
      <c r="AM27" s="436">
        <f t="shared" ref="AM27:AM41" si="22">RANK(AL27, AL$27:AL$41)</f>
        <v>1</v>
      </c>
      <c r="AN27" s="605">
        <f t="shared" ref="AN27" si="23">AVERAGE(AL27:AL41)</f>
        <v>126.09090909090899</v>
      </c>
      <c r="AO27" s="367">
        <v>12</v>
      </c>
      <c r="AP27" s="182">
        <v>1510.2000000000005</v>
      </c>
      <c r="AQ27" s="437">
        <v>125.85000000000004</v>
      </c>
      <c r="AR27" s="436">
        <f t="shared" ref="AR27:AR41" si="24">RANK(AQ27, AQ$27:AQ$41)</f>
        <v>1</v>
      </c>
      <c r="AS27" s="605">
        <f t="shared" ref="AS27" si="25">AVERAGE(AQ27:AQ41)</f>
        <v>125.85000000000004</v>
      </c>
      <c r="AT27" s="367">
        <v>12</v>
      </c>
      <c r="AU27" s="182">
        <v>1545.0000000000016</v>
      </c>
      <c r="AV27" s="437">
        <v>128.75000000000014</v>
      </c>
      <c r="AW27" s="436">
        <f t="shared" ref="AW27:AW41" si="26">RANK(AV27, AV$27:AV$41)</f>
        <v>1</v>
      </c>
      <c r="AX27" s="605">
        <f t="shared" ref="AX27" si="27">AVERAGE(AV27:AV41)</f>
        <v>128.75000000000014</v>
      </c>
    </row>
    <row r="28" spans="2:54">
      <c r="B28" s="572"/>
      <c r="C28" s="436">
        <v>2</v>
      </c>
      <c r="D28" s="226"/>
      <c r="E28" s="182"/>
      <c r="F28" s="436"/>
      <c r="G28" s="437"/>
      <c r="H28" s="609"/>
      <c r="I28" s="446"/>
      <c r="J28" s="446"/>
      <c r="K28" s="438"/>
      <c r="L28" s="541"/>
      <c r="M28" s="445" t="e">
        <f>RANK(K28, K$27:$K$41)</f>
        <v>#N/A</v>
      </c>
      <c r="N28" s="559"/>
      <c r="O28" s="559"/>
      <c r="P28" s="436"/>
      <c r="Q28" s="182"/>
      <c r="R28" s="437"/>
      <c r="S28" s="436" t="e">
        <f t="shared" si="15"/>
        <v>#N/A</v>
      </c>
      <c r="T28" s="605"/>
      <c r="U28" s="436"/>
      <c r="V28" s="182"/>
      <c r="W28" s="437"/>
      <c r="X28" s="436" t="e">
        <f t="shared" si="16"/>
        <v>#N/A</v>
      </c>
      <c r="Y28" s="605"/>
      <c r="Z28" s="436"/>
      <c r="AA28" s="182"/>
      <c r="AB28" s="437"/>
      <c r="AC28" s="436" t="e">
        <f t="shared" si="18"/>
        <v>#N/A</v>
      </c>
      <c r="AD28" s="605"/>
      <c r="AE28" s="436"/>
      <c r="AF28" s="182"/>
      <c r="AG28" s="437"/>
      <c r="AH28" s="436" t="e">
        <f t="shared" si="20"/>
        <v>#N/A</v>
      </c>
      <c r="AI28" s="605"/>
      <c r="AJ28" s="436"/>
      <c r="AK28" s="182"/>
      <c r="AL28" s="437"/>
      <c r="AM28" s="436" t="e">
        <f t="shared" si="22"/>
        <v>#N/A</v>
      </c>
      <c r="AN28" s="605"/>
      <c r="AO28" s="436"/>
      <c r="AP28" s="182"/>
      <c r="AQ28" s="437"/>
      <c r="AR28" s="436" t="e">
        <f t="shared" si="24"/>
        <v>#N/A</v>
      </c>
      <c r="AS28" s="605"/>
      <c r="AT28" s="436"/>
      <c r="AU28" s="182"/>
      <c r="AV28" s="437"/>
      <c r="AW28" s="436" t="e">
        <f t="shared" si="26"/>
        <v>#N/A</v>
      </c>
      <c r="AX28" s="605"/>
    </row>
    <row r="29" spans="2:54">
      <c r="B29" s="572"/>
      <c r="C29" s="436">
        <v>3</v>
      </c>
      <c r="D29" s="226"/>
      <c r="E29" s="182"/>
      <c r="F29" s="436"/>
      <c r="G29" s="437"/>
      <c r="H29" s="609"/>
      <c r="I29" s="446"/>
      <c r="J29" s="446"/>
      <c r="K29" s="438"/>
      <c r="L29" s="541"/>
      <c r="M29" s="445" t="e">
        <f>RANK(K29, K$27:$K$41)</f>
        <v>#N/A</v>
      </c>
      <c r="N29" s="559"/>
      <c r="O29" s="559"/>
      <c r="P29" s="436"/>
      <c r="Q29" s="436"/>
      <c r="R29" s="436"/>
      <c r="S29" s="436" t="e">
        <f t="shared" si="15"/>
        <v>#N/A</v>
      </c>
      <c r="T29" s="605"/>
      <c r="U29" s="436"/>
      <c r="V29" s="436"/>
      <c r="W29" s="436"/>
      <c r="X29" s="436" t="e">
        <f t="shared" si="16"/>
        <v>#N/A</v>
      </c>
      <c r="Y29" s="605"/>
      <c r="Z29" s="436"/>
      <c r="AA29" s="436"/>
      <c r="AB29" s="436"/>
      <c r="AC29" s="436" t="e">
        <f t="shared" si="18"/>
        <v>#N/A</v>
      </c>
      <c r="AD29" s="605"/>
      <c r="AE29" s="436"/>
      <c r="AF29" s="436"/>
      <c r="AG29" s="436"/>
      <c r="AH29" s="436" t="e">
        <f t="shared" si="20"/>
        <v>#N/A</v>
      </c>
      <c r="AI29" s="605"/>
      <c r="AJ29" s="436"/>
      <c r="AK29" s="436"/>
      <c r="AL29" s="436"/>
      <c r="AM29" s="436" t="e">
        <f t="shared" si="22"/>
        <v>#N/A</v>
      </c>
      <c r="AN29" s="605"/>
      <c r="AO29" s="436"/>
      <c r="AP29" s="436"/>
      <c r="AQ29" s="436"/>
      <c r="AR29" s="436" t="e">
        <f t="shared" si="24"/>
        <v>#N/A</v>
      </c>
      <c r="AS29" s="605"/>
      <c r="AT29" s="436"/>
      <c r="AU29" s="436"/>
      <c r="AV29" s="436"/>
      <c r="AW29" s="436" t="e">
        <f t="shared" si="26"/>
        <v>#N/A</v>
      </c>
      <c r="AX29" s="605"/>
    </row>
    <row r="30" spans="2:54">
      <c r="B30" s="572"/>
      <c r="C30" s="436">
        <v>4</v>
      </c>
      <c r="D30" s="226"/>
      <c r="E30" s="182"/>
      <c r="F30" s="436"/>
      <c r="G30" s="437"/>
      <c r="H30" s="609"/>
      <c r="I30" s="446"/>
      <c r="J30" s="446"/>
      <c r="K30" s="438"/>
      <c r="L30" s="541"/>
      <c r="M30" s="445" t="e">
        <f>RANK(K30, K$27:$K$41)</f>
        <v>#N/A</v>
      </c>
      <c r="N30" s="559"/>
      <c r="O30" s="559"/>
      <c r="P30" s="436"/>
      <c r="Q30" s="436"/>
      <c r="R30" s="436"/>
      <c r="S30" s="436" t="e">
        <f t="shared" si="15"/>
        <v>#N/A</v>
      </c>
      <c r="T30" s="605"/>
      <c r="U30" s="436"/>
      <c r="V30" s="436"/>
      <c r="W30" s="436"/>
      <c r="X30" s="436" t="e">
        <f t="shared" si="16"/>
        <v>#N/A</v>
      </c>
      <c r="Y30" s="605"/>
      <c r="Z30" s="436"/>
      <c r="AA30" s="436"/>
      <c r="AB30" s="436"/>
      <c r="AC30" s="436" t="e">
        <f t="shared" si="18"/>
        <v>#N/A</v>
      </c>
      <c r="AD30" s="605"/>
      <c r="AE30" s="436"/>
      <c r="AF30" s="436"/>
      <c r="AG30" s="436"/>
      <c r="AH30" s="436" t="e">
        <f t="shared" si="20"/>
        <v>#N/A</v>
      </c>
      <c r="AI30" s="605"/>
      <c r="AJ30" s="436"/>
      <c r="AK30" s="436"/>
      <c r="AL30" s="436"/>
      <c r="AM30" s="436" t="e">
        <f t="shared" si="22"/>
        <v>#N/A</v>
      </c>
      <c r="AN30" s="605"/>
      <c r="AO30" s="436"/>
      <c r="AP30" s="436"/>
      <c r="AQ30" s="436"/>
      <c r="AR30" s="436" t="e">
        <f t="shared" si="24"/>
        <v>#N/A</v>
      </c>
      <c r="AS30" s="605"/>
      <c r="AT30" s="436"/>
      <c r="AU30" s="436"/>
      <c r="AV30" s="436"/>
      <c r="AW30" s="436" t="e">
        <f t="shared" si="26"/>
        <v>#N/A</v>
      </c>
      <c r="AX30" s="605"/>
    </row>
    <row r="31" spans="2:54">
      <c r="B31" s="572"/>
      <c r="C31" s="436">
        <v>5</v>
      </c>
      <c r="D31" s="226"/>
      <c r="E31" s="182"/>
      <c r="F31" s="436"/>
      <c r="G31" s="437"/>
      <c r="H31" s="609"/>
      <c r="I31" s="446"/>
      <c r="J31" s="446"/>
      <c r="K31" s="438"/>
      <c r="L31" s="541"/>
      <c r="M31" s="445" t="e">
        <f>RANK(K31, K$27:$K$41)</f>
        <v>#N/A</v>
      </c>
      <c r="N31" s="559"/>
      <c r="O31" s="559"/>
      <c r="P31" s="436"/>
      <c r="Q31" s="436"/>
      <c r="R31" s="436"/>
      <c r="S31" s="436" t="e">
        <f t="shared" si="15"/>
        <v>#N/A</v>
      </c>
      <c r="T31" s="605"/>
      <c r="U31" s="436"/>
      <c r="V31" s="436"/>
      <c r="W31" s="436"/>
      <c r="X31" s="436" t="e">
        <f t="shared" si="16"/>
        <v>#N/A</v>
      </c>
      <c r="Y31" s="605"/>
      <c r="Z31" s="436"/>
      <c r="AA31" s="436"/>
      <c r="AB31" s="436"/>
      <c r="AC31" s="436" t="e">
        <f t="shared" si="18"/>
        <v>#N/A</v>
      </c>
      <c r="AD31" s="605"/>
      <c r="AE31" s="436"/>
      <c r="AF31" s="436"/>
      <c r="AG31" s="436"/>
      <c r="AH31" s="436" t="e">
        <f t="shared" si="20"/>
        <v>#N/A</v>
      </c>
      <c r="AI31" s="605"/>
      <c r="AJ31" s="436"/>
      <c r="AK31" s="436"/>
      <c r="AL31" s="436"/>
      <c r="AM31" s="436" t="e">
        <f t="shared" si="22"/>
        <v>#N/A</v>
      </c>
      <c r="AN31" s="605"/>
      <c r="AO31" s="436"/>
      <c r="AP31" s="436"/>
      <c r="AQ31" s="436"/>
      <c r="AR31" s="436" t="e">
        <f t="shared" si="24"/>
        <v>#N/A</v>
      </c>
      <c r="AS31" s="605"/>
      <c r="AT31" s="436"/>
      <c r="AU31" s="436"/>
      <c r="AV31" s="436"/>
      <c r="AW31" s="436" t="e">
        <f t="shared" si="26"/>
        <v>#N/A</v>
      </c>
      <c r="AX31" s="605"/>
    </row>
    <row r="32" spans="2:54">
      <c r="B32" s="572"/>
      <c r="C32" s="436">
        <v>6</v>
      </c>
      <c r="D32" s="226"/>
      <c r="E32" s="182"/>
      <c r="F32" s="436"/>
      <c r="G32" s="437"/>
      <c r="H32" s="609"/>
      <c r="I32" s="446"/>
      <c r="J32" s="446"/>
      <c r="K32" s="438"/>
      <c r="L32" s="541"/>
      <c r="M32" s="445" t="e">
        <f>RANK(K32, K$27:$K$41)</f>
        <v>#N/A</v>
      </c>
      <c r="N32" s="559"/>
      <c r="O32" s="559"/>
      <c r="P32" s="436"/>
      <c r="Q32" s="436"/>
      <c r="R32" s="436"/>
      <c r="S32" s="436" t="e">
        <f t="shared" si="15"/>
        <v>#N/A</v>
      </c>
      <c r="T32" s="605"/>
      <c r="U32" s="436"/>
      <c r="V32" s="436"/>
      <c r="W32" s="436"/>
      <c r="X32" s="436" t="e">
        <f t="shared" si="16"/>
        <v>#N/A</v>
      </c>
      <c r="Y32" s="605"/>
      <c r="Z32" s="436"/>
      <c r="AA32" s="436"/>
      <c r="AB32" s="436"/>
      <c r="AC32" s="436" t="e">
        <f t="shared" si="18"/>
        <v>#N/A</v>
      </c>
      <c r="AD32" s="605"/>
      <c r="AE32" s="436"/>
      <c r="AF32" s="436"/>
      <c r="AG32" s="436"/>
      <c r="AH32" s="436" t="e">
        <f t="shared" si="20"/>
        <v>#N/A</v>
      </c>
      <c r="AI32" s="605"/>
      <c r="AJ32" s="436"/>
      <c r="AK32" s="436"/>
      <c r="AL32" s="436"/>
      <c r="AM32" s="436" t="e">
        <f t="shared" si="22"/>
        <v>#N/A</v>
      </c>
      <c r="AN32" s="605"/>
      <c r="AO32" s="436"/>
      <c r="AP32" s="436"/>
      <c r="AQ32" s="436"/>
      <c r="AR32" s="436" t="e">
        <f t="shared" si="24"/>
        <v>#N/A</v>
      </c>
      <c r="AS32" s="605"/>
      <c r="AT32" s="436"/>
      <c r="AU32" s="436"/>
      <c r="AV32" s="436"/>
      <c r="AW32" s="436" t="e">
        <f t="shared" si="26"/>
        <v>#N/A</v>
      </c>
      <c r="AX32" s="605"/>
    </row>
    <row r="33" spans="2:50">
      <c r="B33" s="572"/>
      <c r="C33" s="436">
        <v>7</v>
      </c>
      <c r="D33" s="226"/>
      <c r="E33" s="182"/>
      <c r="F33" s="436"/>
      <c r="G33" s="437"/>
      <c r="H33" s="609"/>
      <c r="I33" s="446"/>
      <c r="J33" s="446"/>
      <c r="K33" s="438"/>
      <c r="L33" s="541"/>
      <c r="M33" s="445" t="e">
        <f>RANK(K33, K$27:$K$41)</f>
        <v>#N/A</v>
      </c>
      <c r="N33" s="559"/>
      <c r="O33" s="559"/>
      <c r="P33" s="436"/>
      <c r="Q33" s="436"/>
      <c r="R33" s="436"/>
      <c r="S33" s="436" t="e">
        <f t="shared" si="15"/>
        <v>#N/A</v>
      </c>
      <c r="T33" s="605"/>
      <c r="U33" s="436"/>
      <c r="V33" s="436"/>
      <c r="W33" s="436"/>
      <c r="X33" s="436" t="e">
        <f t="shared" si="16"/>
        <v>#N/A</v>
      </c>
      <c r="Y33" s="605"/>
      <c r="Z33" s="436"/>
      <c r="AA33" s="436"/>
      <c r="AB33" s="436"/>
      <c r="AC33" s="436" t="e">
        <f t="shared" si="18"/>
        <v>#N/A</v>
      </c>
      <c r="AD33" s="605"/>
      <c r="AE33" s="436"/>
      <c r="AF33" s="436"/>
      <c r="AG33" s="436"/>
      <c r="AH33" s="436" t="e">
        <f t="shared" si="20"/>
        <v>#N/A</v>
      </c>
      <c r="AI33" s="605"/>
      <c r="AJ33" s="436"/>
      <c r="AK33" s="436"/>
      <c r="AL33" s="436"/>
      <c r="AM33" s="436" t="e">
        <f t="shared" si="22"/>
        <v>#N/A</v>
      </c>
      <c r="AN33" s="605"/>
      <c r="AO33" s="436"/>
      <c r="AP33" s="436"/>
      <c r="AQ33" s="436"/>
      <c r="AR33" s="436" t="e">
        <f t="shared" si="24"/>
        <v>#N/A</v>
      </c>
      <c r="AS33" s="605"/>
      <c r="AT33" s="436"/>
      <c r="AU33" s="436"/>
      <c r="AV33" s="436"/>
      <c r="AW33" s="436" t="e">
        <f t="shared" si="26"/>
        <v>#N/A</v>
      </c>
      <c r="AX33" s="605"/>
    </row>
    <row r="34" spans="2:50">
      <c r="B34" s="572"/>
      <c r="C34" s="436">
        <v>8</v>
      </c>
      <c r="D34" s="226"/>
      <c r="E34" s="182"/>
      <c r="F34" s="436"/>
      <c r="G34" s="437"/>
      <c r="H34" s="609"/>
      <c r="I34" s="446"/>
      <c r="J34" s="446"/>
      <c r="K34" s="438"/>
      <c r="L34" s="541"/>
      <c r="M34" s="445" t="e">
        <f>RANK(K34, K$27:$K$41)</f>
        <v>#N/A</v>
      </c>
      <c r="N34" s="559"/>
      <c r="O34" s="559"/>
      <c r="P34" s="436"/>
      <c r="Q34" s="436"/>
      <c r="R34" s="436"/>
      <c r="S34" s="436" t="e">
        <f t="shared" si="15"/>
        <v>#N/A</v>
      </c>
      <c r="T34" s="605"/>
      <c r="U34" s="436"/>
      <c r="V34" s="436"/>
      <c r="W34" s="436"/>
      <c r="X34" s="436" t="e">
        <f t="shared" si="16"/>
        <v>#N/A</v>
      </c>
      <c r="Y34" s="605"/>
      <c r="Z34" s="436"/>
      <c r="AA34" s="436"/>
      <c r="AB34" s="436"/>
      <c r="AC34" s="436" t="e">
        <f t="shared" si="18"/>
        <v>#N/A</v>
      </c>
      <c r="AD34" s="605"/>
      <c r="AE34" s="436"/>
      <c r="AF34" s="436"/>
      <c r="AG34" s="436"/>
      <c r="AH34" s="436" t="e">
        <f t="shared" si="20"/>
        <v>#N/A</v>
      </c>
      <c r="AI34" s="605"/>
      <c r="AJ34" s="436"/>
      <c r="AK34" s="436"/>
      <c r="AL34" s="436"/>
      <c r="AM34" s="436" t="e">
        <f t="shared" si="22"/>
        <v>#N/A</v>
      </c>
      <c r="AN34" s="605"/>
      <c r="AO34" s="436"/>
      <c r="AP34" s="436"/>
      <c r="AQ34" s="436"/>
      <c r="AR34" s="436" t="e">
        <f t="shared" si="24"/>
        <v>#N/A</v>
      </c>
      <c r="AS34" s="605"/>
      <c r="AT34" s="436"/>
      <c r="AU34" s="436"/>
      <c r="AV34" s="436"/>
      <c r="AW34" s="436" t="e">
        <f t="shared" si="26"/>
        <v>#N/A</v>
      </c>
      <c r="AX34" s="605"/>
    </row>
    <row r="35" spans="2:50">
      <c r="B35" s="572"/>
      <c r="C35" s="436">
        <v>9</v>
      </c>
      <c r="D35" s="226"/>
      <c r="E35" s="182"/>
      <c r="F35" s="436"/>
      <c r="G35" s="437"/>
      <c r="H35" s="609"/>
      <c r="I35" s="446"/>
      <c r="J35" s="446"/>
      <c r="K35" s="438"/>
      <c r="L35" s="541"/>
      <c r="M35" s="445" t="e">
        <f>RANK(K35, K$27:$K$41)</f>
        <v>#N/A</v>
      </c>
      <c r="N35" s="559"/>
      <c r="O35" s="559"/>
      <c r="P35" s="436"/>
      <c r="Q35" s="436"/>
      <c r="R35" s="436"/>
      <c r="S35" s="436" t="e">
        <f t="shared" si="15"/>
        <v>#N/A</v>
      </c>
      <c r="T35" s="605"/>
      <c r="U35" s="436"/>
      <c r="V35" s="436"/>
      <c r="W35" s="436"/>
      <c r="X35" s="436" t="e">
        <f t="shared" si="16"/>
        <v>#N/A</v>
      </c>
      <c r="Y35" s="605"/>
      <c r="Z35" s="436"/>
      <c r="AA35" s="436"/>
      <c r="AB35" s="436"/>
      <c r="AC35" s="436" t="e">
        <f t="shared" si="18"/>
        <v>#N/A</v>
      </c>
      <c r="AD35" s="605"/>
      <c r="AE35" s="436"/>
      <c r="AF35" s="436"/>
      <c r="AG35" s="436"/>
      <c r="AH35" s="436" t="e">
        <f t="shared" si="20"/>
        <v>#N/A</v>
      </c>
      <c r="AI35" s="605"/>
      <c r="AJ35" s="436"/>
      <c r="AK35" s="436"/>
      <c r="AL35" s="436"/>
      <c r="AM35" s="436" t="e">
        <f t="shared" si="22"/>
        <v>#N/A</v>
      </c>
      <c r="AN35" s="605"/>
      <c r="AO35" s="436"/>
      <c r="AP35" s="436"/>
      <c r="AQ35" s="436"/>
      <c r="AR35" s="436" t="e">
        <f t="shared" si="24"/>
        <v>#N/A</v>
      </c>
      <c r="AS35" s="605"/>
      <c r="AT35" s="436"/>
      <c r="AU35" s="436"/>
      <c r="AV35" s="436"/>
      <c r="AW35" s="436" t="e">
        <f t="shared" si="26"/>
        <v>#N/A</v>
      </c>
      <c r="AX35" s="605"/>
    </row>
    <row r="36" spans="2:50">
      <c r="B36" s="572"/>
      <c r="C36" s="436">
        <v>10</v>
      </c>
      <c r="D36" s="226"/>
      <c r="E36" s="182"/>
      <c r="F36" s="436"/>
      <c r="G36" s="437"/>
      <c r="H36" s="609"/>
      <c r="I36" s="446"/>
      <c r="J36" s="446"/>
      <c r="K36" s="438"/>
      <c r="L36" s="541"/>
      <c r="M36" s="445" t="e">
        <f>RANK(K36, K$27:$K$41)</f>
        <v>#N/A</v>
      </c>
      <c r="N36" s="559"/>
      <c r="O36" s="559"/>
      <c r="P36" s="436"/>
      <c r="Q36" s="436"/>
      <c r="R36" s="436"/>
      <c r="S36" s="436" t="e">
        <f t="shared" si="15"/>
        <v>#N/A</v>
      </c>
      <c r="T36" s="605"/>
      <c r="U36" s="436"/>
      <c r="V36" s="436"/>
      <c r="W36" s="436"/>
      <c r="X36" s="436" t="e">
        <f t="shared" si="16"/>
        <v>#N/A</v>
      </c>
      <c r="Y36" s="605"/>
      <c r="Z36" s="436"/>
      <c r="AA36" s="436"/>
      <c r="AB36" s="436"/>
      <c r="AC36" s="436" t="e">
        <f t="shared" si="18"/>
        <v>#N/A</v>
      </c>
      <c r="AD36" s="605"/>
      <c r="AE36" s="436"/>
      <c r="AF36" s="436"/>
      <c r="AG36" s="436"/>
      <c r="AH36" s="436" t="e">
        <f t="shared" si="20"/>
        <v>#N/A</v>
      </c>
      <c r="AI36" s="605"/>
      <c r="AJ36" s="436"/>
      <c r="AK36" s="436"/>
      <c r="AL36" s="436"/>
      <c r="AM36" s="436" t="e">
        <f t="shared" si="22"/>
        <v>#N/A</v>
      </c>
      <c r="AN36" s="605"/>
      <c r="AO36" s="436"/>
      <c r="AP36" s="436"/>
      <c r="AQ36" s="436"/>
      <c r="AR36" s="436" t="e">
        <f t="shared" si="24"/>
        <v>#N/A</v>
      </c>
      <c r="AS36" s="605"/>
      <c r="AT36" s="436"/>
      <c r="AU36" s="436"/>
      <c r="AV36" s="436"/>
      <c r="AW36" s="436" t="e">
        <f t="shared" si="26"/>
        <v>#N/A</v>
      </c>
      <c r="AX36" s="605"/>
    </row>
    <row r="37" spans="2:50">
      <c r="B37" s="572"/>
      <c r="C37" s="436">
        <v>11</v>
      </c>
      <c r="D37" s="226"/>
      <c r="E37" s="182"/>
      <c r="F37" s="436"/>
      <c r="G37" s="437"/>
      <c r="H37" s="609"/>
      <c r="I37" s="202"/>
      <c r="J37" s="202"/>
      <c r="K37" s="202"/>
      <c r="L37" s="541"/>
      <c r="M37" s="445" t="e">
        <f>RANK(K37, K$27:$K$41)</f>
        <v>#N/A</v>
      </c>
      <c r="N37" s="559"/>
      <c r="O37" s="559"/>
      <c r="P37" s="436"/>
      <c r="Q37" s="436"/>
      <c r="R37" s="436"/>
      <c r="S37" s="436" t="e">
        <f t="shared" si="15"/>
        <v>#N/A</v>
      </c>
      <c r="T37" s="605"/>
      <c r="U37" s="436"/>
      <c r="V37" s="436"/>
      <c r="W37" s="436"/>
      <c r="X37" s="436" t="e">
        <f t="shared" si="16"/>
        <v>#N/A</v>
      </c>
      <c r="Y37" s="605"/>
      <c r="Z37" s="436"/>
      <c r="AA37" s="436"/>
      <c r="AB37" s="436"/>
      <c r="AC37" s="436" t="e">
        <f t="shared" si="18"/>
        <v>#N/A</v>
      </c>
      <c r="AD37" s="605"/>
      <c r="AE37" s="436"/>
      <c r="AF37" s="436"/>
      <c r="AG37" s="436"/>
      <c r="AH37" s="436" t="e">
        <f t="shared" si="20"/>
        <v>#N/A</v>
      </c>
      <c r="AI37" s="605"/>
      <c r="AJ37" s="436"/>
      <c r="AK37" s="436"/>
      <c r="AL37" s="436"/>
      <c r="AM37" s="436" t="e">
        <f t="shared" si="22"/>
        <v>#N/A</v>
      </c>
      <c r="AN37" s="605"/>
      <c r="AO37" s="436"/>
      <c r="AP37" s="436"/>
      <c r="AQ37" s="436"/>
      <c r="AR37" s="436" t="e">
        <f t="shared" si="24"/>
        <v>#N/A</v>
      </c>
      <c r="AS37" s="605"/>
      <c r="AT37" s="436"/>
      <c r="AU37" s="436"/>
      <c r="AV37" s="436"/>
      <c r="AW37" s="436" t="e">
        <f t="shared" si="26"/>
        <v>#N/A</v>
      </c>
      <c r="AX37" s="605"/>
    </row>
    <row r="38" spans="2:50">
      <c r="B38" s="572"/>
      <c r="C38" s="436">
        <v>12</v>
      </c>
      <c r="D38" s="226"/>
      <c r="E38" s="182"/>
      <c r="F38" s="436"/>
      <c r="G38" s="437"/>
      <c r="H38" s="609"/>
      <c r="I38" s="202"/>
      <c r="J38" s="202"/>
      <c r="K38" s="202"/>
      <c r="L38" s="541"/>
      <c r="M38" s="445" t="e">
        <f>RANK(K38, K$27:$K$41)</f>
        <v>#N/A</v>
      </c>
      <c r="N38" s="559"/>
      <c r="O38" s="559"/>
      <c r="P38" s="436"/>
      <c r="Q38" s="436"/>
      <c r="R38" s="436"/>
      <c r="S38" s="436" t="e">
        <f t="shared" si="15"/>
        <v>#N/A</v>
      </c>
      <c r="T38" s="605"/>
      <c r="U38" s="436"/>
      <c r="V38" s="436"/>
      <c r="W38" s="436"/>
      <c r="X38" s="436" t="e">
        <f t="shared" si="16"/>
        <v>#N/A</v>
      </c>
      <c r="Y38" s="605"/>
      <c r="Z38" s="436"/>
      <c r="AA38" s="436"/>
      <c r="AB38" s="436"/>
      <c r="AC38" s="436" t="e">
        <f t="shared" si="18"/>
        <v>#N/A</v>
      </c>
      <c r="AD38" s="605"/>
      <c r="AE38" s="436"/>
      <c r="AF38" s="436"/>
      <c r="AG38" s="436"/>
      <c r="AH38" s="436" t="e">
        <f t="shared" si="20"/>
        <v>#N/A</v>
      </c>
      <c r="AI38" s="605"/>
      <c r="AJ38" s="436"/>
      <c r="AK38" s="436"/>
      <c r="AL38" s="436"/>
      <c r="AM38" s="436" t="e">
        <f t="shared" si="22"/>
        <v>#N/A</v>
      </c>
      <c r="AN38" s="605"/>
      <c r="AO38" s="436"/>
      <c r="AP38" s="436"/>
      <c r="AQ38" s="436"/>
      <c r="AR38" s="436" t="e">
        <f t="shared" si="24"/>
        <v>#N/A</v>
      </c>
      <c r="AS38" s="605"/>
      <c r="AT38" s="436"/>
      <c r="AU38" s="436"/>
      <c r="AV38" s="436"/>
      <c r="AW38" s="436" t="e">
        <f t="shared" si="26"/>
        <v>#N/A</v>
      </c>
      <c r="AX38" s="605"/>
    </row>
    <row r="39" spans="2:50">
      <c r="B39" s="572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41"/>
      <c r="M39" s="445" t="e">
        <f>RANK(K39, K$27:$K$41)</f>
        <v>#N/A</v>
      </c>
      <c r="N39" s="559"/>
      <c r="O39" s="559"/>
      <c r="P39" s="436"/>
      <c r="Q39" s="436"/>
      <c r="R39" s="436"/>
      <c r="S39" s="436" t="e">
        <f t="shared" si="15"/>
        <v>#N/A</v>
      </c>
      <c r="T39" s="605"/>
      <c r="U39" s="436"/>
      <c r="V39" s="436"/>
      <c r="W39" s="436"/>
      <c r="X39" s="436" t="e">
        <f t="shared" si="16"/>
        <v>#N/A</v>
      </c>
      <c r="Y39" s="605"/>
      <c r="Z39" s="436"/>
      <c r="AA39" s="436"/>
      <c r="AB39" s="436"/>
      <c r="AC39" s="436" t="e">
        <f t="shared" si="18"/>
        <v>#N/A</v>
      </c>
      <c r="AD39" s="605"/>
      <c r="AE39" s="436"/>
      <c r="AF39" s="436"/>
      <c r="AG39" s="436"/>
      <c r="AH39" s="436" t="e">
        <f t="shared" si="20"/>
        <v>#N/A</v>
      </c>
      <c r="AI39" s="605"/>
      <c r="AJ39" s="436"/>
      <c r="AK39" s="436"/>
      <c r="AL39" s="436"/>
      <c r="AM39" s="436" t="e">
        <f t="shared" si="22"/>
        <v>#N/A</v>
      </c>
      <c r="AN39" s="605"/>
      <c r="AO39" s="436"/>
      <c r="AP39" s="436"/>
      <c r="AQ39" s="436"/>
      <c r="AR39" s="436" t="e">
        <f t="shared" si="24"/>
        <v>#N/A</v>
      </c>
      <c r="AS39" s="605"/>
      <c r="AT39" s="436"/>
      <c r="AU39" s="436"/>
      <c r="AV39" s="436"/>
      <c r="AW39" s="436" t="e">
        <f t="shared" si="26"/>
        <v>#N/A</v>
      </c>
      <c r="AX39" s="605"/>
    </row>
    <row r="40" spans="2:50">
      <c r="B40" s="572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41"/>
      <c r="M40" s="445" t="e">
        <f>RANK(K40, K$27:$K$41)</f>
        <v>#N/A</v>
      </c>
      <c r="N40" s="559"/>
      <c r="O40" s="559"/>
      <c r="P40" s="436"/>
      <c r="Q40" s="436"/>
      <c r="R40" s="436"/>
      <c r="S40" s="436" t="e">
        <f t="shared" si="15"/>
        <v>#N/A</v>
      </c>
      <c r="T40" s="605"/>
      <c r="U40" s="436"/>
      <c r="V40" s="436"/>
      <c r="W40" s="436"/>
      <c r="X40" s="436" t="e">
        <f t="shared" si="16"/>
        <v>#N/A</v>
      </c>
      <c r="Y40" s="605"/>
      <c r="Z40" s="436"/>
      <c r="AA40" s="436"/>
      <c r="AB40" s="436"/>
      <c r="AC40" s="436" t="e">
        <f t="shared" si="18"/>
        <v>#N/A</v>
      </c>
      <c r="AD40" s="605"/>
      <c r="AE40" s="436"/>
      <c r="AF40" s="436"/>
      <c r="AG40" s="436"/>
      <c r="AH40" s="436" t="e">
        <f t="shared" si="20"/>
        <v>#N/A</v>
      </c>
      <c r="AI40" s="605"/>
      <c r="AJ40" s="436"/>
      <c r="AK40" s="436"/>
      <c r="AL40" s="436"/>
      <c r="AM40" s="436" t="e">
        <f t="shared" si="22"/>
        <v>#N/A</v>
      </c>
      <c r="AN40" s="605"/>
      <c r="AO40" s="436"/>
      <c r="AP40" s="436"/>
      <c r="AQ40" s="436"/>
      <c r="AR40" s="436" t="e">
        <f t="shared" si="24"/>
        <v>#N/A</v>
      </c>
      <c r="AS40" s="605"/>
      <c r="AT40" s="436"/>
      <c r="AU40" s="436"/>
      <c r="AV40" s="436"/>
      <c r="AW40" s="436" t="e">
        <f t="shared" si="26"/>
        <v>#N/A</v>
      </c>
      <c r="AX40" s="605"/>
    </row>
    <row r="41" spans="2:50">
      <c r="B41" s="572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42"/>
      <c r="M41" s="446" t="e">
        <f>RANK(K41, K$27:$K$41)</f>
        <v>#N/A</v>
      </c>
      <c r="N41" s="559"/>
      <c r="O41" s="559"/>
      <c r="P41" s="436"/>
      <c r="Q41" s="436"/>
      <c r="R41" s="436"/>
      <c r="S41" s="436" t="e">
        <f t="shared" si="15"/>
        <v>#N/A</v>
      </c>
      <c r="T41" s="605"/>
      <c r="U41" s="436"/>
      <c r="V41" s="436"/>
      <c r="W41" s="436"/>
      <c r="X41" s="436" t="e">
        <f t="shared" si="16"/>
        <v>#N/A</v>
      </c>
      <c r="Y41" s="605"/>
      <c r="Z41" s="436"/>
      <c r="AA41" s="436"/>
      <c r="AB41" s="436"/>
      <c r="AC41" s="436" t="e">
        <f t="shared" si="18"/>
        <v>#N/A</v>
      </c>
      <c r="AD41" s="605"/>
      <c r="AE41" s="436"/>
      <c r="AF41" s="436"/>
      <c r="AG41" s="436"/>
      <c r="AH41" s="436" t="e">
        <f t="shared" si="20"/>
        <v>#N/A</v>
      </c>
      <c r="AI41" s="605"/>
      <c r="AJ41" s="436"/>
      <c r="AK41" s="436"/>
      <c r="AL41" s="436"/>
      <c r="AM41" s="436" t="e">
        <f t="shared" si="22"/>
        <v>#N/A</v>
      </c>
      <c r="AN41" s="605"/>
      <c r="AO41" s="436"/>
      <c r="AP41" s="436"/>
      <c r="AQ41" s="436"/>
      <c r="AR41" s="436" t="e">
        <f t="shared" si="24"/>
        <v>#N/A</v>
      </c>
      <c r="AS41" s="605"/>
      <c r="AT41" s="436"/>
      <c r="AU41" s="436"/>
      <c r="AV41" s="436"/>
      <c r="AW41" s="436" t="e">
        <f t="shared" si="26"/>
        <v>#N/A</v>
      </c>
      <c r="AX41" s="605"/>
    </row>
    <row r="42" spans="2:50" ht="15.75">
      <c r="B42" s="592" t="s">
        <v>731</v>
      </c>
      <c r="C42" s="593"/>
      <c r="D42" s="593"/>
      <c r="E42" s="593"/>
      <c r="F42" s="593"/>
      <c r="G42" s="593"/>
      <c r="H42" s="593"/>
      <c r="I42" s="208"/>
      <c r="J42" s="203"/>
      <c r="K42" s="208"/>
      <c r="L42" s="208"/>
      <c r="M42" s="204"/>
      <c r="N42" s="565" t="s">
        <v>732</v>
      </c>
      <c r="O42" s="565" t="s">
        <v>733</v>
      </c>
      <c r="P42" s="571">
        <f>P22+7</f>
        <v>46400</v>
      </c>
      <c r="Q42" s="572"/>
      <c r="R42" s="572"/>
      <c r="S42" s="572"/>
      <c r="T42" s="572"/>
      <c r="U42" s="568">
        <f>P42+1</f>
        <v>46401</v>
      </c>
      <c r="V42" s="569"/>
      <c r="W42" s="569"/>
      <c r="X42" s="569"/>
      <c r="Y42" s="570"/>
      <c r="Z42" s="568">
        <f>U42+1</f>
        <v>46402</v>
      </c>
      <c r="AA42" s="569"/>
      <c r="AB42" s="569"/>
      <c r="AC42" s="569"/>
      <c r="AD42" s="570"/>
      <c r="AE42" s="568">
        <f>Z42+1</f>
        <v>46403</v>
      </c>
      <c r="AF42" s="569"/>
      <c r="AG42" s="569"/>
      <c r="AH42" s="569"/>
      <c r="AI42" s="570"/>
      <c r="AJ42" s="568">
        <f>AE42+1</f>
        <v>46404</v>
      </c>
      <c r="AK42" s="569"/>
      <c r="AL42" s="569"/>
      <c r="AM42" s="569"/>
      <c r="AN42" s="570"/>
      <c r="AO42" s="568">
        <f>AJ42+1</f>
        <v>46405</v>
      </c>
      <c r="AP42" s="569"/>
      <c r="AQ42" s="569"/>
      <c r="AR42" s="569"/>
      <c r="AS42" s="570"/>
      <c r="AT42" s="568">
        <f>AO42+1</f>
        <v>46406</v>
      </c>
      <c r="AU42" s="569"/>
      <c r="AV42" s="569"/>
      <c r="AW42" s="569"/>
      <c r="AX42" s="570"/>
    </row>
    <row r="43" spans="2:50" ht="15.75">
      <c r="B43" s="579"/>
      <c r="C43" s="579"/>
      <c r="D43" s="579"/>
      <c r="E43" s="579"/>
      <c r="F43" s="579"/>
      <c r="G43" s="579"/>
      <c r="H43" s="579"/>
      <c r="I43" s="205"/>
      <c r="J43" s="205"/>
      <c r="K43" s="205"/>
      <c r="L43" s="205"/>
      <c r="M43" s="206"/>
      <c r="N43" s="567"/>
      <c r="O43" s="567"/>
      <c r="P43" s="571" t="s">
        <v>734</v>
      </c>
      <c r="Q43" s="572"/>
      <c r="R43" s="572"/>
      <c r="S43" s="572"/>
      <c r="T43" s="572"/>
      <c r="U43" s="571" t="s">
        <v>735</v>
      </c>
      <c r="V43" s="572"/>
      <c r="W43" s="572"/>
      <c r="X43" s="572"/>
      <c r="Y43" s="572"/>
      <c r="Z43" s="571" t="s">
        <v>736</v>
      </c>
      <c r="AA43" s="572"/>
      <c r="AB43" s="572"/>
      <c r="AC43" s="572"/>
      <c r="AD43" s="572"/>
      <c r="AE43" s="571" t="s">
        <v>737</v>
      </c>
      <c r="AF43" s="572"/>
      <c r="AG43" s="572"/>
      <c r="AH43" s="572"/>
      <c r="AI43" s="572"/>
      <c r="AJ43" s="571" t="s">
        <v>738</v>
      </c>
      <c r="AK43" s="572"/>
      <c r="AL43" s="572"/>
      <c r="AM43" s="572"/>
      <c r="AN43" s="572"/>
      <c r="AO43" s="571" t="s">
        <v>739</v>
      </c>
      <c r="AP43" s="572"/>
      <c r="AQ43" s="572"/>
      <c r="AR43" s="572"/>
      <c r="AS43" s="572"/>
      <c r="AT43" s="571" t="s">
        <v>740</v>
      </c>
      <c r="AU43" s="572"/>
      <c r="AV43" s="572"/>
      <c r="AW43" s="572"/>
      <c r="AX43" s="572"/>
    </row>
    <row r="44" spans="2:50">
      <c r="B44" s="559" t="s">
        <v>741</v>
      </c>
      <c r="C44" s="559" t="s">
        <v>742</v>
      </c>
      <c r="D44" s="559"/>
      <c r="E44" s="559" t="s">
        <v>743</v>
      </c>
      <c r="F44" s="559"/>
      <c r="G44" s="559"/>
      <c r="H44" s="560" t="s">
        <v>744</v>
      </c>
      <c r="I44" s="543" t="s">
        <v>745</v>
      </c>
      <c r="J44" s="543"/>
      <c r="K44" s="543"/>
      <c r="L44" s="544" t="s">
        <v>744</v>
      </c>
      <c r="M44" s="550" t="s">
        <v>746</v>
      </c>
      <c r="N44" s="559"/>
      <c r="O44" s="559" t="s">
        <v>747</v>
      </c>
      <c r="P44" s="556" t="s">
        <v>748</v>
      </c>
      <c r="Q44" s="557"/>
      <c r="R44" s="557"/>
      <c r="S44" s="558"/>
      <c r="T44" s="559" t="s">
        <v>744</v>
      </c>
      <c r="U44" s="556" t="s">
        <v>748</v>
      </c>
      <c r="V44" s="557"/>
      <c r="W44" s="557"/>
      <c r="X44" s="558"/>
      <c r="Y44" s="559" t="s">
        <v>744</v>
      </c>
      <c r="Z44" s="556" t="s">
        <v>748</v>
      </c>
      <c r="AA44" s="557"/>
      <c r="AB44" s="557"/>
      <c r="AC44" s="558"/>
      <c r="AD44" s="559" t="s">
        <v>744</v>
      </c>
      <c r="AE44" s="556" t="s">
        <v>748</v>
      </c>
      <c r="AF44" s="557"/>
      <c r="AG44" s="557"/>
      <c r="AH44" s="558"/>
      <c r="AI44" s="559" t="s">
        <v>744</v>
      </c>
      <c r="AJ44" s="556" t="s">
        <v>748</v>
      </c>
      <c r="AK44" s="557"/>
      <c r="AL44" s="557"/>
      <c r="AM44" s="558"/>
      <c r="AN44" s="559" t="s">
        <v>744</v>
      </c>
      <c r="AO44" s="556" t="s">
        <v>748</v>
      </c>
      <c r="AP44" s="557"/>
      <c r="AQ44" s="557"/>
      <c r="AR44" s="558"/>
      <c r="AS44" s="559" t="s">
        <v>744</v>
      </c>
      <c r="AT44" s="556" t="s">
        <v>748</v>
      </c>
      <c r="AU44" s="557"/>
      <c r="AV44" s="557"/>
      <c r="AW44" s="558"/>
      <c r="AX44" s="559" t="s">
        <v>744</v>
      </c>
    </row>
    <row r="45" spans="2:50">
      <c r="B45" s="559"/>
      <c r="C45" s="559"/>
      <c r="D45" s="559"/>
      <c r="E45" s="559" t="s">
        <v>749</v>
      </c>
      <c r="F45" s="559"/>
      <c r="G45" s="559"/>
      <c r="H45" s="561"/>
      <c r="I45" s="543" t="s">
        <v>749</v>
      </c>
      <c r="J45" s="543"/>
      <c r="K45" s="543"/>
      <c r="L45" s="545"/>
      <c r="M45" s="551"/>
      <c r="N45" s="559"/>
      <c r="O45" s="559"/>
      <c r="P45" s="556" t="s">
        <v>750</v>
      </c>
      <c r="Q45" s="557"/>
      <c r="R45" s="557"/>
      <c r="S45" s="558"/>
      <c r="T45" s="559"/>
      <c r="U45" s="556" t="s">
        <v>750</v>
      </c>
      <c r="V45" s="557"/>
      <c r="W45" s="557"/>
      <c r="X45" s="558"/>
      <c r="Y45" s="559"/>
      <c r="Z45" s="556" t="s">
        <v>750</v>
      </c>
      <c r="AA45" s="557"/>
      <c r="AB45" s="557"/>
      <c r="AC45" s="558"/>
      <c r="AD45" s="559"/>
      <c r="AE45" s="556" t="s">
        <v>750</v>
      </c>
      <c r="AF45" s="557"/>
      <c r="AG45" s="557"/>
      <c r="AH45" s="558"/>
      <c r="AI45" s="559"/>
      <c r="AJ45" s="556" t="s">
        <v>750</v>
      </c>
      <c r="AK45" s="557"/>
      <c r="AL45" s="557"/>
      <c r="AM45" s="558"/>
      <c r="AN45" s="559"/>
      <c r="AO45" s="556" t="s">
        <v>750</v>
      </c>
      <c r="AP45" s="557"/>
      <c r="AQ45" s="557"/>
      <c r="AR45" s="558"/>
      <c r="AS45" s="559"/>
      <c r="AT45" s="556" t="s">
        <v>750</v>
      </c>
      <c r="AU45" s="557"/>
      <c r="AV45" s="557"/>
      <c r="AW45" s="558"/>
      <c r="AX45" s="559"/>
    </row>
    <row r="46" spans="2:50">
      <c r="B46" s="559"/>
      <c r="C46" s="559"/>
      <c r="D46" s="559"/>
      <c r="E46" s="440" t="s">
        <v>751</v>
      </c>
      <c r="F46" s="440" t="s">
        <v>752</v>
      </c>
      <c r="G46" s="440" t="s">
        <v>753</v>
      </c>
      <c r="H46" s="562"/>
      <c r="I46" s="444" t="s">
        <v>751</v>
      </c>
      <c r="J46" s="444" t="s">
        <v>752</v>
      </c>
      <c r="K46" s="444" t="s">
        <v>753</v>
      </c>
      <c r="L46" s="546"/>
      <c r="M46" s="552"/>
      <c r="N46" s="559"/>
      <c r="O46" s="559"/>
      <c r="P46" s="440" t="s">
        <v>751</v>
      </c>
      <c r="Q46" s="440" t="s">
        <v>752</v>
      </c>
      <c r="R46" s="440" t="s">
        <v>753</v>
      </c>
      <c r="S46" s="440" t="s">
        <v>746</v>
      </c>
      <c r="T46" s="559"/>
      <c r="U46" s="440" t="s">
        <v>751</v>
      </c>
      <c r="V46" s="440" t="s">
        <v>752</v>
      </c>
      <c r="W46" s="440" t="s">
        <v>753</v>
      </c>
      <c r="X46" s="440" t="s">
        <v>746</v>
      </c>
      <c r="Y46" s="559"/>
      <c r="Z46" s="440" t="s">
        <v>751</v>
      </c>
      <c r="AA46" s="440" t="s">
        <v>752</v>
      </c>
      <c r="AB46" s="440" t="s">
        <v>753</v>
      </c>
      <c r="AC46" s="440" t="s">
        <v>746</v>
      </c>
      <c r="AD46" s="559"/>
      <c r="AE46" s="440" t="s">
        <v>751</v>
      </c>
      <c r="AF46" s="440" t="s">
        <v>752</v>
      </c>
      <c r="AG46" s="440" t="s">
        <v>753</v>
      </c>
      <c r="AH46" s="440" t="s">
        <v>746</v>
      </c>
      <c r="AI46" s="559"/>
      <c r="AJ46" s="440" t="s">
        <v>751</v>
      </c>
      <c r="AK46" s="440" t="s">
        <v>752</v>
      </c>
      <c r="AL46" s="440" t="s">
        <v>753</v>
      </c>
      <c r="AM46" s="440" t="s">
        <v>746</v>
      </c>
      <c r="AN46" s="559"/>
      <c r="AO46" s="440" t="s">
        <v>751</v>
      </c>
      <c r="AP46" s="440" t="s">
        <v>752</v>
      </c>
      <c r="AQ46" s="440" t="s">
        <v>753</v>
      </c>
      <c r="AR46" s="440" t="s">
        <v>746</v>
      </c>
      <c r="AS46" s="559"/>
      <c r="AT46" s="440" t="s">
        <v>751</v>
      </c>
      <c r="AU46" s="440" t="s">
        <v>752</v>
      </c>
      <c r="AV46" s="440" t="s">
        <v>753</v>
      </c>
      <c r="AW46" s="440" t="s">
        <v>746</v>
      </c>
      <c r="AX46" s="559"/>
    </row>
    <row r="47" spans="2:50">
      <c r="B47" s="559" t="s">
        <v>786</v>
      </c>
      <c r="C47" s="436">
        <v>1</v>
      </c>
      <c r="D47" s="226" t="s">
        <v>787</v>
      </c>
      <c r="E47" s="182">
        <v>13</v>
      </c>
      <c r="F47" s="436">
        <v>1500</v>
      </c>
      <c r="G47" s="437">
        <v>115.38461538461539</v>
      </c>
      <c r="H47" s="608">
        <f>AVERAGE(G47:G61)</f>
        <v>115.38461538461539</v>
      </c>
      <c r="I47" s="446">
        <f>AVERAGE(P47,U47,Z47,AE47,AJ47,AO47,AT47)</f>
        <v>12.857142857142858</v>
      </c>
      <c r="J47" s="446">
        <f>AVERAGE(Q47,V47,AA47,AF47,AK47,AP47,AU47)</f>
        <v>1497.7576994434141</v>
      </c>
      <c r="K47" s="438">
        <f>AVERAGE(R47,W47,AB47,AG47,AL47,AQ47,AV47)</f>
        <v>116.53850435279007</v>
      </c>
      <c r="L47" s="540">
        <f>IFERROR(AVERAGE(K47:K61),"-")</f>
        <v>116.53850435279007</v>
      </c>
      <c r="M47" s="445">
        <f>RANK(K47, K$47:$K$61)</f>
        <v>1</v>
      </c>
      <c r="N47" s="559"/>
      <c r="O47" s="559"/>
      <c r="P47" s="182">
        <v>12</v>
      </c>
      <c r="Q47" s="182">
        <v>1448.4000000000005</v>
      </c>
      <c r="R47" s="437">
        <v>120.70000000000005</v>
      </c>
      <c r="S47" s="436">
        <f>RANK(R47, R$47:R$61)</f>
        <v>1</v>
      </c>
      <c r="T47" s="605">
        <f>AVERAGE(R47:R61)</f>
        <v>120.70000000000005</v>
      </c>
      <c r="U47" s="182">
        <v>13</v>
      </c>
      <c r="V47" s="182">
        <v>1504.2857142857147</v>
      </c>
      <c r="W47" s="437">
        <v>115.71428571428575</v>
      </c>
      <c r="X47" s="436">
        <f t="shared" ref="X47:X61" si="28">RANK(W47, W$47:W$61)</f>
        <v>1</v>
      </c>
      <c r="Y47" s="605">
        <f t="shared" ref="Y47" si="29">AVERAGE(W47:W61)</f>
        <v>115.71428571428575</v>
      </c>
      <c r="Z47" s="182">
        <v>13</v>
      </c>
      <c r="AA47" s="182">
        <v>1449.8181818181827</v>
      </c>
      <c r="AB47" s="437">
        <v>111.52447552447559</v>
      </c>
      <c r="AC47" s="436">
        <f t="shared" ref="AC47:AC61" si="30">RANK(AB47, AB$47:AB$61)</f>
        <v>1</v>
      </c>
      <c r="AD47" s="605">
        <f t="shared" ref="AD47" si="31">AVERAGE(AB47:AB61)</f>
        <v>111.52447552447559</v>
      </c>
      <c r="AE47" s="182">
        <v>13</v>
      </c>
      <c r="AF47" s="182">
        <v>1582.8000000000004</v>
      </c>
      <c r="AG47" s="437">
        <v>121.75384615384618</v>
      </c>
      <c r="AH47" s="436">
        <f t="shared" ref="AH47:AH61" si="32">RANK(AG47, AG$47:AG$61)</f>
        <v>1</v>
      </c>
      <c r="AI47" s="605">
        <f t="shared" ref="AI47" si="33">AVERAGE(AG47:AG61)</f>
        <v>121.75384615384618</v>
      </c>
      <c r="AJ47" s="182">
        <v>13</v>
      </c>
      <c r="AK47" s="182">
        <v>1559.9999999999993</v>
      </c>
      <c r="AL47" s="437">
        <v>119.99999999999994</v>
      </c>
      <c r="AM47" s="436">
        <f t="shared" ref="AM47:AM61" si="34">RANK(AL47, AL$47:AL$61)</f>
        <v>1</v>
      </c>
      <c r="AN47" s="605">
        <f t="shared" ref="AN47" si="35">AVERAGE(AL47:AL61)</f>
        <v>119.99999999999994</v>
      </c>
      <c r="AO47" s="182">
        <v>13</v>
      </c>
      <c r="AP47" s="182">
        <v>1437.0000000000014</v>
      </c>
      <c r="AQ47" s="437">
        <v>110.53846153846165</v>
      </c>
      <c r="AR47" s="436">
        <f t="shared" ref="AR47:AR61" si="36">RANK(AQ47, AQ$47:AQ$61)</f>
        <v>1</v>
      </c>
      <c r="AS47" s="605">
        <f t="shared" ref="AS47" si="37">AVERAGE(AQ47:AQ61)</f>
        <v>110.53846153846165</v>
      </c>
      <c r="AT47" s="182">
        <v>13</v>
      </c>
      <c r="AU47" s="182">
        <v>1501.9999999999993</v>
      </c>
      <c r="AV47" s="437">
        <v>115.53846153846149</v>
      </c>
      <c r="AW47" s="436">
        <f t="shared" ref="AW47:AW61" si="38">RANK(AV47, AV$47:AV$61)</f>
        <v>1</v>
      </c>
      <c r="AX47" s="605">
        <f t="shared" ref="AX47" si="39">AVERAGE(AV47:AV61)</f>
        <v>115.53846153846149</v>
      </c>
    </row>
    <row r="48" spans="2:50">
      <c r="B48" s="572"/>
      <c r="C48" s="436">
        <v>2</v>
      </c>
      <c r="D48" s="226"/>
      <c r="E48" s="182"/>
      <c r="F48" s="436"/>
      <c r="G48" s="437"/>
      <c r="H48" s="609"/>
      <c r="I48" s="446"/>
      <c r="J48" s="446"/>
      <c r="K48" s="438"/>
      <c r="L48" s="541"/>
      <c r="M48" s="445" t="e">
        <f>RANK(K48, K$47:$K$61)</f>
        <v>#N/A</v>
      </c>
      <c r="N48" s="559"/>
      <c r="O48" s="559"/>
      <c r="P48" s="436"/>
      <c r="Q48" s="182"/>
      <c r="R48" s="437"/>
      <c r="S48" s="436" t="e">
        <f t="shared" ref="S48:S61" si="40">RANK(R48, R$47:R$61)</f>
        <v>#N/A</v>
      </c>
      <c r="T48" s="605"/>
      <c r="U48" s="436"/>
      <c r="V48" s="182"/>
      <c r="W48" s="437"/>
      <c r="X48" s="436" t="e">
        <f t="shared" si="28"/>
        <v>#N/A</v>
      </c>
      <c r="Y48" s="605"/>
      <c r="Z48" s="436"/>
      <c r="AA48" s="182"/>
      <c r="AB48" s="437"/>
      <c r="AC48" s="436" t="e">
        <f t="shared" si="30"/>
        <v>#N/A</v>
      </c>
      <c r="AD48" s="605"/>
      <c r="AE48" s="436"/>
      <c r="AF48" s="182"/>
      <c r="AG48" s="437"/>
      <c r="AH48" s="436" t="e">
        <f t="shared" si="32"/>
        <v>#N/A</v>
      </c>
      <c r="AI48" s="605"/>
      <c r="AJ48" s="436"/>
      <c r="AK48" s="182"/>
      <c r="AL48" s="437"/>
      <c r="AM48" s="436" t="e">
        <f t="shared" si="34"/>
        <v>#N/A</v>
      </c>
      <c r="AN48" s="605"/>
      <c r="AO48" s="436"/>
      <c r="AP48" s="182"/>
      <c r="AQ48" s="437"/>
      <c r="AR48" s="436" t="e">
        <f t="shared" si="36"/>
        <v>#N/A</v>
      </c>
      <c r="AS48" s="605"/>
      <c r="AT48" s="436"/>
      <c r="AU48" s="182"/>
      <c r="AV48" s="437"/>
      <c r="AW48" s="436" t="e">
        <f t="shared" si="38"/>
        <v>#N/A</v>
      </c>
      <c r="AX48" s="605"/>
    </row>
    <row r="49" spans="2:50">
      <c r="B49" s="572"/>
      <c r="C49" s="436">
        <v>3</v>
      </c>
      <c r="D49" s="226"/>
      <c r="E49" s="182"/>
      <c r="F49" s="436"/>
      <c r="G49" s="437"/>
      <c r="H49" s="609"/>
      <c r="I49" s="446"/>
      <c r="J49" s="446"/>
      <c r="K49" s="438"/>
      <c r="L49" s="541"/>
      <c r="M49" s="445" t="e">
        <f>RANK(K49, K$47:$K$61)</f>
        <v>#N/A</v>
      </c>
      <c r="N49" s="559"/>
      <c r="O49" s="559"/>
      <c r="P49" s="436"/>
      <c r="Q49" s="182"/>
      <c r="R49" s="437"/>
      <c r="S49" s="436" t="e">
        <f t="shared" si="40"/>
        <v>#N/A</v>
      </c>
      <c r="T49" s="605"/>
      <c r="U49" s="436"/>
      <c r="V49" s="182"/>
      <c r="W49" s="437"/>
      <c r="X49" s="436" t="e">
        <f t="shared" si="28"/>
        <v>#N/A</v>
      </c>
      <c r="Y49" s="605"/>
      <c r="Z49" s="436"/>
      <c r="AA49" s="182"/>
      <c r="AB49" s="437"/>
      <c r="AC49" s="436" t="e">
        <f t="shared" si="30"/>
        <v>#N/A</v>
      </c>
      <c r="AD49" s="605"/>
      <c r="AE49" s="436"/>
      <c r="AF49" s="182"/>
      <c r="AG49" s="437"/>
      <c r="AH49" s="436" t="e">
        <f t="shared" si="32"/>
        <v>#N/A</v>
      </c>
      <c r="AI49" s="605"/>
      <c r="AJ49" s="436"/>
      <c r="AK49" s="182"/>
      <c r="AL49" s="437"/>
      <c r="AM49" s="436" t="e">
        <f t="shared" si="34"/>
        <v>#N/A</v>
      </c>
      <c r="AN49" s="605"/>
      <c r="AO49" s="436"/>
      <c r="AP49" s="182"/>
      <c r="AQ49" s="437"/>
      <c r="AR49" s="436" t="e">
        <f t="shared" si="36"/>
        <v>#N/A</v>
      </c>
      <c r="AS49" s="605"/>
      <c r="AT49" s="436"/>
      <c r="AU49" s="182"/>
      <c r="AV49" s="437"/>
      <c r="AW49" s="436" t="e">
        <f t="shared" si="38"/>
        <v>#N/A</v>
      </c>
      <c r="AX49" s="605"/>
    </row>
    <row r="50" spans="2:50">
      <c r="B50" s="572"/>
      <c r="C50" s="436">
        <v>4</v>
      </c>
      <c r="D50" s="226"/>
      <c r="E50" s="182"/>
      <c r="F50" s="436"/>
      <c r="G50" s="437"/>
      <c r="H50" s="609"/>
      <c r="I50" s="446"/>
      <c r="J50" s="446"/>
      <c r="K50" s="438"/>
      <c r="L50" s="541"/>
      <c r="M50" s="445" t="e">
        <f>RANK(K50, K$47:$K$61)</f>
        <v>#N/A</v>
      </c>
      <c r="N50" s="559"/>
      <c r="O50" s="559"/>
      <c r="P50" s="436"/>
      <c r="Q50" s="436"/>
      <c r="R50" s="436"/>
      <c r="S50" s="436" t="e">
        <f t="shared" si="40"/>
        <v>#N/A</v>
      </c>
      <c r="T50" s="605"/>
      <c r="U50" s="436"/>
      <c r="V50" s="436"/>
      <c r="W50" s="436"/>
      <c r="X50" s="436" t="e">
        <f t="shared" si="28"/>
        <v>#N/A</v>
      </c>
      <c r="Y50" s="605"/>
      <c r="Z50" s="436"/>
      <c r="AA50" s="436"/>
      <c r="AB50" s="436"/>
      <c r="AC50" s="436" t="e">
        <f t="shared" si="30"/>
        <v>#N/A</v>
      </c>
      <c r="AD50" s="605"/>
      <c r="AE50" s="436"/>
      <c r="AF50" s="436"/>
      <c r="AG50" s="436"/>
      <c r="AH50" s="436" t="e">
        <f t="shared" si="32"/>
        <v>#N/A</v>
      </c>
      <c r="AI50" s="605"/>
      <c r="AJ50" s="436"/>
      <c r="AK50" s="436"/>
      <c r="AL50" s="436"/>
      <c r="AM50" s="436" t="e">
        <f t="shared" si="34"/>
        <v>#N/A</v>
      </c>
      <c r="AN50" s="605"/>
      <c r="AO50" s="436"/>
      <c r="AP50" s="436"/>
      <c r="AQ50" s="436"/>
      <c r="AR50" s="436" t="e">
        <f t="shared" si="36"/>
        <v>#N/A</v>
      </c>
      <c r="AS50" s="605"/>
      <c r="AT50" s="436"/>
      <c r="AU50" s="436"/>
      <c r="AV50" s="436"/>
      <c r="AW50" s="436" t="e">
        <f t="shared" si="38"/>
        <v>#N/A</v>
      </c>
      <c r="AX50" s="605"/>
    </row>
    <row r="51" spans="2:50">
      <c r="B51" s="572"/>
      <c r="C51" s="436">
        <v>5</v>
      </c>
      <c r="D51" s="226"/>
      <c r="E51" s="182"/>
      <c r="F51" s="436"/>
      <c r="G51" s="437"/>
      <c r="H51" s="609"/>
      <c r="I51" s="446"/>
      <c r="J51" s="446"/>
      <c r="K51" s="438"/>
      <c r="L51" s="541"/>
      <c r="M51" s="445" t="e">
        <f>RANK(K51, K$47:$K$61)</f>
        <v>#N/A</v>
      </c>
      <c r="N51" s="559"/>
      <c r="O51" s="559"/>
      <c r="P51" s="436"/>
      <c r="Q51" s="436"/>
      <c r="R51" s="436"/>
      <c r="S51" s="436" t="e">
        <f t="shared" si="40"/>
        <v>#N/A</v>
      </c>
      <c r="T51" s="605"/>
      <c r="U51" s="436"/>
      <c r="V51" s="436"/>
      <c r="W51" s="436"/>
      <c r="X51" s="436" t="e">
        <f t="shared" si="28"/>
        <v>#N/A</v>
      </c>
      <c r="Y51" s="605"/>
      <c r="Z51" s="436"/>
      <c r="AA51" s="436"/>
      <c r="AB51" s="436"/>
      <c r="AC51" s="436" t="e">
        <f t="shared" si="30"/>
        <v>#N/A</v>
      </c>
      <c r="AD51" s="605"/>
      <c r="AE51" s="436"/>
      <c r="AF51" s="436"/>
      <c r="AG51" s="436"/>
      <c r="AH51" s="436" t="e">
        <f t="shared" si="32"/>
        <v>#N/A</v>
      </c>
      <c r="AI51" s="605"/>
      <c r="AJ51" s="436"/>
      <c r="AK51" s="436"/>
      <c r="AL51" s="436"/>
      <c r="AM51" s="436" t="e">
        <f t="shared" si="34"/>
        <v>#N/A</v>
      </c>
      <c r="AN51" s="605"/>
      <c r="AO51" s="436"/>
      <c r="AP51" s="436"/>
      <c r="AQ51" s="436"/>
      <c r="AR51" s="436" t="e">
        <f t="shared" si="36"/>
        <v>#N/A</v>
      </c>
      <c r="AS51" s="605"/>
      <c r="AT51" s="436"/>
      <c r="AU51" s="436"/>
      <c r="AV51" s="436"/>
      <c r="AW51" s="436" t="e">
        <f t="shared" si="38"/>
        <v>#N/A</v>
      </c>
      <c r="AX51" s="605"/>
    </row>
    <row r="52" spans="2:50">
      <c r="B52" s="572"/>
      <c r="C52" s="436">
        <v>6</v>
      </c>
      <c r="D52" s="226"/>
      <c r="E52" s="182"/>
      <c r="F52" s="436"/>
      <c r="G52" s="437"/>
      <c r="H52" s="609"/>
      <c r="I52" s="446"/>
      <c r="J52" s="446"/>
      <c r="K52" s="438"/>
      <c r="L52" s="541"/>
      <c r="M52" s="445" t="e">
        <f>RANK(K52, K$47:$K$61)</f>
        <v>#N/A</v>
      </c>
      <c r="N52" s="559"/>
      <c r="O52" s="559"/>
      <c r="P52" s="436"/>
      <c r="Q52" s="436"/>
      <c r="R52" s="436"/>
      <c r="S52" s="436" t="e">
        <f t="shared" si="40"/>
        <v>#N/A</v>
      </c>
      <c r="T52" s="605"/>
      <c r="U52" s="436"/>
      <c r="V52" s="436"/>
      <c r="W52" s="436"/>
      <c r="X52" s="436" t="e">
        <f t="shared" si="28"/>
        <v>#N/A</v>
      </c>
      <c r="Y52" s="605"/>
      <c r="Z52" s="436"/>
      <c r="AA52" s="436"/>
      <c r="AB52" s="436"/>
      <c r="AC52" s="436" t="e">
        <f t="shared" si="30"/>
        <v>#N/A</v>
      </c>
      <c r="AD52" s="605"/>
      <c r="AE52" s="436"/>
      <c r="AF52" s="436"/>
      <c r="AG52" s="436"/>
      <c r="AH52" s="436" t="e">
        <f t="shared" si="32"/>
        <v>#N/A</v>
      </c>
      <c r="AI52" s="605"/>
      <c r="AJ52" s="436"/>
      <c r="AK52" s="436"/>
      <c r="AL52" s="436"/>
      <c r="AM52" s="436" t="e">
        <f t="shared" si="34"/>
        <v>#N/A</v>
      </c>
      <c r="AN52" s="605"/>
      <c r="AO52" s="436"/>
      <c r="AP52" s="436"/>
      <c r="AQ52" s="436"/>
      <c r="AR52" s="436" t="e">
        <f t="shared" si="36"/>
        <v>#N/A</v>
      </c>
      <c r="AS52" s="605"/>
      <c r="AT52" s="436"/>
      <c r="AU52" s="436"/>
      <c r="AV52" s="436"/>
      <c r="AW52" s="436" t="e">
        <f t="shared" si="38"/>
        <v>#N/A</v>
      </c>
      <c r="AX52" s="605"/>
    </row>
    <row r="53" spans="2:50">
      <c r="B53" s="572"/>
      <c r="C53" s="436">
        <v>7</v>
      </c>
      <c r="D53" s="226"/>
      <c r="E53" s="182"/>
      <c r="F53" s="436"/>
      <c r="G53" s="437"/>
      <c r="H53" s="609"/>
      <c r="I53" s="446"/>
      <c r="J53" s="446"/>
      <c r="K53" s="438"/>
      <c r="L53" s="541"/>
      <c r="M53" s="445" t="e">
        <f>RANK(K53, K$47:$K$61)</f>
        <v>#N/A</v>
      </c>
      <c r="N53" s="559"/>
      <c r="O53" s="559"/>
      <c r="P53" s="436"/>
      <c r="Q53" s="436"/>
      <c r="R53" s="436"/>
      <c r="S53" s="436" t="e">
        <f t="shared" si="40"/>
        <v>#N/A</v>
      </c>
      <c r="T53" s="605"/>
      <c r="U53" s="436"/>
      <c r="V53" s="436"/>
      <c r="W53" s="436"/>
      <c r="X53" s="436" t="e">
        <f t="shared" si="28"/>
        <v>#N/A</v>
      </c>
      <c r="Y53" s="605"/>
      <c r="Z53" s="436"/>
      <c r="AA53" s="436"/>
      <c r="AB53" s="436"/>
      <c r="AC53" s="436" t="e">
        <f t="shared" si="30"/>
        <v>#N/A</v>
      </c>
      <c r="AD53" s="605"/>
      <c r="AE53" s="436"/>
      <c r="AF53" s="436"/>
      <c r="AG53" s="436"/>
      <c r="AH53" s="436" t="e">
        <f t="shared" si="32"/>
        <v>#N/A</v>
      </c>
      <c r="AI53" s="605"/>
      <c r="AJ53" s="436"/>
      <c r="AK53" s="436"/>
      <c r="AL53" s="436"/>
      <c r="AM53" s="436" t="e">
        <f t="shared" si="34"/>
        <v>#N/A</v>
      </c>
      <c r="AN53" s="605"/>
      <c r="AO53" s="436"/>
      <c r="AP53" s="436"/>
      <c r="AQ53" s="436"/>
      <c r="AR53" s="436" t="e">
        <f t="shared" si="36"/>
        <v>#N/A</v>
      </c>
      <c r="AS53" s="605"/>
      <c r="AT53" s="436"/>
      <c r="AU53" s="436"/>
      <c r="AV53" s="436"/>
      <c r="AW53" s="436" t="e">
        <f t="shared" si="38"/>
        <v>#N/A</v>
      </c>
      <c r="AX53" s="605"/>
    </row>
    <row r="54" spans="2:50">
      <c r="B54" s="572"/>
      <c r="C54" s="436">
        <v>8</v>
      </c>
      <c r="D54" s="226"/>
      <c r="E54" s="182"/>
      <c r="F54" s="436"/>
      <c r="G54" s="437"/>
      <c r="H54" s="609"/>
      <c r="I54" s="446"/>
      <c r="J54" s="446"/>
      <c r="K54" s="438"/>
      <c r="L54" s="541"/>
      <c r="M54" s="445" t="e">
        <f>RANK(K54, K$47:$K$61)</f>
        <v>#N/A</v>
      </c>
      <c r="N54" s="559"/>
      <c r="O54" s="559"/>
      <c r="P54" s="436"/>
      <c r="Q54" s="436"/>
      <c r="R54" s="436"/>
      <c r="S54" s="436" t="e">
        <f t="shared" si="40"/>
        <v>#N/A</v>
      </c>
      <c r="T54" s="605"/>
      <c r="U54" s="436"/>
      <c r="V54" s="436"/>
      <c r="W54" s="436"/>
      <c r="X54" s="436" t="e">
        <f t="shared" si="28"/>
        <v>#N/A</v>
      </c>
      <c r="Y54" s="605"/>
      <c r="Z54" s="436"/>
      <c r="AA54" s="436"/>
      <c r="AB54" s="436"/>
      <c r="AC54" s="436" t="e">
        <f t="shared" si="30"/>
        <v>#N/A</v>
      </c>
      <c r="AD54" s="605"/>
      <c r="AE54" s="436"/>
      <c r="AF54" s="436"/>
      <c r="AG54" s="436"/>
      <c r="AH54" s="436" t="e">
        <f t="shared" si="32"/>
        <v>#N/A</v>
      </c>
      <c r="AI54" s="605"/>
      <c r="AJ54" s="436"/>
      <c r="AK54" s="436"/>
      <c r="AL54" s="436"/>
      <c r="AM54" s="436" t="e">
        <f t="shared" si="34"/>
        <v>#N/A</v>
      </c>
      <c r="AN54" s="605"/>
      <c r="AO54" s="436"/>
      <c r="AP54" s="436"/>
      <c r="AQ54" s="436"/>
      <c r="AR54" s="436" t="e">
        <f t="shared" si="36"/>
        <v>#N/A</v>
      </c>
      <c r="AS54" s="605"/>
      <c r="AT54" s="436"/>
      <c r="AU54" s="436"/>
      <c r="AV54" s="436"/>
      <c r="AW54" s="436" t="e">
        <f t="shared" si="38"/>
        <v>#N/A</v>
      </c>
      <c r="AX54" s="605"/>
    </row>
    <row r="55" spans="2:50">
      <c r="B55" s="572"/>
      <c r="C55" s="436">
        <v>9</v>
      </c>
      <c r="D55" s="226"/>
      <c r="E55" s="182"/>
      <c r="F55" s="436"/>
      <c r="G55" s="437"/>
      <c r="H55" s="609"/>
      <c r="I55" s="446"/>
      <c r="J55" s="446"/>
      <c r="K55" s="438"/>
      <c r="L55" s="541"/>
      <c r="M55" s="445" t="e">
        <f>RANK(K55, K$47:$K$61)</f>
        <v>#N/A</v>
      </c>
      <c r="N55" s="559"/>
      <c r="O55" s="559"/>
      <c r="P55" s="436"/>
      <c r="Q55" s="436"/>
      <c r="R55" s="436"/>
      <c r="S55" s="436" t="e">
        <f t="shared" si="40"/>
        <v>#N/A</v>
      </c>
      <c r="T55" s="605"/>
      <c r="U55" s="436"/>
      <c r="V55" s="436"/>
      <c r="W55" s="436"/>
      <c r="X55" s="436" t="e">
        <f t="shared" si="28"/>
        <v>#N/A</v>
      </c>
      <c r="Y55" s="605"/>
      <c r="Z55" s="436"/>
      <c r="AA55" s="436"/>
      <c r="AB55" s="436"/>
      <c r="AC55" s="436" t="e">
        <f t="shared" si="30"/>
        <v>#N/A</v>
      </c>
      <c r="AD55" s="605"/>
      <c r="AE55" s="436"/>
      <c r="AF55" s="436"/>
      <c r="AG55" s="436"/>
      <c r="AH55" s="436" t="e">
        <f t="shared" si="32"/>
        <v>#N/A</v>
      </c>
      <c r="AI55" s="605"/>
      <c r="AJ55" s="436"/>
      <c r="AK55" s="436"/>
      <c r="AL55" s="436"/>
      <c r="AM55" s="436" t="e">
        <f t="shared" si="34"/>
        <v>#N/A</v>
      </c>
      <c r="AN55" s="605"/>
      <c r="AO55" s="436"/>
      <c r="AP55" s="436"/>
      <c r="AQ55" s="436"/>
      <c r="AR55" s="436" t="e">
        <f t="shared" si="36"/>
        <v>#N/A</v>
      </c>
      <c r="AS55" s="605"/>
      <c r="AT55" s="436"/>
      <c r="AU55" s="436"/>
      <c r="AV55" s="436"/>
      <c r="AW55" s="436" t="e">
        <f t="shared" si="38"/>
        <v>#N/A</v>
      </c>
      <c r="AX55" s="605"/>
    </row>
    <row r="56" spans="2:50">
      <c r="B56" s="572"/>
      <c r="C56" s="436">
        <v>10</v>
      </c>
      <c r="D56" s="226"/>
      <c r="E56" s="182"/>
      <c r="F56" s="436"/>
      <c r="G56" s="437"/>
      <c r="H56" s="609"/>
      <c r="I56" s="446"/>
      <c r="J56" s="446"/>
      <c r="K56" s="438"/>
      <c r="L56" s="541"/>
      <c r="M56" s="445" t="e">
        <f>RANK(K56, K$47:$K$61)</f>
        <v>#N/A</v>
      </c>
      <c r="N56" s="559"/>
      <c r="O56" s="559"/>
      <c r="P56" s="436"/>
      <c r="Q56" s="436"/>
      <c r="R56" s="436"/>
      <c r="S56" s="436" t="e">
        <f t="shared" si="40"/>
        <v>#N/A</v>
      </c>
      <c r="T56" s="605"/>
      <c r="U56" s="436"/>
      <c r="V56" s="436"/>
      <c r="W56" s="436"/>
      <c r="X56" s="436" t="e">
        <f t="shared" si="28"/>
        <v>#N/A</v>
      </c>
      <c r="Y56" s="605"/>
      <c r="Z56" s="436"/>
      <c r="AA56" s="436"/>
      <c r="AB56" s="436"/>
      <c r="AC56" s="436" t="e">
        <f t="shared" si="30"/>
        <v>#N/A</v>
      </c>
      <c r="AD56" s="605"/>
      <c r="AE56" s="436"/>
      <c r="AF56" s="436"/>
      <c r="AG56" s="436"/>
      <c r="AH56" s="436" t="e">
        <f t="shared" si="32"/>
        <v>#N/A</v>
      </c>
      <c r="AI56" s="605"/>
      <c r="AJ56" s="436"/>
      <c r="AK56" s="436"/>
      <c r="AL56" s="436"/>
      <c r="AM56" s="436" t="e">
        <f t="shared" si="34"/>
        <v>#N/A</v>
      </c>
      <c r="AN56" s="605"/>
      <c r="AO56" s="436"/>
      <c r="AP56" s="436"/>
      <c r="AQ56" s="436"/>
      <c r="AR56" s="436" t="e">
        <f t="shared" si="36"/>
        <v>#N/A</v>
      </c>
      <c r="AS56" s="605"/>
      <c r="AT56" s="436"/>
      <c r="AU56" s="436"/>
      <c r="AV56" s="436"/>
      <c r="AW56" s="436" t="e">
        <f t="shared" si="38"/>
        <v>#N/A</v>
      </c>
      <c r="AX56" s="605"/>
    </row>
    <row r="57" spans="2:50">
      <c r="B57" s="572"/>
      <c r="C57" s="436">
        <v>11</v>
      </c>
      <c r="D57" s="226"/>
      <c r="E57" s="182"/>
      <c r="F57" s="436"/>
      <c r="G57" s="437"/>
      <c r="H57" s="609"/>
      <c r="I57" s="202"/>
      <c r="J57" s="202"/>
      <c r="K57" s="202"/>
      <c r="L57" s="541"/>
      <c r="M57" s="445" t="e">
        <f>RANK(K57, K$47:$K$61)</f>
        <v>#N/A</v>
      </c>
      <c r="N57" s="559"/>
      <c r="O57" s="559"/>
      <c r="P57" s="436"/>
      <c r="Q57" s="436"/>
      <c r="R57" s="436"/>
      <c r="S57" s="436" t="e">
        <f t="shared" si="40"/>
        <v>#N/A</v>
      </c>
      <c r="T57" s="605"/>
      <c r="U57" s="436"/>
      <c r="V57" s="436"/>
      <c r="W57" s="436"/>
      <c r="X57" s="436" t="e">
        <f t="shared" si="28"/>
        <v>#N/A</v>
      </c>
      <c r="Y57" s="605"/>
      <c r="Z57" s="436"/>
      <c r="AA57" s="436"/>
      <c r="AB57" s="436"/>
      <c r="AC57" s="436" t="e">
        <f t="shared" si="30"/>
        <v>#N/A</v>
      </c>
      <c r="AD57" s="605"/>
      <c r="AE57" s="436"/>
      <c r="AF57" s="436"/>
      <c r="AG57" s="436"/>
      <c r="AH57" s="436" t="e">
        <f t="shared" si="32"/>
        <v>#N/A</v>
      </c>
      <c r="AI57" s="605"/>
      <c r="AJ57" s="436"/>
      <c r="AK57" s="436"/>
      <c r="AL57" s="436"/>
      <c r="AM57" s="436" t="e">
        <f t="shared" si="34"/>
        <v>#N/A</v>
      </c>
      <c r="AN57" s="605"/>
      <c r="AO57" s="436"/>
      <c r="AP57" s="436"/>
      <c r="AQ57" s="436"/>
      <c r="AR57" s="436" t="e">
        <f t="shared" si="36"/>
        <v>#N/A</v>
      </c>
      <c r="AS57" s="605"/>
      <c r="AT57" s="436"/>
      <c r="AU57" s="436"/>
      <c r="AV57" s="436"/>
      <c r="AW57" s="436" t="e">
        <f t="shared" si="38"/>
        <v>#N/A</v>
      </c>
      <c r="AX57" s="605"/>
    </row>
    <row r="58" spans="2:50">
      <c r="B58" s="572"/>
      <c r="C58" s="436">
        <v>12</v>
      </c>
      <c r="D58" s="226"/>
      <c r="E58" s="182"/>
      <c r="F58" s="436"/>
      <c r="G58" s="437"/>
      <c r="H58" s="609"/>
      <c r="I58" s="202"/>
      <c r="J58" s="202"/>
      <c r="K58" s="202"/>
      <c r="L58" s="541"/>
      <c r="M58" s="445" t="e">
        <f>RANK(K58, K$47:$K$61)</f>
        <v>#N/A</v>
      </c>
      <c r="N58" s="559"/>
      <c r="O58" s="559"/>
      <c r="P58" s="436"/>
      <c r="Q58" s="436"/>
      <c r="R58" s="436"/>
      <c r="S58" s="436" t="e">
        <f t="shared" si="40"/>
        <v>#N/A</v>
      </c>
      <c r="T58" s="605"/>
      <c r="U58" s="436"/>
      <c r="V58" s="436"/>
      <c r="W58" s="436"/>
      <c r="X58" s="436" t="e">
        <f t="shared" si="28"/>
        <v>#N/A</v>
      </c>
      <c r="Y58" s="605"/>
      <c r="Z58" s="436"/>
      <c r="AA58" s="436"/>
      <c r="AB58" s="436"/>
      <c r="AC58" s="436" t="e">
        <f t="shared" si="30"/>
        <v>#N/A</v>
      </c>
      <c r="AD58" s="605"/>
      <c r="AE58" s="436"/>
      <c r="AF58" s="436"/>
      <c r="AG58" s="436"/>
      <c r="AH58" s="436" t="e">
        <f t="shared" si="32"/>
        <v>#N/A</v>
      </c>
      <c r="AI58" s="605"/>
      <c r="AJ58" s="436"/>
      <c r="AK58" s="436"/>
      <c r="AL58" s="436"/>
      <c r="AM58" s="436" t="e">
        <f t="shared" si="34"/>
        <v>#N/A</v>
      </c>
      <c r="AN58" s="605"/>
      <c r="AO58" s="436"/>
      <c r="AP58" s="436"/>
      <c r="AQ58" s="436"/>
      <c r="AR58" s="436" t="e">
        <f t="shared" si="36"/>
        <v>#N/A</v>
      </c>
      <c r="AS58" s="605"/>
      <c r="AT58" s="436"/>
      <c r="AU58" s="436"/>
      <c r="AV58" s="436"/>
      <c r="AW58" s="436" t="e">
        <f t="shared" si="38"/>
        <v>#N/A</v>
      </c>
      <c r="AX58" s="605"/>
    </row>
    <row r="59" spans="2:50">
      <c r="B59" s="572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41"/>
      <c r="M59" s="445" t="e">
        <f>RANK(K59, K$47:$K$61)</f>
        <v>#N/A</v>
      </c>
      <c r="N59" s="559"/>
      <c r="O59" s="559"/>
      <c r="P59" s="436"/>
      <c r="Q59" s="436"/>
      <c r="R59" s="436"/>
      <c r="S59" s="436" t="e">
        <f t="shared" si="40"/>
        <v>#N/A</v>
      </c>
      <c r="T59" s="605"/>
      <c r="U59" s="436"/>
      <c r="V59" s="436"/>
      <c r="W59" s="436"/>
      <c r="X59" s="436" t="e">
        <f t="shared" si="28"/>
        <v>#N/A</v>
      </c>
      <c r="Y59" s="605"/>
      <c r="Z59" s="436"/>
      <c r="AA59" s="436"/>
      <c r="AB59" s="436"/>
      <c r="AC59" s="436" t="e">
        <f t="shared" si="30"/>
        <v>#N/A</v>
      </c>
      <c r="AD59" s="605"/>
      <c r="AE59" s="436"/>
      <c r="AF59" s="436"/>
      <c r="AG59" s="436"/>
      <c r="AH59" s="436" t="e">
        <f t="shared" si="32"/>
        <v>#N/A</v>
      </c>
      <c r="AI59" s="605"/>
      <c r="AJ59" s="436"/>
      <c r="AK59" s="436"/>
      <c r="AL59" s="436"/>
      <c r="AM59" s="436" t="e">
        <f t="shared" si="34"/>
        <v>#N/A</v>
      </c>
      <c r="AN59" s="605"/>
      <c r="AO59" s="436"/>
      <c r="AP59" s="436"/>
      <c r="AQ59" s="436"/>
      <c r="AR59" s="436" t="e">
        <f t="shared" si="36"/>
        <v>#N/A</v>
      </c>
      <c r="AS59" s="605"/>
      <c r="AT59" s="436"/>
      <c r="AU59" s="436"/>
      <c r="AV59" s="436"/>
      <c r="AW59" s="436" t="e">
        <f t="shared" si="38"/>
        <v>#N/A</v>
      </c>
      <c r="AX59" s="605"/>
    </row>
    <row r="60" spans="2:50">
      <c r="B60" s="572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41"/>
      <c r="M60" s="445" t="e">
        <f>RANK(K60, K$47:$K$61)</f>
        <v>#N/A</v>
      </c>
      <c r="N60" s="559"/>
      <c r="O60" s="559"/>
      <c r="P60" s="436"/>
      <c r="Q60" s="436"/>
      <c r="R60" s="436"/>
      <c r="S60" s="436" t="e">
        <f t="shared" si="40"/>
        <v>#N/A</v>
      </c>
      <c r="T60" s="605"/>
      <c r="U60" s="436"/>
      <c r="V60" s="436"/>
      <c r="W60" s="436"/>
      <c r="X60" s="436" t="e">
        <f t="shared" si="28"/>
        <v>#N/A</v>
      </c>
      <c r="Y60" s="605"/>
      <c r="Z60" s="436"/>
      <c r="AA60" s="436"/>
      <c r="AB60" s="436"/>
      <c r="AC60" s="436" t="e">
        <f t="shared" si="30"/>
        <v>#N/A</v>
      </c>
      <c r="AD60" s="605"/>
      <c r="AE60" s="436"/>
      <c r="AF60" s="436"/>
      <c r="AG60" s="436"/>
      <c r="AH60" s="436" t="e">
        <f t="shared" si="32"/>
        <v>#N/A</v>
      </c>
      <c r="AI60" s="605"/>
      <c r="AJ60" s="436"/>
      <c r="AK60" s="436"/>
      <c r="AL60" s="436"/>
      <c r="AM60" s="436" t="e">
        <f t="shared" si="34"/>
        <v>#N/A</v>
      </c>
      <c r="AN60" s="605"/>
      <c r="AO60" s="436"/>
      <c r="AP60" s="436"/>
      <c r="AQ60" s="436"/>
      <c r="AR60" s="436" t="e">
        <f t="shared" si="36"/>
        <v>#N/A</v>
      </c>
      <c r="AS60" s="605"/>
      <c r="AT60" s="436"/>
      <c r="AU60" s="436"/>
      <c r="AV60" s="436"/>
      <c r="AW60" s="436" t="e">
        <f t="shared" si="38"/>
        <v>#N/A</v>
      </c>
      <c r="AX60" s="605"/>
    </row>
    <row r="61" spans="2:50">
      <c r="B61" s="572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42"/>
      <c r="M61" s="445" t="e">
        <f>RANK(K61, K$47:$K$61)</f>
        <v>#N/A</v>
      </c>
      <c r="N61" s="559"/>
      <c r="O61" s="559"/>
      <c r="P61" s="436"/>
      <c r="Q61" s="436"/>
      <c r="R61" s="436"/>
      <c r="S61" s="436" t="e">
        <f t="shared" si="40"/>
        <v>#N/A</v>
      </c>
      <c r="T61" s="605"/>
      <c r="U61" s="436"/>
      <c r="V61" s="436"/>
      <c r="W61" s="436"/>
      <c r="X61" s="436" t="e">
        <f t="shared" si="28"/>
        <v>#N/A</v>
      </c>
      <c r="Y61" s="605"/>
      <c r="Z61" s="436"/>
      <c r="AA61" s="436"/>
      <c r="AB61" s="436"/>
      <c r="AC61" s="436" t="e">
        <f t="shared" si="30"/>
        <v>#N/A</v>
      </c>
      <c r="AD61" s="605"/>
      <c r="AE61" s="436"/>
      <c r="AF61" s="436"/>
      <c r="AG61" s="436"/>
      <c r="AH61" s="436" t="e">
        <f t="shared" si="32"/>
        <v>#N/A</v>
      </c>
      <c r="AI61" s="605"/>
      <c r="AJ61" s="436"/>
      <c r="AK61" s="436"/>
      <c r="AL61" s="436"/>
      <c r="AM61" s="436" t="e">
        <f t="shared" si="34"/>
        <v>#N/A</v>
      </c>
      <c r="AN61" s="605"/>
      <c r="AO61" s="436"/>
      <c r="AP61" s="436"/>
      <c r="AQ61" s="436"/>
      <c r="AR61" s="436" t="e">
        <f t="shared" si="36"/>
        <v>#N/A</v>
      </c>
      <c r="AS61" s="605"/>
      <c r="AT61" s="436"/>
      <c r="AU61" s="436"/>
      <c r="AV61" s="436"/>
      <c r="AW61" s="436" t="e">
        <f t="shared" si="38"/>
        <v>#N/A</v>
      </c>
      <c r="AX61" s="605"/>
    </row>
    <row r="62" spans="2:50" ht="15.75">
      <c r="B62" s="576" t="s">
        <v>731</v>
      </c>
      <c r="C62" s="577"/>
      <c r="D62" s="577"/>
      <c r="E62" s="577"/>
      <c r="F62" s="577"/>
      <c r="G62" s="577"/>
      <c r="H62" s="578"/>
      <c r="I62" s="208"/>
      <c r="J62" s="208"/>
      <c r="K62" s="208"/>
      <c r="L62" s="208"/>
      <c r="M62" s="207"/>
      <c r="N62" s="565" t="s">
        <v>732</v>
      </c>
      <c r="O62" s="565" t="s">
        <v>733</v>
      </c>
      <c r="P62" s="571">
        <f>P42+7</f>
        <v>46407</v>
      </c>
      <c r="Q62" s="572"/>
      <c r="R62" s="572"/>
      <c r="S62" s="572"/>
      <c r="T62" s="572"/>
      <c r="U62" s="568">
        <f>P62+1</f>
        <v>46408</v>
      </c>
      <c r="V62" s="569"/>
      <c r="W62" s="569"/>
      <c r="X62" s="569"/>
      <c r="Y62" s="570"/>
      <c r="Z62" s="568">
        <f>U62+1</f>
        <v>46409</v>
      </c>
      <c r="AA62" s="569"/>
      <c r="AB62" s="569"/>
      <c r="AC62" s="569"/>
      <c r="AD62" s="570"/>
      <c r="AE62" s="568">
        <f>Z62+1</f>
        <v>46410</v>
      </c>
      <c r="AF62" s="569"/>
      <c r="AG62" s="569"/>
      <c r="AH62" s="569"/>
      <c r="AI62" s="570"/>
      <c r="AJ62" s="568">
        <f>AE62+1</f>
        <v>46411</v>
      </c>
      <c r="AK62" s="569"/>
      <c r="AL62" s="569"/>
      <c r="AM62" s="569"/>
      <c r="AN62" s="570"/>
      <c r="AO62" s="568">
        <f>AJ62+1</f>
        <v>46412</v>
      </c>
      <c r="AP62" s="569"/>
      <c r="AQ62" s="569"/>
      <c r="AR62" s="569"/>
      <c r="AS62" s="570"/>
      <c r="AT62" s="568">
        <f>AO62+1</f>
        <v>46413</v>
      </c>
      <c r="AU62" s="569"/>
      <c r="AV62" s="569"/>
      <c r="AW62" s="569"/>
      <c r="AX62" s="570"/>
    </row>
    <row r="63" spans="2:50" ht="15.75">
      <c r="B63" s="579"/>
      <c r="C63" s="579"/>
      <c r="D63" s="579"/>
      <c r="E63" s="579"/>
      <c r="F63" s="579"/>
      <c r="G63" s="579"/>
      <c r="H63" s="579"/>
      <c r="I63" s="205"/>
      <c r="J63" s="205"/>
      <c r="K63" s="205"/>
      <c r="L63" s="205"/>
      <c r="M63" s="206"/>
      <c r="N63" s="567"/>
      <c r="O63" s="567"/>
      <c r="P63" s="571" t="s">
        <v>734</v>
      </c>
      <c r="Q63" s="572"/>
      <c r="R63" s="572"/>
      <c r="S63" s="572"/>
      <c r="T63" s="572"/>
      <c r="U63" s="571" t="s">
        <v>735</v>
      </c>
      <c r="V63" s="572"/>
      <c r="W63" s="572"/>
      <c r="X63" s="572"/>
      <c r="Y63" s="572"/>
      <c r="Z63" s="571" t="s">
        <v>736</v>
      </c>
      <c r="AA63" s="572"/>
      <c r="AB63" s="572"/>
      <c r="AC63" s="572"/>
      <c r="AD63" s="572"/>
      <c r="AE63" s="571" t="s">
        <v>737</v>
      </c>
      <c r="AF63" s="572"/>
      <c r="AG63" s="572"/>
      <c r="AH63" s="572"/>
      <c r="AI63" s="572"/>
      <c r="AJ63" s="571" t="s">
        <v>738</v>
      </c>
      <c r="AK63" s="572"/>
      <c r="AL63" s="572"/>
      <c r="AM63" s="572"/>
      <c r="AN63" s="572"/>
      <c r="AO63" s="571" t="s">
        <v>739</v>
      </c>
      <c r="AP63" s="572"/>
      <c r="AQ63" s="572"/>
      <c r="AR63" s="572"/>
      <c r="AS63" s="572"/>
      <c r="AT63" s="571" t="s">
        <v>740</v>
      </c>
      <c r="AU63" s="572"/>
      <c r="AV63" s="572"/>
      <c r="AW63" s="572"/>
      <c r="AX63" s="572"/>
    </row>
    <row r="64" spans="2:50">
      <c r="B64" s="559" t="s">
        <v>741</v>
      </c>
      <c r="C64" s="559" t="s">
        <v>742</v>
      </c>
      <c r="D64" s="559"/>
      <c r="E64" s="559" t="s">
        <v>743</v>
      </c>
      <c r="F64" s="559"/>
      <c r="G64" s="559"/>
      <c r="H64" s="560" t="s">
        <v>744</v>
      </c>
      <c r="I64" s="543" t="s">
        <v>745</v>
      </c>
      <c r="J64" s="543"/>
      <c r="K64" s="543"/>
      <c r="L64" s="544" t="s">
        <v>744</v>
      </c>
      <c r="M64" s="550" t="s">
        <v>746</v>
      </c>
      <c r="N64" s="559"/>
      <c r="O64" s="559" t="s">
        <v>747</v>
      </c>
      <c r="P64" s="556" t="s">
        <v>748</v>
      </c>
      <c r="Q64" s="557"/>
      <c r="R64" s="557"/>
      <c r="S64" s="558"/>
      <c r="T64" s="559" t="s">
        <v>744</v>
      </c>
      <c r="U64" s="556" t="s">
        <v>748</v>
      </c>
      <c r="V64" s="557"/>
      <c r="W64" s="557"/>
      <c r="X64" s="558"/>
      <c r="Y64" s="559" t="s">
        <v>744</v>
      </c>
      <c r="Z64" s="556" t="s">
        <v>748</v>
      </c>
      <c r="AA64" s="557"/>
      <c r="AB64" s="557"/>
      <c r="AC64" s="558"/>
      <c r="AD64" s="559" t="s">
        <v>744</v>
      </c>
      <c r="AE64" s="556" t="s">
        <v>748</v>
      </c>
      <c r="AF64" s="557"/>
      <c r="AG64" s="557"/>
      <c r="AH64" s="558"/>
      <c r="AI64" s="559" t="s">
        <v>744</v>
      </c>
      <c r="AJ64" s="556" t="s">
        <v>748</v>
      </c>
      <c r="AK64" s="557"/>
      <c r="AL64" s="557"/>
      <c r="AM64" s="558"/>
      <c r="AN64" s="559" t="s">
        <v>744</v>
      </c>
      <c r="AO64" s="556" t="s">
        <v>748</v>
      </c>
      <c r="AP64" s="557"/>
      <c r="AQ64" s="557"/>
      <c r="AR64" s="558"/>
      <c r="AS64" s="559" t="s">
        <v>744</v>
      </c>
      <c r="AT64" s="556" t="s">
        <v>748</v>
      </c>
      <c r="AU64" s="557"/>
      <c r="AV64" s="557"/>
      <c r="AW64" s="558"/>
      <c r="AX64" s="559" t="s">
        <v>744</v>
      </c>
    </row>
    <row r="65" spans="2:50">
      <c r="B65" s="559"/>
      <c r="C65" s="559"/>
      <c r="D65" s="559"/>
      <c r="E65" s="559" t="s">
        <v>749</v>
      </c>
      <c r="F65" s="559"/>
      <c r="G65" s="559"/>
      <c r="H65" s="561"/>
      <c r="I65" s="543" t="s">
        <v>749</v>
      </c>
      <c r="J65" s="543"/>
      <c r="K65" s="543"/>
      <c r="L65" s="545"/>
      <c r="M65" s="551"/>
      <c r="N65" s="559"/>
      <c r="O65" s="559"/>
      <c r="P65" s="556" t="s">
        <v>750</v>
      </c>
      <c r="Q65" s="557"/>
      <c r="R65" s="557"/>
      <c r="S65" s="558"/>
      <c r="T65" s="559"/>
      <c r="U65" s="556" t="s">
        <v>750</v>
      </c>
      <c r="V65" s="557"/>
      <c r="W65" s="557"/>
      <c r="X65" s="558"/>
      <c r="Y65" s="559"/>
      <c r="Z65" s="556" t="s">
        <v>750</v>
      </c>
      <c r="AA65" s="557"/>
      <c r="AB65" s="557"/>
      <c r="AC65" s="558"/>
      <c r="AD65" s="559"/>
      <c r="AE65" s="556" t="s">
        <v>750</v>
      </c>
      <c r="AF65" s="557"/>
      <c r="AG65" s="557"/>
      <c r="AH65" s="558"/>
      <c r="AI65" s="559"/>
      <c r="AJ65" s="556" t="s">
        <v>750</v>
      </c>
      <c r="AK65" s="557"/>
      <c r="AL65" s="557"/>
      <c r="AM65" s="558"/>
      <c r="AN65" s="559"/>
      <c r="AO65" s="556" t="s">
        <v>750</v>
      </c>
      <c r="AP65" s="557"/>
      <c r="AQ65" s="557"/>
      <c r="AR65" s="558"/>
      <c r="AS65" s="559"/>
      <c r="AT65" s="556" t="s">
        <v>750</v>
      </c>
      <c r="AU65" s="557"/>
      <c r="AV65" s="557"/>
      <c r="AW65" s="558"/>
      <c r="AX65" s="559"/>
    </row>
    <row r="66" spans="2:50">
      <c r="B66" s="559"/>
      <c r="C66" s="559"/>
      <c r="D66" s="559"/>
      <c r="E66" s="440" t="s">
        <v>751</v>
      </c>
      <c r="F66" s="440" t="s">
        <v>752</v>
      </c>
      <c r="G66" s="440" t="s">
        <v>753</v>
      </c>
      <c r="H66" s="562"/>
      <c r="I66" s="444" t="s">
        <v>751</v>
      </c>
      <c r="J66" s="444" t="s">
        <v>752</v>
      </c>
      <c r="K66" s="444" t="s">
        <v>753</v>
      </c>
      <c r="L66" s="546"/>
      <c r="M66" s="552"/>
      <c r="N66" s="559"/>
      <c r="O66" s="559"/>
      <c r="P66" s="440" t="s">
        <v>751</v>
      </c>
      <c r="Q66" s="440" t="s">
        <v>752</v>
      </c>
      <c r="R66" s="440" t="s">
        <v>753</v>
      </c>
      <c r="S66" s="440" t="s">
        <v>746</v>
      </c>
      <c r="T66" s="559"/>
      <c r="U66" s="440" t="s">
        <v>751</v>
      </c>
      <c r="V66" s="440" t="s">
        <v>752</v>
      </c>
      <c r="W66" s="440" t="s">
        <v>753</v>
      </c>
      <c r="X66" s="440" t="s">
        <v>746</v>
      </c>
      <c r="Y66" s="559"/>
      <c r="Z66" s="440" t="s">
        <v>751</v>
      </c>
      <c r="AA66" s="440" t="s">
        <v>752</v>
      </c>
      <c r="AB66" s="440" t="s">
        <v>753</v>
      </c>
      <c r="AC66" s="440" t="s">
        <v>746</v>
      </c>
      <c r="AD66" s="559"/>
      <c r="AE66" s="440" t="s">
        <v>751</v>
      </c>
      <c r="AF66" s="440" t="s">
        <v>752</v>
      </c>
      <c r="AG66" s="440" t="s">
        <v>753</v>
      </c>
      <c r="AH66" s="440" t="s">
        <v>746</v>
      </c>
      <c r="AI66" s="559"/>
      <c r="AJ66" s="440" t="s">
        <v>751</v>
      </c>
      <c r="AK66" s="440" t="s">
        <v>752</v>
      </c>
      <c r="AL66" s="440" t="s">
        <v>753</v>
      </c>
      <c r="AM66" s="440" t="s">
        <v>746</v>
      </c>
      <c r="AN66" s="559"/>
      <c r="AO66" s="440" t="s">
        <v>751</v>
      </c>
      <c r="AP66" s="440" t="s">
        <v>752</v>
      </c>
      <c r="AQ66" s="440" t="s">
        <v>753</v>
      </c>
      <c r="AR66" s="440" t="s">
        <v>746</v>
      </c>
      <c r="AS66" s="559"/>
      <c r="AT66" s="440" t="s">
        <v>751</v>
      </c>
      <c r="AU66" s="440" t="s">
        <v>752</v>
      </c>
      <c r="AV66" s="440" t="s">
        <v>753</v>
      </c>
      <c r="AW66" s="440" t="s">
        <v>746</v>
      </c>
      <c r="AX66" s="559"/>
    </row>
    <row r="67" spans="2:50">
      <c r="B67" s="559" t="s">
        <v>786</v>
      </c>
      <c r="C67" s="436">
        <v>1</v>
      </c>
      <c r="D67" s="226" t="s">
        <v>787</v>
      </c>
      <c r="E67" s="182">
        <v>13</v>
      </c>
      <c r="F67" s="436">
        <v>1500</v>
      </c>
      <c r="G67" s="437">
        <v>115.38461538461539</v>
      </c>
      <c r="H67" s="608">
        <f>AVERAGE(G67:G81)</f>
        <v>115.38461538461539</v>
      </c>
      <c r="I67" s="446">
        <f t="shared" ref="I67:K67" si="41">AVERAGE(P67,U67,Z67,AE67,AJ67,AO67,AT67)</f>
        <v>13</v>
      </c>
      <c r="J67" s="446">
        <f t="shared" si="41"/>
        <v>1497.07032967033</v>
      </c>
      <c r="K67" s="438">
        <f t="shared" si="41"/>
        <v>115.15925612848693</v>
      </c>
      <c r="L67" s="540">
        <f>IFERROR(AVERAGE(K67:K81),"-")</f>
        <v>115.15925612848693</v>
      </c>
      <c r="M67" s="445">
        <f>RANK(K67, K$67:$K$81)</f>
        <v>1</v>
      </c>
      <c r="N67" s="559"/>
      <c r="O67" s="559"/>
      <c r="P67" s="182">
        <v>13</v>
      </c>
      <c r="Q67" s="182">
        <v>1465.8461538461554</v>
      </c>
      <c r="R67" s="437">
        <v>112.75739644970426</v>
      </c>
      <c r="S67" s="436">
        <f>RANK(R67, R$67:R$81)</f>
        <v>1</v>
      </c>
      <c r="T67" s="605">
        <f>AVERAGE(R67:R81)</f>
        <v>112.75739644970426</v>
      </c>
      <c r="U67" s="182">
        <v>13</v>
      </c>
      <c r="V67" s="182">
        <v>1465.8461538461554</v>
      </c>
      <c r="W67" s="437">
        <v>112.75739644970426</v>
      </c>
      <c r="X67" s="436">
        <f t="shared" ref="X67:X81" si="42">RANK(W67, W$67:W$81)</f>
        <v>1</v>
      </c>
      <c r="Y67" s="605">
        <f t="shared" ref="Y67" si="43">AVERAGE(W67:W81)</f>
        <v>112.75739644970426</v>
      </c>
      <c r="Z67" s="182">
        <v>13</v>
      </c>
      <c r="AA67" s="182">
        <v>1372.8000000000004</v>
      </c>
      <c r="AB67" s="437">
        <v>105.60000000000004</v>
      </c>
      <c r="AC67" s="436">
        <f t="shared" ref="AC67:AC81" si="44">RANK(AB67, AB$67:AB$81)</f>
        <v>1</v>
      </c>
      <c r="AD67" s="605">
        <f t="shared" ref="AD67" si="45">AVERAGE(AB67:AB81)</f>
        <v>105.60000000000004</v>
      </c>
      <c r="AE67" s="182">
        <v>13</v>
      </c>
      <c r="AF67" s="182">
        <v>1600.0000000000016</v>
      </c>
      <c r="AG67" s="437">
        <v>123.07692307692319</v>
      </c>
      <c r="AH67" s="436">
        <f t="shared" ref="AH67:AH81" si="46">RANK(AG67, AG$67:AG$81)</f>
        <v>1</v>
      </c>
      <c r="AI67" s="605">
        <f t="shared" ref="AI67" si="47">AVERAGE(AG67:AG81)</f>
        <v>123.07692307692319</v>
      </c>
      <c r="AJ67" s="182">
        <v>13</v>
      </c>
      <c r="AK67" s="182">
        <v>1421.9999999999975</v>
      </c>
      <c r="AL67" s="437">
        <v>109.38461538461519</v>
      </c>
      <c r="AM67" s="436">
        <f t="shared" ref="AM67:AM81" si="48">RANK(AL67, AL$67:AL$81)</f>
        <v>1</v>
      </c>
      <c r="AN67" s="605">
        <f t="shared" ref="AN67" si="49">AVERAGE(AL67:AL81)</f>
        <v>109.38461538461519</v>
      </c>
      <c r="AO67" s="182">
        <v>13</v>
      </c>
      <c r="AP67" s="182">
        <v>1534.4999999999995</v>
      </c>
      <c r="AQ67" s="437">
        <v>118.0384615384615</v>
      </c>
      <c r="AR67" s="436">
        <f t="shared" ref="AR67:AR81" si="50">RANK(AQ67, AQ$67:AQ$81)</f>
        <v>1</v>
      </c>
      <c r="AS67" s="605">
        <f t="shared" ref="AS67" si="51">AVERAGE(AQ67:AQ81)</f>
        <v>118.0384615384615</v>
      </c>
      <c r="AT67" s="182">
        <v>13</v>
      </c>
      <c r="AU67" s="182">
        <v>1618.4999999999995</v>
      </c>
      <c r="AV67" s="437">
        <v>124.49999999999997</v>
      </c>
      <c r="AW67" s="436">
        <f t="shared" ref="AW67:AW81" si="52">RANK(AV67, AV$67:AV$81)</f>
        <v>1</v>
      </c>
      <c r="AX67" s="605">
        <f t="shared" ref="AX67" si="53">AVERAGE(AV67:AV81)</f>
        <v>124.49999999999997</v>
      </c>
    </row>
    <row r="68" spans="2:50">
      <c r="B68" s="572"/>
      <c r="C68" s="436">
        <v>2</v>
      </c>
      <c r="D68" s="226"/>
      <c r="E68" s="182"/>
      <c r="F68" s="436"/>
      <c r="G68" s="437"/>
      <c r="H68" s="609"/>
      <c r="I68" s="446"/>
      <c r="J68" s="446"/>
      <c r="K68" s="438"/>
      <c r="L68" s="541"/>
      <c r="M68" s="445" t="e">
        <f>RANK(K68, K$67:$K$81)</f>
        <v>#N/A</v>
      </c>
      <c r="N68" s="559"/>
      <c r="O68" s="559"/>
      <c r="P68" s="436"/>
      <c r="Q68" s="182"/>
      <c r="R68" s="437"/>
      <c r="S68" s="436" t="e">
        <f t="shared" ref="S68:S81" si="54">RANK(R68, R$67:R$81)</f>
        <v>#N/A</v>
      </c>
      <c r="T68" s="605"/>
      <c r="U68" s="436"/>
      <c r="V68" s="182"/>
      <c r="W68" s="437"/>
      <c r="X68" s="436" t="e">
        <f t="shared" si="42"/>
        <v>#N/A</v>
      </c>
      <c r="Y68" s="605"/>
      <c r="Z68" s="436"/>
      <c r="AA68" s="182"/>
      <c r="AB68" s="437"/>
      <c r="AC68" s="436" t="e">
        <f t="shared" si="44"/>
        <v>#N/A</v>
      </c>
      <c r="AD68" s="605"/>
      <c r="AE68" s="436"/>
      <c r="AF68" s="182"/>
      <c r="AG68" s="437"/>
      <c r="AH68" s="436" t="e">
        <f t="shared" si="46"/>
        <v>#N/A</v>
      </c>
      <c r="AI68" s="605"/>
      <c r="AJ68" s="436"/>
      <c r="AK68" s="182"/>
      <c r="AL68" s="437"/>
      <c r="AM68" s="436" t="e">
        <f t="shared" si="48"/>
        <v>#N/A</v>
      </c>
      <c r="AN68" s="605"/>
      <c r="AO68" s="436"/>
      <c r="AP68" s="182"/>
      <c r="AQ68" s="437"/>
      <c r="AR68" s="436" t="e">
        <f t="shared" si="50"/>
        <v>#N/A</v>
      </c>
      <c r="AS68" s="605"/>
      <c r="AT68" s="436"/>
      <c r="AU68" s="182"/>
      <c r="AV68" s="437"/>
      <c r="AW68" s="436" t="e">
        <f t="shared" si="52"/>
        <v>#N/A</v>
      </c>
      <c r="AX68" s="605"/>
    </row>
    <row r="69" spans="2:50">
      <c r="B69" s="572"/>
      <c r="C69" s="436">
        <v>3</v>
      </c>
      <c r="D69" s="226"/>
      <c r="E69" s="182"/>
      <c r="F69" s="436"/>
      <c r="G69" s="437"/>
      <c r="H69" s="609"/>
      <c r="I69" s="446"/>
      <c r="J69" s="446"/>
      <c r="K69" s="438"/>
      <c r="L69" s="541"/>
      <c r="M69" s="445" t="e">
        <f>RANK(K69, K$67:$K$81)</f>
        <v>#N/A</v>
      </c>
      <c r="N69" s="559"/>
      <c r="O69" s="559"/>
      <c r="P69" s="436"/>
      <c r="Q69" s="436"/>
      <c r="R69" s="436"/>
      <c r="S69" s="436" t="e">
        <f t="shared" si="54"/>
        <v>#N/A</v>
      </c>
      <c r="T69" s="605"/>
      <c r="U69" s="436"/>
      <c r="V69" s="436"/>
      <c r="W69" s="436"/>
      <c r="X69" s="436" t="e">
        <f t="shared" si="42"/>
        <v>#N/A</v>
      </c>
      <c r="Y69" s="605"/>
      <c r="Z69" s="436"/>
      <c r="AA69" s="436"/>
      <c r="AB69" s="436"/>
      <c r="AC69" s="436" t="e">
        <f t="shared" si="44"/>
        <v>#N/A</v>
      </c>
      <c r="AD69" s="605"/>
      <c r="AE69" s="436"/>
      <c r="AF69" s="436"/>
      <c r="AG69" s="436"/>
      <c r="AH69" s="436" t="e">
        <f t="shared" si="46"/>
        <v>#N/A</v>
      </c>
      <c r="AI69" s="605"/>
      <c r="AJ69" s="436"/>
      <c r="AK69" s="436"/>
      <c r="AL69" s="436"/>
      <c r="AM69" s="436" t="e">
        <f t="shared" si="48"/>
        <v>#N/A</v>
      </c>
      <c r="AN69" s="605"/>
      <c r="AO69" s="436"/>
      <c r="AP69" s="436"/>
      <c r="AQ69" s="436"/>
      <c r="AR69" s="436" t="e">
        <f t="shared" si="50"/>
        <v>#N/A</v>
      </c>
      <c r="AS69" s="605"/>
      <c r="AT69" s="436"/>
      <c r="AU69" s="436"/>
      <c r="AV69" s="436"/>
      <c r="AW69" s="436" t="e">
        <f t="shared" si="52"/>
        <v>#N/A</v>
      </c>
      <c r="AX69" s="605"/>
    </row>
    <row r="70" spans="2:50">
      <c r="B70" s="572"/>
      <c r="C70" s="436">
        <v>4</v>
      </c>
      <c r="D70" s="226"/>
      <c r="E70" s="182"/>
      <c r="F70" s="436"/>
      <c r="G70" s="437"/>
      <c r="H70" s="609"/>
      <c r="I70" s="446"/>
      <c r="J70" s="446"/>
      <c r="K70" s="438"/>
      <c r="L70" s="541"/>
      <c r="M70" s="445" t="e">
        <f>RANK(K70, K$67:$K$81)</f>
        <v>#N/A</v>
      </c>
      <c r="N70" s="559"/>
      <c r="O70" s="559"/>
      <c r="P70" s="436"/>
      <c r="Q70" s="436"/>
      <c r="R70" s="436"/>
      <c r="S70" s="436" t="e">
        <f t="shared" si="54"/>
        <v>#N/A</v>
      </c>
      <c r="T70" s="605"/>
      <c r="U70" s="436"/>
      <c r="V70" s="436"/>
      <c r="W70" s="436"/>
      <c r="X70" s="436" t="e">
        <f t="shared" si="42"/>
        <v>#N/A</v>
      </c>
      <c r="Y70" s="605"/>
      <c r="Z70" s="436"/>
      <c r="AA70" s="436"/>
      <c r="AB70" s="436"/>
      <c r="AC70" s="436" t="e">
        <f t="shared" si="44"/>
        <v>#N/A</v>
      </c>
      <c r="AD70" s="605"/>
      <c r="AE70" s="436"/>
      <c r="AF70" s="436"/>
      <c r="AG70" s="436"/>
      <c r="AH70" s="436" t="e">
        <f t="shared" si="46"/>
        <v>#N/A</v>
      </c>
      <c r="AI70" s="605"/>
      <c r="AJ70" s="436"/>
      <c r="AK70" s="436"/>
      <c r="AL70" s="436"/>
      <c r="AM70" s="436" t="e">
        <f t="shared" si="48"/>
        <v>#N/A</v>
      </c>
      <c r="AN70" s="605"/>
      <c r="AO70" s="436"/>
      <c r="AP70" s="436"/>
      <c r="AQ70" s="436"/>
      <c r="AR70" s="436" t="e">
        <f t="shared" si="50"/>
        <v>#N/A</v>
      </c>
      <c r="AS70" s="605"/>
      <c r="AT70" s="436"/>
      <c r="AU70" s="436"/>
      <c r="AV70" s="436"/>
      <c r="AW70" s="436" t="e">
        <f t="shared" si="52"/>
        <v>#N/A</v>
      </c>
      <c r="AX70" s="605"/>
    </row>
    <row r="71" spans="2:50">
      <c r="B71" s="572"/>
      <c r="C71" s="436">
        <v>5</v>
      </c>
      <c r="D71" s="226"/>
      <c r="E71" s="182"/>
      <c r="F71" s="436"/>
      <c r="G71" s="437"/>
      <c r="H71" s="609"/>
      <c r="I71" s="446"/>
      <c r="J71" s="446"/>
      <c r="K71" s="438"/>
      <c r="L71" s="541"/>
      <c r="M71" s="445" t="e">
        <f>RANK(K71, K$67:$K$81)</f>
        <v>#N/A</v>
      </c>
      <c r="N71" s="559"/>
      <c r="O71" s="559"/>
      <c r="P71" s="436"/>
      <c r="Q71" s="436"/>
      <c r="R71" s="436"/>
      <c r="S71" s="436" t="e">
        <f t="shared" si="54"/>
        <v>#N/A</v>
      </c>
      <c r="T71" s="605"/>
      <c r="U71" s="436"/>
      <c r="V71" s="436"/>
      <c r="W71" s="436"/>
      <c r="X71" s="436" t="e">
        <f t="shared" si="42"/>
        <v>#N/A</v>
      </c>
      <c r="Y71" s="605"/>
      <c r="Z71" s="436"/>
      <c r="AA71" s="436"/>
      <c r="AB71" s="436"/>
      <c r="AC71" s="436" t="e">
        <f t="shared" si="44"/>
        <v>#N/A</v>
      </c>
      <c r="AD71" s="605"/>
      <c r="AE71" s="436"/>
      <c r="AF71" s="436"/>
      <c r="AG71" s="436"/>
      <c r="AH71" s="436" t="e">
        <f t="shared" si="46"/>
        <v>#N/A</v>
      </c>
      <c r="AI71" s="605"/>
      <c r="AJ71" s="436"/>
      <c r="AK71" s="436"/>
      <c r="AL71" s="436"/>
      <c r="AM71" s="436" t="e">
        <f t="shared" si="48"/>
        <v>#N/A</v>
      </c>
      <c r="AN71" s="605"/>
      <c r="AO71" s="436"/>
      <c r="AP71" s="436"/>
      <c r="AQ71" s="436"/>
      <c r="AR71" s="436" t="e">
        <f t="shared" si="50"/>
        <v>#N/A</v>
      </c>
      <c r="AS71" s="605"/>
      <c r="AT71" s="436"/>
      <c r="AU71" s="436"/>
      <c r="AV71" s="436"/>
      <c r="AW71" s="436" t="e">
        <f t="shared" si="52"/>
        <v>#N/A</v>
      </c>
      <c r="AX71" s="605"/>
    </row>
    <row r="72" spans="2:50">
      <c r="B72" s="572"/>
      <c r="C72" s="436">
        <v>6</v>
      </c>
      <c r="D72" s="226"/>
      <c r="E72" s="182"/>
      <c r="F72" s="436"/>
      <c r="G72" s="437"/>
      <c r="H72" s="609"/>
      <c r="I72" s="446"/>
      <c r="J72" s="446"/>
      <c r="K72" s="438"/>
      <c r="L72" s="541"/>
      <c r="M72" s="445" t="e">
        <f>RANK(K72, K$67:$K$81)</f>
        <v>#N/A</v>
      </c>
      <c r="N72" s="559"/>
      <c r="O72" s="559"/>
      <c r="P72" s="436"/>
      <c r="Q72" s="436"/>
      <c r="R72" s="436"/>
      <c r="S72" s="436" t="e">
        <f t="shared" si="54"/>
        <v>#N/A</v>
      </c>
      <c r="T72" s="605"/>
      <c r="U72" s="436"/>
      <c r="V72" s="436"/>
      <c r="W72" s="436"/>
      <c r="X72" s="436" t="e">
        <f t="shared" si="42"/>
        <v>#N/A</v>
      </c>
      <c r="Y72" s="605"/>
      <c r="Z72" s="436"/>
      <c r="AA72" s="436"/>
      <c r="AB72" s="436"/>
      <c r="AC72" s="436" t="e">
        <f t="shared" si="44"/>
        <v>#N/A</v>
      </c>
      <c r="AD72" s="605"/>
      <c r="AE72" s="436"/>
      <c r="AF72" s="436"/>
      <c r="AG72" s="436"/>
      <c r="AH72" s="436" t="e">
        <f t="shared" si="46"/>
        <v>#N/A</v>
      </c>
      <c r="AI72" s="605"/>
      <c r="AJ72" s="436"/>
      <c r="AK72" s="436"/>
      <c r="AL72" s="436"/>
      <c r="AM72" s="436" t="e">
        <f t="shared" si="48"/>
        <v>#N/A</v>
      </c>
      <c r="AN72" s="605"/>
      <c r="AO72" s="436"/>
      <c r="AP72" s="436"/>
      <c r="AQ72" s="436"/>
      <c r="AR72" s="436" t="e">
        <f t="shared" si="50"/>
        <v>#N/A</v>
      </c>
      <c r="AS72" s="605"/>
      <c r="AT72" s="436"/>
      <c r="AU72" s="436"/>
      <c r="AV72" s="436"/>
      <c r="AW72" s="436" t="e">
        <f t="shared" si="52"/>
        <v>#N/A</v>
      </c>
      <c r="AX72" s="605"/>
    </row>
    <row r="73" spans="2:50">
      <c r="B73" s="572"/>
      <c r="C73" s="436">
        <v>7</v>
      </c>
      <c r="D73" s="226"/>
      <c r="E73" s="182"/>
      <c r="F73" s="436"/>
      <c r="G73" s="437"/>
      <c r="H73" s="609"/>
      <c r="I73" s="446"/>
      <c r="J73" s="446"/>
      <c r="K73" s="438"/>
      <c r="L73" s="541"/>
      <c r="M73" s="445" t="e">
        <f>RANK(K73, K$67:$K$81)</f>
        <v>#N/A</v>
      </c>
      <c r="N73" s="559"/>
      <c r="O73" s="559"/>
      <c r="P73" s="436"/>
      <c r="Q73" s="436"/>
      <c r="R73" s="436"/>
      <c r="S73" s="436" t="e">
        <f t="shared" si="54"/>
        <v>#N/A</v>
      </c>
      <c r="T73" s="605"/>
      <c r="U73" s="436"/>
      <c r="V73" s="436"/>
      <c r="W73" s="436"/>
      <c r="X73" s="436" t="e">
        <f t="shared" si="42"/>
        <v>#N/A</v>
      </c>
      <c r="Y73" s="605"/>
      <c r="Z73" s="436"/>
      <c r="AA73" s="436"/>
      <c r="AB73" s="436"/>
      <c r="AC73" s="436" t="e">
        <f t="shared" si="44"/>
        <v>#N/A</v>
      </c>
      <c r="AD73" s="605"/>
      <c r="AE73" s="436"/>
      <c r="AF73" s="436"/>
      <c r="AG73" s="436"/>
      <c r="AH73" s="436" t="e">
        <f t="shared" si="46"/>
        <v>#N/A</v>
      </c>
      <c r="AI73" s="605"/>
      <c r="AJ73" s="436"/>
      <c r="AK73" s="436"/>
      <c r="AL73" s="436"/>
      <c r="AM73" s="436" t="e">
        <f t="shared" si="48"/>
        <v>#N/A</v>
      </c>
      <c r="AN73" s="605"/>
      <c r="AO73" s="436"/>
      <c r="AP73" s="436"/>
      <c r="AQ73" s="436"/>
      <c r="AR73" s="436" t="e">
        <f t="shared" si="50"/>
        <v>#N/A</v>
      </c>
      <c r="AS73" s="605"/>
      <c r="AT73" s="436"/>
      <c r="AU73" s="436"/>
      <c r="AV73" s="436"/>
      <c r="AW73" s="436" t="e">
        <f t="shared" si="52"/>
        <v>#N/A</v>
      </c>
      <c r="AX73" s="605"/>
    </row>
    <row r="74" spans="2:50">
      <c r="B74" s="572"/>
      <c r="C74" s="436">
        <v>8</v>
      </c>
      <c r="D74" s="226"/>
      <c r="E74" s="182"/>
      <c r="F74" s="436"/>
      <c r="G74" s="437"/>
      <c r="H74" s="609"/>
      <c r="I74" s="446"/>
      <c r="J74" s="446"/>
      <c r="K74" s="438"/>
      <c r="L74" s="541"/>
      <c r="M74" s="445" t="e">
        <f>RANK(K74, K$67:$K$81)</f>
        <v>#N/A</v>
      </c>
      <c r="N74" s="559"/>
      <c r="O74" s="559"/>
      <c r="P74" s="436"/>
      <c r="Q74" s="436"/>
      <c r="R74" s="436"/>
      <c r="S74" s="436" t="e">
        <f t="shared" si="54"/>
        <v>#N/A</v>
      </c>
      <c r="T74" s="605"/>
      <c r="U74" s="436"/>
      <c r="V74" s="436"/>
      <c r="W74" s="436"/>
      <c r="X74" s="436" t="e">
        <f t="shared" si="42"/>
        <v>#N/A</v>
      </c>
      <c r="Y74" s="605"/>
      <c r="Z74" s="436"/>
      <c r="AA74" s="436"/>
      <c r="AB74" s="436"/>
      <c r="AC74" s="436" t="e">
        <f t="shared" si="44"/>
        <v>#N/A</v>
      </c>
      <c r="AD74" s="605"/>
      <c r="AE74" s="436"/>
      <c r="AF74" s="436"/>
      <c r="AG74" s="436"/>
      <c r="AH74" s="436" t="e">
        <f t="shared" si="46"/>
        <v>#N/A</v>
      </c>
      <c r="AI74" s="605"/>
      <c r="AJ74" s="436"/>
      <c r="AK74" s="436"/>
      <c r="AL74" s="436"/>
      <c r="AM74" s="436" t="e">
        <f t="shared" si="48"/>
        <v>#N/A</v>
      </c>
      <c r="AN74" s="605"/>
      <c r="AO74" s="436"/>
      <c r="AP74" s="436"/>
      <c r="AQ74" s="436"/>
      <c r="AR74" s="436" t="e">
        <f t="shared" si="50"/>
        <v>#N/A</v>
      </c>
      <c r="AS74" s="605"/>
      <c r="AT74" s="436"/>
      <c r="AU74" s="436"/>
      <c r="AV74" s="436"/>
      <c r="AW74" s="436" t="e">
        <f t="shared" si="52"/>
        <v>#N/A</v>
      </c>
      <c r="AX74" s="605"/>
    </row>
    <row r="75" spans="2:50">
      <c r="B75" s="572"/>
      <c r="C75" s="436">
        <v>9</v>
      </c>
      <c r="D75" s="226"/>
      <c r="E75" s="182"/>
      <c r="F75" s="436"/>
      <c r="G75" s="437"/>
      <c r="H75" s="609"/>
      <c r="I75" s="446"/>
      <c r="J75" s="446"/>
      <c r="K75" s="438"/>
      <c r="L75" s="541"/>
      <c r="M75" s="445" t="e">
        <f>RANK(K75, K$67:$K$81)</f>
        <v>#N/A</v>
      </c>
      <c r="N75" s="559"/>
      <c r="O75" s="559"/>
      <c r="P75" s="436"/>
      <c r="Q75" s="436"/>
      <c r="R75" s="436"/>
      <c r="S75" s="436" t="e">
        <f t="shared" si="54"/>
        <v>#N/A</v>
      </c>
      <c r="T75" s="605"/>
      <c r="U75" s="436"/>
      <c r="V75" s="436"/>
      <c r="W75" s="436"/>
      <c r="X75" s="436" t="e">
        <f t="shared" si="42"/>
        <v>#N/A</v>
      </c>
      <c r="Y75" s="605"/>
      <c r="Z75" s="436"/>
      <c r="AA75" s="436"/>
      <c r="AB75" s="436"/>
      <c r="AC75" s="436" t="e">
        <f t="shared" si="44"/>
        <v>#N/A</v>
      </c>
      <c r="AD75" s="605"/>
      <c r="AE75" s="436"/>
      <c r="AF75" s="436"/>
      <c r="AG75" s="436"/>
      <c r="AH75" s="436" t="e">
        <f t="shared" si="46"/>
        <v>#N/A</v>
      </c>
      <c r="AI75" s="605"/>
      <c r="AJ75" s="436"/>
      <c r="AK75" s="436"/>
      <c r="AL75" s="436"/>
      <c r="AM75" s="436" t="e">
        <f t="shared" si="48"/>
        <v>#N/A</v>
      </c>
      <c r="AN75" s="605"/>
      <c r="AO75" s="436"/>
      <c r="AP75" s="436"/>
      <c r="AQ75" s="436"/>
      <c r="AR75" s="436" t="e">
        <f t="shared" si="50"/>
        <v>#N/A</v>
      </c>
      <c r="AS75" s="605"/>
      <c r="AT75" s="436"/>
      <c r="AU75" s="436"/>
      <c r="AV75" s="436"/>
      <c r="AW75" s="436" t="e">
        <f t="shared" si="52"/>
        <v>#N/A</v>
      </c>
      <c r="AX75" s="605"/>
    </row>
    <row r="76" spans="2:50">
      <c r="B76" s="572"/>
      <c r="C76" s="436">
        <v>10</v>
      </c>
      <c r="D76" s="226"/>
      <c r="E76" s="182"/>
      <c r="F76" s="436"/>
      <c r="G76" s="437"/>
      <c r="H76" s="609"/>
      <c r="I76" s="446"/>
      <c r="J76" s="446"/>
      <c r="K76" s="438"/>
      <c r="L76" s="541"/>
      <c r="M76" s="445" t="e">
        <f>RANK(K76, K$67:$K$81)</f>
        <v>#N/A</v>
      </c>
      <c r="N76" s="559"/>
      <c r="O76" s="559"/>
      <c r="P76" s="436"/>
      <c r="Q76" s="436"/>
      <c r="R76" s="436"/>
      <c r="S76" s="436" t="e">
        <f t="shared" si="54"/>
        <v>#N/A</v>
      </c>
      <c r="T76" s="605"/>
      <c r="U76" s="436"/>
      <c r="V76" s="436"/>
      <c r="W76" s="436"/>
      <c r="X76" s="436" t="e">
        <f t="shared" si="42"/>
        <v>#N/A</v>
      </c>
      <c r="Y76" s="605"/>
      <c r="Z76" s="436"/>
      <c r="AA76" s="436"/>
      <c r="AB76" s="436"/>
      <c r="AC76" s="436" t="e">
        <f t="shared" si="44"/>
        <v>#N/A</v>
      </c>
      <c r="AD76" s="605"/>
      <c r="AE76" s="436"/>
      <c r="AF76" s="436"/>
      <c r="AG76" s="436"/>
      <c r="AH76" s="436" t="e">
        <f t="shared" si="46"/>
        <v>#N/A</v>
      </c>
      <c r="AI76" s="605"/>
      <c r="AJ76" s="436"/>
      <c r="AK76" s="436"/>
      <c r="AL76" s="436"/>
      <c r="AM76" s="436" t="e">
        <f t="shared" si="48"/>
        <v>#N/A</v>
      </c>
      <c r="AN76" s="605"/>
      <c r="AO76" s="436"/>
      <c r="AP76" s="436"/>
      <c r="AQ76" s="436"/>
      <c r="AR76" s="436" t="e">
        <f t="shared" si="50"/>
        <v>#N/A</v>
      </c>
      <c r="AS76" s="605"/>
      <c r="AT76" s="436"/>
      <c r="AU76" s="436"/>
      <c r="AV76" s="436"/>
      <c r="AW76" s="436" t="e">
        <f t="shared" si="52"/>
        <v>#N/A</v>
      </c>
      <c r="AX76" s="605"/>
    </row>
    <row r="77" spans="2:50">
      <c r="B77" s="572"/>
      <c r="C77" s="436">
        <v>11</v>
      </c>
      <c r="D77" s="226"/>
      <c r="E77" s="182"/>
      <c r="F77" s="436"/>
      <c r="G77" s="437"/>
      <c r="H77" s="609"/>
      <c r="I77" s="202"/>
      <c r="J77" s="202"/>
      <c r="K77" s="202"/>
      <c r="L77" s="541"/>
      <c r="M77" s="445" t="e">
        <f>RANK(K77, K$67:$K$81)</f>
        <v>#N/A</v>
      </c>
      <c r="N77" s="559"/>
      <c r="O77" s="559"/>
      <c r="P77" s="436"/>
      <c r="Q77" s="436"/>
      <c r="R77" s="436"/>
      <c r="S77" s="436" t="e">
        <f t="shared" si="54"/>
        <v>#N/A</v>
      </c>
      <c r="T77" s="605"/>
      <c r="U77" s="436"/>
      <c r="V77" s="436"/>
      <c r="W77" s="436"/>
      <c r="X77" s="436" t="e">
        <f t="shared" si="42"/>
        <v>#N/A</v>
      </c>
      <c r="Y77" s="605"/>
      <c r="Z77" s="436"/>
      <c r="AA77" s="436"/>
      <c r="AB77" s="436"/>
      <c r="AC77" s="436" t="e">
        <f t="shared" si="44"/>
        <v>#N/A</v>
      </c>
      <c r="AD77" s="605"/>
      <c r="AE77" s="436"/>
      <c r="AF77" s="436"/>
      <c r="AG77" s="436"/>
      <c r="AH77" s="436" t="e">
        <f t="shared" si="46"/>
        <v>#N/A</v>
      </c>
      <c r="AI77" s="605"/>
      <c r="AJ77" s="436"/>
      <c r="AK77" s="436"/>
      <c r="AL77" s="436"/>
      <c r="AM77" s="436" t="e">
        <f t="shared" si="48"/>
        <v>#N/A</v>
      </c>
      <c r="AN77" s="605"/>
      <c r="AO77" s="436"/>
      <c r="AP77" s="436"/>
      <c r="AQ77" s="436"/>
      <c r="AR77" s="436" t="e">
        <f t="shared" si="50"/>
        <v>#N/A</v>
      </c>
      <c r="AS77" s="605"/>
      <c r="AT77" s="436"/>
      <c r="AU77" s="436"/>
      <c r="AV77" s="436"/>
      <c r="AW77" s="436" t="e">
        <f t="shared" si="52"/>
        <v>#N/A</v>
      </c>
      <c r="AX77" s="605"/>
    </row>
    <row r="78" spans="2:50">
      <c r="B78" s="572"/>
      <c r="C78" s="436">
        <v>12</v>
      </c>
      <c r="D78" s="226"/>
      <c r="E78" s="182"/>
      <c r="F78" s="436"/>
      <c r="G78" s="437"/>
      <c r="H78" s="609"/>
      <c r="I78" s="202"/>
      <c r="J78" s="202"/>
      <c r="K78" s="202"/>
      <c r="L78" s="541"/>
      <c r="M78" s="445" t="e">
        <f>RANK(K78, K$67:$K$81)</f>
        <v>#N/A</v>
      </c>
      <c r="N78" s="559"/>
      <c r="O78" s="559"/>
      <c r="P78" s="436"/>
      <c r="Q78" s="436"/>
      <c r="R78" s="436"/>
      <c r="S78" s="436" t="e">
        <f t="shared" si="54"/>
        <v>#N/A</v>
      </c>
      <c r="T78" s="605"/>
      <c r="U78" s="436"/>
      <c r="V78" s="436"/>
      <c r="W78" s="436"/>
      <c r="X78" s="436" t="e">
        <f t="shared" si="42"/>
        <v>#N/A</v>
      </c>
      <c r="Y78" s="605"/>
      <c r="Z78" s="436"/>
      <c r="AA78" s="436"/>
      <c r="AB78" s="436"/>
      <c r="AC78" s="436" t="e">
        <f t="shared" si="44"/>
        <v>#N/A</v>
      </c>
      <c r="AD78" s="605"/>
      <c r="AE78" s="436"/>
      <c r="AF78" s="436"/>
      <c r="AG78" s="436"/>
      <c r="AH78" s="436" t="e">
        <f t="shared" si="46"/>
        <v>#N/A</v>
      </c>
      <c r="AI78" s="605"/>
      <c r="AJ78" s="436"/>
      <c r="AK78" s="436"/>
      <c r="AL78" s="436"/>
      <c r="AM78" s="436" t="e">
        <f t="shared" si="48"/>
        <v>#N/A</v>
      </c>
      <c r="AN78" s="605"/>
      <c r="AO78" s="436"/>
      <c r="AP78" s="436"/>
      <c r="AQ78" s="436"/>
      <c r="AR78" s="436" t="e">
        <f t="shared" si="50"/>
        <v>#N/A</v>
      </c>
      <c r="AS78" s="605"/>
      <c r="AT78" s="436"/>
      <c r="AU78" s="436"/>
      <c r="AV78" s="436"/>
      <c r="AW78" s="436" t="e">
        <f t="shared" si="52"/>
        <v>#N/A</v>
      </c>
      <c r="AX78" s="605"/>
    </row>
    <row r="79" spans="2:50">
      <c r="B79" s="572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41"/>
      <c r="M79" s="445" t="e">
        <f>RANK(K79, K$67:$K$81)</f>
        <v>#N/A</v>
      </c>
      <c r="N79" s="559"/>
      <c r="O79" s="559"/>
      <c r="P79" s="436"/>
      <c r="Q79" s="436"/>
      <c r="R79" s="436"/>
      <c r="S79" s="436" t="e">
        <f t="shared" si="54"/>
        <v>#N/A</v>
      </c>
      <c r="T79" s="605"/>
      <c r="U79" s="436"/>
      <c r="V79" s="436"/>
      <c r="W79" s="436"/>
      <c r="X79" s="436" t="e">
        <f t="shared" si="42"/>
        <v>#N/A</v>
      </c>
      <c r="Y79" s="605"/>
      <c r="Z79" s="436"/>
      <c r="AA79" s="436"/>
      <c r="AB79" s="436"/>
      <c r="AC79" s="436" t="e">
        <f t="shared" si="44"/>
        <v>#N/A</v>
      </c>
      <c r="AD79" s="605"/>
      <c r="AE79" s="436"/>
      <c r="AF79" s="436"/>
      <c r="AG79" s="436"/>
      <c r="AH79" s="436" t="e">
        <f t="shared" si="46"/>
        <v>#N/A</v>
      </c>
      <c r="AI79" s="605"/>
      <c r="AJ79" s="436"/>
      <c r="AK79" s="436"/>
      <c r="AL79" s="436"/>
      <c r="AM79" s="436" t="e">
        <f t="shared" si="48"/>
        <v>#N/A</v>
      </c>
      <c r="AN79" s="605"/>
      <c r="AO79" s="436"/>
      <c r="AP79" s="436"/>
      <c r="AQ79" s="436"/>
      <c r="AR79" s="436" t="e">
        <f t="shared" si="50"/>
        <v>#N/A</v>
      </c>
      <c r="AS79" s="605"/>
      <c r="AT79" s="436"/>
      <c r="AU79" s="436"/>
      <c r="AV79" s="436"/>
      <c r="AW79" s="436" t="e">
        <f t="shared" si="52"/>
        <v>#N/A</v>
      </c>
      <c r="AX79" s="605"/>
    </row>
    <row r="80" spans="2:50">
      <c r="B80" s="572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41"/>
      <c r="M80" s="445" t="e">
        <f>RANK(K80, K$67:$K$81)</f>
        <v>#N/A</v>
      </c>
      <c r="N80" s="559"/>
      <c r="O80" s="559"/>
      <c r="P80" s="436"/>
      <c r="Q80" s="436"/>
      <c r="R80" s="436"/>
      <c r="S80" s="436" t="e">
        <f t="shared" si="54"/>
        <v>#N/A</v>
      </c>
      <c r="T80" s="605"/>
      <c r="U80" s="436"/>
      <c r="V80" s="436"/>
      <c r="W80" s="436"/>
      <c r="X80" s="436" t="e">
        <f t="shared" si="42"/>
        <v>#N/A</v>
      </c>
      <c r="Y80" s="605"/>
      <c r="Z80" s="436"/>
      <c r="AA80" s="436"/>
      <c r="AB80" s="436"/>
      <c r="AC80" s="436" t="e">
        <f t="shared" si="44"/>
        <v>#N/A</v>
      </c>
      <c r="AD80" s="605"/>
      <c r="AE80" s="436"/>
      <c r="AF80" s="436"/>
      <c r="AG80" s="436"/>
      <c r="AH80" s="436" t="e">
        <f t="shared" si="46"/>
        <v>#N/A</v>
      </c>
      <c r="AI80" s="605"/>
      <c r="AJ80" s="436"/>
      <c r="AK80" s="436"/>
      <c r="AL80" s="436"/>
      <c r="AM80" s="436" t="e">
        <f t="shared" si="48"/>
        <v>#N/A</v>
      </c>
      <c r="AN80" s="605"/>
      <c r="AO80" s="436"/>
      <c r="AP80" s="436"/>
      <c r="AQ80" s="436"/>
      <c r="AR80" s="436" t="e">
        <f t="shared" si="50"/>
        <v>#N/A</v>
      </c>
      <c r="AS80" s="605"/>
      <c r="AT80" s="436"/>
      <c r="AU80" s="436"/>
      <c r="AV80" s="436"/>
      <c r="AW80" s="436" t="e">
        <f t="shared" si="52"/>
        <v>#N/A</v>
      </c>
      <c r="AX80" s="605"/>
    </row>
    <row r="81" spans="2:50">
      <c r="B81" s="572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42"/>
      <c r="M81" s="445" t="e">
        <f>RANK(K81, K$67:$K$81)</f>
        <v>#N/A</v>
      </c>
      <c r="N81" s="559"/>
      <c r="O81" s="559"/>
      <c r="P81" s="436"/>
      <c r="Q81" s="436"/>
      <c r="R81" s="436"/>
      <c r="S81" s="436" t="e">
        <f t="shared" si="54"/>
        <v>#N/A</v>
      </c>
      <c r="T81" s="605"/>
      <c r="U81" s="436"/>
      <c r="V81" s="436"/>
      <c r="W81" s="436"/>
      <c r="X81" s="436" t="e">
        <f t="shared" si="42"/>
        <v>#N/A</v>
      </c>
      <c r="Y81" s="605"/>
      <c r="Z81" s="436"/>
      <c r="AA81" s="436"/>
      <c r="AB81" s="436"/>
      <c r="AC81" s="436" t="e">
        <f t="shared" si="44"/>
        <v>#N/A</v>
      </c>
      <c r="AD81" s="605"/>
      <c r="AE81" s="436"/>
      <c r="AF81" s="436"/>
      <c r="AG81" s="436"/>
      <c r="AH81" s="436" t="e">
        <f t="shared" si="46"/>
        <v>#N/A</v>
      </c>
      <c r="AI81" s="605"/>
      <c r="AJ81" s="436"/>
      <c r="AK81" s="436"/>
      <c r="AL81" s="436"/>
      <c r="AM81" s="436" t="e">
        <f t="shared" si="48"/>
        <v>#N/A</v>
      </c>
      <c r="AN81" s="605"/>
      <c r="AO81" s="436"/>
      <c r="AP81" s="436"/>
      <c r="AQ81" s="436"/>
      <c r="AR81" s="436" t="e">
        <f t="shared" si="50"/>
        <v>#N/A</v>
      </c>
      <c r="AS81" s="605"/>
      <c r="AT81" s="436"/>
      <c r="AU81" s="436"/>
      <c r="AV81" s="436"/>
      <c r="AW81" s="436" t="e">
        <f t="shared" si="52"/>
        <v>#N/A</v>
      </c>
      <c r="AX81" s="605"/>
    </row>
    <row r="82" spans="2:50" ht="15.75">
      <c r="B82" s="576" t="s">
        <v>162</v>
      </c>
      <c r="C82" s="577"/>
      <c r="D82" s="577"/>
      <c r="E82" s="577"/>
      <c r="F82" s="577"/>
      <c r="G82" s="577"/>
      <c r="H82" s="578"/>
      <c r="I82" s="208"/>
      <c r="J82" s="208"/>
      <c r="K82" s="208"/>
      <c r="L82" s="208"/>
      <c r="M82" s="207"/>
      <c r="N82" s="565" t="s">
        <v>156</v>
      </c>
      <c r="O82" s="565" t="s">
        <v>105</v>
      </c>
      <c r="P82" s="571">
        <f>P62+7</f>
        <v>46414</v>
      </c>
      <c r="Q82" s="572"/>
      <c r="R82" s="572"/>
      <c r="S82" s="572"/>
      <c r="T82" s="572"/>
      <c r="U82" s="568">
        <f>P82+1</f>
        <v>46415</v>
      </c>
      <c r="V82" s="569"/>
      <c r="W82" s="569"/>
      <c r="X82" s="569"/>
      <c r="Y82" s="570"/>
      <c r="Z82" s="568">
        <f>U82+1</f>
        <v>46416</v>
      </c>
      <c r="AA82" s="569"/>
      <c r="AB82" s="569"/>
      <c r="AC82" s="569"/>
      <c r="AD82" s="570"/>
      <c r="AE82" s="568">
        <f>Z82+1</f>
        <v>46417</v>
      </c>
      <c r="AF82" s="569"/>
      <c r="AG82" s="569"/>
      <c r="AH82" s="569"/>
      <c r="AI82" s="570"/>
      <c r="AJ82" s="568">
        <f>AE82+1</f>
        <v>46418</v>
      </c>
      <c r="AK82" s="569"/>
      <c r="AL82" s="569"/>
      <c r="AM82" s="569"/>
      <c r="AN82" s="570"/>
      <c r="AO82" s="568">
        <f>AJ82+1</f>
        <v>46419</v>
      </c>
      <c r="AP82" s="569"/>
      <c r="AQ82" s="569"/>
      <c r="AR82" s="569"/>
      <c r="AS82" s="570"/>
      <c r="AT82" s="568"/>
      <c r="AU82" s="569"/>
      <c r="AV82" s="569"/>
      <c r="AW82" s="569"/>
      <c r="AX82" s="570"/>
    </row>
    <row r="83" spans="2:50" ht="15.75">
      <c r="B83" s="579"/>
      <c r="C83" s="579"/>
      <c r="D83" s="579"/>
      <c r="E83" s="579"/>
      <c r="F83" s="579"/>
      <c r="G83" s="579"/>
      <c r="H83" s="579"/>
      <c r="I83" s="205"/>
      <c r="J83" s="205"/>
      <c r="K83" s="205"/>
      <c r="L83" s="205"/>
      <c r="M83" s="206"/>
      <c r="N83" s="567"/>
      <c r="O83" s="567"/>
      <c r="P83" s="571" t="s">
        <v>332</v>
      </c>
      <c r="Q83" s="572"/>
      <c r="R83" s="572"/>
      <c r="S83" s="572"/>
      <c r="T83" s="572"/>
      <c r="U83" s="571" t="s">
        <v>333</v>
      </c>
      <c r="V83" s="572"/>
      <c r="W83" s="572"/>
      <c r="X83" s="572"/>
      <c r="Y83" s="572"/>
      <c r="Z83" s="571" t="s">
        <v>334</v>
      </c>
      <c r="AA83" s="572"/>
      <c r="AB83" s="572"/>
      <c r="AC83" s="572"/>
      <c r="AD83" s="572"/>
      <c r="AE83" s="571" t="s">
        <v>335</v>
      </c>
      <c r="AF83" s="572"/>
      <c r="AG83" s="572"/>
      <c r="AH83" s="572"/>
      <c r="AI83" s="572"/>
      <c r="AJ83" s="571" t="s">
        <v>336</v>
      </c>
      <c r="AK83" s="572"/>
      <c r="AL83" s="572"/>
      <c r="AM83" s="572"/>
      <c r="AN83" s="572"/>
      <c r="AO83" s="571" t="s">
        <v>337</v>
      </c>
      <c r="AP83" s="572"/>
      <c r="AQ83" s="572"/>
      <c r="AR83" s="572"/>
      <c r="AS83" s="572"/>
      <c r="AT83" s="571"/>
      <c r="AU83" s="572"/>
      <c r="AV83" s="572"/>
      <c r="AW83" s="572"/>
      <c r="AX83" s="572"/>
    </row>
    <row r="84" spans="2:50">
      <c r="B84" s="559" t="s">
        <v>817</v>
      </c>
      <c r="C84" s="559" t="s">
        <v>818</v>
      </c>
      <c r="D84" s="559"/>
      <c r="E84" s="559" t="s">
        <v>819</v>
      </c>
      <c r="F84" s="559"/>
      <c r="G84" s="559"/>
      <c r="H84" s="560" t="s">
        <v>820</v>
      </c>
      <c r="I84" s="543" t="s">
        <v>821</v>
      </c>
      <c r="J84" s="543"/>
      <c r="K84" s="543"/>
      <c r="L84" s="544" t="s">
        <v>820</v>
      </c>
      <c r="M84" s="550" t="s">
        <v>839</v>
      </c>
      <c r="N84" s="559"/>
      <c r="O84" s="559" t="s">
        <v>840</v>
      </c>
      <c r="P84" s="556" t="s">
        <v>841</v>
      </c>
      <c r="Q84" s="557"/>
      <c r="R84" s="557"/>
      <c r="S84" s="558"/>
      <c r="T84" s="559" t="s">
        <v>820</v>
      </c>
      <c r="U84" s="556" t="s">
        <v>841</v>
      </c>
      <c r="V84" s="557"/>
      <c r="W84" s="557"/>
      <c r="X84" s="558"/>
      <c r="Y84" s="559" t="s">
        <v>820</v>
      </c>
      <c r="Z84" s="556" t="s">
        <v>841</v>
      </c>
      <c r="AA84" s="557"/>
      <c r="AB84" s="557"/>
      <c r="AC84" s="558"/>
      <c r="AD84" s="559" t="s">
        <v>820</v>
      </c>
      <c r="AE84" s="556" t="s">
        <v>841</v>
      </c>
      <c r="AF84" s="557"/>
      <c r="AG84" s="557"/>
      <c r="AH84" s="558"/>
      <c r="AI84" s="559" t="s">
        <v>820</v>
      </c>
      <c r="AJ84" s="556" t="s">
        <v>841</v>
      </c>
      <c r="AK84" s="557"/>
      <c r="AL84" s="557"/>
      <c r="AM84" s="558"/>
      <c r="AN84" s="559" t="s">
        <v>820</v>
      </c>
      <c r="AO84" s="556" t="s">
        <v>446</v>
      </c>
      <c r="AP84" s="557"/>
      <c r="AQ84" s="557"/>
      <c r="AR84" s="558"/>
      <c r="AS84" s="559" t="s">
        <v>444</v>
      </c>
      <c r="AT84" s="556"/>
      <c r="AU84" s="557"/>
      <c r="AV84" s="557"/>
      <c r="AW84" s="558"/>
      <c r="AX84" s="559"/>
    </row>
    <row r="85" spans="2:50">
      <c r="B85" s="559"/>
      <c r="C85" s="559"/>
      <c r="D85" s="559"/>
      <c r="E85" s="559" t="s">
        <v>842</v>
      </c>
      <c r="F85" s="559"/>
      <c r="G85" s="559"/>
      <c r="H85" s="561"/>
      <c r="I85" s="543" t="s">
        <v>842</v>
      </c>
      <c r="J85" s="543"/>
      <c r="K85" s="543"/>
      <c r="L85" s="545"/>
      <c r="M85" s="551"/>
      <c r="N85" s="559"/>
      <c r="O85" s="559"/>
      <c r="P85" s="556" t="s">
        <v>831</v>
      </c>
      <c r="Q85" s="557"/>
      <c r="R85" s="557"/>
      <c r="S85" s="558"/>
      <c r="T85" s="559"/>
      <c r="U85" s="556" t="s">
        <v>831</v>
      </c>
      <c r="V85" s="557"/>
      <c r="W85" s="557"/>
      <c r="X85" s="558"/>
      <c r="Y85" s="559"/>
      <c r="Z85" s="556" t="s">
        <v>831</v>
      </c>
      <c r="AA85" s="557"/>
      <c r="AB85" s="557"/>
      <c r="AC85" s="558"/>
      <c r="AD85" s="559"/>
      <c r="AE85" s="556" t="s">
        <v>831</v>
      </c>
      <c r="AF85" s="557"/>
      <c r="AG85" s="557"/>
      <c r="AH85" s="558"/>
      <c r="AI85" s="559"/>
      <c r="AJ85" s="556" t="s">
        <v>831</v>
      </c>
      <c r="AK85" s="557"/>
      <c r="AL85" s="557"/>
      <c r="AM85" s="558"/>
      <c r="AN85" s="559"/>
      <c r="AO85" s="556" t="s">
        <v>447</v>
      </c>
      <c r="AP85" s="557"/>
      <c r="AQ85" s="557"/>
      <c r="AR85" s="558"/>
      <c r="AS85" s="559"/>
      <c r="AT85" s="556"/>
      <c r="AU85" s="557"/>
      <c r="AV85" s="557"/>
      <c r="AW85" s="558"/>
      <c r="AX85" s="559"/>
    </row>
    <row r="86" spans="2:50">
      <c r="B86" s="559"/>
      <c r="C86" s="559"/>
      <c r="D86" s="559"/>
      <c r="E86" s="450" t="s">
        <v>838</v>
      </c>
      <c r="F86" s="450" t="s">
        <v>836</v>
      </c>
      <c r="G86" s="450" t="s">
        <v>837</v>
      </c>
      <c r="H86" s="562"/>
      <c r="I86" s="449" t="s">
        <v>838</v>
      </c>
      <c r="J86" s="449" t="s">
        <v>836</v>
      </c>
      <c r="K86" s="449" t="s">
        <v>837</v>
      </c>
      <c r="L86" s="546"/>
      <c r="M86" s="552"/>
      <c r="N86" s="559"/>
      <c r="O86" s="559"/>
      <c r="P86" s="450" t="s">
        <v>838</v>
      </c>
      <c r="Q86" s="450" t="s">
        <v>836</v>
      </c>
      <c r="R86" s="450" t="s">
        <v>837</v>
      </c>
      <c r="S86" s="450" t="s">
        <v>839</v>
      </c>
      <c r="T86" s="559"/>
      <c r="U86" s="450" t="s">
        <v>838</v>
      </c>
      <c r="V86" s="450" t="s">
        <v>836</v>
      </c>
      <c r="W86" s="450" t="s">
        <v>837</v>
      </c>
      <c r="X86" s="450" t="s">
        <v>839</v>
      </c>
      <c r="Y86" s="559"/>
      <c r="Z86" s="450" t="s">
        <v>838</v>
      </c>
      <c r="AA86" s="450" t="s">
        <v>836</v>
      </c>
      <c r="AB86" s="450" t="s">
        <v>837</v>
      </c>
      <c r="AC86" s="450" t="s">
        <v>839</v>
      </c>
      <c r="AD86" s="559"/>
      <c r="AE86" s="450" t="s">
        <v>838</v>
      </c>
      <c r="AF86" s="450" t="s">
        <v>836</v>
      </c>
      <c r="AG86" s="450" t="s">
        <v>837</v>
      </c>
      <c r="AH86" s="450" t="s">
        <v>839</v>
      </c>
      <c r="AI86" s="559"/>
      <c r="AJ86" s="450" t="s">
        <v>838</v>
      </c>
      <c r="AK86" s="450" t="s">
        <v>836</v>
      </c>
      <c r="AL86" s="450" t="s">
        <v>837</v>
      </c>
      <c r="AM86" s="450" t="s">
        <v>839</v>
      </c>
      <c r="AN86" s="559"/>
      <c r="AO86" s="282" t="s">
        <v>448</v>
      </c>
      <c r="AP86" s="282" t="s">
        <v>449</v>
      </c>
      <c r="AQ86" s="282" t="s">
        <v>450</v>
      </c>
      <c r="AR86" s="282" t="s">
        <v>445</v>
      </c>
      <c r="AS86" s="559"/>
      <c r="AT86" s="282"/>
      <c r="AU86" s="282"/>
      <c r="AV86" s="282"/>
      <c r="AW86" s="282"/>
      <c r="AX86" s="559"/>
    </row>
    <row r="87" spans="2:50">
      <c r="B87" s="559" t="s">
        <v>845</v>
      </c>
      <c r="C87" s="451">
        <v>1</v>
      </c>
      <c r="D87" s="226" t="s">
        <v>787</v>
      </c>
      <c r="E87" s="182">
        <v>13</v>
      </c>
      <c r="F87" s="451">
        <v>1500</v>
      </c>
      <c r="G87" s="453">
        <v>115.38461538461539</v>
      </c>
      <c r="H87" s="608">
        <f>AVERAGE(G87:G101)</f>
        <v>107.69230769230769</v>
      </c>
      <c r="I87" s="456">
        <f t="shared" ref="I87:K88" si="55">AVERAGE(P87,U87,Z87,AE87,AJ87,AO87,AT87)</f>
        <v>13</v>
      </c>
      <c r="J87" s="456">
        <f t="shared" si="55"/>
        <v>1522.0571428571443</v>
      </c>
      <c r="K87" s="454">
        <f t="shared" si="55"/>
        <v>117.08131868131879</v>
      </c>
      <c r="L87" s="540">
        <f>IFERROR(AVERAGE(K87:K101),"-")</f>
        <v>124.99344230140571</v>
      </c>
      <c r="M87" s="455">
        <f>RANK(K87, K$87:$K$101)</f>
        <v>2</v>
      </c>
      <c r="N87" s="559"/>
      <c r="O87" s="559"/>
      <c r="P87" s="182">
        <v>13</v>
      </c>
      <c r="Q87" s="182">
        <v>1562.0000000000057</v>
      </c>
      <c r="R87" s="182">
        <v>120.15384615384659</v>
      </c>
      <c r="S87" s="451">
        <f>RANK(R87, R$87:R$101)</f>
        <v>1</v>
      </c>
      <c r="T87" s="605">
        <f>AVERAGE(R87:R101)</f>
        <v>117.88294314381292</v>
      </c>
      <c r="U87" s="182">
        <v>13</v>
      </c>
      <c r="V87" s="182">
        <v>1506.8571428571447</v>
      </c>
      <c r="W87" s="182">
        <v>115.91208791208805</v>
      </c>
      <c r="X87" s="451">
        <v>1</v>
      </c>
      <c r="Y87" s="605">
        <f t="shared" ref="Y87" si="56">AVERAGE(W87:W101)</f>
        <v>120.61393869288608</v>
      </c>
      <c r="Z87" s="182">
        <v>13</v>
      </c>
      <c r="AA87" s="182">
        <v>1515.4285714285734</v>
      </c>
      <c r="AB87" s="182">
        <v>116.57142857142873</v>
      </c>
      <c r="AC87" s="451">
        <f t="shared" ref="AC87:AC101" si="57">RANK(AB87, AB$87:AB$101)</f>
        <v>2</v>
      </c>
      <c r="AD87" s="605">
        <f t="shared" ref="AD87" si="58">AVERAGE(AB87:AB101)</f>
        <v>133.28571428571439</v>
      </c>
      <c r="AE87" s="182">
        <v>13</v>
      </c>
      <c r="AF87" s="182">
        <v>1484.0000000000014</v>
      </c>
      <c r="AG87" s="182">
        <v>114.15384615384626</v>
      </c>
      <c r="AH87" s="451">
        <f t="shared" ref="AH87:AH101" si="59">RANK(AG87, AG$87:AG$101)</f>
        <v>2</v>
      </c>
      <c r="AI87" s="605">
        <f t="shared" ref="AI87" si="60">AVERAGE(AG87:AG101)</f>
        <v>138.54358974358973</v>
      </c>
      <c r="AJ87" s="182">
        <v>13</v>
      </c>
      <c r="AK87" s="182">
        <v>1541.9999999999973</v>
      </c>
      <c r="AL87" s="182">
        <v>118.6153846153844</v>
      </c>
      <c r="AM87" s="451">
        <f t="shared" ref="AM87:AM101" si="61">RANK(AL87, AL$87:AL$101)</f>
        <v>1</v>
      </c>
      <c r="AN87" s="605">
        <f t="shared" ref="AN87" si="62">AVERAGE(AL87:AL101)</f>
        <v>114.64102564102554</v>
      </c>
      <c r="AO87" s="182"/>
      <c r="AP87" s="182"/>
      <c r="AQ87" s="381"/>
      <c r="AR87" s="281" t="e">
        <f>RANK(AQ87, AQ$87:AQ$101)</f>
        <v>#N/A</v>
      </c>
      <c r="AS87" s="605" t="e">
        <f>AVERAGE(AQ87:AQ101)</f>
        <v>#DIV/0!</v>
      </c>
      <c r="AT87" s="182"/>
      <c r="AU87" s="182"/>
      <c r="AV87" s="381"/>
      <c r="AW87" s="281"/>
      <c r="AX87" s="605"/>
    </row>
    <row r="88" spans="2:50">
      <c r="B88" s="572"/>
      <c r="C88" s="451">
        <v>2</v>
      </c>
      <c r="D88" s="226" t="s">
        <v>846</v>
      </c>
      <c r="E88" s="182">
        <v>15</v>
      </c>
      <c r="F88" s="451">
        <v>1500</v>
      </c>
      <c r="G88" s="453">
        <v>100</v>
      </c>
      <c r="H88" s="609"/>
      <c r="I88" s="456">
        <f t="shared" si="55"/>
        <v>11.4</v>
      </c>
      <c r="J88" s="456">
        <f t="shared" si="55"/>
        <v>1482.3625324180011</v>
      </c>
      <c r="K88" s="454">
        <f t="shared" si="55"/>
        <v>132.90556592149264</v>
      </c>
      <c r="L88" s="541"/>
      <c r="M88" s="455">
        <f>RANK(K88, K$87:$K$101)</f>
        <v>1</v>
      </c>
      <c r="N88" s="559"/>
      <c r="O88" s="559"/>
      <c r="P88" s="182">
        <v>13</v>
      </c>
      <c r="Q88" s="182">
        <v>1502.9565217391303</v>
      </c>
      <c r="R88" s="182">
        <v>115.61204013377925</v>
      </c>
      <c r="S88" s="451">
        <f t="shared" ref="S88:S101" si="63">RANK(R88, R$87:R$101)</f>
        <v>2</v>
      </c>
      <c r="T88" s="605"/>
      <c r="U88" s="182">
        <v>12</v>
      </c>
      <c r="V88" s="182">
        <v>1503.7894736842095</v>
      </c>
      <c r="W88" s="182">
        <v>125.31578947368412</v>
      </c>
      <c r="X88" s="451">
        <v>2</v>
      </c>
      <c r="Y88" s="605"/>
      <c r="Z88" s="182">
        <v>10</v>
      </c>
      <c r="AA88" s="182">
        <v>1500.0000000000005</v>
      </c>
      <c r="AB88" s="182">
        <v>150.00000000000006</v>
      </c>
      <c r="AC88" s="451">
        <f t="shared" si="57"/>
        <v>1</v>
      </c>
      <c r="AD88" s="605"/>
      <c r="AE88" s="182">
        <v>9</v>
      </c>
      <c r="AF88" s="182">
        <v>1466.3999999999987</v>
      </c>
      <c r="AG88" s="182">
        <v>162.9333333333332</v>
      </c>
      <c r="AH88" s="451">
        <f t="shared" si="59"/>
        <v>1</v>
      </c>
      <c r="AI88" s="605"/>
      <c r="AJ88" s="182">
        <v>13</v>
      </c>
      <c r="AK88" s="182">
        <v>1438.6666666666667</v>
      </c>
      <c r="AL88" s="182">
        <v>110.66666666666667</v>
      </c>
      <c r="AM88" s="451">
        <f t="shared" si="61"/>
        <v>2</v>
      </c>
      <c r="AN88" s="605"/>
      <c r="AO88" s="380"/>
      <c r="AP88" s="182"/>
      <c r="AQ88" s="381"/>
      <c r="AR88" s="281" t="e">
        <f t="shared" ref="AR88:AR101" si="64">RANK(AQ88, AQ$87:AQ$101)</f>
        <v>#N/A</v>
      </c>
      <c r="AS88" s="605"/>
      <c r="AT88" s="380"/>
      <c r="AU88" s="182"/>
      <c r="AV88" s="381"/>
      <c r="AW88" s="281"/>
      <c r="AX88" s="605"/>
    </row>
    <row r="89" spans="2:50">
      <c r="B89" s="572"/>
      <c r="C89" s="451">
        <v>3</v>
      </c>
      <c r="D89" s="226"/>
      <c r="E89" s="182"/>
      <c r="F89" s="451"/>
      <c r="G89" s="453"/>
      <c r="H89" s="609"/>
      <c r="I89" s="456"/>
      <c r="J89" s="456"/>
      <c r="K89" s="454"/>
      <c r="L89" s="541"/>
      <c r="M89" s="455" t="e">
        <f>RANK(K89, K$87:$K$101)</f>
        <v>#N/A</v>
      </c>
      <c r="N89" s="559"/>
      <c r="O89" s="559"/>
      <c r="P89" s="451"/>
      <c r="Q89" s="451"/>
      <c r="R89" s="451"/>
      <c r="S89" s="451" t="e">
        <f t="shared" si="63"/>
        <v>#N/A</v>
      </c>
      <c r="T89" s="605"/>
      <c r="U89" s="451"/>
      <c r="V89" s="451"/>
      <c r="W89" s="451"/>
      <c r="X89" s="451" t="e">
        <f t="shared" ref="X89:X101" si="65">RANK(W89, W$87:W$101)</f>
        <v>#N/A</v>
      </c>
      <c r="Y89" s="605"/>
      <c r="Z89" s="451"/>
      <c r="AA89" s="451"/>
      <c r="AB89" s="451"/>
      <c r="AC89" s="451" t="e">
        <f t="shared" si="57"/>
        <v>#N/A</v>
      </c>
      <c r="AD89" s="605"/>
      <c r="AE89" s="451"/>
      <c r="AF89" s="451"/>
      <c r="AG89" s="451"/>
      <c r="AH89" s="451" t="e">
        <f t="shared" si="59"/>
        <v>#N/A</v>
      </c>
      <c r="AI89" s="605"/>
      <c r="AJ89" s="451"/>
      <c r="AK89" s="451"/>
      <c r="AL89" s="451"/>
      <c r="AM89" s="451" t="e">
        <f t="shared" si="61"/>
        <v>#N/A</v>
      </c>
      <c r="AN89" s="605"/>
      <c r="AO89" s="380"/>
      <c r="AP89" s="380"/>
      <c r="AQ89" s="380"/>
      <c r="AR89" s="281" t="e">
        <f t="shared" si="64"/>
        <v>#N/A</v>
      </c>
      <c r="AS89" s="605"/>
      <c r="AT89" s="380"/>
      <c r="AU89" s="380"/>
      <c r="AV89" s="380"/>
      <c r="AW89" s="281"/>
      <c r="AX89" s="605"/>
    </row>
    <row r="90" spans="2:50">
      <c r="B90" s="572"/>
      <c r="C90" s="451">
        <v>4</v>
      </c>
      <c r="D90" s="226"/>
      <c r="E90" s="182"/>
      <c r="F90" s="451"/>
      <c r="G90" s="453"/>
      <c r="H90" s="609"/>
      <c r="I90" s="456"/>
      <c r="J90" s="456"/>
      <c r="K90" s="454"/>
      <c r="L90" s="541"/>
      <c r="M90" s="455" t="e">
        <f>RANK(K90, K$87:$K$101)</f>
        <v>#N/A</v>
      </c>
      <c r="N90" s="559"/>
      <c r="O90" s="559"/>
      <c r="P90" s="451"/>
      <c r="Q90" s="451"/>
      <c r="R90" s="451"/>
      <c r="S90" s="451" t="e">
        <f t="shared" si="63"/>
        <v>#N/A</v>
      </c>
      <c r="T90" s="605"/>
      <c r="U90" s="451"/>
      <c r="V90" s="451"/>
      <c r="W90" s="451"/>
      <c r="X90" s="451" t="e">
        <f t="shared" si="65"/>
        <v>#N/A</v>
      </c>
      <c r="Y90" s="605"/>
      <c r="Z90" s="451"/>
      <c r="AA90" s="451"/>
      <c r="AB90" s="451"/>
      <c r="AC90" s="451" t="e">
        <f t="shared" si="57"/>
        <v>#N/A</v>
      </c>
      <c r="AD90" s="605"/>
      <c r="AE90" s="451"/>
      <c r="AF90" s="451"/>
      <c r="AG90" s="451"/>
      <c r="AH90" s="451" t="e">
        <f t="shared" si="59"/>
        <v>#N/A</v>
      </c>
      <c r="AI90" s="605"/>
      <c r="AJ90" s="451"/>
      <c r="AK90" s="451"/>
      <c r="AL90" s="451"/>
      <c r="AM90" s="451" t="e">
        <f t="shared" si="61"/>
        <v>#N/A</v>
      </c>
      <c r="AN90" s="605"/>
      <c r="AO90" s="380"/>
      <c r="AP90" s="380"/>
      <c r="AQ90" s="380"/>
      <c r="AR90" s="281" t="e">
        <f t="shared" si="64"/>
        <v>#N/A</v>
      </c>
      <c r="AS90" s="605"/>
      <c r="AT90" s="380"/>
      <c r="AU90" s="380"/>
      <c r="AV90" s="380"/>
      <c r="AW90" s="281"/>
      <c r="AX90" s="605"/>
    </row>
    <row r="91" spans="2:50">
      <c r="B91" s="572"/>
      <c r="C91" s="451">
        <v>5</v>
      </c>
      <c r="D91" s="226"/>
      <c r="E91" s="182"/>
      <c r="F91" s="451"/>
      <c r="G91" s="453"/>
      <c r="H91" s="609"/>
      <c r="I91" s="456"/>
      <c r="J91" s="456"/>
      <c r="K91" s="454"/>
      <c r="L91" s="541"/>
      <c r="M91" s="455" t="e">
        <f>RANK(K91, K$87:$K$101)</f>
        <v>#N/A</v>
      </c>
      <c r="N91" s="559"/>
      <c r="O91" s="559"/>
      <c r="P91" s="451"/>
      <c r="Q91" s="451"/>
      <c r="R91" s="451"/>
      <c r="S91" s="451" t="e">
        <f t="shared" si="63"/>
        <v>#N/A</v>
      </c>
      <c r="T91" s="605"/>
      <c r="U91" s="451"/>
      <c r="V91" s="451"/>
      <c r="W91" s="451"/>
      <c r="X91" s="451" t="e">
        <f t="shared" si="65"/>
        <v>#N/A</v>
      </c>
      <c r="Y91" s="605"/>
      <c r="Z91" s="451"/>
      <c r="AA91" s="451"/>
      <c r="AB91" s="451"/>
      <c r="AC91" s="451" t="e">
        <f t="shared" si="57"/>
        <v>#N/A</v>
      </c>
      <c r="AD91" s="605"/>
      <c r="AE91" s="451"/>
      <c r="AF91" s="451"/>
      <c r="AG91" s="451"/>
      <c r="AH91" s="451" t="e">
        <f t="shared" si="59"/>
        <v>#N/A</v>
      </c>
      <c r="AI91" s="605"/>
      <c r="AJ91" s="451"/>
      <c r="AK91" s="451"/>
      <c r="AL91" s="451"/>
      <c r="AM91" s="451" t="e">
        <f t="shared" si="61"/>
        <v>#N/A</v>
      </c>
      <c r="AN91" s="605"/>
      <c r="AO91" s="380"/>
      <c r="AP91" s="380"/>
      <c r="AQ91" s="380"/>
      <c r="AR91" s="281" t="e">
        <f t="shared" si="64"/>
        <v>#N/A</v>
      </c>
      <c r="AS91" s="605"/>
      <c r="AT91" s="380"/>
      <c r="AU91" s="380"/>
      <c r="AV91" s="380"/>
      <c r="AW91" s="281"/>
      <c r="AX91" s="605"/>
    </row>
    <row r="92" spans="2:50">
      <c r="B92" s="572"/>
      <c r="C92" s="451">
        <v>6</v>
      </c>
      <c r="D92" s="226"/>
      <c r="E92" s="182"/>
      <c r="F92" s="451"/>
      <c r="G92" s="453"/>
      <c r="H92" s="609"/>
      <c r="I92" s="456"/>
      <c r="J92" s="456"/>
      <c r="K92" s="454"/>
      <c r="L92" s="541"/>
      <c r="M92" s="455" t="e">
        <f>RANK(K92, K$87:$K$101)</f>
        <v>#N/A</v>
      </c>
      <c r="N92" s="559"/>
      <c r="O92" s="559"/>
      <c r="P92" s="451"/>
      <c r="Q92" s="451"/>
      <c r="R92" s="451"/>
      <c r="S92" s="451" t="e">
        <f t="shared" si="63"/>
        <v>#N/A</v>
      </c>
      <c r="T92" s="605"/>
      <c r="U92" s="451"/>
      <c r="V92" s="451"/>
      <c r="W92" s="451"/>
      <c r="X92" s="451" t="e">
        <f t="shared" si="65"/>
        <v>#N/A</v>
      </c>
      <c r="Y92" s="605"/>
      <c r="Z92" s="451"/>
      <c r="AA92" s="451"/>
      <c r="AB92" s="451"/>
      <c r="AC92" s="451" t="e">
        <f t="shared" si="57"/>
        <v>#N/A</v>
      </c>
      <c r="AD92" s="605"/>
      <c r="AE92" s="451"/>
      <c r="AF92" s="451"/>
      <c r="AG92" s="451"/>
      <c r="AH92" s="451" t="e">
        <f t="shared" si="59"/>
        <v>#N/A</v>
      </c>
      <c r="AI92" s="605"/>
      <c r="AJ92" s="451"/>
      <c r="AK92" s="451"/>
      <c r="AL92" s="451"/>
      <c r="AM92" s="451" t="e">
        <f t="shared" si="61"/>
        <v>#N/A</v>
      </c>
      <c r="AN92" s="605"/>
      <c r="AO92" s="380"/>
      <c r="AP92" s="380"/>
      <c r="AQ92" s="380"/>
      <c r="AR92" s="281" t="e">
        <f t="shared" si="64"/>
        <v>#N/A</v>
      </c>
      <c r="AS92" s="605"/>
      <c r="AT92" s="380"/>
      <c r="AU92" s="380"/>
      <c r="AV92" s="380"/>
      <c r="AW92" s="281"/>
      <c r="AX92" s="605"/>
    </row>
    <row r="93" spans="2:50">
      <c r="B93" s="572"/>
      <c r="C93" s="451">
        <v>7</v>
      </c>
      <c r="D93" s="226"/>
      <c r="E93" s="182"/>
      <c r="F93" s="451"/>
      <c r="G93" s="453"/>
      <c r="H93" s="609"/>
      <c r="I93" s="456"/>
      <c r="J93" s="456"/>
      <c r="K93" s="454"/>
      <c r="L93" s="541"/>
      <c r="M93" s="455" t="e">
        <f>RANK(K93, K$87:$K$101)</f>
        <v>#N/A</v>
      </c>
      <c r="N93" s="559"/>
      <c r="O93" s="559"/>
      <c r="P93" s="451"/>
      <c r="Q93" s="451"/>
      <c r="R93" s="451"/>
      <c r="S93" s="451" t="e">
        <f t="shared" si="63"/>
        <v>#N/A</v>
      </c>
      <c r="T93" s="605"/>
      <c r="U93" s="451"/>
      <c r="V93" s="451"/>
      <c r="W93" s="451"/>
      <c r="X93" s="451" t="e">
        <f t="shared" si="65"/>
        <v>#N/A</v>
      </c>
      <c r="Y93" s="605"/>
      <c r="Z93" s="451"/>
      <c r="AA93" s="451"/>
      <c r="AB93" s="451"/>
      <c r="AC93" s="451" t="e">
        <f t="shared" si="57"/>
        <v>#N/A</v>
      </c>
      <c r="AD93" s="605"/>
      <c r="AE93" s="451"/>
      <c r="AF93" s="451"/>
      <c r="AG93" s="451"/>
      <c r="AH93" s="451" t="e">
        <f t="shared" si="59"/>
        <v>#N/A</v>
      </c>
      <c r="AI93" s="605"/>
      <c r="AJ93" s="451"/>
      <c r="AK93" s="451"/>
      <c r="AL93" s="451"/>
      <c r="AM93" s="451" t="e">
        <f t="shared" si="61"/>
        <v>#N/A</v>
      </c>
      <c r="AN93" s="605"/>
      <c r="AO93" s="380"/>
      <c r="AP93" s="380"/>
      <c r="AQ93" s="380"/>
      <c r="AR93" s="281" t="e">
        <f t="shared" si="64"/>
        <v>#N/A</v>
      </c>
      <c r="AS93" s="605"/>
      <c r="AT93" s="380"/>
      <c r="AU93" s="380"/>
      <c r="AV93" s="380"/>
      <c r="AW93" s="281"/>
      <c r="AX93" s="605"/>
    </row>
    <row r="94" spans="2:50">
      <c r="B94" s="572"/>
      <c r="C94" s="451">
        <v>8</v>
      </c>
      <c r="D94" s="226"/>
      <c r="E94" s="182"/>
      <c r="F94" s="451"/>
      <c r="G94" s="453"/>
      <c r="H94" s="609"/>
      <c r="I94" s="456"/>
      <c r="J94" s="456"/>
      <c r="K94" s="454"/>
      <c r="L94" s="541"/>
      <c r="M94" s="455" t="e">
        <f>RANK(K94, K$87:$K$101)</f>
        <v>#N/A</v>
      </c>
      <c r="N94" s="559"/>
      <c r="O94" s="559"/>
      <c r="P94" s="451"/>
      <c r="Q94" s="451"/>
      <c r="R94" s="451"/>
      <c r="S94" s="451" t="e">
        <f t="shared" si="63"/>
        <v>#N/A</v>
      </c>
      <c r="T94" s="605"/>
      <c r="U94" s="451"/>
      <c r="V94" s="451"/>
      <c r="W94" s="451"/>
      <c r="X94" s="451" t="e">
        <f t="shared" si="65"/>
        <v>#N/A</v>
      </c>
      <c r="Y94" s="605"/>
      <c r="Z94" s="451"/>
      <c r="AA94" s="451"/>
      <c r="AB94" s="451"/>
      <c r="AC94" s="451" t="e">
        <f t="shared" si="57"/>
        <v>#N/A</v>
      </c>
      <c r="AD94" s="605"/>
      <c r="AE94" s="451"/>
      <c r="AF94" s="451"/>
      <c r="AG94" s="451"/>
      <c r="AH94" s="451" t="e">
        <f t="shared" si="59"/>
        <v>#N/A</v>
      </c>
      <c r="AI94" s="605"/>
      <c r="AJ94" s="451"/>
      <c r="AK94" s="451"/>
      <c r="AL94" s="451"/>
      <c r="AM94" s="451" t="e">
        <f t="shared" si="61"/>
        <v>#N/A</v>
      </c>
      <c r="AN94" s="605"/>
      <c r="AO94" s="380"/>
      <c r="AP94" s="380"/>
      <c r="AQ94" s="380"/>
      <c r="AR94" s="281" t="e">
        <f t="shared" si="64"/>
        <v>#N/A</v>
      </c>
      <c r="AS94" s="605"/>
      <c r="AT94" s="380"/>
      <c r="AU94" s="380"/>
      <c r="AV94" s="380"/>
      <c r="AW94" s="281"/>
      <c r="AX94" s="605"/>
    </row>
    <row r="95" spans="2:50">
      <c r="B95" s="572"/>
      <c r="C95" s="451">
        <v>9</v>
      </c>
      <c r="D95" s="226"/>
      <c r="E95" s="182"/>
      <c r="F95" s="451"/>
      <c r="G95" s="453"/>
      <c r="H95" s="609"/>
      <c r="I95" s="456"/>
      <c r="J95" s="456"/>
      <c r="K95" s="454"/>
      <c r="L95" s="541"/>
      <c r="M95" s="455" t="e">
        <f>RANK(K95, K$87:$K$101)</f>
        <v>#N/A</v>
      </c>
      <c r="N95" s="559"/>
      <c r="O95" s="559"/>
      <c r="P95" s="451"/>
      <c r="Q95" s="451"/>
      <c r="R95" s="451"/>
      <c r="S95" s="451" t="e">
        <f t="shared" si="63"/>
        <v>#N/A</v>
      </c>
      <c r="T95" s="605"/>
      <c r="U95" s="451"/>
      <c r="V95" s="451"/>
      <c r="W95" s="451"/>
      <c r="X95" s="451" t="e">
        <f t="shared" si="65"/>
        <v>#N/A</v>
      </c>
      <c r="Y95" s="605"/>
      <c r="Z95" s="451"/>
      <c r="AA95" s="451"/>
      <c r="AB95" s="451"/>
      <c r="AC95" s="451" t="e">
        <f t="shared" si="57"/>
        <v>#N/A</v>
      </c>
      <c r="AD95" s="605"/>
      <c r="AE95" s="451"/>
      <c r="AF95" s="451"/>
      <c r="AG95" s="451"/>
      <c r="AH95" s="451" t="e">
        <f t="shared" si="59"/>
        <v>#N/A</v>
      </c>
      <c r="AI95" s="605"/>
      <c r="AJ95" s="451"/>
      <c r="AK95" s="451"/>
      <c r="AL95" s="451"/>
      <c r="AM95" s="451" t="e">
        <f t="shared" si="61"/>
        <v>#N/A</v>
      </c>
      <c r="AN95" s="605"/>
      <c r="AO95" s="380"/>
      <c r="AP95" s="380"/>
      <c r="AQ95" s="380"/>
      <c r="AR95" s="281" t="e">
        <f t="shared" si="64"/>
        <v>#N/A</v>
      </c>
      <c r="AS95" s="605"/>
      <c r="AT95" s="380"/>
      <c r="AU95" s="380"/>
      <c r="AV95" s="380"/>
      <c r="AW95" s="281"/>
      <c r="AX95" s="605"/>
    </row>
    <row r="96" spans="2:50">
      <c r="B96" s="572"/>
      <c r="C96" s="451">
        <v>10</v>
      </c>
      <c r="D96" s="226"/>
      <c r="E96" s="182"/>
      <c r="F96" s="451"/>
      <c r="G96" s="453"/>
      <c r="H96" s="609"/>
      <c r="I96" s="456"/>
      <c r="J96" s="456"/>
      <c r="K96" s="454"/>
      <c r="L96" s="541"/>
      <c r="M96" s="455" t="e">
        <f>RANK(K96, K$87:$K$101)</f>
        <v>#N/A</v>
      </c>
      <c r="N96" s="559"/>
      <c r="O96" s="559"/>
      <c r="P96" s="451"/>
      <c r="Q96" s="451"/>
      <c r="R96" s="451"/>
      <c r="S96" s="451" t="e">
        <f t="shared" si="63"/>
        <v>#N/A</v>
      </c>
      <c r="T96" s="605"/>
      <c r="U96" s="451"/>
      <c r="V96" s="451"/>
      <c r="W96" s="451"/>
      <c r="X96" s="451" t="e">
        <f t="shared" si="65"/>
        <v>#N/A</v>
      </c>
      <c r="Y96" s="605"/>
      <c r="Z96" s="451"/>
      <c r="AA96" s="451"/>
      <c r="AB96" s="451"/>
      <c r="AC96" s="451" t="e">
        <f t="shared" si="57"/>
        <v>#N/A</v>
      </c>
      <c r="AD96" s="605"/>
      <c r="AE96" s="451"/>
      <c r="AF96" s="451"/>
      <c r="AG96" s="451"/>
      <c r="AH96" s="451" t="e">
        <f t="shared" si="59"/>
        <v>#N/A</v>
      </c>
      <c r="AI96" s="605"/>
      <c r="AJ96" s="451"/>
      <c r="AK96" s="451"/>
      <c r="AL96" s="451"/>
      <c r="AM96" s="451" t="e">
        <f t="shared" si="61"/>
        <v>#N/A</v>
      </c>
      <c r="AN96" s="605"/>
      <c r="AO96" s="380"/>
      <c r="AP96" s="380"/>
      <c r="AQ96" s="380"/>
      <c r="AR96" s="281" t="e">
        <f t="shared" si="64"/>
        <v>#N/A</v>
      </c>
      <c r="AS96" s="605"/>
      <c r="AT96" s="380"/>
      <c r="AU96" s="380"/>
      <c r="AV96" s="380"/>
      <c r="AW96" s="281"/>
      <c r="AX96" s="605"/>
    </row>
    <row r="97" spans="2:50">
      <c r="B97" s="572"/>
      <c r="C97" s="451">
        <v>11</v>
      </c>
      <c r="D97" s="226"/>
      <c r="E97" s="182"/>
      <c r="F97" s="451"/>
      <c r="G97" s="453"/>
      <c r="H97" s="609"/>
      <c r="I97" s="202"/>
      <c r="J97" s="202"/>
      <c r="K97" s="202"/>
      <c r="L97" s="541"/>
      <c r="M97" s="455" t="e">
        <f>RANK(K97, K$87:$K$101)</f>
        <v>#N/A</v>
      </c>
      <c r="N97" s="559"/>
      <c r="O97" s="559"/>
      <c r="P97" s="451"/>
      <c r="Q97" s="451"/>
      <c r="R97" s="451"/>
      <c r="S97" s="451" t="e">
        <f t="shared" si="63"/>
        <v>#N/A</v>
      </c>
      <c r="T97" s="605"/>
      <c r="U97" s="451"/>
      <c r="V97" s="451"/>
      <c r="W97" s="451"/>
      <c r="X97" s="451" t="e">
        <f t="shared" si="65"/>
        <v>#N/A</v>
      </c>
      <c r="Y97" s="605"/>
      <c r="Z97" s="451"/>
      <c r="AA97" s="451"/>
      <c r="AB97" s="451"/>
      <c r="AC97" s="451" t="e">
        <f t="shared" si="57"/>
        <v>#N/A</v>
      </c>
      <c r="AD97" s="605"/>
      <c r="AE97" s="451"/>
      <c r="AF97" s="451"/>
      <c r="AG97" s="451"/>
      <c r="AH97" s="451" t="e">
        <f t="shared" si="59"/>
        <v>#N/A</v>
      </c>
      <c r="AI97" s="605"/>
      <c r="AJ97" s="451"/>
      <c r="AK97" s="451"/>
      <c r="AL97" s="451"/>
      <c r="AM97" s="451" t="e">
        <f t="shared" si="61"/>
        <v>#N/A</v>
      </c>
      <c r="AN97" s="605"/>
      <c r="AO97" s="380"/>
      <c r="AP97" s="380"/>
      <c r="AQ97" s="380"/>
      <c r="AR97" s="281" t="e">
        <f t="shared" si="64"/>
        <v>#N/A</v>
      </c>
      <c r="AS97" s="605"/>
      <c r="AT97" s="380"/>
      <c r="AU97" s="380"/>
      <c r="AV97" s="380"/>
      <c r="AW97" s="281"/>
      <c r="AX97" s="605"/>
    </row>
    <row r="98" spans="2:50">
      <c r="B98" s="572"/>
      <c r="C98" s="451">
        <v>12</v>
      </c>
      <c r="D98" s="226"/>
      <c r="E98" s="182"/>
      <c r="F98" s="451"/>
      <c r="G98" s="453"/>
      <c r="H98" s="609"/>
      <c r="I98" s="202"/>
      <c r="J98" s="202"/>
      <c r="K98" s="202"/>
      <c r="L98" s="541"/>
      <c r="M98" s="455" t="e">
        <f>RANK(K98, K$87:$K$101)</f>
        <v>#N/A</v>
      </c>
      <c r="N98" s="559"/>
      <c r="O98" s="559"/>
      <c r="P98" s="451"/>
      <c r="Q98" s="451"/>
      <c r="R98" s="451"/>
      <c r="S98" s="451" t="e">
        <f t="shared" si="63"/>
        <v>#N/A</v>
      </c>
      <c r="T98" s="605"/>
      <c r="U98" s="451"/>
      <c r="V98" s="451"/>
      <c r="W98" s="451"/>
      <c r="X98" s="451" t="e">
        <f t="shared" si="65"/>
        <v>#N/A</v>
      </c>
      <c r="Y98" s="605"/>
      <c r="Z98" s="451"/>
      <c r="AA98" s="451"/>
      <c r="AB98" s="451"/>
      <c r="AC98" s="451" t="e">
        <f t="shared" si="57"/>
        <v>#N/A</v>
      </c>
      <c r="AD98" s="605"/>
      <c r="AE98" s="451"/>
      <c r="AF98" s="451"/>
      <c r="AG98" s="451"/>
      <c r="AH98" s="451" t="e">
        <f t="shared" si="59"/>
        <v>#N/A</v>
      </c>
      <c r="AI98" s="605"/>
      <c r="AJ98" s="451"/>
      <c r="AK98" s="451"/>
      <c r="AL98" s="451"/>
      <c r="AM98" s="451" t="e">
        <f t="shared" si="61"/>
        <v>#N/A</v>
      </c>
      <c r="AN98" s="605"/>
      <c r="AO98" s="380"/>
      <c r="AP98" s="380"/>
      <c r="AQ98" s="380"/>
      <c r="AR98" s="281" t="e">
        <f t="shared" si="64"/>
        <v>#N/A</v>
      </c>
      <c r="AS98" s="605"/>
      <c r="AT98" s="380"/>
      <c r="AU98" s="380"/>
      <c r="AV98" s="380"/>
      <c r="AW98" s="281"/>
      <c r="AX98" s="605"/>
    </row>
    <row r="99" spans="2:50">
      <c r="B99" s="572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41"/>
      <c r="M99" s="455" t="e">
        <f>RANK(K99, K$87:$K$101)</f>
        <v>#N/A</v>
      </c>
      <c r="N99" s="559"/>
      <c r="O99" s="559"/>
      <c r="P99" s="451"/>
      <c r="Q99" s="451"/>
      <c r="R99" s="451"/>
      <c r="S99" s="451" t="e">
        <f t="shared" si="63"/>
        <v>#N/A</v>
      </c>
      <c r="T99" s="605"/>
      <c r="U99" s="451"/>
      <c r="V99" s="451"/>
      <c r="W99" s="451"/>
      <c r="X99" s="451" t="e">
        <f t="shared" si="65"/>
        <v>#N/A</v>
      </c>
      <c r="Y99" s="605"/>
      <c r="Z99" s="451"/>
      <c r="AA99" s="451"/>
      <c r="AB99" s="451"/>
      <c r="AC99" s="451" t="e">
        <f t="shared" si="57"/>
        <v>#N/A</v>
      </c>
      <c r="AD99" s="605"/>
      <c r="AE99" s="451"/>
      <c r="AF99" s="451"/>
      <c r="AG99" s="451"/>
      <c r="AH99" s="451" t="e">
        <f t="shared" si="59"/>
        <v>#N/A</v>
      </c>
      <c r="AI99" s="605"/>
      <c r="AJ99" s="451"/>
      <c r="AK99" s="451"/>
      <c r="AL99" s="451"/>
      <c r="AM99" s="451" t="e">
        <f t="shared" si="61"/>
        <v>#N/A</v>
      </c>
      <c r="AN99" s="605"/>
      <c r="AO99" s="380"/>
      <c r="AP99" s="380"/>
      <c r="AQ99" s="380"/>
      <c r="AR99" s="281" t="e">
        <f t="shared" si="64"/>
        <v>#N/A</v>
      </c>
      <c r="AS99" s="605"/>
      <c r="AT99" s="380"/>
      <c r="AU99" s="380"/>
      <c r="AV99" s="380"/>
      <c r="AW99" s="281"/>
      <c r="AX99" s="605"/>
    </row>
    <row r="100" spans="2:50">
      <c r="B100" s="572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41"/>
      <c r="M100" s="455" t="e">
        <f>RANK(K100, K$87:$K$101)</f>
        <v>#N/A</v>
      </c>
      <c r="N100" s="559"/>
      <c r="O100" s="559"/>
      <c r="P100" s="451"/>
      <c r="Q100" s="451"/>
      <c r="R100" s="451"/>
      <c r="S100" s="451" t="e">
        <f t="shared" si="63"/>
        <v>#N/A</v>
      </c>
      <c r="T100" s="605"/>
      <c r="U100" s="451"/>
      <c r="V100" s="451"/>
      <c r="W100" s="451"/>
      <c r="X100" s="451" t="e">
        <f t="shared" si="65"/>
        <v>#N/A</v>
      </c>
      <c r="Y100" s="605"/>
      <c r="Z100" s="451"/>
      <c r="AA100" s="451"/>
      <c r="AB100" s="451"/>
      <c r="AC100" s="451" t="e">
        <f t="shared" si="57"/>
        <v>#N/A</v>
      </c>
      <c r="AD100" s="605"/>
      <c r="AE100" s="451"/>
      <c r="AF100" s="451"/>
      <c r="AG100" s="451"/>
      <c r="AH100" s="451" t="e">
        <f t="shared" si="59"/>
        <v>#N/A</v>
      </c>
      <c r="AI100" s="605"/>
      <c r="AJ100" s="451"/>
      <c r="AK100" s="451"/>
      <c r="AL100" s="451"/>
      <c r="AM100" s="451" t="e">
        <f t="shared" si="61"/>
        <v>#N/A</v>
      </c>
      <c r="AN100" s="605"/>
      <c r="AO100" s="380"/>
      <c r="AP100" s="380"/>
      <c r="AQ100" s="380"/>
      <c r="AR100" s="281" t="e">
        <f t="shared" si="64"/>
        <v>#N/A</v>
      </c>
      <c r="AS100" s="605"/>
      <c r="AT100" s="380"/>
      <c r="AU100" s="380"/>
      <c r="AV100" s="380"/>
      <c r="AW100" s="281"/>
      <c r="AX100" s="605"/>
    </row>
    <row r="101" spans="2:50">
      <c r="B101" s="572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42"/>
      <c r="M101" s="456" t="e">
        <f>RANK(K101, K$87:$K$101)</f>
        <v>#N/A</v>
      </c>
      <c r="N101" s="559"/>
      <c r="O101" s="559"/>
      <c r="P101" s="451"/>
      <c r="Q101" s="451"/>
      <c r="R101" s="451"/>
      <c r="S101" s="451" t="e">
        <f t="shared" si="63"/>
        <v>#N/A</v>
      </c>
      <c r="T101" s="605"/>
      <c r="U101" s="451"/>
      <c r="V101" s="451"/>
      <c r="W101" s="451"/>
      <c r="X101" s="451" t="e">
        <f t="shared" si="65"/>
        <v>#N/A</v>
      </c>
      <c r="Y101" s="605"/>
      <c r="Z101" s="451"/>
      <c r="AA101" s="451"/>
      <c r="AB101" s="451"/>
      <c r="AC101" s="451" t="e">
        <f t="shared" si="57"/>
        <v>#N/A</v>
      </c>
      <c r="AD101" s="605"/>
      <c r="AE101" s="451"/>
      <c r="AF101" s="451"/>
      <c r="AG101" s="451"/>
      <c r="AH101" s="451" t="e">
        <f t="shared" si="59"/>
        <v>#N/A</v>
      </c>
      <c r="AI101" s="605"/>
      <c r="AJ101" s="451"/>
      <c r="AK101" s="451"/>
      <c r="AL101" s="451"/>
      <c r="AM101" s="451" t="e">
        <f t="shared" si="61"/>
        <v>#N/A</v>
      </c>
      <c r="AN101" s="605"/>
      <c r="AO101" s="380"/>
      <c r="AP101" s="380"/>
      <c r="AQ101" s="380"/>
      <c r="AR101" s="281" t="e">
        <f t="shared" si="64"/>
        <v>#N/A</v>
      </c>
      <c r="AS101" s="605"/>
      <c r="AT101" s="380"/>
      <c r="AU101" s="380"/>
      <c r="AV101" s="380"/>
      <c r="AW101" s="281"/>
      <c r="AX101" s="605"/>
    </row>
    <row r="102" spans="2:50" ht="15.75">
      <c r="B102" s="576" t="s">
        <v>162</v>
      </c>
      <c r="C102" s="577"/>
      <c r="D102" s="577"/>
      <c r="E102" s="577"/>
      <c r="F102" s="577"/>
      <c r="G102" s="577"/>
      <c r="H102" s="578"/>
      <c r="I102" s="208"/>
      <c r="J102" s="208"/>
      <c r="K102" s="208"/>
      <c r="L102" s="208"/>
      <c r="M102" s="207"/>
      <c r="N102" s="565" t="s">
        <v>156</v>
      </c>
      <c r="O102" s="565" t="s">
        <v>105</v>
      </c>
      <c r="P102" s="571">
        <f>P82+7</f>
        <v>46421</v>
      </c>
      <c r="Q102" s="572"/>
      <c r="R102" s="572"/>
      <c r="S102" s="572"/>
      <c r="T102" s="572"/>
      <c r="U102" s="568">
        <f>P102+1</f>
        <v>46422</v>
      </c>
      <c r="V102" s="569"/>
      <c r="W102" s="569"/>
      <c r="X102" s="569"/>
      <c r="Y102" s="570"/>
      <c r="Z102" s="568">
        <f>U102+1</f>
        <v>46423</v>
      </c>
      <c r="AA102" s="569"/>
      <c r="AB102" s="569"/>
      <c r="AC102" s="569"/>
      <c r="AD102" s="570"/>
      <c r="AE102" s="568">
        <f>Z102+1</f>
        <v>46424</v>
      </c>
      <c r="AF102" s="569"/>
      <c r="AG102" s="569"/>
      <c r="AH102" s="569"/>
      <c r="AI102" s="570"/>
      <c r="AJ102" s="568">
        <f>AE102+1</f>
        <v>46425</v>
      </c>
      <c r="AK102" s="569"/>
      <c r="AL102" s="569"/>
      <c r="AM102" s="569"/>
      <c r="AN102" s="570"/>
      <c r="AO102" s="568">
        <f>AJ102+1</f>
        <v>46426</v>
      </c>
      <c r="AP102" s="569"/>
      <c r="AQ102" s="569"/>
      <c r="AR102" s="569"/>
      <c r="AS102" s="570"/>
      <c r="AT102" s="568">
        <f>AO102+1</f>
        <v>46427</v>
      </c>
      <c r="AU102" s="569"/>
      <c r="AV102" s="569"/>
      <c r="AW102" s="569"/>
      <c r="AX102" s="570"/>
    </row>
    <row r="103" spans="2:50" ht="15.75">
      <c r="B103" s="579"/>
      <c r="C103" s="579"/>
      <c r="D103" s="579"/>
      <c r="E103" s="579"/>
      <c r="F103" s="579"/>
      <c r="G103" s="579"/>
      <c r="H103" s="579"/>
      <c r="I103" s="205"/>
      <c r="J103" s="205"/>
      <c r="K103" s="205"/>
      <c r="L103" s="205"/>
      <c r="M103" s="206"/>
      <c r="N103" s="567"/>
      <c r="O103" s="567"/>
      <c r="P103" s="571" t="s">
        <v>158</v>
      </c>
      <c r="Q103" s="572"/>
      <c r="R103" s="572"/>
      <c r="S103" s="572"/>
      <c r="T103" s="572"/>
      <c r="U103" s="571" t="s">
        <v>114</v>
      </c>
      <c r="V103" s="572"/>
      <c r="W103" s="572"/>
      <c r="X103" s="572"/>
      <c r="Y103" s="572"/>
      <c r="Z103" s="571" t="s">
        <v>159</v>
      </c>
      <c r="AA103" s="572"/>
      <c r="AB103" s="572"/>
      <c r="AC103" s="572"/>
      <c r="AD103" s="572"/>
      <c r="AE103" s="571" t="s">
        <v>157</v>
      </c>
      <c r="AF103" s="572"/>
      <c r="AG103" s="572"/>
      <c r="AH103" s="572"/>
      <c r="AI103" s="572"/>
      <c r="AJ103" s="571" t="s">
        <v>160</v>
      </c>
      <c r="AK103" s="572"/>
      <c r="AL103" s="572"/>
      <c r="AM103" s="572"/>
      <c r="AN103" s="572"/>
      <c r="AO103" s="571" t="s">
        <v>115</v>
      </c>
      <c r="AP103" s="572"/>
      <c r="AQ103" s="572"/>
      <c r="AR103" s="572"/>
      <c r="AS103" s="572"/>
      <c r="AT103" s="571" t="s">
        <v>161</v>
      </c>
      <c r="AU103" s="572"/>
      <c r="AV103" s="572"/>
      <c r="AW103" s="572"/>
      <c r="AX103" s="572"/>
    </row>
    <row r="104" spans="2:50">
      <c r="B104" s="559" t="s">
        <v>154</v>
      </c>
      <c r="C104" s="559" t="s">
        <v>428</v>
      </c>
      <c r="D104" s="559"/>
      <c r="E104" s="559" t="s">
        <v>419</v>
      </c>
      <c r="F104" s="559"/>
      <c r="G104" s="559"/>
      <c r="H104" s="560" t="s">
        <v>416</v>
      </c>
      <c r="I104" s="543" t="s">
        <v>420</v>
      </c>
      <c r="J104" s="543"/>
      <c r="K104" s="543"/>
      <c r="L104" s="544" t="s">
        <v>416</v>
      </c>
      <c r="M104" s="550" t="s">
        <v>417</v>
      </c>
      <c r="N104" s="559"/>
      <c r="O104" s="559" t="s">
        <v>421</v>
      </c>
      <c r="P104" s="556" t="s">
        <v>418</v>
      </c>
      <c r="Q104" s="557"/>
      <c r="R104" s="557"/>
      <c r="S104" s="558"/>
      <c r="T104" s="559" t="s">
        <v>416</v>
      </c>
      <c r="U104" s="556" t="s">
        <v>418</v>
      </c>
      <c r="V104" s="557"/>
      <c r="W104" s="557"/>
      <c r="X104" s="558"/>
      <c r="Y104" s="559" t="s">
        <v>416</v>
      </c>
      <c r="Z104" s="556" t="s">
        <v>418</v>
      </c>
      <c r="AA104" s="557"/>
      <c r="AB104" s="557"/>
      <c r="AC104" s="558"/>
      <c r="AD104" s="559" t="s">
        <v>416</v>
      </c>
      <c r="AE104" s="556" t="s">
        <v>418</v>
      </c>
      <c r="AF104" s="557"/>
      <c r="AG104" s="557"/>
      <c r="AH104" s="558"/>
      <c r="AI104" s="559" t="s">
        <v>416</v>
      </c>
      <c r="AJ104" s="556" t="s">
        <v>418</v>
      </c>
      <c r="AK104" s="557"/>
      <c r="AL104" s="557"/>
      <c r="AM104" s="558"/>
      <c r="AN104" s="559" t="s">
        <v>416</v>
      </c>
      <c r="AO104" s="556" t="s">
        <v>418</v>
      </c>
      <c r="AP104" s="557"/>
      <c r="AQ104" s="557"/>
      <c r="AR104" s="558"/>
      <c r="AS104" s="559" t="s">
        <v>416</v>
      </c>
      <c r="AT104" s="556" t="s">
        <v>418</v>
      </c>
      <c r="AU104" s="557"/>
      <c r="AV104" s="557"/>
      <c r="AW104" s="558"/>
      <c r="AX104" s="559" t="s">
        <v>416</v>
      </c>
    </row>
    <row r="105" spans="2:50">
      <c r="B105" s="559"/>
      <c r="C105" s="559"/>
      <c r="D105" s="559"/>
      <c r="E105" s="559" t="s">
        <v>422</v>
      </c>
      <c r="F105" s="559"/>
      <c r="G105" s="559"/>
      <c r="H105" s="561"/>
      <c r="I105" s="543" t="s">
        <v>422</v>
      </c>
      <c r="J105" s="543"/>
      <c r="K105" s="543"/>
      <c r="L105" s="545"/>
      <c r="M105" s="551"/>
      <c r="N105" s="559"/>
      <c r="O105" s="559"/>
      <c r="P105" s="556" t="s">
        <v>423</v>
      </c>
      <c r="Q105" s="557"/>
      <c r="R105" s="557"/>
      <c r="S105" s="558"/>
      <c r="T105" s="559"/>
      <c r="U105" s="556" t="s">
        <v>423</v>
      </c>
      <c r="V105" s="557"/>
      <c r="W105" s="557"/>
      <c r="X105" s="558"/>
      <c r="Y105" s="559"/>
      <c r="Z105" s="556" t="s">
        <v>423</v>
      </c>
      <c r="AA105" s="557"/>
      <c r="AB105" s="557"/>
      <c r="AC105" s="558"/>
      <c r="AD105" s="559"/>
      <c r="AE105" s="556" t="s">
        <v>423</v>
      </c>
      <c r="AF105" s="557"/>
      <c r="AG105" s="557"/>
      <c r="AH105" s="558"/>
      <c r="AI105" s="559"/>
      <c r="AJ105" s="556" t="s">
        <v>423</v>
      </c>
      <c r="AK105" s="557"/>
      <c r="AL105" s="557"/>
      <c r="AM105" s="558"/>
      <c r="AN105" s="559"/>
      <c r="AO105" s="556" t="s">
        <v>423</v>
      </c>
      <c r="AP105" s="557"/>
      <c r="AQ105" s="557"/>
      <c r="AR105" s="558"/>
      <c r="AS105" s="559"/>
      <c r="AT105" s="556" t="s">
        <v>423</v>
      </c>
      <c r="AU105" s="557"/>
      <c r="AV105" s="557"/>
      <c r="AW105" s="558"/>
      <c r="AX105" s="559"/>
    </row>
    <row r="106" spans="2:50">
      <c r="B106" s="559"/>
      <c r="C106" s="559"/>
      <c r="D106" s="559"/>
      <c r="E106" s="298" t="s">
        <v>424</v>
      </c>
      <c r="F106" s="298" t="s">
        <v>425</v>
      </c>
      <c r="G106" s="298" t="s">
        <v>426</v>
      </c>
      <c r="H106" s="562"/>
      <c r="I106" s="299" t="s">
        <v>424</v>
      </c>
      <c r="J106" s="299" t="s">
        <v>425</v>
      </c>
      <c r="K106" s="299" t="s">
        <v>426</v>
      </c>
      <c r="L106" s="546"/>
      <c r="M106" s="552"/>
      <c r="N106" s="559"/>
      <c r="O106" s="559"/>
      <c r="P106" s="298" t="s">
        <v>424</v>
      </c>
      <c r="Q106" s="298" t="s">
        <v>425</v>
      </c>
      <c r="R106" s="298" t="s">
        <v>426</v>
      </c>
      <c r="S106" s="298" t="s">
        <v>417</v>
      </c>
      <c r="T106" s="559"/>
      <c r="U106" s="298" t="s">
        <v>424</v>
      </c>
      <c r="V106" s="298" t="s">
        <v>425</v>
      </c>
      <c r="W106" s="298" t="s">
        <v>426</v>
      </c>
      <c r="X106" s="298" t="s">
        <v>417</v>
      </c>
      <c r="Y106" s="559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9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9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9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9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9"/>
    </row>
    <row r="107" spans="2:50">
      <c r="B107" s="559" t="s">
        <v>429</v>
      </c>
      <c r="C107" s="297">
        <v>1</v>
      </c>
      <c r="D107" s="226"/>
      <c r="E107" s="182"/>
      <c r="F107" s="297"/>
      <c r="G107" s="300"/>
      <c r="H107" s="608" t="e">
        <f>AVERAGE(G107:G121)</f>
        <v>#DIV/0!</v>
      </c>
      <c r="I107" s="199" t="e">
        <f t="shared" ref="I107:K108" si="66">AVERAGE(P107,U107,Z107,AE107,AJ107,AO107,AT107)</f>
        <v>#DIV/0!</v>
      </c>
      <c r="J107" s="199" t="e">
        <f t="shared" si="66"/>
        <v>#DIV/0!</v>
      </c>
      <c r="K107" s="200" t="e">
        <f t="shared" si="66"/>
        <v>#DIV/0!</v>
      </c>
      <c r="L107" s="540" t="str">
        <f>IFERROR(AVERAGE(K107:K121),"-")</f>
        <v>-</v>
      </c>
      <c r="M107" s="201" t="e">
        <f>RANK(K107, K$87:$K$101)</f>
        <v>#DIV/0!</v>
      </c>
      <c r="N107" s="559"/>
      <c r="O107" s="559"/>
      <c r="P107" s="182"/>
      <c r="Q107" s="182"/>
      <c r="R107" s="300"/>
      <c r="S107" s="297" t="e">
        <f>RANK(R107, R$107:R$121)</f>
        <v>#N/A</v>
      </c>
      <c r="T107" s="605" t="e">
        <f>AVERAGE(R107:R121)</f>
        <v>#DIV/0!</v>
      </c>
      <c r="U107" s="182"/>
      <c r="V107" s="182"/>
      <c r="W107" s="312"/>
      <c r="X107" s="308" t="e">
        <f>RANK(W107, W$107:W$121)</f>
        <v>#N/A</v>
      </c>
      <c r="Y107" s="605" t="e">
        <f>AVERAGE(W107:W121)</f>
        <v>#DIV/0!</v>
      </c>
      <c r="Z107" s="182"/>
      <c r="AA107" s="182"/>
      <c r="AB107" s="312"/>
      <c r="AC107" s="308" t="e">
        <f>RANK(AB107, AB$107:AB$121)</f>
        <v>#N/A</v>
      </c>
      <c r="AD107" s="605" t="e">
        <f>AVERAGE(AB107:AB121)</f>
        <v>#DIV/0!</v>
      </c>
      <c r="AE107" s="182"/>
      <c r="AF107" s="182"/>
      <c r="AG107" s="312"/>
      <c r="AH107" s="308" t="e">
        <f>RANK(AG107, AG$107:AG$121)</f>
        <v>#N/A</v>
      </c>
      <c r="AI107" s="605" t="e">
        <f>AVERAGE(AG107:AG121)</f>
        <v>#DIV/0!</v>
      </c>
      <c r="AJ107" s="182"/>
      <c r="AK107" s="182"/>
      <c r="AL107" s="312"/>
      <c r="AM107" s="308" t="e">
        <f>RANK(AL107, AL$107:AL$121)</f>
        <v>#N/A</v>
      </c>
      <c r="AN107" s="605" t="e">
        <f>AVERAGE(AL107:AL121)</f>
        <v>#DIV/0!</v>
      </c>
      <c r="AO107" s="182"/>
      <c r="AP107" s="182"/>
      <c r="AQ107" s="312"/>
      <c r="AR107" s="308" t="e">
        <f>RANK(AQ107, AQ$107:AQ$121)</f>
        <v>#N/A</v>
      </c>
      <c r="AS107" s="605" t="e">
        <f>AVERAGE(AQ107:AQ121)</f>
        <v>#DIV/0!</v>
      </c>
      <c r="AT107" s="182"/>
      <c r="AU107" s="182"/>
      <c r="AV107" s="312"/>
      <c r="AW107" s="308" t="e">
        <f>RANK(AV107, AV$107:AV$121)</f>
        <v>#N/A</v>
      </c>
      <c r="AX107" s="605" t="e">
        <f>AVERAGE(AV107:AV121)</f>
        <v>#DIV/0!</v>
      </c>
    </row>
    <row r="108" spans="2:50">
      <c r="B108" s="572"/>
      <c r="C108" s="297">
        <v>2</v>
      </c>
      <c r="D108" s="226"/>
      <c r="E108" s="182"/>
      <c r="F108" s="297"/>
      <c r="G108" s="300"/>
      <c r="H108" s="609"/>
      <c r="I108" s="310" t="e">
        <f t="shared" si="66"/>
        <v>#DIV/0!</v>
      </c>
      <c r="J108" s="310" t="e">
        <f t="shared" si="66"/>
        <v>#DIV/0!</v>
      </c>
      <c r="K108" s="200" t="e">
        <f t="shared" si="66"/>
        <v>#DIV/0!</v>
      </c>
      <c r="L108" s="541"/>
      <c r="M108" s="201" t="e">
        <f>RANK(K108, K$87:$K$101)</f>
        <v>#DIV/0!</v>
      </c>
      <c r="N108" s="559"/>
      <c r="O108" s="559"/>
      <c r="P108" s="297"/>
      <c r="Q108" s="182"/>
      <c r="R108" s="309"/>
      <c r="S108" s="308" t="e">
        <f t="shared" ref="S108:S121" si="67">RANK(R108, R$107:R$121)</f>
        <v>#N/A</v>
      </c>
      <c r="T108" s="605"/>
      <c r="U108" s="311"/>
      <c r="V108" s="182"/>
      <c r="W108" s="312"/>
      <c r="X108" s="308" t="e">
        <f t="shared" ref="X108:X121" si="68">RANK(W108, W$107:W$121)</f>
        <v>#N/A</v>
      </c>
      <c r="Y108" s="605"/>
      <c r="Z108" s="311"/>
      <c r="AA108" s="182"/>
      <c r="AB108" s="312"/>
      <c r="AC108" s="308" t="e">
        <f t="shared" ref="AC108:AC121" si="69">RANK(AB108, AB$107:AB$121)</f>
        <v>#N/A</v>
      </c>
      <c r="AD108" s="605"/>
      <c r="AE108" s="311"/>
      <c r="AF108" s="182"/>
      <c r="AG108" s="312"/>
      <c r="AH108" s="308" t="e">
        <f t="shared" ref="AH108:AH121" si="70">RANK(AG108, AG$107:AG$121)</f>
        <v>#N/A</v>
      </c>
      <c r="AI108" s="605"/>
      <c r="AJ108" s="311"/>
      <c r="AK108" s="182"/>
      <c r="AL108" s="312"/>
      <c r="AM108" s="308" t="e">
        <f t="shared" ref="AM108:AM121" si="71">RANK(AL108, AL$107:AL$121)</f>
        <v>#N/A</v>
      </c>
      <c r="AN108" s="605"/>
      <c r="AO108" s="311"/>
      <c r="AP108" s="182"/>
      <c r="AQ108" s="312"/>
      <c r="AR108" s="308" t="e">
        <f t="shared" ref="AR108:AR121" si="72">RANK(AQ108, AQ$107:AQ$121)</f>
        <v>#N/A</v>
      </c>
      <c r="AS108" s="605"/>
      <c r="AT108" s="311"/>
      <c r="AU108" s="182"/>
      <c r="AV108" s="312"/>
      <c r="AW108" s="308" t="e">
        <f t="shared" ref="AW108:AW121" si="73">RANK(AV108, AV$107:AV$121)</f>
        <v>#N/A</v>
      </c>
      <c r="AX108" s="605"/>
    </row>
    <row r="109" spans="2:50">
      <c r="B109" s="572"/>
      <c r="C109" s="297">
        <v>3</v>
      </c>
      <c r="D109" s="226"/>
      <c r="E109" s="182"/>
      <c r="F109" s="297"/>
      <c r="G109" s="300"/>
      <c r="H109" s="609"/>
      <c r="I109" s="199"/>
      <c r="J109" s="199"/>
      <c r="K109" s="200"/>
      <c r="L109" s="541"/>
      <c r="M109" s="201" t="e">
        <f>RANK(K109, K$87:$K$101)</f>
        <v>#N/A</v>
      </c>
      <c r="N109" s="559"/>
      <c r="O109" s="559"/>
      <c r="P109" s="297"/>
      <c r="Q109" s="297"/>
      <c r="R109" s="297"/>
      <c r="S109" s="308" t="e">
        <f t="shared" si="67"/>
        <v>#N/A</v>
      </c>
      <c r="T109" s="605"/>
      <c r="U109" s="311"/>
      <c r="V109" s="311"/>
      <c r="W109" s="311"/>
      <c r="X109" s="308" t="e">
        <f t="shared" si="68"/>
        <v>#N/A</v>
      </c>
      <c r="Y109" s="605"/>
      <c r="Z109" s="311"/>
      <c r="AA109" s="311"/>
      <c r="AB109" s="311"/>
      <c r="AC109" s="308" t="e">
        <f t="shared" si="69"/>
        <v>#N/A</v>
      </c>
      <c r="AD109" s="605"/>
      <c r="AE109" s="311"/>
      <c r="AF109" s="311"/>
      <c r="AG109" s="311"/>
      <c r="AH109" s="308" t="e">
        <f t="shared" si="70"/>
        <v>#N/A</v>
      </c>
      <c r="AI109" s="605"/>
      <c r="AJ109" s="311"/>
      <c r="AK109" s="311"/>
      <c r="AL109" s="311"/>
      <c r="AM109" s="308" t="e">
        <f t="shared" si="71"/>
        <v>#N/A</v>
      </c>
      <c r="AN109" s="605"/>
      <c r="AO109" s="311"/>
      <c r="AP109" s="311"/>
      <c r="AQ109" s="311"/>
      <c r="AR109" s="308" t="e">
        <f t="shared" si="72"/>
        <v>#N/A</v>
      </c>
      <c r="AS109" s="605"/>
      <c r="AT109" s="311"/>
      <c r="AU109" s="311"/>
      <c r="AV109" s="311"/>
      <c r="AW109" s="308" t="e">
        <f t="shared" si="73"/>
        <v>#N/A</v>
      </c>
      <c r="AX109" s="605"/>
    </row>
    <row r="110" spans="2:50">
      <c r="B110" s="572"/>
      <c r="C110" s="297">
        <v>4</v>
      </c>
      <c r="D110" s="226"/>
      <c r="E110" s="182"/>
      <c r="F110" s="297"/>
      <c r="G110" s="300"/>
      <c r="H110" s="609"/>
      <c r="I110" s="199"/>
      <c r="J110" s="199"/>
      <c r="K110" s="200"/>
      <c r="L110" s="541"/>
      <c r="M110" s="201" t="e">
        <f>RANK(K110, K$87:$K$101)</f>
        <v>#N/A</v>
      </c>
      <c r="N110" s="559"/>
      <c r="O110" s="559"/>
      <c r="P110" s="297"/>
      <c r="Q110" s="297"/>
      <c r="R110" s="297"/>
      <c r="S110" s="308" t="e">
        <f t="shared" si="67"/>
        <v>#N/A</v>
      </c>
      <c r="T110" s="605"/>
      <c r="U110" s="311"/>
      <c r="V110" s="311"/>
      <c r="W110" s="311"/>
      <c r="X110" s="308" t="e">
        <f t="shared" si="68"/>
        <v>#N/A</v>
      </c>
      <c r="Y110" s="605"/>
      <c r="Z110" s="311"/>
      <c r="AA110" s="311"/>
      <c r="AB110" s="311"/>
      <c r="AC110" s="308" t="e">
        <f t="shared" si="69"/>
        <v>#N/A</v>
      </c>
      <c r="AD110" s="605"/>
      <c r="AE110" s="311"/>
      <c r="AF110" s="311"/>
      <c r="AG110" s="311"/>
      <c r="AH110" s="308" t="e">
        <f t="shared" si="70"/>
        <v>#N/A</v>
      </c>
      <c r="AI110" s="605"/>
      <c r="AJ110" s="311"/>
      <c r="AK110" s="311"/>
      <c r="AL110" s="311"/>
      <c r="AM110" s="308" t="e">
        <f t="shared" si="71"/>
        <v>#N/A</v>
      </c>
      <c r="AN110" s="605"/>
      <c r="AO110" s="311"/>
      <c r="AP110" s="311"/>
      <c r="AQ110" s="311"/>
      <c r="AR110" s="308" t="e">
        <f t="shared" si="72"/>
        <v>#N/A</v>
      </c>
      <c r="AS110" s="605"/>
      <c r="AT110" s="311"/>
      <c r="AU110" s="311"/>
      <c r="AV110" s="311"/>
      <c r="AW110" s="308" t="e">
        <f t="shared" si="73"/>
        <v>#N/A</v>
      </c>
      <c r="AX110" s="605"/>
    </row>
    <row r="111" spans="2:50">
      <c r="B111" s="572"/>
      <c r="C111" s="297">
        <v>5</v>
      </c>
      <c r="D111" s="226"/>
      <c r="E111" s="182"/>
      <c r="F111" s="297"/>
      <c r="G111" s="300"/>
      <c r="H111" s="609"/>
      <c r="I111" s="199"/>
      <c r="J111" s="199"/>
      <c r="K111" s="200"/>
      <c r="L111" s="541"/>
      <c r="M111" s="201" t="e">
        <f>RANK(K111, K$87:$K$101)</f>
        <v>#N/A</v>
      </c>
      <c r="N111" s="559"/>
      <c r="O111" s="559"/>
      <c r="P111" s="297"/>
      <c r="Q111" s="297"/>
      <c r="R111" s="297"/>
      <c r="S111" s="308" t="e">
        <f t="shared" si="67"/>
        <v>#N/A</v>
      </c>
      <c r="T111" s="605"/>
      <c r="U111" s="311"/>
      <c r="V111" s="311"/>
      <c r="W111" s="311"/>
      <c r="X111" s="308" t="e">
        <f t="shared" si="68"/>
        <v>#N/A</v>
      </c>
      <c r="Y111" s="605"/>
      <c r="Z111" s="311"/>
      <c r="AA111" s="311"/>
      <c r="AB111" s="311"/>
      <c r="AC111" s="308" t="e">
        <f t="shared" si="69"/>
        <v>#N/A</v>
      </c>
      <c r="AD111" s="605"/>
      <c r="AE111" s="311"/>
      <c r="AF111" s="311"/>
      <c r="AG111" s="311"/>
      <c r="AH111" s="308" t="e">
        <f t="shared" si="70"/>
        <v>#N/A</v>
      </c>
      <c r="AI111" s="605"/>
      <c r="AJ111" s="311"/>
      <c r="AK111" s="311"/>
      <c r="AL111" s="311"/>
      <c r="AM111" s="308" t="e">
        <f t="shared" si="71"/>
        <v>#N/A</v>
      </c>
      <c r="AN111" s="605"/>
      <c r="AO111" s="311"/>
      <c r="AP111" s="311"/>
      <c r="AQ111" s="311"/>
      <c r="AR111" s="308" t="e">
        <f t="shared" si="72"/>
        <v>#N/A</v>
      </c>
      <c r="AS111" s="605"/>
      <c r="AT111" s="311"/>
      <c r="AU111" s="311"/>
      <c r="AV111" s="311"/>
      <c r="AW111" s="308" t="e">
        <f t="shared" si="73"/>
        <v>#N/A</v>
      </c>
      <c r="AX111" s="605"/>
    </row>
    <row r="112" spans="2:50">
      <c r="B112" s="572"/>
      <c r="C112" s="297">
        <v>6</v>
      </c>
      <c r="D112" s="226"/>
      <c r="E112" s="182"/>
      <c r="F112" s="297"/>
      <c r="G112" s="300"/>
      <c r="H112" s="609"/>
      <c r="I112" s="199"/>
      <c r="J112" s="199"/>
      <c r="K112" s="200"/>
      <c r="L112" s="541"/>
      <c r="M112" s="201" t="e">
        <f>RANK(K112, K$87:$K$101)</f>
        <v>#N/A</v>
      </c>
      <c r="N112" s="559"/>
      <c r="O112" s="559"/>
      <c r="P112" s="297"/>
      <c r="Q112" s="297"/>
      <c r="R112" s="297"/>
      <c r="S112" s="308" t="e">
        <f t="shared" si="67"/>
        <v>#N/A</v>
      </c>
      <c r="T112" s="605"/>
      <c r="U112" s="311"/>
      <c r="V112" s="311"/>
      <c r="W112" s="311"/>
      <c r="X112" s="308" t="e">
        <f t="shared" si="68"/>
        <v>#N/A</v>
      </c>
      <c r="Y112" s="605"/>
      <c r="Z112" s="311"/>
      <c r="AA112" s="311"/>
      <c r="AB112" s="311"/>
      <c r="AC112" s="308" t="e">
        <f t="shared" si="69"/>
        <v>#N/A</v>
      </c>
      <c r="AD112" s="605"/>
      <c r="AE112" s="311"/>
      <c r="AF112" s="311"/>
      <c r="AG112" s="311"/>
      <c r="AH112" s="308" t="e">
        <f t="shared" si="70"/>
        <v>#N/A</v>
      </c>
      <c r="AI112" s="605"/>
      <c r="AJ112" s="311"/>
      <c r="AK112" s="311"/>
      <c r="AL112" s="311"/>
      <c r="AM112" s="308" t="e">
        <f t="shared" si="71"/>
        <v>#N/A</v>
      </c>
      <c r="AN112" s="605"/>
      <c r="AO112" s="311"/>
      <c r="AP112" s="311"/>
      <c r="AQ112" s="311"/>
      <c r="AR112" s="308" t="e">
        <f t="shared" si="72"/>
        <v>#N/A</v>
      </c>
      <c r="AS112" s="605"/>
      <c r="AT112" s="311"/>
      <c r="AU112" s="311"/>
      <c r="AV112" s="311"/>
      <c r="AW112" s="308" t="e">
        <f t="shared" si="73"/>
        <v>#N/A</v>
      </c>
      <c r="AX112" s="605"/>
    </row>
    <row r="113" spans="2:50">
      <c r="B113" s="572"/>
      <c r="C113" s="297">
        <v>7</v>
      </c>
      <c r="D113" s="226"/>
      <c r="E113" s="182"/>
      <c r="F113" s="297"/>
      <c r="G113" s="300"/>
      <c r="H113" s="609"/>
      <c r="I113" s="199"/>
      <c r="J113" s="199"/>
      <c r="K113" s="200"/>
      <c r="L113" s="541"/>
      <c r="M113" s="201" t="e">
        <f>RANK(K113, K$87:$K$101)</f>
        <v>#N/A</v>
      </c>
      <c r="N113" s="559"/>
      <c r="O113" s="559"/>
      <c r="P113" s="297"/>
      <c r="Q113" s="297"/>
      <c r="R113" s="297"/>
      <c r="S113" s="308" t="e">
        <f t="shared" si="67"/>
        <v>#N/A</v>
      </c>
      <c r="T113" s="605"/>
      <c r="U113" s="311"/>
      <c r="V113" s="311"/>
      <c r="W113" s="311"/>
      <c r="X113" s="308" t="e">
        <f t="shared" si="68"/>
        <v>#N/A</v>
      </c>
      <c r="Y113" s="605"/>
      <c r="Z113" s="311"/>
      <c r="AA113" s="311"/>
      <c r="AB113" s="311"/>
      <c r="AC113" s="308" t="e">
        <f t="shared" si="69"/>
        <v>#N/A</v>
      </c>
      <c r="AD113" s="605"/>
      <c r="AE113" s="311"/>
      <c r="AF113" s="311"/>
      <c r="AG113" s="311"/>
      <c r="AH113" s="308" t="e">
        <f t="shared" si="70"/>
        <v>#N/A</v>
      </c>
      <c r="AI113" s="605"/>
      <c r="AJ113" s="311"/>
      <c r="AK113" s="311"/>
      <c r="AL113" s="311"/>
      <c r="AM113" s="308" t="e">
        <f t="shared" si="71"/>
        <v>#N/A</v>
      </c>
      <c r="AN113" s="605"/>
      <c r="AO113" s="311"/>
      <c r="AP113" s="311"/>
      <c r="AQ113" s="311"/>
      <c r="AR113" s="308" t="e">
        <f t="shared" si="72"/>
        <v>#N/A</v>
      </c>
      <c r="AS113" s="605"/>
      <c r="AT113" s="311"/>
      <c r="AU113" s="311"/>
      <c r="AV113" s="311"/>
      <c r="AW113" s="308" t="e">
        <f t="shared" si="73"/>
        <v>#N/A</v>
      </c>
      <c r="AX113" s="605"/>
    </row>
    <row r="114" spans="2:50">
      <c r="B114" s="572"/>
      <c r="C114" s="297">
        <v>8</v>
      </c>
      <c r="D114" s="226"/>
      <c r="E114" s="182"/>
      <c r="F114" s="297"/>
      <c r="G114" s="300"/>
      <c r="H114" s="609"/>
      <c r="I114" s="199"/>
      <c r="J114" s="199"/>
      <c r="K114" s="200"/>
      <c r="L114" s="541"/>
      <c r="M114" s="201" t="e">
        <f>RANK(K114, K$87:$K$101)</f>
        <v>#N/A</v>
      </c>
      <c r="N114" s="559"/>
      <c r="O114" s="559"/>
      <c r="P114" s="297"/>
      <c r="Q114" s="297"/>
      <c r="R114" s="297"/>
      <c r="S114" s="308" t="e">
        <f t="shared" si="67"/>
        <v>#N/A</v>
      </c>
      <c r="T114" s="605"/>
      <c r="U114" s="311"/>
      <c r="V114" s="311"/>
      <c r="W114" s="311"/>
      <c r="X114" s="308" t="e">
        <f t="shared" si="68"/>
        <v>#N/A</v>
      </c>
      <c r="Y114" s="605"/>
      <c r="Z114" s="311"/>
      <c r="AA114" s="311"/>
      <c r="AB114" s="311"/>
      <c r="AC114" s="308" t="e">
        <f t="shared" si="69"/>
        <v>#N/A</v>
      </c>
      <c r="AD114" s="605"/>
      <c r="AE114" s="311"/>
      <c r="AF114" s="311"/>
      <c r="AG114" s="311"/>
      <c r="AH114" s="308" t="e">
        <f t="shared" si="70"/>
        <v>#N/A</v>
      </c>
      <c r="AI114" s="605"/>
      <c r="AJ114" s="311"/>
      <c r="AK114" s="311"/>
      <c r="AL114" s="311"/>
      <c r="AM114" s="308" t="e">
        <f t="shared" si="71"/>
        <v>#N/A</v>
      </c>
      <c r="AN114" s="605"/>
      <c r="AO114" s="311"/>
      <c r="AP114" s="311"/>
      <c r="AQ114" s="311"/>
      <c r="AR114" s="308" t="e">
        <f t="shared" si="72"/>
        <v>#N/A</v>
      </c>
      <c r="AS114" s="605"/>
      <c r="AT114" s="311"/>
      <c r="AU114" s="311"/>
      <c r="AV114" s="311"/>
      <c r="AW114" s="308" t="e">
        <f t="shared" si="73"/>
        <v>#N/A</v>
      </c>
      <c r="AX114" s="605"/>
    </row>
    <row r="115" spans="2:50">
      <c r="B115" s="572"/>
      <c r="C115" s="297">
        <v>9</v>
      </c>
      <c r="D115" s="226"/>
      <c r="E115" s="182"/>
      <c r="F115" s="297"/>
      <c r="G115" s="300"/>
      <c r="H115" s="609"/>
      <c r="I115" s="199"/>
      <c r="J115" s="199"/>
      <c r="K115" s="200"/>
      <c r="L115" s="541"/>
      <c r="M115" s="201" t="e">
        <f>RANK(K115, K$87:$K$101)</f>
        <v>#N/A</v>
      </c>
      <c r="N115" s="559"/>
      <c r="O115" s="559"/>
      <c r="P115" s="297"/>
      <c r="Q115" s="297"/>
      <c r="R115" s="297"/>
      <c r="S115" s="308" t="e">
        <f t="shared" si="67"/>
        <v>#N/A</v>
      </c>
      <c r="T115" s="605"/>
      <c r="U115" s="311"/>
      <c r="V115" s="311"/>
      <c r="W115" s="311"/>
      <c r="X115" s="308" t="e">
        <f t="shared" si="68"/>
        <v>#N/A</v>
      </c>
      <c r="Y115" s="605"/>
      <c r="Z115" s="311"/>
      <c r="AA115" s="311"/>
      <c r="AB115" s="311"/>
      <c r="AC115" s="308" t="e">
        <f t="shared" si="69"/>
        <v>#N/A</v>
      </c>
      <c r="AD115" s="605"/>
      <c r="AE115" s="311"/>
      <c r="AF115" s="311"/>
      <c r="AG115" s="311"/>
      <c r="AH115" s="308" t="e">
        <f t="shared" si="70"/>
        <v>#N/A</v>
      </c>
      <c r="AI115" s="605"/>
      <c r="AJ115" s="311"/>
      <c r="AK115" s="311"/>
      <c r="AL115" s="311"/>
      <c r="AM115" s="308" t="e">
        <f t="shared" si="71"/>
        <v>#N/A</v>
      </c>
      <c r="AN115" s="605"/>
      <c r="AO115" s="311"/>
      <c r="AP115" s="311"/>
      <c r="AQ115" s="311"/>
      <c r="AR115" s="308" t="e">
        <f t="shared" si="72"/>
        <v>#N/A</v>
      </c>
      <c r="AS115" s="605"/>
      <c r="AT115" s="311"/>
      <c r="AU115" s="311"/>
      <c r="AV115" s="311"/>
      <c r="AW115" s="308" t="e">
        <f t="shared" si="73"/>
        <v>#N/A</v>
      </c>
      <c r="AX115" s="605"/>
    </row>
    <row r="116" spans="2:50">
      <c r="B116" s="572"/>
      <c r="C116" s="297">
        <v>10</v>
      </c>
      <c r="D116" s="226"/>
      <c r="E116" s="182"/>
      <c r="F116" s="297"/>
      <c r="G116" s="300"/>
      <c r="H116" s="609"/>
      <c r="I116" s="199"/>
      <c r="J116" s="199"/>
      <c r="K116" s="200"/>
      <c r="L116" s="541"/>
      <c r="M116" s="201" t="e">
        <f>RANK(K116, K$87:$K$101)</f>
        <v>#N/A</v>
      </c>
      <c r="N116" s="559"/>
      <c r="O116" s="559"/>
      <c r="P116" s="297"/>
      <c r="Q116" s="297"/>
      <c r="R116" s="297"/>
      <c r="S116" s="308" t="e">
        <f t="shared" si="67"/>
        <v>#N/A</v>
      </c>
      <c r="T116" s="605"/>
      <c r="U116" s="311"/>
      <c r="V116" s="311"/>
      <c r="W116" s="311"/>
      <c r="X116" s="308" t="e">
        <f t="shared" si="68"/>
        <v>#N/A</v>
      </c>
      <c r="Y116" s="605"/>
      <c r="Z116" s="311"/>
      <c r="AA116" s="311"/>
      <c r="AB116" s="311"/>
      <c r="AC116" s="308" t="e">
        <f t="shared" si="69"/>
        <v>#N/A</v>
      </c>
      <c r="AD116" s="605"/>
      <c r="AE116" s="311"/>
      <c r="AF116" s="311"/>
      <c r="AG116" s="311"/>
      <c r="AH116" s="308" t="e">
        <f t="shared" si="70"/>
        <v>#N/A</v>
      </c>
      <c r="AI116" s="605"/>
      <c r="AJ116" s="311"/>
      <c r="AK116" s="311"/>
      <c r="AL116" s="311"/>
      <c r="AM116" s="308" t="e">
        <f t="shared" si="71"/>
        <v>#N/A</v>
      </c>
      <c r="AN116" s="605"/>
      <c r="AO116" s="311"/>
      <c r="AP116" s="311"/>
      <c r="AQ116" s="311"/>
      <c r="AR116" s="308" t="e">
        <f t="shared" si="72"/>
        <v>#N/A</v>
      </c>
      <c r="AS116" s="605"/>
      <c r="AT116" s="311"/>
      <c r="AU116" s="311"/>
      <c r="AV116" s="311"/>
      <c r="AW116" s="308" t="e">
        <f t="shared" si="73"/>
        <v>#N/A</v>
      </c>
      <c r="AX116" s="605"/>
    </row>
    <row r="117" spans="2:50">
      <c r="B117" s="572"/>
      <c r="C117" s="297">
        <v>11</v>
      </c>
      <c r="D117" s="226"/>
      <c r="E117" s="182"/>
      <c r="F117" s="297"/>
      <c r="G117" s="300"/>
      <c r="H117" s="609"/>
      <c r="I117" s="202"/>
      <c r="J117" s="202"/>
      <c r="K117" s="202"/>
      <c r="L117" s="541"/>
      <c r="M117" s="201" t="e">
        <f>RANK(K117, K$87:$K$101)</f>
        <v>#N/A</v>
      </c>
      <c r="N117" s="559"/>
      <c r="O117" s="559"/>
      <c r="P117" s="297"/>
      <c r="Q117" s="297"/>
      <c r="R117" s="297"/>
      <c r="S117" s="308" t="e">
        <f t="shared" si="67"/>
        <v>#N/A</v>
      </c>
      <c r="T117" s="605"/>
      <c r="U117" s="311"/>
      <c r="V117" s="311"/>
      <c r="W117" s="311"/>
      <c r="X117" s="308" t="e">
        <f t="shared" si="68"/>
        <v>#N/A</v>
      </c>
      <c r="Y117" s="605"/>
      <c r="Z117" s="311"/>
      <c r="AA117" s="311"/>
      <c r="AB117" s="311"/>
      <c r="AC117" s="308" t="e">
        <f t="shared" si="69"/>
        <v>#N/A</v>
      </c>
      <c r="AD117" s="605"/>
      <c r="AE117" s="311"/>
      <c r="AF117" s="311"/>
      <c r="AG117" s="311"/>
      <c r="AH117" s="308" t="e">
        <f t="shared" si="70"/>
        <v>#N/A</v>
      </c>
      <c r="AI117" s="605"/>
      <c r="AJ117" s="311"/>
      <c r="AK117" s="311"/>
      <c r="AL117" s="311"/>
      <c r="AM117" s="308" t="e">
        <f t="shared" si="71"/>
        <v>#N/A</v>
      </c>
      <c r="AN117" s="605"/>
      <c r="AO117" s="311"/>
      <c r="AP117" s="311"/>
      <c r="AQ117" s="311"/>
      <c r="AR117" s="308" t="e">
        <f t="shared" si="72"/>
        <v>#N/A</v>
      </c>
      <c r="AS117" s="605"/>
      <c r="AT117" s="311"/>
      <c r="AU117" s="311"/>
      <c r="AV117" s="311"/>
      <c r="AW117" s="308" t="e">
        <f t="shared" si="73"/>
        <v>#N/A</v>
      </c>
      <c r="AX117" s="605"/>
    </row>
    <row r="118" spans="2:50">
      <c r="B118" s="572"/>
      <c r="C118" s="297">
        <v>12</v>
      </c>
      <c r="D118" s="226"/>
      <c r="E118" s="182"/>
      <c r="F118" s="297"/>
      <c r="G118" s="300"/>
      <c r="H118" s="609"/>
      <c r="I118" s="202"/>
      <c r="J118" s="202"/>
      <c r="K118" s="202"/>
      <c r="L118" s="541"/>
      <c r="M118" s="201" t="e">
        <f>RANK(K118, K$87:$K$101)</f>
        <v>#N/A</v>
      </c>
      <c r="N118" s="559"/>
      <c r="O118" s="559"/>
      <c r="P118" s="297"/>
      <c r="Q118" s="297"/>
      <c r="R118" s="297"/>
      <c r="S118" s="308" t="e">
        <f t="shared" si="67"/>
        <v>#N/A</v>
      </c>
      <c r="T118" s="605"/>
      <c r="U118" s="311"/>
      <c r="V118" s="311"/>
      <c r="W118" s="311"/>
      <c r="X118" s="308" t="e">
        <f t="shared" si="68"/>
        <v>#N/A</v>
      </c>
      <c r="Y118" s="605"/>
      <c r="Z118" s="311"/>
      <c r="AA118" s="311"/>
      <c r="AB118" s="311"/>
      <c r="AC118" s="308" t="e">
        <f t="shared" si="69"/>
        <v>#N/A</v>
      </c>
      <c r="AD118" s="605"/>
      <c r="AE118" s="311"/>
      <c r="AF118" s="311"/>
      <c r="AG118" s="311"/>
      <c r="AH118" s="308" t="e">
        <f t="shared" si="70"/>
        <v>#N/A</v>
      </c>
      <c r="AI118" s="605"/>
      <c r="AJ118" s="311"/>
      <c r="AK118" s="311"/>
      <c r="AL118" s="311"/>
      <c r="AM118" s="308" t="e">
        <f t="shared" si="71"/>
        <v>#N/A</v>
      </c>
      <c r="AN118" s="605"/>
      <c r="AO118" s="311"/>
      <c r="AP118" s="311"/>
      <c r="AQ118" s="311"/>
      <c r="AR118" s="308" t="e">
        <f t="shared" si="72"/>
        <v>#N/A</v>
      </c>
      <c r="AS118" s="605"/>
      <c r="AT118" s="311"/>
      <c r="AU118" s="311"/>
      <c r="AV118" s="311"/>
      <c r="AW118" s="308" t="e">
        <f t="shared" si="73"/>
        <v>#N/A</v>
      </c>
      <c r="AX118" s="605"/>
    </row>
    <row r="119" spans="2:50">
      <c r="B119" s="572"/>
      <c r="C119" s="297">
        <v>13</v>
      </c>
      <c r="D119" s="226"/>
      <c r="E119" s="182"/>
      <c r="F119" s="297"/>
      <c r="G119" s="300"/>
      <c r="H119" s="609"/>
      <c r="I119" s="202"/>
      <c r="J119" s="202"/>
      <c r="K119" s="202"/>
      <c r="L119" s="541"/>
      <c r="M119" s="201" t="e">
        <f>RANK(K119, K$87:$K$101)</f>
        <v>#N/A</v>
      </c>
      <c r="N119" s="559"/>
      <c r="O119" s="559"/>
      <c r="P119" s="297"/>
      <c r="Q119" s="297"/>
      <c r="R119" s="297"/>
      <c r="S119" s="308" t="e">
        <f t="shared" si="67"/>
        <v>#N/A</v>
      </c>
      <c r="T119" s="605"/>
      <c r="U119" s="311"/>
      <c r="V119" s="311"/>
      <c r="W119" s="311"/>
      <c r="X119" s="308" t="e">
        <f t="shared" si="68"/>
        <v>#N/A</v>
      </c>
      <c r="Y119" s="605"/>
      <c r="Z119" s="311"/>
      <c r="AA119" s="311"/>
      <c r="AB119" s="311"/>
      <c r="AC119" s="308" t="e">
        <f t="shared" si="69"/>
        <v>#N/A</v>
      </c>
      <c r="AD119" s="605"/>
      <c r="AE119" s="311"/>
      <c r="AF119" s="311"/>
      <c r="AG119" s="311"/>
      <c r="AH119" s="308" t="e">
        <f t="shared" si="70"/>
        <v>#N/A</v>
      </c>
      <c r="AI119" s="605"/>
      <c r="AJ119" s="311"/>
      <c r="AK119" s="311"/>
      <c r="AL119" s="311"/>
      <c r="AM119" s="308" t="e">
        <f t="shared" si="71"/>
        <v>#N/A</v>
      </c>
      <c r="AN119" s="605"/>
      <c r="AO119" s="311"/>
      <c r="AP119" s="311"/>
      <c r="AQ119" s="311"/>
      <c r="AR119" s="308" t="e">
        <f t="shared" si="72"/>
        <v>#N/A</v>
      </c>
      <c r="AS119" s="605"/>
      <c r="AT119" s="311"/>
      <c r="AU119" s="311"/>
      <c r="AV119" s="311"/>
      <c r="AW119" s="308" t="e">
        <f t="shared" si="73"/>
        <v>#N/A</v>
      </c>
      <c r="AX119" s="605"/>
    </row>
    <row r="120" spans="2:50">
      <c r="B120" s="572"/>
      <c r="C120" s="297">
        <v>14</v>
      </c>
      <c r="D120" s="226"/>
      <c r="E120" s="182"/>
      <c r="F120" s="297"/>
      <c r="G120" s="300"/>
      <c r="H120" s="609"/>
      <c r="I120" s="202"/>
      <c r="J120" s="202"/>
      <c r="K120" s="202"/>
      <c r="L120" s="541"/>
      <c r="M120" s="201" t="e">
        <f>RANK(K120, K$87:$K$101)</f>
        <v>#N/A</v>
      </c>
      <c r="N120" s="559"/>
      <c r="O120" s="559"/>
      <c r="P120" s="297"/>
      <c r="Q120" s="297"/>
      <c r="R120" s="297"/>
      <c r="S120" s="308" t="e">
        <f t="shared" si="67"/>
        <v>#N/A</v>
      </c>
      <c r="T120" s="605"/>
      <c r="U120" s="311"/>
      <c r="V120" s="311"/>
      <c r="W120" s="311"/>
      <c r="X120" s="308" t="e">
        <f t="shared" si="68"/>
        <v>#N/A</v>
      </c>
      <c r="Y120" s="605"/>
      <c r="Z120" s="311"/>
      <c r="AA120" s="311"/>
      <c r="AB120" s="311"/>
      <c r="AC120" s="308" t="e">
        <f t="shared" si="69"/>
        <v>#N/A</v>
      </c>
      <c r="AD120" s="605"/>
      <c r="AE120" s="311"/>
      <c r="AF120" s="311"/>
      <c r="AG120" s="311"/>
      <c r="AH120" s="308" t="e">
        <f t="shared" si="70"/>
        <v>#N/A</v>
      </c>
      <c r="AI120" s="605"/>
      <c r="AJ120" s="311"/>
      <c r="AK120" s="311"/>
      <c r="AL120" s="311"/>
      <c r="AM120" s="308" t="e">
        <f t="shared" si="71"/>
        <v>#N/A</v>
      </c>
      <c r="AN120" s="605"/>
      <c r="AO120" s="311"/>
      <c r="AP120" s="311"/>
      <c r="AQ120" s="311"/>
      <c r="AR120" s="308" t="e">
        <f t="shared" si="72"/>
        <v>#N/A</v>
      </c>
      <c r="AS120" s="605"/>
      <c r="AT120" s="311"/>
      <c r="AU120" s="311"/>
      <c r="AV120" s="311"/>
      <c r="AW120" s="308" t="e">
        <f t="shared" si="73"/>
        <v>#N/A</v>
      </c>
      <c r="AX120" s="605"/>
    </row>
    <row r="121" spans="2:50">
      <c r="B121" s="572"/>
      <c r="C121" s="297">
        <v>15</v>
      </c>
      <c r="D121" s="226"/>
      <c r="E121" s="182"/>
      <c r="F121" s="297"/>
      <c r="G121" s="300"/>
      <c r="H121" s="610"/>
      <c r="I121" s="202"/>
      <c r="J121" s="202"/>
      <c r="K121" s="202"/>
      <c r="L121" s="542"/>
      <c r="M121" s="199" t="e">
        <f>RANK(K121, K$87:$K$101)</f>
        <v>#N/A</v>
      </c>
      <c r="N121" s="559"/>
      <c r="O121" s="559"/>
      <c r="P121" s="297"/>
      <c r="Q121" s="297"/>
      <c r="R121" s="297"/>
      <c r="S121" s="308" t="e">
        <f t="shared" si="67"/>
        <v>#N/A</v>
      </c>
      <c r="T121" s="605"/>
      <c r="U121" s="311"/>
      <c r="V121" s="311"/>
      <c r="W121" s="311"/>
      <c r="X121" s="308" t="e">
        <f t="shared" si="68"/>
        <v>#N/A</v>
      </c>
      <c r="Y121" s="605"/>
      <c r="Z121" s="311"/>
      <c r="AA121" s="311"/>
      <c r="AB121" s="311"/>
      <c r="AC121" s="308" t="e">
        <f t="shared" si="69"/>
        <v>#N/A</v>
      </c>
      <c r="AD121" s="605"/>
      <c r="AE121" s="311"/>
      <c r="AF121" s="311"/>
      <c r="AG121" s="311"/>
      <c r="AH121" s="308" t="e">
        <f t="shared" si="70"/>
        <v>#N/A</v>
      </c>
      <c r="AI121" s="605"/>
      <c r="AJ121" s="311"/>
      <c r="AK121" s="311"/>
      <c r="AL121" s="311"/>
      <c r="AM121" s="308" t="e">
        <f t="shared" si="71"/>
        <v>#N/A</v>
      </c>
      <c r="AN121" s="605"/>
      <c r="AO121" s="311"/>
      <c r="AP121" s="311"/>
      <c r="AQ121" s="311"/>
      <c r="AR121" s="308" t="e">
        <f t="shared" si="72"/>
        <v>#N/A</v>
      </c>
      <c r="AS121" s="605"/>
      <c r="AT121" s="311"/>
      <c r="AU121" s="311"/>
      <c r="AV121" s="311"/>
      <c r="AW121" s="308" t="e">
        <f t="shared" si="73"/>
        <v>#N/A</v>
      </c>
      <c r="AX121" s="605"/>
    </row>
    <row r="123" spans="2:50" ht="15.75">
      <c r="B123" s="600" t="s">
        <v>469</v>
      </c>
      <c r="C123" s="601"/>
      <c r="D123" s="601"/>
      <c r="E123" s="601"/>
      <c r="F123" s="601"/>
      <c r="G123" s="601"/>
      <c r="H123" s="602"/>
      <c r="I123" s="301"/>
      <c r="J123" s="301"/>
      <c r="K123" s="301"/>
      <c r="L123" s="301"/>
      <c r="M123" s="302"/>
    </row>
    <row r="124" spans="2:50" ht="15.75">
      <c r="B124" s="603"/>
      <c r="C124" s="603"/>
      <c r="D124" s="603"/>
      <c r="E124" s="603"/>
      <c r="F124" s="603"/>
      <c r="G124" s="603"/>
      <c r="H124" s="603"/>
      <c r="I124" s="303"/>
      <c r="J124" s="303"/>
      <c r="K124" s="303"/>
      <c r="L124" s="303"/>
      <c r="M124" s="304"/>
    </row>
    <row r="125" spans="2:50">
      <c r="B125" s="559" t="s">
        <v>470</v>
      </c>
      <c r="C125" s="559" t="s">
        <v>471</v>
      </c>
      <c r="D125" s="559"/>
      <c r="E125" s="559" t="s">
        <v>472</v>
      </c>
      <c r="F125" s="559"/>
      <c r="G125" s="559"/>
      <c r="H125" s="560" t="s">
        <v>473</v>
      </c>
      <c r="I125" s="604" t="s">
        <v>474</v>
      </c>
      <c r="J125" s="604"/>
      <c r="K125" s="604"/>
      <c r="L125" s="623" t="s">
        <v>473</v>
      </c>
      <c r="M125" s="626" t="s">
        <v>475</v>
      </c>
    </row>
    <row r="126" spans="2:50">
      <c r="B126" s="559"/>
      <c r="C126" s="559"/>
      <c r="D126" s="559"/>
      <c r="E126" s="559" t="s">
        <v>476</v>
      </c>
      <c r="F126" s="559"/>
      <c r="G126" s="559"/>
      <c r="H126" s="561"/>
      <c r="I126" s="604" t="s">
        <v>476</v>
      </c>
      <c r="J126" s="604"/>
      <c r="K126" s="604"/>
      <c r="L126" s="624"/>
      <c r="M126" s="627"/>
    </row>
    <row r="127" spans="2:50">
      <c r="B127" s="559"/>
      <c r="C127" s="559"/>
      <c r="D127" s="559"/>
      <c r="E127" s="298" t="s">
        <v>477</v>
      </c>
      <c r="F127" s="298" t="s">
        <v>478</v>
      </c>
      <c r="G127" s="298" t="s">
        <v>479</v>
      </c>
      <c r="H127" s="562"/>
      <c r="I127" s="305" t="s">
        <v>477</v>
      </c>
      <c r="J127" s="305" t="s">
        <v>478</v>
      </c>
      <c r="K127" s="305" t="s">
        <v>479</v>
      </c>
      <c r="L127" s="625"/>
      <c r="M127" s="628"/>
    </row>
    <row r="128" spans="2:50">
      <c r="B128" s="559" t="s">
        <v>483</v>
      </c>
      <c r="C128" s="297">
        <v>1</v>
      </c>
      <c r="D128" s="226" t="s">
        <v>562</v>
      </c>
      <c r="E128" s="182">
        <v>13</v>
      </c>
      <c r="F128" s="297">
        <v>1500</v>
      </c>
      <c r="G128" s="300">
        <v>115.38461538461539</v>
      </c>
      <c r="H128" s="608">
        <f>AVERAGE(G128:G142)</f>
        <v>115.38461538461539</v>
      </c>
      <c r="I128" s="199" t="e">
        <f t="shared" ref="I128:J129" si="74">AVERAGEIF($D$7:$D$121,$D128,I$7:I$121)</f>
        <v>#DIV/0!</v>
      </c>
      <c r="J128" s="199" t="e">
        <f t="shared" si="74"/>
        <v>#DIV/0!</v>
      </c>
      <c r="K128" s="199" t="e">
        <f>AVERAGEIF($D$7:$D$121,$D128,K$7:K$121)</f>
        <v>#DIV/0!</v>
      </c>
      <c r="L128" s="620" t="e">
        <f>AVERAGE(K128:K142)</f>
        <v>#DIV/0!</v>
      </c>
      <c r="M128" s="199" t="e">
        <f>RANK(K128, K$128:$K$142)</f>
        <v>#DIV/0!</v>
      </c>
    </row>
    <row r="129" spans="2:13">
      <c r="B129" s="572"/>
      <c r="C129" s="297">
        <v>2</v>
      </c>
      <c r="D129" s="226" t="s">
        <v>591</v>
      </c>
      <c r="E129" s="182">
        <v>13</v>
      </c>
      <c r="F129" s="297">
        <v>1500</v>
      </c>
      <c r="G129" s="300">
        <v>115.38461538461539</v>
      </c>
      <c r="H129" s="609"/>
      <c r="I129" s="388" t="e">
        <f t="shared" si="74"/>
        <v>#DIV/0!</v>
      </c>
      <c r="J129" s="388" t="e">
        <f t="shared" si="74"/>
        <v>#DIV/0!</v>
      </c>
      <c r="K129" s="388" t="e">
        <f>AVERAGEIF($D$7:$D$121,$D129,K$7:K$121)</f>
        <v>#DIV/0!</v>
      </c>
      <c r="L129" s="621"/>
      <c r="M129" s="199" t="e">
        <f>RANK(K129, K$128:$K$142)</f>
        <v>#DIV/0!</v>
      </c>
    </row>
    <row r="130" spans="2:13">
      <c r="B130" s="572"/>
      <c r="C130" s="297">
        <v>3</v>
      </c>
      <c r="D130" s="226"/>
      <c r="E130" s="182"/>
      <c r="F130" s="297"/>
      <c r="G130" s="300"/>
      <c r="H130" s="609"/>
      <c r="I130" s="199"/>
      <c r="J130" s="199"/>
      <c r="K130" s="199"/>
      <c r="L130" s="621"/>
      <c r="M130" s="199" t="e">
        <f>RANK(K130, K$128:$K$142)</f>
        <v>#DIV/0!</v>
      </c>
    </row>
    <row r="131" spans="2:13">
      <c r="B131" s="572"/>
      <c r="C131" s="297">
        <v>4</v>
      </c>
      <c r="D131" s="226"/>
      <c r="E131" s="182"/>
      <c r="F131" s="297"/>
      <c r="G131" s="300"/>
      <c r="H131" s="609"/>
      <c r="I131" s="199"/>
      <c r="J131" s="199"/>
      <c r="K131" s="199"/>
      <c r="L131" s="621"/>
      <c r="M131" s="199" t="e">
        <f>RANK(K131, K$128:$K$142)</f>
        <v>#DIV/0!</v>
      </c>
    </row>
    <row r="132" spans="2:13">
      <c r="B132" s="572"/>
      <c r="C132" s="297">
        <v>5</v>
      </c>
      <c r="D132" s="226"/>
      <c r="E132" s="182"/>
      <c r="F132" s="297"/>
      <c r="G132" s="300"/>
      <c r="H132" s="609"/>
      <c r="I132" s="199"/>
      <c r="J132" s="199"/>
      <c r="K132" s="199"/>
      <c r="L132" s="621"/>
      <c r="M132" s="199" t="e">
        <f>RANK(K132, K$128:$K$142)</f>
        <v>#DIV/0!</v>
      </c>
    </row>
    <row r="133" spans="2:13">
      <c r="B133" s="572"/>
      <c r="C133" s="297">
        <v>6</v>
      </c>
      <c r="D133" s="306"/>
      <c r="E133" s="182"/>
      <c r="F133" s="297"/>
      <c r="G133" s="300"/>
      <c r="H133" s="609"/>
      <c r="I133" s="199"/>
      <c r="J133" s="199"/>
      <c r="K133" s="199"/>
      <c r="L133" s="621"/>
      <c r="M133" s="199" t="e">
        <f>RANK(K133, K$128:$K$142)</f>
        <v>#DIV/0!</v>
      </c>
    </row>
    <row r="134" spans="2:13">
      <c r="B134" s="572"/>
      <c r="C134" s="297">
        <v>7</v>
      </c>
      <c r="D134" s="226"/>
      <c r="E134" s="182"/>
      <c r="F134" s="297"/>
      <c r="G134" s="300"/>
      <c r="H134" s="609"/>
      <c r="I134" s="199"/>
      <c r="J134" s="199"/>
      <c r="K134" s="199"/>
      <c r="L134" s="621"/>
      <c r="M134" s="199" t="e">
        <f>RANK(K134, K$128:$K$142)</f>
        <v>#DIV/0!</v>
      </c>
    </row>
    <row r="135" spans="2:13">
      <c r="B135" s="572"/>
      <c r="C135" s="297">
        <v>8</v>
      </c>
      <c r="D135" s="226"/>
      <c r="E135" s="182"/>
      <c r="F135" s="297"/>
      <c r="G135" s="300"/>
      <c r="H135" s="609"/>
      <c r="I135" s="199"/>
      <c r="J135" s="199"/>
      <c r="K135" s="199"/>
      <c r="L135" s="621"/>
      <c r="M135" s="199" t="e">
        <f>RANK(K135, K$128:$K$142)</f>
        <v>#DIV/0!</v>
      </c>
    </row>
    <row r="136" spans="2:13">
      <c r="B136" s="572"/>
      <c r="C136" s="297">
        <v>9</v>
      </c>
      <c r="D136" s="226"/>
      <c r="E136" s="297"/>
      <c r="F136" s="297"/>
      <c r="G136" s="297"/>
      <c r="H136" s="609"/>
      <c r="I136" s="199"/>
      <c r="J136" s="199"/>
      <c r="K136" s="199"/>
      <c r="L136" s="621"/>
      <c r="M136" s="199" t="e">
        <f>RANK(K136, K$128:$K$142)</f>
        <v>#DIV/0!</v>
      </c>
    </row>
    <row r="137" spans="2:13">
      <c r="B137" s="572"/>
      <c r="C137" s="297">
        <v>10</v>
      </c>
      <c r="D137" s="226"/>
      <c r="E137" s="297"/>
      <c r="F137" s="297"/>
      <c r="G137" s="297"/>
      <c r="H137" s="609"/>
      <c r="I137" s="199"/>
      <c r="J137" s="199"/>
      <c r="K137" s="199"/>
      <c r="L137" s="621"/>
      <c r="M137" s="199" t="e">
        <f>RANK(K137, K$128:$K$142)</f>
        <v>#DIV/0!</v>
      </c>
    </row>
    <row r="138" spans="2:13">
      <c r="B138" s="572"/>
      <c r="C138" s="297">
        <v>11</v>
      </c>
      <c r="D138" s="226"/>
      <c r="E138" s="297"/>
      <c r="F138" s="297"/>
      <c r="G138" s="297"/>
      <c r="H138" s="609"/>
      <c r="I138" s="199"/>
      <c r="J138" s="199"/>
      <c r="K138" s="199"/>
      <c r="L138" s="621"/>
      <c r="M138" s="199" t="e">
        <f>RANK(K138, K$128:$K$142)</f>
        <v>#DIV/0!</v>
      </c>
    </row>
    <row r="139" spans="2:13">
      <c r="B139" s="572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21"/>
      <c r="M139" s="199" t="e">
        <f>RANK(K139, K$128:$K$142)</f>
        <v>#DIV/0!</v>
      </c>
    </row>
    <row r="140" spans="2:13">
      <c r="B140" s="572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21"/>
      <c r="M140" s="199" t="e">
        <f>RANK(K140, K$128:$K$142)</f>
        <v>#DIV/0!</v>
      </c>
    </row>
    <row r="141" spans="2:13">
      <c r="B141" s="572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21"/>
      <c r="M141" s="199" t="e">
        <f>RANK(K141, K$128:$K$142)</f>
        <v>#DIV/0!</v>
      </c>
    </row>
    <row r="142" spans="2:13">
      <c r="B142" s="572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42" zoomScale="55" zoomScaleNormal="55" workbookViewId="0">
      <pane xSplit="15" topLeftCell="P1" activePane="topRight" state="frozen"/>
      <selection activeCell="B144" sqref="B144:AX176"/>
      <selection pane="topRight" activeCell="L182" sqref="L182:L21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1" t="s">
        <v>329</v>
      </c>
      <c r="C1" s="220">
        <f>AVERAGE(L7,L42,L77,L112,L147,L182)</f>
        <v>82.894643494802764</v>
      </c>
    </row>
    <row r="2" spans="1:54" ht="15.75">
      <c r="A2" s="81"/>
      <c r="B2" s="576" t="s">
        <v>731</v>
      </c>
      <c r="C2" s="576"/>
      <c r="D2" s="576"/>
      <c r="E2" s="576"/>
      <c r="F2" s="576"/>
      <c r="G2" s="576"/>
      <c r="H2" s="576"/>
      <c r="I2" s="441"/>
      <c r="J2" s="441"/>
      <c r="K2" s="441"/>
      <c r="L2" s="441"/>
      <c r="M2" s="197"/>
      <c r="N2" s="565" t="s">
        <v>732</v>
      </c>
      <c r="O2" s="565" t="s">
        <v>733</v>
      </c>
      <c r="P2" s="568"/>
      <c r="Q2" s="569"/>
      <c r="R2" s="569"/>
      <c r="S2" s="569"/>
      <c r="T2" s="570"/>
      <c r="U2" s="571"/>
      <c r="V2" s="572"/>
      <c r="W2" s="572"/>
      <c r="X2" s="572"/>
      <c r="Y2" s="572"/>
      <c r="Z2" s="571">
        <f>U2+1</f>
        <v>1</v>
      </c>
      <c r="AA2" s="572"/>
      <c r="AB2" s="572"/>
      <c r="AC2" s="572"/>
      <c r="AD2" s="572"/>
      <c r="AE2" s="571">
        <f>Z2+1</f>
        <v>2</v>
      </c>
      <c r="AF2" s="572"/>
      <c r="AG2" s="572"/>
      <c r="AH2" s="572"/>
      <c r="AI2" s="572"/>
      <c r="AJ2" s="571">
        <f>AE2+1</f>
        <v>3</v>
      </c>
      <c r="AK2" s="572"/>
      <c r="AL2" s="572"/>
      <c r="AM2" s="572"/>
      <c r="AN2" s="572"/>
      <c r="AO2" s="571">
        <f>AJ2+1</f>
        <v>4</v>
      </c>
      <c r="AP2" s="572"/>
      <c r="AQ2" s="572"/>
      <c r="AR2" s="572"/>
      <c r="AS2" s="572"/>
      <c r="AT2" s="571">
        <f>AO2+1</f>
        <v>5</v>
      </c>
      <c r="AU2" s="572"/>
      <c r="AV2" s="572"/>
      <c r="AW2" s="572"/>
      <c r="AX2" s="572"/>
    </row>
    <row r="3" spans="1:54" ht="15.75">
      <c r="A3" s="81"/>
      <c r="B3" s="597"/>
      <c r="C3" s="597"/>
      <c r="D3" s="597"/>
      <c r="E3" s="597"/>
      <c r="F3" s="597"/>
      <c r="G3" s="597"/>
      <c r="H3" s="597"/>
      <c r="I3" s="442"/>
      <c r="J3" s="442"/>
      <c r="K3" s="442"/>
      <c r="L3" s="442"/>
      <c r="M3" s="198"/>
      <c r="N3" s="567"/>
      <c r="O3" s="567"/>
      <c r="P3" s="568" t="s">
        <v>734</v>
      </c>
      <c r="Q3" s="569"/>
      <c r="R3" s="569"/>
      <c r="S3" s="569"/>
      <c r="T3" s="570"/>
      <c r="U3" s="568" t="s">
        <v>735</v>
      </c>
      <c r="V3" s="569"/>
      <c r="W3" s="569"/>
      <c r="X3" s="569"/>
      <c r="Y3" s="570"/>
      <c r="Z3" s="568" t="s">
        <v>736</v>
      </c>
      <c r="AA3" s="569"/>
      <c r="AB3" s="569"/>
      <c r="AC3" s="569"/>
      <c r="AD3" s="570"/>
      <c r="AE3" s="568" t="s">
        <v>737</v>
      </c>
      <c r="AF3" s="569"/>
      <c r="AG3" s="569"/>
      <c r="AH3" s="569"/>
      <c r="AI3" s="570"/>
      <c r="AJ3" s="568" t="s">
        <v>738</v>
      </c>
      <c r="AK3" s="569"/>
      <c r="AL3" s="569"/>
      <c r="AM3" s="569"/>
      <c r="AN3" s="570"/>
      <c r="AO3" s="568" t="s">
        <v>739</v>
      </c>
      <c r="AP3" s="569"/>
      <c r="AQ3" s="569"/>
      <c r="AR3" s="569"/>
      <c r="AS3" s="570"/>
      <c r="AT3" s="568" t="s">
        <v>740</v>
      </c>
      <c r="AU3" s="569"/>
      <c r="AV3" s="569"/>
      <c r="AW3" s="569"/>
      <c r="AX3" s="570"/>
    </row>
    <row r="4" spans="1:54">
      <c r="A4" s="81"/>
      <c r="B4" s="559" t="s">
        <v>741</v>
      </c>
      <c r="C4" s="559" t="s">
        <v>742</v>
      </c>
      <c r="D4" s="559"/>
      <c r="E4" s="559" t="s">
        <v>743</v>
      </c>
      <c r="F4" s="559"/>
      <c r="G4" s="559"/>
      <c r="H4" s="560" t="s">
        <v>744</v>
      </c>
      <c r="I4" s="543" t="s">
        <v>745</v>
      </c>
      <c r="J4" s="543"/>
      <c r="K4" s="543"/>
      <c r="L4" s="544" t="s">
        <v>744</v>
      </c>
      <c r="M4" s="550" t="s">
        <v>746</v>
      </c>
      <c r="N4" s="559"/>
      <c r="O4" s="559" t="s">
        <v>747</v>
      </c>
      <c r="P4" s="556" t="s">
        <v>748</v>
      </c>
      <c r="Q4" s="557"/>
      <c r="R4" s="557"/>
      <c r="S4" s="558"/>
      <c r="T4" s="559" t="s">
        <v>744</v>
      </c>
      <c r="U4" s="556" t="s">
        <v>748</v>
      </c>
      <c r="V4" s="557"/>
      <c r="W4" s="557"/>
      <c r="X4" s="558"/>
      <c r="Y4" s="559" t="s">
        <v>744</v>
      </c>
      <c r="Z4" s="556" t="s">
        <v>748</v>
      </c>
      <c r="AA4" s="557"/>
      <c r="AB4" s="557"/>
      <c r="AC4" s="558"/>
      <c r="AD4" s="559" t="s">
        <v>744</v>
      </c>
      <c r="AE4" s="556" t="s">
        <v>748</v>
      </c>
      <c r="AF4" s="557"/>
      <c r="AG4" s="557"/>
      <c r="AH4" s="558"/>
      <c r="AI4" s="559" t="s">
        <v>744</v>
      </c>
      <c r="AJ4" s="556" t="s">
        <v>748</v>
      </c>
      <c r="AK4" s="557"/>
      <c r="AL4" s="557"/>
      <c r="AM4" s="558"/>
      <c r="AN4" s="559" t="s">
        <v>744</v>
      </c>
      <c r="AO4" s="556" t="s">
        <v>748</v>
      </c>
      <c r="AP4" s="557"/>
      <c r="AQ4" s="557"/>
      <c r="AR4" s="558"/>
      <c r="AS4" s="559" t="s">
        <v>744</v>
      </c>
      <c r="AT4" s="556" t="s">
        <v>748</v>
      </c>
      <c r="AU4" s="557"/>
      <c r="AV4" s="557"/>
      <c r="AW4" s="558"/>
      <c r="AX4" s="559" t="s">
        <v>744</v>
      </c>
    </row>
    <row r="5" spans="1:54">
      <c r="A5" s="81"/>
      <c r="B5" s="559"/>
      <c r="C5" s="559"/>
      <c r="D5" s="559"/>
      <c r="E5" s="559" t="s">
        <v>749</v>
      </c>
      <c r="F5" s="559"/>
      <c r="G5" s="559"/>
      <c r="H5" s="561"/>
      <c r="I5" s="543" t="s">
        <v>749</v>
      </c>
      <c r="J5" s="543"/>
      <c r="K5" s="543"/>
      <c r="L5" s="545"/>
      <c r="M5" s="551"/>
      <c r="N5" s="559"/>
      <c r="O5" s="559"/>
      <c r="P5" s="556" t="s">
        <v>750</v>
      </c>
      <c r="Q5" s="557"/>
      <c r="R5" s="557"/>
      <c r="S5" s="558"/>
      <c r="T5" s="559"/>
      <c r="U5" s="556" t="s">
        <v>750</v>
      </c>
      <c r="V5" s="557"/>
      <c r="W5" s="557"/>
      <c r="X5" s="558"/>
      <c r="Y5" s="559"/>
      <c r="Z5" s="556" t="s">
        <v>750</v>
      </c>
      <c r="AA5" s="557"/>
      <c r="AB5" s="557"/>
      <c r="AC5" s="558"/>
      <c r="AD5" s="559"/>
      <c r="AE5" s="556" t="s">
        <v>750</v>
      </c>
      <c r="AF5" s="557"/>
      <c r="AG5" s="557"/>
      <c r="AH5" s="558"/>
      <c r="AI5" s="559"/>
      <c r="AJ5" s="556" t="s">
        <v>750</v>
      </c>
      <c r="AK5" s="557"/>
      <c r="AL5" s="557"/>
      <c r="AM5" s="558"/>
      <c r="AN5" s="559"/>
      <c r="AO5" s="556" t="s">
        <v>750</v>
      </c>
      <c r="AP5" s="557"/>
      <c r="AQ5" s="557"/>
      <c r="AR5" s="558"/>
      <c r="AS5" s="559"/>
      <c r="AT5" s="556" t="s">
        <v>750</v>
      </c>
      <c r="AU5" s="557"/>
      <c r="AV5" s="557"/>
      <c r="AW5" s="558"/>
      <c r="AX5" s="559"/>
    </row>
    <row r="6" spans="1:54">
      <c r="A6" s="79"/>
      <c r="B6" s="559"/>
      <c r="C6" s="559"/>
      <c r="D6" s="559"/>
      <c r="E6" s="440" t="s">
        <v>751</v>
      </c>
      <c r="F6" s="440" t="s">
        <v>752</v>
      </c>
      <c r="G6" s="440" t="s">
        <v>753</v>
      </c>
      <c r="H6" s="562"/>
      <c r="I6" s="444" t="s">
        <v>751</v>
      </c>
      <c r="J6" s="444" t="s">
        <v>752</v>
      </c>
      <c r="K6" s="444" t="s">
        <v>753</v>
      </c>
      <c r="L6" s="546"/>
      <c r="M6" s="552"/>
      <c r="N6" s="559"/>
      <c r="O6" s="559"/>
      <c r="P6" s="440" t="s">
        <v>751</v>
      </c>
      <c r="Q6" s="440" t="s">
        <v>752</v>
      </c>
      <c r="R6" s="440" t="s">
        <v>753</v>
      </c>
      <c r="S6" s="440" t="s">
        <v>746</v>
      </c>
      <c r="T6" s="559"/>
      <c r="U6" s="440" t="s">
        <v>751</v>
      </c>
      <c r="V6" s="440" t="s">
        <v>752</v>
      </c>
      <c r="W6" s="440" t="s">
        <v>753</v>
      </c>
      <c r="X6" s="440" t="s">
        <v>746</v>
      </c>
      <c r="Y6" s="559"/>
      <c r="Z6" s="440" t="s">
        <v>751</v>
      </c>
      <c r="AA6" s="440" t="s">
        <v>752</v>
      </c>
      <c r="AB6" s="440" t="s">
        <v>753</v>
      </c>
      <c r="AC6" s="440" t="s">
        <v>746</v>
      </c>
      <c r="AD6" s="559"/>
      <c r="AE6" s="440" t="s">
        <v>751</v>
      </c>
      <c r="AF6" s="440" t="s">
        <v>752</v>
      </c>
      <c r="AG6" s="440" t="s">
        <v>753</v>
      </c>
      <c r="AH6" s="440" t="s">
        <v>746</v>
      </c>
      <c r="AI6" s="559"/>
      <c r="AJ6" s="440" t="s">
        <v>751</v>
      </c>
      <c r="AK6" s="440" t="s">
        <v>752</v>
      </c>
      <c r="AL6" s="440" t="s">
        <v>753</v>
      </c>
      <c r="AM6" s="440" t="s">
        <v>746</v>
      </c>
      <c r="AN6" s="559"/>
      <c r="AO6" s="440" t="s">
        <v>751</v>
      </c>
      <c r="AP6" s="440" t="s">
        <v>752</v>
      </c>
      <c r="AQ6" s="440" t="s">
        <v>753</v>
      </c>
      <c r="AR6" s="440" t="s">
        <v>746</v>
      </c>
      <c r="AS6" s="559"/>
      <c r="AT6" s="440" t="s">
        <v>751</v>
      </c>
      <c r="AU6" s="440" t="s">
        <v>752</v>
      </c>
      <c r="AV6" s="440" t="s">
        <v>753</v>
      </c>
      <c r="AW6" s="440" t="s">
        <v>746</v>
      </c>
      <c r="AX6" s="559"/>
    </row>
    <row r="7" spans="1:54">
      <c r="A7" s="81"/>
      <c r="B7" s="559" t="s">
        <v>788</v>
      </c>
      <c r="C7" s="436">
        <v>1</v>
      </c>
      <c r="D7" s="226" t="s">
        <v>371</v>
      </c>
      <c r="E7" s="182">
        <v>6</v>
      </c>
      <c r="F7" s="436">
        <v>1500</v>
      </c>
      <c r="G7" s="437">
        <v>250</v>
      </c>
      <c r="H7" s="608">
        <f>AVERAGE(G7:G36)</f>
        <v>98.253571428571419</v>
      </c>
      <c r="I7" s="446">
        <f>AVERAGE(P7,U7,Z7,AE7,AJ7,AO7,AT7)</f>
        <v>6</v>
      </c>
      <c r="J7" s="446">
        <f>AVERAGE(Q7,V7,AA7,AF7,AK7,AP7,AU7)</f>
        <v>1428.2747936622106</v>
      </c>
      <c r="K7" s="438">
        <f>AVERAGE(R7,W7,AB7,AG7,AL7,AQ7,AV7)</f>
        <v>238.04579894370175</v>
      </c>
      <c r="L7" s="540">
        <f>IFERROR(AVERAGE(K7:K36),"-")</f>
        <v>86.237587532674254</v>
      </c>
      <c r="M7" s="445">
        <f>RANK(K7, K$7:$K$36)</f>
        <v>1</v>
      </c>
      <c r="N7" s="559"/>
      <c r="O7" s="559"/>
      <c r="P7" s="182"/>
      <c r="Q7" s="182"/>
      <c r="R7" s="182"/>
      <c r="S7" s="436" t="e">
        <f>RANK(R7, R$7:R$36)</f>
        <v>#N/A</v>
      </c>
      <c r="T7" s="605" t="e">
        <f>AVERAGE(R7:R36)</f>
        <v>#DIV/0!</v>
      </c>
      <c r="U7" s="182"/>
      <c r="V7" s="182"/>
      <c r="W7" s="182"/>
      <c r="X7" s="436" t="e">
        <f>RANK(W7, W$7:W$36)</f>
        <v>#N/A</v>
      </c>
      <c r="Y7" s="605" t="e">
        <f>AVERAGE(W7:W36)</f>
        <v>#DIV/0!</v>
      </c>
      <c r="Z7" s="182">
        <v>6</v>
      </c>
      <c r="AA7" s="182">
        <v>1435.3324137931029</v>
      </c>
      <c r="AB7" s="182">
        <v>239.22206896551714</v>
      </c>
      <c r="AC7" s="436">
        <f>RANK(AB7, AB$7:AB$36)</f>
        <v>1</v>
      </c>
      <c r="AD7" s="605">
        <f>AVERAGE(AB7:AB36)</f>
        <v>83.450154165202051</v>
      </c>
      <c r="AE7" s="182">
        <v>6</v>
      </c>
      <c r="AF7" s="182">
        <v>1420.0457142857147</v>
      </c>
      <c r="AG7" s="182">
        <v>236.67428571428579</v>
      </c>
      <c r="AH7" s="436">
        <f>RANK(AG7, AG$7:AG$36)</f>
        <v>1</v>
      </c>
      <c r="AI7" s="605">
        <f>AVERAGE(AG7:AG36)</f>
        <v>84.029680205155486</v>
      </c>
      <c r="AJ7" s="182">
        <v>6</v>
      </c>
      <c r="AK7" s="182">
        <v>1390.6140845070424</v>
      </c>
      <c r="AL7" s="182">
        <v>231.76901408450706</v>
      </c>
      <c r="AM7" s="436">
        <f>RANK(AL7, AL$7:AL$36)</f>
        <v>2</v>
      </c>
      <c r="AN7" s="605">
        <f>AVERAGE(AL7:AL36)</f>
        <v>85.007266477694003</v>
      </c>
      <c r="AO7" s="182">
        <v>6</v>
      </c>
      <c r="AP7" s="182">
        <v>1423.0717557251924</v>
      </c>
      <c r="AQ7" s="182">
        <v>237.17862595419874</v>
      </c>
      <c r="AR7" s="436">
        <f>RANK(AQ7, AQ$7:AQ$36)</f>
        <v>1</v>
      </c>
      <c r="AS7" s="605">
        <f>AVERAGE(AQ7:AQ36)</f>
        <v>84.938754414118677</v>
      </c>
      <c r="AT7" s="182">
        <v>6</v>
      </c>
      <c r="AU7" s="182">
        <v>1472.3100000000004</v>
      </c>
      <c r="AV7" s="182">
        <v>245.38500000000008</v>
      </c>
      <c r="AW7" s="436">
        <f>RANK(AV7, AV$7:AV$36)</f>
        <v>1</v>
      </c>
      <c r="AX7" s="605">
        <f>AVERAGE(AV7:AV36)</f>
        <v>84.484842423987956</v>
      </c>
      <c r="AZ7" s="314" t="e">
        <f>RANK(AX7, $K$7:AX$36)</f>
        <v>#N/A</v>
      </c>
      <c r="BB7" s="311" t="e">
        <f t="shared" ref="BB7:BB36" si="0">RANK(BA7, BA$7:BA$36)</f>
        <v>#N/A</v>
      </c>
    </row>
    <row r="8" spans="1:54" ht="15" customHeight="1">
      <c r="A8" s="81"/>
      <c r="B8" s="572"/>
      <c r="C8" s="436">
        <v>2</v>
      </c>
      <c r="D8" s="226" t="s">
        <v>395</v>
      </c>
      <c r="E8" s="182">
        <v>6</v>
      </c>
      <c r="F8" s="436">
        <v>1500</v>
      </c>
      <c r="G8" s="437">
        <v>250</v>
      </c>
      <c r="H8" s="609"/>
      <c r="I8" s="446">
        <f t="shared" ref="I8:K30" si="1">AVERAGE(P8,U8,Z8,AE8,AJ8,AO8,AT8)</f>
        <v>6.8</v>
      </c>
      <c r="J8" s="446">
        <f t="shared" si="1"/>
        <v>1475.9131618731897</v>
      </c>
      <c r="K8" s="438">
        <f t="shared" si="1"/>
        <v>217.96718639004752</v>
      </c>
      <c r="L8" s="541"/>
      <c r="M8" s="445">
        <f>RANK(K8, K$7:$K$36)</f>
        <v>2</v>
      </c>
      <c r="N8" s="559"/>
      <c r="O8" s="559"/>
      <c r="P8" s="182"/>
      <c r="Q8" s="182"/>
      <c r="R8" s="182"/>
      <c r="S8" s="436" t="e">
        <f t="shared" ref="S8:S36" si="2">RANK(R8, R$7:R$36)</f>
        <v>#N/A</v>
      </c>
      <c r="T8" s="605"/>
      <c r="U8" s="182"/>
      <c r="V8" s="182"/>
      <c r="W8" s="182"/>
      <c r="X8" s="436" t="e">
        <f t="shared" ref="X8:X36" si="3">RANK(W8, W$7:W$36)</f>
        <v>#N/A</v>
      </c>
      <c r="Y8" s="605"/>
      <c r="Z8" s="182">
        <v>7</v>
      </c>
      <c r="AA8" s="182">
        <v>1448.3870967741939</v>
      </c>
      <c r="AB8" s="182">
        <v>206.91244239631342</v>
      </c>
      <c r="AC8" s="436">
        <f t="shared" ref="AC8:AC36" si="4">RANK(AB8, AB$7:AB$36)</f>
        <v>2</v>
      </c>
      <c r="AD8" s="605"/>
      <c r="AE8" s="182">
        <v>7</v>
      </c>
      <c r="AF8" s="182">
        <v>1439.9999999999995</v>
      </c>
      <c r="AG8" s="182">
        <v>205.71428571428564</v>
      </c>
      <c r="AH8" s="436">
        <f t="shared" ref="AH8:AH36" si="5">RANK(AG8, AG$7:AG$36)</f>
        <v>2</v>
      </c>
      <c r="AI8" s="605"/>
      <c r="AJ8" s="182">
        <v>6</v>
      </c>
      <c r="AK8" s="182">
        <v>1495.7142857142851</v>
      </c>
      <c r="AL8" s="182">
        <v>249.28571428571419</v>
      </c>
      <c r="AM8" s="436">
        <f t="shared" ref="AM8:AM36" si="6">RANK(AL8, AL$7:AL$36)</f>
        <v>1</v>
      </c>
      <c r="AN8" s="605"/>
      <c r="AO8" s="182">
        <v>7</v>
      </c>
      <c r="AP8" s="182">
        <v>1485.6818181818182</v>
      </c>
      <c r="AQ8" s="182">
        <v>212.24025974025975</v>
      </c>
      <c r="AR8" s="436">
        <f t="shared" ref="AR8:AR36" si="7">RANK(AQ8, AQ$7:AQ$36)</f>
        <v>2</v>
      </c>
      <c r="AS8" s="605"/>
      <c r="AT8" s="182">
        <v>7</v>
      </c>
      <c r="AU8" s="182">
        <v>1509.7826086956522</v>
      </c>
      <c r="AV8" s="182">
        <v>215.68322981366461</v>
      </c>
      <c r="AW8" s="436">
        <f t="shared" ref="AW8:AW36" si="8">RANK(AV8, AV$7:AV$36)</f>
        <v>2</v>
      </c>
      <c r="AX8" s="605"/>
      <c r="AZ8" s="314" t="e">
        <f>RANK(AX8, $K$7:AX$36)</f>
        <v>#N/A</v>
      </c>
      <c r="BB8" s="311" t="e">
        <f t="shared" si="0"/>
        <v>#N/A</v>
      </c>
    </row>
    <row r="9" spans="1:54">
      <c r="A9" s="81"/>
      <c r="B9" s="572"/>
      <c r="C9" s="436">
        <v>3</v>
      </c>
      <c r="D9" s="226" t="s">
        <v>372</v>
      </c>
      <c r="E9" s="182">
        <v>17</v>
      </c>
      <c r="F9" s="436">
        <v>1500</v>
      </c>
      <c r="G9" s="437">
        <v>88.2</v>
      </c>
      <c r="H9" s="609"/>
      <c r="I9" s="446">
        <f t="shared" si="1"/>
        <v>17</v>
      </c>
      <c r="J9" s="446">
        <f t="shared" si="1"/>
        <v>1326.1018669774176</v>
      </c>
      <c r="K9" s="438">
        <f t="shared" si="1"/>
        <v>78.005992175142211</v>
      </c>
      <c r="L9" s="541"/>
      <c r="M9" s="445">
        <f>RANK(K9, K$7:$K$36)</f>
        <v>9</v>
      </c>
      <c r="N9" s="559"/>
      <c r="O9" s="559"/>
      <c r="P9" s="182"/>
      <c r="Q9" s="182"/>
      <c r="R9" s="182"/>
      <c r="S9" s="436" t="e">
        <f t="shared" si="2"/>
        <v>#N/A</v>
      </c>
      <c r="T9" s="605"/>
      <c r="U9" s="182"/>
      <c r="V9" s="182"/>
      <c r="W9" s="182"/>
      <c r="X9" s="436" t="e">
        <f t="shared" si="3"/>
        <v>#N/A</v>
      </c>
      <c r="Y9" s="605"/>
      <c r="Z9" s="182">
        <v>17</v>
      </c>
      <c r="AA9" s="182">
        <v>1340</v>
      </c>
      <c r="AB9" s="182">
        <v>78.82352941176471</v>
      </c>
      <c r="AC9" s="436">
        <f t="shared" si="4"/>
        <v>9</v>
      </c>
      <c r="AD9" s="605"/>
      <c r="AE9" s="182">
        <v>17</v>
      </c>
      <c r="AF9" s="182">
        <v>1292.2222222222229</v>
      </c>
      <c r="AG9" s="182">
        <v>76.013071895424872</v>
      </c>
      <c r="AH9" s="436">
        <f t="shared" si="5"/>
        <v>12</v>
      </c>
      <c r="AI9" s="605"/>
      <c r="AJ9" s="182">
        <v>17</v>
      </c>
      <c r="AK9" s="182">
        <v>1310.322580645161</v>
      </c>
      <c r="AL9" s="182">
        <v>77.077798861480062</v>
      </c>
      <c r="AM9" s="436">
        <f t="shared" si="6"/>
        <v>10</v>
      </c>
      <c r="AN9" s="605"/>
      <c r="AO9" s="182">
        <v>17</v>
      </c>
      <c r="AP9" s="182">
        <v>1340.5714285714289</v>
      </c>
      <c r="AQ9" s="182">
        <v>78.857142857142875</v>
      </c>
      <c r="AR9" s="436">
        <f t="shared" si="7"/>
        <v>10</v>
      </c>
      <c r="AS9" s="605"/>
      <c r="AT9" s="182">
        <v>17</v>
      </c>
      <c r="AU9" s="182">
        <v>1347.393103448275</v>
      </c>
      <c r="AV9" s="182">
        <v>79.258417849898535</v>
      </c>
      <c r="AW9" s="436">
        <f t="shared" si="8"/>
        <v>8</v>
      </c>
      <c r="AX9" s="605"/>
      <c r="AZ9" s="314" t="e">
        <f>RANK(AX9, $K$7:AX$36)</f>
        <v>#N/A</v>
      </c>
      <c r="BB9" s="311" t="e">
        <f t="shared" si="0"/>
        <v>#N/A</v>
      </c>
    </row>
    <row r="10" spans="1:54">
      <c r="A10" s="81"/>
      <c r="B10" s="572"/>
      <c r="C10" s="436">
        <v>4</v>
      </c>
      <c r="D10" s="226" t="s">
        <v>352</v>
      </c>
      <c r="E10" s="182">
        <v>21</v>
      </c>
      <c r="F10" s="436">
        <v>1500</v>
      </c>
      <c r="G10" s="437">
        <v>71.400000000000006</v>
      </c>
      <c r="H10" s="609"/>
      <c r="I10" s="446">
        <f t="shared" si="1"/>
        <v>20</v>
      </c>
      <c r="J10" s="446">
        <f t="shared" si="1"/>
        <v>1323.9345271858026</v>
      </c>
      <c r="K10" s="438">
        <f t="shared" si="1"/>
        <v>66.196726359290139</v>
      </c>
      <c r="L10" s="541"/>
      <c r="M10" s="445">
        <f>RANK(K10, K$7:$K$36)</f>
        <v>21</v>
      </c>
      <c r="N10" s="559"/>
      <c r="O10" s="559"/>
      <c r="P10" s="182"/>
      <c r="Q10" s="182"/>
      <c r="R10" s="182"/>
      <c r="S10" s="436" t="e">
        <f t="shared" si="2"/>
        <v>#N/A</v>
      </c>
      <c r="T10" s="605"/>
      <c r="U10" s="182"/>
      <c r="V10" s="182"/>
      <c r="W10" s="182"/>
      <c r="X10" s="436" t="e">
        <f t="shared" si="3"/>
        <v>#N/A</v>
      </c>
      <c r="Y10" s="605"/>
      <c r="Z10" s="182">
        <v>20</v>
      </c>
      <c r="AA10" s="182">
        <v>1334.6341463414628</v>
      </c>
      <c r="AB10" s="182">
        <v>66.731707317073145</v>
      </c>
      <c r="AC10" s="436">
        <f t="shared" si="4"/>
        <v>24</v>
      </c>
      <c r="AD10" s="605"/>
      <c r="AE10" s="182">
        <v>20</v>
      </c>
      <c r="AF10" s="182">
        <v>1342.2857142857129</v>
      </c>
      <c r="AG10" s="182">
        <v>67.114285714285643</v>
      </c>
      <c r="AH10" s="436">
        <f t="shared" si="5"/>
        <v>24</v>
      </c>
      <c r="AI10" s="605"/>
      <c r="AJ10" s="182">
        <v>20</v>
      </c>
      <c r="AK10" s="182">
        <v>1294.8837209302324</v>
      </c>
      <c r="AL10" s="182">
        <v>64.744186046511615</v>
      </c>
      <c r="AM10" s="436">
        <f t="shared" si="6"/>
        <v>26</v>
      </c>
      <c r="AN10" s="605"/>
      <c r="AO10" s="182"/>
      <c r="AP10" s="182"/>
      <c r="AQ10" s="182"/>
      <c r="AR10" s="436" t="e">
        <f t="shared" si="7"/>
        <v>#N/A</v>
      </c>
      <c r="AS10" s="605"/>
      <c r="AT10" s="182"/>
      <c r="AU10" s="182"/>
      <c r="AV10" s="182"/>
      <c r="AW10" s="436" t="e">
        <f t="shared" si="8"/>
        <v>#N/A</v>
      </c>
      <c r="AX10" s="605"/>
      <c r="AZ10" s="314" t="e">
        <f>RANK(AX10, $K$7:AX$36)</f>
        <v>#N/A</v>
      </c>
      <c r="BB10" s="311" t="e">
        <f t="shared" si="0"/>
        <v>#N/A</v>
      </c>
    </row>
    <row r="11" spans="1:54">
      <c r="A11" s="81"/>
      <c r="B11" s="572"/>
      <c r="C11" s="436">
        <v>5</v>
      </c>
      <c r="D11" s="226" t="s">
        <v>350</v>
      </c>
      <c r="E11" s="182">
        <v>16</v>
      </c>
      <c r="F11" s="436">
        <v>1500</v>
      </c>
      <c r="G11" s="437">
        <v>93.8</v>
      </c>
      <c r="H11" s="609"/>
      <c r="I11" s="446">
        <f t="shared" si="1"/>
        <v>16</v>
      </c>
      <c r="J11" s="446">
        <f t="shared" si="1"/>
        <v>1328.0642042429627</v>
      </c>
      <c r="K11" s="438">
        <f t="shared" si="1"/>
        <v>83.004012765185166</v>
      </c>
      <c r="L11" s="541"/>
      <c r="M11" s="445">
        <f>RANK(K11, K$7:$K$36)</f>
        <v>5</v>
      </c>
      <c r="N11" s="559"/>
      <c r="O11" s="559"/>
      <c r="P11" s="182"/>
      <c r="Q11" s="182"/>
      <c r="R11" s="182"/>
      <c r="S11" s="436" t="e">
        <f t="shared" si="2"/>
        <v>#N/A</v>
      </c>
      <c r="T11" s="605"/>
      <c r="U11" s="182"/>
      <c r="V11" s="182"/>
      <c r="W11" s="182"/>
      <c r="X11" s="436" t="e">
        <f t="shared" si="3"/>
        <v>#N/A</v>
      </c>
      <c r="Y11" s="605"/>
      <c r="Z11" s="182">
        <v>16</v>
      </c>
      <c r="AA11" s="182">
        <v>1341.8181818181843</v>
      </c>
      <c r="AB11" s="182">
        <v>83.863636363636516</v>
      </c>
      <c r="AC11" s="436">
        <f t="shared" si="4"/>
        <v>4</v>
      </c>
      <c r="AD11" s="605"/>
      <c r="AE11" s="182">
        <v>16</v>
      </c>
      <c r="AF11" s="182">
        <v>1342.4999999999995</v>
      </c>
      <c r="AG11" s="182">
        <v>83.906249999999972</v>
      </c>
      <c r="AH11" s="436">
        <f t="shared" si="5"/>
        <v>5</v>
      </c>
      <c r="AI11" s="605"/>
      <c r="AJ11" s="182">
        <v>16</v>
      </c>
      <c r="AK11" s="182">
        <v>1293.9130434782608</v>
      </c>
      <c r="AL11" s="182">
        <v>80.869565217391298</v>
      </c>
      <c r="AM11" s="436">
        <f t="shared" si="6"/>
        <v>9</v>
      </c>
      <c r="AN11" s="605"/>
      <c r="AO11" s="182">
        <v>16</v>
      </c>
      <c r="AP11" s="182">
        <v>1344.4897959183677</v>
      </c>
      <c r="AQ11" s="182">
        <v>84.030612244897981</v>
      </c>
      <c r="AR11" s="436">
        <f t="shared" si="7"/>
        <v>4</v>
      </c>
      <c r="AS11" s="605"/>
      <c r="AT11" s="182">
        <v>16</v>
      </c>
      <c r="AU11" s="182">
        <v>1317.6000000000004</v>
      </c>
      <c r="AV11" s="182">
        <v>82.350000000000023</v>
      </c>
      <c r="AW11" s="436">
        <f t="shared" si="8"/>
        <v>5</v>
      </c>
      <c r="AX11" s="605"/>
      <c r="AZ11" s="314" t="e">
        <f>RANK(AX11, $K$7:AX$36)</f>
        <v>#N/A</v>
      </c>
      <c r="BB11" s="311" t="e">
        <f t="shared" si="0"/>
        <v>#N/A</v>
      </c>
    </row>
    <row r="12" spans="1:54">
      <c r="A12" s="81"/>
      <c r="B12" s="572"/>
      <c r="C12" s="436">
        <v>6</v>
      </c>
      <c r="D12" s="226" t="s">
        <v>379</v>
      </c>
      <c r="E12" s="182">
        <v>16</v>
      </c>
      <c r="F12" s="436">
        <v>1565</v>
      </c>
      <c r="G12" s="437">
        <v>97.8</v>
      </c>
      <c r="H12" s="609"/>
      <c r="I12" s="446">
        <f t="shared" si="1"/>
        <v>15</v>
      </c>
      <c r="J12" s="446">
        <f t="shared" si="1"/>
        <v>1390.2098927675454</v>
      </c>
      <c r="K12" s="438">
        <f t="shared" si="1"/>
        <v>92.680659517836375</v>
      </c>
      <c r="L12" s="541"/>
      <c r="M12" s="445">
        <f>RANK(K12, K$7:$K$36)</f>
        <v>3</v>
      </c>
      <c r="N12" s="559"/>
      <c r="O12" s="559"/>
      <c r="P12" s="182"/>
      <c r="Q12" s="182"/>
      <c r="R12" s="182"/>
      <c r="S12" s="436" t="e">
        <f t="shared" si="2"/>
        <v>#N/A</v>
      </c>
      <c r="T12" s="605"/>
      <c r="U12" s="182"/>
      <c r="V12" s="182"/>
      <c r="W12" s="182"/>
      <c r="X12" s="436" t="e">
        <f t="shared" si="3"/>
        <v>#N/A</v>
      </c>
      <c r="Y12" s="605"/>
      <c r="Z12" s="182">
        <v>15</v>
      </c>
      <c r="AA12" s="182">
        <v>1415.6521739130421</v>
      </c>
      <c r="AB12" s="182">
        <v>94.376811594202806</v>
      </c>
      <c r="AC12" s="436">
        <f t="shared" si="4"/>
        <v>3</v>
      </c>
      <c r="AD12" s="605"/>
      <c r="AE12" s="182">
        <v>15</v>
      </c>
      <c r="AF12" s="182">
        <v>1378.3561643835606</v>
      </c>
      <c r="AG12" s="182">
        <v>91.890410958904042</v>
      </c>
      <c r="AH12" s="436">
        <f t="shared" si="5"/>
        <v>3</v>
      </c>
      <c r="AI12" s="605"/>
      <c r="AJ12" s="182">
        <v>15</v>
      </c>
      <c r="AK12" s="182">
        <v>1388.571428571428</v>
      </c>
      <c r="AL12" s="182">
        <v>92.571428571428527</v>
      </c>
      <c r="AM12" s="436">
        <f t="shared" si="6"/>
        <v>3</v>
      </c>
      <c r="AN12" s="605"/>
      <c r="AO12" s="182">
        <v>15</v>
      </c>
      <c r="AP12" s="182">
        <v>1401.1363636363635</v>
      </c>
      <c r="AQ12" s="182">
        <v>93.409090909090907</v>
      </c>
      <c r="AR12" s="436">
        <f t="shared" si="7"/>
        <v>3</v>
      </c>
      <c r="AS12" s="605"/>
      <c r="AT12" s="182">
        <v>15</v>
      </c>
      <c r="AU12" s="182">
        <v>1367.3333333333333</v>
      </c>
      <c r="AV12" s="182">
        <v>91.155555555555551</v>
      </c>
      <c r="AW12" s="436">
        <f t="shared" si="8"/>
        <v>3</v>
      </c>
      <c r="AX12" s="605"/>
      <c r="AZ12" s="314" t="e">
        <f>RANK(AX12, $K$7:AX$36)</f>
        <v>#N/A</v>
      </c>
      <c r="BB12" s="311" t="e">
        <f t="shared" si="0"/>
        <v>#N/A</v>
      </c>
    </row>
    <row r="13" spans="1:54">
      <c r="A13" s="81"/>
      <c r="B13" s="572"/>
      <c r="C13" s="436">
        <v>7</v>
      </c>
      <c r="D13" s="226" t="s">
        <v>340</v>
      </c>
      <c r="E13" s="182">
        <v>14</v>
      </c>
      <c r="F13" s="436">
        <v>1440</v>
      </c>
      <c r="G13" s="437">
        <v>102.9</v>
      </c>
      <c r="H13" s="609"/>
      <c r="I13" s="446">
        <f t="shared" si="1"/>
        <v>15</v>
      </c>
      <c r="J13" s="446">
        <f t="shared" si="1"/>
        <v>1078.1189964157686</v>
      </c>
      <c r="K13" s="438">
        <f t="shared" si="1"/>
        <v>71.874599761051243</v>
      </c>
      <c r="L13" s="541"/>
      <c r="M13" s="445">
        <f>RANK(K13, K$7:$K$36)</f>
        <v>13</v>
      </c>
      <c r="N13" s="559"/>
      <c r="O13" s="559"/>
      <c r="P13" s="182"/>
      <c r="Q13" s="182"/>
      <c r="R13" s="182"/>
      <c r="S13" s="436" t="e">
        <f t="shared" si="2"/>
        <v>#N/A</v>
      </c>
      <c r="T13" s="605"/>
      <c r="U13" s="182"/>
      <c r="V13" s="182"/>
      <c r="W13" s="182"/>
      <c r="X13" s="436" t="e">
        <f t="shared" si="3"/>
        <v>#N/A</v>
      </c>
      <c r="Y13" s="605"/>
      <c r="Z13" s="182">
        <v>15</v>
      </c>
      <c r="AA13" s="182">
        <v>1068.8888888888864</v>
      </c>
      <c r="AB13" s="182">
        <v>71.259259259259096</v>
      </c>
      <c r="AC13" s="436">
        <f t="shared" si="4"/>
        <v>16</v>
      </c>
      <c r="AD13" s="605"/>
      <c r="AE13" s="182">
        <v>15</v>
      </c>
      <c r="AF13" s="182">
        <v>1068.3870967741918</v>
      </c>
      <c r="AG13" s="182">
        <v>71.225806451612783</v>
      </c>
      <c r="AH13" s="436">
        <f t="shared" si="5"/>
        <v>19</v>
      </c>
      <c r="AI13" s="605"/>
      <c r="AJ13" s="182">
        <v>15</v>
      </c>
      <c r="AK13" s="182">
        <v>1082.2222222222197</v>
      </c>
      <c r="AL13" s="182">
        <v>72.148148148147982</v>
      </c>
      <c r="AM13" s="436">
        <f t="shared" si="6"/>
        <v>15</v>
      </c>
      <c r="AN13" s="605"/>
      <c r="AO13" s="182">
        <v>15</v>
      </c>
      <c r="AP13" s="182">
        <v>1107.0967741935465</v>
      </c>
      <c r="AQ13" s="182">
        <v>73.806451612903103</v>
      </c>
      <c r="AR13" s="436">
        <f t="shared" si="7"/>
        <v>14</v>
      </c>
      <c r="AS13" s="605"/>
      <c r="AT13" s="182">
        <v>15</v>
      </c>
      <c r="AU13" s="182">
        <v>1063.9999999999982</v>
      </c>
      <c r="AV13" s="182">
        <v>70.933333333333209</v>
      </c>
      <c r="AW13" s="436">
        <f t="shared" si="8"/>
        <v>16</v>
      </c>
      <c r="AX13" s="605"/>
      <c r="AZ13" s="314" t="e">
        <f>RANK(AX13, $K$7:AX$36)</f>
        <v>#N/A</v>
      </c>
      <c r="BB13" s="311" t="e">
        <f t="shared" si="0"/>
        <v>#N/A</v>
      </c>
    </row>
    <row r="14" spans="1:54">
      <c r="A14" s="81"/>
      <c r="B14" s="572"/>
      <c r="C14" s="436">
        <v>8</v>
      </c>
      <c r="D14" s="226" t="s">
        <v>378</v>
      </c>
      <c r="E14" s="182">
        <v>16</v>
      </c>
      <c r="F14" s="436">
        <v>1440</v>
      </c>
      <c r="G14" s="437">
        <v>90</v>
      </c>
      <c r="H14" s="609"/>
      <c r="I14" s="446">
        <f t="shared" si="1"/>
        <v>16.2</v>
      </c>
      <c r="J14" s="446">
        <f t="shared" si="1"/>
        <v>1291.3120700437767</v>
      </c>
      <c r="K14" s="438">
        <f t="shared" si="1"/>
        <v>79.754708825368752</v>
      </c>
      <c r="L14" s="541"/>
      <c r="M14" s="445">
        <f>RANK(K14, K$7:$K$36)</f>
        <v>8</v>
      </c>
      <c r="N14" s="559"/>
      <c r="O14" s="559"/>
      <c r="P14" s="182"/>
      <c r="Q14" s="182"/>
      <c r="R14" s="182"/>
      <c r="S14" s="436" t="e">
        <f t="shared" si="2"/>
        <v>#N/A</v>
      </c>
      <c r="T14" s="605"/>
      <c r="U14" s="182"/>
      <c r="V14" s="182"/>
      <c r="W14" s="182"/>
      <c r="X14" s="436" t="e">
        <f t="shared" si="3"/>
        <v>#N/A</v>
      </c>
      <c r="Y14" s="605"/>
      <c r="Z14" s="182">
        <v>16</v>
      </c>
      <c r="AA14" s="182">
        <v>1286.6666666666656</v>
      </c>
      <c r="AB14" s="182">
        <v>80.4166666666666</v>
      </c>
      <c r="AC14" s="436">
        <f t="shared" si="4"/>
        <v>8</v>
      </c>
      <c r="AD14" s="605"/>
      <c r="AE14" s="182">
        <v>16</v>
      </c>
      <c r="AF14" s="182">
        <v>1281.9512195121947</v>
      </c>
      <c r="AG14" s="182">
        <v>80.121951219512169</v>
      </c>
      <c r="AH14" s="436">
        <f t="shared" si="5"/>
        <v>9</v>
      </c>
      <c r="AI14" s="605"/>
      <c r="AJ14" s="182">
        <v>16</v>
      </c>
      <c r="AK14" s="182">
        <v>1306.6666666666656</v>
      </c>
      <c r="AL14" s="182">
        <v>81.6666666666666</v>
      </c>
      <c r="AM14" s="436">
        <f t="shared" si="6"/>
        <v>6</v>
      </c>
      <c r="AN14" s="605"/>
      <c r="AO14" s="182">
        <v>17</v>
      </c>
      <c r="AP14" s="182">
        <v>1295.1219512195119</v>
      </c>
      <c r="AQ14" s="182">
        <v>76.183644189383045</v>
      </c>
      <c r="AR14" s="436">
        <f t="shared" si="7"/>
        <v>12</v>
      </c>
      <c r="AS14" s="605"/>
      <c r="AT14" s="182">
        <v>16</v>
      </c>
      <c r="AU14" s="182">
        <v>1286.1538461538455</v>
      </c>
      <c r="AV14" s="182">
        <v>80.384615384615344</v>
      </c>
      <c r="AW14" s="436">
        <f t="shared" si="8"/>
        <v>7</v>
      </c>
      <c r="AX14" s="605"/>
      <c r="AZ14" s="314" t="e">
        <f>RANK(AX14, $K$7:AX$36)</f>
        <v>#N/A</v>
      </c>
      <c r="BB14" s="311" t="e">
        <f t="shared" si="0"/>
        <v>#N/A</v>
      </c>
    </row>
    <row r="15" spans="1:54">
      <c r="A15" s="81"/>
      <c r="B15" s="572"/>
      <c r="C15" s="436">
        <v>9</v>
      </c>
      <c r="D15" s="226" t="s">
        <v>374</v>
      </c>
      <c r="E15" s="182">
        <v>18</v>
      </c>
      <c r="F15" s="436">
        <v>1440</v>
      </c>
      <c r="G15" s="437">
        <v>80</v>
      </c>
      <c r="H15" s="609"/>
      <c r="I15" s="446">
        <f t="shared" si="1"/>
        <v>18</v>
      </c>
      <c r="J15" s="446">
        <f t="shared" si="1"/>
        <v>1183.5011830131448</v>
      </c>
      <c r="K15" s="438">
        <f t="shared" si="1"/>
        <v>65.750065722952485</v>
      </c>
      <c r="L15" s="541"/>
      <c r="M15" s="445">
        <f>RANK(K15, K$7:$K$36)</f>
        <v>22</v>
      </c>
      <c r="N15" s="559"/>
      <c r="O15" s="559"/>
      <c r="P15" s="182"/>
      <c r="Q15" s="182"/>
      <c r="R15" s="182"/>
      <c r="S15" s="436" t="e">
        <f t="shared" si="2"/>
        <v>#N/A</v>
      </c>
      <c r="T15" s="605"/>
      <c r="U15" s="182"/>
      <c r="V15" s="182"/>
      <c r="W15" s="182"/>
      <c r="X15" s="436" t="e">
        <f t="shared" si="3"/>
        <v>#N/A</v>
      </c>
      <c r="Y15" s="605"/>
      <c r="Z15" s="182">
        <v>18</v>
      </c>
      <c r="AA15" s="182">
        <v>1202.7906976744184</v>
      </c>
      <c r="AB15" s="182">
        <v>66.821705426356573</v>
      </c>
      <c r="AC15" s="436">
        <f t="shared" si="4"/>
        <v>23</v>
      </c>
      <c r="AD15" s="605"/>
      <c r="AE15" s="182">
        <v>18</v>
      </c>
      <c r="AF15" s="182">
        <v>1196.0869565217392</v>
      </c>
      <c r="AG15" s="182">
        <v>66.449275362318843</v>
      </c>
      <c r="AH15" s="436">
        <f t="shared" si="5"/>
        <v>25</v>
      </c>
      <c r="AI15" s="605"/>
      <c r="AJ15" s="182">
        <v>18</v>
      </c>
      <c r="AK15" s="182">
        <v>1193.4782608695652</v>
      </c>
      <c r="AL15" s="182">
        <v>66.304347826086953</v>
      </c>
      <c r="AM15" s="436">
        <f t="shared" si="6"/>
        <v>23</v>
      </c>
      <c r="AN15" s="605"/>
      <c r="AO15" s="182">
        <v>18</v>
      </c>
      <c r="AP15" s="182">
        <v>1166.4000000000003</v>
      </c>
      <c r="AQ15" s="182">
        <v>64.800000000000011</v>
      </c>
      <c r="AR15" s="436">
        <f t="shared" si="7"/>
        <v>25</v>
      </c>
      <c r="AS15" s="605"/>
      <c r="AT15" s="182">
        <v>18</v>
      </c>
      <c r="AU15" s="182">
        <v>1158.7500000000005</v>
      </c>
      <c r="AV15" s="182">
        <v>64.375000000000028</v>
      </c>
      <c r="AW15" s="436">
        <f t="shared" si="8"/>
        <v>23</v>
      </c>
      <c r="AX15" s="605"/>
      <c r="AZ15" s="314" t="e">
        <f>RANK(AX15, $K$7:AX$36)</f>
        <v>#N/A</v>
      </c>
      <c r="BB15" s="311" t="e">
        <f t="shared" si="0"/>
        <v>#N/A</v>
      </c>
    </row>
    <row r="16" spans="1:54">
      <c r="A16" s="81"/>
      <c r="B16" s="572"/>
      <c r="C16" s="436">
        <v>10</v>
      </c>
      <c r="D16" s="226" t="s">
        <v>377</v>
      </c>
      <c r="E16" s="182">
        <v>18</v>
      </c>
      <c r="F16" s="436">
        <v>1636</v>
      </c>
      <c r="G16" s="437">
        <v>90.9</v>
      </c>
      <c r="H16" s="609"/>
      <c r="I16" s="446">
        <f t="shared" si="1"/>
        <v>18</v>
      </c>
      <c r="J16" s="446">
        <f t="shared" si="1"/>
        <v>1271.4505527549518</v>
      </c>
      <c r="K16" s="438">
        <f t="shared" si="1"/>
        <v>70.636141819719541</v>
      </c>
      <c r="L16" s="541"/>
      <c r="M16" s="445">
        <f>RANK(K16, K$7:$K$36)</f>
        <v>15</v>
      </c>
      <c r="N16" s="559"/>
      <c r="O16" s="559"/>
      <c r="P16" s="182"/>
      <c r="Q16" s="182"/>
      <c r="R16" s="182"/>
      <c r="S16" s="436" t="e">
        <f t="shared" si="2"/>
        <v>#N/A</v>
      </c>
      <c r="T16" s="605"/>
      <c r="U16" s="182"/>
      <c r="V16" s="182"/>
      <c r="W16" s="182"/>
      <c r="X16" s="436" t="e">
        <f t="shared" si="3"/>
        <v>#N/A</v>
      </c>
      <c r="Y16" s="605"/>
      <c r="Z16" s="182">
        <v>18</v>
      </c>
      <c r="AA16" s="182">
        <v>1270.2127659574471</v>
      </c>
      <c r="AB16" s="182">
        <v>70.567375886524843</v>
      </c>
      <c r="AC16" s="436">
        <f t="shared" si="4"/>
        <v>18</v>
      </c>
      <c r="AD16" s="605"/>
      <c r="AE16" s="182">
        <v>18</v>
      </c>
      <c r="AF16" s="182">
        <v>1250.588235294118</v>
      </c>
      <c r="AG16" s="182">
        <v>69.477124183006552</v>
      </c>
      <c r="AH16" s="436">
        <f t="shared" si="5"/>
        <v>22</v>
      </c>
      <c r="AI16" s="605"/>
      <c r="AJ16" s="182">
        <v>18</v>
      </c>
      <c r="AK16" s="182">
        <v>1292.7272727272737</v>
      </c>
      <c r="AL16" s="182">
        <v>71.81818181818187</v>
      </c>
      <c r="AM16" s="436">
        <f t="shared" si="6"/>
        <v>18</v>
      </c>
      <c r="AN16" s="605"/>
      <c r="AO16" s="182">
        <v>18</v>
      </c>
      <c r="AP16" s="182">
        <v>1248.2142857142867</v>
      </c>
      <c r="AQ16" s="182">
        <v>69.345238095238145</v>
      </c>
      <c r="AR16" s="436">
        <f t="shared" si="7"/>
        <v>21</v>
      </c>
      <c r="AS16" s="605"/>
      <c r="AT16" s="182">
        <v>18</v>
      </c>
      <c r="AU16" s="182">
        <v>1295.5102040816332</v>
      </c>
      <c r="AV16" s="182">
        <v>71.972789115646293</v>
      </c>
      <c r="AW16" s="436">
        <f t="shared" si="8"/>
        <v>14</v>
      </c>
      <c r="AX16" s="605"/>
      <c r="AZ16" s="314" t="e">
        <f>RANK(AX16, $K$7:AX$36)</f>
        <v>#N/A</v>
      </c>
      <c r="BB16" s="311" t="e">
        <f t="shared" si="0"/>
        <v>#N/A</v>
      </c>
    </row>
    <row r="17" spans="2:54">
      <c r="B17" s="572"/>
      <c r="C17" s="436">
        <v>11</v>
      </c>
      <c r="D17" s="226" t="s">
        <v>376</v>
      </c>
      <c r="E17" s="182">
        <v>18</v>
      </c>
      <c r="F17" s="436">
        <v>1636</v>
      </c>
      <c r="G17" s="437">
        <v>90.9</v>
      </c>
      <c r="H17" s="609"/>
      <c r="I17" s="446">
        <f t="shared" si="1"/>
        <v>18.2</v>
      </c>
      <c r="J17" s="446">
        <f t="shared" si="1"/>
        <v>1277.5836925105209</v>
      </c>
      <c r="K17" s="438">
        <f t="shared" si="1"/>
        <v>70.250825922199439</v>
      </c>
      <c r="L17" s="541"/>
      <c r="M17" s="445">
        <f>RANK(K17, K$7:$K$36)</f>
        <v>17</v>
      </c>
      <c r="N17" s="559"/>
      <c r="O17" s="559"/>
      <c r="P17" s="182"/>
      <c r="Q17" s="182"/>
      <c r="R17" s="182"/>
      <c r="S17" s="436" t="e">
        <f t="shared" si="2"/>
        <v>#N/A</v>
      </c>
      <c r="T17" s="605"/>
      <c r="U17" s="182"/>
      <c r="V17" s="182"/>
      <c r="W17" s="182"/>
      <c r="X17" s="436" t="e">
        <f t="shared" si="3"/>
        <v>#N/A</v>
      </c>
      <c r="Y17" s="605"/>
      <c r="Z17" s="182">
        <v>18</v>
      </c>
      <c r="AA17" s="182">
        <v>1282.7027027027016</v>
      </c>
      <c r="AB17" s="182">
        <v>71.261261261261197</v>
      </c>
      <c r="AC17" s="436">
        <f t="shared" si="4"/>
        <v>15</v>
      </c>
      <c r="AD17" s="605"/>
      <c r="AE17" s="182">
        <v>18</v>
      </c>
      <c r="AF17" s="182">
        <v>1270.2439024390239</v>
      </c>
      <c r="AG17" s="182">
        <v>70.56910569105689</v>
      </c>
      <c r="AH17" s="436">
        <f t="shared" si="5"/>
        <v>20</v>
      </c>
      <c r="AI17" s="605"/>
      <c r="AJ17" s="182">
        <v>18</v>
      </c>
      <c r="AK17" s="182">
        <v>1295.3846153846146</v>
      </c>
      <c r="AL17" s="182">
        <v>71.965811965811923</v>
      </c>
      <c r="AM17" s="436">
        <f t="shared" si="6"/>
        <v>17</v>
      </c>
      <c r="AN17" s="605"/>
      <c r="AO17" s="182">
        <v>18</v>
      </c>
      <c r="AP17" s="182">
        <v>1298.0487804878044</v>
      </c>
      <c r="AQ17" s="182">
        <v>72.11382113821135</v>
      </c>
      <c r="AR17" s="436">
        <f t="shared" si="7"/>
        <v>17</v>
      </c>
      <c r="AS17" s="605"/>
      <c r="AT17" s="182">
        <v>19</v>
      </c>
      <c r="AU17" s="182">
        <v>1241.538461538461</v>
      </c>
      <c r="AV17" s="182">
        <v>65.344129554655837</v>
      </c>
      <c r="AW17" s="436">
        <f t="shared" si="8"/>
        <v>22</v>
      </c>
      <c r="AX17" s="605"/>
      <c r="AZ17" s="314" t="e">
        <f>RANK(AX17, $K$7:AX$36)</f>
        <v>#N/A</v>
      </c>
      <c r="BB17" s="311" t="e">
        <f t="shared" si="0"/>
        <v>#N/A</v>
      </c>
    </row>
    <row r="18" spans="2:54">
      <c r="B18" s="572"/>
      <c r="C18" s="436">
        <v>12</v>
      </c>
      <c r="D18" s="226" t="s">
        <v>353</v>
      </c>
      <c r="E18" s="182">
        <v>17</v>
      </c>
      <c r="F18" s="436">
        <v>1500</v>
      </c>
      <c r="G18" s="437">
        <v>88.2</v>
      </c>
      <c r="H18" s="609"/>
      <c r="I18" s="446">
        <f t="shared" si="1"/>
        <v>17.8</v>
      </c>
      <c r="J18" s="446">
        <f t="shared" si="1"/>
        <v>1280.2611319453413</v>
      </c>
      <c r="K18" s="438">
        <f t="shared" si="1"/>
        <v>71.951326502410026</v>
      </c>
      <c r="L18" s="541"/>
      <c r="M18" s="445">
        <f>RANK(K18, K$7:$K$36)</f>
        <v>12</v>
      </c>
      <c r="N18" s="559"/>
      <c r="O18" s="559"/>
      <c r="P18" s="182"/>
      <c r="Q18" s="182"/>
      <c r="R18" s="182"/>
      <c r="S18" s="436" t="e">
        <f t="shared" si="2"/>
        <v>#N/A</v>
      </c>
      <c r="T18" s="605"/>
      <c r="U18" s="182"/>
      <c r="V18" s="182"/>
      <c r="W18" s="182"/>
      <c r="X18" s="436" t="e">
        <f t="shared" si="3"/>
        <v>#N/A</v>
      </c>
      <c r="Y18" s="605"/>
      <c r="Z18" s="182">
        <v>18</v>
      </c>
      <c r="AA18" s="182">
        <v>1265.4545454545439</v>
      </c>
      <c r="AB18" s="182">
        <v>70.303030303030212</v>
      </c>
      <c r="AC18" s="436">
        <f t="shared" si="4"/>
        <v>19</v>
      </c>
      <c r="AD18" s="605"/>
      <c r="AE18" s="182">
        <v>18</v>
      </c>
      <c r="AF18" s="182">
        <v>1293.1578947368412</v>
      </c>
      <c r="AG18" s="182">
        <v>71.842105263157848</v>
      </c>
      <c r="AH18" s="436">
        <f t="shared" si="5"/>
        <v>17</v>
      </c>
      <c r="AI18" s="605"/>
      <c r="AJ18" s="182">
        <v>18</v>
      </c>
      <c r="AK18" s="182">
        <v>1295.6756756756747</v>
      </c>
      <c r="AL18" s="182">
        <v>71.981981981981932</v>
      </c>
      <c r="AM18" s="436">
        <f t="shared" si="6"/>
        <v>16</v>
      </c>
      <c r="AN18" s="605"/>
      <c r="AO18" s="182">
        <v>18</v>
      </c>
      <c r="AP18" s="182">
        <v>1283.6842105263147</v>
      </c>
      <c r="AQ18" s="182">
        <v>71.315789473684148</v>
      </c>
      <c r="AR18" s="436">
        <f t="shared" si="7"/>
        <v>19</v>
      </c>
      <c r="AS18" s="605"/>
      <c r="AT18" s="182">
        <v>17</v>
      </c>
      <c r="AU18" s="182">
        <v>1263.3333333333323</v>
      </c>
      <c r="AV18" s="182">
        <v>74.31372549019602</v>
      </c>
      <c r="AW18" s="436">
        <f t="shared" si="8"/>
        <v>13</v>
      </c>
      <c r="AX18" s="605"/>
      <c r="AZ18" s="314" t="e">
        <f>RANK(AX18, $K$7:AX$36)</f>
        <v>#N/A</v>
      </c>
      <c r="BB18" s="311" t="e">
        <f t="shared" si="0"/>
        <v>#N/A</v>
      </c>
    </row>
    <row r="19" spans="2:54">
      <c r="B19" s="572"/>
      <c r="C19" s="436">
        <v>13</v>
      </c>
      <c r="D19" s="226" t="s">
        <v>588</v>
      </c>
      <c r="E19" s="182">
        <v>18</v>
      </c>
      <c r="F19" s="436">
        <v>1440</v>
      </c>
      <c r="G19" s="437">
        <v>80</v>
      </c>
      <c r="H19" s="609"/>
      <c r="I19" s="446">
        <f t="shared" si="1"/>
        <v>18</v>
      </c>
      <c r="J19" s="446">
        <f t="shared" si="1"/>
        <v>1335.424079999267</v>
      </c>
      <c r="K19" s="438">
        <f t="shared" si="1"/>
        <v>74.285967525547804</v>
      </c>
      <c r="L19" s="541"/>
      <c r="M19" s="445">
        <f>RANK(K19, K$7:$K$36)</f>
        <v>11</v>
      </c>
      <c r="N19" s="559"/>
      <c r="O19" s="559"/>
      <c r="P19" s="182"/>
      <c r="Q19" s="182"/>
      <c r="R19" s="182"/>
      <c r="S19" s="436" t="e">
        <f t="shared" si="2"/>
        <v>#N/A</v>
      </c>
      <c r="T19" s="605"/>
      <c r="U19" s="182"/>
      <c r="V19" s="182"/>
      <c r="W19" s="182"/>
      <c r="X19" s="436" t="e">
        <f t="shared" si="3"/>
        <v>#N/A</v>
      </c>
      <c r="Y19" s="605"/>
      <c r="Z19" s="182">
        <v>18</v>
      </c>
      <c r="AA19" s="182">
        <v>1358.4375000000016</v>
      </c>
      <c r="AB19" s="182">
        <v>75.468750000000085</v>
      </c>
      <c r="AC19" s="436">
        <f t="shared" si="4"/>
        <v>11</v>
      </c>
      <c r="AD19" s="605"/>
      <c r="AE19" s="182">
        <v>18</v>
      </c>
      <c r="AF19" s="182">
        <v>1302.7272727272741</v>
      </c>
      <c r="AG19" s="182">
        <v>72.373737373737455</v>
      </c>
      <c r="AH19" s="436">
        <f t="shared" si="5"/>
        <v>16</v>
      </c>
      <c r="AI19" s="605"/>
      <c r="AJ19" s="182">
        <v>18</v>
      </c>
      <c r="AK19" s="182">
        <v>1325.9999999999986</v>
      </c>
      <c r="AL19" s="182">
        <v>73.666666666666586</v>
      </c>
      <c r="AM19" s="436">
        <f t="shared" si="6"/>
        <v>13</v>
      </c>
      <c r="AN19" s="605"/>
      <c r="AO19" s="182">
        <v>17</v>
      </c>
      <c r="AP19" s="182">
        <v>1347.5675675675666</v>
      </c>
      <c r="AQ19" s="182">
        <v>79.268680445150977</v>
      </c>
      <c r="AR19" s="436">
        <f t="shared" si="7"/>
        <v>9</v>
      </c>
      <c r="AS19" s="605"/>
      <c r="AT19" s="182">
        <v>19</v>
      </c>
      <c r="AU19" s="182">
        <v>1342.3880597014943</v>
      </c>
      <c r="AV19" s="182">
        <v>70.652003142183915</v>
      </c>
      <c r="AW19" s="436">
        <f t="shared" si="8"/>
        <v>17</v>
      </c>
      <c r="AX19" s="605"/>
      <c r="AZ19" s="314" t="e">
        <f>RANK(AX19, $K$7:AX$36)</f>
        <v>#N/A</v>
      </c>
      <c r="BB19" s="311" t="e">
        <f t="shared" si="0"/>
        <v>#N/A</v>
      </c>
    </row>
    <row r="20" spans="2:54">
      <c r="B20" s="572"/>
      <c r="C20" s="436">
        <v>14</v>
      </c>
      <c r="D20" s="226" t="s">
        <v>381</v>
      </c>
      <c r="E20" s="182">
        <v>15</v>
      </c>
      <c r="F20" s="436">
        <v>1440</v>
      </c>
      <c r="G20" s="437">
        <v>96</v>
      </c>
      <c r="H20" s="609"/>
      <c r="I20" s="446">
        <f t="shared" si="1"/>
        <v>15.8</v>
      </c>
      <c r="J20" s="446">
        <f t="shared" si="1"/>
        <v>1287.8850935271632</v>
      </c>
      <c r="K20" s="438">
        <f t="shared" si="1"/>
        <v>81.553727436356795</v>
      </c>
      <c r="L20" s="541"/>
      <c r="M20" s="445">
        <f>RANK(K20, K$7:$K$36)</f>
        <v>6</v>
      </c>
      <c r="N20" s="559"/>
      <c r="O20" s="559"/>
      <c r="P20" s="182"/>
      <c r="Q20" s="182"/>
      <c r="R20" s="182"/>
      <c r="S20" s="436" t="e">
        <f t="shared" si="2"/>
        <v>#N/A</v>
      </c>
      <c r="T20" s="605"/>
      <c r="U20" s="182"/>
      <c r="V20" s="182"/>
      <c r="W20" s="182"/>
      <c r="X20" s="436" t="e">
        <f t="shared" si="3"/>
        <v>#N/A</v>
      </c>
      <c r="Y20" s="605"/>
      <c r="Z20" s="182">
        <v>16</v>
      </c>
      <c r="AA20" s="182">
        <v>1299.6000000000004</v>
      </c>
      <c r="AB20" s="182">
        <v>81.225000000000023</v>
      </c>
      <c r="AC20" s="436">
        <f t="shared" si="4"/>
        <v>6</v>
      </c>
      <c r="AD20" s="605"/>
      <c r="AE20" s="182">
        <v>16</v>
      </c>
      <c r="AF20" s="182">
        <v>1283.0769230769238</v>
      </c>
      <c r="AG20" s="182">
        <v>80.192307692307736</v>
      </c>
      <c r="AH20" s="436">
        <f t="shared" si="5"/>
        <v>8</v>
      </c>
      <c r="AI20" s="605"/>
      <c r="AJ20" s="182">
        <v>16</v>
      </c>
      <c r="AK20" s="182">
        <v>1306.0714285714296</v>
      </c>
      <c r="AL20" s="182">
        <v>81.629464285714349</v>
      </c>
      <c r="AM20" s="436">
        <f t="shared" si="6"/>
        <v>7</v>
      </c>
      <c r="AN20" s="605"/>
      <c r="AO20" s="182">
        <v>16</v>
      </c>
      <c r="AP20" s="182">
        <v>1277.5862068965528</v>
      </c>
      <c r="AQ20" s="182">
        <v>79.849137931034548</v>
      </c>
      <c r="AR20" s="436">
        <f t="shared" si="7"/>
        <v>8</v>
      </c>
      <c r="AS20" s="605"/>
      <c r="AT20" s="182">
        <v>15</v>
      </c>
      <c r="AU20" s="182">
        <v>1273.0909090909099</v>
      </c>
      <c r="AV20" s="182">
        <v>84.872727272727332</v>
      </c>
      <c r="AW20" s="436">
        <f t="shared" si="8"/>
        <v>4</v>
      </c>
      <c r="AX20" s="605"/>
      <c r="AZ20" s="314" t="e">
        <f>RANK(AX20, $K$7:AX$36)</f>
        <v>#N/A</v>
      </c>
      <c r="BB20" s="311" t="e">
        <f t="shared" si="0"/>
        <v>#N/A</v>
      </c>
    </row>
    <row r="21" spans="2:54">
      <c r="B21" s="572"/>
      <c r="C21" s="436">
        <v>15</v>
      </c>
      <c r="D21" s="226" t="s">
        <v>342</v>
      </c>
      <c r="E21" s="182">
        <v>17</v>
      </c>
      <c r="F21" s="436">
        <v>1440</v>
      </c>
      <c r="G21" s="437">
        <v>84.7</v>
      </c>
      <c r="H21" s="609"/>
      <c r="I21" s="446">
        <f t="shared" si="1"/>
        <v>16</v>
      </c>
      <c r="J21" s="446">
        <f t="shared" si="1"/>
        <v>1333.6185695429795</v>
      </c>
      <c r="K21" s="438">
        <f t="shared" si="1"/>
        <v>83.351160596436216</v>
      </c>
      <c r="L21" s="541"/>
      <c r="M21" s="445">
        <f>RANK(K21, K$7:$K$36)</f>
        <v>4</v>
      </c>
      <c r="N21" s="559"/>
      <c r="O21" s="559"/>
      <c r="P21" s="182"/>
      <c r="Q21" s="182"/>
      <c r="R21" s="182"/>
      <c r="S21" s="436" t="e">
        <f t="shared" si="2"/>
        <v>#N/A</v>
      </c>
      <c r="T21" s="605"/>
      <c r="U21" s="182"/>
      <c r="V21" s="182"/>
      <c r="W21" s="182"/>
      <c r="X21" s="436" t="e">
        <f t="shared" si="3"/>
        <v>#N/A</v>
      </c>
      <c r="Y21" s="605"/>
      <c r="Z21" s="182">
        <v>16</v>
      </c>
      <c r="AA21" s="182">
        <v>1338.1578947368412</v>
      </c>
      <c r="AB21" s="182">
        <v>83.634868421052573</v>
      </c>
      <c r="AC21" s="436">
        <f t="shared" si="4"/>
        <v>5</v>
      </c>
      <c r="AD21" s="605"/>
      <c r="AE21" s="182">
        <v>16</v>
      </c>
      <c r="AF21" s="182">
        <v>1343.2499999999995</v>
      </c>
      <c r="AG21" s="182">
        <v>83.953124999999972</v>
      </c>
      <c r="AH21" s="436">
        <f t="shared" si="5"/>
        <v>4</v>
      </c>
      <c r="AI21" s="605"/>
      <c r="AJ21" s="182">
        <v>16</v>
      </c>
      <c r="AK21" s="182">
        <v>1338.409090909091</v>
      </c>
      <c r="AL21" s="182">
        <v>83.650568181818187</v>
      </c>
      <c r="AM21" s="436">
        <f t="shared" si="6"/>
        <v>4</v>
      </c>
      <c r="AN21" s="605"/>
      <c r="AO21" s="182">
        <v>16</v>
      </c>
      <c r="AP21" s="182">
        <v>1339.9999999999998</v>
      </c>
      <c r="AQ21" s="182">
        <v>83.749999999999986</v>
      </c>
      <c r="AR21" s="436">
        <f t="shared" si="7"/>
        <v>5</v>
      </c>
      <c r="AS21" s="605"/>
      <c r="AT21" s="182">
        <v>16</v>
      </c>
      <c r="AU21" s="182">
        <v>1308.2758620689654</v>
      </c>
      <c r="AV21" s="182">
        <v>81.767241379310335</v>
      </c>
      <c r="AW21" s="436">
        <f t="shared" si="8"/>
        <v>6</v>
      </c>
      <c r="AX21" s="605"/>
      <c r="AZ21" s="313" t="e">
        <f>RANK(AX21, $K$7:AX$36)</f>
        <v>#N/A</v>
      </c>
      <c r="BB21" s="311" t="e">
        <f t="shared" si="0"/>
        <v>#N/A</v>
      </c>
    </row>
    <row r="22" spans="2:54">
      <c r="B22" s="572"/>
      <c r="C22" s="436">
        <v>16</v>
      </c>
      <c r="D22" s="226" t="s">
        <v>373</v>
      </c>
      <c r="E22" s="182">
        <v>17</v>
      </c>
      <c r="F22" s="436">
        <v>1636</v>
      </c>
      <c r="G22" s="437">
        <v>96.3</v>
      </c>
      <c r="H22" s="609"/>
      <c r="I22" s="446">
        <f t="shared" si="1"/>
        <v>17</v>
      </c>
      <c r="J22" s="446">
        <f t="shared" si="1"/>
        <v>1129.7159595959561</v>
      </c>
      <c r="K22" s="438">
        <f t="shared" si="1"/>
        <v>66.453879976232727</v>
      </c>
      <c r="L22" s="541"/>
      <c r="M22" s="445">
        <f>RANK(K22, K$7:$K$36)</f>
        <v>20</v>
      </c>
      <c r="N22" s="559"/>
      <c r="O22" s="559"/>
      <c r="P22" s="182"/>
      <c r="Q22" s="182"/>
      <c r="R22" s="182"/>
      <c r="S22" s="436" t="e">
        <f t="shared" si="2"/>
        <v>#N/A</v>
      </c>
      <c r="T22" s="605"/>
      <c r="U22" s="182"/>
      <c r="V22" s="182"/>
      <c r="W22" s="182"/>
      <c r="X22" s="436" t="e">
        <f t="shared" si="3"/>
        <v>#N/A</v>
      </c>
      <c r="Y22" s="605"/>
      <c r="Z22" s="182">
        <v>17</v>
      </c>
      <c r="AA22" s="182">
        <v>1084.9999999999968</v>
      </c>
      <c r="AB22" s="182">
        <v>63.823529411764518</v>
      </c>
      <c r="AC22" s="436">
        <f t="shared" si="4"/>
        <v>25</v>
      </c>
      <c r="AD22" s="605"/>
      <c r="AE22" s="182">
        <v>17</v>
      </c>
      <c r="AF22" s="182">
        <v>1279.0909090909042</v>
      </c>
      <c r="AG22" s="182">
        <v>75.240641711229657</v>
      </c>
      <c r="AH22" s="436">
        <f t="shared" si="5"/>
        <v>13</v>
      </c>
      <c r="AI22" s="605"/>
      <c r="AJ22" s="182">
        <v>17</v>
      </c>
      <c r="AK22" s="182">
        <v>1109.9999999999966</v>
      </c>
      <c r="AL22" s="182">
        <v>65.294117647058627</v>
      </c>
      <c r="AM22" s="436">
        <f t="shared" si="6"/>
        <v>25</v>
      </c>
      <c r="AN22" s="605"/>
      <c r="AO22" s="182">
        <v>17</v>
      </c>
      <c r="AP22" s="182">
        <v>1108.8888888888864</v>
      </c>
      <c r="AQ22" s="182">
        <v>65.228758169934494</v>
      </c>
      <c r="AR22" s="436">
        <f t="shared" si="7"/>
        <v>23</v>
      </c>
      <c r="AS22" s="605"/>
      <c r="AT22" s="182">
        <v>17</v>
      </c>
      <c r="AU22" s="182">
        <v>1065.599999999997</v>
      </c>
      <c r="AV22" s="182">
        <v>62.682352941176291</v>
      </c>
      <c r="AW22" s="436">
        <f t="shared" si="8"/>
        <v>24</v>
      </c>
      <c r="AX22" s="605"/>
      <c r="AZ22" s="313" t="e">
        <f>RANK(AX22, $K$7:AX$36)</f>
        <v>#N/A</v>
      </c>
      <c r="BB22" s="311" t="e">
        <f t="shared" si="0"/>
        <v>#N/A</v>
      </c>
    </row>
    <row r="23" spans="2:54">
      <c r="B23" s="572"/>
      <c r="C23" s="436">
        <v>17</v>
      </c>
      <c r="D23" s="226" t="s">
        <v>375</v>
      </c>
      <c r="E23" s="182">
        <v>18</v>
      </c>
      <c r="F23" s="436">
        <v>1440</v>
      </c>
      <c r="G23" s="437">
        <v>80</v>
      </c>
      <c r="H23" s="609"/>
      <c r="I23" s="446">
        <f t="shared" si="1"/>
        <v>17</v>
      </c>
      <c r="J23" s="446">
        <f t="shared" si="1"/>
        <v>1283.7815845749794</v>
      </c>
      <c r="K23" s="438">
        <f t="shared" si="1"/>
        <v>75.51656379852821</v>
      </c>
      <c r="L23" s="541"/>
      <c r="M23" s="445">
        <f>RANK(K23, K$7:$K$36)</f>
        <v>10</v>
      </c>
      <c r="N23" s="559"/>
      <c r="O23" s="559"/>
      <c r="P23" s="182"/>
      <c r="Q23" s="182"/>
      <c r="R23" s="182"/>
      <c r="S23" s="436" t="e">
        <f t="shared" si="2"/>
        <v>#N/A</v>
      </c>
      <c r="T23" s="605"/>
      <c r="U23" s="182"/>
      <c r="V23" s="182"/>
      <c r="W23" s="182"/>
      <c r="X23" s="436" t="e">
        <f t="shared" si="3"/>
        <v>#N/A</v>
      </c>
      <c r="Y23" s="605"/>
      <c r="Z23" s="182">
        <v>17</v>
      </c>
      <c r="AA23" s="182">
        <v>1266.3829787234044</v>
      </c>
      <c r="AB23" s="182">
        <v>74.493116395494383</v>
      </c>
      <c r="AC23" s="436">
        <f t="shared" si="4"/>
        <v>12</v>
      </c>
      <c r="AD23" s="605"/>
      <c r="AE23" s="182">
        <v>17</v>
      </c>
      <c r="AF23" s="182">
        <v>1308.4615384615392</v>
      </c>
      <c r="AG23" s="182">
        <v>76.96832579185525</v>
      </c>
      <c r="AH23" s="436">
        <f t="shared" si="5"/>
        <v>11</v>
      </c>
      <c r="AI23" s="605"/>
      <c r="AJ23" s="182">
        <v>17</v>
      </c>
      <c r="AK23" s="182">
        <v>1298.1818181818192</v>
      </c>
      <c r="AL23" s="182">
        <v>76.363636363636417</v>
      </c>
      <c r="AM23" s="436">
        <f t="shared" si="6"/>
        <v>12</v>
      </c>
      <c r="AN23" s="605"/>
      <c r="AO23" s="182">
        <v>17</v>
      </c>
      <c r="AP23" s="182">
        <v>1249.6551724137939</v>
      </c>
      <c r="AQ23" s="182">
        <v>73.509127789046701</v>
      </c>
      <c r="AR23" s="436">
        <f t="shared" si="7"/>
        <v>15</v>
      </c>
      <c r="AS23" s="605"/>
      <c r="AT23" s="182">
        <v>17</v>
      </c>
      <c r="AU23" s="182">
        <v>1296.2264150943402</v>
      </c>
      <c r="AV23" s="182">
        <v>76.248612652608244</v>
      </c>
      <c r="AW23" s="436">
        <f t="shared" si="8"/>
        <v>11</v>
      </c>
      <c r="AX23" s="605"/>
      <c r="AZ23" s="313" t="e">
        <f>RANK(AX23, $K$7:AX$36)</f>
        <v>#N/A</v>
      </c>
      <c r="BB23" s="311" t="e">
        <f t="shared" si="0"/>
        <v>#N/A</v>
      </c>
    </row>
    <row r="24" spans="2:54">
      <c r="B24" s="572"/>
      <c r="C24" s="436">
        <v>18</v>
      </c>
      <c r="D24" s="226" t="s">
        <v>382</v>
      </c>
      <c r="E24" s="182">
        <v>18</v>
      </c>
      <c r="F24" s="436">
        <v>1500</v>
      </c>
      <c r="G24" s="437">
        <v>83.3</v>
      </c>
      <c r="H24" s="609"/>
      <c r="I24" s="446">
        <f t="shared" si="1"/>
        <v>18</v>
      </c>
      <c r="J24" s="446">
        <f t="shared" si="1"/>
        <v>1283.309300637251</v>
      </c>
      <c r="K24" s="438">
        <f t="shared" si="1"/>
        <v>71.294961146513941</v>
      </c>
      <c r="L24" s="541"/>
      <c r="M24" s="445">
        <f>RANK(K24, K$7:$K$36)</f>
        <v>14</v>
      </c>
      <c r="N24" s="559"/>
      <c r="O24" s="559"/>
      <c r="P24" s="182"/>
      <c r="Q24" s="182"/>
      <c r="R24" s="182"/>
      <c r="S24" s="436" t="e">
        <f t="shared" si="2"/>
        <v>#N/A</v>
      </c>
      <c r="T24" s="605"/>
      <c r="U24" s="182"/>
      <c r="V24" s="182"/>
      <c r="W24" s="182"/>
      <c r="X24" s="436" t="e">
        <f t="shared" si="3"/>
        <v>#N/A</v>
      </c>
      <c r="Y24" s="605"/>
      <c r="Z24" s="182">
        <v>18</v>
      </c>
      <c r="AA24" s="182">
        <v>1240</v>
      </c>
      <c r="AB24" s="182">
        <v>68.888888888888886</v>
      </c>
      <c r="AC24" s="436">
        <f t="shared" si="4"/>
        <v>22</v>
      </c>
      <c r="AD24" s="605"/>
      <c r="AE24" s="182">
        <v>18</v>
      </c>
      <c r="AF24" s="182">
        <v>1306.9565217391305</v>
      </c>
      <c r="AG24" s="182">
        <v>72.608695652173921</v>
      </c>
      <c r="AH24" s="436">
        <f t="shared" si="5"/>
        <v>15</v>
      </c>
      <c r="AI24" s="605"/>
      <c r="AJ24" s="182">
        <v>18</v>
      </c>
      <c r="AK24" s="182">
        <v>1313.1818181818182</v>
      </c>
      <c r="AL24" s="182">
        <v>72.954545454545453</v>
      </c>
      <c r="AM24" s="436">
        <f t="shared" si="6"/>
        <v>14</v>
      </c>
      <c r="AN24" s="605"/>
      <c r="AO24" s="182">
        <v>18</v>
      </c>
      <c r="AP24" s="182">
        <v>1300.4081632653065</v>
      </c>
      <c r="AQ24" s="182">
        <v>72.244897959183689</v>
      </c>
      <c r="AR24" s="436">
        <f t="shared" si="7"/>
        <v>16</v>
      </c>
      <c r="AS24" s="605"/>
      <c r="AT24" s="182">
        <v>18</v>
      </c>
      <c r="AU24" s="182">
        <v>1256</v>
      </c>
      <c r="AV24" s="182">
        <v>69.777777777777771</v>
      </c>
      <c r="AW24" s="436">
        <f t="shared" si="8"/>
        <v>20</v>
      </c>
      <c r="AX24" s="605"/>
      <c r="AZ24" s="313" t="e">
        <f>RANK(AX24, $K$7:AX$36)</f>
        <v>#N/A</v>
      </c>
      <c r="BB24" s="311" t="e">
        <f t="shared" si="0"/>
        <v>#N/A</v>
      </c>
    </row>
    <row r="25" spans="2:54">
      <c r="B25" s="572"/>
      <c r="C25" s="436">
        <v>19</v>
      </c>
      <c r="D25" s="226" t="s">
        <v>453</v>
      </c>
      <c r="E25" s="182">
        <v>17</v>
      </c>
      <c r="F25" s="436">
        <v>1440</v>
      </c>
      <c r="G25" s="437">
        <v>84.7</v>
      </c>
      <c r="H25" s="609"/>
      <c r="I25" s="446">
        <f t="shared" si="1"/>
        <v>17</v>
      </c>
      <c r="J25" s="446">
        <f t="shared" si="1"/>
        <v>1090.1225615763519</v>
      </c>
      <c r="K25" s="438">
        <f t="shared" si="1"/>
        <v>64.12485656331485</v>
      </c>
      <c r="L25" s="541"/>
      <c r="M25" s="445">
        <f>RANK(K25, K$7:$K$36)</f>
        <v>23</v>
      </c>
      <c r="N25" s="559"/>
      <c r="O25" s="559"/>
      <c r="P25" s="182"/>
      <c r="Q25" s="182"/>
      <c r="R25" s="182"/>
      <c r="S25" s="436" t="e">
        <f t="shared" si="2"/>
        <v>#N/A</v>
      </c>
      <c r="T25" s="605"/>
      <c r="U25" s="182"/>
      <c r="V25" s="182"/>
      <c r="W25" s="182"/>
      <c r="X25" s="436" t="e">
        <f t="shared" si="3"/>
        <v>#N/A</v>
      </c>
      <c r="Y25" s="605"/>
      <c r="Z25" s="182">
        <v>17</v>
      </c>
      <c r="AA25" s="182">
        <v>1084.799999999997</v>
      </c>
      <c r="AB25" s="182">
        <v>63.811764705882176</v>
      </c>
      <c r="AC25" s="436">
        <f t="shared" si="4"/>
        <v>26</v>
      </c>
      <c r="AD25" s="605"/>
      <c r="AE25" s="182">
        <v>17</v>
      </c>
      <c r="AF25" s="182">
        <v>1094.4827586206875</v>
      </c>
      <c r="AG25" s="182">
        <v>64.381338742393382</v>
      </c>
      <c r="AH25" s="436">
        <f t="shared" si="5"/>
        <v>26</v>
      </c>
      <c r="AI25" s="605"/>
      <c r="AJ25" s="182">
        <v>17</v>
      </c>
      <c r="AK25" s="182">
        <v>1109.999999999997</v>
      </c>
      <c r="AL25" s="182">
        <v>65.294117647058656</v>
      </c>
      <c r="AM25" s="436">
        <f t="shared" si="6"/>
        <v>24</v>
      </c>
      <c r="AN25" s="605"/>
      <c r="AO25" s="182">
        <v>17</v>
      </c>
      <c r="AP25" s="182">
        <v>1102.7586206896531</v>
      </c>
      <c r="AQ25" s="182">
        <v>64.868154158214892</v>
      </c>
      <c r="AR25" s="436">
        <f t="shared" si="7"/>
        <v>24</v>
      </c>
      <c r="AS25" s="605"/>
      <c r="AT25" s="182">
        <v>17</v>
      </c>
      <c r="AU25" s="182">
        <v>1058.5714285714262</v>
      </c>
      <c r="AV25" s="182">
        <v>62.268907563025067</v>
      </c>
      <c r="AW25" s="436">
        <f t="shared" si="8"/>
        <v>25</v>
      </c>
      <c r="AX25" s="605"/>
      <c r="AZ25" s="313" t="e">
        <f>RANK(AX25, $K$7:AX$36)</f>
        <v>#N/A</v>
      </c>
      <c r="BB25" s="311" t="e">
        <f t="shared" si="0"/>
        <v>#N/A</v>
      </c>
    </row>
    <row r="26" spans="2:54">
      <c r="B26" s="572"/>
      <c r="C26" s="436">
        <v>20</v>
      </c>
      <c r="D26" s="226" t="s">
        <v>498</v>
      </c>
      <c r="E26" s="182">
        <v>18</v>
      </c>
      <c r="F26" s="436">
        <v>1385</v>
      </c>
      <c r="G26" s="437">
        <v>76.900000000000006</v>
      </c>
      <c r="H26" s="609"/>
      <c r="I26" s="446">
        <f t="shared" si="1"/>
        <v>17</v>
      </c>
      <c r="J26" s="446">
        <f t="shared" si="1"/>
        <v>1191.2060492282028</v>
      </c>
      <c r="K26" s="438">
        <f t="shared" si="1"/>
        <v>70.070944072247215</v>
      </c>
      <c r="L26" s="541"/>
      <c r="M26" s="445">
        <f>RANK(K26, K$7:$K$36)</f>
        <v>19</v>
      </c>
      <c r="N26" s="559"/>
      <c r="O26" s="559"/>
      <c r="P26" s="182"/>
      <c r="Q26" s="182"/>
      <c r="R26" s="182"/>
      <c r="S26" s="436" t="e">
        <f t="shared" si="2"/>
        <v>#N/A</v>
      </c>
      <c r="T26" s="605"/>
      <c r="U26" s="182"/>
      <c r="V26" s="182"/>
      <c r="W26" s="182"/>
      <c r="X26" s="436" t="e">
        <f t="shared" si="3"/>
        <v>#N/A</v>
      </c>
      <c r="Y26" s="605"/>
      <c r="Z26" s="182">
        <v>17</v>
      </c>
      <c r="AA26" s="182">
        <v>1175.9999999999989</v>
      </c>
      <c r="AB26" s="182">
        <v>69.176470588235233</v>
      </c>
      <c r="AC26" s="436">
        <f t="shared" si="4"/>
        <v>20</v>
      </c>
      <c r="AD26" s="605"/>
      <c r="AE26" s="182">
        <v>17</v>
      </c>
      <c r="AF26" s="182">
        <v>1242.3529411764748</v>
      </c>
      <c r="AG26" s="182">
        <v>73.079584775086758</v>
      </c>
      <c r="AH26" s="436">
        <f t="shared" si="5"/>
        <v>14</v>
      </c>
      <c r="AI26" s="605"/>
      <c r="AJ26" s="182">
        <v>17</v>
      </c>
      <c r="AK26" s="182">
        <v>1146.6666666666667</v>
      </c>
      <c r="AL26" s="182">
        <v>67.450980392156865</v>
      </c>
      <c r="AM26" s="436">
        <f t="shared" si="6"/>
        <v>22</v>
      </c>
      <c r="AN26" s="605"/>
      <c r="AO26" s="182">
        <v>17</v>
      </c>
      <c r="AP26" s="182">
        <v>1202.5000000000002</v>
      </c>
      <c r="AQ26" s="182">
        <v>70.735294117647072</v>
      </c>
      <c r="AR26" s="436">
        <f t="shared" si="7"/>
        <v>20</v>
      </c>
      <c r="AS26" s="605"/>
      <c r="AT26" s="182">
        <v>17</v>
      </c>
      <c r="AU26" s="182">
        <v>1188.5106382978724</v>
      </c>
      <c r="AV26" s="182">
        <v>69.912390488110148</v>
      </c>
      <c r="AW26" s="436">
        <f t="shared" si="8"/>
        <v>18</v>
      </c>
      <c r="AX26" s="605"/>
      <c r="AZ26" s="313" t="e">
        <f>RANK(AX26, $K$7:AX$36)</f>
        <v>#N/A</v>
      </c>
      <c r="BB26" s="311" t="e">
        <f t="shared" si="0"/>
        <v>#N/A</v>
      </c>
    </row>
    <row r="27" spans="2:54">
      <c r="B27" s="572"/>
      <c r="C27" s="436">
        <v>21</v>
      </c>
      <c r="D27" s="226" t="s">
        <v>563</v>
      </c>
      <c r="E27" s="182">
        <v>18</v>
      </c>
      <c r="F27" s="436">
        <v>1440</v>
      </c>
      <c r="G27" s="437">
        <v>80</v>
      </c>
      <c r="H27" s="609"/>
      <c r="I27" s="446">
        <f t="shared" si="1"/>
        <v>18.2</v>
      </c>
      <c r="J27" s="446">
        <f t="shared" si="1"/>
        <v>1277.6206493506495</v>
      </c>
      <c r="K27" s="438">
        <f t="shared" si="1"/>
        <v>70.230121136173778</v>
      </c>
      <c r="L27" s="541"/>
      <c r="M27" s="445">
        <f>RANK(K27, K$7:$K$36)</f>
        <v>18</v>
      </c>
      <c r="N27" s="559"/>
      <c r="O27" s="559"/>
      <c r="P27" s="182"/>
      <c r="Q27" s="182"/>
      <c r="R27" s="182"/>
      <c r="S27" s="436" t="e">
        <f t="shared" si="2"/>
        <v>#N/A</v>
      </c>
      <c r="T27" s="605"/>
      <c r="U27" s="182"/>
      <c r="V27" s="182"/>
      <c r="W27" s="182"/>
      <c r="X27" s="436" t="e">
        <f t="shared" si="3"/>
        <v>#N/A</v>
      </c>
      <c r="Y27" s="605"/>
      <c r="Z27" s="182">
        <v>18</v>
      </c>
      <c r="AA27" s="182">
        <v>1288.571428571428</v>
      </c>
      <c r="AB27" s="182">
        <v>71.587301587301553</v>
      </c>
      <c r="AC27" s="436">
        <f t="shared" si="4"/>
        <v>14</v>
      </c>
      <c r="AD27" s="605"/>
      <c r="AE27" s="182">
        <v>18</v>
      </c>
      <c r="AF27" s="182">
        <v>1262.7272727272727</v>
      </c>
      <c r="AG27" s="182">
        <v>70.151515151515156</v>
      </c>
      <c r="AH27" s="436">
        <f t="shared" si="5"/>
        <v>21</v>
      </c>
      <c r="AI27" s="605"/>
      <c r="AJ27" s="182">
        <v>18</v>
      </c>
      <c r="AK27" s="182">
        <v>1268.7500000000005</v>
      </c>
      <c r="AL27" s="182">
        <v>70.486111111111143</v>
      </c>
      <c r="AM27" s="436">
        <f t="shared" si="6"/>
        <v>20</v>
      </c>
      <c r="AN27" s="605"/>
      <c r="AO27" s="182">
        <v>18</v>
      </c>
      <c r="AP27" s="182">
        <v>1287.6000000000004</v>
      </c>
      <c r="AQ27" s="182">
        <v>71.53333333333336</v>
      </c>
      <c r="AR27" s="436">
        <f t="shared" si="7"/>
        <v>18</v>
      </c>
      <c r="AS27" s="605"/>
      <c r="AT27" s="182">
        <v>19</v>
      </c>
      <c r="AU27" s="182">
        <v>1280.4545454545455</v>
      </c>
      <c r="AV27" s="182">
        <v>67.392344497607652</v>
      </c>
      <c r="AW27" s="436">
        <f t="shared" si="8"/>
        <v>21</v>
      </c>
      <c r="AX27" s="605"/>
      <c r="AZ27" s="313" t="e">
        <f>RANK(AX27, $K$7:AX$36)</f>
        <v>#N/A</v>
      </c>
      <c r="BB27" s="311" t="e">
        <f t="shared" si="0"/>
        <v>#N/A</v>
      </c>
    </row>
    <row r="28" spans="2:54">
      <c r="B28" s="572"/>
      <c r="C28" s="436">
        <v>22</v>
      </c>
      <c r="D28" s="226" t="s">
        <v>589</v>
      </c>
      <c r="E28" s="182">
        <v>15</v>
      </c>
      <c r="F28" s="436">
        <v>1500</v>
      </c>
      <c r="G28" s="437">
        <v>100</v>
      </c>
      <c r="H28" s="609"/>
      <c r="I28" s="446">
        <f t="shared" si="1"/>
        <v>16</v>
      </c>
      <c r="J28" s="446">
        <f t="shared" si="1"/>
        <v>1292.7955865644649</v>
      </c>
      <c r="K28" s="438">
        <f t="shared" si="1"/>
        <v>80.799724160279055</v>
      </c>
      <c r="L28" s="541"/>
      <c r="M28" s="445">
        <f>RANK(K28, K$7:$K$36)</f>
        <v>7</v>
      </c>
      <c r="N28" s="559"/>
      <c r="O28" s="559"/>
      <c r="P28" s="182"/>
      <c r="Q28" s="182"/>
      <c r="R28" s="182"/>
      <c r="S28" s="436" t="e">
        <f t="shared" si="2"/>
        <v>#N/A</v>
      </c>
      <c r="T28" s="605"/>
      <c r="U28" s="182"/>
      <c r="V28" s="182"/>
      <c r="W28" s="182"/>
      <c r="X28" s="436" t="e">
        <f t="shared" si="3"/>
        <v>#N/A</v>
      </c>
      <c r="Y28" s="605"/>
      <c r="Z28" s="182">
        <v>16</v>
      </c>
      <c r="AA28" s="182">
        <v>1287.692307692309</v>
      </c>
      <c r="AB28" s="182">
        <v>80.480769230769312</v>
      </c>
      <c r="AC28" s="436">
        <f t="shared" si="4"/>
        <v>7</v>
      </c>
      <c r="AD28" s="605"/>
      <c r="AE28" s="182">
        <v>16</v>
      </c>
      <c r="AF28" s="182">
        <v>1304.3478260869554</v>
      </c>
      <c r="AG28" s="182">
        <v>81.52173913043471</v>
      </c>
      <c r="AH28" s="436">
        <f t="shared" si="5"/>
        <v>7</v>
      </c>
      <c r="AI28" s="605"/>
      <c r="AJ28" s="182">
        <v>16</v>
      </c>
      <c r="AK28" s="182">
        <v>1320.7792207792199</v>
      </c>
      <c r="AL28" s="182">
        <v>82.548701298701246</v>
      </c>
      <c r="AM28" s="436">
        <f t="shared" si="6"/>
        <v>5</v>
      </c>
      <c r="AN28" s="605"/>
      <c r="AO28" s="182">
        <v>16</v>
      </c>
      <c r="AP28" s="182">
        <v>1291.9480519480512</v>
      </c>
      <c r="AQ28" s="182">
        <v>80.746753246753201</v>
      </c>
      <c r="AR28" s="436">
        <f t="shared" si="7"/>
        <v>7</v>
      </c>
      <c r="AS28" s="605"/>
      <c r="AT28" s="182">
        <v>16</v>
      </c>
      <c r="AU28" s="182">
        <v>1259.2105263157887</v>
      </c>
      <c r="AV28" s="182">
        <v>78.700657894736793</v>
      </c>
      <c r="AW28" s="436">
        <f t="shared" si="8"/>
        <v>9</v>
      </c>
      <c r="AX28" s="605"/>
      <c r="AZ28" s="313" t="e">
        <f>RANK(AX28, $K$7:AX$36)</f>
        <v>#N/A</v>
      </c>
      <c r="BB28" s="311" t="e">
        <f t="shared" si="0"/>
        <v>#N/A</v>
      </c>
    </row>
    <row r="29" spans="2:54">
      <c r="B29" s="572"/>
      <c r="C29" s="436">
        <v>23</v>
      </c>
      <c r="D29" s="226" t="s">
        <v>601</v>
      </c>
      <c r="E29" s="182">
        <v>16</v>
      </c>
      <c r="F29" s="436">
        <v>1500</v>
      </c>
      <c r="G29" s="437">
        <v>93.8</v>
      </c>
      <c r="H29" s="609"/>
      <c r="I29" s="446">
        <f t="shared" si="1"/>
        <v>16</v>
      </c>
      <c r="J29" s="446">
        <f t="shared" si="1"/>
        <v>1125.5999999999988</v>
      </c>
      <c r="K29" s="438">
        <f t="shared" si="1"/>
        <v>70.349999999999923</v>
      </c>
      <c r="L29" s="541"/>
      <c r="M29" s="445">
        <f>RANK(K29, K$7:$K$36)</f>
        <v>16</v>
      </c>
      <c r="N29" s="559"/>
      <c r="O29" s="559"/>
      <c r="P29" s="182"/>
      <c r="Q29" s="182"/>
      <c r="R29" s="182"/>
      <c r="S29" s="436" t="e">
        <f t="shared" si="2"/>
        <v>#N/A</v>
      </c>
      <c r="T29" s="605"/>
      <c r="U29" s="182"/>
      <c r="V29" s="182"/>
      <c r="W29" s="182"/>
      <c r="X29" s="436" t="e">
        <f t="shared" si="3"/>
        <v>#N/A</v>
      </c>
      <c r="Y29" s="605"/>
      <c r="Z29" s="182">
        <v>16</v>
      </c>
      <c r="AA29" s="182">
        <v>1139.999999999997</v>
      </c>
      <c r="AB29" s="182">
        <v>71.249999999999815</v>
      </c>
      <c r="AC29" s="436">
        <f t="shared" si="4"/>
        <v>17</v>
      </c>
      <c r="AD29" s="605"/>
      <c r="AE29" s="182">
        <v>16</v>
      </c>
      <c r="AF29" s="182">
        <v>1143.0000000000041</v>
      </c>
      <c r="AG29" s="182">
        <v>71.437500000000256</v>
      </c>
      <c r="AH29" s="436">
        <f t="shared" si="5"/>
        <v>18</v>
      </c>
      <c r="AI29" s="605"/>
      <c r="AJ29" s="182">
        <v>16</v>
      </c>
      <c r="AK29" s="182">
        <v>1104.9999999999966</v>
      </c>
      <c r="AL29" s="182">
        <v>69.062499999999787</v>
      </c>
      <c r="AM29" s="436">
        <f t="shared" si="6"/>
        <v>21</v>
      </c>
      <c r="AN29" s="605"/>
      <c r="AO29" s="182">
        <v>16</v>
      </c>
      <c r="AP29" s="182">
        <v>1097.4999999999966</v>
      </c>
      <c r="AQ29" s="182">
        <v>68.593749999999787</v>
      </c>
      <c r="AR29" s="436">
        <f t="shared" si="7"/>
        <v>22</v>
      </c>
      <c r="AS29" s="605"/>
      <c r="AT29" s="182">
        <v>16</v>
      </c>
      <c r="AU29" s="182">
        <v>1142.5000000000002</v>
      </c>
      <c r="AV29" s="182">
        <v>71.406250000000014</v>
      </c>
      <c r="AW29" s="436">
        <f t="shared" si="8"/>
        <v>15</v>
      </c>
      <c r="AX29" s="605"/>
      <c r="AZ29" s="313" t="e">
        <f>RANK(AX29, $K$7:AX$36)</f>
        <v>#N/A</v>
      </c>
      <c r="BB29" s="311" t="e">
        <f t="shared" si="0"/>
        <v>#N/A</v>
      </c>
    </row>
    <row r="30" spans="2:54">
      <c r="B30" s="572"/>
      <c r="C30" s="436">
        <v>24</v>
      </c>
      <c r="D30" s="226" t="s">
        <v>602</v>
      </c>
      <c r="E30" s="182">
        <v>20</v>
      </c>
      <c r="F30" s="436">
        <v>1500</v>
      </c>
      <c r="G30" s="437">
        <v>75</v>
      </c>
      <c r="H30" s="609"/>
      <c r="I30" s="446">
        <f t="shared" si="1"/>
        <v>19.8</v>
      </c>
      <c r="J30" s="446">
        <f t="shared" si="1"/>
        <v>1099.1894464421921</v>
      </c>
      <c r="K30" s="438">
        <f t="shared" si="1"/>
        <v>55.552149667647356</v>
      </c>
      <c r="L30" s="541"/>
      <c r="M30" s="445">
        <f>RANK(K30, K$7:$K$36)</f>
        <v>24</v>
      </c>
      <c r="N30" s="559"/>
      <c r="O30" s="559"/>
      <c r="P30" s="436"/>
      <c r="Q30" s="437"/>
      <c r="R30" s="437"/>
      <c r="S30" s="436" t="e">
        <f t="shared" si="2"/>
        <v>#N/A</v>
      </c>
      <c r="T30" s="605"/>
      <c r="U30" s="436"/>
      <c r="V30" s="437"/>
      <c r="W30" s="437"/>
      <c r="X30" s="436" t="e">
        <f t="shared" si="3"/>
        <v>#N/A</v>
      </c>
      <c r="Y30" s="605"/>
      <c r="Z30" s="436">
        <v>20</v>
      </c>
      <c r="AA30" s="437">
        <v>1084.2857142857131</v>
      </c>
      <c r="AB30" s="437">
        <v>54.214285714285651</v>
      </c>
      <c r="AC30" s="436">
        <f t="shared" si="4"/>
        <v>28</v>
      </c>
      <c r="AD30" s="605"/>
      <c r="AE30" s="436">
        <v>20</v>
      </c>
      <c r="AF30" s="437">
        <v>1099.1666666666656</v>
      </c>
      <c r="AG30" s="437">
        <v>54.958333333333279</v>
      </c>
      <c r="AH30" s="436">
        <f t="shared" si="5"/>
        <v>28</v>
      </c>
      <c r="AI30" s="605"/>
      <c r="AJ30" s="436">
        <v>20</v>
      </c>
      <c r="AK30" s="437">
        <v>1088.2499999999995</v>
      </c>
      <c r="AL30" s="437">
        <v>54.41249999999998</v>
      </c>
      <c r="AM30" s="436">
        <f t="shared" si="6"/>
        <v>28</v>
      </c>
      <c r="AN30" s="605"/>
      <c r="AO30" s="436">
        <v>20</v>
      </c>
      <c r="AP30" s="437">
        <v>1098.1578947368414</v>
      </c>
      <c r="AQ30" s="437">
        <v>54.907894736842067</v>
      </c>
      <c r="AR30" s="436">
        <f t="shared" si="7"/>
        <v>27</v>
      </c>
      <c r="AS30" s="605"/>
      <c r="AT30" s="436">
        <v>19</v>
      </c>
      <c r="AU30" s="437">
        <v>1126.0869565217406</v>
      </c>
      <c r="AV30" s="437">
        <v>59.267734553775824</v>
      </c>
      <c r="AW30" s="436">
        <f t="shared" si="8"/>
        <v>27</v>
      </c>
      <c r="AX30" s="605"/>
      <c r="AZ30" s="313" t="e">
        <f>RANK(AX30, $K$7:AX$36)</f>
        <v>#N/A</v>
      </c>
      <c r="BB30" s="311" t="e">
        <f t="shared" si="0"/>
        <v>#N/A</v>
      </c>
    </row>
    <row r="31" spans="2:54">
      <c r="B31" s="572"/>
      <c r="C31" s="436">
        <v>25</v>
      </c>
      <c r="D31" s="226" t="s">
        <v>659</v>
      </c>
      <c r="E31" s="182">
        <v>17</v>
      </c>
      <c r="F31" s="436">
        <v>1440</v>
      </c>
      <c r="G31" s="437">
        <v>84.7</v>
      </c>
      <c r="H31" s="609"/>
      <c r="I31" s="446"/>
      <c r="J31" s="446"/>
      <c r="K31" s="438"/>
      <c r="L31" s="541"/>
      <c r="M31" s="445" t="e">
        <f>RANK(K31, K$7:$K$36)</f>
        <v>#N/A</v>
      </c>
      <c r="N31" s="559"/>
      <c r="O31" s="559"/>
      <c r="P31" s="436"/>
      <c r="Q31" s="437"/>
      <c r="R31" s="437"/>
      <c r="S31" s="436" t="e">
        <f t="shared" si="2"/>
        <v>#N/A</v>
      </c>
      <c r="T31" s="605"/>
      <c r="U31" s="436"/>
      <c r="V31" s="437"/>
      <c r="W31" s="437"/>
      <c r="X31" s="436" t="e">
        <f t="shared" si="3"/>
        <v>#N/A</v>
      </c>
      <c r="Y31" s="605"/>
      <c r="Z31" s="436">
        <v>17</v>
      </c>
      <c r="AA31" s="437">
        <v>1305.5421686746984</v>
      </c>
      <c r="AB31" s="437">
        <v>76.796598157335197</v>
      </c>
      <c r="AC31" s="436">
        <f t="shared" si="4"/>
        <v>10</v>
      </c>
      <c r="AD31" s="605"/>
      <c r="AE31" s="436">
        <v>17</v>
      </c>
      <c r="AF31" s="437">
        <v>1313.333333333333</v>
      </c>
      <c r="AG31" s="437">
        <v>77.254901960784295</v>
      </c>
      <c r="AH31" s="436">
        <f t="shared" si="5"/>
        <v>10</v>
      </c>
      <c r="AI31" s="605"/>
      <c r="AJ31" s="436">
        <v>17</v>
      </c>
      <c r="AK31" s="437">
        <v>1302.5000000000005</v>
      </c>
      <c r="AL31" s="437">
        <v>76.61764705882355</v>
      </c>
      <c r="AM31" s="436">
        <f t="shared" si="6"/>
        <v>11</v>
      </c>
      <c r="AN31" s="605"/>
      <c r="AO31" s="436">
        <v>17</v>
      </c>
      <c r="AP31" s="437">
        <v>1295.3684210526317</v>
      </c>
      <c r="AQ31" s="437">
        <v>76.198142414860683</v>
      </c>
      <c r="AR31" s="436">
        <f t="shared" si="7"/>
        <v>11</v>
      </c>
      <c r="AS31" s="605"/>
      <c r="AT31" s="436">
        <v>17</v>
      </c>
      <c r="AU31" s="437">
        <v>1291.3636363636365</v>
      </c>
      <c r="AV31" s="437">
        <v>75.962566844919792</v>
      </c>
      <c r="AW31" s="436">
        <f t="shared" si="8"/>
        <v>12</v>
      </c>
      <c r="AX31" s="605"/>
      <c r="AZ31" s="313" t="e">
        <f>RANK(AX31, $K$7:AX$36)</f>
        <v>#N/A</v>
      </c>
      <c r="BB31" s="311" t="e">
        <f t="shared" si="0"/>
        <v>#N/A</v>
      </c>
    </row>
    <row r="32" spans="2:54">
      <c r="B32" s="572"/>
      <c r="C32" s="436">
        <v>26</v>
      </c>
      <c r="D32" s="226" t="s">
        <v>660</v>
      </c>
      <c r="E32" s="182">
        <v>18</v>
      </c>
      <c r="F32" s="436">
        <v>1385</v>
      </c>
      <c r="G32" s="437">
        <v>76.900000000000006</v>
      </c>
      <c r="H32" s="609"/>
      <c r="I32" s="446"/>
      <c r="J32" s="446"/>
      <c r="K32" s="438"/>
      <c r="L32" s="541"/>
      <c r="M32" s="445" t="e">
        <f>RANK(K32, K$7:$K$36)</f>
        <v>#N/A</v>
      </c>
      <c r="N32" s="559"/>
      <c r="O32" s="559"/>
      <c r="P32" s="436"/>
      <c r="Q32" s="437"/>
      <c r="R32" s="437"/>
      <c r="S32" s="436" t="e">
        <f t="shared" si="2"/>
        <v>#N/A</v>
      </c>
      <c r="T32" s="605"/>
      <c r="U32" s="436"/>
      <c r="V32" s="437"/>
      <c r="W32" s="437"/>
      <c r="X32" s="436" t="e">
        <f t="shared" si="3"/>
        <v>#N/A</v>
      </c>
      <c r="Y32" s="605"/>
      <c r="Z32" s="436">
        <v>19</v>
      </c>
      <c r="AA32" s="437">
        <v>1106.37037037037</v>
      </c>
      <c r="AB32" s="437">
        <v>58.230019493177366</v>
      </c>
      <c r="AC32" s="436">
        <f t="shared" si="4"/>
        <v>27</v>
      </c>
      <c r="AD32" s="605"/>
      <c r="AE32" s="436">
        <v>19</v>
      </c>
      <c r="AF32" s="437">
        <v>1080.2962962962958</v>
      </c>
      <c r="AG32" s="437">
        <v>56.857699805068201</v>
      </c>
      <c r="AH32" s="436">
        <f t="shared" si="5"/>
        <v>27</v>
      </c>
      <c r="AI32" s="605"/>
      <c r="AJ32" s="436">
        <v>19</v>
      </c>
      <c r="AK32" s="437">
        <v>1061.9325842696628</v>
      </c>
      <c r="AL32" s="437">
        <v>55.891188645771727</v>
      </c>
      <c r="AM32" s="436">
        <f t="shared" si="6"/>
        <v>27</v>
      </c>
      <c r="AN32" s="605"/>
      <c r="AO32" s="436">
        <v>18</v>
      </c>
      <c r="AP32" s="437">
        <v>1102.8965517241379</v>
      </c>
      <c r="AQ32" s="437">
        <v>61.272030651340998</v>
      </c>
      <c r="AR32" s="436">
        <f t="shared" si="7"/>
        <v>26</v>
      </c>
      <c r="AS32" s="605"/>
      <c r="AT32" s="436">
        <v>18</v>
      </c>
      <c r="AU32" s="437">
        <v>1118.4905660377365</v>
      </c>
      <c r="AV32" s="437">
        <v>62.138364779874252</v>
      </c>
      <c r="AW32" s="436">
        <f t="shared" si="8"/>
        <v>26</v>
      </c>
      <c r="AX32" s="605"/>
      <c r="AZ32" s="313" t="e">
        <f>RANK(AX32, $K$7:AX$36)</f>
        <v>#N/A</v>
      </c>
      <c r="BB32" s="311" t="e">
        <f t="shared" si="0"/>
        <v>#N/A</v>
      </c>
    </row>
    <row r="33" spans="2:54">
      <c r="B33" s="572"/>
      <c r="C33" s="436">
        <v>27</v>
      </c>
      <c r="D33" s="226" t="s">
        <v>661</v>
      </c>
      <c r="E33" s="182">
        <v>18</v>
      </c>
      <c r="F33" s="436">
        <v>1440</v>
      </c>
      <c r="G33" s="437">
        <v>80</v>
      </c>
      <c r="H33" s="609"/>
      <c r="I33" s="446"/>
      <c r="J33" s="446"/>
      <c r="K33" s="438"/>
      <c r="L33" s="541"/>
      <c r="M33" s="445" t="e">
        <f>RANK(K33, K$7:$K$36)</f>
        <v>#N/A</v>
      </c>
      <c r="N33" s="559"/>
      <c r="O33" s="559"/>
      <c r="P33" s="436"/>
      <c r="Q33" s="437"/>
      <c r="R33" s="437"/>
      <c r="S33" s="436" t="e">
        <f t="shared" si="2"/>
        <v>#N/A</v>
      </c>
      <c r="T33" s="605"/>
      <c r="U33" s="436"/>
      <c r="V33" s="437"/>
      <c r="W33" s="437"/>
      <c r="X33" s="436" t="e">
        <f t="shared" si="3"/>
        <v>#N/A</v>
      </c>
      <c r="Y33" s="605"/>
      <c r="Z33" s="436">
        <v>18</v>
      </c>
      <c r="AA33" s="437">
        <v>1241.7857142857185</v>
      </c>
      <c r="AB33" s="437">
        <v>68.988095238095468</v>
      </c>
      <c r="AC33" s="436">
        <f t="shared" si="4"/>
        <v>21</v>
      </c>
      <c r="AD33" s="605"/>
      <c r="AE33" s="436">
        <v>18</v>
      </c>
      <c r="AF33" s="437">
        <v>1216.0714285714294</v>
      </c>
      <c r="AG33" s="437">
        <v>67.559523809523853</v>
      </c>
      <c r="AH33" s="436">
        <f t="shared" si="5"/>
        <v>23</v>
      </c>
      <c r="AI33" s="605"/>
      <c r="AJ33" s="436">
        <v>18</v>
      </c>
      <c r="AK33" s="437">
        <v>1284.0000000000007</v>
      </c>
      <c r="AL33" s="437">
        <v>71.333333333333371</v>
      </c>
      <c r="AM33" s="436">
        <f t="shared" si="6"/>
        <v>19</v>
      </c>
      <c r="AN33" s="605"/>
      <c r="AO33" s="436">
        <v>18</v>
      </c>
      <c r="AP33" s="437">
        <v>1333.9285714285725</v>
      </c>
      <c r="AQ33" s="437">
        <v>74.107142857142918</v>
      </c>
      <c r="AR33" s="436">
        <f t="shared" si="7"/>
        <v>13</v>
      </c>
      <c r="AS33" s="605"/>
      <c r="AT33" s="436">
        <v>18</v>
      </c>
      <c r="AU33" s="437">
        <v>1257.0967741935494</v>
      </c>
      <c r="AV33" s="437">
        <v>69.838709677419416</v>
      </c>
      <c r="AW33" s="436">
        <f t="shared" si="8"/>
        <v>19</v>
      </c>
      <c r="AX33" s="605"/>
      <c r="AZ33" s="313" t="e">
        <f>RANK(AX33, $K$7:AX$36)</f>
        <v>#N/A</v>
      </c>
      <c r="BB33" s="311" t="e">
        <f t="shared" si="0"/>
        <v>#N/A</v>
      </c>
    </row>
    <row r="34" spans="2:54">
      <c r="B34" s="572"/>
      <c r="C34" s="436">
        <v>28</v>
      </c>
      <c r="D34" s="226" t="s">
        <v>662</v>
      </c>
      <c r="E34" s="182">
        <v>17</v>
      </c>
      <c r="F34" s="436">
        <v>1440</v>
      </c>
      <c r="G34" s="437">
        <v>84.7</v>
      </c>
      <c r="H34" s="609"/>
      <c r="I34" s="446"/>
      <c r="J34" s="446"/>
      <c r="K34" s="438"/>
      <c r="L34" s="541"/>
      <c r="M34" s="445" t="e">
        <f>RANK(K34, K$7:$K$36)</f>
        <v>#N/A</v>
      </c>
      <c r="N34" s="559"/>
      <c r="O34" s="559"/>
      <c r="P34" s="436"/>
      <c r="Q34" s="437"/>
      <c r="R34" s="437"/>
      <c r="S34" s="436" t="e">
        <f t="shared" si="2"/>
        <v>#N/A</v>
      </c>
      <c r="T34" s="605"/>
      <c r="U34" s="436"/>
      <c r="V34" s="437"/>
      <c r="W34" s="437"/>
      <c r="X34" s="436" t="e">
        <f t="shared" si="3"/>
        <v>#N/A</v>
      </c>
      <c r="Y34" s="605"/>
      <c r="Z34" s="436">
        <v>19</v>
      </c>
      <c r="AA34" s="437">
        <v>1405.5319148936173</v>
      </c>
      <c r="AB34" s="437">
        <v>73.975363941769331</v>
      </c>
      <c r="AC34" s="436">
        <f t="shared" si="4"/>
        <v>13</v>
      </c>
      <c r="AD34" s="605"/>
      <c r="AE34" s="436">
        <v>17</v>
      </c>
      <c r="AF34" s="437">
        <v>1415.9999999999995</v>
      </c>
      <c r="AG34" s="437">
        <v>83.294117647058798</v>
      </c>
      <c r="AH34" s="436">
        <f t="shared" si="5"/>
        <v>6</v>
      </c>
      <c r="AI34" s="605"/>
      <c r="AJ34" s="436">
        <v>17</v>
      </c>
      <c r="AK34" s="437">
        <v>1382.8571428571399</v>
      </c>
      <c r="AL34" s="437">
        <v>81.344537815125875</v>
      </c>
      <c r="AM34" s="436">
        <f t="shared" si="6"/>
        <v>8</v>
      </c>
      <c r="AN34" s="605"/>
      <c r="AO34" s="436">
        <v>17</v>
      </c>
      <c r="AP34" s="436">
        <v>1415.2941176470558</v>
      </c>
      <c r="AQ34" s="436">
        <v>83.252595155709173</v>
      </c>
      <c r="AR34" s="436">
        <f t="shared" si="7"/>
        <v>6</v>
      </c>
      <c r="AS34" s="605"/>
      <c r="AT34" s="436">
        <v>17</v>
      </c>
      <c r="AU34" s="437">
        <v>1309.7872340425533</v>
      </c>
      <c r="AV34" s="437">
        <v>77.046307884856077</v>
      </c>
      <c r="AW34" s="436">
        <f t="shared" si="8"/>
        <v>10</v>
      </c>
      <c r="AX34" s="605"/>
      <c r="AZ34" s="313" t="e">
        <f>RANK(AX34, $K$7:AX$36)</f>
        <v>#N/A</v>
      </c>
      <c r="BB34" s="311" t="e">
        <f t="shared" si="0"/>
        <v>#N/A</v>
      </c>
    </row>
    <row r="35" spans="2:54">
      <c r="B35" s="572"/>
      <c r="C35" s="436">
        <v>29</v>
      </c>
      <c r="D35" s="226"/>
      <c r="E35" s="182"/>
      <c r="F35" s="436"/>
      <c r="G35" s="437"/>
      <c r="H35" s="609"/>
      <c r="I35" s="202"/>
      <c r="J35" s="202"/>
      <c r="K35" s="202"/>
      <c r="L35" s="541"/>
      <c r="M35" s="445" t="e">
        <f>RANK(K35, K$7:$K$36)</f>
        <v>#N/A</v>
      </c>
      <c r="N35" s="559"/>
      <c r="O35" s="559"/>
      <c r="P35" s="436" t="s">
        <v>561</v>
      </c>
      <c r="Q35" s="436" t="s">
        <v>561</v>
      </c>
      <c r="R35" s="436" t="s">
        <v>561</v>
      </c>
      <c r="S35" s="436" t="e">
        <f t="shared" si="2"/>
        <v>#VALUE!</v>
      </c>
      <c r="T35" s="605"/>
      <c r="U35" s="436"/>
      <c r="V35" s="436"/>
      <c r="W35" s="436"/>
      <c r="X35" s="436" t="e">
        <f t="shared" si="3"/>
        <v>#N/A</v>
      </c>
      <c r="Y35" s="605"/>
      <c r="Z35" s="436"/>
      <c r="AA35" s="436"/>
      <c r="AB35" s="436"/>
      <c r="AC35" s="436" t="e">
        <f t="shared" si="4"/>
        <v>#N/A</v>
      </c>
      <c r="AD35" s="605"/>
      <c r="AE35" s="436"/>
      <c r="AF35" s="436"/>
      <c r="AG35" s="436"/>
      <c r="AH35" s="436" t="e">
        <f t="shared" si="5"/>
        <v>#N/A</v>
      </c>
      <c r="AI35" s="605"/>
      <c r="AJ35" s="436"/>
      <c r="AK35" s="436"/>
      <c r="AL35" s="436"/>
      <c r="AM35" s="436" t="e">
        <f t="shared" si="6"/>
        <v>#N/A</v>
      </c>
      <c r="AN35" s="605"/>
      <c r="AO35" s="436"/>
      <c r="AP35" s="436"/>
      <c r="AQ35" s="436"/>
      <c r="AR35" s="436" t="e">
        <f t="shared" si="7"/>
        <v>#N/A</v>
      </c>
      <c r="AS35" s="605"/>
      <c r="AT35" s="436"/>
      <c r="AU35" s="436"/>
      <c r="AV35" s="436"/>
      <c r="AW35" s="436" t="e">
        <f t="shared" si="8"/>
        <v>#N/A</v>
      </c>
      <c r="AX35" s="605"/>
      <c r="AZ35" s="313" t="e">
        <f>RANK(AX35, $K$7:AX$36)</f>
        <v>#N/A</v>
      </c>
      <c r="BB35" s="311" t="e">
        <f t="shared" si="0"/>
        <v>#N/A</v>
      </c>
    </row>
    <row r="36" spans="2:54">
      <c r="B36" s="572"/>
      <c r="C36" s="436">
        <v>30</v>
      </c>
      <c r="D36" s="226"/>
      <c r="E36" s="182"/>
      <c r="F36" s="436"/>
      <c r="G36" s="437"/>
      <c r="H36" s="610"/>
      <c r="I36" s="202"/>
      <c r="J36" s="202"/>
      <c r="K36" s="202"/>
      <c r="L36" s="542"/>
      <c r="M36" s="445" t="e">
        <f>RANK(K36, K$7:$K$36)</f>
        <v>#N/A</v>
      </c>
      <c r="N36" s="559"/>
      <c r="O36" s="559"/>
      <c r="P36" s="436" t="s">
        <v>561</v>
      </c>
      <c r="Q36" s="436" t="s">
        <v>561</v>
      </c>
      <c r="R36" s="436" t="s">
        <v>561</v>
      </c>
      <c r="S36" s="436" t="e">
        <f t="shared" si="2"/>
        <v>#VALUE!</v>
      </c>
      <c r="T36" s="605"/>
      <c r="U36" s="436"/>
      <c r="V36" s="436"/>
      <c r="W36" s="436"/>
      <c r="X36" s="436" t="e">
        <f t="shared" si="3"/>
        <v>#N/A</v>
      </c>
      <c r="Y36" s="605"/>
      <c r="Z36" s="436"/>
      <c r="AA36" s="436"/>
      <c r="AB36" s="436"/>
      <c r="AC36" s="436" t="e">
        <f t="shared" si="4"/>
        <v>#N/A</v>
      </c>
      <c r="AD36" s="605"/>
      <c r="AE36" s="436"/>
      <c r="AF36" s="436"/>
      <c r="AG36" s="436"/>
      <c r="AH36" s="436" t="e">
        <f t="shared" si="5"/>
        <v>#N/A</v>
      </c>
      <c r="AI36" s="605"/>
      <c r="AJ36" s="436"/>
      <c r="AK36" s="436"/>
      <c r="AL36" s="436"/>
      <c r="AM36" s="436" t="e">
        <f t="shared" si="6"/>
        <v>#N/A</v>
      </c>
      <c r="AN36" s="605"/>
      <c r="AO36" s="436"/>
      <c r="AP36" s="436"/>
      <c r="AQ36" s="436"/>
      <c r="AR36" s="436" t="e">
        <f t="shared" si="7"/>
        <v>#N/A</v>
      </c>
      <c r="AS36" s="605"/>
      <c r="AT36" s="436"/>
      <c r="AU36" s="436"/>
      <c r="AV36" s="436"/>
      <c r="AW36" s="436" t="e">
        <f t="shared" si="8"/>
        <v>#N/A</v>
      </c>
      <c r="AX36" s="605"/>
      <c r="AZ36" s="382" t="e">
        <f>RANK(AX36, $K$7:AX$36)</f>
        <v>#N/A</v>
      </c>
      <c r="BB36" s="311" t="e">
        <f t="shared" si="0"/>
        <v>#N/A</v>
      </c>
    </row>
    <row r="37" spans="2:54" ht="15.75">
      <c r="B37" s="592" t="s">
        <v>731</v>
      </c>
      <c r="C37" s="593"/>
      <c r="D37" s="593"/>
      <c r="E37" s="593"/>
      <c r="F37" s="593"/>
      <c r="G37" s="593"/>
      <c r="H37" s="593"/>
      <c r="I37" s="203"/>
      <c r="J37" s="203"/>
      <c r="K37" s="203"/>
      <c r="L37" s="203"/>
      <c r="M37" s="204"/>
      <c r="N37" s="565" t="s">
        <v>732</v>
      </c>
      <c r="O37" s="565" t="s">
        <v>733</v>
      </c>
      <c r="P37" s="571">
        <f>AT2+1</f>
        <v>6</v>
      </c>
      <c r="Q37" s="572"/>
      <c r="R37" s="572"/>
      <c r="S37" s="572"/>
      <c r="T37" s="572"/>
      <c r="U37" s="571">
        <f>P37+1</f>
        <v>7</v>
      </c>
      <c r="V37" s="572"/>
      <c r="W37" s="572"/>
      <c r="X37" s="572"/>
      <c r="Y37" s="572"/>
      <c r="Z37" s="571">
        <f>U37+1</f>
        <v>8</v>
      </c>
      <c r="AA37" s="572"/>
      <c r="AB37" s="572"/>
      <c r="AC37" s="572"/>
      <c r="AD37" s="572"/>
      <c r="AE37" s="571">
        <f>Z37+1</f>
        <v>9</v>
      </c>
      <c r="AF37" s="572"/>
      <c r="AG37" s="572"/>
      <c r="AH37" s="572"/>
      <c r="AI37" s="572"/>
      <c r="AJ37" s="571">
        <f>AE37+1</f>
        <v>10</v>
      </c>
      <c r="AK37" s="572"/>
      <c r="AL37" s="572"/>
      <c r="AM37" s="572"/>
      <c r="AN37" s="572"/>
      <c r="AO37" s="571">
        <f>AJ37+1</f>
        <v>11</v>
      </c>
      <c r="AP37" s="572"/>
      <c r="AQ37" s="572"/>
      <c r="AR37" s="572"/>
      <c r="AS37" s="572"/>
      <c r="AT37" s="571">
        <f>AO37+1</f>
        <v>12</v>
      </c>
      <c r="AU37" s="572"/>
      <c r="AV37" s="572"/>
      <c r="AW37" s="572"/>
      <c r="AX37" s="572"/>
    </row>
    <row r="38" spans="2:54" ht="15.75">
      <c r="B38" s="579"/>
      <c r="C38" s="579"/>
      <c r="D38" s="579"/>
      <c r="E38" s="579"/>
      <c r="F38" s="579"/>
      <c r="G38" s="579"/>
      <c r="H38" s="579"/>
      <c r="I38" s="205"/>
      <c r="J38" s="205"/>
      <c r="K38" s="205"/>
      <c r="L38" s="205"/>
      <c r="M38" s="206"/>
      <c r="N38" s="567"/>
      <c r="O38" s="567"/>
      <c r="P38" s="571" t="s">
        <v>734</v>
      </c>
      <c r="Q38" s="572"/>
      <c r="R38" s="572"/>
      <c r="S38" s="572"/>
      <c r="T38" s="572"/>
      <c r="U38" s="571" t="s">
        <v>735</v>
      </c>
      <c r="V38" s="572"/>
      <c r="W38" s="572"/>
      <c r="X38" s="572"/>
      <c r="Y38" s="572"/>
      <c r="Z38" s="571" t="s">
        <v>736</v>
      </c>
      <c r="AA38" s="572"/>
      <c r="AB38" s="572"/>
      <c r="AC38" s="572"/>
      <c r="AD38" s="572"/>
      <c r="AE38" s="571" t="s">
        <v>737</v>
      </c>
      <c r="AF38" s="572"/>
      <c r="AG38" s="572"/>
      <c r="AH38" s="572"/>
      <c r="AI38" s="572"/>
      <c r="AJ38" s="571" t="s">
        <v>738</v>
      </c>
      <c r="AK38" s="572"/>
      <c r="AL38" s="572"/>
      <c r="AM38" s="572"/>
      <c r="AN38" s="572"/>
      <c r="AO38" s="571" t="s">
        <v>739</v>
      </c>
      <c r="AP38" s="572"/>
      <c r="AQ38" s="572"/>
      <c r="AR38" s="572"/>
      <c r="AS38" s="572"/>
      <c r="AT38" s="571" t="s">
        <v>740</v>
      </c>
      <c r="AU38" s="572"/>
      <c r="AV38" s="572"/>
      <c r="AW38" s="572"/>
      <c r="AX38" s="572"/>
    </row>
    <row r="39" spans="2:54">
      <c r="B39" s="559" t="s">
        <v>741</v>
      </c>
      <c r="C39" s="559" t="s">
        <v>742</v>
      </c>
      <c r="D39" s="559"/>
      <c r="E39" s="559" t="s">
        <v>743</v>
      </c>
      <c r="F39" s="559"/>
      <c r="G39" s="559"/>
      <c r="H39" s="560" t="s">
        <v>744</v>
      </c>
      <c r="I39" s="543" t="s">
        <v>745</v>
      </c>
      <c r="J39" s="543"/>
      <c r="K39" s="543"/>
      <c r="L39" s="544" t="s">
        <v>744</v>
      </c>
      <c r="M39" s="550" t="s">
        <v>746</v>
      </c>
      <c r="N39" s="559"/>
      <c r="O39" s="559" t="s">
        <v>747</v>
      </c>
      <c r="P39" s="556" t="s">
        <v>748</v>
      </c>
      <c r="Q39" s="557"/>
      <c r="R39" s="557"/>
      <c r="S39" s="558"/>
      <c r="T39" s="559" t="s">
        <v>744</v>
      </c>
      <c r="U39" s="556" t="s">
        <v>748</v>
      </c>
      <c r="V39" s="557"/>
      <c r="W39" s="557"/>
      <c r="X39" s="558"/>
      <c r="Y39" s="559" t="s">
        <v>744</v>
      </c>
      <c r="Z39" s="556" t="s">
        <v>748</v>
      </c>
      <c r="AA39" s="557"/>
      <c r="AB39" s="557"/>
      <c r="AC39" s="558"/>
      <c r="AD39" s="559" t="s">
        <v>744</v>
      </c>
      <c r="AE39" s="556" t="s">
        <v>748</v>
      </c>
      <c r="AF39" s="557"/>
      <c r="AG39" s="557"/>
      <c r="AH39" s="558"/>
      <c r="AI39" s="559" t="s">
        <v>744</v>
      </c>
      <c r="AJ39" s="556" t="s">
        <v>748</v>
      </c>
      <c r="AK39" s="557"/>
      <c r="AL39" s="557"/>
      <c r="AM39" s="558"/>
      <c r="AN39" s="559" t="s">
        <v>744</v>
      </c>
      <c r="AO39" s="556" t="s">
        <v>748</v>
      </c>
      <c r="AP39" s="557"/>
      <c r="AQ39" s="557"/>
      <c r="AR39" s="558"/>
      <c r="AS39" s="559" t="s">
        <v>744</v>
      </c>
      <c r="AT39" s="556" t="s">
        <v>748</v>
      </c>
      <c r="AU39" s="557"/>
      <c r="AV39" s="557"/>
      <c r="AW39" s="558"/>
      <c r="AX39" s="559" t="s">
        <v>744</v>
      </c>
    </row>
    <row r="40" spans="2:54">
      <c r="B40" s="559"/>
      <c r="C40" s="559"/>
      <c r="D40" s="559"/>
      <c r="E40" s="559" t="s">
        <v>749</v>
      </c>
      <c r="F40" s="559"/>
      <c r="G40" s="559"/>
      <c r="H40" s="561"/>
      <c r="I40" s="543" t="s">
        <v>749</v>
      </c>
      <c r="J40" s="543"/>
      <c r="K40" s="543"/>
      <c r="L40" s="545"/>
      <c r="M40" s="551"/>
      <c r="N40" s="559"/>
      <c r="O40" s="559"/>
      <c r="P40" s="556" t="s">
        <v>750</v>
      </c>
      <c r="Q40" s="557"/>
      <c r="R40" s="557"/>
      <c r="S40" s="558"/>
      <c r="T40" s="559"/>
      <c r="U40" s="556" t="s">
        <v>750</v>
      </c>
      <c r="V40" s="557"/>
      <c r="W40" s="557"/>
      <c r="X40" s="558"/>
      <c r="Y40" s="559"/>
      <c r="Z40" s="556" t="s">
        <v>750</v>
      </c>
      <c r="AA40" s="557"/>
      <c r="AB40" s="557"/>
      <c r="AC40" s="558"/>
      <c r="AD40" s="559"/>
      <c r="AE40" s="556" t="s">
        <v>750</v>
      </c>
      <c r="AF40" s="557"/>
      <c r="AG40" s="557"/>
      <c r="AH40" s="558"/>
      <c r="AI40" s="559"/>
      <c r="AJ40" s="556" t="s">
        <v>750</v>
      </c>
      <c r="AK40" s="557"/>
      <c r="AL40" s="557"/>
      <c r="AM40" s="558"/>
      <c r="AN40" s="559"/>
      <c r="AO40" s="556" t="s">
        <v>750</v>
      </c>
      <c r="AP40" s="557"/>
      <c r="AQ40" s="557"/>
      <c r="AR40" s="558"/>
      <c r="AS40" s="559"/>
      <c r="AT40" s="556" t="s">
        <v>750</v>
      </c>
      <c r="AU40" s="557"/>
      <c r="AV40" s="557"/>
      <c r="AW40" s="558"/>
      <c r="AX40" s="559"/>
    </row>
    <row r="41" spans="2:54">
      <c r="B41" s="559"/>
      <c r="C41" s="559"/>
      <c r="D41" s="559"/>
      <c r="E41" s="440" t="s">
        <v>751</v>
      </c>
      <c r="F41" s="440" t="s">
        <v>752</v>
      </c>
      <c r="G41" s="440" t="s">
        <v>753</v>
      </c>
      <c r="H41" s="562"/>
      <c r="I41" s="444" t="s">
        <v>751</v>
      </c>
      <c r="J41" s="444" t="s">
        <v>752</v>
      </c>
      <c r="K41" s="444" t="s">
        <v>753</v>
      </c>
      <c r="L41" s="546"/>
      <c r="M41" s="552"/>
      <c r="N41" s="559"/>
      <c r="O41" s="559"/>
      <c r="P41" s="440" t="s">
        <v>751</v>
      </c>
      <c r="Q41" s="440" t="s">
        <v>752</v>
      </c>
      <c r="R41" s="440" t="s">
        <v>753</v>
      </c>
      <c r="S41" s="440" t="s">
        <v>746</v>
      </c>
      <c r="T41" s="559"/>
      <c r="U41" s="440" t="s">
        <v>751</v>
      </c>
      <c r="V41" s="440" t="s">
        <v>752</v>
      </c>
      <c r="W41" s="440" t="s">
        <v>753</v>
      </c>
      <c r="X41" s="440" t="s">
        <v>746</v>
      </c>
      <c r="Y41" s="559"/>
      <c r="Z41" s="440" t="s">
        <v>751</v>
      </c>
      <c r="AA41" s="440" t="s">
        <v>752</v>
      </c>
      <c r="AB41" s="440" t="s">
        <v>753</v>
      </c>
      <c r="AC41" s="440" t="s">
        <v>746</v>
      </c>
      <c r="AD41" s="559"/>
      <c r="AE41" s="440" t="s">
        <v>751</v>
      </c>
      <c r="AF41" s="440" t="s">
        <v>752</v>
      </c>
      <c r="AG41" s="440" t="s">
        <v>753</v>
      </c>
      <c r="AH41" s="440" t="s">
        <v>746</v>
      </c>
      <c r="AI41" s="559"/>
      <c r="AJ41" s="440" t="s">
        <v>751</v>
      </c>
      <c r="AK41" s="440" t="s">
        <v>752</v>
      </c>
      <c r="AL41" s="440" t="s">
        <v>753</v>
      </c>
      <c r="AM41" s="440" t="s">
        <v>746</v>
      </c>
      <c r="AN41" s="559"/>
      <c r="AO41" s="440" t="s">
        <v>751</v>
      </c>
      <c r="AP41" s="440" t="s">
        <v>752</v>
      </c>
      <c r="AQ41" s="440" t="s">
        <v>753</v>
      </c>
      <c r="AR41" s="440" t="s">
        <v>746</v>
      </c>
      <c r="AS41" s="559"/>
      <c r="AT41" s="440" t="s">
        <v>751</v>
      </c>
      <c r="AU41" s="440" t="s">
        <v>752</v>
      </c>
      <c r="AV41" s="440" t="s">
        <v>753</v>
      </c>
      <c r="AW41" s="440" t="s">
        <v>746</v>
      </c>
      <c r="AX41" s="559"/>
    </row>
    <row r="42" spans="2:54">
      <c r="B42" s="559" t="s">
        <v>788</v>
      </c>
      <c r="C42" s="436">
        <v>1</v>
      </c>
      <c r="D42" s="226" t="s">
        <v>371</v>
      </c>
      <c r="E42" s="182">
        <v>6</v>
      </c>
      <c r="F42" s="436">
        <v>1500</v>
      </c>
      <c r="G42" s="437">
        <v>250</v>
      </c>
      <c r="H42" s="608">
        <f>AVERAGE(G42:G71)</f>
        <v>97.58620689655173</v>
      </c>
      <c r="I42" s="446">
        <f>AVERAGE(P42,U42,Z42,AE42,AJ42,AO42,AT42)</f>
        <v>6</v>
      </c>
      <c r="J42" s="446">
        <f>AVERAGE(Q42,V42,AA42,AF42,AK42,AP42,AU42)</f>
        <v>1337.5768914503503</v>
      </c>
      <c r="K42" s="438">
        <f>AVERAGE(R42,W42,AB42,AG42,AL42,AQ42,AV42)</f>
        <v>222.92948190839175</v>
      </c>
      <c r="L42" s="540">
        <f>IFERROR(AVERAGE(K42:K71),"-")</f>
        <v>82.61681614911619</v>
      </c>
      <c r="M42" s="445">
        <f>RANK(K42, K$42:$K$71)</f>
        <v>1</v>
      </c>
      <c r="N42" s="559"/>
      <c r="O42" s="559"/>
      <c r="P42" s="182">
        <v>6</v>
      </c>
      <c r="Q42" s="182">
        <v>1349.0808510638299</v>
      </c>
      <c r="R42" s="182">
        <v>224.84680851063831</v>
      </c>
      <c r="S42" s="436">
        <f t="shared" ref="S42:S71" si="9">RANK(R42, R$42:R$71)</f>
        <v>1</v>
      </c>
      <c r="T42" s="605">
        <f>AVERAGE(R42:R71)</f>
        <v>82.956675069593189</v>
      </c>
      <c r="U42" s="182">
        <v>6</v>
      </c>
      <c r="V42" s="182">
        <v>1322.4957983193281</v>
      </c>
      <c r="W42" s="182">
        <v>220.41596638655469</v>
      </c>
      <c r="X42" s="436">
        <f t="shared" ref="X42:X71" si="10">RANK(W42, W$42:W$71)</f>
        <v>1</v>
      </c>
      <c r="Y42" s="605">
        <f>AVERAGE(W42:W71)</f>
        <v>80.968860677219965</v>
      </c>
      <c r="Z42" s="182">
        <v>6</v>
      </c>
      <c r="AA42" s="182">
        <v>1316.1906382978725</v>
      </c>
      <c r="AB42" s="182">
        <v>219.36510638297875</v>
      </c>
      <c r="AC42" s="436">
        <f t="shared" ref="AC42:AC71" si="11">RANK(AB42, AB$42:AB$71)</f>
        <v>1</v>
      </c>
      <c r="AD42" s="605">
        <f>AVERAGE(AB42:AB71)</f>
        <v>82.897447925370983</v>
      </c>
      <c r="AE42" s="182">
        <v>6</v>
      </c>
      <c r="AF42" s="182">
        <v>1337.1777777777775</v>
      </c>
      <c r="AG42" s="182">
        <v>222.86296296296291</v>
      </c>
      <c r="AH42" s="436">
        <f t="shared" ref="AH42:AH71" si="12">RANK(AG42, AG$42:AG$71)</f>
        <v>1</v>
      </c>
      <c r="AI42" s="605">
        <f>AVERAGE(AG42:AG71)</f>
        <v>83.793505113941407</v>
      </c>
      <c r="AJ42" s="182">
        <v>6</v>
      </c>
      <c r="AK42" s="182">
        <v>1356.8948275862067</v>
      </c>
      <c r="AL42" s="182">
        <v>226.14913793103446</v>
      </c>
      <c r="AM42" s="436">
        <f t="shared" ref="AM42:AM71" si="13">RANK(AL42, AL$42:AL$71)</f>
        <v>1</v>
      </c>
      <c r="AN42" s="605">
        <f>AVERAGE(AL42:AL71)</f>
        <v>83.585235442398655</v>
      </c>
      <c r="AO42" s="182">
        <v>6</v>
      </c>
      <c r="AP42" s="182">
        <v>1344.8545454545454</v>
      </c>
      <c r="AQ42" s="182">
        <v>224.14242424242423</v>
      </c>
      <c r="AR42" s="436">
        <f t="shared" ref="AR42:AR71" si="14">RANK(AQ42, AQ$42:AQ$71)</f>
        <v>1</v>
      </c>
      <c r="AS42" s="605">
        <f>AVERAGE(AQ42:AQ71)</f>
        <v>83.89017520778512</v>
      </c>
      <c r="AT42" s="182">
        <v>6</v>
      </c>
      <c r="AU42" s="182">
        <v>1336.3438016528928</v>
      </c>
      <c r="AV42" s="182">
        <v>222.72396694214879</v>
      </c>
      <c r="AW42" s="436">
        <f t="shared" ref="AW42:AW71" si="15">RANK(AV42, AV$42:AV$71)</f>
        <v>1</v>
      </c>
      <c r="AX42" s="605">
        <f>AVERAGE(AV42:AV71)</f>
        <v>82.891375003962835</v>
      </c>
    </row>
    <row r="43" spans="2:54">
      <c r="B43" s="572"/>
      <c r="C43" s="436">
        <v>2</v>
      </c>
      <c r="D43" s="226" t="s">
        <v>395</v>
      </c>
      <c r="E43" s="182">
        <v>6</v>
      </c>
      <c r="F43" s="436">
        <v>1500</v>
      </c>
      <c r="G43" s="437">
        <v>250</v>
      </c>
      <c r="H43" s="609"/>
      <c r="I43" s="446">
        <f t="shared" ref="I43:K65" si="16">AVERAGE(P43,U43,Z43,AE43,AJ43,AO43,AT43)</f>
        <v>7</v>
      </c>
      <c r="J43" s="446">
        <f t="shared" si="16"/>
        <v>1492.0169210043127</v>
      </c>
      <c r="K43" s="438">
        <f t="shared" si="16"/>
        <v>213.14527442918754</v>
      </c>
      <c r="L43" s="541"/>
      <c r="M43" s="445">
        <f>RANK(K43, K$42:$K$71)</f>
        <v>2</v>
      </c>
      <c r="N43" s="559"/>
      <c r="O43" s="559"/>
      <c r="P43" s="182">
        <v>7</v>
      </c>
      <c r="Q43" s="182">
        <v>1494.3157894736844</v>
      </c>
      <c r="R43" s="182">
        <v>213.47368421052633</v>
      </c>
      <c r="S43" s="436">
        <f t="shared" si="9"/>
        <v>2</v>
      </c>
      <c r="T43" s="605"/>
      <c r="U43" s="182">
        <v>7</v>
      </c>
      <c r="V43" s="182">
        <v>1469.702970297029</v>
      </c>
      <c r="W43" s="182">
        <v>209.95756718528986</v>
      </c>
      <c r="X43" s="436">
        <f t="shared" si="10"/>
        <v>2</v>
      </c>
      <c r="Y43" s="605"/>
      <c r="Z43" s="182">
        <v>7</v>
      </c>
      <c r="AA43" s="182">
        <v>1506.0606060606053</v>
      </c>
      <c r="AB43" s="182">
        <v>215.15151515151504</v>
      </c>
      <c r="AC43" s="436">
        <f t="shared" si="11"/>
        <v>2</v>
      </c>
      <c r="AD43" s="605"/>
      <c r="AE43" s="182">
        <v>7</v>
      </c>
      <c r="AF43" s="182">
        <v>1487.1428571428567</v>
      </c>
      <c r="AG43" s="182">
        <v>212.44897959183666</v>
      </c>
      <c r="AH43" s="436">
        <f t="shared" si="12"/>
        <v>2</v>
      </c>
      <c r="AI43" s="605"/>
      <c r="AJ43" s="182">
        <v>7</v>
      </c>
      <c r="AK43" s="182">
        <v>1497.9069767441858</v>
      </c>
      <c r="AL43" s="182">
        <v>213.98671096345512</v>
      </c>
      <c r="AM43" s="436">
        <f t="shared" si="13"/>
        <v>2</v>
      </c>
      <c r="AN43" s="605"/>
      <c r="AO43" s="182">
        <v>7</v>
      </c>
      <c r="AP43" s="182">
        <v>1498.6666666666667</v>
      </c>
      <c r="AQ43" s="182">
        <v>214.0952380952381</v>
      </c>
      <c r="AR43" s="436">
        <f t="shared" si="14"/>
        <v>2</v>
      </c>
      <c r="AS43" s="605"/>
      <c r="AT43" s="182">
        <v>7</v>
      </c>
      <c r="AU43" s="182">
        <v>1490.3225806451615</v>
      </c>
      <c r="AV43" s="182">
        <v>212.90322580645164</v>
      </c>
      <c r="AW43" s="436">
        <f t="shared" si="15"/>
        <v>2</v>
      </c>
      <c r="AX43" s="605"/>
    </row>
    <row r="44" spans="2:54">
      <c r="B44" s="572"/>
      <c r="C44" s="436">
        <v>3</v>
      </c>
      <c r="D44" s="226" t="s">
        <v>372</v>
      </c>
      <c r="E44" s="182">
        <v>17</v>
      </c>
      <c r="F44" s="436">
        <v>1500</v>
      </c>
      <c r="G44" s="437">
        <v>88.2</v>
      </c>
      <c r="H44" s="609"/>
      <c r="I44" s="446">
        <f t="shared" si="16"/>
        <v>17</v>
      </c>
      <c r="J44" s="446">
        <f t="shared" si="16"/>
        <v>1297.3760563571818</v>
      </c>
      <c r="K44" s="438">
        <f t="shared" si="16"/>
        <v>76.316238609245985</v>
      </c>
      <c r="L44" s="541"/>
      <c r="M44" s="445">
        <f>RANK(K44, K$42:$K$71)</f>
        <v>9</v>
      </c>
      <c r="N44" s="559"/>
      <c r="O44" s="559"/>
      <c r="P44" s="182">
        <v>17</v>
      </c>
      <c r="Q44" s="182">
        <v>1346.796610169491</v>
      </c>
      <c r="R44" s="182">
        <v>79.223330009970056</v>
      </c>
      <c r="S44" s="436">
        <f t="shared" si="9"/>
        <v>9</v>
      </c>
      <c r="T44" s="605"/>
      <c r="U44" s="182">
        <v>17</v>
      </c>
      <c r="V44" s="182">
        <v>1115.9999999999995</v>
      </c>
      <c r="W44" s="182">
        <v>65.647058823529392</v>
      </c>
      <c r="X44" s="436">
        <f t="shared" si="10"/>
        <v>23</v>
      </c>
      <c r="Y44" s="605"/>
      <c r="Z44" s="182">
        <v>17</v>
      </c>
      <c r="AA44" s="182">
        <v>1322.7906976744184</v>
      </c>
      <c r="AB44" s="182">
        <v>77.811217510259908</v>
      </c>
      <c r="AC44" s="436">
        <f t="shared" si="11"/>
        <v>9</v>
      </c>
      <c r="AD44" s="605"/>
      <c r="AE44" s="182">
        <v>17</v>
      </c>
      <c r="AF44" s="182">
        <v>1321.2244897959188</v>
      </c>
      <c r="AG44" s="182">
        <v>77.719087635054052</v>
      </c>
      <c r="AH44" s="436">
        <f t="shared" si="12"/>
        <v>9</v>
      </c>
      <c r="AI44" s="605"/>
      <c r="AJ44" s="182">
        <v>17</v>
      </c>
      <c r="AK44" s="182">
        <v>1306.4516129032254</v>
      </c>
      <c r="AL44" s="182">
        <v>76.850094876660322</v>
      </c>
      <c r="AM44" s="436">
        <f t="shared" si="13"/>
        <v>10</v>
      </c>
      <c r="AN44" s="605"/>
      <c r="AO44" s="182">
        <v>17</v>
      </c>
      <c r="AP44" s="182">
        <v>1354.5454545454545</v>
      </c>
      <c r="AQ44" s="182">
        <v>79.679144385026731</v>
      </c>
      <c r="AR44" s="436">
        <f t="shared" si="14"/>
        <v>9</v>
      </c>
      <c r="AS44" s="605"/>
      <c r="AT44" s="182">
        <v>17</v>
      </c>
      <c r="AU44" s="182">
        <v>1313.8235294117649</v>
      </c>
      <c r="AV44" s="182">
        <v>77.283737024221466</v>
      </c>
      <c r="AW44" s="436">
        <f t="shared" si="15"/>
        <v>9</v>
      </c>
      <c r="AX44" s="605"/>
    </row>
    <row r="45" spans="2:54">
      <c r="B45" s="572"/>
      <c r="C45" s="436">
        <v>4</v>
      </c>
      <c r="D45" s="226" t="s">
        <v>414</v>
      </c>
      <c r="E45" s="182">
        <v>19</v>
      </c>
      <c r="F45" s="436">
        <v>1500</v>
      </c>
      <c r="G45" s="437">
        <v>78.900000000000006</v>
      </c>
      <c r="H45" s="609"/>
      <c r="I45" s="446">
        <f t="shared" si="16"/>
        <v>18</v>
      </c>
      <c r="J45" s="446">
        <f t="shared" si="16"/>
        <v>1307.5544861369538</v>
      </c>
      <c r="K45" s="438">
        <f t="shared" si="16"/>
        <v>72.641915896497423</v>
      </c>
      <c r="L45" s="541"/>
      <c r="M45" s="445">
        <f>RANK(K45, K$42:$K$71)</f>
        <v>15</v>
      </c>
      <c r="N45" s="559"/>
      <c r="O45" s="559"/>
      <c r="P45" s="182">
        <v>18</v>
      </c>
      <c r="Q45" s="182">
        <v>1352.3076923076931</v>
      </c>
      <c r="R45" s="182">
        <v>75.128205128205167</v>
      </c>
      <c r="S45" s="436">
        <f t="shared" si="9"/>
        <v>13</v>
      </c>
      <c r="T45" s="605"/>
      <c r="U45" s="182">
        <v>18</v>
      </c>
      <c r="V45" s="182">
        <v>1170.0000000000043</v>
      </c>
      <c r="W45" s="182">
        <v>65.000000000000242</v>
      </c>
      <c r="X45" s="436">
        <f t="shared" si="10"/>
        <v>24</v>
      </c>
      <c r="Y45" s="605"/>
      <c r="Z45" s="182">
        <v>18</v>
      </c>
      <c r="AA45" s="182">
        <v>1322.1052631578957</v>
      </c>
      <c r="AB45" s="182">
        <v>73.450292397660874</v>
      </c>
      <c r="AC45" s="436">
        <f t="shared" si="11"/>
        <v>15</v>
      </c>
      <c r="AD45" s="605"/>
      <c r="AE45" s="182">
        <v>18</v>
      </c>
      <c r="AF45" s="182">
        <v>1317.2093023255811</v>
      </c>
      <c r="AG45" s="182">
        <v>73.178294573643399</v>
      </c>
      <c r="AH45" s="436">
        <f t="shared" si="12"/>
        <v>15</v>
      </c>
      <c r="AI45" s="605"/>
      <c r="AJ45" s="182">
        <v>18</v>
      </c>
      <c r="AK45" s="182">
        <v>1348.1632653061229</v>
      </c>
      <c r="AL45" s="182">
        <v>74.897959183673493</v>
      </c>
      <c r="AM45" s="436">
        <f t="shared" si="13"/>
        <v>12</v>
      </c>
      <c r="AN45" s="605"/>
      <c r="AO45" s="182">
        <v>18</v>
      </c>
      <c r="AP45" s="182">
        <v>1312.0754716981139</v>
      </c>
      <c r="AQ45" s="182">
        <v>72.893081761006329</v>
      </c>
      <c r="AR45" s="436">
        <f t="shared" si="14"/>
        <v>15</v>
      </c>
      <c r="AS45" s="605"/>
      <c r="AT45" s="182">
        <v>18</v>
      </c>
      <c r="AU45" s="182">
        <v>1331.0204081632658</v>
      </c>
      <c r="AV45" s="182">
        <v>73.945578231292544</v>
      </c>
      <c r="AW45" s="436">
        <f t="shared" si="15"/>
        <v>12</v>
      </c>
      <c r="AX45" s="605"/>
    </row>
    <row r="46" spans="2:54">
      <c r="B46" s="572"/>
      <c r="C46" s="436">
        <v>5</v>
      </c>
      <c r="D46" s="226" t="s">
        <v>350</v>
      </c>
      <c r="E46" s="182">
        <v>16</v>
      </c>
      <c r="F46" s="436">
        <v>1500</v>
      </c>
      <c r="G46" s="437">
        <v>93.8</v>
      </c>
      <c r="H46" s="609"/>
      <c r="I46" s="446">
        <f t="shared" si="16"/>
        <v>16</v>
      </c>
      <c r="J46" s="446">
        <f t="shared" si="16"/>
        <v>1280.4190605313063</v>
      </c>
      <c r="K46" s="438">
        <f t="shared" si="16"/>
        <v>80.026191283206643</v>
      </c>
      <c r="L46" s="541"/>
      <c r="M46" s="445">
        <f>RANK(K46, K$42:$K$71)</f>
        <v>6</v>
      </c>
      <c r="N46" s="559"/>
      <c r="O46" s="559"/>
      <c r="P46" s="182">
        <v>16</v>
      </c>
      <c r="Q46" s="182">
        <v>1323.4615384615392</v>
      </c>
      <c r="R46" s="182">
        <v>82.716346153846203</v>
      </c>
      <c r="S46" s="436">
        <f t="shared" si="9"/>
        <v>5</v>
      </c>
      <c r="T46" s="605"/>
      <c r="U46" s="182">
        <v>16</v>
      </c>
      <c r="V46" s="182">
        <v>1058.5714285714323</v>
      </c>
      <c r="W46" s="182">
        <v>66.160714285714519</v>
      </c>
      <c r="X46" s="436">
        <f t="shared" si="10"/>
        <v>22</v>
      </c>
      <c r="Y46" s="605"/>
      <c r="Z46" s="182">
        <v>16</v>
      </c>
      <c r="AA46" s="182">
        <v>1337.3076923076931</v>
      </c>
      <c r="AB46" s="182">
        <v>83.581730769230816</v>
      </c>
      <c r="AC46" s="436">
        <f t="shared" si="11"/>
        <v>5</v>
      </c>
      <c r="AD46" s="605"/>
      <c r="AE46" s="182">
        <v>16</v>
      </c>
      <c r="AF46" s="182">
        <v>1333.4999999999995</v>
      </c>
      <c r="AG46" s="182">
        <v>83.343749999999972</v>
      </c>
      <c r="AH46" s="436">
        <f t="shared" si="12"/>
        <v>7</v>
      </c>
      <c r="AI46" s="605"/>
      <c r="AJ46" s="182">
        <v>16</v>
      </c>
      <c r="AK46" s="182">
        <v>1295.0000000000005</v>
      </c>
      <c r="AL46" s="182">
        <v>80.937500000000028</v>
      </c>
      <c r="AM46" s="436">
        <f t="shared" si="13"/>
        <v>7</v>
      </c>
      <c r="AN46" s="605"/>
      <c r="AO46" s="182">
        <v>16</v>
      </c>
      <c r="AP46" s="182">
        <v>1299.1836734693882</v>
      </c>
      <c r="AQ46" s="182">
        <v>81.198979591836761</v>
      </c>
      <c r="AR46" s="436">
        <f t="shared" si="14"/>
        <v>6</v>
      </c>
      <c r="AS46" s="605"/>
      <c r="AT46" s="182">
        <v>16</v>
      </c>
      <c r="AU46" s="182">
        <v>1315.909090909091</v>
      </c>
      <c r="AV46" s="182">
        <v>82.244318181818187</v>
      </c>
      <c r="AW46" s="436">
        <f t="shared" si="15"/>
        <v>6</v>
      </c>
      <c r="AX46" s="605"/>
    </row>
    <row r="47" spans="2:54">
      <c r="B47" s="572"/>
      <c r="C47" s="436">
        <v>6</v>
      </c>
      <c r="D47" s="226" t="s">
        <v>379</v>
      </c>
      <c r="E47" s="182">
        <v>16</v>
      </c>
      <c r="F47" s="436">
        <v>1565</v>
      </c>
      <c r="G47" s="437">
        <v>97.8</v>
      </c>
      <c r="H47" s="609"/>
      <c r="I47" s="446">
        <f t="shared" si="16"/>
        <v>15</v>
      </c>
      <c r="J47" s="446">
        <f t="shared" si="16"/>
        <v>1342.4256065887382</v>
      </c>
      <c r="K47" s="438">
        <f t="shared" si="16"/>
        <v>89.495040439249223</v>
      </c>
      <c r="L47" s="541"/>
      <c r="M47" s="445">
        <f>RANK(K47, K$42:$K$71)</f>
        <v>3</v>
      </c>
      <c r="N47" s="559"/>
      <c r="O47" s="559"/>
      <c r="P47" s="182">
        <v>15</v>
      </c>
      <c r="Q47" s="182">
        <v>1380.7228915662645</v>
      </c>
      <c r="R47" s="182">
        <v>92.048192771084302</v>
      </c>
      <c r="S47" s="436">
        <f t="shared" si="9"/>
        <v>3</v>
      </c>
      <c r="T47" s="605"/>
      <c r="U47" s="182">
        <v>15</v>
      </c>
      <c r="V47" s="182">
        <v>1152.6315789473726</v>
      </c>
      <c r="W47" s="182">
        <v>76.842105263158174</v>
      </c>
      <c r="X47" s="436">
        <f t="shared" si="10"/>
        <v>7</v>
      </c>
      <c r="Y47" s="605"/>
      <c r="Z47" s="182">
        <v>15</v>
      </c>
      <c r="AA47" s="182">
        <v>1377.7777777777774</v>
      </c>
      <c r="AB47" s="182">
        <v>91.851851851851819</v>
      </c>
      <c r="AC47" s="436">
        <f t="shared" si="11"/>
        <v>3</v>
      </c>
      <c r="AD47" s="605"/>
      <c r="AE47" s="182">
        <v>15</v>
      </c>
      <c r="AF47" s="182">
        <v>1379.9999999999986</v>
      </c>
      <c r="AG47" s="182">
        <v>91.999999999999915</v>
      </c>
      <c r="AH47" s="436">
        <f t="shared" si="12"/>
        <v>3</v>
      </c>
      <c r="AI47" s="605"/>
      <c r="AJ47" s="182">
        <v>15</v>
      </c>
      <c r="AK47" s="182">
        <v>1360.6896551724135</v>
      </c>
      <c r="AL47" s="182">
        <v>90.712643678160902</v>
      </c>
      <c r="AM47" s="436">
        <f t="shared" si="13"/>
        <v>3</v>
      </c>
      <c r="AN47" s="605"/>
      <c r="AO47" s="182">
        <v>15</v>
      </c>
      <c r="AP47" s="182">
        <v>1369.7727272727273</v>
      </c>
      <c r="AQ47" s="182">
        <v>91.318181818181813</v>
      </c>
      <c r="AR47" s="436">
        <f t="shared" si="14"/>
        <v>3</v>
      </c>
      <c r="AS47" s="605"/>
      <c r="AT47" s="182">
        <v>15</v>
      </c>
      <c r="AU47" s="182">
        <v>1375.3846153846146</v>
      </c>
      <c r="AV47" s="182">
        <v>91.692307692307637</v>
      </c>
      <c r="AW47" s="436">
        <f t="shared" si="15"/>
        <v>3</v>
      </c>
      <c r="AX47" s="605"/>
    </row>
    <row r="48" spans="2:54">
      <c r="B48" s="572"/>
      <c r="C48" s="436">
        <v>7</v>
      </c>
      <c r="D48" s="226" t="s">
        <v>340</v>
      </c>
      <c r="E48" s="182">
        <v>14</v>
      </c>
      <c r="F48" s="436">
        <v>1440</v>
      </c>
      <c r="G48" s="437">
        <v>102.9</v>
      </c>
      <c r="H48" s="609"/>
      <c r="I48" s="446">
        <f t="shared" si="16"/>
        <v>15</v>
      </c>
      <c r="J48" s="446">
        <f t="shared" si="16"/>
        <v>1125.3377666522392</v>
      </c>
      <c r="K48" s="438">
        <f t="shared" si="16"/>
        <v>75.022517776815945</v>
      </c>
      <c r="L48" s="541"/>
      <c r="M48" s="445">
        <f>RANK(K48, K$42:$K$71)</f>
        <v>13</v>
      </c>
      <c r="N48" s="559"/>
      <c r="O48" s="559"/>
      <c r="P48" s="182">
        <v>15</v>
      </c>
      <c r="Q48" s="182">
        <v>1085.8064516129016</v>
      </c>
      <c r="R48" s="182">
        <v>72.387096774193438</v>
      </c>
      <c r="S48" s="436">
        <f t="shared" si="9"/>
        <v>16</v>
      </c>
      <c r="T48" s="605"/>
      <c r="U48" s="182">
        <v>15</v>
      </c>
      <c r="V48" s="182">
        <v>1123.4482758620668</v>
      </c>
      <c r="W48" s="182">
        <v>74.89655172413778</v>
      </c>
      <c r="X48" s="436">
        <f t="shared" si="10"/>
        <v>12</v>
      </c>
      <c r="Y48" s="605"/>
      <c r="Z48" s="182">
        <v>15</v>
      </c>
      <c r="AA48" s="182">
        <v>1088.8888888888864</v>
      </c>
      <c r="AB48" s="182">
        <v>72.592592592592425</v>
      </c>
      <c r="AC48" s="436">
        <f t="shared" si="11"/>
        <v>17</v>
      </c>
      <c r="AD48" s="605"/>
      <c r="AE48" s="182">
        <v>15</v>
      </c>
      <c r="AF48" s="182">
        <v>1278.2608695652218</v>
      </c>
      <c r="AG48" s="182">
        <v>85.217391304348126</v>
      </c>
      <c r="AH48" s="436">
        <f t="shared" si="12"/>
        <v>5</v>
      </c>
      <c r="AI48" s="605"/>
      <c r="AJ48" s="182">
        <v>15</v>
      </c>
      <c r="AK48" s="182">
        <v>1126.1538461538432</v>
      </c>
      <c r="AL48" s="182">
        <v>75.076923076922881</v>
      </c>
      <c r="AM48" s="436">
        <f t="shared" si="13"/>
        <v>11</v>
      </c>
      <c r="AN48" s="605"/>
      <c r="AO48" s="182">
        <v>15</v>
      </c>
      <c r="AP48" s="182">
        <v>1096.8749999999984</v>
      </c>
      <c r="AQ48" s="182">
        <v>73.124999999999901</v>
      </c>
      <c r="AR48" s="436">
        <f t="shared" si="14"/>
        <v>14</v>
      </c>
      <c r="AS48" s="605"/>
      <c r="AT48" s="182">
        <v>15</v>
      </c>
      <c r="AU48" s="182">
        <v>1077.9310344827563</v>
      </c>
      <c r="AV48" s="182">
        <v>71.862068965517082</v>
      </c>
      <c r="AW48" s="436">
        <f t="shared" si="15"/>
        <v>15</v>
      </c>
      <c r="AX48" s="605"/>
    </row>
    <row r="49" spans="2:50">
      <c r="B49" s="572"/>
      <c r="C49" s="436">
        <v>8</v>
      </c>
      <c r="D49" s="226" t="s">
        <v>378</v>
      </c>
      <c r="E49" s="182">
        <v>16</v>
      </c>
      <c r="F49" s="436">
        <v>1440</v>
      </c>
      <c r="G49" s="437">
        <v>90</v>
      </c>
      <c r="H49" s="609"/>
      <c r="I49" s="446">
        <f t="shared" si="16"/>
        <v>16</v>
      </c>
      <c r="J49" s="446">
        <f t="shared" si="16"/>
        <v>1278.4455269041725</v>
      </c>
      <c r="K49" s="438">
        <f t="shared" si="16"/>
        <v>79.902845431510784</v>
      </c>
      <c r="L49" s="541"/>
      <c r="M49" s="445">
        <f>RANK(K49, K$42:$K$71)</f>
        <v>7</v>
      </c>
      <c r="N49" s="559"/>
      <c r="O49" s="559"/>
      <c r="P49" s="182">
        <v>16</v>
      </c>
      <c r="Q49" s="182">
        <v>1313.6842105263147</v>
      </c>
      <c r="R49" s="182">
        <v>82.105263157894669</v>
      </c>
      <c r="S49" s="436">
        <f t="shared" si="9"/>
        <v>6</v>
      </c>
      <c r="T49" s="605"/>
      <c r="U49" s="182">
        <v>16</v>
      </c>
      <c r="V49" s="182">
        <v>1284.6153846153838</v>
      </c>
      <c r="W49" s="182">
        <v>80.28846153846149</v>
      </c>
      <c r="X49" s="436">
        <f t="shared" si="10"/>
        <v>6</v>
      </c>
      <c r="Y49" s="605"/>
      <c r="Z49" s="182">
        <v>16</v>
      </c>
      <c r="AA49" s="182">
        <v>1287.2727272727257</v>
      </c>
      <c r="AB49" s="182">
        <v>80.454545454545354</v>
      </c>
      <c r="AC49" s="436">
        <f t="shared" si="11"/>
        <v>8</v>
      </c>
      <c r="AD49" s="605"/>
      <c r="AE49" s="182">
        <v>16</v>
      </c>
      <c r="AF49" s="182">
        <v>1234.7368421052572</v>
      </c>
      <c r="AG49" s="182">
        <v>77.171052631578576</v>
      </c>
      <c r="AH49" s="436">
        <f t="shared" si="12"/>
        <v>10</v>
      </c>
      <c r="AI49" s="605"/>
      <c r="AJ49" s="182">
        <v>16</v>
      </c>
      <c r="AK49" s="182">
        <v>1250.0000000000043</v>
      </c>
      <c r="AL49" s="182">
        <v>78.12500000000027</v>
      </c>
      <c r="AM49" s="436">
        <f t="shared" si="13"/>
        <v>8</v>
      </c>
      <c r="AN49" s="605"/>
      <c r="AO49" s="182">
        <v>16</v>
      </c>
      <c r="AP49" s="182">
        <v>1277.1428571428567</v>
      </c>
      <c r="AQ49" s="182">
        <v>79.821428571428541</v>
      </c>
      <c r="AR49" s="436">
        <f t="shared" si="14"/>
        <v>8</v>
      </c>
      <c r="AS49" s="605"/>
      <c r="AT49" s="182">
        <v>16</v>
      </c>
      <c r="AU49" s="182">
        <v>1301.6666666666656</v>
      </c>
      <c r="AV49" s="182">
        <v>81.3541666666666</v>
      </c>
      <c r="AW49" s="436">
        <f t="shared" si="15"/>
        <v>7</v>
      </c>
      <c r="AX49" s="605"/>
    </row>
    <row r="50" spans="2:50">
      <c r="B50" s="572"/>
      <c r="C50" s="436">
        <v>9</v>
      </c>
      <c r="D50" s="226" t="s">
        <v>374</v>
      </c>
      <c r="E50" s="182">
        <v>18</v>
      </c>
      <c r="F50" s="436">
        <v>1440</v>
      </c>
      <c r="G50" s="437">
        <v>80</v>
      </c>
      <c r="H50" s="609"/>
      <c r="I50" s="446">
        <f t="shared" si="16"/>
        <v>18</v>
      </c>
      <c r="J50" s="446">
        <f t="shared" si="16"/>
        <v>1225.3605493416144</v>
      </c>
      <c r="K50" s="438">
        <f t="shared" si="16"/>
        <v>68.075586074534129</v>
      </c>
      <c r="L50" s="541"/>
      <c r="M50" s="445">
        <f>RANK(K50, K$42:$K$71)</f>
        <v>24</v>
      </c>
      <c r="N50" s="559"/>
      <c r="O50" s="559"/>
      <c r="P50" s="182">
        <v>18</v>
      </c>
      <c r="Q50" s="182">
        <v>1264</v>
      </c>
      <c r="R50" s="182">
        <v>70.222222222222229</v>
      </c>
      <c r="S50" s="436">
        <f t="shared" si="9"/>
        <v>20</v>
      </c>
      <c r="T50" s="605"/>
      <c r="U50" s="182">
        <v>18</v>
      </c>
      <c r="V50" s="182">
        <v>1238.7500000000005</v>
      </c>
      <c r="W50" s="182">
        <v>68.819444444444471</v>
      </c>
      <c r="X50" s="436">
        <f t="shared" si="10"/>
        <v>19</v>
      </c>
      <c r="Y50" s="605"/>
      <c r="Z50" s="182">
        <v>18</v>
      </c>
      <c r="AA50" s="182">
        <v>1165.909090909091</v>
      </c>
      <c r="AB50" s="182">
        <v>64.77272727272728</v>
      </c>
      <c r="AC50" s="436">
        <f t="shared" si="11"/>
        <v>25</v>
      </c>
      <c r="AD50" s="605"/>
      <c r="AE50" s="182">
        <v>18</v>
      </c>
      <c r="AF50" s="182">
        <v>1147.3469387755104</v>
      </c>
      <c r="AG50" s="182">
        <v>63.741496598639465</v>
      </c>
      <c r="AH50" s="436">
        <f t="shared" si="12"/>
        <v>25</v>
      </c>
      <c r="AI50" s="605"/>
      <c r="AJ50" s="182">
        <v>18</v>
      </c>
      <c r="AK50" s="182">
        <v>1221.9512195121947</v>
      </c>
      <c r="AL50" s="182">
        <v>67.886178861788594</v>
      </c>
      <c r="AM50" s="436">
        <f t="shared" si="13"/>
        <v>23</v>
      </c>
      <c r="AN50" s="605"/>
      <c r="AO50" s="182">
        <v>18</v>
      </c>
      <c r="AP50" s="182">
        <v>1280.9302325581393</v>
      </c>
      <c r="AQ50" s="182">
        <v>71.16279069767441</v>
      </c>
      <c r="AR50" s="436">
        <f t="shared" si="14"/>
        <v>21</v>
      </c>
      <c r="AS50" s="605"/>
      <c r="AT50" s="182">
        <v>18</v>
      </c>
      <c r="AU50" s="182">
        <v>1258.6363636363635</v>
      </c>
      <c r="AV50" s="182">
        <v>69.924242424242422</v>
      </c>
      <c r="AW50" s="436">
        <f t="shared" si="15"/>
        <v>18</v>
      </c>
      <c r="AX50" s="605"/>
    </row>
    <row r="51" spans="2:50">
      <c r="B51" s="572"/>
      <c r="C51" s="436">
        <v>10</v>
      </c>
      <c r="D51" s="226" t="s">
        <v>377</v>
      </c>
      <c r="E51" s="182">
        <v>18</v>
      </c>
      <c r="F51" s="436">
        <v>1636</v>
      </c>
      <c r="G51" s="437">
        <v>90.9</v>
      </c>
      <c r="H51" s="609"/>
      <c r="I51" s="446">
        <f t="shared" si="16"/>
        <v>18</v>
      </c>
      <c r="J51" s="446">
        <f t="shared" si="16"/>
        <v>1287.6792024400722</v>
      </c>
      <c r="K51" s="438">
        <f t="shared" si="16"/>
        <v>71.53773346889291</v>
      </c>
      <c r="L51" s="541"/>
      <c r="M51" s="445">
        <f>RANK(K51, K$42:$K$71)</f>
        <v>18</v>
      </c>
      <c r="N51" s="559"/>
      <c r="O51" s="559"/>
      <c r="P51" s="182">
        <v>18</v>
      </c>
      <c r="Q51" s="182">
        <v>1274.444444444445</v>
      </c>
      <c r="R51" s="182">
        <v>70.802469135802497</v>
      </c>
      <c r="S51" s="436">
        <f t="shared" si="9"/>
        <v>19</v>
      </c>
      <c r="T51" s="605"/>
      <c r="U51" s="182">
        <v>18</v>
      </c>
      <c r="V51" s="182">
        <v>1302.5000000000005</v>
      </c>
      <c r="W51" s="182">
        <v>72.361111111111143</v>
      </c>
      <c r="X51" s="436">
        <f t="shared" si="10"/>
        <v>14</v>
      </c>
      <c r="Y51" s="605"/>
      <c r="Z51" s="182">
        <v>18</v>
      </c>
      <c r="AA51" s="182">
        <v>1309.090909090909</v>
      </c>
      <c r="AB51" s="182">
        <v>72.72727272727272</v>
      </c>
      <c r="AC51" s="436">
        <f t="shared" si="11"/>
        <v>16</v>
      </c>
      <c r="AD51" s="605"/>
      <c r="AE51" s="182">
        <v>18</v>
      </c>
      <c r="AF51" s="182">
        <v>1285.0000000000002</v>
      </c>
      <c r="AG51" s="182">
        <v>71.3888888888889</v>
      </c>
      <c r="AH51" s="436">
        <f t="shared" si="12"/>
        <v>18</v>
      </c>
      <c r="AI51" s="605"/>
      <c r="AJ51" s="182">
        <v>18</v>
      </c>
      <c r="AK51" s="182">
        <v>1279.5652173913043</v>
      </c>
      <c r="AL51" s="182">
        <v>71.086956521739125</v>
      </c>
      <c r="AM51" s="436">
        <f t="shared" si="13"/>
        <v>20</v>
      </c>
      <c r="AN51" s="605"/>
      <c r="AO51" s="182">
        <v>18</v>
      </c>
      <c r="AP51" s="182">
        <v>1291.1538461538469</v>
      </c>
      <c r="AQ51" s="182">
        <v>71.730769230769269</v>
      </c>
      <c r="AR51" s="436">
        <f t="shared" si="14"/>
        <v>17</v>
      </c>
      <c r="AS51" s="605"/>
      <c r="AT51" s="182">
        <v>18</v>
      </c>
      <c r="AU51" s="182">
        <v>1272.0000000000009</v>
      </c>
      <c r="AV51" s="182">
        <v>70.666666666666714</v>
      </c>
      <c r="AW51" s="436">
        <f t="shared" si="15"/>
        <v>16</v>
      </c>
      <c r="AX51" s="605"/>
    </row>
    <row r="52" spans="2:50">
      <c r="B52" s="572"/>
      <c r="C52" s="436">
        <v>11</v>
      </c>
      <c r="D52" s="226" t="s">
        <v>376</v>
      </c>
      <c r="E52" s="182">
        <v>18</v>
      </c>
      <c r="F52" s="436">
        <v>1636</v>
      </c>
      <c r="G52" s="437">
        <v>90.9</v>
      </c>
      <c r="H52" s="609"/>
      <c r="I52" s="446">
        <f t="shared" si="16"/>
        <v>18.285714285714285</v>
      </c>
      <c r="J52" s="446">
        <f t="shared" si="16"/>
        <v>1281.6962545401077</v>
      </c>
      <c r="K52" s="438">
        <f t="shared" si="16"/>
        <v>70.125918131863187</v>
      </c>
      <c r="L52" s="541"/>
      <c r="M52" s="445">
        <f>RANK(K52, K$42:$K$71)</f>
        <v>20</v>
      </c>
      <c r="N52" s="559"/>
      <c r="O52" s="559"/>
      <c r="P52" s="182">
        <v>19</v>
      </c>
      <c r="Q52" s="182">
        <v>1277.9999999999995</v>
      </c>
      <c r="R52" s="182">
        <v>67.263157894736821</v>
      </c>
      <c r="S52" s="436">
        <f t="shared" si="9"/>
        <v>24</v>
      </c>
      <c r="T52" s="605"/>
      <c r="U52" s="182">
        <v>18</v>
      </c>
      <c r="V52" s="182">
        <v>1270.76923076923</v>
      </c>
      <c r="W52" s="182">
        <v>70.598290598290561</v>
      </c>
      <c r="X52" s="436">
        <f t="shared" si="10"/>
        <v>16</v>
      </c>
      <c r="Y52" s="605"/>
      <c r="Z52" s="182">
        <v>18</v>
      </c>
      <c r="AA52" s="182">
        <v>1294.2857142857129</v>
      </c>
      <c r="AB52" s="182">
        <v>71.904761904761827</v>
      </c>
      <c r="AC52" s="436">
        <f t="shared" si="11"/>
        <v>18</v>
      </c>
      <c r="AD52" s="605"/>
      <c r="AE52" s="182">
        <v>18</v>
      </c>
      <c r="AF52" s="182">
        <v>1292.4324324324314</v>
      </c>
      <c r="AG52" s="182">
        <v>71.801801801801744</v>
      </c>
      <c r="AH52" s="436">
        <f t="shared" si="12"/>
        <v>17</v>
      </c>
      <c r="AI52" s="605"/>
      <c r="AJ52" s="182">
        <v>18</v>
      </c>
      <c r="AK52" s="182">
        <v>1279.9999999999991</v>
      </c>
      <c r="AL52" s="182">
        <v>71.111111111111057</v>
      </c>
      <c r="AM52" s="436">
        <f t="shared" si="13"/>
        <v>19</v>
      </c>
      <c r="AN52" s="605"/>
      <c r="AO52" s="182">
        <v>18</v>
      </c>
      <c r="AP52" s="182">
        <v>1250.2325581395348</v>
      </c>
      <c r="AQ52" s="182">
        <v>69.457364341085267</v>
      </c>
      <c r="AR52" s="436">
        <f t="shared" si="14"/>
        <v>23</v>
      </c>
      <c r="AS52" s="605"/>
      <c r="AT52" s="182">
        <v>19</v>
      </c>
      <c r="AU52" s="182">
        <v>1306.1538461538453</v>
      </c>
      <c r="AV52" s="182">
        <v>68.744939271255021</v>
      </c>
      <c r="AW52" s="436">
        <f t="shared" si="15"/>
        <v>21</v>
      </c>
      <c r="AX52" s="605"/>
    </row>
    <row r="53" spans="2:50">
      <c r="B53" s="572"/>
      <c r="C53" s="436">
        <v>12</v>
      </c>
      <c r="D53" s="226" t="s">
        <v>353</v>
      </c>
      <c r="E53" s="182">
        <v>17</v>
      </c>
      <c r="F53" s="436">
        <v>1500</v>
      </c>
      <c r="G53" s="437">
        <v>88.2</v>
      </c>
      <c r="H53" s="609"/>
      <c r="I53" s="446">
        <f t="shared" si="16"/>
        <v>17</v>
      </c>
      <c r="J53" s="446">
        <f t="shared" si="16"/>
        <v>1271.840912418161</v>
      </c>
      <c r="K53" s="438">
        <f t="shared" si="16"/>
        <v>74.814171318715339</v>
      </c>
      <c r="L53" s="541"/>
      <c r="M53" s="445">
        <f>RANK(K53, K$42:$K$71)</f>
        <v>14</v>
      </c>
      <c r="N53" s="559"/>
      <c r="O53" s="559"/>
      <c r="P53" s="182">
        <v>17</v>
      </c>
      <c r="Q53" s="182">
        <v>1304.2105263157887</v>
      </c>
      <c r="R53" s="182">
        <v>76.718266253869928</v>
      </c>
      <c r="S53" s="436">
        <f t="shared" si="9"/>
        <v>11</v>
      </c>
      <c r="T53" s="605"/>
      <c r="U53" s="182">
        <v>17</v>
      </c>
      <c r="V53" s="182">
        <v>1276.2162162162151</v>
      </c>
      <c r="W53" s="182">
        <v>75.0715421303656</v>
      </c>
      <c r="X53" s="436">
        <f t="shared" si="10"/>
        <v>11</v>
      </c>
      <c r="Y53" s="605"/>
      <c r="Z53" s="182">
        <v>17</v>
      </c>
      <c r="AA53" s="182">
        <v>1261.9354838709658</v>
      </c>
      <c r="AB53" s="182">
        <v>74.231499051233286</v>
      </c>
      <c r="AC53" s="436">
        <f t="shared" si="11"/>
        <v>13</v>
      </c>
      <c r="AD53" s="605"/>
      <c r="AE53" s="182">
        <v>17</v>
      </c>
      <c r="AF53" s="182">
        <v>1289.9999999999982</v>
      </c>
      <c r="AG53" s="182">
        <v>75.882352941176364</v>
      </c>
      <c r="AH53" s="436">
        <f t="shared" si="12"/>
        <v>13</v>
      </c>
      <c r="AI53" s="605"/>
      <c r="AJ53" s="182">
        <v>17</v>
      </c>
      <c r="AK53" s="182">
        <v>1258.1818181818167</v>
      </c>
      <c r="AL53" s="182">
        <v>74.01069518716568</v>
      </c>
      <c r="AM53" s="436">
        <f t="shared" si="13"/>
        <v>14</v>
      </c>
      <c r="AN53" s="605"/>
      <c r="AO53" s="182">
        <v>17</v>
      </c>
      <c r="AP53" s="182">
        <v>1276.6666666666656</v>
      </c>
      <c r="AQ53" s="182">
        <v>75.098039215686214</v>
      </c>
      <c r="AR53" s="436">
        <f t="shared" si="14"/>
        <v>12</v>
      </c>
      <c r="AS53" s="605"/>
      <c r="AT53" s="182">
        <v>17</v>
      </c>
      <c r="AU53" s="182">
        <v>1235.6756756756747</v>
      </c>
      <c r="AV53" s="182">
        <v>72.686804451510284</v>
      </c>
      <c r="AW53" s="436">
        <f t="shared" si="15"/>
        <v>13</v>
      </c>
      <c r="AX53" s="605"/>
    </row>
    <row r="54" spans="2:50">
      <c r="B54" s="572"/>
      <c r="C54" s="436">
        <v>13</v>
      </c>
      <c r="D54" s="226" t="s">
        <v>588</v>
      </c>
      <c r="E54" s="182">
        <v>18</v>
      </c>
      <c r="F54" s="436">
        <v>1440</v>
      </c>
      <c r="G54" s="437">
        <v>80</v>
      </c>
      <c r="H54" s="609"/>
      <c r="I54" s="446">
        <f t="shared" si="16"/>
        <v>18.428571428571427</v>
      </c>
      <c r="J54" s="446">
        <f t="shared" si="16"/>
        <v>1317.9132598966041</v>
      </c>
      <c r="K54" s="438">
        <f t="shared" si="16"/>
        <v>71.573337193565209</v>
      </c>
      <c r="L54" s="541"/>
      <c r="M54" s="445">
        <f>RANK(K54, K$42:$K$71)</f>
        <v>17</v>
      </c>
      <c r="N54" s="559"/>
      <c r="O54" s="559"/>
      <c r="P54" s="182">
        <v>18</v>
      </c>
      <c r="Q54" s="182">
        <v>1304.9999999999989</v>
      </c>
      <c r="R54" s="182">
        <v>72.499999999999943</v>
      </c>
      <c r="S54" s="436">
        <f t="shared" si="9"/>
        <v>15</v>
      </c>
      <c r="T54" s="605"/>
      <c r="U54" s="182">
        <v>18</v>
      </c>
      <c r="V54" s="182">
        <v>1342.9411764705865</v>
      </c>
      <c r="W54" s="182">
        <v>74.607843137254804</v>
      </c>
      <c r="X54" s="436">
        <f t="shared" si="10"/>
        <v>13</v>
      </c>
      <c r="Y54" s="605"/>
      <c r="Z54" s="182">
        <v>18</v>
      </c>
      <c r="AA54" s="182">
        <v>1342.1052631578957</v>
      </c>
      <c r="AB54" s="182">
        <v>74.561403508771988</v>
      </c>
      <c r="AC54" s="436">
        <f t="shared" si="11"/>
        <v>12</v>
      </c>
      <c r="AD54" s="605"/>
      <c r="AE54" s="182">
        <v>19</v>
      </c>
      <c r="AF54" s="182">
        <v>1320.0000000000016</v>
      </c>
      <c r="AG54" s="182">
        <v>69.4736842105264</v>
      </c>
      <c r="AH54" s="436">
        <f t="shared" si="12"/>
        <v>20</v>
      </c>
      <c r="AI54" s="605"/>
      <c r="AJ54" s="182">
        <v>18</v>
      </c>
      <c r="AK54" s="182">
        <v>1299.4520547945197</v>
      </c>
      <c r="AL54" s="182">
        <v>72.19178082191776</v>
      </c>
      <c r="AM54" s="436">
        <f t="shared" si="13"/>
        <v>16</v>
      </c>
      <c r="AN54" s="605"/>
      <c r="AO54" s="182">
        <v>19</v>
      </c>
      <c r="AP54" s="182">
        <v>1322.4657534246564</v>
      </c>
      <c r="AQ54" s="182">
        <v>69.603460706560867</v>
      </c>
      <c r="AR54" s="436">
        <f t="shared" si="14"/>
        <v>22</v>
      </c>
      <c r="AS54" s="605"/>
      <c r="AT54" s="182">
        <v>19</v>
      </c>
      <c r="AU54" s="182">
        <v>1293.4285714285702</v>
      </c>
      <c r="AV54" s="182">
        <v>68.075187969924741</v>
      </c>
      <c r="AW54" s="436">
        <f t="shared" si="15"/>
        <v>22</v>
      </c>
      <c r="AX54" s="605"/>
    </row>
    <row r="55" spans="2:50">
      <c r="B55" s="572"/>
      <c r="C55" s="436">
        <v>14</v>
      </c>
      <c r="D55" s="226" t="s">
        <v>381</v>
      </c>
      <c r="E55" s="182">
        <v>15</v>
      </c>
      <c r="F55" s="436">
        <v>1440</v>
      </c>
      <c r="G55" s="437">
        <v>96</v>
      </c>
      <c r="H55" s="609"/>
      <c r="I55" s="446">
        <f t="shared" si="16"/>
        <v>15</v>
      </c>
      <c r="J55" s="446">
        <f t="shared" si="16"/>
        <v>1287.3644975554632</v>
      </c>
      <c r="K55" s="438">
        <f t="shared" si="16"/>
        <v>85.824299837030892</v>
      </c>
      <c r="L55" s="541"/>
      <c r="M55" s="445">
        <f>RANK(K55, K$42:$K$71)</f>
        <v>4</v>
      </c>
      <c r="N55" s="559"/>
      <c r="O55" s="559"/>
      <c r="P55" s="182">
        <v>15</v>
      </c>
      <c r="Q55" s="182">
        <v>1266.0000000000011</v>
      </c>
      <c r="R55" s="182">
        <v>84.400000000000077</v>
      </c>
      <c r="S55" s="436">
        <f t="shared" si="9"/>
        <v>4</v>
      </c>
      <c r="T55" s="605"/>
      <c r="U55" s="182">
        <v>15</v>
      </c>
      <c r="V55" s="182">
        <v>1279.6721311475421</v>
      </c>
      <c r="W55" s="182">
        <v>85.311475409836149</v>
      </c>
      <c r="X55" s="436">
        <f t="shared" si="10"/>
        <v>3</v>
      </c>
      <c r="Y55" s="605"/>
      <c r="Z55" s="182">
        <v>15</v>
      </c>
      <c r="AA55" s="182">
        <v>1304.7058823529417</v>
      </c>
      <c r="AB55" s="182">
        <v>86.980392156862777</v>
      </c>
      <c r="AC55" s="436">
        <f t="shared" si="11"/>
        <v>4</v>
      </c>
      <c r="AD55" s="605"/>
      <c r="AE55" s="182">
        <v>15</v>
      </c>
      <c r="AF55" s="182">
        <v>1280.0000000000009</v>
      </c>
      <c r="AG55" s="182">
        <v>85.3333333333334</v>
      </c>
      <c r="AH55" s="436">
        <f t="shared" si="12"/>
        <v>4</v>
      </c>
      <c r="AI55" s="605"/>
      <c r="AJ55" s="182">
        <v>15</v>
      </c>
      <c r="AK55" s="182">
        <v>1306.5306122448983</v>
      </c>
      <c r="AL55" s="182">
        <v>87.10204081632655</v>
      </c>
      <c r="AM55" s="436">
        <f t="shared" si="13"/>
        <v>4</v>
      </c>
      <c r="AN55" s="605"/>
      <c r="AO55" s="182">
        <v>15</v>
      </c>
      <c r="AP55" s="182">
        <v>1295.3571428571438</v>
      </c>
      <c r="AQ55" s="182">
        <v>86.357142857142918</v>
      </c>
      <c r="AR55" s="436">
        <f t="shared" si="14"/>
        <v>4</v>
      </c>
      <c r="AS55" s="605"/>
      <c r="AT55" s="182">
        <v>15</v>
      </c>
      <c r="AU55" s="182">
        <v>1279.2857142857151</v>
      </c>
      <c r="AV55" s="182">
        <v>85.285714285714349</v>
      </c>
      <c r="AW55" s="436">
        <f t="shared" si="15"/>
        <v>4</v>
      </c>
      <c r="AX55" s="605"/>
    </row>
    <row r="56" spans="2:50">
      <c r="B56" s="572"/>
      <c r="C56" s="436">
        <v>15</v>
      </c>
      <c r="D56" s="226" t="s">
        <v>342</v>
      </c>
      <c r="E56" s="182">
        <v>17</v>
      </c>
      <c r="F56" s="436">
        <v>1440</v>
      </c>
      <c r="G56" s="437">
        <v>84.7</v>
      </c>
      <c r="H56" s="609"/>
      <c r="I56" s="446">
        <f t="shared" si="16"/>
        <v>16.142857142857142</v>
      </c>
      <c r="J56" s="446">
        <f t="shared" si="16"/>
        <v>1338.544667658869</v>
      </c>
      <c r="K56" s="438">
        <f t="shared" si="16"/>
        <v>82.943705594225534</v>
      </c>
      <c r="L56" s="541"/>
      <c r="M56" s="446">
        <f>RANK(K56, K$42:$K$71)</f>
        <v>5</v>
      </c>
      <c r="N56" s="559"/>
      <c r="O56" s="559"/>
      <c r="P56" s="182">
        <v>17</v>
      </c>
      <c r="Q56" s="182">
        <v>1361.9999999999995</v>
      </c>
      <c r="R56" s="182">
        <v>80.117647058823508</v>
      </c>
      <c r="S56" s="436">
        <f t="shared" si="9"/>
        <v>7</v>
      </c>
      <c r="T56" s="605"/>
      <c r="U56" s="182">
        <v>16</v>
      </c>
      <c r="V56" s="182">
        <v>1329.3506493506486</v>
      </c>
      <c r="W56" s="182">
        <v>83.084415584415538</v>
      </c>
      <c r="X56" s="436">
        <f t="shared" si="10"/>
        <v>4</v>
      </c>
      <c r="Y56" s="605"/>
      <c r="Z56" s="182">
        <v>16</v>
      </c>
      <c r="AA56" s="182">
        <v>1301.4705882352923</v>
      </c>
      <c r="AB56" s="182">
        <v>81.34191176470577</v>
      </c>
      <c r="AC56" s="436">
        <f t="shared" si="11"/>
        <v>7</v>
      </c>
      <c r="AD56" s="605"/>
      <c r="AE56" s="182">
        <v>16</v>
      </c>
      <c r="AF56" s="182">
        <v>1347.945205479451</v>
      </c>
      <c r="AG56" s="182">
        <v>84.24657534246569</v>
      </c>
      <c r="AH56" s="436">
        <f t="shared" si="12"/>
        <v>6</v>
      </c>
      <c r="AI56" s="605"/>
      <c r="AJ56" s="182">
        <v>16</v>
      </c>
      <c r="AK56" s="182">
        <v>1354.1772151898726</v>
      </c>
      <c r="AL56" s="182">
        <v>84.63607594936704</v>
      </c>
      <c r="AM56" s="436">
        <f t="shared" si="13"/>
        <v>5</v>
      </c>
      <c r="AN56" s="605"/>
      <c r="AO56" s="182">
        <v>16</v>
      </c>
      <c r="AP56" s="182">
        <v>1315.6097560975604</v>
      </c>
      <c r="AQ56" s="182">
        <v>82.225609756097526</v>
      </c>
      <c r="AR56" s="436">
        <f t="shared" si="14"/>
        <v>5</v>
      </c>
      <c r="AS56" s="605"/>
      <c r="AT56" s="182">
        <v>16</v>
      </c>
      <c r="AU56" s="182">
        <v>1359.2592592592587</v>
      </c>
      <c r="AV56" s="182">
        <v>84.953703703703667</v>
      </c>
      <c r="AW56" s="436">
        <f t="shared" si="15"/>
        <v>5</v>
      </c>
      <c r="AX56" s="605"/>
    </row>
    <row r="57" spans="2:50">
      <c r="B57" s="572"/>
      <c r="C57" s="436">
        <v>16</v>
      </c>
      <c r="D57" s="226" t="s">
        <v>373</v>
      </c>
      <c r="E57" s="182">
        <v>17</v>
      </c>
      <c r="F57" s="436">
        <v>1636</v>
      </c>
      <c r="G57" s="437">
        <v>96.3</v>
      </c>
      <c r="H57" s="609"/>
      <c r="I57" s="446">
        <f t="shared" si="16"/>
        <v>17</v>
      </c>
      <c r="J57" s="446">
        <f t="shared" si="16"/>
        <v>1091.6507936507933</v>
      </c>
      <c r="K57" s="438">
        <f t="shared" si="16"/>
        <v>64.214752567693722</v>
      </c>
      <c r="L57" s="541"/>
      <c r="M57" s="446">
        <f>RANK(K57, K$42:$K$71)</f>
        <v>25</v>
      </c>
      <c r="N57" s="559"/>
      <c r="O57" s="559"/>
      <c r="P57" s="182">
        <v>17</v>
      </c>
      <c r="Q57" s="182">
        <v>1086.666666666664</v>
      </c>
      <c r="R57" s="182">
        <v>63.921568627450824</v>
      </c>
      <c r="S57" s="436">
        <f t="shared" si="9"/>
        <v>26</v>
      </c>
      <c r="T57" s="605"/>
      <c r="U57" s="182">
        <v>17</v>
      </c>
      <c r="V57" s="182">
        <v>1084.2857142857119</v>
      </c>
      <c r="W57" s="182">
        <v>63.781512605041883</v>
      </c>
      <c r="X57" s="436">
        <f t="shared" si="10"/>
        <v>26</v>
      </c>
      <c r="Y57" s="605"/>
      <c r="Z57" s="182">
        <v>17</v>
      </c>
      <c r="AA57" s="182">
        <v>1104.0000000000039</v>
      </c>
      <c r="AB57" s="182">
        <v>64.941176470588459</v>
      </c>
      <c r="AC57" s="436">
        <f t="shared" si="11"/>
        <v>24</v>
      </c>
      <c r="AD57" s="605"/>
      <c r="AE57" s="182"/>
      <c r="AF57" s="182"/>
      <c r="AG57" s="182"/>
      <c r="AH57" s="436" t="e">
        <f t="shared" si="12"/>
        <v>#N/A</v>
      </c>
      <c r="AI57" s="605"/>
      <c r="AJ57" s="182"/>
      <c r="AK57" s="182"/>
      <c r="AL57" s="182"/>
      <c r="AM57" s="436" t="e">
        <f t="shared" si="13"/>
        <v>#N/A</v>
      </c>
      <c r="AN57" s="605"/>
      <c r="AO57" s="182"/>
      <c r="AP57" s="182"/>
      <c r="AQ57" s="182"/>
      <c r="AR57" s="436" t="e">
        <f t="shared" si="14"/>
        <v>#N/A</v>
      </c>
      <c r="AS57" s="605"/>
      <c r="AT57" s="182"/>
      <c r="AU57" s="182"/>
      <c r="AV57" s="182"/>
      <c r="AW57" s="436" t="e">
        <f t="shared" si="15"/>
        <v>#N/A</v>
      </c>
      <c r="AX57" s="605"/>
    </row>
    <row r="58" spans="2:50">
      <c r="B58" s="572"/>
      <c r="C58" s="436">
        <v>17</v>
      </c>
      <c r="D58" s="226" t="s">
        <v>375</v>
      </c>
      <c r="E58" s="182">
        <v>18</v>
      </c>
      <c r="F58" s="436">
        <v>1440</v>
      </c>
      <c r="G58" s="437">
        <v>80</v>
      </c>
      <c r="H58" s="609"/>
      <c r="I58" s="446">
        <f t="shared" si="16"/>
        <v>17</v>
      </c>
      <c r="J58" s="446">
        <f t="shared" si="16"/>
        <v>1289.4573339703779</v>
      </c>
      <c r="K58" s="438">
        <f t="shared" si="16"/>
        <v>75.850431410022225</v>
      </c>
      <c r="L58" s="541"/>
      <c r="M58" s="446">
        <f>RANK(K58, K$42:$K$71)</f>
        <v>11</v>
      </c>
      <c r="N58" s="559"/>
      <c r="O58" s="559"/>
      <c r="P58" s="182">
        <v>17</v>
      </c>
      <c r="Q58" s="182">
        <v>1263.4615384615392</v>
      </c>
      <c r="R58" s="182">
        <v>74.321266968325844</v>
      </c>
      <c r="S58" s="436">
        <f t="shared" si="9"/>
        <v>14</v>
      </c>
      <c r="T58" s="605"/>
      <c r="U58" s="182">
        <v>17</v>
      </c>
      <c r="V58" s="182">
        <v>1294.8000000000004</v>
      </c>
      <c r="W58" s="182">
        <v>76.164705882352962</v>
      </c>
      <c r="X58" s="436">
        <f t="shared" si="10"/>
        <v>9</v>
      </c>
      <c r="Y58" s="605"/>
      <c r="Z58" s="182">
        <v>17</v>
      </c>
      <c r="AA58" s="182">
        <v>1260.0000000000005</v>
      </c>
      <c r="AB58" s="182">
        <v>74.11764705882355</v>
      </c>
      <c r="AC58" s="436">
        <f t="shared" si="11"/>
        <v>14</v>
      </c>
      <c r="AD58" s="605"/>
      <c r="AE58" s="182">
        <v>17</v>
      </c>
      <c r="AF58" s="182">
        <v>1296.0000000000002</v>
      </c>
      <c r="AG58" s="182">
        <v>76.235294117647072</v>
      </c>
      <c r="AH58" s="436">
        <f t="shared" si="12"/>
        <v>12</v>
      </c>
      <c r="AI58" s="605"/>
      <c r="AJ58" s="182">
        <v>17</v>
      </c>
      <c r="AK58" s="182">
        <v>1313.4782608695652</v>
      </c>
      <c r="AL58" s="182">
        <v>77.26342710997443</v>
      </c>
      <c r="AM58" s="436">
        <f t="shared" si="13"/>
        <v>9</v>
      </c>
      <c r="AN58" s="605"/>
      <c r="AO58" s="182">
        <v>17</v>
      </c>
      <c r="AP58" s="182">
        <v>1298.0769230769238</v>
      </c>
      <c r="AQ58" s="182">
        <v>76.357466063348454</v>
      </c>
      <c r="AR58" s="436">
        <f t="shared" si="14"/>
        <v>10</v>
      </c>
      <c r="AS58" s="605"/>
      <c r="AT58" s="182">
        <v>17</v>
      </c>
      <c r="AU58" s="182">
        <v>1300.3846153846162</v>
      </c>
      <c r="AV58" s="182">
        <v>76.493212669683302</v>
      </c>
      <c r="AW58" s="436">
        <f t="shared" si="15"/>
        <v>10</v>
      </c>
      <c r="AX58" s="605"/>
    </row>
    <row r="59" spans="2:50">
      <c r="B59" s="572"/>
      <c r="C59" s="436">
        <v>18</v>
      </c>
      <c r="D59" s="226" t="s">
        <v>382</v>
      </c>
      <c r="E59" s="182">
        <v>18</v>
      </c>
      <c r="F59" s="436">
        <v>1500</v>
      </c>
      <c r="G59" s="437">
        <v>83.3</v>
      </c>
      <c r="H59" s="609"/>
      <c r="I59" s="446">
        <f t="shared" si="16"/>
        <v>18</v>
      </c>
      <c r="J59" s="446">
        <f t="shared" si="16"/>
        <v>1266.1361844096925</v>
      </c>
      <c r="K59" s="438">
        <f t="shared" si="16"/>
        <v>70.340899133871829</v>
      </c>
      <c r="L59" s="541"/>
      <c r="M59" s="446">
        <f>RANK(K59, K$42:$K$71)</f>
        <v>19</v>
      </c>
      <c r="N59" s="559"/>
      <c r="O59" s="559"/>
      <c r="P59" s="182">
        <v>18</v>
      </c>
      <c r="Q59" s="182">
        <v>1238.1818181818182</v>
      </c>
      <c r="R59" s="182">
        <v>68.787878787878796</v>
      </c>
      <c r="S59" s="436">
        <f t="shared" si="9"/>
        <v>22</v>
      </c>
      <c r="T59" s="605"/>
      <c r="U59" s="182">
        <v>18</v>
      </c>
      <c r="V59" s="182">
        <v>1300</v>
      </c>
      <c r="W59" s="182">
        <v>72.222222222222229</v>
      </c>
      <c r="X59" s="436">
        <f t="shared" si="10"/>
        <v>15</v>
      </c>
      <c r="Y59" s="605"/>
      <c r="Z59" s="182">
        <v>18</v>
      </c>
      <c r="AA59" s="182">
        <v>1271.3513513513503</v>
      </c>
      <c r="AB59" s="182">
        <v>70.630630630630577</v>
      </c>
      <c r="AC59" s="436">
        <f t="shared" si="11"/>
        <v>20</v>
      </c>
      <c r="AD59" s="605"/>
      <c r="AE59" s="182">
        <v>18</v>
      </c>
      <c r="AF59" s="182">
        <v>1247.4418604651162</v>
      </c>
      <c r="AG59" s="182">
        <v>69.302325581395337</v>
      </c>
      <c r="AH59" s="436">
        <f t="shared" si="12"/>
        <v>21</v>
      </c>
      <c r="AI59" s="605"/>
      <c r="AJ59" s="182">
        <v>18</v>
      </c>
      <c r="AK59" s="182">
        <v>1270.4999999999995</v>
      </c>
      <c r="AL59" s="182">
        <v>70.583333333333314</v>
      </c>
      <c r="AM59" s="436">
        <f t="shared" si="13"/>
        <v>21</v>
      </c>
      <c r="AN59" s="605"/>
      <c r="AO59" s="182">
        <v>18</v>
      </c>
      <c r="AP59" s="182">
        <v>1283.4782608695652</v>
      </c>
      <c r="AQ59" s="182">
        <v>71.304347826086953</v>
      </c>
      <c r="AR59" s="436">
        <f t="shared" si="14"/>
        <v>19</v>
      </c>
      <c r="AS59" s="605"/>
      <c r="AT59" s="182">
        <v>18</v>
      </c>
      <c r="AU59" s="182">
        <v>1252</v>
      </c>
      <c r="AV59" s="182">
        <v>69.555555555555557</v>
      </c>
      <c r="AW59" s="436">
        <f t="shared" si="15"/>
        <v>20</v>
      </c>
      <c r="AX59" s="605"/>
    </row>
    <row r="60" spans="2:50">
      <c r="B60" s="572"/>
      <c r="C60" s="436">
        <v>19</v>
      </c>
      <c r="D60" s="226" t="s">
        <v>453</v>
      </c>
      <c r="E60" s="182">
        <v>17</v>
      </c>
      <c r="F60" s="436">
        <v>1440</v>
      </c>
      <c r="G60" s="437">
        <v>84.7</v>
      </c>
      <c r="H60" s="609"/>
      <c r="I60" s="446">
        <f t="shared" si="16"/>
        <v>17</v>
      </c>
      <c r="J60" s="446">
        <f t="shared" si="16"/>
        <v>1084.9105617972598</v>
      </c>
      <c r="K60" s="438">
        <f t="shared" si="16"/>
        <v>63.818268341015276</v>
      </c>
      <c r="L60" s="541"/>
      <c r="M60" s="446">
        <f>RANK(K60, K$42:$K$71)</f>
        <v>26</v>
      </c>
      <c r="N60" s="559"/>
      <c r="O60" s="559"/>
      <c r="P60" s="182">
        <v>17</v>
      </c>
      <c r="Q60" s="182">
        <v>1087.999999999998</v>
      </c>
      <c r="R60" s="182">
        <v>63.999999999999879</v>
      </c>
      <c r="S60" s="436">
        <f t="shared" si="9"/>
        <v>25</v>
      </c>
      <c r="T60" s="605"/>
      <c r="U60" s="182">
        <v>17</v>
      </c>
      <c r="V60" s="182">
        <v>1090.7142857142833</v>
      </c>
      <c r="W60" s="182">
        <v>64.159663865546079</v>
      </c>
      <c r="X60" s="436">
        <f t="shared" si="10"/>
        <v>25</v>
      </c>
      <c r="Y60" s="605"/>
      <c r="Z60" s="182">
        <v>17</v>
      </c>
      <c r="AA60" s="182">
        <v>1084.9999999999968</v>
      </c>
      <c r="AB60" s="182">
        <v>63.823529411764518</v>
      </c>
      <c r="AC60" s="436">
        <f t="shared" si="11"/>
        <v>26</v>
      </c>
      <c r="AD60" s="605"/>
      <c r="AE60" s="182">
        <v>17</v>
      </c>
      <c r="AF60" s="182">
        <v>1103.0769230769201</v>
      </c>
      <c r="AG60" s="182">
        <v>64.886877828054125</v>
      </c>
      <c r="AH60" s="436">
        <f t="shared" si="12"/>
        <v>24</v>
      </c>
      <c r="AI60" s="605"/>
      <c r="AJ60" s="182">
        <v>17</v>
      </c>
      <c r="AK60" s="182">
        <v>1093.6363636363674</v>
      </c>
      <c r="AL60" s="182">
        <v>64.331550802139262</v>
      </c>
      <c r="AM60" s="436">
        <f t="shared" si="13"/>
        <v>25</v>
      </c>
      <c r="AN60" s="605"/>
      <c r="AO60" s="182">
        <v>17</v>
      </c>
      <c r="AP60" s="182">
        <v>1071.7241379310324</v>
      </c>
      <c r="AQ60" s="182">
        <v>63.04259634888426</v>
      </c>
      <c r="AR60" s="436">
        <f t="shared" si="14"/>
        <v>25</v>
      </c>
      <c r="AS60" s="605"/>
      <c r="AT60" s="182">
        <v>17</v>
      </c>
      <c r="AU60" s="182">
        <v>1062.2222222222199</v>
      </c>
      <c r="AV60" s="182">
        <v>62.483660130718818</v>
      </c>
      <c r="AW60" s="436">
        <f t="shared" si="15"/>
        <v>25</v>
      </c>
      <c r="AX60" s="605"/>
    </row>
    <row r="61" spans="2:50">
      <c r="B61" s="572"/>
      <c r="C61" s="436">
        <v>20</v>
      </c>
      <c r="D61" s="226" t="s">
        <v>498</v>
      </c>
      <c r="E61" s="182">
        <v>18</v>
      </c>
      <c r="F61" s="436">
        <v>1385</v>
      </c>
      <c r="G61" s="437">
        <v>76.900000000000006</v>
      </c>
      <c r="H61" s="609"/>
      <c r="I61" s="446">
        <f t="shared" si="16"/>
        <v>17</v>
      </c>
      <c r="J61" s="446">
        <f t="shared" si="16"/>
        <v>1190.4391021163322</v>
      </c>
      <c r="K61" s="438">
        <f t="shared" si="16"/>
        <v>70.025829536254818</v>
      </c>
      <c r="L61" s="541"/>
      <c r="M61" s="446">
        <f>RANK(K61, K$42:$K$71)</f>
        <v>22</v>
      </c>
      <c r="N61" s="559"/>
      <c r="O61" s="559"/>
      <c r="P61" s="182">
        <v>17</v>
      </c>
      <c r="Q61" s="182">
        <v>1191.6000000000004</v>
      </c>
      <c r="R61" s="182">
        <v>70.094117647058852</v>
      </c>
      <c r="S61" s="436">
        <f t="shared" si="9"/>
        <v>21</v>
      </c>
      <c r="T61" s="605"/>
      <c r="U61" s="182">
        <v>17</v>
      </c>
      <c r="V61" s="182">
        <v>1198.8000000000002</v>
      </c>
      <c r="W61" s="182">
        <v>70.517647058823542</v>
      </c>
      <c r="X61" s="436">
        <f t="shared" si="10"/>
        <v>17</v>
      </c>
      <c r="Y61" s="605"/>
      <c r="Z61" s="182">
        <v>17</v>
      </c>
      <c r="AA61" s="182">
        <v>1151.9999999999995</v>
      </c>
      <c r="AB61" s="182">
        <v>67.764705882352914</v>
      </c>
      <c r="AC61" s="436">
        <f t="shared" si="11"/>
        <v>23</v>
      </c>
      <c r="AD61" s="605"/>
      <c r="AE61" s="182">
        <v>17</v>
      </c>
      <c r="AF61" s="182">
        <v>1198.2857142857131</v>
      </c>
      <c r="AG61" s="182">
        <v>70.487394957983128</v>
      </c>
      <c r="AH61" s="436">
        <f t="shared" si="12"/>
        <v>19</v>
      </c>
      <c r="AI61" s="605"/>
      <c r="AJ61" s="182">
        <v>17</v>
      </c>
      <c r="AK61" s="182">
        <v>1217.1428571428567</v>
      </c>
      <c r="AL61" s="182">
        <v>71.596638655462158</v>
      </c>
      <c r="AM61" s="436">
        <f t="shared" si="13"/>
        <v>18</v>
      </c>
      <c r="AN61" s="605"/>
      <c r="AO61" s="182">
        <v>17</v>
      </c>
      <c r="AP61" s="182">
        <v>1176.5217391304348</v>
      </c>
      <c r="AQ61" s="182">
        <v>69.207161125319686</v>
      </c>
      <c r="AR61" s="436">
        <f t="shared" si="14"/>
        <v>24</v>
      </c>
      <c r="AS61" s="605"/>
      <c r="AT61" s="182">
        <v>17</v>
      </c>
      <c r="AU61" s="182">
        <v>1198.7234042553193</v>
      </c>
      <c r="AV61" s="182">
        <v>70.513141426783491</v>
      </c>
      <c r="AW61" s="436">
        <f t="shared" si="15"/>
        <v>17</v>
      </c>
      <c r="AX61" s="605"/>
    </row>
    <row r="62" spans="2:50">
      <c r="B62" s="572"/>
      <c r="C62" s="436">
        <v>21</v>
      </c>
      <c r="D62" s="226" t="s">
        <v>563</v>
      </c>
      <c r="E62" s="182">
        <v>18</v>
      </c>
      <c r="F62" s="436">
        <v>1440</v>
      </c>
      <c r="G62" s="437">
        <v>80</v>
      </c>
      <c r="H62" s="609"/>
      <c r="I62" s="446">
        <f t="shared" si="16"/>
        <v>18.857142857142858</v>
      </c>
      <c r="J62" s="446">
        <f t="shared" si="16"/>
        <v>1289.9582378679547</v>
      </c>
      <c r="K62" s="438">
        <f t="shared" si="16"/>
        <v>68.427765791435107</v>
      </c>
      <c r="L62" s="541"/>
      <c r="M62" s="446">
        <f>RANK(K62, K$42:$K$71)</f>
        <v>23</v>
      </c>
      <c r="N62" s="559"/>
      <c r="O62" s="559"/>
      <c r="P62" s="182">
        <v>19</v>
      </c>
      <c r="Q62" s="182">
        <v>1301.6326530612248</v>
      </c>
      <c r="R62" s="182">
        <v>68.506981740064461</v>
      </c>
      <c r="S62" s="436">
        <f t="shared" si="9"/>
        <v>23</v>
      </c>
      <c r="T62" s="605"/>
      <c r="U62" s="182">
        <v>19</v>
      </c>
      <c r="V62" s="182">
        <v>1258.8679245283026</v>
      </c>
      <c r="W62" s="182">
        <v>66.256206554121192</v>
      </c>
      <c r="X62" s="436">
        <f t="shared" si="10"/>
        <v>21</v>
      </c>
      <c r="Y62" s="605"/>
      <c r="Z62" s="182">
        <v>19</v>
      </c>
      <c r="AA62" s="182">
        <v>1318.571428571428</v>
      </c>
      <c r="AB62" s="182">
        <v>69.398496240601474</v>
      </c>
      <c r="AC62" s="436">
        <f t="shared" si="11"/>
        <v>22</v>
      </c>
      <c r="AD62" s="605"/>
      <c r="AE62" s="182">
        <v>19</v>
      </c>
      <c r="AF62" s="182">
        <v>1310.2325581395348</v>
      </c>
      <c r="AG62" s="182">
        <v>68.959608323133409</v>
      </c>
      <c r="AH62" s="436">
        <f t="shared" si="12"/>
        <v>22</v>
      </c>
      <c r="AI62" s="605"/>
      <c r="AJ62" s="182">
        <v>19</v>
      </c>
      <c r="AK62" s="182">
        <v>1271.1627906976742</v>
      </c>
      <c r="AL62" s="182">
        <v>66.9033047735618</v>
      </c>
      <c r="AM62" s="436">
        <f t="shared" si="13"/>
        <v>24</v>
      </c>
      <c r="AN62" s="605"/>
      <c r="AO62" s="182">
        <v>18</v>
      </c>
      <c r="AP62" s="182">
        <v>1281.3333333333333</v>
      </c>
      <c r="AQ62" s="182">
        <v>71.185185185185176</v>
      </c>
      <c r="AR62" s="436">
        <f t="shared" si="14"/>
        <v>20</v>
      </c>
      <c r="AS62" s="605"/>
      <c r="AT62" s="182">
        <v>19</v>
      </c>
      <c r="AU62" s="182">
        <v>1287.9069767441858</v>
      </c>
      <c r="AV62" s="182">
        <v>67.784577723378206</v>
      </c>
      <c r="AW62" s="436">
        <f t="shared" si="15"/>
        <v>23</v>
      </c>
      <c r="AX62" s="605"/>
    </row>
    <row r="63" spans="2:50">
      <c r="B63" s="572"/>
      <c r="C63" s="436">
        <v>22</v>
      </c>
      <c r="D63" s="226" t="s">
        <v>589</v>
      </c>
      <c r="E63" s="182">
        <v>15</v>
      </c>
      <c r="F63" s="436">
        <v>1500</v>
      </c>
      <c r="G63" s="437">
        <v>100</v>
      </c>
      <c r="H63" s="609"/>
      <c r="I63" s="446">
        <f t="shared" si="16"/>
        <v>16.428571428571427</v>
      </c>
      <c r="J63" s="446">
        <f t="shared" si="16"/>
        <v>1290.0662599641671</v>
      </c>
      <c r="K63" s="438">
        <f t="shared" si="16"/>
        <v>78.836603396282428</v>
      </c>
      <c r="L63" s="541"/>
      <c r="M63" s="446">
        <f>RANK(K63, K$42:$K$71)</f>
        <v>8</v>
      </c>
      <c r="N63" s="559"/>
      <c r="O63" s="559"/>
      <c r="P63" s="182">
        <v>16</v>
      </c>
      <c r="Q63" s="182">
        <v>1274.9999999999991</v>
      </c>
      <c r="R63" s="182">
        <v>79.687499999999943</v>
      </c>
      <c r="S63" s="436">
        <f t="shared" si="9"/>
        <v>8</v>
      </c>
      <c r="T63" s="605"/>
      <c r="U63" s="182">
        <v>16</v>
      </c>
      <c r="V63" s="182">
        <v>1300.2857142857129</v>
      </c>
      <c r="W63" s="182">
        <v>81.267857142857054</v>
      </c>
      <c r="X63" s="436">
        <f t="shared" si="10"/>
        <v>5</v>
      </c>
      <c r="Y63" s="605"/>
      <c r="Z63" s="182">
        <v>16</v>
      </c>
      <c r="AA63" s="182">
        <v>1305.4838709677433</v>
      </c>
      <c r="AB63" s="182">
        <v>81.592741935483957</v>
      </c>
      <c r="AC63" s="436">
        <f t="shared" si="11"/>
        <v>6</v>
      </c>
      <c r="AD63" s="605"/>
      <c r="AE63" s="182">
        <v>16</v>
      </c>
      <c r="AF63" s="182">
        <v>1283.6619718309846</v>
      </c>
      <c r="AG63" s="182">
        <v>80.228873239436538</v>
      </c>
      <c r="AH63" s="436">
        <f t="shared" si="12"/>
        <v>8</v>
      </c>
      <c r="AI63" s="605"/>
      <c r="AJ63" s="182">
        <v>16</v>
      </c>
      <c r="AK63" s="182">
        <v>1295.6521739130421</v>
      </c>
      <c r="AL63" s="182">
        <v>80.978260869565133</v>
      </c>
      <c r="AM63" s="436">
        <f t="shared" si="13"/>
        <v>6</v>
      </c>
      <c r="AN63" s="605"/>
      <c r="AO63" s="182">
        <v>16</v>
      </c>
      <c r="AP63" s="182">
        <v>1298.8732394366184</v>
      </c>
      <c r="AQ63" s="182">
        <v>81.17957746478865</v>
      </c>
      <c r="AR63" s="436">
        <f t="shared" si="14"/>
        <v>7</v>
      </c>
      <c r="AS63" s="605"/>
      <c r="AT63" s="182">
        <v>19</v>
      </c>
      <c r="AU63" s="182">
        <v>1271.5068493150675</v>
      </c>
      <c r="AV63" s="182">
        <v>66.92141312184566</v>
      </c>
      <c r="AW63" s="436">
        <f t="shared" si="15"/>
        <v>24</v>
      </c>
      <c r="AX63" s="605"/>
    </row>
    <row r="64" spans="2:50">
      <c r="B64" s="572"/>
      <c r="C64" s="436">
        <v>23</v>
      </c>
      <c r="D64" s="226" t="s">
        <v>601</v>
      </c>
      <c r="E64" s="182">
        <v>16</v>
      </c>
      <c r="F64" s="436">
        <v>1500</v>
      </c>
      <c r="G64" s="437">
        <v>93.8</v>
      </c>
      <c r="H64" s="609"/>
      <c r="I64" s="446">
        <f t="shared" si="16"/>
        <v>16</v>
      </c>
      <c r="J64" s="446">
        <f t="shared" si="16"/>
        <v>1121.8298515578483</v>
      </c>
      <c r="K64" s="438">
        <f t="shared" si="16"/>
        <v>70.11436572236552</v>
      </c>
      <c r="L64" s="541"/>
      <c r="M64" s="446">
        <f>RANK(K64, K$42:$K$71)</f>
        <v>21</v>
      </c>
      <c r="N64" s="559"/>
      <c r="O64" s="559"/>
      <c r="P64" s="182">
        <v>16</v>
      </c>
      <c r="Q64" s="182">
        <v>1145.4545454545455</v>
      </c>
      <c r="R64" s="182">
        <v>71.590909090909093</v>
      </c>
      <c r="S64" s="436">
        <f t="shared" si="9"/>
        <v>18</v>
      </c>
      <c r="T64" s="605"/>
      <c r="U64" s="182">
        <v>16</v>
      </c>
      <c r="V64" s="182">
        <v>1092.0000000000039</v>
      </c>
      <c r="W64" s="182">
        <v>68.250000000000242</v>
      </c>
      <c r="X64" s="436">
        <f t="shared" si="10"/>
        <v>20</v>
      </c>
      <c r="Y64" s="605"/>
      <c r="Z64" s="182">
        <v>16</v>
      </c>
      <c r="AA64" s="182">
        <v>1127.142857142858</v>
      </c>
      <c r="AB64" s="182">
        <v>70.446428571428626</v>
      </c>
      <c r="AC64" s="436">
        <f t="shared" si="11"/>
        <v>21</v>
      </c>
      <c r="AD64" s="605"/>
      <c r="AE64" s="182">
        <v>16</v>
      </c>
      <c r="AF64" s="182">
        <v>1101.176470588234</v>
      </c>
      <c r="AG64" s="182">
        <v>68.823529411764625</v>
      </c>
      <c r="AH64" s="436">
        <f t="shared" si="12"/>
        <v>23</v>
      </c>
      <c r="AI64" s="605"/>
      <c r="AJ64" s="182">
        <v>16</v>
      </c>
      <c r="AK64" s="182">
        <v>1127.3684210526308</v>
      </c>
      <c r="AL64" s="182">
        <v>70.460526315789423</v>
      </c>
      <c r="AM64" s="436">
        <f t="shared" si="13"/>
        <v>22</v>
      </c>
      <c r="AN64" s="605"/>
      <c r="AO64" s="182">
        <v>16</v>
      </c>
      <c r="AP64" s="182">
        <v>1146.6666666666658</v>
      </c>
      <c r="AQ64" s="182">
        <v>71.666666666666615</v>
      </c>
      <c r="AR64" s="436">
        <f t="shared" si="14"/>
        <v>18</v>
      </c>
      <c r="AS64" s="605"/>
      <c r="AT64" s="182">
        <v>16</v>
      </c>
      <c r="AU64" s="182">
        <v>1112.9999999999995</v>
      </c>
      <c r="AV64" s="182">
        <v>69.562499999999972</v>
      </c>
      <c r="AW64" s="436">
        <f t="shared" si="15"/>
        <v>19</v>
      </c>
      <c r="AX64" s="605"/>
    </row>
    <row r="65" spans="2:50">
      <c r="B65" s="572"/>
      <c r="C65" s="436">
        <v>24</v>
      </c>
      <c r="D65" s="226" t="s">
        <v>602</v>
      </c>
      <c r="E65" s="182">
        <v>20</v>
      </c>
      <c r="F65" s="436">
        <v>1500</v>
      </c>
      <c r="G65" s="437">
        <v>75</v>
      </c>
      <c r="H65" s="609"/>
      <c r="I65" s="446">
        <f t="shared" si="16"/>
        <v>20</v>
      </c>
      <c r="J65" s="446">
        <f t="shared" si="16"/>
        <v>1136.9247036192185</v>
      </c>
      <c r="K65" s="438">
        <f t="shared" si="16"/>
        <v>56.846235180960925</v>
      </c>
      <c r="L65" s="541"/>
      <c r="M65" s="446">
        <f>RANK(K65, K$42:$K$71)</f>
        <v>29</v>
      </c>
      <c r="N65" s="559"/>
      <c r="O65" s="559"/>
      <c r="P65" s="436">
        <v>20</v>
      </c>
      <c r="Q65" s="437">
        <v>1135.8904109589032</v>
      </c>
      <c r="R65" s="437">
        <v>56.794520547945162</v>
      </c>
      <c r="S65" s="436">
        <f t="shared" si="9"/>
        <v>28</v>
      </c>
      <c r="T65" s="605"/>
      <c r="U65" s="436">
        <v>20</v>
      </c>
      <c r="V65" s="437">
        <v>1105.0746268656701</v>
      </c>
      <c r="W65" s="437">
        <v>55.253731343283505</v>
      </c>
      <c r="X65" s="436">
        <f t="shared" si="10"/>
        <v>29</v>
      </c>
      <c r="Y65" s="605"/>
      <c r="Z65" s="436">
        <v>20</v>
      </c>
      <c r="AA65" s="437">
        <v>1134.0983606557388</v>
      </c>
      <c r="AB65" s="437">
        <v>56.704918032786942</v>
      </c>
      <c r="AC65" s="436">
        <f t="shared" si="11"/>
        <v>28</v>
      </c>
      <c r="AD65" s="605"/>
      <c r="AE65" s="436">
        <v>20</v>
      </c>
      <c r="AF65" s="437">
        <v>1139.9999999999984</v>
      </c>
      <c r="AG65" s="437">
        <v>56.999999999999922</v>
      </c>
      <c r="AH65" s="436">
        <f t="shared" si="12"/>
        <v>28</v>
      </c>
      <c r="AI65" s="605"/>
      <c r="AJ65" s="436">
        <v>20</v>
      </c>
      <c r="AK65" s="437">
        <v>1111.8750000000014</v>
      </c>
      <c r="AL65" s="437">
        <v>55.593750000000071</v>
      </c>
      <c r="AM65" s="436">
        <f t="shared" si="13"/>
        <v>28</v>
      </c>
      <c r="AN65" s="605"/>
      <c r="AO65" s="436">
        <v>20</v>
      </c>
      <c r="AP65" s="437">
        <v>1175.6521739130424</v>
      </c>
      <c r="AQ65" s="437">
        <v>58.782608695652115</v>
      </c>
      <c r="AR65" s="436">
        <f t="shared" si="14"/>
        <v>28</v>
      </c>
      <c r="AS65" s="605"/>
      <c r="AT65" s="436">
        <v>20</v>
      </c>
      <c r="AU65" s="437">
        <v>1155.882352941175</v>
      </c>
      <c r="AV65" s="437">
        <v>57.794117647058748</v>
      </c>
      <c r="AW65" s="436">
        <f t="shared" si="15"/>
        <v>28</v>
      </c>
      <c r="AX65" s="605"/>
    </row>
    <row r="66" spans="2:50">
      <c r="B66" s="572"/>
      <c r="C66" s="436">
        <v>25</v>
      </c>
      <c r="D66" s="226" t="s">
        <v>659</v>
      </c>
      <c r="E66" s="182">
        <v>17</v>
      </c>
      <c r="F66" s="436">
        <v>1440</v>
      </c>
      <c r="G66" s="437">
        <v>84.7</v>
      </c>
      <c r="H66" s="609"/>
      <c r="I66" s="446">
        <f t="shared" ref="I66:K70" si="17">AVERAGE(P66,U66,Z66,AE66,AJ66,AO66,AT66)</f>
        <v>17</v>
      </c>
      <c r="J66" s="446">
        <f t="shared" si="17"/>
        <v>1282.8871095171537</v>
      </c>
      <c r="K66" s="438">
        <f t="shared" si="17"/>
        <v>75.463947618656093</v>
      </c>
      <c r="L66" s="541"/>
      <c r="M66" s="446">
        <f>RANK(K66, K$42:$K$71)</f>
        <v>12</v>
      </c>
      <c r="N66" s="559"/>
      <c r="O66" s="559"/>
      <c r="P66" s="436">
        <v>17</v>
      </c>
      <c r="Q66" s="437">
        <v>1290.3225806451615</v>
      </c>
      <c r="R66" s="437">
        <v>75.901328273244786</v>
      </c>
      <c r="S66" s="436">
        <f t="shared" si="9"/>
        <v>12</v>
      </c>
      <c r="T66" s="605"/>
      <c r="U66" s="436">
        <v>17</v>
      </c>
      <c r="V66" s="437">
        <v>1288.8607594936702</v>
      </c>
      <c r="W66" s="437">
        <v>75.815338793745312</v>
      </c>
      <c r="X66" s="436">
        <f t="shared" si="10"/>
        <v>10</v>
      </c>
      <c r="Y66" s="605"/>
      <c r="Z66" s="436">
        <v>17</v>
      </c>
      <c r="AA66" s="437">
        <v>1293.2432432432422</v>
      </c>
      <c r="AB66" s="437">
        <v>76.07313195548484</v>
      </c>
      <c r="AC66" s="436">
        <f t="shared" si="11"/>
        <v>11</v>
      </c>
      <c r="AD66" s="605"/>
      <c r="AE66" s="436">
        <v>17</v>
      </c>
      <c r="AF66" s="437">
        <v>1268.2499999999995</v>
      </c>
      <c r="AG66" s="437">
        <v>74.602941176470566</v>
      </c>
      <c r="AH66" s="436">
        <f t="shared" si="12"/>
        <v>14</v>
      </c>
      <c r="AI66" s="605"/>
      <c r="AJ66" s="436">
        <v>17</v>
      </c>
      <c r="AK66" s="437">
        <v>1260.7407407407402</v>
      </c>
      <c r="AL66" s="437">
        <v>74.161220043572953</v>
      </c>
      <c r="AM66" s="436">
        <f t="shared" si="13"/>
        <v>13</v>
      </c>
      <c r="AN66" s="605"/>
      <c r="AO66" s="436">
        <v>17</v>
      </c>
      <c r="AP66" s="437">
        <v>1292.0454545454545</v>
      </c>
      <c r="AQ66" s="437">
        <v>76.002673796791441</v>
      </c>
      <c r="AR66" s="436">
        <f t="shared" si="14"/>
        <v>11</v>
      </c>
      <c r="AS66" s="605"/>
      <c r="AT66" s="436">
        <v>17</v>
      </c>
      <c r="AU66" s="437">
        <v>1286.7469879518069</v>
      </c>
      <c r="AV66" s="437">
        <v>75.690999291282765</v>
      </c>
      <c r="AW66" s="436">
        <f t="shared" si="15"/>
        <v>11</v>
      </c>
      <c r="AX66" s="605"/>
    </row>
    <row r="67" spans="2:50">
      <c r="B67" s="572"/>
      <c r="C67" s="436">
        <v>26</v>
      </c>
      <c r="D67" s="226" t="s">
        <v>660</v>
      </c>
      <c r="E67" s="182">
        <v>18</v>
      </c>
      <c r="F67" s="436">
        <v>1385</v>
      </c>
      <c r="G67" s="437">
        <v>76.900000000000006</v>
      </c>
      <c r="H67" s="609"/>
      <c r="I67" s="446">
        <f t="shared" si="17"/>
        <v>18.714285714285715</v>
      </c>
      <c r="J67" s="446">
        <f t="shared" si="17"/>
        <v>1150.6800743644212</v>
      </c>
      <c r="K67" s="438">
        <f t="shared" si="17"/>
        <v>61.505349631151155</v>
      </c>
      <c r="L67" s="541"/>
      <c r="M67" s="446">
        <f>RANK(K67, K$42:$K$71)</f>
        <v>27</v>
      </c>
      <c r="N67" s="559"/>
      <c r="O67" s="559"/>
      <c r="P67" s="436">
        <v>18</v>
      </c>
      <c r="Q67" s="437">
        <v>1139.9999999999984</v>
      </c>
      <c r="R67" s="437">
        <v>63.333333333333243</v>
      </c>
      <c r="S67" s="436">
        <f t="shared" si="9"/>
        <v>27</v>
      </c>
      <c r="T67" s="605"/>
      <c r="U67" s="436">
        <v>19</v>
      </c>
      <c r="V67" s="437">
        <v>1132.6666666666665</v>
      </c>
      <c r="W67" s="437">
        <v>59.614035087719287</v>
      </c>
      <c r="X67" s="436">
        <f t="shared" si="10"/>
        <v>27</v>
      </c>
      <c r="Y67" s="605"/>
      <c r="Z67" s="436">
        <v>19</v>
      </c>
      <c r="AA67" s="437">
        <v>1185.7894736842122</v>
      </c>
      <c r="AB67" s="437">
        <v>62.409972299169063</v>
      </c>
      <c r="AC67" s="436">
        <f t="shared" si="11"/>
        <v>27</v>
      </c>
      <c r="AD67" s="605"/>
      <c r="AE67" s="436">
        <v>18</v>
      </c>
      <c r="AF67" s="437">
        <v>1118.1176470588252</v>
      </c>
      <c r="AG67" s="437">
        <v>62.117647058823621</v>
      </c>
      <c r="AH67" s="436">
        <f t="shared" si="12"/>
        <v>26</v>
      </c>
      <c r="AI67" s="605"/>
      <c r="AJ67" s="436">
        <v>19</v>
      </c>
      <c r="AK67" s="437">
        <v>1136.0869565217372</v>
      </c>
      <c r="AL67" s="437">
        <v>59.794050343249324</v>
      </c>
      <c r="AM67" s="436">
        <f t="shared" si="13"/>
        <v>26</v>
      </c>
      <c r="AN67" s="605"/>
      <c r="AO67" s="436">
        <v>19</v>
      </c>
      <c r="AP67" s="437">
        <v>1182.3529411764705</v>
      </c>
      <c r="AQ67" s="437">
        <v>62.22910216718266</v>
      </c>
      <c r="AR67" s="436">
        <f t="shared" si="14"/>
        <v>26</v>
      </c>
      <c r="AS67" s="605"/>
      <c r="AT67" s="436">
        <v>19</v>
      </c>
      <c r="AU67" s="437">
        <v>1159.7468354430375</v>
      </c>
      <c r="AV67" s="437">
        <v>61.039307128580923</v>
      </c>
      <c r="AW67" s="436">
        <f t="shared" si="15"/>
        <v>26</v>
      </c>
      <c r="AX67" s="605"/>
    </row>
    <row r="68" spans="2:50">
      <c r="B68" s="572"/>
      <c r="C68" s="436">
        <v>27</v>
      </c>
      <c r="D68" s="226" t="s">
        <v>661</v>
      </c>
      <c r="E68" s="182">
        <v>18</v>
      </c>
      <c r="F68" s="436">
        <v>1440</v>
      </c>
      <c r="G68" s="437">
        <v>80</v>
      </c>
      <c r="H68" s="609"/>
      <c r="I68" s="446">
        <f t="shared" si="17"/>
        <v>18</v>
      </c>
      <c r="J68" s="446">
        <f t="shared" si="17"/>
        <v>1294.3028985507249</v>
      </c>
      <c r="K68" s="438">
        <f t="shared" si="17"/>
        <v>71.905716586151385</v>
      </c>
      <c r="L68" s="541"/>
      <c r="M68" s="446">
        <f>RANK(K68, K$42:$K$71)</f>
        <v>16</v>
      </c>
      <c r="N68" s="559"/>
      <c r="O68" s="559"/>
      <c r="P68" s="436">
        <v>18</v>
      </c>
      <c r="Q68" s="437">
        <v>1289.9999999999995</v>
      </c>
      <c r="R68" s="437">
        <v>71.666666666666643</v>
      </c>
      <c r="S68" s="436">
        <f t="shared" si="9"/>
        <v>17</v>
      </c>
      <c r="T68" s="605"/>
      <c r="U68" s="436">
        <v>18</v>
      </c>
      <c r="V68" s="437">
        <v>1260.0000000000011</v>
      </c>
      <c r="W68" s="437">
        <v>70.000000000000057</v>
      </c>
      <c r="X68" s="436">
        <f t="shared" si="10"/>
        <v>18</v>
      </c>
      <c r="Y68" s="605"/>
      <c r="Z68" s="436">
        <v>18</v>
      </c>
      <c r="AA68" s="437">
        <v>1286.4000000000003</v>
      </c>
      <c r="AB68" s="437">
        <v>71.466666666666683</v>
      </c>
      <c r="AC68" s="436">
        <f t="shared" si="11"/>
        <v>19</v>
      </c>
      <c r="AD68" s="605"/>
      <c r="AE68" s="436">
        <v>18</v>
      </c>
      <c r="AF68" s="437">
        <v>1316.0869565217392</v>
      </c>
      <c r="AG68" s="437">
        <v>73.115942028985515</v>
      </c>
      <c r="AH68" s="436">
        <f t="shared" si="12"/>
        <v>16</v>
      </c>
      <c r="AI68" s="605"/>
      <c r="AJ68" s="436">
        <v>18</v>
      </c>
      <c r="AK68" s="437">
        <v>1306.8000000000002</v>
      </c>
      <c r="AL68" s="437">
        <v>72.600000000000009</v>
      </c>
      <c r="AM68" s="436">
        <f t="shared" si="13"/>
        <v>15</v>
      </c>
      <c r="AN68" s="605"/>
      <c r="AO68" s="436">
        <v>18</v>
      </c>
      <c r="AP68" s="437">
        <v>1303.3333333333339</v>
      </c>
      <c r="AQ68" s="437">
        <v>72.407407407407447</v>
      </c>
      <c r="AR68" s="436">
        <f t="shared" si="14"/>
        <v>16</v>
      </c>
      <c r="AS68" s="605"/>
      <c r="AT68" s="436">
        <v>18</v>
      </c>
      <c r="AU68" s="437">
        <v>1297.5000000000005</v>
      </c>
      <c r="AV68" s="437">
        <v>72.083333333333357</v>
      </c>
      <c r="AW68" s="436">
        <f t="shared" si="15"/>
        <v>14</v>
      </c>
      <c r="AX68" s="605"/>
    </row>
    <row r="69" spans="2:50">
      <c r="B69" s="572"/>
      <c r="C69" s="436">
        <v>28</v>
      </c>
      <c r="D69" s="226" t="s">
        <v>662</v>
      </c>
      <c r="E69" s="182">
        <v>17</v>
      </c>
      <c r="F69" s="436">
        <v>1440</v>
      </c>
      <c r="G69" s="437">
        <v>84.7</v>
      </c>
      <c r="H69" s="609"/>
      <c r="I69" s="446">
        <f t="shared" si="17"/>
        <v>17.142857142857142</v>
      </c>
      <c r="J69" s="446">
        <f t="shared" si="17"/>
        <v>1300.508499701172</v>
      </c>
      <c r="K69" s="438">
        <f t="shared" si="17"/>
        <v>75.85408757130358</v>
      </c>
      <c r="L69" s="541"/>
      <c r="M69" s="446">
        <f>RANK(K69, K$42:$K$71)</f>
        <v>10</v>
      </c>
      <c r="N69" s="559"/>
      <c r="O69" s="559"/>
      <c r="P69" s="436">
        <v>18</v>
      </c>
      <c r="Q69" s="437">
        <v>1384.6153846153873</v>
      </c>
      <c r="R69" s="437">
        <v>76.923076923077076</v>
      </c>
      <c r="S69" s="436">
        <f t="shared" si="9"/>
        <v>10</v>
      </c>
      <c r="T69" s="605"/>
      <c r="U69" s="436">
        <v>17</v>
      </c>
      <c r="V69" s="437">
        <v>1297.41935483871</v>
      </c>
      <c r="W69" s="437">
        <v>76.318785578747651</v>
      </c>
      <c r="X69" s="436">
        <f t="shared" si="10"/>
        <v>8</v>
      </c>
      <c r="Y69" s="605"/>
      <c r="Z69" s="436">
        <v>17</v>
      </c>
      <c r="AA69" s="437">
        <v>1313.333333333333</v>
      </c>
      <c r="AB69" s="437">
        <v>77.254901960784295</v>
      </c>
      <c r="AC69" s="436">
        <f t="shared" si="11"/>
        <v>10</v>
      </c>
      <c r="AD69" s="605"/>
      <c r="AE69" s="436">
        <v>17</v>
      </c>
      <c r="AF69" s="437">
        <v>1298.518518518518</v>
      </c>
      <c r="AG69" s="437">
        <v>76.383442265795182</v>
      </c>
      <c r="AH69" s="436">
        <f t="shared" si="12"/>
        <v>11</v>
      </c>
      <c r="AI69" s="605"/>
      <c r="AJ69" s="436">
        <v>17</v>
      </c>
      <c r="AK69" s="437">
        <v>1224.3750000000005</v>
      </c>
      <c r="AL69" s="437">
        <v>72.022058823529434</v>
      </c>
      <c r="AM69" s="436">
        <f t="shared" si="13"/>
        <v>17</v>
      </c>
      <c r="AN69" s="605"/>
      <c r="AO69" s="436">
        <v>17</v>
      </c>
      <c r="AP69" s="437">
        <v>1248.2608695652175</v>
      </c>
      <c r="AQ69" s="437">
        <v>73.427109974424553</v>
      </c>
      <c r="AR69" s="436">
        <f t="shared" si="14"/>
        <v>13</v>
      </c>
      <c r="AS69" s="605"/>
      <c r="AT69" s="436">
        <v>17</v>
      </c>
      <c r="AU69" s="437">
        <v>1337.0370370370365</v>
      </c>
      <c r="AV69" s="437">
        <v>78.649237472766856</v>
      </c>
      <c r="AW69" s="436">
        <f t="shared" si="15"/>
        <v>8</v>
      </c>
      <c r="AX69" s="605"/>
    </row>
    <row r="70" spans="2:50">
      <c r="B70" s="572"/>
      <c r="C70" s="436">
        <v>29</v>
      </c>
      <c r="D70" s="226" t="s">
        <v>789</v>
      </c>
      <c r="E70" s="182">
        <v>21</v>
      </c>
      <c r="F70" s="436">
        <v>1440</v>
      </c>
      <c r="G70" s="437">
        <v>71.400000000000006</v>
      </c>
      <c r="H70" s="609"/>
      <c r="I70" s="446">
        <f t="shared" si="17"/>
        <v>20</v>
      </c>
      <c r="J70" s="446">
        <f t="shared" si="17"/>
        <v>1166.1831688854438</v>
      </c>
      <c r="K70" s="438">
        <f t="shared" si="17"/>
        <v>58.3091584442722</v>
      </c>
      <c r="L70" s="541"/>
      <c r="M70" s="446">
        <f>RANK(K70, K$42:$K$71)</f>
        <v>28</v>
      </c>
      <c r="N70" s="559"/>
      <c r="O70" s="559"/>
      <c r="P70" s="436">
        <v>20</v>
      </c>
      <c r="Q70" s="437">
        <v>1125.2347826086957</v>
      </c>
      <c r="R70" s="437">
        <v>56.261739130434783</v>
      </c>
      <c r="S70" s="436">
        <f t="shared" si="9"/>
        <v>29</v>
      </c>
      <c r="T70" s="605"/>
      <c r="U70" s="436">
        <v>20</v>
      </c>
      <c r="V70" s="436">
        <v>1188.2541176470586</v>
      </c>
      <c r="W70" s="436">
        <v>59.412705882352931</v>
      </c>
      <c r="X70" s="436">
        <f t="shared" si="10"/>
        <v>28</v>
      </c>
      <c r="Y70" s="605"/>
      <c r="Z70" s="436">
        <v>20</v>
      </c>
      <c r="AA70" s="436">
        <v>1132.4444444444484</v>
      </c>
      <c r="AB70" s="436">
        <v>56.622222222222419</v>
      </c>
      <c r="AC70" s="436">
        <f t="shared" si="11"/>
        <v>29</v>
      </c>
      <c r="AD70" s="605"/>
      <c r="AE70" s="436">
        <v>20</v>
      </c>
      <c r="AF70" s="436">
        <v>1165.2923076923075</v>
      </c>
      <c r="AG70" s="436">
        <v>58.264615384615375</v>
      </c>
      <c r="AH70" s="436">
        <f t="shared" si="12"/>
        <v>27</v>
      </c>
      <c r="AI70" s="605"/>
      <c r="AJ70" s="436">
        <v>20</v>
      </c>
      <c r="AK70" s="436">
        <v>1186.753246753246</v>
      </c>
      <c r="AL70" s="436">
        <v>59.337662337662302</v>
      </c>
      <c r="AM70" s="436">
        <f t="shared" si="13"/>
        <v>27</v>
      </c>
      <c r="AN70" s="605"/>
      <c r="AO70" s="436">
        <v>20</v>
      </c>
      <c r="AP70" s="436">
        <v>1204.4869565217389</v>
      </c>
      <c r="AQ70" s="436">
        <v>60.224347826086941</v>
      </c>
      <c r="AR70" s="436">
        <f t="shared" si="14"/>
        <v>27</v>
      </c>
      <c r="AS70" s="605"/>
      <c r="AT70" s="436">
        <v>20</v>
      </c>
      <c r="AU70" s="436">
        <v>1160.8163265306125</v>
      </c>
      <c r="AV70" s="436">
        <v>58.040816326530624</v>
      </c>
      <c r="AW70" s="436">
        <f t="shared" si="15"/>
        <v>27</v>
      </c>
      <c r="AX70" s="605"/>
    </row>
    <row r="71" spans="2:50">
      <c r="B71" s="572"/>
      <c r="C71" s="436">
        <v>30</v>
      </c>
      <c r="D71" s="226"/>
      <c r="E71" s="182"/>
      <c r="F71" s="436"/>
      <c r="G71" s="437"/>
      <c r="H71" s="610"/>
      <c r="I71" s="202"/>
      <c r="J71" s="202"/>
      <c r="K71" s="202"/>
      <c r="L71" s="542"/>
      <c r="M71" s="446" t="e">
        <f>RANK(K71, K$42:$K$71)</f>
        <v>#N/A</v>
      </c>
      <c r="N71" s="559"/>
      <c r="O71" s="559"/>
      <c r="P71" s="436"/>
      <c r="Q71" s="436"/>
      <c r="R71" s="436"/>
      <c r="S71" s="436" t="e">
        <f t="shared" si="9"/>
        <v>#N/A</v>
      </c>
      <c r="T71" s="605"/>
      <c r="U71" s="436"/>
      <c r="V71" s="436"/>
      <c r="W71" s="436"/>
      <c r="X71" s="436" t="e">
        <f t="shared" si="10"/>
        <v>#N/A</v>
      </c>
      <c r="Y71" s="605"/>
      <c r="Z71" s="436"/>
      <c r="AA71" s="436"/>
      <c r="AB71" s="436"/>
      <c r="AC71" s="436" t="e">
        <f t="shared" si="11"/>
        <v>#N/A</v>
      </c>
      <c r="AD71" s="605"/>
      <c r="AE71" s="436"/>
      <c r="AF71" s="436"/>
      <c r="AG71" s="436"/>
      <c r="AH71" s="436" t="e">
        <f t="shared" si="12"/>
        <v>#N/A</v>
      </c>
      <c r="AI71" s="605"/>
      <c r="AJ71" s="436"/>
      <c r="AK71" s="436"/>
      <c r="AL71" s="436"/>
      <c r="AM71" s="436" t="e">
        <f t="shared" si="13"/>
        <v>#N/A</v>
      </c>
      <c r="AN71" s="605"/>
      <c r="AO71" s="436"/>
      <c r="AP71" s="436"/>
      <c r="AQ71" s="436"/>
      <c r="AR71" s="436" t="e">
        <f t="shared" si="14"/>
        <v>#N/A</v>
      </c>
      <c r="AS71" s="605"/>
      <c r="AT71" s="436"/>
      <c r="AU71" s="436"/>
      <c r="AV71" s="436"/>
      <c r="AW71" s="436" t="e">
        <f t="shared" si="15"/>
        <v>#N/A</v>
      </c>
      <c r="AX71" s="605"/>
    </row>
    <row r="72" spans="2:50" ht="15.75">
      <c r="B72" s="592" t="s">
        <v>731</v>
      </c>
      <c r="C72" s="593"/>
      <c r="D72" s="593"/>
      <c r="E72" s="593"/>
      <c r="F72" s="593"/>
      <c r="G72" s="593"/>
      <c r="H72" s="593"/>
      <c r="I72" s="208"/>
      <c r="J72" s="203"/>
      <c r="K72" s="208"/>
      <c r="L72" s="208"/>
      <c r="M72" s="204"/>
      <c r="N72" s="565" t="s">
        <v>732</v>
      </c>
      <c r="O72" s="565" t="s">
        <v>733</v>
      </c>
      <c r="P72" s="571">
        <f>P37+7</f>
        <v>13</v>
      </c>
      <c r="Q72" s="572"/>
      <c r="R72" s="572"/>
      <c r="S72" s="572"/>
      <c r="T72" s="572"/>
      <c r="U72" s="568">
        <f>P72+1</f>
        <v>14</v>
      </c>
      <c r="V72" s="569"/>
      <c r="W72" s="569"/>
      <c r="X72" s="569"/>
      <c r="Y72" s="570"/>
      <c r="Z72" s="568">
        <f>U72+1</f>
        <v>15</v>
      </c>
      <c r="AA72" s="569"/>
      <c r="AB72" s="569"/>
      <c r="AC72" s="569"/>
      <c r="AD72" s="570"/>
      <c r="AE72" s="568">
        <f>Z72+1</f>
        <v>16</v>
      </c>
      <c r="AF72" s="569"/>
      <c r="AG72" s="569"/>
      <c r="AH72" s="569"/>
      <c r="AI72" s="570"/>
      <c r="AJ72" s="568">
        <f>AE72+1</f>
        <v>17</v>
      </c>
      <c r="AK72" s="569"/>
      <c r="AL72" s="569"/>
      <c r="AM72" s="569"/>
      <c r="AN72" s="570"/>
      <c r="AO72" s="568">
        <f>AJ72+1</f>
        <v>18</v>
      </c>
      <c r="AP72" s="569"/>
      <c r="AQ72" s="569"/>
      <c r="AR72" s="569"/>
      <c r="AS72" s="570"/>
      <c r="AT72" s="568">
        <f>AO72+1</f>
        <v>19</v>
      </c>
      <c r="AU72" s="569"/>
      <c r="AV72" s="569"/>
      <c r="AW72" s="569"/>
      <c r="AX72" s="570"/>
    </row>
    <row r="73" spans="2:50" ht="15.75">
      <c r="B73" s="579"/>
      <c r="C73" s="579"/>
      <c r="D73" s="579"/>
      <c r="E73" s="579"/>
      <c r="F73" s="579"/>
      <c r="G73" s="579"/>
      <c r="H73" s="579"/>
      <c r="I73" s="205"/>
      <c r="J73" s="205"/>
      <c r="K73" s="205"/>
      <c r="L73" s="205"/>
      <c r="M73" s="206"/>
      <c r="N73" s="567"/>
      <c r="O73" s="567"/>
      <c r="P73" s="571" t="s">
        <v>734</v>
      </c>
      <c r="Q73" s="572"/>
      <c r="R73" s="572"/>
      <c r="S73" s="572"/>
      <c r="T73" s="572"/>
      <c r="U73" s="571" t="s">
        <v>735</v>
      </c>
      <c r="V73" s="572"/>
      <c r="W73" s="572"/>
      <c r="X73" s="572"/>
      <c r="Y73" s="572"/>
      <c r="Z73" s="571" t="s">
        <v>736</v>
      </c>
      <c r="AA73" s="572"/>
      <c r="AB73" s="572"/>
      <c r="AC73" s="572"/>
      <c r="AD73" s="572"/>
      <c r="AE73" s="571" t="s">
        <v>737</v>
      </c>
      <c r="AF73" s="572"/>
      <c r="AG73" s="572"/>
      <c r="AH73" s="572"/>
      <c r="AI73" s="572"/>
      <c r="AJ73" s="571" t="s">
        <v>738</v>
      </c>
      <c r="AK73" s="572"/>
      <c r="AL73" s="572"/>
      <c r="AM73" s="572"/>
      <c r="AN73" s="572"/>
      <c r="AO73" s="571" t="s">
        <v>739</v>
      </c>
      <c r="AP73" s="572"/>
      <c r="AQ73" s="572"/>
      <c r="AR73" s="572"/>
      <c r="AS73" s="572"/>
      <c r="AT73" s="571" t="s">
        <v>740</v>
      </c>
      <c r="AU73" s="572"/>
      <c r="AV73" s="572"/>
      <c r="AW73" s="572"/>
      <c r="AX73" s="572"/>
    </row>
    <row r="74" spans="2:50">
      <c r="B74" s="559" t="s">
        <v>741</v>
      </c>
      <c r="C74" s="559" t="s">
        <v>742</v>
      </c>
      <c r="D74" s="559"/>
      <c r="E74" s="559" t="s">
        <v>743</v>
      </c>
      <c r="F74" s="559"/>
      <c r="G74" s="559"/>
      <c r="H74" s="560" t="s">
        <v>744</v>
      </c>
      <c r="I74" s="543" t="s">
        <v>745</v>
      </c>
      <c r="J74" s="543"/>
      <c r="K74" s="543"/>
      <c r="L74" s="544" t="s">
        <v>744</v>
      </c>
      <c r="M74" s="550" t="s">
        <v>746</v>
      </c>
      <c r="N74" s="559"/>
      <c r="O74" s="559" t="s">
        <v>747</v>
      </c>
      <c r="P74" s="556" t="s">
        <v>748</v>
      </c>
      <c r="Q74" s="557"/>
      <c r="R74" s="557"/>
      <c r="S74" s="558"/>
      <c r="T74" s="559" t="s">
        <v>744</v>
      </c>
      <c r="U74" s="556" t="s">
        <v>748</v>
      </c>
      <c r="V74" s="557"/>
      <c r="W74" s="557"/>
      <c r="X74" s="558"/>
      <c r="Y74" s="559" t="s">
        <v>744</v>
      </c>
      <c r="Z74" s="556" t="s">
        <v>748</v>
      </c>
      <c r="AA74" s="557"/>
      <c r="AB74" s="557"/>
      <c r="AC74" s="558"/>
      <c r="AD74" s="559" t="s">
        <v>744</v>
      </c>
      <c r="AE74" s="556" t="s">
        <v>748</v>
      </c>
      <c r="AF74" s="557"/>
      <c r="AG74" s="557"/>
      <c r="AH74" s="558"/>
      <c r="AI74" s="559" t="s">
        <v>744</v>
      </c>
      <c r="AJ74" s="556" t="s">
        <v>748</v>
      </c>
      <c r="AK74" s="557"/>
      <c r="AL74" s="557"/>
      <c r="AM74" s="558"/>
      <c r="AN74" s="559" t="s">
        <v>744</v>
      </c>
      <c r="AO74" s="556" t="s">
        <v>748</v>
      </c>
      <c r="AP74" s="557"/>
      <c r="AQ74" s="557"/>
      <c r="AR74" s="558"/>
      <c r="AS74" s="559" t="s">
        <v>744</v>
      </c>
      <c r="AT74" s="556" t="s">
        <v>748</v>
      </c>
      <c r="AU74" s="557"/>
      <c r="AV74" s="557"/>
      <c r="AW74" s="558"/>
      <c r="AX74" s="559" t="s">
        <v>744</v>
      </c>
    </row>
    <row r="75" spans="2:50">
      <c r="B75" s="559"/>
      <c r="C75" s="559"/>
      <c r="D75" s="559"/>
      <c r="E75" s="559" t="s">
        <v>749</v>
      </c>
      <c r="F75" s="559"/>
      <c r="G75" s="559"/>
      <c r="H75" s="561"/>
      <c r="I75" s="543" t="s">
        <v>749</v>
      </c>
      <c r="J75" s="543"/>
      <c r="K75" s="543"/>
      <c r="L75" s="545"/>
      <c r="M75" s="551"/>
      <c r="N75" s="559"/>
      <c r="O75" s="559"/>
      <c r="P75" s="556" t="s">
        <v>750</v>
      </c>
      <c r="Q75" s="557"/>
      <c r="R75" s="557"/>
      <c r="S75" s="558"/>
      <c r="T75" s="559"/>
      <c r="U75" s="556" t="s">
        <v>750</v>
      </c>
      <c r="V75" s="557"/>
      <c r="W75" s="557"/>
      <c r="X75" s="558"/>
      <c r="Y75" s="559"/>
      <c r="Z75" s="556" t="s">
        <v>750</v>
      </c>
      <c r="AA75" s="557"/>
      <c r="AB75" s="557"/>
      <c r="AC75" s="558"/>
      <c r="AD75" s="559"/>
      <c r="AE75" s="556" t="s">
        <v>750</v>
      </c>
      <c r="AF75" s="557"/>
      <c r="AG75" s="557"/>
      <c r="AH75" s="558"/>
      <c r="AI75" s="559"/>
      <c r="AJ75" s="556" t="s">
        <v>750</v>
      </c>
      <c r="AK75" s="557"/>
      <c r="AL75" s="557"/>
      <c r="AM75" s="558"/>
      <c r="AN75" s="559"/>
      <c r="AO75" s="556" t="s">
        <v>750</v>
      </c>
      <c r="AP75" s="557"/>
      <c r="AQ75" s="557"/>
      <c r="AR75" s="558"/>
      <c r="AS75" s="559"/>
      <c r="AT75" s="556" t="s">
        <v>750</v>
      </c>
      <c r="AU75" s="557"/>
      <c r="AV75" s="557"/>
      <c r="AW75" s="558"/>
      <c r="AX75" s="559"/>
    </row>
    <row r="76" spans="2:50">
      <c r="B76" s="559"/>
      <c r="C76" s="559"/>
      <c r="D76" s="559"/>
      <c r="E76" s="440" t="s">
        <v>751</v>
      </c>
      <c r="F76" s="440" t="s">
        <v>752</v>
      </c>
      <c r="G76" s="440" t="s">
        <v>753</v>
      </c>
      <c r="H76" s="562"/>
      <c r="I76" s="444" t="s">
        <v>751</v>
      </c>
      <c r="J76" s="444" t="s">
        <v>752</v>
      </c>
      <c r="K76" s="444" t="s">
        <v>753</v>
      </c>
      <c r="L76" s="546"/>
      <c r="M76" s="552"/>
      <c r="N76" s="559"/>
      <c r="O76" s="559"/>
      <c r="P76" s="440" t="s">
        <v>751</v>
      </c>
      <c r="Q76" s="440" t="s">
        <v>752</v>
      </c>
      <c r="R76" s="440" t="s">
        <v>753</v>
      </c>
      <c r="S76" s="440" t="s">
        <v>746</v>
      </c>
      <c r="T76" s="559"/>
      <c r="U76" s="440" t="s">
        <v>751</v>
      </c>
      <c r="V76" s="440" t="s">
        <v>752</v>
      </c>
      <c r="W76" s="440" t="s">
        <v>753</v>
      </c>
      <c r="X76" s="440" t="s">
        <v>746</v>
      </c>
      <c r="Y76" s="559"/>
      <c r="Z76" s="440" t="s">
        <v>751</v>
      </c>
      <c r="AA76" s="440" t="s">
        <v>752</v>
      </c>
      <c r="AB76" s="440" t="s">
        <v>753</v>
      </c>
      <c r="AC76" s="440" t="s">
        <v>746</v>
      </c>
      <c r="AD76" s="559"/>
      <c r="AE76" s="440" t="s">
        <v>751</v>
      </c>
      <c r="AF76" s="440" t="s">
        <v>752</v>
      </c>
      <c r="AG76" s="440" t="s">
        <v>753</v>
      </c>
      <c r="AH76" s="440" t="s">
        <v>746</v>
      </c>
      <c r="AI76" s="559"/>
      <c r="AJ76" s="440" t="s">
        <v>751</v>
      </c>
      <c r="AK76" s="440" t="s">
        <v>752</v>
      </c>
      <c r="AL76" s="440" t="s">
        <v>753</v>
      </c>
      <c r="AM76" s="440" t="s">
        <v>746</v>
      </c>
      <c r="AN76" s="559"/>
      <c r="AO76" s="440" t="s">
        <v>751</v>
      </c>
      <c r="AP76" s="440" t="s">
        <v>752</v>
      </c>
      <c r="AQ76" s="440" t="s">
        <v>753</v>
      </c>
      <c r="AR76" s="440" t="s">
        <v>746</v>
      </c>
      <c r="AS76" s="559"/>
      <c r="AT76" s="440" t="s">
        <v>751</v>
      </c>
      <c r="AU76" s="440" t="s">
        <v>752</v>
      </c>
      <c r="AV76" s="440" t="s">
        <v>753</v>
      </c>
      <c r="AW76" s="440" t="s">
        <v>746</v>
      </c>
      <c r="AX76" s="559"/>
    </row>
    <row r="77" spans="2:50">
      <c r="B77" s="559" t="s">
        <v>788</v>
      </c>
      <c r="C77" s="436">
        <v>1</v>
      </c>
      <c r="D77" s="226" t="s">
        <v>371</v>
      </c>
      <c r="E77" s="182">
        <v>6</v>
      </c>
      <c r="F77" s="436">
        <v>1500</v>
      </c>
      <c r="G77" s="437">
        <v>250</v>
      </c>
      <c r="H77" s="608">
        <f>AVERAGE(G77:G106)</f>
        <v>97.632142857142867</v>
      </c>
      <c r="I77" s="446">
        <f>AVERAGE(P77,U77,Z77,AE77,AJ77,AO77,AT77)</f>
        <v>6</v>
      </c>
      <c r="J77" s="446">
        <f>AVERAGE(Q77,V77,AA77,AF77,AK77,AP77,AU77)</f>
        <v>1388.9898926715018</v>
      </c>
      <c r="K77" s="438">
        <f>AVERAGE(R77,W77,AB77,AG77,AL77,AQ77,AV77)</f>
        <v>231.49831544525031</v>
      </c>
      <c r="L77" s="540">
        <f>IFERROR(AVERAGE(K77:K106),"-")</f>
        <v>81.431949464822324</v>
      </c>
      <c r="M77" s="445">
        <f>RANK(K77, K$77:$K$106)</f>
        <v>1</v>
      </c>
      <c r="N77" s="559"/>
      <c r="O77" s="559"/>
      <c r="P77" s="182">
        <v>6</v>
      </c>
      <c r="Q77" s="182">
        <v>1357.2379746835445</v>
      </c>
      <c r="R77" s="182">
        <v>226.20632911392408</v>
      </c>
      <c r="S77" s="436">
        <f>RANK(R77, R$77:R$106)</f>
        <v>1</v>
      </c>
      <c r="T77" s="605">
        <f>AVERAGE(R77:R106)</f>
        <v>81.494258390995995</v>
      </c>
      <c r="U77" s="182">
        <v>6</v>
      </c>
      <c r="V77" s="182">
        <v>1375.1522292993632</v>
      </c>
      <c r="W77" s="182">
        <v>229.19203821656052</v>
      </c>
      <c r="X77" s="436">
        <f>RANK(W77, W$77:W$106)</f>
        <v>1</v>
      </c>
      <c r="Y77" s="605">
        <f>AVERAGE(W77:W106)</f>
        <v>80.999821021889744</v>
      </c>
      <c r="Z77" s="182">
        <v>6</v>
      </c>
      <c r="AA77" s="182">
        <v>1402.8140939597315</v>
      </c>
      <c r="AB77" s="182">
        <v>233.80234899328858</v>
      </c>
      <c r="AC77" s="436">
        <f>RANK(AB77, AB$77:AB$106)</f>
        <v>1</v>
      </c>
      <c r="AD77" s="605">
        <f>AVERAGE(AB77:AB106)</f>
        <v>81.429261125540719</v>
      </c>
      <c r="AE77" s="182">
        <v>6</v>
      </c>
      <c r="AF77" s="182">
        <v>1406.1779359430604</v>
      </c>
      <c r="AG77" s="182">
        <v>234.36298932384341</v>
      </c>
      <c r="AH77" s="436">
        <f>RANK(AG77, AG$77:AG$106)</f>
        <v>1</v>
      </c>
      <c r="AI77" s="605">
        <f>AVERAGE(AG77:AG106)</f>
        <v>81.84594666080099</v>
      </c>
      <c r="AJ77" s="182">
        <v>6</v>
      </c>
      <c r="AK77" s="182">
        <v>1383.1650000000002</v>
      </c>
      <c r="AL77" s="182">
        <v>230.52750000000003</v>
      </c>
      <c r="AM77" s="436">
        <f>RANK(AL77, AL$77:AL$106)</f>
        <v>1</v>
      </c>
      <c r="AN77" s="605">
        <f>AVERAGE(AL77:AL106)</f>
        <v>81.827695575967923</v>
      </c>
      <c r="AO77" s="182">
        <v>6</v>
      </c>
      <c r="AP77" s="182">
        <v>1393.4148148148145</v>
      </c>
      <c r="AQ77" s="182">
        <v>232.23580246913573</v>
      </c>
      <c r="AR77" s="436">
        <f>RANK(AQ77, AQ$77:AQ$106)</f>
        <v>1</v>
      </c>
      <c r="AS77" s="605">
        <f>AVERAGE(AQ77:AQ106)</f>
        <v>81.60701826200129</v>
      </c>
      <c r="AT77" s="182">
        <v>6</v>
      </c>
      <c r="AU77" s="182">
        <v>1404.9671999999996</v>
      </c>
      <c r="AV77" s="182">
        <v>234.16119999999992</v>
      </c>
      <c r="AW77" s="436">
        <f>RANK(AV77, AV$77:AV$106)</f>
        <v>1</v>
      </c>
      <c r="AX77" s="605">
        <f>AVERAGE(AV77:AV106)</f>
        <v>80.819645216559792</v>
      </c>
    </row>
    <row r="78" spans="2:50">
      <c r="B78" s="572"/>
      <c r="C78" s="436">
        <v>2</v>
      </c>
      <c r="D78" s="226" t="s">
        <v>395</v>
      </c>
      <c r="E78" s="182">
        <v>6</v>
      </c>
      <c r="F78" s="436">
        <v>1500</v>
      </c>
      <c r="G78" s="437">
        <v>250</v>
      </c>
      <c r="H78" s="609"/>
      <c r="I78" s="446">
        <f t="shared" ref="I78:K99" si="18">AVERAGE(P78,U78,Z78,AE78,AJ78,AO78,AT78)</f>
        <v>7</v>
      </c>
      <c r="J78" s="446">
        <f t="shared" si="18"/>
        <v>1423.9989608944111</v>
      </c>
      <c r="K78" s="438">
        <f t="shared" si="18"/>
        <v>203.4284229849159</v>
      </c>
      <c r="L78" s="541"/>
      <c r="M78" s="445">
        <f>RANK(K78, K$77:$K$106)</f>
        <v>2</v>
      </c>
      <c r="N78" s="559"/>
      <c r="O78" s="559"/>
      <c r="P78" s="182">
        <v>7</v>
      </c>
      <c r="Q78" s="182">
        <v>1443.7113402061859</v>
      </c>
      <c r="R78" s="182">
        <v>206.24447717231229</v>
      </c>
      <c r="S78" s="436">
        <f t="shared" ref="S78:S106" si="19">RANK(R78, R$77:R$106)</f>
        <v>2</v>
      </c>
      <c r="T78" s="605"/>
      <c r="U78" s="182">
        <v>7</v>
      </c>
      <c r="V78" s="182">
        <v>1415.0495049504946</v>
      </c>
      <c r="W78" s="182">
        <v>202.14992927864208</v>
      </c>
      <c r="X78" s="436">
        <f t="shared" ref="X78:X106" si="20">RANK(W78, W$77:W$106)</f>
        <v>2</v>
      </c>
      <c r="Y78" s="605"/>
      <c r="Z78" s="182">
        <v>7</v>
      </c>
      <c r="AA78" s="182">
        <v>1399.3939393939388</v>
      </c>
      <c r="AB78" s="182">
        <v>199.91341991341983</v>
      </c>
      <c r="AC78" s="436">
        <f t="shared" ref="AC78:AC106" si="21">RANK(AB78, AB$77:AB$106)</f>
        <v>2</v>
      </c>
      <c r="AD78" s="605"/>
      <c r="AE78" s="182">
        <v>7</v>
      </c>
      <c r="AF78" s="182">
        <v>1443.5294117647056</v>
      </c>
      <c r="AG78" s="182">
        <v>206.21848739495795</v>
      </c>
      <c r="AH78" s="436">
        <f t="shared" ref="AH78:AH106" si="22">RANK(AG78, AG$77:AG$106)</f>
        <v>2</v>
      </c>
      <c r="AI78" s="605"/>
      <c r="AJ78" s="182">
        <v>7</v>
      </c>
      <c r="AK78" s="182">
        <v>1432.4137931034479</v>
      </c>
      <c r="AL78" s="182">
        <v>204.63054187192114</v>
      </c>
      <c r="AM78" s="436">
        <f t="shared" ref="AM78:AM106" si="23">RANK(AL78, AL$77:AL$106)</f>
        <v>2</v>
      </c>
      <c r="AN78" s="605"/>
      <c r="AO78" s="182">
        <v>7</v>
      </c>
      <c r="AP78" s="182">
        <v>1405.2631578947371</v>
      </c>
      <c r="AQ78" s="182">
        <v>200.75187969924815</v>
      </c>
      <c r="AR78" s="436">
        <f t="shared" ref="AR78:AR106" si="24">RANK(AQ78, AQ$77:AQ$106)</f>
        <v>2</v>
      </c>
      <c r="AS78" s="605"/>
      <c r="AT78" s="182">
        <v>7</v>
      </c>
      <c r="AU78" s="182">
        <v>1428.6315789473686</v>
      </c>
      <c r="AV78" s="182">
        <v>204.0902255639098</v>
      </c>
      <c r="AW78" s="436">
        <f t="shared" ref="AW78:AW106" si="25">RANK(AV78, AV$77:AV$106)</f>
        <v>2</v>
      </c>
      <c r="AX78" s="605"/>
    </row>
    <row r="79" spans="2:50">
      <c r="B79" s="572"/>
      <c r="C79" s="436">
        <v>3</v>
      </c>
      <c r="D79" s="226" t="s">
        <v>372</v>
      </c>
      <c r="E79" s="182">
        <v>17</v>
      </c>
      <c r="F79" s="436">
        <v>1500</v>
      </c>
      <c r="G79" s="437">
        <v>88.2</v>
      </c>
      <c r="H79" s="609"/>
      <c r="I79" s="446">
        <f t="shared" si="18"/>
        <v>17</v>
      </c>
      <c r="J79" s="446">
        <f t="shared" si="18"/>
        <v>1266.24526682241</v>
      </c>
      <c r="K79" s="438">
        <f t="shared" si="18"/>
        <v>74.485015695435891</v>
      </c>
      <c r="L79" s="541"/>
      <c r="M79" s="445">
        <f>RANK(K79, K$77:$K$106)</f>
        <v>12</v>
      </c>
      <c r="N79" s="559"/>
      <c r="O79" s="559"/>
      <c r="P79" s="182">
        <v>17</v>
      </c>
      <c r="Q79" s="182">
        <v>1265.6249999999998</v>
      </c>
      <c r="R79" s="182">
        <v>74.448529411764696</v>
      </c>
      <c r="S79" s="436">
        <f t="shared" si="19"/>
        <v>11</v>
      </c>
      <c r="T79" s="605"/>
      <c r="U79" s="182">
        <v>17</v>
      </c>
      <c r="V79" s="182">
        <v>1296.1904761904759</v>
      </c>
      <c r="W79" s="182">
        <v>76.246498599439761</v>
      </c>
      <c r="X79" s="436">
        <f t="shared" si="20"/>
        <v>9</v>
      </c>
      <c r="Y79" s="605"/>
      <c r="Z79" s="182">
        <v>17</v>
      </c>
      <c r="AA79" s="182">
        <v>1287.6923076923074</v>
      </c>
      <c r="AB79" s="182">
        <v>75.746606334841616</v>
      </c>
      <c r="AC79" s="436">
        <f t="shared" si="21"/>
        <v>11</v>
      </c>
      <c r="AD79" s="605"/>
      <c r="AE79" s="182">
        <v>17</v>
      </c>
      <c r="AF79" s="182">
        <v>1255.3846153846162</v>
      </c>
      <c r="AG79" s="182">
        <v>73.846153846153896</v>
      </c>
      <c r="AH79" s="436">
        <f t="shared" si="22"/>
        <v>12</v>
      </c>
      <c r="AI79" s="605"/>
      <c r="AJ79" s="182">
        <v>17</v>
      </c>
      <c r="AK79" s="182">
        <v>1296.7741935483866</v>
      </c>
      <c r="AL79" s="182">
        <v>76.280834914610978</v>
      </c>
      <c r="AM79" s="436">
        <f t="shared" si="23"/>
        <v>11</v>
      </c>
      <c r="AN79" s="605"/>
      <c r="AO79" s="182">
        <v>17</v>
      </c>
      <c r="AP79" s="182">
        <v>1257.3134328358208</v>
      </c>
      <c r="AQ79" s="182">
        <v>73.95961369622475</v>
      </c>
      <c r="AR79" s="436">
        <f t="shared" si="24"/>
        <v>12</v>
      </c>
      <c r="AS79" s="605"/>
      <c r="AT79" s="182">
        <v>17</v>
      </c>
      <c r="AU79" s="182">
        <v>1204.7368421052636</v>
      </c>
      <c r="AV79" s="182">
        <v>70.866873065015511</v>
      </c>
      <c r="AW79" s="436">
        <f t="shared" si="25"/>
        <v>15</v>
      </c>
      <c r="AX79" s="605"/>
    </row>
    <row r="80" spans="2:50">
      <c r="B80" s="572"/>
      <c r="C80" s="436">
        <v>4</v>
      </c>
      <c r="D80" s="226" t="s">
        <v>414</v>
      </c>
      <c r="E80" s="182">
        <v>19</v>
      </c>
      <c r="F80" s="436">
        <v>1500</v>
      </c>
      <c r="G80" s="437">
        <v>78.900000000000006</v>
      </c>
      <c r="H80" s="609"/>
      <c r="I80" s="446">
        <f t="shared" si="18"/>
        <v>18</v>
      </c>
      <c r="J80" s="446">
        <f t="shared" si="18"/>
        <v>1254.0465497536975</v>
      </c>
      <c r="K80" s="438">
        <f t="shared" si="18"/>
        <v>69.66925276409431</v>
      </c>
      <c r="L80" s="541"/>
      <c r="M80" s="445">
        <f>RANK(K80, K$77:$K$106)</f>
        <v>17</v>
      </c>
      <c r="N80" s="559"/>
      <c r="O80" s="559"/>
      <c r="P80" s="182">
        <v>18</v>
      </c>
      <c r="Q80" s="182">
        <v>1261.2500000000005</v>
      </c>
      <c r="R80" s="182">
        <v>70.069444444444471</v>
      </c>
      <c r="S80" s="436">
        <f t="shared" si="19"/>
        <v>16</v>
      </c>
      <c r="T80" s="605"/>
      <c r="U80" s="182">
        <v>18</v>
      </c>
      <c r="V80" s="182">
        <v>1266.3829787234044</v>
      </c>
      <c r="W80" s="182">
        <v>70.354609929078023</v>
      </c>
      <c r="X80" s="436">
        <f t="shared" si="20"/>
        <v>16</v>
      </c>
      <c r="Y80" s="605"/>
      <c r="Z80" s="182">
        <v>18</v>
      </c>
      <c r="AA80" s="182">
        <v>1258.8000000000004</v>
      </c>
      <c r="AB80" s="182">
        <v>69.933333333333351</v>
      </c>
      <c r="AC80" s="436">
        <f t="shared" si="21"/>
        <v>17</v>
      </c>
      <c r="AD80" s="605"/>
      <c r="AE80" s="182">
        <v>18</v>
      </c>
      <c r="AF80" s="182">
        <v>1254.8936170212748</v>
      </c>
      <c r="AG80" s="182">
        <v>69.716312056737493</v>
      </c>
      <c r="AH80" s="436">
        <f t="shared" si="22"/>
        <v>18</v>
      </c>
      <c r="AI80" s="605"/>
      <c r="AJ80" s="182">
        <v>18</v>
      </c>
      <c r="AK80" s="182">
        <v>1266.1224489795923</v>
      </c>
      <c r="AL80" s="182">
        <v>70.340136054421791</v>
      </c>
      <c r="AM80" s="436">
        <f t="shared" si="23"/>
        <v>17</v>
      </c>
      <c r="AN80" s="605"/>
      <c r="AO80" s="182">
        <v>18</v>
      </c>
      <c r="AP80" s="182">
        <v>1248.2352941176475</v>
      </c>
      <c r="AQ80" s="182">
        <v>69.346405228758201</v>
      </c>
      <c r="AR80" s="436">
        <f t="shared" si="24"/>
        <v>16</v>
      </c>
      <c r="AS80" s="605"/>
      <c r="AT80" s="182">
        <v>18</v>
      </c>
      <c r="AU80" s="182">
        <v>1222.6415094339629</v>
      </c>
      <c r="AV80" s="182">
        <v>67.924528301886824</v>
      </c>
      <c r="AW80" s="436">
        <f t="shared" si="25"/>
        <v>18</v>
      </c>
      <c r="AX80" s="605"/>
    </row>
    <row r="81" spans="2:50">
      <c r="B81" s="572"/>
      <c r="C81" s="436">
        <v>5</v>
      </c>
      <c r="D81" s="226" t="s">
        <v>350</v>
      </c>
      <c r="E81" s="182">
        <v>16</v>
      </c>
      <c r="F81" s="436">
        <v>1500</v>
      </c>
      <c r="G81" s="437">
        <v>93.8</v>
      </c>
      <c r="H81" s="609"/>
      <c r="I81" s="446">
        <f t="shared" si="18"/>
        <v>16</v>
      </c>
      <c r="J81" s="446">
        <f t="shared" si="18"/>
        <v>1260.1782796913228</v>
      </c>
      <c r="K81" s="438">
        <f t="shared" si="18"/>
        <v>78.761142480707676</v>
      </c>
      <c r="L81" s="541"/>
      <c r="M81" s="445">
        <f>RANK(K81, K$77:$K$106)</f>
        <v>7</v>
      </c>
      <c r="N81" s="559"/>
      <c r="O81" s="559"/>
      <c r="P81" s="182">
        <v>16</v>
      </c>
      <c r="Q81" s="182">
        <v>1286.0869565217392</v>
      </c>
      <c r="R81" s="182">
        <v>80.380434782608702</v>
      </c>
      <c r="S81" s="436">
        <f t="shared" si="19"/>
        <v>5</v>
      </c>
      <c r="T81" s="605"/>
      <c r="U81" s="182">
        <v>16</v>
      </c>
      <c r="V81" s="182">
        <v>1243.6363636363635</v>
      </c>
      <c r="W81" s="182">
        <v>77.72727272727272</v>
      </c>
      <c r="X81" s="436">
        <f t="shared" si="20"/>
        <v>7</v>
      </c>
      <c r="Y81" s="605"/>
      <c r="Z81" s="182">
        <v>16</v>
      </c>
      <c r="AA81" s="182">
        <v>1261.3333333333333</v>
      </c>
      <c r="AB81" s="182">
        <v>78.833333333333329</v>
      </c>
      <c r="AC81" s="436">
        <f t="shared" si="21"/>
        <v>7</v>
      </c>
      <c r="AD81" s="605"/>
      <c r="AE81" s="182">
        <v>16</v>
      </c>
      <c r="AF81" s="182">
        <v>1259.9999999999995</v>
      </c>
      <c r="AG81" s="182">
        <v>78.749999999999972</v>
      </c>
      <c r="AH81" s="436">
        <f t="shared" si="22"/>
        <v>7</v>
      </c>
      <c r="AI81" s="605"/>
      <c r="AJ81" s="182">
        <v>16</v>
      </c>
      <c r="AK81" s="182">
        <v>1273.0434782608695</v>
      </c>
      <c r="AL81" s="182">
        <v>79.565217391304344</v>
      </c>
      <c r="AM81" s="436">
        <f t="shared" si="23"/>
        <v>8</v>
      </c>
      <c r="AN81" s="605"/>
      <c r="AO81" s="182">
        <v>16</v>
      </c>
      <c r="AP81" s="182">
        <v>1274.3478260869565</v>
      </c>
      <c r="AQ81" s="182">
        <v>79.646739130434781</v>
      </c>
      <c r="AR81" s="436">
        <f t="shared" si="24"/>
        <v>6</v>
      </c>
      <c r="AS81" s="605"/>
      <c r="AT81" s="182">
        <v>16</v>
      </c>
      <c r="AU81" s="182">
        <v>1222.7999999999984</v>
      </c>
      <c r="AV81" s="182">
        <v>76.424999999999898</v>
      </c>
      <c r="AW81" s="436">
        <f t="shared" si="25"/>
        <v>8</v>
      </c>
      <c r="AX81" s="605"/>
    </row>
    <row r="82" spans="2:50">
      <c r="B82" s="572"/>
      <c r="C82" s="436">
        <v>6</v>
      </c>
      <c r="D82" s="226" t="s">
        <v>379</v>
      </c>
      <c r="E82" s="182">
        <v>16</v>
      </c>
      <c r="F82" s="436">
        <v>1565</v>
      </c>
      <c r="G82" s="437">
        <v>97.8</v>
      </c>
      <c r="H82" s="609"/>
      <c r="I82" s="446">
        <f t="shared" si="18"/>
        <v>15</v>
      </c>
      <c r="J82" s="446">
        <f t="shared" si="18"/>
        <v>1326.9950142736523</v>
      </c>
      <c r="K82" s="438">
        <f t="shared" si="18"/>
        <v>88.466334284910133</v>
      </c>
      <c r="L82" s="541"/>
      <c r="M82" s="445">
        <f>RANK(K82, K$77:$K$106)</f>
        <v>3</v>
      </c>
      <c r="N82" s="559"/>
      <c r="O82" s="559"/>
      <c r="P82" s="182">
        <v>15</v>
      </c>
      <c r="Q82" s="182">
        <v>1315.8000000000015</v>
      </c>
      <c r="R82" s="182">
        <v>87.720000000000098</v>
      </c>
      <c r="S82" s="436">
        <f t="shared" si="19"/>
        <v>3</v>
      </c>
      <c r="T82" s="605"/>
      <c r="U82" s="182">
        <v>15</v>
      </c>
      <c r="V82" s="182">
        <v>1323.3620689655165</v>
      </c>
      <c r="W82" s="182">
        <v>88.224137931034434</v>
      </c>
      <c r="X82" s="436">
        <f t="shared" si="20"/>
        <v>3</v>
      </c>
      <c r="Y82" s="605"/>
      <c r="Z82" s="182">
        <v>15</v>
      </c>
      <c r="AA82" s="182">
        <v>1328.6379310344819</v>
      </c>
      <c r="AB82" s="182">
        <v>88.575862068965463</v>
      </c>
      <c r="AC82" s="436">
        <f t="shared" si="21"/>
        <v>3</v>
      </c>
      <c r="AD82" s="605"/>
      <c r="AE82" s="182">
        <v>15</v>
      </c>
      <c r="AF82" s="182">
        <v>1334.9411764705885</v>
      </c>
      <c r="AG82" s="182">
        <v>88.996078431372567</v>
      </c>
      <c r="AH82" s="436">
        <f t="shared" si="22"/>
        <v>3</v>
      </c>
      <c r="AI82" s="605"/>
      <c r="AJ82" s="182">
        <v>15</v>
      </c>
      <c r="AK82" s="182">
        <v>1323.381818181819</v>
      </c>
      <c r="AL82" s="182">
        <v>88.225454545454596</v>
      </c>
      <c r="AM82" s="436">
        <f t="shared" si="23"/>
        <v>3</v>
      </c>
      <c r="AN82" s="605"/>
      <c r="AO82" s="182">
        <v>15</v>
      </c>
      <c r="AP82" s="182">
        <v>1324.8421052631588</v>
      </c>
      <c r="AQ82" s="182">
        <v>88.322807017543923</v>
      </c>
      <c r="AR82" s="436">
        <f t="shared" si="24"/>
        <v>3</v>
      </c>
      <c r="AS82" s="605"/>
      <c r="AT82" s="182">
        <v>15</v>
      </c>
      <c r="AU82" s="182">
        <v>1337.9999999999995</v>
      </c>
      <c r="AV82" s="182">
        <v>89.199999999999974</v>
      </c>
      <c r="AW82" s="436">
        <f t="shared" si="25"/>
        <v>3</v>
      </c>
      <c r="AX82" s="605"/>
    </row>
    <row r="83" spans="2:50">
      <c r="B83" s="572"/>
      <c r="C83" s="436">
        <v>7</v>
      </c>
      <c r="D83" s="226" t="s">
        <v>340</v>
      </c>
      <c r="E83" s="182">
        <v>14</v>
      </c>
      <c r="F83" s="436">
        <v>1440</v>
      </c>
      <c r="G83" s="437">
        <v>102.9</v>
      </c>
      <c r="H83" s="609"/>
      <c r="I83" s="446">
        <f t="shared" si="18"/>
        <v>14</v>
      </c>
      <c r="J83" s="446">
        <f t="shared" si="18"/>
        <v>1070.7357885683002</v>
      </c>
      <c r="K83" s="438">
        <f t="shared" si="18"/>
        <v>76.481127754878599</v>
      </c>
      <c r="L83" s="541"/>
      <c r="M83" s="445">
        <f>RANK(K83, K$77:$K$106)</f>
        <v>8</v>
      </c>
      <c r="N83" s="559"/>
      <c r="O83" s="559"/>
      <c r="P83" s="182">
        <v>14</v>
      </c>
      <c r="Q83" s="182">
        <v>1082.1428571428548</v>
      </c>
      <c r="R83" s="182">
        <v>77.295918367346772</v>
      </c>
      <c r="S83" s="436">
        <f t="shared" si="19"/>
        <v>9</v>
      </c>
      <c r="T83" s="605"/>
      <c r="U83" s="182">
        <v>14</v>
      </c>
      <c r="V83" s="182">
        <v>1051.1111111111086</v>
      </c>
      <c r="W83" s="182">
        <v>75.079365079364905</v>
      </c>
      <c r="X83" s="436">
        <f t="shared" si="20"/>
        <v>10</v>
      </c>
      <c r="Y83" s="605"/>
      <c r="Z83" s="182">
        <v>14</v>
      </c>
      <c r="AA83" s="182">
        <v>1062.4999999999968</v>
      </c>
      <c r="AB83" s="182">
        <v>75.892857142856911</v>
      </c>
      <c r="AC83" s="436">
        <f t="shared" si="21"/>
        <v>10</v>
      </c>
      <c r="AD83" s="605"/>
      <c r="AE83" s="182">
        <v>14</v>
      </c>
      <c r="AF83" s="182">
        <v>1162.5000000000118</v>
      </c>
      <c r="AG83" s="182">
        <v>83.03571428571513</v>
      </c>
      <c r="AH83" s="436">
        <f t="shared" si="22"/>
        <v>4</v>
      </c>
      <c r="AI83" s="605"/>
      <c r="AJ83" s="182">
        <v>14</v>
      </c>
      <c r="AK83" s="182">
        <v>1069.9999999999968</v>
      </c>
      <c r="AL83" s="182">
        <v>76.428571428571203</v>
      </c>
      <c r="AM83" s="436">
        <f t="shared" si="23"/>
        <v>10</v>
      </c>
      <c r="AN83" s="605"/>
      <c r="AO83" s="182">
        <v>14</v>
      </c>
      <c r="AP83" s="182">
        <v>1055.1724137931014</v>
      </c>
      <c r="AQ83" s="182">
        <v>75.369458128078676</v>
      </c>
      <c r="AR83" s="436">
        <f t="shared" si="24"/>
        <v>10</v>
      </c>
      <c r="AS83" s="605"/>
      <c r="AT83" s="182">
        <v>14</v>
      </c>
      <c r="AU83" s="182">
        <v>1011.7241379310326</v>
      </c>
      <c r="AV83" s="182">
        <v>72.266009852216612</v>
      </c>
      <c r="AW83" s="436">
        <f t="shared" si="25"/>
        <v>13</v>
      </c>
      <c r="AX83" s="605"/>
    </row>
    <row r="84" spans="2:50">
      <c r="B84" s="572"/>
      <c r="C84" s="436">
        <v>8</v>
      </c>
      <c r="D84" s="226" t="s">
        <v>378</v>
      </c>
      <c r="E84" s="182">
        <v>16</v>
      </c>
      <c r="F84" s="436">
        <v>1440</v>
      </c>
      <c r="G84" s="437">
        <v>90</v>
      </c>
      <c r="H84" s="609"/>
      <c r="I84" s="446">
        <f t="shared" si="18"/>
        <v>15.142857142857142</v>
      </c>
      <c r="J84" s="446">
        <f t="shared" si="18"/>
        <v>1206.8977691864293</v>
      </c>
      <c r="K84" s="438">
        <f t="shared" si="18"/>
        <v>79.730684612428618</v>
      </c>
      <c r="L84" s="541"/>
      <c r="M84" s="445">
        <f>RANK(K84, K$77:$K$106)</f>
        <v>5</v>
      </c>
      <c r="N84" s="559"/>
      <c r="O84" s="559"/>
      <c r="P84" s="182">
        <v>15</v>
      </c>
      <c r="Q84" s="182">
        <v>1199.9999999999991</v>
      </c>
      <c r="R84" s="182">
        <v>79.999999999999943</v>
      </c>
      <c r="S84" s="436">
        <f t="shared" si="19"/>
        <v>6</v>
      </c>
      <c r="T84" s="605"/>
      <c r="U84" s="182">
        <v>15</v>
      </c>
      <c r="V84" s="182">
        <v>1216.2162162162153</v>
      </c>
      <c r="W84" s="182">
        <v>81.081081081081024</v>
      </c>
      <c r="X84" s="436">
        <f t="shared" si="20"/>
        <v>5</v>
      </c>
      <c r="Y84" s="605"/>
      <c r="Z84" s="182">
        <v>15</v>
      </c>
      <c r="AA84" s="182">
        <v>1211.2499999999982</v>
      </c>
      <c r="AB84" s="182">
        <v>80.749999999999872</v>
      </c>
      <c r="AC84" s="436">
        <f t="shared" si="21"/>
        <v>5</v>
      </c>
      <c r="AD84" s="605"/>
      <c r="AE84" s="182">
        <v>16</v>
      </c>
      <c r="AF84" s="182">
        <v>1224.9999999999934</v>
      </c>
      <c r="AG84" s="182">
        <v>76.562499999999588</v>
      </c>
      <c r="AH84" s="436">
        <f t="shared" si="22"/>
        <v>9</v>
      </c>
      <c r="AI84" s="605"/>
      <c r="AJ84" s="182">
        <v>15</v>
      </c>
      <c r="AK84" s="182">
        <v>1215.882352941175</v>
      </c>
      <c r="AL84" s="182">
        <v>81.058823529411669</v>
      </c>
      <c r="AM84" s="436">
        <f t="shared" si="23"/>
        <v>6</v>
      </c>
      <c r="AN84" s="605"/>
      <c r="AO84" s="182">
        <v>15</v>
      </c>
      <c r="AP84" s="182">
        <v>1194.1463414634143</v>
      </c>
      <c r="AQ84" s="182">
        <v>79.609756097560947</v>
      </c>
      <c r="AR84" s="436">
        <f t="shared" si="24"/>
        <v>7</v>
      </c>
      <c r="AS84" s="605"/>
      <c r="AT84" s="182">
        <v>15</v>
      </c>
      <c r="AU84" s="182">
        <v>1185.7894736842097</v>
      </c>
      <c r="AV84" s="182">
        <v>79.052631578947313</v>
      </c>
      <c r="AW84" s="436">
        <f t="shared" si="25"/>
        <v>4</v>
      </c>
      <c r="AX84" s="605"/>
    </row>
    <row r="85" spans="2:50">
      <c r="B85" s="572"/>
      <c r="C85" s="436">
        <v>9</v>
      </c>
      <c r="D85" s="226" t="s">
        <v>374</v>
      </c>
      <c r="E85" s="182">
        <v>18</v>
      </c>
      <c r="F85" s="436">
        <v>1440</v>
      </c>
      <c r="G85" s="437">
        <v>80</v>
      </c>
      <c r="H85" s="609"/>
      <c r="I85" s="446">
        <f t="shared" si="18"/>
        <v>18</v>
      </c>
      <c r="J85" s="446">
        <f t="shared" si="18"/>
        <v>1182.8292891363506</v>
      </c>
      <c r="K85" s="438">
        <f t="shared" si="18"/>
        <v>65.712738285352827</v>
      </c>
      <c r="L85" s="541"/>
      <c r="M85" s="445">
        <f>RANK(K85, K$77:$K$106)</f>
        <v>23</v>
      </c>
      <c r="N85" s="559"/>
      <c r="O85" s="559"/>
      <c r="P85" s="182">
        <v>18</v>
      </c>
      <c r="Q85" s="182">
        <v>1200</v>
      </c>
      <c r="R85" s="182">
        <v>66.666666666666671</v>
      </c>
      <c r="S85" s="436">
        <f t="shared" si="19"/>
        <v>22</v>
      </c>
      <c r="T85" s="605"/>
      <c r="U85" s="182">
        <v>18</v>
      </c>
      <c r="V85" s="182">
        <v>1181.3333333333335</v>
      </c>
      <c r="W85" s="182">
        <v>65.629629629629633</v>
      </c>
      <c r="X85" s="436">
        <f t="shared" si="20"/>
        <v>23</v>
      </c>
      <c r="Y85" s="605"/>
      <c r="Z85" s="182">
        <v>18</v>
      </c>
      <c r="AA85" s="182">
        <v>1156.9230769230762</v>
      </c>
      <c r="AB85" s="182">
        <v>64.27350427350423</v>
      </c>
      <c r="AC85" s="436">
        <f t="shared" si="21"/>
        <v>23</v>
      </c>
      <c r="AD85" s="605"/>
      <c r="AE85" s="182">
        <v>18</v>
      </c>
      <c r="AF85" s="182">
        <v>1209.7674418604647</v>
      </c>
      <c r="AG85" s="182">
        <v>67.209302325581376</v>
      </c>
      <c r="AH85" s="436">
        <f t="shared" si="22"/>
        <v>22</v>
      </c>
      <c r="AI85" s="605"/>
      <c r="AJ85" s="182">
        <v>18</v>
      </c>
      <c r="AK85" s="182">
        <v>1141.5789473684204</v>
      </c>
      <c r="AL85" s="182">
        <v>63.42105263157891</v>
      </c>
      <c r="AM85" s="436">
        <f t="shared" si="23"/>
        <v>24</v>
      </c>
      <c r="AN85" s="605"/>
      <c r="AO85" s="182">
        <v>18</v>
      </c>
      <c r="AP85" s="182">
        <v>1209.7674418604647</v>
      </c>
      <c r="AQ85" s="182">
        <v>67.209302325581376</v>
      </c>
      <c r="AR85" s="436">
        <f t="shared" si="24"/>
        <v>23</v>
      </c>
      <c r="AS85" s="605"/>
      <c r="AT85" s="182">
        <v>18</v>
      </c>
      <c r="AU85" s="182">
        <v>1180.4347826086957</v>
      </c>
      <c r="AV85" s="182">
        <v>65.579710144927546</v>
      </c>
      <c r="AW85" s="436">
        <f t="shared" si="25"/>
        <v>23</v>
      </c>
      <c r="AX85" s="605"/>
    </row>
    <row r="86" spans="2:50">
      <c r="B86" s="572"/>
      <c r="C86" s="436">
        <v>10</v>
      </c>
      <c r="D86" s="226" t="s">
        <v>377</v>
      </c>
      <c r="E86" s="182">
        <v>18</v>
      </c>
      <c r="F86" s="436">
        <v>1636</v>
      </c>
      <c r="G86" s="437">
        <v>90.9</v>
      </c>
      <c r="H86" s="609"/>
      <c r="I86" s="446">
        <f t="shared" si="18"/>
        <v>18</v>
      </c>
      <c r="J86" s="446">
        <f t="shared" si="18"/>
        <v>1227.8507468432567</v>
      </c>
      <c r="K86" s="438">
        <f t="shared" si="18"/>
        <v>68.21393038018094</v>
      </c>
      <c r="L86" s="541"/>
      <c r="M86" s="445">
        <f>RANK(K86, K$77:$K$106)</f>
        <v>18</v>
      </c>
      <c r="N86" s="559"/>
      <c r="O86" s="559"/>
      <c r="P86" s="182">
        <v>18</v>
      </c>
      <c r="Q86" s="182">
        <v>1249.6153846153852</v>
      </c>
      <c r="R86" s="182">
        <v>69.423076923076962</v>
      </c>
      <c r="S86" s="436">
        <f t="shared" si="19"/>
        <v>17</v>
      </c>
      <c r="T86" s="605"/>
      <c r="U86" s="182">
        <v>18</v>
      </c>
      <c r="V86" s="182">
        <v>1223.2653061224491</v>
      </c>
      <c r="W86" s="182">
        <v>67.959183673469397</v>
      </c>
      <c r="X86" s="436">
        <f t="shared" si="20"/>
        <v>18</v>
      </c>
      <c r="Y86" s="605"/>
      <c r="Z86" s="182">
        <v>18</v>
      </c>
      <c r="AA86" s="182">
        <v>1215.7142857142853</v>
      </c>
      <c r="AB86" s="182">
        <v>67.539682539682516</v>
      </c>
      <c r="AC86" s="436">
        <f t="shared" si="21"/>
        <v>20</v>
      </c>
      <c r="AD86" s="605"/>
      <c r="AE86" s="182">
        <v>18</v>
      </c>
      <c r="AF86" s="182">
        <v>1266.3829787234044</v>
      </c>
      <c r="AG86" s="182">
        <v>70.354609929078023</v>
      </c>
      <c r="AH86" s="436">
        <f t="shared" si="22"/>
        <v>17</v>
      </c>
      <c r="AI86" s="605"/>
      <c r="AJ86" s="182">
        <v>18</v>
      </c>
      <c r="AK86" s="182">
        <v>1231.2500000000005</v>
      </c>
      <c r="AL86" s="182">
        <v>68.4027777777778</v>
      </c>
      <c r="AM86" s="436">
        <f t="shared" si="23"/>
        <v>20</v>
      </c>
      <c r="AN86" s="605"/>
      <c r="AO86" s="182">
        <v>18</v>
      </c>
      <c r="AP86" s="182">
        <v>1208.7272727272734</v>
      </c>
      <c r="AQ86" s="182">
        <v>67.151515151515184</v>
      </c>
      <c r="AR86" s="436">
        <f t="shared" si="24"/>
        <v>24</v>
      </c>
      <c r="AS86" s="605"/>
      <c r="AT86" s="182">
        <v>18</v>
      </c>
      <c r="AU86" s="182">
        <v>1200.0000000000007</v>
      </c>
      <c r="AV86" s="182">
        <v>66.6666666666667</v>
      </c>
      <c r="AW86" s="436">
        <f t="shared" si="25"/>
        <v>20</v>
      </c>
      <c r="AX86" s="605"/>
    </row>
    <row r="87" spans="2:50">
      <c r="B87" s="572"/>
      <c r="C87" s="436">
        <v>11</v>
      </c>
      <c r="D87" s="226" t="s">
        <v>376</v>
      </c>
      <c r="E87" s="182">
        <v>18</v>
      </c>
      <c r="F87" s="436">
        <v>1636</v>
      </c>
      <c r="G87" s="437">
        <v>90.9</v>
      </c>
      <c r="H87" s="609"/>
      <c r="I87" s="446">
        <f t="shared" si="18"/>
        <v>18.714285714285715</v>
      </c>
      <c r="J87" s="446">
        <f t="shared" si="18"/>
        <v>1219.105180174947</v>
      </c>
      <c r="K87" s="438">
        <f t="shared" si="18"/>
        <v>65.158534574691188</v>
      </c>
      <c r="L87" s="541"/>
      <c r="M87" s="445">
        <f>RANK(K87, K$77:$K$106)</f>
        <v>24</v>
      </c>
      <c r="N87" s="559"/>
      <c r="O87" s="559"/>
      <c r="P87" s="182">
        <v>18</v>
      </c>
      <c r="Q87" s="182">
        <v>1205.9999999999995</v>
      </c>
      <c r="R87" s="182">
        <v>66.999999999999972</v>
      </c>
      <c r="S87" s="436">
        <f t="shared" si="19"/>
        <v>21</v>
      </c>
      <c r="T87" s="605"/>
      <c r="U87" s="182">
        <v>19</v>
      </c>
      <c r="V87" s="182">
        <v>1232.3076923076915</v>
      </c>
      <c r="W87" s="182">
        <v>64.858299595141659</v>
      </c>
      <c r="X87" s="436">
        <f t="shared" si="20"/>
        <v>24</v>
      </c>
      <c r="Y87" s="605"/>
      <c r="Z87" s="182">
        <v>19</v>
      </c>
      <c r="AA87" s="182">
        <v>1201.8181818181802</v>
      </c>
      <c r="AB87" s="182">
        <v>63.253588516746326</v>
      </c>
      <c r="AC87" s="436">
        <f t="shared" si="21"/>
        <v>24</v>
      </c>
      <c r="AD87" s="605"/>
      <c r="AE87" s="182">
        <v>19</v>
      </c>
      <c r="AF87" s="182">
        <v>1224.3243243243232</v>
      </c>
      <c r="AG87" s="182">
        <v>64.438122332859123</v>
      </c>
      <c r="AH87" s="436">
        <f t="shared" si="22"/>
        <v>24</v>
      </c>
      <c r="AI87" s="605"/>
      <c r="AJ87" s="182">
        <v>19</v>
      </c>
      <c r="AK87" s="182">
        <v>1254.5454545454529</v>
      </c>
      <c r="AL87" s="182">
        <v>66.028708133971207</v>
      </c>
      <c r="AM87" s="436">
        <f t="shared" si="23"/>
        <v>23</v>
      </c>
      <c r="AN87" s="605"/>
      <c r="AO87" s="182">
        <v>19</v>
      </c>
      <c r="AP87" s="182">
        <v>1238.4615384615377</v>
      </c>
      <c r="AQ87" s="182">
        <v>65.182186234817777</v>
      </c>
      <c r="AR87" s="436">
        <f t="shared" si="24"/>
        <v>25</v>
      </c>
      <c r="AS87" s="605"/>
      <c r="AT87" s="182">
        <v>18</v>
      </c>
      <c r="AU87" s="182">
        <v>1176.2790697674418</v>
      </c>
      <c r="AV87" s="182">
        <v>65.348837209302317</v>
      </c>
      <c r="AW87" s="436">
        <f t="shared" si="25"/>
        <v>24</v>
      </c>
      <c r="AX87" s="605"/>
    </row>
    <row r="88" spans="2:50">
      <c r="B88" s="572"/>
      <c r="C88" s="436">
        <v>12</v>
      </c>
      <c r="D88" s="226" t="s">
        <v>353</v>
      </c>
      <c r="E88" s="182">
        <v>17</v>
      </c>
      <c r="F88" s="436">
        <v>1500</v>
      </c>
      <c r="G88" s="437">
        <v>88.2</v>
      </c>
      <c r="H88" s="609"/>
      <c r="I88" s="446">
        <f t="shared" si="18"/>
        <v>17</v>
      </c>
      <c r="J88" s="446">
        <f t="shared" si="18"/>
        <v>1268.2833133253282</v>
      </c>
      <c r="K88" s="438">
        <f t="shared" si="18"/>
        <v>74.604900783842851</v>
      </c>
      <c r="L88" s="541"/>
      <c r="M88" s="445">
        <f>RANK(K88, K$77:$K$106)</f>
        <v>11</v>
      </c>
      <c r="N88" s="559"/>
      <c r="O88" s="559"/>
      <c r="P88" s="182">
        <v>17</v>
      </c>
      <c r="Q88" s="182">
        <v>1297.0588235294101</v>
      </c>
      <c r="R88" s="182">
        <v>76.297577854671189</v>
      </c>
      <c r="S88" s="436">
        <f t="shared" si="19"/>
        <v>10</v>
      </c>
      <c r="T88" s="605"/>
      <c r="U88" s="182">
        <v>17</v>
      </c>
      <c r="V88" s="182">
        <v>1272.3529411764689</v>
      </c>
      <c r="W88" s="182">
        <v>74.844290657439345</v>
      </c>
      <c r="X88" s="436">
        <f t="shared" si="20"/>
        <v>11</v>
      </c>
      <c r="Y88" s="605"/>
      <c r="Z88" s="182">
        <v>17</v>
      </c>
      <c r="AA88" s="182">
        <v>1272.8571428571402</v>
      </c>
      <c r="AB88" s="182">
        <v>74.873949579831773</v>
      </c>
      <c r="AC88" s="436">
        <f t="shared" si="21"/>
        <v>12</v>
      </c>
      <c r="AD88" s="605"/>
      <c r="AE88" s="182">
        <v>17</v>
      </c>
      <c r="AF88" s="182">
        <v>1285.7142857142844</v>
      </c>
      <c r="AG88" s="182">
        <v>75.630252100840266</v>
      </c>
      <c r="AH88" s="436">
        <f t="shared" si="22"/>
        <v>11</v>
      </c>
      <c r="AI88" s="605"/>
      <c r="AJ88" s="182">
        <v>17</v>
      </c>
      <c r="AK88" s="182">
        <v>1235.2941176470572</v>
      </c>
      <c r="AL88" s="182">
        <v>72.664359861591606</v>
      </c>
      <c r="AM88" s="436">
        <f t="shared" si="23"/>
        <v>14</v>
      </c>
      <c r="AN88" s="605"/>
      <c r="AO88" s="182">
        <v>17</v>
      </c>
      <c r="AP88" s="182">
        <v>1275.8823529411748</v>
      </c>
      <c r="AQ88" s="182">
        <v>75.051903114186757</v>
      </c>
      <c r="AR88" s="436">
        <f t="shared" si="24"/>
        <v>11</v>
      </c>
      <c r="AS88" s="605"/>
      <c r="AT88" s="182">
        <v>17</v>
      </c>
      <c r="AU88" s="182">
        <v>1238.823529411763</v>
      </c>
      <c r="AV88" s="182">
        <v>72.871972318339004</v>
      </c>
      <c r="AW88" s="436">
        <f t="shared" si="25"/>
        <v>12</v>
      </c>
      <c r="AX88" s="605"/>
    </row>
    <row r="89" spans="2:50">
      <c r="B89" s="572"/>
      <c r="C89" s="436">
        <v>13</v>
      </c>
      <c r="D89" s="226" t="s">
        <v>588</v>
      </c>
      <c r="E89" s="182">
        <v>18</v>
      </c>
      <c r="F89" s="436">
        <v>1440</v>
      </c>
      <c r="G89" s="437">
        <v>80</v>
      </c>
      <c r="H89" s="609"/>
      <c r="I89" s="446">
        <f t="shared" si="18"/>
        <v>18.714285714285715</v>
      </c>
      <c r="J89" s="446">
        <f t="shared" si="18"/>
        <v>1330.5087051143157</v>
      </c>
      <c r="K89" s="438">
        <f t="shared" si="18"/>
        <v>71.120895812655064</v>
      </c>
      <c r="L89" s="541"/>
      <c r="M89" s="445">
        <f>RANK(K89, K$77:$K$106)</f>
        <v>16</v>
      </c>
      <c r="N89" s="559"/>
      <c r="O89" s="559"/>
      <c r="P89" s="182">
        <v>18</v>
      </c>
      <c r="Q89" s="182">
        <v>1316.4705882352957</v>
      </c>
      <c r="R89" s="182">
        <v>73.137254901960873</v>
      </c>
      <c r="S89" s="436">
        <f t="shared" si="19"/>
        <v>14</v>
      </c>
      <c r="T89" s="605"/>
      <c r="U89" s="182">
        <v>18</v>
      </c>
      <c r="V89" s="182">
        <v>1302.8571428571443</v>
      </c>
      <c r="W89" s="182">
        <v>72.380952380952465</v>
      </c>
      <c r="X89" s="436">
        <f t="shared" si="20"/>
        <v>14</v>
      </c>
      <c r="Y89" s="605"/>
      <c r="Z89" s="182">
        <v>19</v>
      </c>
      <c r="AA89" s="182">
        <v>1374.3396226415102</v>
      </c>
      <c r="AB89" s="182">
        <v>72.333664349553175</v>
      </c>
      <c r="AC89" s="436">
        <f t="shared" si="21"/>
        <v>16</v>
      </c>
      <c r="AD89" s="605"/>
      <c r="AE89" s="182">
        <v>19</v>
      </c>
      <c r="AF89" s="182">
        <v>1341.2903225806465</v>
      </c>
      <c r="AG89" s="182">
        <v>70.594227504244557</v>
      </c>
      <c r="AH89" s="436">
        <f t="shared" si="22"/>
        <v>16</v>
      </c>
      <c r="AI89" s="605"/>
      <c r="AJ89" s="182">
        <v>19</v>
      </c>
      <c r="AK89" s="182">
        <v>1338.0952380952394</v>
      </c>
      <c r="AL89" s="182">
        <v>70.426065162907335</v>
      </c>
      <c r="AM89" s="436">
        <f t="shared" si="23"/>
        <v>16</v>
      </c>
      <c r="AN89" s="605"/>
      <c r="AO89" s="182">
        <v>19</v>
      </c>
      <c r="AP89" s="182">
        <v>1303.2352941176455</v>
      </c>
      <c r="AQ89" s="182">
        <v>68.591331269349766</v>
      </c>
      <c r="AR89" s="436">
        <f t="shared" si="24"/>
        <v>18</v>
      </c>
      <c r="AS89" s="605"/>
      <c r="AT89" s="182">
        <v>19</v>
      </c>
      <c r="AU89" s="182">
        <v>1337.2727272727286</v>
      </c>
      <c r="AV89" s="182">
        <v>70.382775119617293</v>
      </c>
      <c r="AW89" s="436">
        <f t="shared" si="25"/>
        <v>17</v>
      </c>
      <c r="AX89" s="605"/>
    </row>
    <row r="90" spans="2:50">
      <c r="B90" s="572"/>
      <c r="C90" s="436">
        <v>14</v>
      </c>
      <c r="D90" s="226" t="s">
        <v>381</v>
      </c>
      <c r="E90" s="182">
        <v>15</v>
      </c>
      <c r="F90" s="436">
        <v>1440</v>
      </c>
      <c r="G90" s="437">
        <v>96</v>
      </c>
      <c r="H90" s="609"/>
      <c r="I90" s="446">
        <f t="shared" si="18"/>
        <v>15</v>
      </c>
      <c r="J90" s="446">
        <f t="shared" si="18"/>
        <v>1217.6255483346492</v>
      </c>
      <c r="K90" s="438">
        <f t="shared" si="18"/>
        <v>81.175036555643302</v>
      </c>
      <c r="L90" s="541"/>
      <c r="M90" s="445">
        <f>RANK(K90, K$77:$K$106)</f>
        <v>4</v>
      </c>
      <c r="N90" s="559"/>
      <c r="O90" s="559"/>
      <c r="P90" s="182">
        <v>15</v>
      </c>
      <c r="Q90" s="182">
        <v>1235.7894736842115</v>
      </c>
      <c r="R90" s="182">
        <v>82.38596491228077</v>
      </c>
      <c r="S90" s="436">
        <f t="shared" si="19"/>
        <v>4</v>
      </c>
      <c r="T90" s="605"/>
      <c r="U90" s="182">
        <v>15</v>
      </c>
      <c r="V90" s="182">
        <v>1256.6666666666674</v>
      </c>
      <c r="W90" s="182">
        <v>83.777777777777828</v>
      </c>
      <c r="X90" s="436">
        <f t="shared" si="20"/>
        <v>4</v>
      </c>
      <c r="Y90" s="605"/>
      <c r="Z90" s="182">
        <v>15</v>
      </c>
      <c r="AA90" s="182">
        <v>1226.5384615384623</v>
      </c>
      <c r="AB90" s="182">
        <v>81.769230769230816</v>
      </c>
      <c r="AC90" s="436">
        <f t="shared" si="21"/>
        <v>4</v>
      </c>
      <c r="AD90" s="605"/>
      <c r="AE90" s="182">
        <v>15</v>
      </c>
      <c r="AF90" s="182">
        <v>1210.0000000000007</v>
      </c>
      <c r="AG90" s="182">
        <v>80.666666666666714</v>
      </c>
      <c r="AH90" s="436">
        <f t="shared" si="22"/>
        <v>5</v>
      </c>
      <c r="AI90" s="605"/>
      <c r="AJ90" s="182">
        <v>15</v>
      </c>
      <c r="AK90" s="182">
        <v>1217.1428571428576</v>
      </c>
      <c r="AL90" s="182">
        <v>81.142857142857167</v>
      </c>
      <c r="AM90" s="436">
        <f t="shared" si="23"/>
        <v>5</v>
      </c>
      <c r="AN90" s="605"/>
      <c r="AO90" s="182">
        <v>15</v>
      </c>
      <c r="AP90" s="182">
        <v>1224.8275862068974</v>
      </c>
      <c r="AQ90" s="182">
        <v>81.655172413793167</v>
      </c>
      <c r="AR90" s="436">
        <f t="shared" si="24"/>
        <v>4</v>
      </c>
      <c r="AS90" s="605"/>
      <c r="AT90" s="182">
        <v>15</v>
      </c>
      <c r="AU90" s="182">
        <v>1152.4137931034493</v>
      </c>
      <c r="AV90" s="182">
        <v>76.827586206896612</v>
      </c>
      <c r="AW90" s="436">
        <f t="shared" si="25"/>
        <v>7</v>
      </c>
      <c r="AX90" s="605"/>
    </row>
    <row r="91" spans="2:50">
      <c r="B91" s="572"/>
      <c r="C91" s="436">
        <v>15</v>
      </c>
      <c r="D91" s="226" t="s">
        <v>342</v>
      </c>
      <c r="E91" s="182">
        <v>17</v>
      </c>
      <c r="F91" s="436">
        <v>1440</v>
      </c>
      <c r="G91" s="437">
        <v>84.7</v>
      </c>
      <c r="H91" s="609"/>
      <c r="I91" s="446">
        <f t="shared" si="18"/>
        <v>16</v>
      </c>
      <c r="J91" s="446">
        <f t="shared" si="18"/>
        <v>1274.0738044716547</v>
      </c>
      <c r="K91" s="438">
        <f t="shared" si="18"/>
        <v>79.629612779478421</v>
      </c>
      <c r="L91" s="541"/>
      <c r="M91" s="445">
        <f>RANK(K91, K$77:$K$106)</f>
        <v>6</v>
      </c>
      <c r="N91" s="559"/>
      <c r="O91" s="559"/>
      <c r="P91" s="182">
        <v>16</v>
      </c>
      <c r="Q91" s="182">
        <v>1269.2857142857138</v>
      </c>
      <c r="R91" s="182">
        <v>79.33035714285711</v>
      </c>
      <c r="S91" s="436">
        <f t="shared" si="19"/>
        <v>7</v>
      </c>
      <c r="T91" s="605"/>
      <c r="U91" s="182">
        <v>16</v>
      </c>
      <c r="V91" s="182">
        <v>1250.1265822784803</v>
      </c>
      <c r="W91" s="182">
        <v>78.13291139240502</v>
      </c>
      <c r="X91" s="436">
        <f t="shared" si="20"/>
        <v>6</v>
      </c>
      <c r="Y91" s="605"/>
      <c r="Z91" s="182">
        <v>16</v>
      </c>
      <c r="AA91" s="182">
        <v>1266.0869565217379</v>
      </c>
      <c r="AB91" s="182">
        <v>79.130434782608617</v>
      </c>
      <c r="AC91" s="436">
        <f t="shared" si="21"/>
        <v>6</v>
      </c>
      <c r="AD91" s="605"/>
      <c r="AE91" s="182">
        <v>16</v>
      </c>
      <c r="AF91" s="182">
        <v>1265.1428571428557</v>
      </c>
      <c r="AG91" s="182">
        <v>79.071428571428484</v>
      </c>
      <c r="AH91" s="436">
        <f t="shared" si="22"/>
        <v>6</v>
      </c>
      <c r="AI91" s="605"/>
      <c r="AJ91" s="182">
        <v>16</v>
      </c>
      <c r="AK91" s="182">
        <v>1310.2499999999995</v>
      </c>
      <c r="AL91" s="182">
        <v>81.890624999999972</v>
      </c>
      <c r="AM91" s="436">
        <f t="shared" si="23"/>
        <v>4</v>
      </c>
      <c r="AN91" s="605"/>
      <c r="AO91" s="182">
        <v>16</v>
      </c>
      <c r="AP91" s="182">
        <v>1295.555555555555</v>
      </c>
      <c r="AQ91" s="182">
        <v>80.972222222222186</v>
      </c>
      <c r="AR91" s="436">
        <f t="shared" si="24"/>
        <v>5</v>
      </c>
      <c r="AS91" s="605"/>
      <c r="AT91" s="182">
        <v>16</v>
      </c>
      <c r="AU91" s="182">
        <v>1262.0689655172412</v>
      </c>
      <c r="AV91" s="182">
        <v>78.879310344827573</v>
      </c>
      <c r="AW91" s="436">
        <f t="shared" si="25"/>
        <v>5</v>
      </c>
      <c r="AX91" s="605"/>
    </row>
    <row r="92" spans="2:50">
      <c r="B92" s="572"/>
      <c r="C92" s="436">
        <v>16</v>
      </c>
      <c r="D92" s="226" t="s">
        <v>375</v>
      </c>
      <c r="E92" s="182">
        <v>18</v>
      </c>
      <c r="F92" s="436">
        <v>1440</v>
      </c>
      <c r="G92" s="437">
        <v>80</v>
      </c>
      <c r="H92" s="609"/>
      <c r="I92" s="446">
        <f t="shared" si="18"/>
        <v>17</v>
      </c>
      <c r="J92" s="446">
        <f t="shared" si="18"/>
        <v>1242.3997040817922</v>
      </c>
      <c r="K92" s="438">
        <f t="shared" si="18"/>
        <v>73.082335534223063</v>
      </c>
      <c r="L92" s="541"/>
      <c r="M92" s="445">
        <f>RANK(K92, K$77:$K$106)</f>
        <v>13</v>
      </c>
      <c r="N92" s="559"/>
      <c r="O92" s="559"/>
      <c r="P92" s="182">
        <v>17</v>
      </c>
      <c r="Q92" s="182">
        <v>1252.0754716981103</v>
      </c>
      <c r="R92" s="182">
        <v>73.651498335182964</v>
      </c>
      <c r="S92" s="436">
        <f t="shared" si="19"/>
        <v>12</v>
      </c>
      <c r="T92" s="605"/>
      <c r="U92" s="182">
        <v>17</v>
      </c>
      <c r="V92" s="182">
        <v>1220.0000000000005</v>
      </c>
      <c r="W92" s="182">
        <v>71.76470588235297</v>
      </c>
      <c r="X92" s="436">
        <f t="shared" si="20"/>
        <v>15</v>
      </c>
      <c r="Y92" s="605"/>
      <c r="Z92" s="182">
        <v>17</v>
      </c>
      <c r="AA92" s="182">
        <v>1261.4285714285711</v>
      </c>
      <c r="AB92" s="182">
        <v>74.201680672268893</v>
      </c>
      <c r="AC92" s="436">
        <f t="shared" si="21"/>
        <v>13</v>
      </c>
      <c r="AD92" s="605"/>
      <c r="AE92" s="182">
        <v>17</v>
      </c>
      <c r="AF92" s="182">
        <v>1228.1632653061229</v>
      </c>
      <c r="AG92" s="182">
        <v>72.244897959183703</v>
      </c>
      <c r="AH92" s="436">
        <f t="shared" si="22"/>
        <v>13</v>
      </c>
      <c r="AI92" s="605"/>
      <c r="AJ92" s="182">
        <v>17</v>
      </c>
      <c r="AK92" s="182">
        <v>1251.0638297872342</v>
      </c>
      <c r="AL92" s="182">
        <v>73.591989987484368</v>
      </c>
      <c r="AM92" s="436">
        <f t="shared" si="23"/>
        <v>13</v>
      </c>
      <c r="AN92" s="605"/>
      <c r="AO92" s="182">
        <v>17</v>
      </c>
      <c r="AP92" s="182">
        <v>1193.4545454545428</v>
      </c>
      <c r="AQ92" s="182">
        <v>70.203208556149576</v>
      </c>
      <c r="AR92" s="436">
        <f t="shared" si="24"/>
        <v>15</v>
      </c>
      <c r="AS92" s="605"/>
      <c r="AT92" s="182">
        <v>17</v>
      </c>
      <c r="AU92" s="182">
        <v>1290.6122448979638</v>
      </c>
      <c r="AV92" s="182">
        <v>75.91836734693905</v>
      </c>
      <c r="AW92" s="436">
        <f t="shared" si="25"/>
        <v>9</v>
      </c>
      <c r="AX92" s="605"/>
    </row>
    <row r="93" spans="2:50">
      <c r="B93" s="572"/>
      <c r="C93" s="436">
        <v>17</v>
      </c>
      <c r="D93" s="226" t="s">
        <v>382</v>
      </c>
      <c r="E93" s="182">
        <v>18</v>
      </c>
      <c r="F93" s="436">
        <v>1500</v>
      </c>
      <c r="G93" s="437">
        <v>83.3</v>
      </c>
      <c r="H93" s="609"/>
      <c r="I93" s="446">
        <f t="shared" si="18"/>
        <v>18</v>
      </c>
      <c r="J93" s="446">
        <f t="shared" si="18"/>
        <v>1220.2485687879896</v>
      </c>
      <c r="K93" s="438">
        <f t="shared" si="18"/>
        <v>67.791587154888319</v>
      </c>
      <c r="L93" s="541"/>
      <c r="M93" s="445">
        <f>RANK(K93, K$77:$K$106)</f>
        <v>21</v>
      </c>
      <c r="N93" s="559"/>
      <c r="O93" s="559"/>
      <c r="P93" s="182">
        <v>18</v>
      </c>
      <c r="Q93" s="182">
        <v>1239.512195121951</v>
      </c>
      <c r="R93" s="182">
        <v>68.861788617886162</v>
      </c>
      <c r="S93" s="436">
        <f t="shared" si="19"/>
        <v>19</v>
      </c>
      <c r="T93" s="605"/>
      <c r="U93" s="182">
        <v>18</v>
      </c>
      <c r="V93" s="182">
        <v>1209.7674418604647</v>
      </c>
      <c r="W93" s="182">
        <v>67.209302325581376</v>
      </c>
      <c r="X93" s="436">
        <f t="shared" si="20"/>
        <v>20</v>
      </c>
      <c r="Y93" s="605"/>
      <c r="Z93" s="182">
        <v>18</v>
      </c>
      <c r="AA93" s="182">
        <v>1193.8461538461531</v>
      </c>
      <c r="AB93" s="182">
        <v>66.324786324786288</v>
      </c>
      <c r="AC93" s="436">
        <f t="shared" si="21"/>
        <v>22</v>
      </c>
      <c r="AD93" s="605"/>
      <c r="AE93" s="182">
        <v>18</v>
      </c>
      <c r="AF93" s="182">
        <v>1221.9512195121947</v>
      </c>
      <c r="AG93" s="182">
        <v>67.886178861788594</v>
      </c>
      <c r="AH93" s="436">
        <f t="shared" si="22"/>
        <v>21</v>
      </c>
      <c r="AI93" s="605"/>
      <c r="AJ93" s="182">
        <v>18</v>
      </c>
      <c r="AK93" s="182">
        <v>1259.9999999999993</v>
      </c>
      <c r="AL93" s="182">
        <v>69.999999999999957</v>
      </c>
      <c r="AM93" s="436">
        <f t="shared" si="23"/>
        <v>18</v>
      </c>
      <c r="AN93" s="605"/>
      <c r="AO93" s="182">
        <v>18</v>
      </c>
      <c r="AP93" s="182">
        <v>1212.2727272727273</v>
      </c>
      <c r="AQ93" s="182">
        <v>67.348484848484844</v>
      </c>
      <c r="AR93" s="436">
        <f t="shared" si="24"/>
        <v>22</v>
      </c>
      <c r="AS93" s="605"/>
      <c r="AT93" s="182">
        <v>18</v>
      </c>
      <c r="AU93" s="182">
        <v>1204.3902439024387</v>
      </c>
      <c r="AV93" s="182">
        <v>66.910569105691039</v>
      </c>
      <c r="AW93" s="436">
        <f t="shared" si="25"/>
        <v>19</v>
      </c>
      <c r="AX93" s="605"/>
    </row>
    <row r="94" spans="2:50">
      <c r="B94" s="572"/>
      <c r="C94" s="436">
        <v>18</v>
      </c>
      <c r="D94" s="226" t="s">
        <v>453</v>
      </c>
      <c r="E94" s="182">
        <v>17</v>
      </c>
      <c r="F94" s="436">
        <v>1440</v>
      </c>
      <c r="G94" s="437">
        <v>84.7</v>
      </c>
      <c r="H94" s="609"/>
      <c r="I94" s="446">
        <f t="shared" si="18"/>
        <v>17</v>
      </c>
      <c r="J94" s="446">
        <f t="shared" si="18"/>
        <v>1092.1628557777599</v>
      </c>
      <c r="K94" s="438">
        <f t="shared" si="18"/>
        <v>64.244873869279999</v>
      </c>
      <c r="L94" s="541"/>
      <c r="M94" s="445">
        <f>RANK(K94, K$77:$K$106)</f>
        <v>25</v>
      </c>
      <c r="N94" s="559"/>
      <c r="O94" s="559"/>
      <c r="P94" s="182">
        <v>17</v>
      </c>
      <c r="Q94" s="182">
        <v>1038.4615384615358</v>
      </c>
      <c r="R94" s="182">
        <v>61.08597285067858</v>
      </c>
      <c r="S94" s="436">
        <f t="shared" si="19"/>
        <v>26</v>
      </c>
      <c r="T94" s="605"/>
      <c r="U94" s="182">
        <v>17</v>
      </c>
      <c r="V94" s="182">
        <v>1049.9999999999968</v>
      </c>
      <c r="W94" s="182">
        <v>61.764705882352757</v>
      </c>
      <c r="X94" s="436">
        <f t="shared" si="20"/>
        <v>25</v>
      </c>
      <c r="Y94" s="605"/>
      <c r="Z94" s="182">
        <v>17</v>
      </c>
      <c r="AA94" s="182">
        <v>1048.5714285714323</v>
      </c>
      <c r="AB94" s="182">
        <v>61.680672268907784</v>
      </c>
      <c r="AC94" s="436">
        <f t="shared" si="21"/>
        <v>25</v>
      </c>
      <c r="AD94" s="605"/>
      <c r="AE94" s="182">
        <v>17</v>
      </c>
      <c r="AF94" s="182">
        <v>1033.8461538461513</v>
      </c>
      <c r="AG94" s="182">
        <v>60.814479638008898</v>
      </c>
      <c r="AH94" s="436">
        <f t="shared" si="22"/>
        <v>25</v>
      </c>
      <c r="AI94" s="605"/>
      <c r="AJ94" s="182">
        <v>17</v>
      </c>
      <c r="AK94" s="182">
        <v>1074.0000000000036</v>
      </c>
      <c r="AL94" s="182">
        <v>63.17647058823551</v>
      </c>
      <c r="AM94" s="436">
        <f t="shared" si="23"/>
        <v>25</v>
      </c>
      <c r="AN94" s="605"/>
      <c r="AO94" s="182">
        <v>17</v>
      </c>
      <c r="AP94" s="182">
        <v>1158.2608695652054</v>
      </c>
      <c r="AQ94" s="182">
        <v>68.132992327365031</v>
      </c>
      <c r="AR94" s="436">
        <f t="shared" si="24"/>
        <v>19</v>
      </c>
      <c r="AS94" s="605"/>
      <c r="AT94" s="182">
        <v>17</v>
      </c>
      <c r="AU94" s="182">
        <v>1241.9999999999943</v>
      </c>
      <c r="AV94" s="182">
        <v>73.058823529411427</v>
      </c>
      <c r="AW94" s="436">
        <f t="shared" si="25"/>
        <v>11</v>
      </c>
      <c r="AX94" s="605"/>
    </row>
    <row r="95" spans="2:50">
      <c r="B95" s="572"/>
      <c r="C95" s="436">
        <v>19</v>
      </c>
      <c r="D95" s="226" t="s">
        <v>498</v>
      </c>
      <c r="E95" s="182">
        <v>18</v>
      </c>
      <c r="F95" s="436">
        <v>1385</v>
      </c>
      <c r="G95" s="437">
        <v>76.900000000000006</v>
      </c>
      <c r="H95" s="609"/>
      <c r="I95" s="446">
        <f t="shared" si="18"/>
        <v>17</v>
      </c>
      <c r="J95" s="446">
        <f t="shared" si="18"/>
        <v>1129.956688445083</v>
      </c>
      <c r="K95" s="438">
        <f t="shared" si="18"/>
        <v>66.468040496769589</v>
      </c>
      <c r="L95" s="541"/>
      <c r="M95" s="445">
        <f>RANK(K95, K$77:$K$106)</f>
        <v>22</v>
      </c>
      <c r="N95" s="559"/>
      <c r="O95" s="559"/>
      <c r="P95" s="182">
        <v>17</v>
      </c>
      <c r="Q95" s="182">
        <v>1120.8000000000004</v>
      </c>
      <c r="R95" s="182">
        <v>65.929411764705904</v>
      </c>
      <c r="S95" s="436">
        <f t="shared" si="19"/>
        <v>23</v>
      </c>
      <c r="T95" s="605"/>
      <c r="U95" s="182">
        <v>17</v>
      </c>
      <c r="V95" s="182">
        <v>1127.4418604651162</v>
      </c>
      <c r="W95" s="182">
        <v>66.320109439124479</v>
      </c>
      <c r="X95" s="436">
        <f t="shared" si="20"/>
        <v>22</v>
      </c>
      <c r="Y95" s="605"/>
      <c r="Z95" s="182">
        <v>17</v>
      </c>
      <c r="AA95" s="182">
        <v>1154.9999999999991</v>
      </c>
      <c r="AB95" s="182">
        <v>67.941176470588175</v>
      </c>
      <c r="AC95" s="436">
        <f t="shared" si="21"/>
        <v>19</v>
      </c>
      <c r="AD95" s="605"/>
      <c r="AE95" s="182">
        <v>17</v>
      </c>
      <c r="AF95" s="182">
        <v>1138.421052631578</v>
      </c>
      <c r="AG95" s="182">
        <v>66.965944272445768</v>
      </c>
      <c r="AH95" s="436">
        <f t="shared" si="22"/>
        <v>23</v>
      </c>
      <c r="AI95" s="605"/>
      <c r="AJ95" s="182">
        <v>17</v>
      </c>
      <c r="AK95" s="182">
        <v>1142.7272727272727</v>
      </c>
      <c r="AL95" s="182">
        <v>67.219251336898395</v>
      </c>
      <c r="AM95" s="436">
        <f t="shared" si="23"/>
        <v>22</v>
      </c>
      <c r="AN95" s="605"/>
      <c r="AO95" s="182">
        <v>17</v>
      </c>
      <c r="AP95" s="182">
        <v>1147.6595744680851</v>
      </c>
      <c r="AQ95" s="182">
        <v>67.509386733416775</v>
      </c>
      <c r="AR95" s="436">
        <f t="shared" si="24"/>
        <v>21</v>
      </c>
      <c r="AS95" s="605"/>
      <c r="AT95" s="182">
        <v>17</v>
      </c>
      <c r="AU95" s="182">
        <v>1077.6470588235297</v>
      </c>
      <c r="AV95" s="182">
        <v>63.391003460207628</v>
      </c>
      <c r="AW95" s="436">
        <f t="shared" si="25"/>
        <v>25</v>
      </c>
      <c r="AX95" s="605"/>
    </row>
    <row r="96" spans="2:50">
      <c r="B96" s="572"/>
      <c r="C96" s="436">
        <v>20</v>
      </c>
      <c r="D96" s="226" t="s">
        <v>563</v>
      </c>
      <c r="E96" s="182">
        <v>18</v>
      </c>
      <c r="F96" s="436">
        <v>1440</v>
      </c>
      <c r="G96" s="437">
        <v>80</v>
      </c>
      <c r="H96" s="609"/>
      <c r="I96" s="446">
        <f t="shared" si="18"/>
        <v>18</v>
      </c>
      <c r="J96" s="446">
        <f t="shared" si="18"/>
        <v>1225.9188744374544</v>
      </c>
      <c r="K96" s="438">
        <f t="shared" si="18"/>
        <v>68.10660413541413</v>
      </c>
      <c r="L96" s="541"/>
      <c r="M96" s="445">
        <f>RANK(K96, K$77:$K$106)</f>
        <v>19</v>
      </c>
      <c r="N96" s="559"/>
      <c r="O96" s="559"/>
      <c r="P96" s="182">
        <v>18</v>
      </c>
      <c r="Q96" s="182">
        <v>1220.4000000000003</v>
      </c>
      <c r="R96" s="182">
        <v>67.800000000000011</v>
      </c>
      <c r="S96" s="436">
        <f t="shared" si="19"/>
        <v>20</v>
      </c>
      <c r="T96" s="605"/>
      <c r="U96" s="182">
        <v>18</v>
      </c>
      <c r="V96" s="182">
        <v>1220.4255319148938</v>
      </c>
      <c r="W96" s="182">
        <v>67.801418439716315</v>
      </c>
      <c r="X96" s="436">
        <f t="shared" si="20"/>
        <v>19</v>
      </c>
      <c r="Y96" s="605"/>
      <c r="Z96" s="182">
        <v>18</v>
      </c>
      <c r="AA96" s="182">
        <v>1223.9999999999995</v>
      </c>
      <c r="AB96" s="182">
        <v>67.999999999999972</v>
      </c>
      <c r="AC96" s="436">
        <f t="shared" si="21"/>
        <v>18</v>
      </c>
      <c r="AD96" s="605"/>
      <c r="AE96" s="182">
        <v>18</v>
      </c>
      <c r="AF96" s="182">
        <v>1253.0232558139533</v>
      </c>
      <c r="AG96" s="182">
        <v>69.612403100775182</v>
      </c>
      <c r="AH96" s="436">
        <f t="shared" si="22"/>
        <v>19</v>
      </c>
      <c r="AI96" s="605"/>
      <c r="AJ96" s="182">
        <v>18</v>
      </c>
      <c r="AK96" s="182">
        <v>1246.4999999999995</v>
      </c>
      <c r="AL96" s="182">
        <v>69.249999999999972</v>
      </c>
      <c r="AM96" s="436">
        <f t="shared" si="23"/>
        <v>19</v>
      </c>
      <c r="AN96" s="605"/>
      <c r="AO96" s="182">
        <v>18</v>
      </c>
      <c r="AP96" s="182">
        <v>1223.7500000000005</v>
      </c>
      <c r="AQ96" s="182">
        <v>67.986111111111143</v>
      </c>
      <c r="AR96" s="436">
        <f t="shared" si="24"/>
        <v>20</v>
      </c>
      <c r="AS96" s="605"/>
      <c r="AT96" s="182">
        <v>18</v>
      </c>
      <c r="AU96" s="182">
        <v>1193.3333333333333</v>
      </c>
      <c r="AV96" s="182">
        <v>66.296296296296291</v>
      </c>
      <c r="AW96" s="436">
        <f t="shared" si="25"/>
        <v>21</v>
      </c>
      <c r="AX96" s="605"/>
    </row>
    <row r="97" spans="2:50">
      <c r="B97" s="572"/>
      <c r="C97" s="436">
        <v>21</v>
      </c>
      <c r="D97" s="226" t="s">
        <v>589</v>
      </c>
      <c r="E97" s="182">
        <v>15</v>
      </c>
      <c r="F97" s="436">
        <v>1500</v>
      </c>
      <c r="G97" s="437">
        <v>100</v>
      </c>
      <c r="H97" s="609"/>
      <c r="I97" s="446">
        <f t="shared" si="18"/>
        <v>16</v>
      </c>
      <c r="J97" s="446">
        <f t="shared" si="18"/>
        <v>1223.2175375146724</v>
      </c>
      <c r="K97" s="438">
        <f t="shared" si="18"/>
        <v>76.451096094667022</v>
      </c>
      <c r="L97" s="541"/>
      <c r="M97" s="445">
        <f>RANK(K97, K$77:$K$106)</f>
        <v>9</v>
      </c>
      <c r="N97" s="559"/>
      <c r="O97" s="559"/>
      <c r="P97" s="182">
        <v>16</v>
      </c>
      <c r="Q97" s="182">
        <v>1251.6455696202527</v>
      </c>
      <c r="R97" s="182">
        <v>78.227848101265792</v>
      </c>
      <c r="S97" s="436">
        <f t="shared" si="19"/>
        <v>8</v>
      </c>
      <c r="T97" s="605"/>
      <c r="U97" s="182">
        <v>16</v>
      </c>
      <c r="V97" s="182">
        <v>1229.142857142856</v>
      </c>
      <c r="W97" s="182">
        <v>76.821428571428498</v>
      </c>
      <c r="X97" s="436">
        <f t="shared" si="20"/>
        <v>8</v>
      </c>
      <c r="Y97" s="605"/>
      <c r="Z97" s="182">
        <v>16</v>
      </c>
      <c r="AA97" s="182">
        <v>1221.0000000000011</v>
      </c>
      <c r="AB97" s="182">
        <v>76.312500000000071</v>
      </c>
      <c r="AC97" s="436">
        <f t="shared" si="21"/>
        <v>9</v>
      </c>
      <c r="AD97" s="605"/>
      <c r="AE97" s="182">
        <v>16</v>
      </c>
      <c r="AF97" s="182">
        <v>1224.8571428571415</v>
      </c>
      <c r="AG97" s="182">
        <v>76.553571428571345</v>
      </c>
      <c r="AH97" s="436">
        <f t="shared" si="22"/>
        <v>10</v>
      </c>
      <c r="AI97" s="605"/>
      <c r="AJ97" s="182">
        <v>16</v>
      </c>
      <c r="AK97" s="182">
        <v>1237.5000000000014</v>
      </c>
      <c r="AL97" s="182">
        <v>77.343750000000085</v>
      </c>
      <c r="AM97" s="436">
        <f t="shared" si="23"/>
        <v>9</v>
      </c>
      <c r="AN97" s="605"/>
      <c r="AO97" s="182">
        <v>16</v>
      </c>
      <c r="AP97" s="182">
        <v>1229.1666666666658</v>
      </c>
      <c r="AQ97" s="182">
        <v>76.822916666666615</v>
      </c>
      <c r="AR97" s="436">
        <f t="shared" si="24"/>
        <v>9</v>
      </c>
      <c r="AS97" s="605"/>
      <c r="AT97" s="182">
        <v>16</v>
      </c>
      <c r="AU97" s="182">
        <v>1169.2105263157887</v>
      </c>
      <c r="AV97" s="182">
        <v>73.075657894736793</v>
      </c>
      <c r="AW97" s="436">
        <f t="shared" si="25"/>
        <v>10</v>
      </c>
      <c r="AX97" s="605"/>
    </row>
    <row r="98" spans="2:50">
      <c r="B98" s="572"/>
      <c r="C98" s="436">
        <v>22</v>
      </c>
      <c r="D98" s="226" t="s">
        <v>601</v>
      </c>
      <c r="E98" s="182">
        <v>16</v>
      </c>
      <c r="F98" s="436">
        <v>1500</v>
      </c>
      <c r="G98" s="437">
        <v>93.8</v>
      </c>
      <c r="H98" s="609"/>
      <c r="I98" s="446">
        <f t="shared" si="18"/>
        <v>16</v>
      </c>
      <c r="J98" s="446">
        <f t="shared" si="18"/>
        <v>1202.153812501989</v>
      </c>
      <c r="K98" s="438">
        <f t="shared" si="18"/>
        <v>75.134613281374314</v>
      </c>
      <c r="L98" s="541"/>
      <c r="M98" s="445">
        <f>RANK(K98, K$77:$K$106)</f>
        <v>10</v>
      </c>
      <c r="N98" s="559"/>
      <c r="O98" s="559"/>
      <c r="P98" s="182">
        <v>16</v>
      </c>
      <c r="Q98" s="182">
        <v>1045.263157894736</v>
      </c>
      <c r="R98" s="182">
        <v>65.328947368420998</v>
      </c>
      <c r="S98" s="436">
        <f t="shared" si="19"/>
        <v>24</v>
      </c>
      <c r="T98" s="605"/>
      <c r="U98" s="182">
        <v>16</v>
      </c>
      <c r="V98" s="182">
        <v>1066.6666666666658</v>
      </c>
      <c r="W98" s="182">
        <v>66.666666666666615</v>
      </c>
      <c r="X98" s="436">
        <f t="shared" si="20"/>
        <v>21</v>
      </c>
      <c r="Y98" s="605"/>
      <c r="Z98" s="182">
        <v>16</v>
      </c>
      <c r="AA98" s="182">
        <v>1250.4000000000003</v>
      </c>
      <c r="AB98" s="182">
        <v>78.15000000000002</v>
      </c>
      <c r="AC98" s="436">
        <f t="shared" si="21"/>
        <v>8</v>
      </c>
      <c r="AD98" s="605"/>
      <c r="AE98" s="182">
        <v>16</v>
      </c>
      <c r="AF98" s="182">
        <v>1253.6842105263147</v>
      </c>
      <c r="AG98" s="182">
        <v>78.355263157894669</v>
      </c>
      <c r="AH98" s="436">
        <f t="shared" si="22"/>
        <v>8</v>
      </c>
      <c r="AI98" s="605"/>
      <c r="AJ98" s="182">
        <v>16</v>
      </c>
      <c r="AK98" s="182">
        <v>1295.2173913043478</v>
      </c>
      <c r="AL98" s="182">
        <v>80.951086956521735</v>
      </c>
      <c r="AM98" s="436">
        <f t="shared" si="23"/>
        <v>7</v>
      </c>
      <c r="AN98" s="605"/>
      <c r="AO98" s="182">
        <v>16</v>
      </c>
      <c r="AP98" s="182">
        <v>1268.936170212766</v>
      </c>
      <c r="AQ98" s="182">
        <v>79.308510638297875</v>
      </c>
      <c r="AR98" s="436">
        <f t="shared" si="24"/>
        <v>8</v>
      </c>
      <c r="AS98" s="605"/>
      <c r="AT98" s="182">
        <v>16</v>
      </c>
      <c r="AU98" s="182">
        <v>1234.9090909090917</v>
      </c>
      <c r="AV98" s="182">
        <v>77.18181818181823</v>
      </c>
      <c r="AW98" s="436">
        <f t="shared" si="25"/>
        <v>6</v>
      </c>
      <c r="AX98" s="605"/>
    </row>
    <row r="99" spans="2:50">
      <c r="B99" s="572"/>
      <c r="C99" s="436">
        <v>23</v>
      </c>
      <c r="D99" s="226" t="s">
        <v>602</v>
      </c>
      <c r="E99" s="182">
        <v>20</v>
      </c>
      <c r="F99" s="436">
        <v>1500</v>
      </c>
      <c r="G99" s="437">
        <v>75</v>
      </c>
      <c r="H99" s="609"/>
      <c r="I99" s="446">
        <f t="shared" si="18"/>
        <v>20</v>
      </c>
      <c r="J99" s="446">
        <f t="shared" si="18"/>
        <v>1092.2452494426493</v>
      </c>
      <c r="K99" s="438">
        <f t="shared" si="18"/>
        <v>54.612262472132464</v>
      </c>
      <c r="L99" s="541"/>
      <c r="M99" s="445">
        <f>RANK(K99, K$77:$K$106)</f>
        <v>28</v>
      </c>
      <c r="N99" s="559"/>
      <c r="O99" s="559"/>
      <c r="P99" s="182">
        <v>20</v>
      </c>
      <c r="Q99" s="182">
        <v>1107.9452054794513</v>
      </c>
      <c r="R99" s="182">
        <v>55.397260273972563</v>
      </c>
      <c r="S99" s="436">
        <f t="shared" si="19"/>
        <v>27</v>
      </c>
      <c r="T99" s="605"/>
      <c r="U99" s="182">
        <v>20</v>
      </c>
      <c r="V99" s="182">
        <v>1070.7692307692319</v>
      </c>
      <c r="W99" s="182">
        <v>53.53846153846159</v>
      </c>
      <c r="X99" s="436">
        <f t="shared" si="20"/>
        <v>28</v>
      </c>
      <c r="Y99" s="605"/>
      <c r="Z99" s="182">
        <v>20</v>
      </c>
      <c r="AA99" s="182">
        <v>1086.3157894736851</v>
      </c>
      <c r="AB99" s="182">
        <v>54.315789473684255</v>
      </c>
      <c r="AC99" s="436">
        <f t="shared" si="21"/>
        <v>28</v>
      </c>
      <c r="AD99" s="605"/>
      <c r="AE99" s="182">
        <v>20</v>
      </c>
      <c r="AF99" s="182">
        <v>1107.0000000000009</v>
      </c>
      <c r="AG99" s="182">
        <v>55.350000000000044</v>
      </c>
      <c r="AH99" s="436">
        <f t="shared" si="22"/>
        <v>27</v>
      </c>
      <c r="AI99" s="605"/>
      <c r="AJ99" s="182">
        <v>20</v>
      </c>
      <c r="AK99" s="182">
        <v>1092.4137931034493</v>
      </c>
      <c r="AL99" s="182">
        <v>54.620689655172463</v>
      </c>
      <c r="AM99" s="436">
        <f t="shared" si="23"/>
        <v>27</v>
      </c>
      <c r="AN99" s="605"/>
      <c r="AO99" s="182">
        <v>20</v>
      </c>
      <c r="AP99" s="182">
        <v>1103.9999999999989</v>
      </c>
      <c r="AQ99" s="182">
        <v>55.199999999999946</v>
      </c>
      <c r="AR99" s="436">
        <f t="shared" si="24"/>
        <v>28</v>
      </c>
      <c r="AS99" s="605"/>
      <c r="AT99" s="182">
        <v>20</v>
      </c>
      <c r="AU99" s="182">
        <v>1077.2727272727284</v>
      </c>
      <c r="AV99" s="182">
        <v>53.863636363636417</v>
      </c>
      <c r="AW99" s="436">
        <f t="shared" si="25"/>
        <v>28</v>
      </c>
      <c r="AX99" s="605"/>
    </row>
    <row r="100" spans="2:50">
      <c r="B100" s="572"/>
      <c r="C100" s="436">
        <v>24</v>
      </c>
      <c r="D100" s="226" t="s">
        <v>659</v>
      </c>
      <c r="E100" s="182">
        <v>17</v>
      </c>
      <c r="F100" s="436">
        <v>1440</v>
      </c>
      <c r="G100" s="437">
        <v>84.7</v>
      </c>
      <c r="H100" s="609"/>
      <c r="I100" s="446">
        <f t="shared" ref="I100:K104" si="26">AVERAGE(P100,U100,Z100,AE100,AJ100,AO100,AT100)</f>
        <v>17</v>
      </c>
      <c r="J100" s="446">
        <f t="shared" si="26"/>
        <v>1226.7584301350762</v>
      </c>
      <c r="K100" s="438">
        <f t="shared" si="26"/>
        <v>72.162260596180957</v>
      </c>
      <c r="L100" s="541"/>
      <c r="M100" s="445">
        <f>RANK(K100, K$77:$K$106)</f>
        <v>15</v>
      </c>
      <c r="N100" s="559"/>
      <c r="O100" s="559"/>
      <c r="P100" s="436">
        <v>17</v>
      </c>
      <c r="Q100" s="437">
        <v>1211.8604651162789</v>
      </c>
      <c r="R100" s="437">
        <v>71.285909712722287</v>
      </c>
      <c r="S100" s="436">
        <f t="shared" si="19"/>
        <v>15</v>
      </c>
      <c r="T100" s="605"/>
      <c r="U100" s="436">
        <v>17</v>
      </c>
      <c r="V100" s="437">
        <v>1230.8108108108099</v>
      </c>
      <c r="W100" s="437">
        <v>72.400635930047642</v>
      </c>
      <c r="X100" s="436">
        <f t="shared" si="20"/>
        <v>13</v>
      </c>
      <c r="Y100" s="605"/>
      <c r="Z100" s="436">
        <v>17</v>
      </c>
      <c r="AA100" s="437">
        <v>1251.2903225806463</v>
      </c>
      <c r="AB100" s="437">
        <v>73.605313092979188</v>
      </c>
      <c r="AC100" s="436">
        <f t="shared" si="21"/>
        <v>14</v>
      </c>
      <c r="AD100" s="605"/>
      <c r="AE100" s="436">
        <v>17</v>
      </c>
      <c r="AF100" s="437">
        <v>1226.5714285714273</v>
      </c>
      <c r="AG100" s="437">
        <v>72.151260504201602</v>
      </c>
      <c r="AH100" s="436">
        <f t="shared" si="22"/>
        <v>14</v>
      </c>
      <c r="AI100" s="605"/>
      <c r="AJ100" s="436">
        <v>17</v>
      </c>
      <c r="AK100" s="437">
        <v>1257.4647887323931</v>
      </c>
      <c r="AL100" s="437">
        <v>73.968516984258414</v>
      </c>
      <c r="AM100" s="436">
        <f t="shared" si="23"/>
        <v>12</v>
      </c>
      <c r="AN100" s="605"/>
      <c r="AO100" s="436">
        <v>17</v>
      </c>
      <c r="AP100" s="437">
        <v>1201.5189873417714</v>
      </c>
      <c r="AQ100" s="437">
        <v>70.677587490692432</v>
      </c>
      <c r="AR100" s="436">
        <f t="shared" si="24"/>
        <v>14</v>
      </c>
      <c r="AS100" s="605"/>
      <c r="AT100" s="436">
        <v>17</v>
      </c>
      <c r="AU100" s="437">
        <v>1207.7922077922071</v>
      </c>
      <c r="AV100" s="437">
        <v>71.04660045836512</v>
      </c>
      <c r="AW100" s="436">
        <f t="shared" si="25"/>
        <v>14</v>
      </c>
      <c r="AX100" s="605"/>
    </row>
    <row r="101" spans="2:50">
      <c r="B101" s="572"/>
      <c r="C101" s="436">
        <v>25</v>
      </c>
      <c r="D101" s="226" t="s">
        <v>660</v>
      </c>
      <c r="E101" s="182">
        <v>18</v>
      </c>
      <c r="F101" s="436">
        <v>1385</v>
      </c>
      <c r="G101" s="437">
        <v>76.900000000000006</v>
      </c>
      <c r="H101" s="609"/>
      <c r="I101" s="446">
        <f t="shared" si="26"/>
        <v>18.857142857142858</v>
      </c>
      <c r="J101" s="446">
        <f t="shared" si="26"/>
        <v>1083.7608921044909</v>
      </c>
      <c r="K101" s="438">
        <f t="shared" si="26"/>
        <v>57.502057241748041</v>
      </c>
      <c r="L101" s="541"/>
      <c r="M101" s="445">
        <f>RANK(K101, K$77:$K$106)</f>
        <v>26</v>
      </c>
      <c r="N101" s="559"/>
      <c r="O101" s="559"/>
      <c r="P101" s="436">
        <v>18</v>
      </c>
      <c r="Q101" s="437">
        <v>1106.0526315789466</v>
      </c>
      <c r="R101" s="437">
        <v>61.447368421052587</v>
      </c>
      <c r="S101" s="436">
        <f t="shared" si="19"/>
        <v>25</v>
      </c>
      <c r="T101" s="605"/>
      <c r="U101" s="436">
        <v>19</v>
      </c>
      <c r="V101" s="437">
        <v>1090.6849315068484</v>
      </c>
      <c r="W101" s="437">
        <v>57.404470079307814</v>
      </c>
      <c r="X101" s="436">
        <f t="shared" si="20"/>
        <v>26</v>
      </c>
      <c r="Y101" s="605"/>
      <c r="Z101" s="436">
        <v>19</v>
      </c>
      <c r="AA101" s="437">
        <v>1077.2727272727284</v>
      </c>
      <c r="AB101" s="437">
        <v>56.698564593301491</v>
      </c>
      <c r="AC101" s="436">
        <f t="shared" si="21"/>
        <v>26</v>
      </c>
      <c r="AD101" s="605"/>
      <c r="AE101" s="436">
        <v>19</v>
      </c>
      <c r="AF101" s="437">
        <v>1088.9189189189181</v>
      </c>
      <c r="AG101" s="437">
        <v>57.311522048364111</v>
      </c>
      <c r="AH101" s="436">
        <f t="shared" si="22"/>
        <v>26</v>
      </c>
      <c r="AI101" s="605"/>
      <c r="AJ101" s="436">
        <v>19</v>
      </c>
      <c r="AK101" s="437">
        <v>1073.766233766233</v>
      </c>
      <c r="AL101" s="437">
        <v>56.514012303485949</v>
      </c>
      <c r="AM101" s="436">
        <f t="shared" si="23"/>
        <v>26</v>
      </c>
      <c r="AN101" s="605"/>
      <c r="AO101" s="436">
        <v>19</v>
      </c>
      <c r="AP101" s="437">
        <v>1083.7974683544298</v>
      </c>
      <c r="AQ101" s="437">
        <v>57.041972018654199</v>
      </c>
      <c r="AR101" s="436">
        <f t="shared" si="24"/>
        <v>26</v>
      </c>
      <c r="AS101" s="605"/>
      <c r="AT101" s="436">
        <v>19</v>
      </c>
      <c r="AU101" s="437">
        <v>1065.8333333333326</v>
      </c>
      <c r="AV101" s="437">
        <v>56.096491228070136</v>
      </c>
      <c r="AW101" s="436">
        <f t="shared" si="25"/>
        <v>27</v>
      </c>
      <c r="AX101" s="605"/>
    </row>
    <row r="102" spans="2:50">
      <c r="B102" s="572"/>
      <c r="C102" s="436">
        <v>26</v>
      </c>
      <c r="D102" s="226" t="s">
        <v>661</v>
      </c>
      <c r="E102" s="182">
        <v>18</v>
      </c>
      <c r="F102" s="436">
        <v>1440</v>
      </c>
      <c r="G102" s="437">
        <v>80</v>
      </c>
      <c r="H102" s="609"/>
      <c r="I102" s="446">
        <f t="shared" si="26"/>
        <v>18</v>
      </c>
      <c r="J102" s="446">
        <f t="shared" si="26"/>
        <v>1224.0623137908394</v>
      </c>
      <c r="K102" s="438">
        <f t="shared" si="26"/>
        <v>68.003461877268862</v>
      </c>
      <c r="L102" s="541"/>
      <c r="M102" s="445">
        <f>RANK(K102, K$77:$K$106)</f>
        <v>20</v>
      </c>
      <c r="N102" s="559"/>
      <c r="O102" s="559"/>
      <c r="P102" s="436">
        <v>18</v>
      </c>
      <c r="Q102" s="437">
        <v>1242.5000000000005</v>
      </c>
      <c r="R102" s="437">
        <v>69.0277777777778</v>
      </c>
      <c r="S102" s="436">
        <f t="shared" si="19"/>
        <v>18</v>
      </c>
      <c r="T102" s="605"/>
      <c r="U102" s="436">
        <v>18</v>
      </c>
      <c r="V102" s="437">
        <v>1246.9565217391305</v>
      </c>
      <c r="W102" s="437">
        <v>69.275362318840578</v>
      </c>
      <c r="X102" s="436">
        <f t="shared" si="20"/>
        <v>17</v>
      </c>
      <c r="Y102" s="605"/>
      <c r="Z102" s="436">
        <v>18</v>
      </c>
      <c r="AA102" s="437">
        <v>1199.9999999999995</v>
      </c>
      <c r="AB102" s="437">
        <v>66.666666666666643</v>
      </c>
      <c r="AC102" s="436">
        <f t="shared" si="21"/>
        <v>21</v>
      </c>
      <c r="AD102" s="605"/>
      <c r="AE102" s="436">
        <v>18</v>
      </c>
      <c r="AF102" s="437">
        <v>1242.4390243902435</v>
      </c>
      <c r="AG102" s="437">
        <v>69.024390243902417</v>
      </c>
      <c r="AH102" s="436">
        <f t="shared" si="22"/>
        <v>20</v>
      </c>
      <c r="AI102" s="605"/>
      <c r="AJ102" s="436">
        <v>18</v>
      </c>
      <c r="AK102" s="437">
        <v>1211.7073170731703</v>
      </c>
      <c r="AL102" s="437">
        <v>67.317073170731689</v>
      </c>
      <c r="AM102" s="436">
        <f t="shared" si="23"/>
        <v>21</v>
      </c>
      <c r="AN102" s="605"/>
      <c r="AO102" s="436">
        <v>18</v>
      </c>
      <c r="AP102" s="437">
        <v>1241.3333333333335</v>
      </c>
      <c r="AQ102" s="437">
        <v>68.962962962962976</v>
      </c>
      <c r="AR102" s="436">
        <f t="shared" si="24"/>
        <v>17</v>
      </c>
      <c r="AS102" s="605"/>
      <c r="AT102" s="436">
        <v>18</v>
      </c>
      <c r="AU102" s="437">
        <v>1183.4999999999995</v>
      </c>
      <c r="AV102" s="437">
        <v>65.749999999999972</v>
      </c>
      <c r="AW102" s="436">
        <f t="shared" si="25"/>
        <v>22</v>
      </c>
      <c r="AX102" s="605"/>
    </row>
    <row r="103" spans="2:50">
      <c r="B103" s="572"/>
      <c r="C103" s="436">
        <v>27</v>
      </c>
      <c r="D103" s="226" t="s">
        <v>662</v>
      </c>
      <c r="E103" s="182">
        <v>17</v>
      </c>
      <c r="F103" s="436">
        <v>1440</v>
      </c>
      <c r="G103" s="437">
        <v>84.7</v>
      </c>
      <c r="H103" s="609"/>
      <c r="I103" s="446">
        <f t="shared" si="26"/>
        <v>17</v>
      </c>
      <c r="J103" s="446">
        <f t="shared" si="26"/>
        <v>1232.5606543000463</v>
      </c>
      <c r="K103" s="438">
        <f t="shared" si="26"/>
        <v>72.503567900002722</v>
      </c>
      <c r="L103" s="541"/>
      <c r="M103" s="445">
        <f>RANK(K103, K$77:$K$106)</f>
        <v>14</v>
      </c>
      <c r="N103" s="559"/>
      <c r="O103" s="559"/>
      <c r="P103" s="436">
        <v>17</v>
      </c>
      <c r="Q103" s="437">
        <v>1249.7142857142844</v>
      </c>
      <c r="R103" s="437">
        <v>73.51260504201673</v>
      </c>
      <c r="S103" s="436">
        <f t="shared" si="19"/>
        <v>13</v>
      </c>
      <c r="T103" s="605"/>
      <c r="U103" s="436">
        <v>17</v>
      </c>
      <c r="V103" s="437">
        <v>1237.599999999999</v>
      </c>
      <c r="W103" s="437">
        <v>72.79999999999994</v>
      </c>
      <c r="X103" s="436">
        <f t="shared" si="20"/>
        <v>12</v>
      </c>
      <c r="Y103" s="605"/>
      <c r="Z103" s="436">
        <v>17</v>
      </c>
      <c r="AA103" s="437">
        <v>1239.7058823529428</v>
      </c>
      <c r="AB103" s="437">
        <v>72.923875432526046</v>
      </c>
      <c r="AC103" s="436">
        <f t="shared" si="21"/>
        <v>15</v>
      </c>
      <c r="AD103" s="605"/>
      <c r="AE103" s="436">
        <v>17</v>
      </c>
      <c r="AF103" s="437">
        <v>1207.6056338028156</v>
      </c>
      <c r="AG103" s="437">
        <v>71.03562551781269</v>
      </c>
      <c r="AH103" s="436">
        <f t="shared" si="22"/>
        <v>15</v>
      </c>
      <c r="AI103" s="605"/>
      <c r="AJ103" s="436">
        <v>17</v>
      </c>
      <c r="AK103" s="437">
        <v>1234.8648648648641</v>
      </c>
      <c r="AL103" s="437">
        <v>72.639109697933179</v>
      </c>
      <c r="AM103" s="436">
        <f t="shared" si="23"/>
        <v>15</v>
      </c>
      <c r="AN103" s="605"/>
      <c r="AO103" s="436">
        <v>17</v>
      </c>
      <c r="AP103" s="437">
        <v>1254.3243243243232</v>
      </c>
      <c r="AQ103" s="437">
        <v>73.783783783783718</v>
      </c>
      <c r="AR103" s="436">
        <f t="shared" si="24"/>
        <v>13</v>
      </c>
      <c r="AS103" s="605"/>
      <c r="AT103" s="436">
        <v>17</v>
      </c>
      <c r="AU103" s="437">
        <v>1204.109589041095</v>
      </c>
      <c r="AV103" s="437">
        <v>70.829975825946761</v>
      </c>
      <c r="AW103" s="436">
        <f t="shared" si="25"/>
        <v>16</v>
      </c>
      <c r="AX103" s="605"/>
    </row>
    <row r="104" spans="2:50">
      <c r="B104" s="572"/>
      <c r="C104" s="436">
        <v>28</v>
      </c>
      <c r="D104" s="226" t="s">
        <v>789</v>
      </c>
      <c r="E104" s="182">
        <v>21</v>
      </c>
      <c r="F104" s="436">
        <v>1440</v>
      </c>
      <c r="G104" s="437">
        <v>71.400000000000006</v>
      </c>
      <c r="H104" s="609"/>
      <c r="I104" s="446">
        <f t="shared" si="26"/>
        <v>20.142857142857142</v>
      </c>
      <c r="J104" s="446">
        <f t="shared" si="26"/>
        <v>1125.5856997591034</v>
      </c>
      <c r="K104" s="438">
        <f t="shared" si="26"/>
        <v>55.895879166610243</v>
      </c>
      <c r="L104" s="541"/>
      <c r="M104" s="445">
        <f>RANK(K104, K$77:$K$106)</f>
        <v>27</v>
      </c>
      <c r="N104" s="559"/>
      <c r="O104" s="559"/>
      <c r="P104" s="436">
        <v>21</v>
      </c>
      <c r="Q104" s="437">
        <v>1127.2131147540995</v>
      </c>
      <c r="R104" s="437">
        <v>53.676814988290452</v>
      </c>
      <c r="S104" s="436">
        <f t="shared" si="19"/>
        <v>28</v>
      </c>
      <c r="T104" s="605"/>
      <c r="U104" s="436">
        <v>20</v>
      </c>
      <c r="V104" s="437">
        <v>1131.7948717948711</v>
      </c>
      <c r="W104" s="437">
        <v>56.589743589743556</v>
      </c>
      <c r="X104" s="436">
        <f t="shared" si="20"/>
        <v>27</v>
      </c>
      <c r="Y104" s="605"/>
      <c r="Z104" s="436">
        <v>20</v>
      </c>
      <c r="AA104" s="437">
        <v>1131.5294117647065</v>
      </c>
      <c r="AB104" s="437">
        <v>56.576470588235324</v>
      </c>
      <c r="AC104" s="436">
        <f t="shared" si="21"/>
        <v>27</v>
      </c>
      <c r="AD104" s="605"/>
      <c r="AE104" s="436">
        <v>20</v>
      </c>
      <c r="AF104" s="437">
        <v>1098.5625000000039</v>
      </c>
      <c r="AG104" s="437">
        <v>54.928125000000193</v>
      </c>
      <c r="AH104" s="436">
        <f t="shared" si="22"/>
        <v>28</v>
      </c>
      <c r="AI104" s="605"/>
      <c r="AJ104" s="436">
        <v>20</v>
      </c>
      <c r="AK104" s="437">
        <v>1071.0000000000036</v>
      </c>
      <c r="AL104" s="437">
        <v>53.550000000000182</v>
      </c>
      <c r="AM104" s="436">
        <f t="shared" si="23"/>
        <v>28</v>
      </c>
      <c r="AN104" s="605"/>
      <c r="AO104" s="436">
        <v>20</v>
      </c>
      <c r="AP104" s="437">
        <v>1139.2500000000041</v>
      </c>
      <c r="AQ104" s="437">
        <v>56.962500000000205</v>
      </c>
      <c r="AR104" s="436">
        <f t="shared" si="24"/>
        <v>27</v>
      </c>
      <c r="AS104" s="605"/>
      <c r="AT104" s="436">
        <v>20</v>
      </c>
      <c r="AU104" s="437">
        <v>1179.7500000000355</v>
      </c>
      <c r="AV104" s="437">
        <v>58.987500000001774</v>
      </c>
      <c r="AW104" s="436">
        <f t="shared" si="25"/>
        <v>26</v>
      </c>
      <c r="AX104" s="605"/>
    </row>
    <row r="105" spans="2:50">
      <c r="B105" s="572"/>
      <c r="C105" s="436">
        <v>29</v>
      </c>
      <c r="D105" s="226"/>
      <c r="E105" s="182"/>
      <c r="F105" s="436"/>
      <c r="G105" s="437"/>
      <c r="H105" s="609"/>
      <c r="I105" s="202"/>
      <c r="J105" s="202"/>
      <c r="K105" s="202"/>
      <c r="L105" s="541"/>
      <c r="M105" s="445" t="e">
        <f>RANK(K105, K$77:$K$106)</f>
        <v>#N/A</v>
      </c>
      <c r="N105" s="559"/>
      <c r="O105" s="559"/>
      <c r="P105" s="436"/>
      <c r="Q105" s="436"/>
      <c r="R105" s="436"/>
      <c r="S105" s="436" t="e">
        <f t="shared" si="19"/>
        <v>#N/A</v>
      </c>
      <c r="T105" s="605"/>
      <c r="U105" s="436"/>
      <c r="V105" s="436"/>
      <c r="W105" s="436"/>
      <c r="X105" s="436" t="e">
        <f t="shared" si="20"/>
        <v>#N/A</v>
      </c>
      <c r="Y105" s="605"/>
      <c r="Z105" s="436"/>
      <c r="AA105" s="436"/>
      <c r="AB105" s="436"/>
      <c r="AC105" s="436" t="e">
        <f t="shared" si="21"/>
        <v>#N/A</v>
      </c>
      <c r="AD105" s="605"/>
      <c r="AE105" s="436"/>
      <c r="AF105" s="436"/>
      <c r="AG105" s="436"/>
      <c r="AH105" s="436" t="e">
        <f t="shared" si="22"/>
        <v>#N/A</v>
      </c>
      <c r="AI105" s="605"/>
      <c r="AJ105" s="436"/>
      <c r="AK105" s="436"/>
      <c r="AL105" s="436"/>
      <c r="AM105" s="436" t="e">
        <f t="shared" si="23"/>
        <v>#N/A</v>
      </c>
      <c r="AN105" s="605"/>
      <c r="AO105" s="436"/>
      <c r="AP105" s="436"/>
      <c r="AQ105" s="436"/>
      <c r="AR105" s="436" t="e">
        <f t="shared" si="24"/>
        <v>#N/A</v>
      </c>
      <c r="AS105" s="605"/>
      <c r="AT105" s="436"/>
      <c r="AU105" s="436"/>
      <c r="AV105" s="436"/>
      <c r="AW105" s="436" t="e">
        <f t="shared" si="25"/>
        <v>#N/A</v>
      </c>
      <c r="AX105" s="605"/>
    </row>
    <row r="106" spans="2:50">
      <c r="B106" s="572"/>
      <c r="C106" s="436">
        <v>30</v>
      </c>
      <c r="D106" s="226"/>
      <c r="E106" s="182"/>
      <c r="F106" s="436"/>
      <c r="G106" s="437"/>
      <c r="H106" s="610"/>
      <c r="I106" s="202"/>
      <c r="J106" s="202"/>
      <c r="K106" s="202"/>
      <c r="L106" s="542"/>
      <c r="M106" s="445" t="e">
        <f>RANK(K106, K$77:$K$106)</f>
        <v>#N/A</v>
      </c>
      <c r="N106" s="559"/>
      <c r="O106" s="559"/>
      <c r="P106" s="436"/>
      <c r="Q106" s="436"/>
      <c r="R106" s="436"/>
      <c r="S106" s="436" t="e">
        <f t="shared" si="19"/>
        <v>#N/A</v>
      </c>
      <c r="T106" s="605"/>
      <c r="U106" s="436"/>
      <c r="V106" s="436"/>
      <c r="W106" s="436"/>
      <c r="X106" s="436" t="e">
        <f t="shared" si="20"/>
        <v>#N/A</v>
      </c>
      <c r="Y106" s="605"/>
      <c r="Z106" s="436"/>
      <c r="AA106" s="436"/>
      <c r="AB106" s="436"/>
      <c r="AC106" s="436" t="e">
        <f t="shared" si="21"/>
        <v>#N/A</v>
      </c>
      <c r="AD106" s="605"/>
      <c r="AE106" s="436"/>
      <c r="AF106" s="436"/>
      <c r="AG106" s="436"/>
      <c r="AH106" s="436" t="e">
        <f t="shared" si="22"/>
        <v>#N/A</v>
      </c>
      <c r="AI106" s="605"/>
      <c r="AJ106" s="436"/>
      <c r="AK106" s="436"/>
      <c r="AL106" s="436"/>
      <c r="AM106" s="436" t="e">
        <f t="shared" si="23"/>
        <v>#N/A</v>
      </c>
      <c r="AN106" s="605"/>
      <c r="AO106" s="436"/>
      <c r="AP106" s="436"/>
      <c r="AQ106" s="436"/>
      <c r="AR106" s="436" t="e">
        <f t="shared" si="24"/>
        <v>#N/A</v>
      </c>
      <c r="AS106" s="605"/>
      <c r="AT106" s="436"/>
      <c r="AU106" s="436"/>
      <c r="AV106" s="436"/>
      <c r="AW106" s="436" t="e">
        <f t="shared" si="25"/>
        <v>#N/A</v>
      </c>
      <c r="AX106" s="605"/>
    </row>
    <row r="107" spans="2:50" ht="15.75">
      <c r="B107" s="576" t="s">
        <v>731</v>
      </c>
      <c r="C107" s="577"/>
      <c r="D107" s="577"/>
      <c r="E107" s="577"/>
      <c r="F107" s="577"/>
      <c r="G107" s="577"/>
      <c r="H107" s="578"/>
      <c r="I107" s="208"/>
      <c r="J107" s="208"/>
      <c r="K107" s="208"/>
      <c r="L107" s="208"/>
      <c r="M107" s="207"/>
      <c r="N107" s="565" t="s">
        <v>732</v>
      </c>
      <c r="O107" s="565" t="s">
        <v>733</v>
      </c>
      <c r="P107" s="571">
        <f>P72+7</f>
        <v>20</v>
      </c>
      <c r="Q107" s="572"/>
      <c r="R107" s="572"/>
      <c r="S107" s="572"/>
      <c r="T107" s="572"/>
      <c r="U107" s="568">
        <f>P107+1</f>
        <v>21</v>
      </c>
      <c r="V107" s="569"/>
      <c r="W107" s="569"/>
      <c r="X107" s="569"/>
      <c r="Y107" s="570"/>
      <c r="Z107" s="568">
        <f>U107+1</f>
        <v>22</v>
      </c>
      <c r="AA107" s="569"/>
      <c r="AB107" s="569"/>
      <c r="AC107" s="569"/>
      <c r="AD107" s="570"/>
      <c r="AE107" s="568">
        <f>Z107+1</f>
        <v>23</v>
      </c>
      <c r="AF107" s="569"/>
      <c r="AG107" s="569"/>
      <c r="AH107" s="569"/>
      <c r="AI107" s="570"/>
      <c r="AJ107" s="568">
        <f>AE107+1</f>
        <v>24</v>
      </c>
      <c r="AK107" s="569"/>
      <c r="AL107" s="569"/>
      <c r="AM107" s="569"/>
      <c r="AN107" s="570"/>
      <c r="AO107" s="568">
        <f>AJ107+1</f>
        <v>25</v>
      </c>
      <c r="AP107" s="569"/>
      <c r="AQ107" s="569"/>
      <c r="AR107" s="569"/>
      <c r="AS107" s="570"/>
      <c r="AT107" s="568">
        <f>AO107+1</f>
        <v>26</v>
      </c>
      <c r="AU107" s="569"/>
      <c r="AV107" s="569"/>
      <c r="AW107" s="569"/>
      <c r="AX107" s="570"/>
    </row>
    <row r="108" spans="2:50" ht="15.75">
      <c r="B108" s="579"/>
      <c r="C108" s="579"/>
      <c r="D108" s="579"/>
      <c r="E108" s="579"/>
      <c r="F108" s="579"/>
      <c r="G108" s="579"/>
      <c r="H108" s="579"/>
      <c r="I108" s="205"/>
      <c r="J108" s="205"/>
      <c r="K108" s="205"/>
      <c r="L108" s="205"/>
      <c r="M108" s="206"/>
      <c r="N108" s="567"/>
      <c r="O108" s="567"/>
      <c r="P108" s="571" t="s">
        <v>734</v>
      </c>
      <c r="Q108" s="572"/>
      <c r="R108" s="572"/>
      <c r="S108" s="572"/>
      <c r="T108" s="572"/>
      <c r="U108" s="571" t="s">
        <v>735</v>
      </c>
      <c r="V108" s="572"/>
      <c r="W108" s="572"/>
      <c r="X108" s="572"/>
      <c r="Y108" s="572"/>
      <c r="Z108" s="571" t="s">
        <v>736</v>
      </c>
      <c r="AA108" s="572"/>
      <c r="AB108" s="572"/>
      <c r="AC108" s="572"/>
      <c r="AD108" s="572"/>
      <c r="AE108" s="571" t="s">
        <v>737</v>
      </c>
      <c r="AF108" s="572"/>
      <c r="AG108" s="572"/>
      <c r="AH108" s="572"/>
      <c r="AI108" s="572"/>
      <c r="AJ108" s="571" t="s">
        <v>738</v>
      </c>
      <c r="AK108" s="572"/>
      <c r="AL108" s="572"/>
      <c r="AM108" s="572"/>
      <c r="AN108" s="572"/>
      <c r="AO108" s="571" t="s">
        <v>739</v>
      </c>
      <c r="AP108" s="572"/>
      <c r="AQ108" s="572"/>
      <c r="AR108" s="572"/>
      <c r="AS108" s="572"/>
      <c r="AT108" s="571" t="s">
        <v>740</v>
      </c>
      <c r="AU108" s="572"/>
      <c r="AV108" s="572"/>
      <c r="AW108" s="572"/>
      <c r="AX108" s="572"/>
    </row>
    <row r="109" spans="2:50">
      <c r="B109" s="559" t="s">
        <v>741</v>
      </c>
      <c r="C109" s="559" t="s">
        <v>742</v>
      </c>
      <c r="D109" s="559"/>
      <c r="E109" s="559" t="s">
        <v>743</v>
      </c>
      <c r="F109" s="559"/>
      <c r="G109" s="559"/>
      <c r="H109" s="560" t="s">
        <v>744</v>
      </c>
      <c r="I109" s="543" t="s">
        <v>745</v>
      </c>
      <c r="J109" s="543"/>
      <c r="K109" s="543"/>
      <c r="L109" s="544" t="s">
        <v>744</v>
      </c>
      <c r="M109" s="550" t="s">
        <v>746</v>
      </c>
      <c r="N109" s="559"/>
      <c r="O109" s="559" t="s">
        <v>747</v>
      </c>
      <c r="P109" s="556" t="s">
        <v>748</v>
      </c>
      <c r="Q109" s="557"/>
      <c r="R109" s="557"/>
      <c r="S109" s="558"/>
      <c r="T109" s="559" t="s">
        <v>744</v>
      </c>
      <c r="U109" s="556" t="s">
        <v>748</v>
      </c>
      <c r="V109" s="557"/>
      <c r="W109" s="557"/>
      <c r="X109" s="558"/>
      <c r="Y109" s="559" t="s">
        <v>744</v>
      </c>
      <c r="Z109" s="556" t="s">
        <v>748</v>
      </c>
      <c r="AA109" s="557"/>
      <c r="AB109" s="557"/>
      <c r="AC109" s="558"/>
      <c r="AD109" s="559" t="s">
        <v>744</v>
      </c>
      <c r="AE109" s="556" t="s">
        <v>748</v>
      </c>
      <c r="AF109" s="557"/>
      <c r="AG109" s="557"/>
      <c r="AH109" s="558"/>
      <c r="AI109" s="559" t="s">
        <v>744</v>
      </c>
      <c r="AJ109" s="556" t="s">
        <v>748</v>
      </c>
      <c r="AK109" s="557"/>
      <c r="AL109" s="557"/>
      <c r="AM109" s="558"/>
      <c r="AN109" s="559" t="s">
        <v>744</v>
      </c>
      <c r="AO109" s="556" t="s">
        <v>748</v>
      </c>
      <c r="AP109" s="557"/>
      <c r="AQ109" s="557"/>
      <c r="AR109" s="558"/>
      <c r="AS109" s="559" t="s">
        <v>744</v>
      </c>
      <c r="AT109" s="556" t="s">
        <v>748</v>
      </c>
      <c r="AU109" s="557"/>
      <c r="AV109" s="557"/>
      <c r="AW109" s="558"/>
      <c r="AX109" s="559" t="s">
        <v>744</v>
      </c>
    </row>
    <row r="110" spans="2:50">
      <c r="B110" s="559"/>
      <c r="C110" s="559"/>
      <c r="D110" s="559"/>
      <c r="E110" s="559" t="s">
        <v>749</v>
      </c>
      <c r="F110" s="559"/>
      <c r="G110" s="559"/>
      <c r="H110" s="561"/>
      <c r="I110" s="543" t="s">
        <v>749</v>
      </c>
      <c r="J110" s="543"/>
      <c r="K110" s="543"/>
      <c r="L110" s="545"/>
      <c r="M110" s="551"/>
      <c r="N110" s="559"/>
      <c r="O110" s="559"/>
      <c r="P110" s="556" t="s">
        <v>750</v>
      </c>
      <c r="Q110" s="557"/>
      <c r="R110" s="557"/>
      <c r="S110" s="558"/>
      <c r="T110" s="559"/>
      <c r="U110" s="556" t="s">
        <v>750</v>
      </c>
      <c r="V110" s="557"/>
      <c r="W110" s="557"/>
      <c r="X110" s="558"/>
      <c r="Y110" s="559"/>
      <c r="Z110" s="556" t="s">
        <v>750</v>
      </c>
      <c r="AA110" s="557"/>
      <c r="AB110" s="557"/>
      <c r="AC110" s="558"/>
      <c r="AD110" s="559"/>
      <c r="AE110" s="556" t="s">
        <v>750</v>
      </c>
      <c r="AF110" s="557"/>
      <c r="AG110" s="557"/>
      <c r="AH110" s="558"/>
      <c r="AI110" s="559"/>
      <c r="AJ110" s="556" t="s">
        <v>750</v>
      </c>
      <c r="AK110" s="557"/>
      <c r="AL110" s="557"/>
      <c r="AM110" s="558"/>
      <c r="AN110" s="559"/>
      <c r="AO110" s="556" t="s">
        <v>750</v>
      </c>
      <c r="AP110" s="557"/>
      <c r="AQ110" s="557"/>
      <c r="AR110" s="558"/>
      <c r="AS110" s="559"/>
      <c r="AT110" s="556" t="s">
        <v>750</v>
      </c>
      <c r="AU110" s="557"/>
      <c r="AV110" s="557"/>
      <c r="AW110" s="558"/>
      <c r="AX110" s="559"/>
    </row>
    <row r="111" spans="2:50">
      <c r="B111" s="559"/>
      <c r="C111" s="559"/>
      <c r="D111" s="559"/>
      <c r="E111" s="440" t="s">
        <v>751</v>
      </c>
      <c r="F111" s="440" t="s">
        <v>752</v>
      </c>
      <c r="G111" s="440" t="s">
        <v>753</v>
      </c>
      <c r="H111" s="562"/>
      <c r="I111" s="444" t="s">
        <v>751</v>
      </c>
      <c r="J111" s="444" t="s">
        <v>752</v>
      </c>
      <c r="K111" s="444" t="s">
        <v>753</v>
      </c>
      <c r="L111" s="546"/>
      <c r="M111" s="552"/>
      <c r="N111" s="559"/>
      <c r="O111" s="559"/>
      <c r="P111" s="440" t="s">
        <v>751</v>
      </c>
      <c r="Q111" s="440" t="s">
        <v>752</v>
      </c>
      <c r="R111" s="440" t="s">
        <v>753</v>
      </c>
      <c r="S111" s="440" t="s">
        <v>746</v>
      </c>
      <c r="T111" s="559"/>
      <c r="U111" s="440" t="s">
        <v>751</v>
      </c>
      <c r="V111" s="440" t="s">
        <v>752</v>
      </c>
      <c r="W111" s="440" t="s">
        <v>753</v>
      </c>
      <c r="X111" s="440" t="s">
        <v>746</v>
      </c>
      <c r="Y111" s="559"/>
      <c r="Z111" s="440" t="s">
        <v>751</v>
      </c>
      <c r="AA111" s="440" t="s">
        <v>752</v>
      </c>
      <c r="AB111" s="440" t="s">
        <v>753</v>
      </c>
      <c r="AC111" s="440" t="s">
        <v>746</v>
      </c>
      <c r="AD111" s="559"/>
      <c r="AE111" s="440" t="s">
        <v>751</v>
      </c>
      <c r="AF111" s="440" t="s">
        <v>752</v>
      </c>
      <c r="AG111" s="440" t="s">
        <v>753</v>
      </c>
      <c r="AH111" s="440" t="s">
        <v>746</v>
      </c>
      <c r="AI111" s="559"/>
      <c r="AJ111" s="440" t="s">
        <v>751</v>
      </c>
      <c r="AK111" s="440" t="s">
        <v>752</v>
      </c>
      <c r="AL111" s="440" t="s">
        <v>753</v>
      </c>
      <c r="AM111" s="440" t="s">
        <v>746</v>
      </c>
      <c r="AN111" s="559"/>
      <c r="AO111" s="440" t="s">
        <v>751</v>
      </c>
      <c r="AP111" s="440" t="s">
        <v>752</v>
      </c>
      <c r="AQ111" s="440" t="s">
        <v>753</v>
      </c>
      <c r="AR111" s="440" t="s">
        <v>746</v>
      </c>
      <c r="AS111" s="559"/>
      <c r="AT111" s="440" t="s">
        <v>751</v>
      </c>
      <c r="AU111" s="440" t="s">
        <v>752</v>
      </c>
      <c r="AV111" s="440" t="s">
        <v>753</v>
      </c>
      <c r="AW111" s="440" t="s">
        <v>746</v>
      </c>
      <c r="AX111" s="559"/>
    </row>
    <row r="112" spans="2:50">
      <c r="B112" s="559" t="s">
        <v>788</v>
      </c>
      <c r="C112" s="436">
        <v>1</v>
      </c>
      <c r="D112" s="226" t="s">
        <v>371</v>
      </c>
      <c r="E112" s="182">
        <v>6</v>
      </c>
      <c r="F112" s="436">
        <v>1500</v>
      </c>
      <c r="G112" s="437">
        <v>250</v>
      </c>
      <c r="H112" s="608">
        <f>AVERAGE(G112:G141)</f>
        <v>96.446666666666673</v>
      </c>
      <c r="I112" s="446">
        <f>AVERAGE(P112,U112,Z112,AE112,AJ112,AO112,AT112)</f>
        <v>6</v>
      </c>
      <c r="J112" s="446">
        <f>AVERAGE(Q112,V112,AA112,AF112,AK112,AP112,AU112)</f>
        <v>1347.5947605500353</v>
      </c>
      <c r="K112" s="438">
        <f>AVERAGE(R112,W112,AB112,AG112,AL112,AQ112,AV112)</f>
        <v>224.59912675833922</v>
      </c>
      <c r="L112" s="540">
        <f>IFERROR(AVERAGE(K112:K141),"-")</f>
        <v>83.23048432593086</v>
      </c>
      <c r="M112" s="445">
        <f>RANK(K112, K$112:$K$141)</f>
        <v>1</v>
      </c>
      <c r="N112" s="559"/>
      <c r="O112" s="559"/>
      <c r="P112" s="182">
        <v>6</v>
      </c>
      <c r="Q112" s="182">
        <v>1457.6303317535535</v>
      </c>
      <c r="R112" s="182">
        <v>242.93838862559224</v>
      </c>
      <c r="S112" s="436">
        <f>RANK(R112, R$112:R$141)</f>
        <v>1</v>
      </c>
      <c r="T112" s="605">
        <f>AVERAGE(R112:R141)</f>
        <v>81.745846151105155</v>
      </c>
      <c r="U112" s="182">
        <v>6</v>
      </c>
      <c r="V112" s="182">
        <v>1334.6610878661093</v>
      </c>
      <c r="W112" s="182">
        <v>222.44351464435155</v>
      </c>
      <c r="X112" s="436">
        <f>RANK(W112, W$112:W$141)</f>
        <v>1</v>
      </c>
      <c r="Y112" s="605">
        <f>AVERAGE(W112:W141)</f>
        <v>82.255141160785826</v>
      </c>
      <c r="Z112" s="182">
        <v>6</v>
      </c>
      <c r="AA112" s="182">
        <v>1324.8620689655174</v>
      </c>
      <c r="AB112" s="182">
        <v>220.81034482758625</v>
      </c>
      <c r="AC112" s="436">
        <f>RANK(AB112, AB$112:AB$141)</f>
        <v>1</v>
      </c>
      <c r="AD112" s="605">
        <f>AVERAGE(AB112:AB141)</f>
        <v>80.810127118530843</v>
      </c>
      <c r="AE112" s="182">
        <v>6</v>
      </c>
      <c r="AF112" s="182">
        <v>1351.2452830188677</v>
      </c>
      <c r="AG112" s="182">
        <v>225.20754716981128</v>
      </c>
      <c r="AH112" s="436">
        <f>RANK(AG112, AG$112:AG$141)</f>
        <v>1</v>
      </c>
      <c r="AI112" s="605">
        <f>AVERAGE(AG112:AG141)</f>
        <v>80.534692058821676</v>
      </c>
      <c r="AJ112" s="182">
        <v>6</v>
      </c>
      <c r="AK112" s="182">
        <v>1308.3428571428569</v>
      </c>
      <c r="AL112" s="182">
        <v>218.05714285714282</v>
      </c>
      <c r="AM112" s="436">
        <f>RANK(AL112, AL$112:AL$141)</f>
        <v>1</v>
      </c>
      <c r="AN112" s="605">
        <f>AVERAGE(AL112:AL141)</f>
        <v>81.650863581509256</v>
      </c>
      <c r="AO112" s="182">
        <v>6</v>
      </c>
      <c r="AP112" s="182">
        <v>1327.7303370786515</v>
      </c>
      <c r="AQ112" s="182">
        <v>221.28838951310857</v>
      </c>
      <c r="AR112" s="436">
        <f>RANK(AQ112, AQ$112:AQ$141)</f>
        <v>1</v>
      </c>
      <c r="AS112" s="605">
        <f>AVERAGE(AQ112:AQ141)</f>
        <v>81.172330539624227</v>
      </c>
      <c r="AT112" s="182">
        <v>6</v>
      </c>
      <c r="AU112" s="182">
        <v>1328.6913580246912</v>
      </c>
      <c r="AV112" s="182">
        <v>221.44855967078186</v>
      </c>
      <c r="AW112" s="436">
        <f>RANK(AV112, AV$112:AV$141)</f>
        <v>1</v>
      </c>
      <c r="AX112" s="605">
        <f>AVERAGE(AV112:AV141)</f>
        <v>81.871596925360606</v>
      </c>
    </row>
    <row r="113" spans="2:50">
      <c r="B113" s="572"/>
      <c r="C113" s="436">
        <v>2</v>
      </c>
      <c r="D113" s="226" t="s">
        <v>395</v>
      </c>
      <c r="E113" s="182">
        <v>6</v>
      </c>
      <c r="F113" s="436">
        <v>1500</v>
      </c>
      <c r="G113" s="437">
        <v>250</v>
      </c>
      <c r="H113" s="609"/>
      <c r="I113" s="446">
        <f t="shared" ref="I113:K135" si="27">AVERAGE(P113,U113,Z113,AE113,AJ113,AO113,AT113)</f>
        <v>7</v>
      </c>
      <c r="J113" s="446">
        <f t="shared" si="27"/>
        <v>1484.4790829173212</v>
      </c>
      <c r="K113" s="438">
        <f t="shared" si="27"/>
        <v>212.06844041676021</v>
      </c>
      <c r="L113" s="541"/>
      <c r="M113" s="445">
        <f>RANK(K113, K$112:$K$141)</f>
        <v>2</v>
      </c>
      <c r="N113" s="559"/>
      <c r="O113" s="559"/>
      <c r="P113" s="182">
        <v>7</v>
      </c>
      <c r="Q113" s="182">
        <v>1497.5510204081636</v>
      </c>
      <c r="R113" s="182">
        <v>213.93586005830909</v>
      </c>
      <c r="S113" s="436">
        <f t="shared" ref="S113:S141" si="28">RANK(R113, R$112:R$141)</f>
        <v>2</v>
      </c>
      <c r="T113" s="605"/>
      <c r="U113" s="182">
        <v>7</v>
      </c>
      <c r="V113" s="182">
        <v>1499.9999999999993</v>
      </c>
      <c r="W113" s="182">
        <v>214.28571428571419</v>
      </c>
      <c r="X113" s="436">
        <f t="shared" ref="X113:X141" si="29">RANK(W113, W$112:W$141)</f>
        <v>2</v>
      </c>
      <c r="Y113" s="605"/>
      <c r="Z113" s="182">
        <v>7</v>
      </c>
      <c r="AA113" s="182">
        <v>1482.4242424242427</v>
      </c>
      <c r="AB113" s="182">
        <v>211.77489177489181</v>
      </c>
      <c r="AC113" s="436">
        <f t="shared" ref="AC113:AC141" si="30">RANK(AB113, AB$112:AB$141)</f>
        <v>2</v>
      </c>
      <c r="AD113" s="605"/>
      <c r="AE113" s="182">
        <v>7</v>
      </c>
      <c r="AF113" s="182">
        <v>1493.8461538461547</v>
      </c>
      <c r="AG113" s="182">
        <v>213.40659340659354</v>
      </c>
      <c r="AH113" s="436">
        <f t="shared" ref="AH113:AH141" si="31">RANK(AG113, AG$112:AG$141)</f>
        <v>2</v>
      </c>
      <c r="AI113" s="605"/>
      <c r="AJ113" s="182">
        <v>7</v>
      </c>
      <c r="AK113" s="182">
        <v>1491.1111111111106</v>
      </c>
      <c r="AL113" s="182">
        <v>213.01587301587296</v>
      </c>
      <c r="AM113" s="436">
        <f t="shared" ref="AM113:AM141" si="32">RANK(AL113, AL$112:AL$141)</f>
        <v>2</v>
      </c>
      <c r="AN113" s="605"/>
      <c r="AO113" s="182">
        <v>7</v>
      </c>
      <c r="AP113" s="182">
        <v>1469.9999999999998</v>
      </c>
      <c r="AQ113" s="182">
        <v>209.99999999999997</v>
      </c>
      <c r="AR113" s="436">
        <f t="shared" ref="AR113:AR141" si="33">RANK(AQ113, AQ$112:AQ$141)</f>
        <v>2</v>
      </c>
      <c r="AS113" s="605"/>
      <c r="AT113" s="182">
        <v>7</v>
      </c>
      <c r="AU113" s="182">
        <v>1456.4210526315792</v>
      </c>
      <c r="AV113" s="182">
        <v>208.06015037593988</v>
      </c>
      <c r="AW113" s="436">
        <f t="shared" ref="AW113:AW141" si="34">RANK(AV113, AV$112:AV$141)</f>
        <v>2</v>
      </c>
      <c r="AX113" s="605"/>
    </row>
    <row r="114" spans="2:50">
      <c r="B114" s="572"/>
      <c r="C114" s="436">
        <v>3</v>
      </c>
      <c r="D114" s="226" t="s">
        <v>372</v>
      </c>
      <c r="E114" s="182">
        <v>17</v>
      </c>
      <c r="F114" s="436">
        <v>1500</v>
      </c>
      <c r="G114" s="437">
        <v>88.2</v>
      </c>
      <c r="H114" s="609"/>
      <c r="I114" s="446">
        <f t="shared" si="27"/>
        <v>17</v>
      </c>
      <c r="J114" s="446">
        <f t="shared" si="27"/>
        <v>1230.5576213888469</v>
      </c>
      <c r="K114" s="438">
        <f t="shared" si="27"/>
        <v>72.385742434638033</v>
      </c>
      <c r="L114" s="541"/>
      <c r="M114" s="445">
        <f>RANK(K114, K$112:$K$141)</f>
        <v>17</v>
      </c>
      <c r="N114" s="559"/>
      <c r="O114" s="559"/>
      <c r="P114" s="182">
        <v>17</v>
      </c>
      <c r="Q114" s="182">
        <v>1222.0928571428578</v>
      </c>
      <c r="R114" s="182">
        <v>71.887815126050455</v>
      </c>
      <c r="S114" s="436">
        <f t="shared" si="28"/>
        <v>15</v>
      </c>
      <c r="T114" s="605"/>
      <c r="U114" s="182">
        <v>17</v>
      </c>
      <c r="V114" s="182">
        <v>1236.0244897959187</v>
      </c>
      <c r="W114" s="182">
        <v>72.707322929171696</v>
      </c>
      <c r="X114" s="436">
        <f t="shared" si="29"/>
        <v>18</v>
      </c>
      <c r="Y114" s="605"/>
      <c r="Z114" s="182">
        <v>17</v>
      </c>
      <c r="AA114" s="182">
        <v>1203.8095238095236</v>
      </c>
      <c r="AB114" s="182">
        <v>70.812324929971979</v>
      </c>
      <c r="AC114" s="436">
        <f t="shared" si="30"/>
        <v>16</v>
      </c>
      <c r="AD114" s="605"/>
      <c r="AE114" s="182">
        <v>17</v>
      </c>
      <c r="AF114" s="182">
        <v>1231.304347826087</v>
      </c>
      <c r="AG114" s="182">
        <v>72.429667519181592</v>
      </c>
      <c r="AH114" s="436">
        <f t="shared" si="31"/>
        <v>14</v>
      </c>
      <c r="AI114" s="605"/>
      <c r="AJ114" s="182">
        <v>17</v>
      </c>
      <c r="AK114" s="182">
        <v>1219.6721311475405</v>
      </c>
      <c r="AL114" s="182">
        <v>71.745419479267085</v>
      </c>
      <c r="AM114" s="436">
        <f t="shared" si="32"/>
        <v>18</v>
      </c>
      <c r="AN114" s="605"/>
      <c r="AO114" s="182">
        <v>17</v>
      </c>
      <c r="AP114" s="182">
        <v>1240.9999999999993</v>
      </c>
      <c r="AQ114" s="182">
        <v>72.999999999999957</v>
      </c>
      <c r="AR114" s="436">
        <f t="shared" si="33"/>
        <v>15</v>
      </c>
      <c r="AS114" s="605"/>
      <c r="AT114" s="182">
        <v>17</v>
      </c>
      <c r="AU114" s="182">
        <v>1260</v>
      </c>
      <c r="AV114" s="182">
        <v>74.117647058823536</v>
      </c>
      <c r="AW114" s="436">
        <f t="shared" si="34"/>
        <v>15</v>
      </c>
      <c r="AX114" s="605"/>
    </row>
    <row r="115" spans="2:50">
      <c r="B115" s="572"/>
      <c r="C115" s="436">
        <v>4</v>
      </c>
      <c r="D115" s="226" t="s">
        <v>414</v>
      </c>
      <c r="E115" s="182">
        <v>19</v>
      </c>
      <c r="F115" s="436">
        <v>1500</v>
      </c>
      <c r="G115" s="437">
        <v>78.900000000000006</v>
      </c>
      <c r="H115" s="609"/>
      <c r="I115" s="446">
        <f t="shared" si="27"/>
        <v>18</v>
      </c>
      <c r="J115" s="446">
        <f t="shared" si="27"/>
        <v>1330.0072306878089</v>
      </c>
      <c r="K115" s="438">
        <f t="shared" si="27"/>
        <v>73.889290593767186</v>
      </c>
      <c r="L115" s="541"/>
      <c r="M115" s="445">
        <f>RANK(K115, K$112:$K$141)</f>
        <v>13</v>
      </c>
      <c r="N115" s="559"/>
      <c r="O115" s="559"/>
      <c r="P115" s="182">
        <v>18</v>
      </c>
      <c r="Q115" s="182">
        <v>1346.0869565217392</v>
      </c>
      <c r="R115" s="182">
        <v>74.782608695652186</v>
      </c>
      <c r="S115" s="436">
        <f t="shared" si="28"/>
        <v>10</v>
      </c>
      <c r="T115" s="605"/>
      <c r="U115" s="182">
        <v>18</v>
      </c>
      <c r="V115" s="182">
        <v>1347.1428571428567</v>
      </c>
      <c r="W115" s="182">
        <v>74.841269841269821</v>
      </c>
      <c r="X115" s="436">
        <f t="shared" si="29"/>
        <v>11</v>
      </c>
      <c r="Y115" s="605"/>
      <c r="Z115" s="182">
        <v>18</v>
      </c>
      <c r="AA115" s="182">
        <v>1318.5365853658532</v>
      </c>
      <c r="AB115" s="182">
        <v>73.252032520325173</v>
      </c>
      <c r="AC115" s="436">
        <f t="shared" si="30"/>
        <v>13</v>
      </c>
      <c r="AD115" s="605"/>
      <c r="AE115" s="182">
        <v>18</v>
      </c>
      <c r="AF115" s="182">
        <v>1324.6153846153838</v>
      </c>
      <c r="AG115" s="182">
        <v>73.589743589743549</v>
      </c>
      <c r="AH115" s="436">
        <f t="shared" si="31"/>
        <v>10</v>
      </c>
      <c r="AI115" s="605"/>
      <c r="AJ115" s="182">
        <v>18</v>
      </c>
      <c r="AK115" s="182">
        <v>1315.7142857142851</v>
      </c>
      <c r="AL115" s="182">
        <v>73.095238095238059</v>
      </c>
      <c r="AM115" s="436">
        <f t="shared" si="32"/>
        <v>16</v>
      </c>
      <c r="AN115" s="605"/>
      <c r="AO115" s="182">
        <v>18</v>
      </c>
      <c r="AP115" s="182">
        <v>1325.4545454545455</v>
      </c>
      <c r="AQ115" s="182">
        <v>73.63636363636364</v>
      </c>
      <c r="AR115" s="436">
        <f t="shared" si="33"/>
        <v>14</v>
      </c>
      <c r="AS115" s="605"/>
      <c r="AT115" s="182">
        <v>18</v>
      </c>
      <c r="AU115" s="182">
        <v>1332.5000000000005</v>
      </c>
      <c r="AV115" s="182">
        <v>74.0277777777778</v>
      </c>
      <c r="AW115" s="436">
        <f t="shared" si="34"/>
        <v>16</v>
      </c>
      <c r="AX115" s="605"/>
    </row>
    <row r="116" spans="2:50">
      <c r="B116" s="572"/>
      <c r="C116" s="436">
        <v>5</v>
      </c>
      <c r="D116" s="226" t="s">
        <v>350</v>
      </c>
      <c r="E116" s="182">
        <v>16</v>
      </c>
      <c r="F116" s="436">
        <v>1500</v>
      </c>
      <c r="G116" s="437">
        <v>93.8</v>
      </c>
      <c r="H116" s="609"/>
      <c r="I116" s="446">
        <f t="shared" si="27"/>
        <v>16</v>
      </c>
      <c r="J116" s="446">
        <f t="shared" si="27"/>
        <v>1330.7737971410734</v>
      </c>
      <c r="K116" s="438">
        <f t="shared" si="27"/>
        <v>83.173362321317086</v>
      </c>
      <c r="L116" s="541"/>
      <c r="M116" s="445">
        <f>RANK(K116, K$112:$K$141)</f>
        <v>4</v>
      </c>
      <c r="N116" s="559"/>
      <c r="O116" s="559"/>
      <c r="P116" s="182">
        <v>16</v>
      </c>
      <c r="Q116" s="182">
        <v>1289.3333333333333</v>
      </c>
      <c r="R116" s="182">
        <v>80.583333333333329</v>
      </c>
      <c r="S116" s="436">
        <f t="shared" si="28"/>
        <v>5</v>
      </c>
      <c r="T116" s="605"/>
      <c r="U116" s="182">
        <v>16</v>
      </c>
      <c r="V116" s="182">
        <v>1326.6666666666656</v>
      </c>
      <c r="W116" s="182">
        <v>82.9166666666666</v>
      </c>
      <c r="X116" s="436">
        <f t="shared" si="29"/>
        <v>5</v>
      </c>
      <c r="Y116" s="605"/>
      <c r="Z116" s="182">
        <v>16</v>
      </c>
      <c r="AA116" s="182">
        <v>1339.4999999999995</v>
      </c>
      <c r="AB116" s="182">
        <v>83.718749999999972</v>
      </c>
      <c r="AC116" s="436">
        <f t="shared" si="30"/>
        <v>4</v>
      </c>
      <c r="AD116" s="605"/>
      <c r="AE116" s="182">
        <v>16</v>
      </c>
      <c r="AF116" s="182">
        <v>1341.8181818181802</v>
      </c>
      <c r="AG116" s="182">
        <v>83.86363636363626</v>
      </c>
      <c r="AH116" s="436">
        <f t="shared" si="31"/>
        <v>4</v>
      </c>
      <c r="AI116" s="605"/>
      <c r="AJ116" s="182">
        <v>16</v>
      </c>
      <c r="AK116" s="182">
        <v>1356.315789473683</v>
      </c>
      <c r="AL116" s="182">
        <v>84.769736842105189</v>
      </c>
      <c r="AM116" s="436">
        <f t="shared" si="32"/>
        <v>4</v>
      </c>
      <c r="AN116" s="605"/>
      <c r="AO116" s="182">
        <v>16</v>
      </c>
      <c r="AP116" s="182">
        <v>1346.9999999999995</v>
      </c>
      <c r="AQ116" s="182">
        <v>84.187499999999972</v>
      </c>
      <c r="AR116" s="436">
        <f t="shared" si="33"/>
        <v>4</v>
      </c>
      <c r="AS116" s="605"/>
      <c r="AT116" s="182">
        <v>16</v>
      </c>
      <c r="AU116" s="182">
        <v>1314.7826086956522</v>
      </c>
      <c r="AV116" s="182">
        <v>82.173913043478265</v>
      </c>
      <c r="AW116" s="436">
        <f t="shared" si="34"/>
        <v>4</v>
      </c>
      <c r="AX116" s="605"/>
    </row>
    <row r="117" spans="2:50">
      <c r="B117" s="572"/>
      <c r="C117" s="436">
        <v>6</v>
      </c>
      <c r="D117" s="226" t="s">
        <v>379</v>
      </c>
      <c r="E117" s="182">
        <v>16</v>
      </c>
      <c r="F117" s="436">
        <v>1565</v>
      </c>
      <c r="G117" s="437">
        <v>97.8</v>
      </c>
      <c r="H117" s="609"/>
      <c r="I117" s="446">
        <f t="shared" si="27"/>
        <v>15.857142857142858</v>
      </c>
      <c r="J117" s="446">
        <f t="shared" si="27"/>
        <v>1383.5668757098586</v>
      </c>
      <c r="K117" s="438">
        <f t="shared" si="27"/>
        <v>87.285854901934187</v>
      </c>
      <c r="L117" s="541"/>
      <c r="M117" s="445">
        <f>RANK(K117, K$112:$K$141)</f>
        <v>3</v>
      </c>
      <c r="N117" s="559"/>
      <c r="O117" s="559"/>
      <c r="P117" s="182">
        <v>16</v>
      </c>
      <c r="Q117" s="182">
        <v>1388.4507042253506</v>
      </c>
      <c r="R117" s="182">
        <v>86.778169014084412</v>
      </c>
      <c r="S117" s="436">
        <f t="shared" si="28"/>
        <v>3</v>
      </c>
      <c r="T117" s="605"/>
      <c r="U117" s="182">
        <v>15</v>
      </c>
      <c r="V117" s="182">
        <v>1365.7142857142871</v>
      </c>
      <c r="W117" s="182">
        <v>91.047619047619136</v>
      </c>
      <c r="X117" s="436">
        <f t="shared" si="29"/>
        <v>3</v>
      </c>
      <c r="Y117" s="605"/>
      <c r="Z117" s="182">
        <v>16</v>
      </c>
      <c r="AA117" s="182">
        <v>1379.0163934426241</v>
      </c>
      <c r="AB117" s="182">
        <v>86.188524590164008</v>
      </c>
      <c r="AC117" s="436">
        <f t="shared" si="30"/>
        <v>3</v>
      </c>
      <c r="AD117" s="605"/>
      <c r="AE117" s="182">
        <v>16</v>
      </c>
      <c r="AF117" s="182">
        <v>1409.523809523811</v>
      </c>
      <c r="AG117" s="182">
        <v>88.095238095238187</v>
      </c>
      <c r="AH117" s="436">
        <f t="shared" si="31"/>
        <v>3</v>
      </c>
      <c r="AI117" s="605"/>
      <c r="AJ117" s="182">
        <v>16</v>
      </c>
      <c r="AK117" s="182">
        <v>1380.9090909090924</v>
      </c>
      <c r="AL117" s="182">
        <v>86.306818181818272</v>
      </c>
      <c r="AM117" s="436">
        <f t="shared" si="32"/>
        <v>3</v>
      </c>
      <c r="AN117" s="605"/>
      <c r="AO117" s="182">
        <v>16</v>
      </c>
      <c r="AP117" s="182">
        <v>1366.1538461538453</v>
      </c>
      <c r="AQ117" s="182">
        <v>85.38461538461533</v>
      </c>
      <c r="AR117" s="436">
        <f t="shared" si="33"/>
        <v>3</v>
      </c>
      <c r="AS117" s="605"/>
      <c r="AT117" s="182">
        <v>16</v>
      </c>
      <c r="AU117" s="182">
        <v>1395.1999999999989</v>
      </c>
      <c r="AV117" s="182">
        <v>87.199999999999932</v>
      </c>
      <c r="AW117" s="436">
        <f t="shared" si="34"/>
        <v>3</v>
      </c>
      <c r="AX117" s="605"/>
    </row>
    <row r="118" spans="2:50">
      <c r="B118" s="572"/>
      <c r="C118" s="436">
        <v>7</v>
      </c>
      <c r="D118" s="226" t="s">
        <v>340</v>
      </c>
      <c r="E118" s="182">
        <v>14</v>
      </c>
      <c r="F118" s="436">
        <v>1440</v>
      </c>
      <c r="G118" s="437">
        <v>102.9</v>
      </c>
      <c r="H118" s="609"/>
      <c r="I118" s="446">
        <f t="shared" si="27"/>
        <v>15</v>
      </c>
      <c r="J118" s="446">
        <f t="shared" si="27"/>
        <v>1110.0543280991062</v>
      </c>
      <c r="K118" s="438">
        <f t="shared" si="27"/>
        <v>74.00362187327373</v>
      </c>
      <c r="L118" s="541"/>
      <c r="M118" s="445">
        <f>RANK(K118, K$112:$K$141)</f>
        <v>12</v>
      </c>
      <c r="N118" s="559"/>
      <c r="O118" s="559"/>
      <c r="P118" s="182">
        <v>15</v>
      </c>
      <c r="Q118" s="182">
        <v>1030.3448275862047</v>
      </c>
      <c r="R118" s="182">
        <v>68.689655172413651</v>
      </c>
      <c r="S118" s="436">
        <f t="shared" si="28"/>
        <v>23</v>
      </c>
      <c r="T118" s="605"/>
      <c r="U118" s="182">
        <v>15</v>
      </c>
      <c r="V118" s="182">
        <v>1226.0869565217349</v>
      </c>
      <c r="W118" s="182">
        <v>81.739130434782325</v>
      </c>
      <c r="X118" s="436">
        <f t="shared" si="29"/>
        <v>6</v>
      </c>
      <c r="Y118" s="605"/>
      <c r="Z118" s="182">
        <v>15</v>
      </c>
      <c r="AA118" s="182">
        <v>1017.4999999999967</v>
      </c>
      <c r="AB118" s="182">
        <v>67.833333333333115</v>
      </c>
      <c r="AC118" s="436">
        <f t="shared" si="30"/>
        <v>23</v>
      </c>
      <c r="AD118" s="605"/>
      <c r="AE118" s="182">
        <v>15</v>
      </c>
      <c r="AF118" s="182">
        <v>1031.999999999997</v>
      </c>
      <c r="AG118" s="182">
        <v>68.799999999999798</v>
      </c>
      <c r="AH118" s="436">
        <f t="shared" si="31"/>
        <v>22</v>
      </c>
      <c r="AI118" s="605"/>
      <c r="AJ118" s="182">
        <v>15</v>
      </c>
      <c r="AK118" s="182">
        <v>1231.5789473684151</v>
      </c>
      <c r="AL118" s="182">
        <v>82.105263157894342</v>
      </c>
      <c r="AM118" s="436">
        <f t="shared" si="32"/>
        <v>5</v>
      </c>
      <c r="AN118" s="605"/>
      <c r="AO118" s="182">
        <v>15</v>
      </c>
      <c r="AP118" s="182">
        <v>1011.9999999999981</v>
      </c>
      <c r="AQ118" s="182">
        <v>67.466666666666541</v>
      </c>
      <c r="AR118" s="436">
        <f t="shared" si="33"/>
        <v>24</v>
      </c>
      <c r="AS118" s="605"/>
      <c r="AT118" s="182">
        <v>15</v>
      </c>
      <c r="AU118" s="182">
        <v>1220.8695652173956</v>
      </c>
      <c r="AV118" s="182">
        <v>81.391304347826377</v>
      </c>
      <c r="AW118" s="436">
        <f t="shared" si="34"/>
        <v>6</v>
      </c>
      <c r="AX118" s="605"/>
    </row>
    <row r="119" spans="2:50">
      <c r="B119" s="572"/>
      <c r="C119" s="436">
        <v>8</v>
      </c>
      <c r="D119" s="226" t="s">
        <v>378</v>
      </c>
      <c r="E119" s="182">
        <v>16</v>
      </c>
      <c r="F119" s="436">
        <v>1440</v>
      </c>
      <c r="G119" s="437">
        <v>90</v>
      </c>
      <c r="H119" s="609"/>
      <c r="I119" s="446">
        <f t="shared" si="27"/>
        <v>16</v>
      </c>
      <c r="J119" s="446">
        <f t="shared" si="27"/>
        <v>1226.7571840757312</v>
      </c>
      <c r="K119" s="438">
        <f t="shared" si="27"/>
        <v>76.672324004733198</v>
      </c>
      <c r="L119" s="541"/>
      <c r="M119" s="445">
        <f>RANK(K119, K$112:$K$141)</f>
        <v>9</v>
      </c>
      <c r="N119" s="559"/>
      <c r="O119" s="559"/>
      <c r="P119" s="182">
        <v>16</v>
      </c>
      <c r="Q119" s="182">
        <v>1195.1351351351343</v>
      </c>
      <c r="R119" s="182">
        <v>74.695945945945894</v>
      </c>
      <c r="S119" s="436">
        <f t="shared" si="28"/>
        <v>11</v>
      </c>
      <c r="T119" s="605"/>
      <c r="U119" s="182">
        <v>16</v>
      </c>
      <c r="V119" s="182">
        <v>1194.9999999999991</v>
      </c>
      <c r="W119" s="182">
        <v>74.687499999999943</v>
      </c>
      <c r="X119" s="436">
        <f t="shared" si="29"/>
        <v>12</v>
      </c>
      <c r="Y119" s="605"/>
      <c r="Z119" s="182">
        <v>16</v>
      </c>
      <c r="AA119" s="182">
        <v>1219.3548387096753</v>
      </c>
      <c r="AB119" s="182">
        <v>76.209677419354705</v>
      </c>
      <c r="AC119" s="436">
        <f t="shared" si="30"/>
        <v>10</v>
      </c>
      <c r="AD119" s="605"/>
      <c r="AE119" s="182">
        <v>16</v>
      </c>
      <c r="AF119" s="182">
        <v>1214.5454545454531</v>
      </c>
      <c r="AG119" s="182">
        <v>75.909090909090821</v>
      </c>
      <c r="AH119" s="436">
        <f t="shared" si="31"/>
        <v>7</v>
      </c>
      <c r="AI119" s="605"/>
      <c r="AJ119" s="182">
        <v>16</v>
      </c>
      <c r="AK119" s="182">
        <v>1243.1249999999982</v>
      </c>
      <c r="AL119" s="182">
        <v>77.695312499999886</v>
      </c>
      <c r="AM119" s="436">
        <f t="shared" si="32"/>
        <v>7</v>
      </c>
      <c r="AN119" s="605"/>
      <c r="AO119" s="182">
        <v>16</v>
      </c>
      <c r="AP119" s="182">
        <v>1229.2307692307686</v>
      </c>
      <c r="AQ119" s="182">
        <v>76.826923076923038</v>
      </c>
      <c r="AR119" s="436">
        <f t="shared" si="33"/>
        <v>8</v>
      </c>
      <c r="AS119" s="605"/>
      <c r="AT119" s="182">
        <v>16</v>
      </c>
      <c r="AU119" s="182">
        <v>1290.9090909090892</v>
      </c>
      <c r="AV119" s="182">
        <v>80.681818181818073</v>
      </c>
      <c r="AW119" s="436">
        <f t="shared" si="34"/>
        <v>7</v>
      </c>
      <c r="AX119" s="605"/>
    </row>
    <row r="120" spans="2:50">
      <c r="B120" s="572"/>
      <c r="C120" s="436">
        <v>9</v>
      </c>
      <c r="D120" s="226" t="s">
        <v>374</v>
      </c>
      <c r="E120" s="182">
        <v>18</v>
      </c>
      <c r="F120" s="436">
        <v>1440</v>
      </c>
      <c r="G120" s="437">
        <v>80</v>
      </c>
      <c r="H120" s="609"/>
      <c r="I120" s="446">
        <f t="shared" si="27"/>
        <v>17</v>
      </c>
      <c r="J120" s="446">
        <f t="shared" si="27"/>
        <v>1170.5979970895132</v>
      </c>
      <c r="K120" s="438">
        <f t="shared" si="27"/>
        <v>68.858705711147834</v>
      </c>
      <c r="L120" s="541"/>
      <c r="M120" s="445">
        <f>RANK(K120, K$112:$K$141)</f>
        <v>22</v>
      </c>
      <c r="N120" s="559"/>
      <c r="O120" s="559"/>
      <c r="P120" s="182">
        <v>17</v>
      </c>
      <c r="Q120" s="182">
        <v>1163.4782608695652</v>
      </c>
      <c r="R120" s="182">
        <v>68.43989769820972</v>
      </c>
      <c r="S120" s="436">
        <f t="shared" si="28"/>
        <v>25</v>
      </c>
      <c r="T120" s="605"/>
      <c r="U120" s="182">
        <v>17</v>
      </c>
      <c r="V120" s="182">
        <v>1151.7391304347825</v>
      </c>
      <c r="W120" s="182">
        <v>67.749360613810737</v>
      </c>
      <c r="X120" s="436">
        <f t="shared" si="29"/>
        <v>24</v>
      </c>
      <c r="Y120" s="605"/>
      <c r="Z120" s="182">
        <v>17</v>
      </c>
      <c r="AA120" s="182">
        <v>1160.9999999999995</v>
      </c>
      <c r="AB120" s="182">
        <v>68.294117647058798</v>
      </c>
      <c r="AC120" s="436">
        <f t="shared" si="30"/>
        <v>22</v>
      </c>
      <c r="AD120" s="605"/>
      <c r="AE120" s="182">
        <v>17</v>
      </c>
      <c r="AF120" s="182">
        <v>1195.4999999999995</v>
      </c>
      <c r="AG120" s="182">
        <v>70.323529411764682</v>
      </c>
      <c r="AH120" s="436">
        <f t="shared" si="31"/>
        <v>17</v>
      </c>
      <c r="AI120" s="605"/>
      <c r="AJ120" s="182">
        <v>17</v>
      </c>
      <c r="AK120" s="182">
        <v>1168.3333333333323</v>
      </c>
      <c r="AL120" s="182">
        <v>68.725490196078368</v>
      </c>
      <c r="AM120" s="436">
        <f t="shared" si="32"/>
        <v>23</v>
      </c>
      <c r="AN120" s="605"/>
      <c r="AO120" s="182">
        <v>17</v>
      </c>
      <c r="AP120" s="182">
        <v>1207.3170731707312</v>
      </c>
      <c r="AQ120" s="182">
        <v>71.018651362984187</v>
      </c>
      <c r="AR120" s="436">
        <f t="shared" si="33"/>
        <v>18</v>
      </c>
      <c r="AS120" s="605"/>
      <c r="AT120" s="182">
        <v>17</v>
      </c>
      <c r="AU120" s="182">
        <v>1146.8181818181818</v>
      </c>
      <c r="AV120" s="182">
        <v>67.459893048128336</v>
      </c>
      <c r="AW120" s="436">
        <f t="shared" si="34"/>
        <v>24</v>
      </c>
      <c r="AX120" s="605"/>
    </row>
    <row r="121" spans="2:50">
      <c r="B121" s="572"/>
      <c r="C121" s="436">
        <v>10</v>
      </c>
      <c r="D121" s="226" t="s">
        <v>377</v>
      </c>
      <c r="E121" s="182">
        <v>18</v>
      </c>
      <c r="F121" s="436">
        <v>1636</v>
      </c>
      <c r="G121" s="437">
        <v>90.9</v>
      </c>
      <c r="H121" s="609"/>
      <c r="I121" s="446">
        <f t="shared" si="27"/>
        <v>18</v>
      </c>
      <c r="J121" s="446">
        <f t="shared" si="27"/>
        <v>1259.9113748065142</v>
      </c>
      <c r="K121" s="438">
        <f t="shared" si="27"/>
        <v>69.995076378139672</v>
      </c>
      <c r="L121" s="541"/>
      <c r="M121" s="445">
        <f>RANK(K121, K$112:$K$141)</f>
        <v>20</v>
      </c>
      <c r="N121" s="559"/>
      <c r="O121" s="559"/>
      <c r="P121" s="182">
        <v>18</v>
      </c>
      <c r="Q121" s="182">
        <v>1268.7500000000005</v>
      </c>
      <c r="R121" s="182">
        <v>70.486111111111143</v>
      </c>
      <c r="S121" s="436">
        <f t="shared" si="28"/>
        <v>16</v>
      </c>
      <c r="T121" s="605"/>
      <c r="U121" s="182">
        <v>18</v>
      </c>
      <c r="V121" s="182">
        <v>1238.2978723404256</v>
      </c>
      <c r="W121" s="182">
        <v>68.794326241134755</v>
      </c>
      <c r="X121" s="436">
        <f t="shared" si="29"/>
        <v>23</v>
      </c>
      <c r="Y121" s="605"/>
      <c r="Z121" s="182">
        <v>18</v>
      </c>
      <c r="AA121" s="182">
        <v>1268.9999999999995</v>
      </c>
      <c r="AB121" s="182">
        <v>70.499999999999972</v>
      </c>
      <c r="AC121" s="436">
        <f t="shared" si="30"/>
        <v>18</v>
      </c>
      <c r="AD121" s="605"/>
      <c r="AE121" s="182">
        <v>18</v>
      </c>
      <c r="AF121" s="182">
        <v>1265.5813953488371</v>
      </c>
      <c r="AG121" s="182">
        <v>70.310077519379831</v>
      </c>
      <c r="AH121" s="436">
        <f t="shared" si="31"/>
        <v>18</v>
      </c>
      <c r="AI121" s="605"/>
      <c r="AJ121" s="182">
        <v>18</v>
      </c>
      <c r="AK121" s="182">
        <v>1251.627906976744</v>
      </c>
      <c r="AL121" s="182">
        <v>69.534883720930225</v>
      </c>
      <c r="AM121" s="436">
        <f t="shared" si="32"/>
        <v>21</v>
      </c>
      <c r="AN121" s="605"/>
      <c r="AO121" s="182">
        <v>18</v>
      </c>
      <c r="AP121" s="182">
        <v>1260.0000000000005</v>
      </c>
      <c r="AQ121" s="182">
        <v>70.000000000000028</v>
      </c>
      <c r="AR121" s="436">
        <f t="shared" si="33"/>
        <v>21</v>
      </c>
      <c r="AS121" s="605"/>
      <c r="AT121" s="182">
        <v>18</v>
      </c>
      <c r="AU121" s="182">
        <v>1266.1224489795923</v>
      </c>
      <c r="AV121" s="182">
        <v>70.340136054421791</v>
      </c>
      <c r="AW121" s="436">
        <f t="shared" si="34"/>
        <v>21</v>
      </c>
      <c r="AX121" s="605"/>
    </row>
    <row r="122" spans="2:50">
      <c r="B122" s="572"/>
      <c r="C122" s="436">
        <v>11</v>
      </c>
      <c r="D122" s="226" t="s">
        <v>376</v>
      </c>
      <c r="E122" s="182">
        <v>18</v>
      </c>
      <c r="F122" s="436">
        <v>1636</v>
      </c>
      <c r="G122" s="437">
        <v>90.9</v>
      </c>
      <c r="H122" s="609"/>
      <c r="I122" s="446">
        <f t="shared" si="27"/>
        <v>18.857142857142858</v>
      </c>
      <c r="J122" s="446">
        <f t="shared" si="27"/>
        <v>1277.1848315040154</v>
      </c>
      <c r="K122" s="438">
        <f t="shared" si="27"/>
        <v>67.745927446937131</v>
      </c>
      <c r="L122" s="541"/>
      <c r="M122" s="445">
        <f>RANK(K122, K$112:$K$141)</f>
        <v>24</v>
      </c>
      <c r="N122" s="559"/>
      <c r="O122" s="559"/>
      <c r="P122" s="182">
        <v>18</v>
      </c>
      <c r="Q122" s="182">
        <v>1258.4615384615379</v>
      </c>
      <c r="R122" s="182">
        <v>69.914529914529879</v>
      </c>
      <c r="S122" s="436">
        <f t="shared" si="28"/>
        <v>18</v>
      </c>
      <c r="T122" s="605"/>
      <c r="U122" s="182">
        <v>19</v>
      </c>
      <c r="V122" s="182">
        <v>1268.1081081081072</v>
      </c>
      <c r="W122" s="182">
        <v>66.742532005689853</v>
      </c>
      <c r="X122" s="436">
        <f t="shared" si="29"/>
        <v>25</v>
      </c>
      <c r="Y122" s="605"/>
      <c r="Z122" s="182">
        <v>19</v>
      </c>
      <c r="AA122" s="182">
        <v>1316.1290322580626</v>
      </c>
      <c r="AB122" s="182">
        <v>69.269949066213826</v>
      </c>
      <c r="AC122" s="436">
        <f t="shared" si="30"/>
        <v>19</v>
      </c>
      <c r="AD122" s="605"/>
      <c r="AE122" s="182">
        <v>19</v>
      </c>
      <c r="AF122" s="182">
        <v>1235.9999999999989</v>
      </c>
      <c r="AG122" s="182">
        <v>65.052631578947313</v>
      </c>
      <c r="AH122" s="436">
        <f t="shared" si="31"/>
        <v>25</v>
      </c>
      <c r="AI122" s="605"/>
      <c r="AJ122" s="182">
        <v>19</v>
      </c>
      <c r="AK122" s="182">
        <v>1311.9999999999977</v>
      </c>
      <c r="AL122" s="182">
        <v>69.052631578947242</v>
      </c>
      <c r="AM122" s="436">
        <f t="shared" si="32"/>
        <v>22</v>
      </c>
      <c r="AN122" s="605"/>
      <c r="AO122" s="182">
        <v>19</v>
      </c>
      <c r="AP122" s="182">
        <v>1274.2105263157887</v>
      </c>
      <c r="AQ122" s="182">
        <v>67.063711911357302</v>
      </c>
      <c r="AR122" s="436">
        <f t="shared" si="33"/>
        <v>25</v>
      </c>
      <c r="AS122" s="605"/>
      <c r="AT122" s="182">
        <v>19</v>
      </c>
      <c r="AU122" s="182">
        <v>1275.3846153846148</v>
      </c>
      <c r="AV122" s="182">
        <v>67.125506072874458</v>
      </c>
      <c r="AW122" s="436">
        <f t="shared" si="34"/>
        <v>25</v>
      </c>
      <c r="AX122" s="605"/>
    </row>
    <row r="123" spans="2:50">
      <c r="B123" s="572"/>
      <c r="C123" s="436">
        <v>12</v>
      </c>
      <c r="D123" s="226" t="s">
        <v>353</v>
      </c>
      <c r="E123" s="182">
        <v>17</v>
      </c>
      <c r="F123" s="436">
        <v>1500</v>
      </c>
      <c r="G123" s="437">
        <v>88.2</v>
      </c>
      <c r="H123" s="609"/>
      <c r="I123" s="446">
        <f t="shared" si="27"/>
        <v>17</v>
      </c>
      <c r="J123" s="446">
        <f t="shared" si="27"/>
        <v>1245.3076837317983</v>
      </c>
      <c r="K123" s="438">
        <f t="shared" si="27"/>
        <v>73.253393160694017</v>
      </c>
      <c r="L123" s="541"/>
      <c r="M123" s="445">
        <f>RANK(K123, K$112:$K$141)</f>
        <v>16</v>
      </c>
      <c r="N123" s="559"/>
      <c r="O123" s="559"/>
      <c r="P123" s="182">
        <v>17</v>
      </c>
      <c r="Q123" s="182">
        <v>1268.823529411763</v>
      </c>
      <c r="R123" s="182">
        <v>74.636678200691946</v>
      </c>
      <c r="S123" s="436">
        <f t="shared" si="28"/>
        <v>12</v>
      </c>
      <c r="T123" s="605"/>
      <c r="U123" s="182">
        <v>17</v>
      </c>
      <c r="V123" s="182">
        <v>1256.5714285714273</v>
      </c>
      <c r="W123" s="182">
        <v>73.915966386554544</v>
      </c>
      <c r="X123" s="436">
        <f t="shared" si="29"/>
        <v>15</v>
      </c>
      <c r="Y123" s="605"/>
      <c r="Z123" s="182">
        <v>17</v>
      </c>
      <c r="AA123" s="182">
        <v>1111.8749999999984</v>
      </c>
      <c r="AB123" s="182">
        <v>65.404411764705785</v>
      </c>
      <c r="AC123" s="436">
        <f t="shared" si="30"/>
        <v>25</v>
      </c>
      <c r="AD123" s="605"/>
      <c r="AE123" s="182">
        <v>17</v>
      </c>
      <c r="AF123" s="182">
        <v>1250.9090909090894</v>
      </c>
      <c r="AG123" s="182">
        <v>73.58288770053467</v>
      </c>
      <c r="AH123" s="436">
        <f t="shared" si="31"/>
        <v>11</v>
      </c>
      <c r="AI123" s="605"/>
      <c r="AJ123" s="182">
        <v>17</v>
      </c>
      <c r="AK123" s="182">
        <v>1274.4827586206873</v>
      </c>
      <c r="AL123" s="182">
        <v>74.96957403651102</v>
      </c>
      <c r="AM123" s="436">
        <f t="shared" si="32"/>
        <v>13</v>
      </c>
      <c r="AN123" s="605"/>
      <c r="AO123" s="182">
        <v>17</v>
      </c>
      <c r="AP123" s="182">
        <v>1292.7272727272712</v>
      </c>
      <c r="AQ123" s="182">
        <v>76.042780748663006</v>
      </c>
      <c r="AR123" s="436">
        <f t="shared" si="33"/>
        <v>9</v>
      </c>
      <c r="AS123" s="605"/>
      <c r="AT123" s="182">
        <v>17</v>
      </c>
      <c r="AU123" s="182">
        <v>1261.7647058823513</v>
      </c>
      <c r="AV123" s="182">
        <v>74.221453287197136</v>
      </c>
      <c r="AW123" s="436">
        <f t="shared" si="34"/>
        <v>14</v>
      </c>
      <c r="AX123" s="605"/>
    </row>
    <row r="124" spans="2:50">
      <c r="B124" s="572"/>
      <c r="C124" s="436">
        <v>13</v>
      </c>
      <c r="D124" s="226" t="s">
        <v>588</v>
      </c>
      <c r="E124" s="182">
        <v>18</v>
      </c>
      <c r="F124" s="436">
        <v>1440</v>
      </c>
      <c r="G124" s="437">
        <v>80</v>
      </c>
      <c r="H124" s="609"/>
      <c r="I124" s="446">
        <f t="shared" si="27"/>
        <v>18</v>
      </c>
      <c r="J124" s="446">
        <f t="shared" si="27"/>
        <v>1332.9247840969431</v>
      </c>
      <c r="K124" s="438">
        <f t="shared" si="27"/>
        <v>74.051376894274583</v>
      </c>
      <c r="L124" s="541"/>
      <c r="M124" s="445">
        <f>RANK(K124, K$112:$K$141)</f>
        <v>11</v>
      </c>
      <c r="N124" s="559"/>
      <c r="O124" s="559"/>
      <c r="P124" s="182">
        <v>18</v>
      </c>
      <c r="Q124" s="182">
        <v>1352.3809523809537</v>
      </c>
      <c r="R124" s="182">
        <v>75.132275132275197</v>
      </c>
      <c r="S124" s="436">
        <f t="shared" si="28"/>
        <v>8</v>
      </c>
      <c r="T124" s="605"/>
      <c r="U124" s="182">
        <v>18</v>
      </c>
      <c r="V124" s="182">
        <v>1324.1379310344837</v>
      </c>
      <c r="W124" s="182">
        <v>73.56321839080465</v>
      </c>
      <c r="X124" s="436">
        <f t="shared" si="29"/>
        <v>16</v>
      </c>
      <c r="Y124" s="605"/>
      <c r="Z124" s="182">
        <v>18</v>
      </c>
      <c r="AA124" s="182">
        <v>1330.8000000000004</v>
      </c>
      <c r="AB124" s="182">
        <v>73.933333333333351</v>
      </c>
      <c r="AC124" s="436">
        <f t="shared" si="30"/>
        <v>12</v>
      </c>
      <c r="AD124" s="605"/>
      <c r="AE124" s="182">
        <v>18</v>
      </c>
      <c r="AF124" s="182">
        <v>1316.8421052631588</v>
      </c>
      <c r="AG124" s="182">
        <v>73.157894736842152</v>
      </c>
      <c r="AH124" s="436">
        <f t="shared" si="31"/>
        <v>12</v>
      </c>
      <c r="AI124" s="605"/>
      <c r="AJ124" s="182">
        <v>18</v>
      </c>
      <c r="AK124" s="182">
        <v>1346</v>
      </c>
      <c r="AL124" s="182">
        <v>74.777777777777771</v>
      </c>
      <c r="AM124" s="436">
        <f t="shared" si="32"/>
        <v>14</v>
      </c>
      <c r="AN124" s="605"/>
      <c r="AO124" s="182">
        <v>18</v>
      </c>
      <c r="AP124" s="182">
        <v>1330.0000000000014</v>
      </c>
      <c r="AQ124" s="182">
        <v>73.888888888888971</v>
      </c>
      <c r="AR124" s="436">
        <f t="shared" si="33"/>
        <v>13</v>
      </c>
      <c r="AS124" s="605"/>
      <c r="AT124" s="182">
        <v>18</v>
      </c>
      <c r="AU124" s="182">
        <v>1330.3125000000016</v>
      </c>
      <c r="AV124" s="182">
        <v>73.906250000000085</v>
      </c>
      <c r="AW124" s="436">
        <f t="shared" si="34"/>
        <v>17</v>
      </c>
      <c r="AX124" s="605"/>
    </row>
    <row r="125" spans="2:50">
      <c r="B125" s="572"/>
      <c r="C125" s="436">
        <v>14</v>
      </c>
      <c r="D125" s="226" t="s">
        <v>381</v>
      </c>
      <c r="E125" s="182">
        <v>15</v>
      </c>
      <c r="F125" s="436">
        <v>1440</v>
      </c>
      <c r="G125" s="437">
        <v>96</v>
      </c>
      <c r="H125" s="609"/>
      <c r="I125" s="446">
        <f t="shared" si="27"/>
        <v>16.142857142857142</v>
      </c>
      <c r="J125" s="446">
        <f t="shared" si="27"/>
        <v>1282.578458393788</v>
      </c>
      <c r="K125" s="438">
        <f t="shared" si="27"/>
        <v>79.561599542254527</v>
      </c>
      <c r="L125" s="541"/>
      <c r="M125" s="445">
        <f>RANK(K125, K$112:$K$141)</f>
        <v>5</v>
      </c>
      <c r="N125" s="559"/>
      <c r="O125" s="559"/>
      <c r="P125" s="182">
        <v>15</v>
      </c>
      <c r="Q125" s="182">
        <v>1267.0588235294124</v>
      </c>
      <c r="R125" s="182">
        <v>84.470588235294159</v>
      </c>
      <c r="S125" s="436">
        <f t="shared" si="28"/>
        <v>4</v>
      </c>
      <c r="T125" s="605"/>
      <c r="U125" s="182">
        <v>16</v>
      </c>
      <c r="V125" s="182">
        <v>1256.7857142857151</v>
      </c>
      <c r="W125" s="182">
        <v>78.549107142857196</v>
      </c>
      <c r="X125" s="436">
        <f t="shared" si="29"/>
        <v>7</v>
      </c>
      <c r="Y125" s="605"/>
      <c r="Z125" s="182">
        <v>17</v>
      </c>
      <c r="AA125" s="182">
        <v>1320</v>
      </c>
      <c r="AB125" s="182">
        <v>77.647058823529406</v>
      </c>
      <c r="AC125" s="436">
        <f t="shared" si="30"/>
        <v>7</v>
      </c>
      <c r="AD125" s="605"/>
      <c r="AE125" s="182">
        <v>17</v>
      </c>
      <c r="AF125" s="182">
        <v>1257.5510204081636</v>
      </c>
      <c r="AG125" s="182">
        <v>73.973589435774329</v>
      </c>
      <c r="AH125" s="436">
        <f t="shared" si="31"/>
        <v>9</v>
      </c>
      <c r="AI125" s="605"/>
      <c r="AJ125" s="182">
        <v>16</v>
      </c>
      <c r="AK125" s="182">
        <v>1270.4347826086957</v>
      </c>
      <c r="AL125" s="182">
        <v>79.402173913043484</v>
      </c>
      <c r="AM125" s="436">
        <f t="shared" si="32"/>
        <v>6</v>
      </c>
      <c r="AN125" s="605"/>
      <c r="AO125" s="182">
        <v>16</v>
      </c>
      <c r="AP125" s="182">
        <v>1303.0188679245289</v>
      </c>
      <c r="AQ125" s="182">
        <v>81.438679245283055</v>
      </c>
      <c r="AR125" s="436">
        <f t="shared" si="33"/>
        <v>5</v>
      </c>
      <c r="AS125" s="605"/>
      <c r="AT125" s="182">
        <v>16</v>
      </c>
      <c r="AU125" s="182">
        <v>1303.2000000000003</v>
      </c>
      <c r="AV125" s="182">
        <v>81.450000000000017</v>
      </c>
      <c r="AW125" s="436">
        <f t="shared" si="34"/>
        <v>5</v>
      </c>
      <c r="AX125" s="605"/>
    </row>
    <row r="126" spans="2:50">
      <c r="B126" s="572"/>
      <c r="C126" s="436">
        <v>15</v>
      </c>
      <c r="D126" s="226" t="s">
        <v>342</v>
      </c>
      <c r="E126" s="182">
        <v>17</v>
      </c>
      <c r="F126" s="436">
        <v>1440</v>
      </c>
      <c r="G126" s="437">
        <v>84.7</v>
      </c>
      <c r="H126" s="609"/>
      <c r="I126" s="446">
        <f t="shared" si="27"/>
        <v>17</v>
      </c>
      <c r="J126" s="446">
        <f t="shared" si="27"/>
        <v>1330.6843753992591</v>
      </c>
      <c r="K126" s="438">
        <f t="shared" si="27"/>
        <v>78.413921411726619</v>
      </c>
      <c r="L126" s="541"/>
      <c r="M126" s="445">
        <f>RANK(K126, K$112:$K$141)</f>
        <v>6</v>
      </c>
      <c r="N126" s="559"/>
      <c r="O126" s="559"/>
      <c r="P126" s="182">
        <v>18</v>
      </c>
      <c r="Q126" s="182">
        <v>1330.76923076923</v>
      </c>
      <c r="R126" s="182">
        <v>73.931623931623889</v>
      </c>
      <c r="S126" s="436">
        <f t="shared" si="28"/>
        <v>14</v>
      </c>
      <c r="T126" s="605"/>
      <c r="U126" s="182">
        <v>16</v>
      </c>
      <c r="V126" s="182">
        <v>1345.9701492537297</v>
      </c>
      <c r="W126" s="182">
        <v>84.123134328358105</v>
      </c>
      <c r="X126" s="436">
        <f t="shared" si="29"/>
        <v>4</v>
      </c>
      <c r="Y126" s="605"/>
      <c r="Z126" s="182">
        <v>16</v>
      </c>
      <c r="AA126" s="182">
        <v>1320.0000000000014</v>
      </c>
      <c r="AB126" s="182">
        <v>82.500000000000085</v>
      </c>
      <c r="AC126" s="436">
        <f t="shared" si="30"/>
        <v>5</v>
      </c>
      <c r="AD126" s="605"/>
      <c r="AE126" s="182">
        <v>17</v>
      </c>
      <c r="AF126" s="182">
        <v>1243.3333333333378</v>
      </c>
      <c r="AG126" s="182">
        <v>73.137254901961043</v>
      </c>
      <c r="AH126" s="436">
        <f t="shared" si="31"/>
        <v>13</v>
      </c>
      <c r="AI126" s="605"/>
      <c r="AJ126" s="182">
        <v>18</v>
      </c>
      <c r="AK126" s="182">
        <v>1372.0588235294167</v>
      </c>
      <c r="AL126" s="182">
        <v>76.225490196078709</v>
      </c>
      <c r="AM126" s="436">
        <f t="shared" si="32"/>
        <v>11</v>
      </c>
      <c r="AN126" s="605"/>
      <c r="AO126" s="182">
        <v>17</v>
      </c>
      <c r="AP126" s="182">
        <v>1372.9090909090919</v>
      </c>
      <c r="AQ126" s="182">
        <v>80.759358288770116</v>
      </c>
      <c r="AR126" s="436">
        <f t="shared" si="33"/>
        <v>6</v>
      </c>
      <c r="AS126" s="605"/>
      <c r="AT126" s="182">
        <v>17</v>
      </c>
      <c r="AU126" s="182">
        <v>1329.7500000000048</v>
      </c>
      <c r="AV126" s="182">
        <v>78.2205882352944</v>
      </c>
      <c r="AW126" s="436">
        <f t="shared" si="34"/>
        <v>9</v>
      </c>
      <c r="AX126" s="605"/>
    </row>
    <row r="127" spans="2:50">
      <c r="B127" s="572"/>
      <c r="C127" s="436">
        <v>16</v>
      </c>
      <c r="D127" s="226" t="s">
        <v>375</v>
      </c>
      <c r="E127" s="182">
        <v>18</v>
      </c>
      <c r="F127" s="436">
        <v>1440</v>
      </c>
      <c r="G127" s="437">
        <v>80</v>
      </c>
      <c r="H127" s="609"/>
      <c r="I127" s="446">
        <f t="shared" si="27"/>
        <v>17.428571428571427</v>
      </c>
      <c r="J127" s="446">
        <f t="shared" si="27"/>
        <v>1275.9608748671039</v>
      </c>
      <c r="K127" s="438">
        <f t="shared" si="27"/>
        <v>73.255030931995407</v>
      </c>
      <c r="L127" s="541"/>
      <c r="M127" s="445">
        <f>RANK(K127, K$112:$K$141)</f>
        <v>15</v>
      </c>
      <c r="N127" s="559"/>
      <c r="O127" s="559"/>
      <c r="P127" s="182">
        <v>18</v>
      </c>
      <c r="Q127" s="182">
        <v>1250.588235294118</v>
      </c>
      <c r="R127" s="182">
        <v>69.477124183006552</v>
      </c>
      <c r="S127" s="436">
        <f t="shared" si="28"/>
        <v>19</v>
      </c>
      <c r="T127" s="605"/>
      <c r="U127" s="182">
        <v>17</v>
      </c>
      <c r="V127" s="182">
        <v>1276.5957446808513</v>
      </c>
      <c r="W127" s="182">
        <v>75.093867334167726</v>
      </c>
      <c r="X127" s="436">
        <f t="shared" si="29"/>
        <v>10</v>
      </c>
      <c r="Y127" s="605"/>
      <c r="Z127" s="182">
        <v>18</v>
      </c>
      <c r="AA127" s="182">
        <v>1316.842105263157</v>
      </c>
      <c r="AB127" s="182">
        <v>73.157894736842053</v>
      </c>
      <c r="AC127" s="436">
        <f t="shared" si="30"/>
        <v>14</v>
      </c>
      <c r="AD127" s="605"/>
      <c r="AE127" s="182">
        <v>18</v>
      </c>
      <c r="AF127" s="182">
        <v>1291.3636363636365</v>
      </c>
      <c r="AG127" s="182">
        <v>71.742424242424249</v>
      </c>
      <c r="AH127" s="436">
        <f t="shared" si="31"/>
        <v>15</v>
      </c>
      <c r="AI127" s="605"/>
      <c r="AJ127" s="182">
        <v>17</v>
      </c>
      <c r="AK127" s="182">
        <v>1255.8139534883719</v>
      </c>
      <c r="AL127" s="182">
        <v>73.871409028727754</v>
      </c>
      <c r="AM127" s="436">
        <f t="shared" si="32"/>
        <v>15</v>
      </c>
      <c r="AN127" s="605"/>
      <c r="AO127" s="182">
        <v>17</v>
      </c>
      <c r="AP127" s="182">
        <v>1266.1224489795923</v>
      </c>
      <c r="AQ127" s="182">
        <v>74.47779111644661</v>
      </c>
      <c r="AR127" s="436">
        <f t="shared" si="33"/>
        <v>11</v>
      </c>
      <c r="AS127" s="605"/>
      <c r="AT127" s="182">
        <v>17</v>
      </c>
      <c r="AU127" s="182">
        <v>1274.4000000000003</v>
      </c>
      <c r="AV127" s="182">
        <v>74.964705882352959</v>
      </c>
      <c r="AW127" s="436">
        <f t="shared" si="34"/>
        <v>13</v>
      </c>
      <c r="AX127" s="605"/>
    </row>
    <row r="128" spans="2:50">
      <c r="B128" s="572"/>
      <c r="C128" s="436">
        <v>17</v>
      </c>
      <c r="D128" s="226" t="s">
        <v>382</v>
      </c>
      <c r="E128" s="182">
        <v>18</v>
      </c>
      <c r="F128" s="436">
        <v>1500</v>
      </c>
      <c r="G128" s="437">
        <v>83.3</v>
      </c>
      <c r="H128" s="609"/>
      <c r="I128" s="446">
        <f t="shared" si="27"/>
        <v>18</v>
      </c>
      <c r="J128" s="446">
        <f t="shared" si="27"/>
        <v>1264.8562257227202</v>
      </c>
      <c r="K128" s="438">
        <f t="shared" si="27"/>
        <v>70.269790317928909</v>
      </c>
      <c r="L128" s="541"/>
      <c r="M128" s="445">
        <f>RANK(K128, K$112:$K$141)</f>
        <v>18</v>
      </c>
      <c r="N128" s="559"/>
      <c r="O128" s="559"/>
      <c r="P128" s="182">
        <v>18</v>
      </c>
      <c r="Q128" s="182">
        <v>1261.4634146341459</v>
      </c>
      <c r="R128" s="182">
        <v>70.081300813008113</v>
      </c>
      <c r="S128" s="436">
        <f t="shared" si="28"/>
        <v>17</v>
      </c>
      <c r="T128" s="605"/>
      <c r="U128" s="182">
        <v>18</v>
      </c>
      <c r="V128" s="182">
        <v>1276.2162162162151</v>
      </c>
      <c r="W128" s="182">
        <v>70.900900900900837</v>
      </c>
      <c r="X128" s="436">
        <f t="shared" si="29"/>
        <v>19</v>
      </c>
      <c r="Y128" s="605"/>
      <c r="Z128" s="182">
        <v>18</v>
      </c>
      <c r="AA128" s="182">
        <v>1270.9090909090894</v>
      </c>
      <c r="AB128" s="182">
        <v>70.606060606060524</v>
      </c>
      <c r="AC128" s="436">
        <f t="shared" si="30"/>
        <v>17</v>
      </c>
      <c r="AD128" s="605"/>
      <c r="AE128" s="182">
        <v>18</v>
      </c>
      <c r="AF128" s="182">
        <v>1259.9999999999989</v>
      </c>
      <c r="AG128" s="182">
        <v>69.999999999999943</v>
      </c>
      <c r="AH128" s="436">
        <f t="shared" si="31"/>
        <v>19</v>
      </c>
      <c r="AI128" s="605"/>
      <c r="AJ128" s="182">
        <v>18</v>
      </c>
      <c r="AK128" s="182">
        <v>1254.9999999999991</v>
      </c>
      <c r="AL128" s="182">
        <v>69.722222222222172</v>
      </c>
      <c r="AM128" s="436">
        <f t="shared" si="32"/>
        <v>19</v>
      </c>
      <c r="AN128" s="605"/>
      <c r="AO128" s="182">
        <v>18</v>
      </c>
      <c r="AP128" s="182">
        <v>1284.6153846153838</v>
      </c>
      <c r="AQ128" s="182">
        <v>71.36752136752132</v>
      </c>
      <c r="AR128" s="436">
        <f t="shared" si="33"/>
        <v>17</v>
      </c>
      <c r="AS128" s="605"/>
      <c r="AT128" s="182">
        <v>18</v>
      </c>
      <c r="AU128" s="182">
        <v>1245.7894736842097</v>
      </c>
      <c r="AV128" s="182">
        <v>69.210526315789423</v>
      </c>
      <c r="AW128" s="436">
        <f t="shared" si="34"/>
        <v>22</v>
      </c>
      <c r="AX128" s="605"/>
    </row>
    <row r="129" spans="2:50">
      <c r="B129" s="572"/>
      <c r="C129" s="436">
        <v>18</v>
      </c>
      <c r="D129" s="226" t="s">
        <v>453</v>
      </c>
      <c r="E129" s="182">
        <v>17</v>
      </c>
      <c r="F129" s="436">
        <v>1440</v>
      </c>
      <c r="G129" s="437">
        <v>84.7</v>
      </c>
      <c r="H129" s="609"/>
      <c r="I129" s="446">
        <f t="shared" si="27"/>
        <v>17</v>
      </c>
      <c r="J129" s="446">
        <f t="shared" si="27"/>
        <v>1086.7848484848482</v>
      </c>
      <c r="K129" s="438">
        <f t="shared" si="27"/>
        <v>63.928520499108721</v>
      </c>
      <c r="L129" s="541"/>
      <c r="M129" s="445">
        <f>RANK(K129, K$112:$K$141)</f>
        <v>25</v>
      </c>
      <c r="N129" s="559"/>
      <c r="O129" s="559"/>
      <c r="P129" s="182">
        <v>17</v>
      </c>
      <c r="Q129" s="182">
        <v>1120.7999999999968</v>
      </c>
      <c r="R129" s="182">
        <v>65.929411764705691</v>
      </c>
      <c r="S129" s="436">
        <f t="shared" si="28"/>
        <v>26</v>
      </c>
      <c r="T129" s="605"/>
      <c r="U129" s="182">
        <v>17</v>
      </c>
      <c r="V129" s="182">
        <v>1084.799999999997</v>
      </c>
      <c r="W129" s="182">
        <v>63.811764705882176</v>
      </c>
      <c r="X129" s="436">
        <f t="shared" si="29"/>
        <v>27</v>
      </c>
      <c r="Y129" s="605"/>
      <c r="Z129" s="182">
        <v>17</v>
      </c>
      <c r="AA129" s="182">
        <v>1080.0000000000039</v>
      </c>
      <c r="AB129" s="182">
        <v>63.529411764706111</v>
      </c>
      <c r="AC129" s="436">
        <f t="shared" si="30"/>
        <v>26</v>
      </c>
      <c r="AD129" s="605"/>
      <c r="AE129" s="182">
        <v>17</v>
      </c>
      <c r="AF129" s="182">
        <v>1052.7272727272764</v>
      </c>
      <c r="AG129" s="182">
        <v>61.925133689839789</v>
      </c>
      <c r="AH129" s="436">
        <f t="shared" si="31"/>
        <v>27</v>
      </c>
      <c r="AI129" s="605"/>
      <c r="AJ129" s="182">
        <v>17</v>
      </c>
      <c r="AK129" s="182">
        <v>1066.6666666666706</v>
      </c>
      <c r="AL129" s="182">
        <v>62.745098039215918</v>
      </c>
      <c r="AM129" s="436">
        <f t="shared" si="32"/>
        <v>27</v>
      </c>
      <c r="AN129" s="605"/>
      <c r="AO129" s="182">
        <v>17</v>
      </c>
      <c r="AP129" s="182">
        <v>1129.9999999999966</v>
      </c>
      <c r="AQ129" s="182">
        <v>66.470588235293917</v>
      </c>
      <c r="AR129" s="436">
        <f t="shared" si="33"/>
        <v>26</v>
      </c>
      <c r="AS129" s="605"/>
      <c r="AT129" s="182">
        <v>17</v>
      </c>
      <c r="AU129" s="182">
        <v>1072.4999999999966</v>
      </c>
      <c r="AV129" s="182">
        <v>63.088235294117446</v>
      </c>
      <c r="AW129" s="436">
        <f t="shared" si="34"/>
        <v>27</v>
      </c>
      <c r="AX129" s="605"/>
    </row>
    <row r="130" spans="2:50">
      <c r="B130" s="572"/>
      <c r="C130" s="436">
        <v>19</v>
      </c>
      <c r="D130" s="226" t="s">
        <v>498</v>
      </c>
      <c r="E130" s="182">
        <v>18</v>
      </c>
      <c r="F130" s="436">
        <v>1385</v>
      </c>
      <c r="G130" s="437">
        <v>76.900000000000006</v>
      </c>
      <c r="H130" s="609"/>
      <c r="I130" s="446">
        <f t="shared" si="27"/>
        <v>17</v>
      </c>
      <c r="J130" s="446">
        <f t="shared" si="27"/>
        <v>1177.1022046092687</v>
      </c>
      <c r="K130" s="438">
        <f t="shared" si="27"/>
        <v>69.241306153486377</v>
      </c>
      <c r="L130" s="541"/>
      <c r="M130" s="445">
        <f>RANK(K130, K$112:$K$141)</f>
        <v>21</v>
      </c>
      <c r="N130" s="559"/>
      <c r="O130" s="559"/>
      <c r="P130" s="182">
        <v>17</v>
      </c>
      <c r="Q130" s="182">
        <v>1165.5319148936173</v>
      </c>
      <c r="R130" s="182">
        <v>68.56070087609514</v>
      </c>
      <c r="S130" s="436">
        <f t="shared" si="28"/>
        <v>24</v>
      </c>
      <c r="T130" s="605"/>
      <c r="U130" s="182">
        <v>17</v>
      </c>
      <c r="V130" s="182">
        <v>1171.4285714285711</v>
      </c>
      <c r="W130" s="182">
        <v>68.907563025210067</v>
      </c>
      <c r="X130" s="436">
        <f t="shared" si="29"/>
        <v>21</v>
      </c>
      <c r="Y130" s="605"/>
      <c r="Z130" s="182">
        <v>17</v>
      </c>
      <c r="AA130" s="182">
        <v>1174.5454545454529</v>
      </c>
      <c r="AB130" s="182">
        <v>69.090909090908994</v>
      </c>
      <c r="AC130" s="436">
        <f t="shared" si="30"/>
        <v>20</v>
      </c>
      <c r="AD130" s="605"/>
      <c r="AE130" s="182">
        <v>17</v>
      </c>
      <c r="AF130" s="182">
        <v>1175.9999999999989</v>
      </c>
      <c r="AG130" s="182">
        <v>69.176470588235233</v>
      </c>
      <c r="AH130" s="436">
        <f t="shared" si="31"/>
        <v>21</v>
      </c>
      <c r="AI130" s="605"/>
      <c r="AJ130" s="182">
        <v>17</v>
      </c>
      <c r="AK130" s="182">
        <v>1153.1707317073167</v>
      </c>
      <c r="AL130" s="182">
        <v>67.833572453371573</v>
      </c>
      <c r="AM130" s="436">
        <f t="shared" si="32"/>
        <v>25</v>
      </c>
      <c r="AN130" s="605"/>
      <c r="AO130" s="182">
        <v>17</v>
      </c>
      <c r="AP130" s="182">
        <v>1190.6666666666667</v>
      </c>
      <c r="AQ130" s="182">
        <v>70.039215686274517</v>
      </c>
      <c r="AR130" s="436">
        <f t="shared" si="33"/>
        <v>20</v>
      </c>
      <c r="AS130" s="605"/>
      <c r="AT130" s="182">
        <v>17</v>
      </c>
      <c r="AU130" s="182">
        <v>1208.3720930232557</v>
      </c>
      <c r="AV130" s="182">
        <v>71.080711354309159</v>
      </c>
      <c r="AW130" s="436">
        <f t="shared" si="34"/>
        <v>20</v>
      </c>
      <c r="AX130" s="605"/>
    </row>
    <row r="131" spans="2:50">
      <c r="B131" s="572"/>
      <c r="C131" s="436">
        <v>20</v>
      </c>
      <c r="D131" s="226" t="s">
        <v>563</v>
      </c>
      <c r="E131" s="182">
        <v>18</v>
      </c>
      <c r="F131" s="436">
        <v>1440</v>
      </c>
      <c r="G131" s="437">
        <v>80</v>
      </c>
      <c r="H131" s="609"/>
      <c r="I131" s="446">
        <f t="shared" si="27"/>
        <v>17.571428571428573</v>
      </c>
      <c r="J131" s="446">
        <f t="shared" si="27"/>
        <v>1290.8862165985786</v>
      </c>
      <c r="K131" s="438">
        <f t="shared" si="27"/>
        <v>73.634290121851237</v>
      </c>
      <c r="L131" s="541"/>
      <c r="M131" s="445">
        <f>RANK(K131, K$112:$K$141)</f>
        <v>14</v>
      </c>
      <c r="N131" s="559"/>
      <c r="O131" s="559"/>
      <c r="P131" s="182">
        <v>17</v>
      </c>
      <c r="Q131" s="182">
        <v>1276.7441860465115</v>
      </c>
      <c r="R131" s="182">
        <v>75.10259917920655</v>
      </c>
      <c r="S131" s="436">
        <f t="shared" si="28"/>
        <v>9</v>
      </c>
      <c r="T131" s="605"/>
      <c r="U131" s="182">
        <v>17</v>
      </c>
      <c r="V131" s="182">
        <v>1325.4545454545455</v>
      </c>
      <c r="W131" s="182">
        <v>77.967914438502675</v>
      </c>
      <c r="X131" s="436">
        <f t="shared" si="29"/>
        <v>9</v>
      </c>
      <c r="Y131" s="605"/>
      <c r="Z131" s="182">
        <v>19</v>
      </c>
      <c r="AA131" s="182">
        <v>1307.3684210526305</v>
      </c>
      <c r="AB131" s="182">
        <v>68.808864265927923</v>
      </c>
      <c r="AC131" s="436">
        <f t="shared" si="30"/>
        <v>21</v>
      </c>
      <c r="AD131" s="605"/>
      <c r="AE131" s="182">
        <v>19</v>
      </c>
      <c r="AF131" s="182">
        <v>1292.9999999999995</v>
      </c>
      <c r="AG131" s="182">
        <v>68.052631578947341</v>
      </c>
      <c r="AH131" s="436">
        <f t="shared" si="31"/>
        <v>23</v>
      </c>
      <c r="AI131" s="605"/>
      <c r="AJ131" s="182">
        <v>17</v>
      </c>
      <c r="AK131" s="182">
        <v>1284.9999999999991</v>
      </c>
      <c r="AL131" s="182">
        <v>75.588235294117595</v>
      </c>
      <c r="AM131" s="436">
        <f t="shared" si="32"/>
        <v>12</v>
      </c>
      <c r="AN131" s="605"/>
      <c r="AO131" s="182">
        <v>17</v>
      </c>
      <c r="AP131" s="182">
        <v>1258.6363636363635</v>
      </c>
      <c r="AQ131" s="182">
        <v>74.037433155080208</v>
      </c>
      <c r="AR131" s="436">
        <f t="shared" si="33"/>
        <v>12</v>
      </c>
      <c r="AS131" s="605"/>
      <c r="AT131" s="182">
        <v>17</v>
      </c>
      <c r="AU131" s="182">
        <v>1289.9999999999995</v>
      </c>
      <c r="AV131" s="182">
        <v>75.88235294117645</v>
      </c>
      <c r="AW131" s="436">
        <f t="shared" si="34"/>
        <v>11</v>
      </c>
      <c r="AX131" s="605"/>
    </row>
    <row r="132" spans="2:50">
      <c r="B132" s="572"/>
      <c r="C132" s="436">
        <v>21</v>
      </c>
      <c r="D132" s="226" t="s">
        <v>589</v>
      </c>
      <c r="E132" s="182">
        <v>15</v>
      </c>
      <c r="F132" s="436">
        <v>1500</v>
      </c>
      <c r="G132" s="437">
        <v>100</v>
      </c>
      <c r="H132" s="609"/>
      <c r="I132" s="446">
        <f t="shared" si="27"/>
        <v>16.571428571428573</v>
      </c>
      <c r="J132" s="446">
        <f t="shared" si="27"/>
        <v>1276.2244857859489</v>
      </c>
      <c r="K132" s="438">
        <f t="shared" si="27"/>
        <v>77.099704364304472</v>
      </c>
      <c r="L132" s="541"/>
      <c r="M132" s="445">
        <f>RANK(K132, K$112:$K$141)</f>
        <v>7</v>
      </c>
      <c r="N132" s="559"/>
      <c r="O132" s="559"/>
      <c r="P132" s="182">
        <v>17</v>
      </c>
      <c r="Q132" s="182">
        <v>1265.9154929577453</v>
      </c>
      <c r="R132" s="182">
        <v>74.46561723280854</v>
      </c>
      <c r="S132" s="436">
        <f t="shared" si="28"/>
        <v>13</v>
      </c>
      <c r="T132" s="605"/>
      <c r="U132" s="182">
        <v>17</v>
      </c>
      <c r="V132" s="182">
        <v>1268.9552238805954</v>
      </c>
      <c r="W132" s="182">
        <v>74.644424934152667</v>
      </c>
      <c r="X132" s="436">
        <f t="shared" si="29"/>
        <v>13</v>
      </c>
      <c r="Y132" s="605"/>
      <c r="Z132" s="182">
        <v>16</v>
      </c>
      <c r="AA132" s="182">
        <v>1314.6428571428582</v>
      </c>
      <c r="AB132" s="182">
        <v>82.16517857142864</v>
      </c>
      <c r="AC132" s="436">
        <f t="shared" si="30"/>
        <v>6</v>
      </c>
      <c r="AD132" s="605"/>
      <c r="AE132" s="182">
        <v>16</v>
      </c>
      <c r="AF132" s="182">
        <v>1270.169491525425</v>
      </c>
      <c r="AG132" s="182">
        <v>79.385593220339061</v>
      </c>
      <c r="AH132" s="436">
        <f t="shared" si="31"/>
        <v>5</v>
      </c>
      <c r="AI132" s="605"/>
      <c r="AJ132" s="182">
        <v>17</v>
      </c>
      <c r="AK132" s="182">
        <v>1302.7118644067807</v>
      </c>
      <c r="AL132" s="182">
        <v>76.630109670987096</v>
      </c>
      <c r="AM132" s="436">
        <f t="shared" si="32"/>
        <v>10</v>
      </c>
      <c r="AN132" s="605"/>
      <c r="AO132" s="182">
        <v>17</v>
      </c>
      <c r="AP132" s="182">
        <v>1235.2941176470631</v>
      </c>
      <c r="AQ132" s="182">
        <v>72.664359861591947</v>
      </c>
      <c r="AR132" s="436">
        <f t="shared" si="33"/>
        <v>16</v>
      </c>
      <c r="AS132" s="605"/>
      <c r="AT132" s="182">
        <v>16</v>
      </c>
      <c r="AU132" s="182">
        <v>1275.8823529411748</v>
      </c>
      <c r="AV132" s="182">
        <v>79.742647058823422</v>
      </c>
      <c r="AW132" s="436">
        <f t="shared" si="34"/>
        <v>8</v>
      </c>
      <c r="AX132" s="605"/>
    </row>
    <row r="133" spans="2:50">
      <c r="B133" s="572"/>
      <c r="C133" s="436">
        <v>22</v>
      </c>
      <c r="D133" s="226" t="s">
        <v>601</v>
      </c>
      <c r="E133" s="182">
        <v>16</v>
      </c>
      <c r="F133" s="436">
        <v>1500</v>
      </c>
      <c r="G133" s="437">
        <v>93.8</v>
      </c>
      <c r="H133" s="609"/>
      <c r="I133" s="446">
        <f t="shared" si="27"/>
        <v>18</v>
      </c>
      <c r="J133" s="446">
        <f t="shared" si="27"/>
        <v>1227.192538928876</v>
      </c>
      <c r="K133" s="438">
        <f t="shared" si="27"/>
        <v>68.177363273826444</v>
      </c>
      <c r="L133" s="541"/>
      <c r="M133" s="445">
        <f>RANK(K133, K$112:$K$141)</f>
        <v>23</v>
      </c>
      <c r="N133" s="559"/>
      <c r="O133" s="559"/>
      <c r="P133" s="182">
        <v>18</v>
      </c>
      <c r="Q133" s="182">
        <v>1244.3478260869565</v>
      </c>
      <c r="R133" s="182">
        <v>69.130434782608688</v>
      </c>
      <c r="S133" s="436">
        <f t="shared" si="28"/>
        <v>21</v>
      </c>
      <c r="T133" s="605"/>
      <c r="U133" s="182">
        <v>18</v>
      </c>
      <c r="V133" s="182">
        <v>1238.6666666666667</v>
      </c>
      <c r="W133" s="182">
        <v>68.814814814814824</v>
      </c>
      <c r="X133" s="436">
        <f t="shared" si="29"/>
        <v>22</v>
      </c>
      <c r="Y133" s="605"/>
      <c r="Z133" s="182">
        <v>18</v>
      </c>
      <c r="AA133" s="182">
        <v>1209.3333333333333</v>
      </c>
      <c r="AB133" s="182">
        <v>67.185185185185176</v>
      </c>
      <c r="AC133" s="436">
        <f t="shared" si="30"/>
        <v>24</v>
      </c>
      <c r="AD133" s="605"/>
      <c r="AE133" s="182">
        <v>18</v>
      </c>
      <c r="AF133" s="182">
        <v>1211.6129032258077</v>
      </c>
      <c r="AG133" s="182">
        <v>67.311827956989319</v>
      </c>
      <c r="AH133" s="436">
        <f t="shared" si="31"/>
        <v>24</v>
      </c>
      <c r="AI133" s="605"/>
      <c r="AJ133" s="182">
        <v>18</v>
      </c>
      <c r="AK133" s="182">
        <v>1227.1428571428567</v>
      </c>
      <c r="AL133" s="182">
        <v>68.174603174603149</v>
      </c>
      <c r="AM133" s="436">
        <f t="shared" si="32"/>
        <v>24</v>
      </c>
      <c r="AN133" s="605"/>
      <c r="AO133" s="182">
        <v>18</v>
      </c>
      <c r="AP133" s="182">
        <v>1216.7441860465115</v>
      </c>
      <c r="AQ133" s="182">
        <v>67.596899224806194</v>
      </c>
      <c r="AR133" s="436">
        <f t="shared" si="33"/>
        <v>23</v>
      </c>
      <c r="AS133" s="605"/>
      <c r="AT133" s="182">
        <v>18</v>
      </c>
      <c r="AU133" s="182">
        <v>1242.5000000000005</v>
      </c>
      <c r="AV133" s="182">
        <v>69.0277777777778</v>
      </c>
      <c r="AW133" s="436">
        <f t="shared" si="34"/>
        <v>23</v>
      </c>
      <c r="AX133" s="605"/>
    </row>
    <row r="134" spans="2:50">
      <c r="B134" s="572"/>
      <c r="C134" s="436">
        <v>23</v>
      </c>
      <c r="D134" s="226" t="s">
        <v>602</v>
      </c>
      <c r="E134" s="182">
        <v>20</v>
      </c>
      <c r="F134" s="436">
        <v>1500</v>
      </c>
      <c r="G134" s="437">
        <v>75</v>
      </c>
      <c r="H134" s="609"/>
      <c r="I134" s="446">
        <f t="shared" si="27"/>
        <v>20</v>
      </c>
      <c r="J134" s="446">
        <f t="shared" si="27"/>
        <v>1080.0261347096837</v>
      </c>
      <c r="K134" s="438">
        <f t="shared" si="27"/>
        <v>54.001306735484185</v>
      </c>
      <c r="L134" s="541"/>
      <c r="M134" s="445">
        <f>RANK(K134, K$112:$K$141)</f>
        <v>27</v>
      </c>
      <c r="N134" s="559"/>
      <c r="O134" s="559"/>
      <c r="P134" s="182">
        <v>20</v>
      </c>
      <c r="Q134" s="182">
        <v>1071.6923076923088</v>
      </c>
      <c r="R134" s="182">
        <v>53.584615384615439</v>
      </c>
      <c r="S134" s="436">
        <f t="shared" si="28"/>
        <v>30</v>
      </c>
      <c r="T134" s="605"/>
      <c r="U134" s="182">
        <v>20</v>
      </c>
      <c r="V134" s="182">
        <v>1072.1311475409846</v>
      </c>
      <c r="W134" s="182">
        <v>53.606557377049228</v>
      </c>
      <c r="X134" s="436">
        <f t="shared" si="29"/>
        <v>30</v>
      </c>
      <c r="Y134" s="605"/>
      <c r="Z134" s="182">
        <v>20</v>
      </c>
      <c r="AA134" s="182">
        <v>1056.0000000000007</v>
      </c>
      <c r="AB134" s="182">
        <v>52.800000000000033</v>
      </c>
      <c r="AC134" s="436">
        <f t="shared" si="30"/>
        <v>30</v>
      </c>
      <c r="AD134" s="605"/>
      <c r="AE134" s="182">
        <v>20</v>
      </c>
      <c r="AF134" s="182">
        <v>1102.9090909090917</v>
      </c>
      <c r="AG134" s="182">
        <v>55.145454545454584</v>
      </c>
      <c r="AH134" s="436">
        <f t="shared" si="31"/>
        <v>30</v>
      </c>
      <c r="AI134" s="605"/>
      <c r="AJ134" s="182">
        <v>20</v>
      </c>
      <c r="AK134" s="182">
        <v>1101.1111111111118</v>
      </c>
      <c r="AL134" s="182">
        <v>55.055555555555586</v>
      </c>
      <c r="AM134" s="436">
        <f t="shared" si="32"/>
        <v>30</v>
      </c>
      <c r="AN134" s="605"/>
      <c r="AO134" s="182">
        <v>20</v>
      </c>
      <c r="AP134" s="182">
        <v>1070.6250000000014</v>
      </c>
      <c r="AQ134" s="182">
        <v>53.531250000000071</v>
      </c>
      <c r="AR134" s="436">
        <f t="shared" si="33"/>
        <v>30</v>
      </c>
      <c r="AS134" s="605"/>
      <c r="AT134" s="182">
        <v>20</v>
      </c>
      <c r="AU134" s="182">
        <v>1085.7142857142867</v>
      </c>
      <c r="AV134" s="182">
        <v>54.285714285714334</v>
      </c>
      <c r="AW134" s="436">
        <f t="shared" si="34"/>
        <v>30</v>
      </c>
      <c r="AX134" s="605"/>
    </row>
    <row r="135" spans="2:50">
      <c r="B135" s="572"/>
      <c r="C135" s="436">
        <v>24</v>
      </c>
      <c r="D135" s="226" t="s">
        <v>659</v>
      </c>
      <c r="E135" s="182">
        <v>17</v>
      </c>
      <c r="F135" s="436">
        <v>1440</v>
      </c>
      <c r="G135" s="437">
        <v>84.7</v>
      </c>
      <c r="H135" s="609"/>
      <c r="I135" s="446">
        <f t="shared" si="27"/>
        <v>16.857142857142858</v>
      </c>
      <c r="J135" s="446">
        <f t="shared" si="27"/>
        <v>1277.7942492658256</v>
      </c>
      <c r="K135" s="438">
        <f t="shared" si="27"/>
        <v>75.830816615909313</v>
      </c>
      <c r="L135" s="541"/>
      <c r="M135" s="445">
        <f>RANK(K135, K$112:$K$141)</f>
        <v>10</v>
      </c>
      <c r="N135" s="559"/>
      <c r="O135" s="559"/>
      <c r="P135" s="436">
        <v>16</v>
      </c>
      <c r="Q135" s="437">
        <v>1268.9189189189178</v>
      </c>
      <c r="R135" s="437">
        <v>79.307432432432364</v>
      </c>
      <c r="S135" s="436">
        <f t="shared" si="28"/>
        <v>6</v>
      </c>
      <c r="T135" s="605"/>
      <c r="U135" s="436">
        <v>17</v>
      </c>
      <c r="V135" s="437">
        <v>1246.3636363636376</v>
      </c>
      <c r="W135" s="437">
        <v>73.315508021390443</v>
      </c>
      <c r="X135" s="436">
        <f t="shared" si="29"/>
        <v>17</v>
      </c>
      <c r="Y135" s="605"/>
      <c r="Z135" s="436">
        <v>17</v>
      </c>
      <c r="AA135" s="437">
        <v>1302.2222222222231</v>
      </c>
      <c r="AB135" s="437">
        <v>76.601307189542538</v>
      </c>
      <c r="AC135" s="436">
        <f t="shared" si="30"/>
        <v>8</v>
      </c>
      <c r="AD135" s="605"/>
      <c r="AE135" s="436">
        <v>17</v>
      </c>
      <c r="AF135" s="437">
        <v>1258.9830508474586</v>
      </c>
      <c r="AG135" s="437">
        <v>74.057826520438738</v>
      </c>
      <c r="AH135" s="436">
        <f t="shared" si="31"/>
        <v>8</v>
      </c>
      <c r="AI135" s="605"/>
      <c r="AJ135" s="436">
        <v>17</v>
      </c>
      <c r="AK135" s="437">
        <v>1303.5483870967753</v>
      </c>
      <c r="AL135" s="437">
        <v>76.679316888045605</v>
      </c>
      <c r="AM135" s="436">
        <f t="shared" si="32"/>
        <v>9</v>
      </c>
      <c r="AN135" s="605"/>
      <c r="AO135" s="436">
        <v>17</v>
      </c>
      <c r="AP135" s="437">
        <v>1283.8235294117653</v>
      </c>
      <c r="AQ135" s="437">
        <v>75.519031141868552</v>
      </c>
      <c r="AR135" s="436">
        <f t="shared" si="33"/>
        <v>10</v>
      </c>
      <c r="AS135" s="605"/>
      <c r="AT135" s="436">
        <v>17</v>
      </c>
      <c r="AU135" s="437">
        <v>1280.7000000000003</v>
      </c>
      <c r="AV135" s="437">
        <v>75.335294117647081</v>
      </c>
      <c r="AW135" s="436">
        <f t="shared" si="34"/>
        <v>12</v>
      </c>
      <c r="AX135" s="605"/>
    </row>
    <row r="136" spans="2:50">
      <c r="B136" s="572"/>
      <c r="C136" s="436">
        <v>25</v>
      </c>
      <c r="D136" s="226" t="s">
        <v>660</v>
      </c>
      <c r="E136" s="182">
        <v>18</v>
      </c>
      <c r="F136" s="436">
        <v>1385</v>
      </c>
      <c r="G136" s="437">
        <v>76.900000000000006</v>
      </c>
      <c r="H136" s="609"/>
      <c r="I136" s="446">
        <f t="shared" ref="I136:K138" si="35">AVERAGE(P136,U136,Z136,AE136,AJ136,AO136,AT136)</f>
        <v>19</v>
      </c>
      <c r="J136" s="446">
        <f t="shared" si="35"/>
        <v>1112.4242015864759</v>
      </c>
      <c r="K136" s="438">
        <f t="shared" si="35"/>
        <v>58.548642188761889</v>
      </c>
      <c r="L136" s="541"/>
      <c r="M136" s="445">
        <f>RANK(K136, K$112:$K$141)</f>
        <v>26</v>
      </c>
      <c r="N136" s="559"/>
      <c r="O136" s="559"/>
      <c r="P136" s="436">
        <v>19</v>
      </c>
      <c r="Q136" s="437">
        <v>1102.6086956521729</v>
      </c>
      <c r="R136" s="437">
        <v>58.032036613272254</v>
      </c>
      <c r="S136" s="436">
        <f t="shared" si="28"/>
        <v>29</v>
      </c>
      <c r="T136" s="605"/>
      <c r="U136" s="436">
        <v>19</v>
      </c>
      <c r="V136" s="437">
        <v>1210.8196721311485</v>
      </c>
      <c r="W136" s="437">
        <v>63.727351164797291</v>
      </c>
      <c r="X136" s="436">
        <f t="shared" si="29"/>
        <v>28</v>
      </c>
      <c r="Y136" s="605"/>
      <c r="Z136" s="436">
        <v>19</v>
      </c>
      <c r="AA136" s="437">
        <v>1089.4736842105272</v>
      </c>
      <c r="AB136" s="437">
        <v>57.340720221606695</v>
      </c>
      <c r="AC136" s="436">
        <f t="shared" si="30"/>
        <v>29</v>
      </c>
      <c r="AD136" s="605"/>
      <c r="AE136" s="436">
        <v>19</v>
      </c>
      <c r="AF136" s="437">
        <v>1106.2500000000014</v>
      </c>
      <c r="AG136" s="437">
        <v>58.223684210526386</v>
      </c>
      <c r="AH136" s="436">
        <f t="shared" si="31"/>
        <v>29</v>
      </c>
      <c r="AI136" s="605"/>
      <c r="AJ136" s="436">
        <v>19</v>
      </c>
      <c r="AK136" s="437">
        <v>1094.7692307692321</v>
      </c>
      <c r="AL136" s="437">
        <v>57.619433198380634</v>
      </c>
      <c r="AM136" s="436">
        <f t="shared" si="32"/>
        <v>29</v>
      </c>
      <c r="AN136" s="605"/>
      <c r="AO136" s="436">
        <v>19</v>
      </c>
      <c r="AP136" s="437">
        <v>1113.6363636363649</v>
      </c>
      <c r="AQ136" s="437">
        <v>58.612440191387627</v>
      </c>
      <c r="AR136" s="436">
        <f t="shared" si="33"/>
        <v>29</v>
      </c>
      <c r="AS136" s="605"/>
      <c r="AT136" s="436">
        <v>19</v>
      </c>
      <c r="AU136" s="437">
        <v>1069.4117647058836</v>
      </c>
      <c r="AV136" s="437">
        <v>56.284829721362293</v>
      </c>
      <c r="AW136" s="436">
        <f t="shared" si="34"/>
        <v>29</v>
      </c>
      <c r="AX136" s="605"/>
    </row>
    <row r="137" spans="2:50">
      <c r="B137" s="572"/>
      <c r="C137" s="436">
        <v>26</v>
      </c>
      <c r="D137" s="226" t="s">
        <v>661</v>
      </c>
      <c r="E137" s="182">
        <v>18</v>
      </c>
      <c r="F137" s="436">
        <v>1440</v>
      </c>
      <c r="G137" s="437">
        <v>80</v>
      </c>
      <c r="H137" s="609"/>
      <c r="I137" s="446">
        <f t="shared" si="35"/>
        <v>18</v>
      </c>
      <c r="J137" s="446">
        <f t="shared" si="35"/>
        <v>1264.0339940711317</v>
      </c>
      <c r="K137" s="438">
        <f t="shared" si="35"/>
        <v>70.22411078172955</v>
      </c>
      <c r="L137" s="541"/>
      <c r="M137" s="445">
        <f>RANK(K137, K$112:$K$141)</f>
        <v>19</v>
      </c>
      <c r="N137" s="559"/>
      <c r="O137" s="559"/>
      <c r="P137" s="436">
        <v>18</v>
      </c>
      <c r="Q137" s="437">
        <v>1248.9473684210516</v>
      </c>
      <c r="R137" s="437">
        <v>69.385964912280642</v>
      </c>
      <c r="S137" s="436">
        <f t="shared" si="28"/>
        <v>20</v>
      </c>
      <c r="T137" s="605"/>
      <c r="U137" s="436">
        <v>18</v>
      </c>
      <c r="V137" s="437">
        <v>1268.1081081081072</v>
      </c>
      <c r="W137" s="437">
        <v>70.450450450450404</v>
      </c>
      <c r="X137" s="436">
        <f t="shared" si="29"/>
        <v>20</v>
      </c>
      <c r="Y137" s="605"/>
      <c r="Z137" s="436">
        <v>18</v>
      </c>
      <c r="AA137" s="437">
        <v>1285.1612903225787</v>
      </c>
      <c r="AB137" s="437">
        <v>71.397849462365485</v>
      </c>
      <c r="AC137" s="436">
        <f t="shared" si="30"/>
        <v>15</v>
      </c>
      <c r="AD137" s="605"/>
      <c r="AE137" s="436">
        <v>18</v>
      </c>
      <c r="AF137" s="437">
        <v>1269.0909090909074</v>
      </c>
      <c r="AG137" s="437">
        <v>70.505050505050406</v>
      </c>
      <c r="AH137" s="436">
        <f t="shared" si="31"/>
        <v>16</v>
      </c>
      <c r="AI137" s="605"/>
      <c r="AJ137" s="436">
        <v>18</v>
      </c>
      <c r="AK137" s="437">
        <v>1254.3749999999982</v>
      </c>
      <c r="AL137" s="437">
        <v>69.687499999999901</v>
      </c>
      <c r="AM137" s="436">
        <f t="shared" si="32"/>
        <v>20</v>
      </c>
      <c r="AN137" s="605"/>
      <c r="AO137" s="436">
        <v>18</v>
      </c>
      <c r="AP137" s="437">
        <v>1238.9189189189178</v>
      </c>
      <c r="AQ137" s="437">
        <v>68.828828828828762</v>
      </c>
      <c r="AR137" s="436">
        <f t="shared" si="33"/>
        <v>22</v>
      </c>
      <c r="AS137" s="605"/>
      <c r="AT137" s="436">
        <v>18</v>
      </c>
      <c r="AU137" s="437">
        <v>1283.6363636363619</v>
      </c>
      <c r="AV137" s="437">
        <v>71.313131313131223</v>
      </c>
      <c r="AW137" s="436">
        <f t="shared" si="34"/>
        <v>19</v>
      </c>
      <c r="AX137" s="605"/>
    </row>
    <row r="138" spans="2:50">
      <c r="B138" s="572"/>
      <c r="C138" s="436">
        <v>27</v>
      </c>
      <c r="D138" s="226" t="s">
        <v>662</v>
      </c>
      <c r="E138" s="182">
        <v>17</v>
      </c>
      <c r="F138" s="436">
        <v>1440</v>
      </c>
      <c r="G138" s="437">
        <v>84.7</v>
      </c>
      <c r="H138" s="609"/>
      <c r="I138" s="446">
        <f t="shared" si="35"/>
        <v>16</v>
      </c>
      <c r="J138" s="446">
        <f t="shared" si="35"/>
        <v>1232.8708954529477</v>
      </c>
      <c r="K138" s="438">
        <f t="shared" si="35"/>
        <v>77.054430965809232</v>
      </c>
      <c r="L138" s="541"/>
      <c r="M138" s="445">
        <f>RANK(K138, K$112:$K$141)</f>
        <v>8</v>
      </c>
      <c r="N138" s="559"/>
      <c r="O138" s="559"/>
      <c r="P138" s="436">
        <v>16</v>
      </c>
      <c r="Q138" s="437">
        <v>1210.4347826086944</v>
      </c>
      <c r="R138" s="437">
        <v>75.652173913043399</v>
      </c>
      <c r="S138" s="436">
        <f t="shared" si="28"/>
        <v>7</v>
      </c>
      <c r="T138" s="605"/>
      <c r="U138" s="436">
        <v>16</v>
      </c>
      <c r="V138" s="437">
        <v>1253.2258064516141</v>
      </c>
      <c r="W138" s="437">
        <v>78.326612903225879</v>
      </c>
      <c r="X138" s="436">
        <f t="shared" si="29"/>
        <v>8</v>
      </c>
      <c r="Y138" s="605"/>
      <c r="Z138" s="436">
        <v>16</v>
      </c>
      <c r="AA138" s="437">
        <v>1223.7931034482767</v>
      </c>
      <c r="AB138" s="437">
        <v>76.487068965517295</v>
      </c>
      <c r="AC138" s="436">
        <f t="shared" si="30"/>
        <v>9</v>
      </c>
      <c r="AD138" s="605"/>
      <c r="AE138" s="436">
        <v>16</v>
      </c>
      <c r="AF138" s="437">
        <v>1234.4262295081978</v>
      </c>
      <c r="AG138" s="437">
        <v>77.151639344262364</v>
      </c>
      <c r="AH138" s="436">
        <f t="shared" si="31"/>
        <v>6</v>
      </c>
      <c r="AI138" s="605"/>
      <c r="AJ138" s="436">
        <v>16</v>
      </c>
      <c r="AK138" s="437">
        <v>1234.1538461538476</v>
      </c>
      <c r="AL138" s="437">
        <v>77.134615384615472</v>
      </c>
      <c r="AM138" s="436">
        <f t="shared" si="32"/>
        <v>8</v>
      </c>
      <c r="AN138" s="605"/>
      <c r="AO138" s="436">
        <v>16</v>
      </c>
      <c r="AP138" s="437">
        <v>1230.0000000000016</v>
      </c>
      <c r="AQ138" s="437">
        <v>76.875000000000099</v>
      </c>
      <c r="AR138" s="436">
        <f t="shared" si="33"/>
        <v>7</v>
      </c>
      <c r="AS138" s="605"/>
      <c r="AT138" s="436">
        <v>16</v>
      </c>
      <c r="AU138" s="437">
        <v>1244.0625000000014</v>
      </c>
      <c r="AV138" s="437">
        <v>77.753906250000085</v>
      </c>
      <c r="AW138" s="436">
        <f t="shared" si="34"/>
        <v>10</v>
      </c>
      <c r="AX138" s="605"/>
    </row>
    <row r="139" spans="2:50">
      <c r="B139" s="572"/>
      <c r="C139" s="436">
        <v>28</v>
      </c>
      <c r="D139" s="226" t="s">
        <v>789</v>
      </c>
      <c r="E139" s="182">
        <v>21</v>
      </c>
      <c r="F139" s="436">
        <v>1440</v>
      </c>
      <c r="G139" s="437">
        <v>71.400000000000006</v>
      </c>
      <c r="H139" s="609"/>
      <c r="I139" s="446"/>
      <c r="J139" s="446"/>
      <c r="K139" s="438"/>
      <c r="L139" s="541"/>
      <c r="M139" s="445" t="e">
        <f>RANK(K139, K$112:$K$141)</f>
        <v>#N/A</v>
      </c>
      <c r="N139" s="559"/>
      <c r="O139" s="559"/>
      <c r="P139" s="436">
        <v>20</v>
      </c>
      <c r="Q139" s="437">
        <v>1191.7241379310353</v>
      </c>
      <c r="R139" s="437">
        <v>59.586206896551765</v>
      </c>
      <c r="S139" s="436">
        <f t="shared" si="28"/>
        <v>28</v>
      </c>
      <c r="T139" s="605"/>
      <c r="U139" s="436">
        <v>20</v>
      </c>
      <c r="V139" s="437">
        <v>1202.0172413793111</v>
      </c>
      <c r="W139" s="437">
        <v>60.100862068965554</v>
      </c>
      <c r="X139" s="436">
        <f t="shared" si="29"/>
        <v>29</v>
      </c>
      <c r="Y139" s="605"/>
      <c r="Z139" s="436">
        <v>20</v>
      </c>
      <c r="AA139" s="437">
        <v>1178.4375000000014</v>
      </c>
      <c r="AB139" s="437">
        <v>58.921875000000071</v>
      </c>
      <c r="AC139" s="436">
        <f t="shared" si="30"/>
        <v>28</v>
      </c>
      <c r="AD139" s="605"/>
      <c r="AE139" s="436">
        <v>20</v>
      </c>
      <c r="AF139" s="437">
        <v>1175.4545454545466</v>
      </c>
      <c r="AG139" s="437">
        <v>58.77272727272733</v>
      </c>
      <c r="AH139" s="436">
        <f t="shared" si="31"/>
        <v>28</v>
      </c>
      <c r="AI139" s="605"/>
      <c r="AJ139" s="436">
        <v>20</v>
      </c>
      <c r="AK139" s="437">
        <v>1195.4545454545469</v>
      </c>
      <c r="AL139" s="437">
        <v>59.772727272727344</v>
      </c>
      <c r="AM139" s="436">
        <f t="shared" si="32"/>
        <v>28</v>
      </c>
      <c r="AN139" s="605"/>
      <c r="AO139" s="436">
        <v>20</v>
      </c>
      <c r="AP139" s="437">
        <v>1183.8805970149267</v>
      </c>
      <c r="AQ139" s="437">
        <v>59.194029850746332</v>
      </c>
      <c r="AR139" s="436">
        <f t="shared" si="33"/>
        <v>28</v>
      </c>
      <c r="AS139" s="605"/>
      <c r="AT139" s="436">
        <v>20</v>
      </c>
      <c r="AU139" s="437">
        <v>1182.3529411764721</v>
      </c>
      <c r="AV139" s="437">
        <v>59.117647058823607</v>
      </c>
      <c r="AW139" s="436">
        <f t="shared" si="34"/>
        <v>28</v>
      </c>
      <c r="AX139" s="605"/>
    </row>
    <row r="140" spans="2:50">
      <c r="B140" s="572"/>
      <c r="C140" s="436">
        <v>29</v>
      </c>
      <c r="D140" s="226" t="s">
        <v>790</v>
      </c>
      <c r="E140" s="182">
        <v>18</v>
      </c>
      <c r="F140" s="436">
        <v>1440</v>
      </c>
      <c r="G140" s="437">
        <v>84.7</v>
      </c>
      <c r="H140" s="609"/>
      <c r="I140" s="202"/>
      <c r="J140" s="202"/>
      <c r="K140" s="202"/>
      <c r="L140" s="541"/>
      <c r="M140" s="445" t="e">
        <f>RANK(K140, K$112:$K$141)</f>
        <v>#N/A</v>
      </c>
      <c r="N140" s="559"/>
      <c r="O140" s="559"/>
      <c r="P140" s="436">
        <v>18</v>
      </c>
      <c r="Q140" s="436">
        <v>1240.6097560975604</v>
      </c>
      <c r="R140" s="436">
        <v>68.922764227642247</v>
      </c>
      <c r="S140" s="436">
        <f t="shared" si="28"/>
        <v>22</v>
      </c>
      <c r="T140" s="605"/>
      <c r="U140" s="436">
        <v>17</v>
      </c>
      <c r="V140" s="436">
        <v>1265.7352941176455</v>
      </c>
      <c r="W140" s="436">
        <v>74.455017301037969</v>
      </c>
      <c r="X140" s="436">
        <f t="shared" si="29"/>
        <v>14</v>
      </c>
      <c r="Y140" s="605"/>
      <c r="Z140" s="436">
        <v>17</v>
      </c>
      <c r="AA140" s="436">
        <v>1278.8181818181863</v>
      </c>
      <c r="AB140" s="436">
        <v>75.224598930481548</v>
      </c>
      <c r="AC140" s="436">
        <f t="shared" si="30"/>
        <v>11</v>
      </c>
      <c r="AD140" s="605"/>
      <c r="AE140" s="436">
        <v>18</v>
      </c>
      <c r="AF140" s="436">
        <v>1254.2307692307697</v>
      </c>
      <c r="AG140" s="436">
        <v>69.679487179487211</v>
      </c>
      <c r="AH140" s="436">
        <f t="shared" si="31"/>
        <v>20</v>
      </c>
      <c r="AI140" s="605"/>
      <c r="AJ140" s="436">
        <v>18</v>
      </c>
      <c r="AK140" s="436">
        <v>1314.33962264151</v>
      </c>
      <c r="AL140" s="436">
        <v>73.018867924528337</v>
      </c>
      <c r="AM140" s="436">
        <f t="shared" si="32"/>
        <v>17</v>
      </c>
      <c r="AN140" s="605"/>
      <c r="AO140" s="436">
        <v>18</v>
      </c>
      <c r="AP140" s="436">
        <v>1272.5806451612914</v>
      </c>
      <c r="AQ140" s="436">
        <v>70.698924731182856</v>
      </c>
      <c r="AR140" s="436">
        <f t="shared" si="33"/>
        <v>19</v>
      </c>
      <c r="AS140" s="605"/>
      <c r="AT140" s="436">
        <v>18</v>
      </c>
      <c r="AU140" s="436">
        <v>1311.6923076923092</v>
      </c>
      <c r="AV140" s="436">
        <v>72.871794871794961</v>
      </c>
      <c r="AW140" s="436">
        <f t="shared" si="34"/>
        <v>18</v>
      </c>
      <c r="AX140" s="605"/>
    </row>
    <row r="141" spans="2:50">
      <c r="B141" s="572"/>
      <c r="C141" s="436">
        <v>30</v>
      </c>
      <c r="D141" s="226" t="s">
        <v>791</v>
      </c>
      <c r="E141" s="182">
        <v>20</v>
      </c>
      <c r="F141" s="436">
        <v>1500</v>
      </c>
      <c r="G141" s="437">
        <v>75</v>
      </c>
      <c r="H141" s="610"/>
      <c r="I141" s="202"/>
      <c r="J141" s="202"/>
      <c r="K141" s="202"/>
      <c r="L141" s="542"/>
      <c r="M141" s="445" t="e">
        <f>RANK(K141, K$112:$K$141)</f>
        <v>#N/A</v>
      </c>
      <c r="N141" s="559"/>
      <c r="O141" s="559"/>
      <c r="P141" s="436">
        <v>20</v>
      </c>
      <c r="Q141" s="436">
        <v>1277.0704225352101</v>
      </c>
      <c r="R141" s="436">
        <v>63.853521126760505</v>
      </c>
      <c r="S141" s="436">
        <f t="shared" si="28"/>
        <v>27</v>
      </c>
      <c r="T141" s="605"/>
      <c r="U141" s="436">
        <v>20</v>
      </c>
      <c r="V141" s="436">
        <v>1308.4848484848487</v>
      </c>
      <c r="W141" s="436">
        <v>65.424242424242436</v>
      </c>
      <c r="X141" s="436">
        <f t="shared" si="29"/>
        <v>26</v>
      </c>
      <c r="Y141" s="605"/>
      <c r="Z141" s="436">
        <v>20</v>
      </c>
      <c r="AA141" s="436">
        <v>1256.7627906976741</v>
      </c>
      <c r="AB141" s="436">
        <v>62.838139534883702</v>
      </c>
      <c r="AC141" s="436">
        <f t="shared" si="30"/>
        <v>27</v>
      </c>
      <c r="AD141" s="605"/>
      <c r="AE141" s="436">
        <v>20</v>
      </c>
      <c r="AF141" s="436">
        <v>1281.4285714285722</v>
      </c>
      <c r="AG141" s="436">
        <v>64.071428571428612</v>
      </c>
      <c r="AH141" s="436">
        <f t="shared" si="31"/>
        <v>26</v>
      </c>
      <c r="AI141" s="605"/>
      <c r="AJ141" s="436">
        <v>19</v>
      </c>
      <c r="AK141" s="436">
        <v>1263.7625000000005</v>
      </c>
      <c r="AL141" s="436">
        <v>66.513815789473711</v>
      </c>
      <c r="AM141" s="436">
        <f t="shared" si="32"/>
        <v>26</v>
      </c>
      <c r="AN141" s="605"/>
      <c r="AO141" s="436">
        <v>20</v>
      </c>
      <c r="AP141" s="436">
        <v>1265.0814814814812</v>
      </c>
      <c r="AQ141" s="436">
        <v>63.254074074074062</v>
      </c>
      <c r="AR141" s="436">
        <f t="shared" si="33"/>
        <v>27</v>
      </c>
      <c r="AS141" s="605"/>
      <c r="AT141" s="436">
        <v>20</v>
      </c>
      <c r="AU141" s="436">
        <v>1287.2727272727279</v>
      </c>
      <c r="AV141" s="436">
        <v>64.363636363636402</v>
      </c>
      <c r="AW141" s="436">
        <f t="shared" si="34"/>
        <v>26</v>
      </c>
      <c r="AX141" s="605"/>
    </row>
    <row r="142" spans="2:50" ht="15.75">
      <c r="B142" s="576" t="s">
        <v>649</v>
      </c>
      <c r="C142" s="577"/>
      <c r="D142" s="577"/>
      <c r="E142" s="577"/>
      <c r="F142" s="577"/>
      <c r="G142" s="577"/>
      <c r="H142" s="578"/>
      <c r="I142" s="208"/>
      <c r="J142" s="208"/>
      <c r="K142" s="208"/>
      <c r="L142" s="208"/>
      <c r="M142" s="207"/>
      <c r="N142" s="565" t="s">
        <v>650</v>
      </c>
      <c r="O142" s="565" t="s">
        <v>651</v>
      </c>
      <c r="P142" s="571">
        <f>P107+7</f>
        <v>27</v>
      </c>
      <c r="Q142" s="572"/>
      <c r="R142" s="572"/>
      <c r="S142" s="572"/>
      <c r="T142" s="572"/>
      <c r="U142" s="568">
        <f>P142+1</f>
        <v>28</v>
      </c>
      <c r="V142" s="569"/>
      <c r="W142" s="569"/>
      <c r="X142" s="569"/>
      <c r="Y142" s="570"/>
      <c r="Z142" s="568">
        <f>U142+1</f>
        <v>29</v>
      </c>
      <c r="AA142" s="569"/>
      <c r="AB142" s="569"/>
      <c r="AC142" s="569"/>
      <c r="AD142" s="570"/>
      <c r="AE142" s="568">
        <f>Z142+1</f>
        <v>30</v>
      </c>
      <c r="AF142" s="569"/>
      <c r="AG142" s="569"/>
      <c r="AH142" s="569"/>
      <c r="AI142" s="570"/>
      <c r="AJ142" s="568">
        <f>AE142+1</f>
        <v>31</v>
      </c>
      <c r="AK142" s="569"/>
      <c r="AL142" s="569"/>
      <c r="AM142" s="569"/>
      <c r="AN142" s="570"/>
      <c r="AO142" s="568">
        <f>AJ142+1</f>
        <v>32</v>
      </c>
      <c r="AP142" s="569"/>
      <c r="AQ142" s="569"/>
      <c r="AR142" s="569"/>
      <c r="AS142" s="570"/>
      <c r="AT142" s="568">
        <f>AO142+1</f>
        <v>33</v>
      </c>
      <c r="AU142" s="569"/>
      <c r="AV142" s="569"/>
      <c r="AW142" s="569"/>
      <c r="AX142" s="570"/>
    </row>
    <row r="143" spans="2:50" ht="15.75">
      <c r="B143" s="579"/>
      <c r="C143" s="579"/>
      <c r="D143" s="579"/>
      <c r="E143" s="579"/>
      <c r="F143" s="579"/>
      <c r="G143" s="579"/>
      <c r="H143" s="579"/>
      <c r="I143" s="205"/>
      <c r="J143" s="205"/>
      <c r="K143" s="205"/>
      <c r="L143" s="205"/>
      <c r="M143" s="206"/>
      <c r="N143" s="567"/>
      <c r="O143" s="567"/>
      <c r="P143" s="571" t="s">
        <v>652</v>
      </c>
      <c r="Q143" s="572"/>
      <c r="R143" s="572"/>
      <c r="S143" s="572"/>
      <c r="T143" s="572"/>
      <c r="U143" s="571" t="s">
        <v>653</v>
      </c>
      <c r="V143" s="572"/>
      <c r="W143" s="572"/>
      <c r="X143" s="572"/>
      <c r="Y143" s="572"/>
      <c r="Z143" s="571" t="s">
        <v>654</v>
      </c>
      <c r="AA143" s="572"/>
      <c r="AB143" s="572"/>
      <c r="AC143" s="572"/>
      <c r="AD143" s="572"/>
      <c r="AE143" s="571" t="s">
        <v>655</v>
      </c>
      <c r="AF143" s="572"/>
      <c r="AG143" s="572"/>
      <c r="AH143" s="572"/>
      <c r="AI143" s="572"/>
      <c r="AJ143" s="571" t="s">
        <v>656</v>
      </c>
      <c r="AK143" s="572"/>
      <c r="AL143" s="572"/>
      <c r="AM143" s="572"/>
      <c r="AN143" s="572"/>
      <c r="AO143" s="571" t="s">
        <v>657</v>
      </c>
      <c r="AP143" s="572"/>
      <c r="AQ143" s="572"/>
      <c r="AR143" s="572"/>
      <c r="AS143" s="572"/>
      <c r="AT143" s="571" t="s">
        <v>658</v>
      </c>
      <c r="AU143" s="572"/>
      <c r="AV143" s="572"/>
      <c r="AW143" s="572"/>
      <c r="AX143" s="572"/>
    </row>
    <row r="144" spans="2:50">
      <c r="B144" s="559" t="s">
        <v>817</v>
      </c>
      <c r="C144" s="559" t="s">
        <v>818</v>
      </c>
      <c r="D144" s="559"/>
      <c r="E144" s="559" t="s">
        <v>819</v>
      </c>
      <c r="F144" s="559"/>
      <c r="G144" s="559"/>
      <c r="H144" s="560" t="s">
        <v>820</v>
      </c>
      <c r="I144" s="543" t="s">
        <v>821</v>
      </c>
      <c r="J144" s="543"/>
      <c r="K144" s="543"/>
      <c r="L144" s="544" t="s">
        <v>820</v>
      </c>
      <c r="M144" s="550" t="s">
        <v>839</v>
      </c>
      <c r="N144" s="559"/>
      <c r="O144" s="559" t="s">
        <v>840</v>
      </c>
      <c r="P144" s="556" t="s">
        <v>841</v>
      </c>
      <c r="Q144" s="557"/>
      <c r="R144" s="557"/>
      <c r="S144" s="558"/>
      <c r="T144" s="559" t="s">
        <v>820</v>
      </c>
      <c r="U144" s="556" t="s">
        <v>841</v>
      </c>
      <c r="V144" s="557"/>
      <c r="W144" s="557"/>
      <c r="X144" s="558"/>
      <c r="Y144" s="559" t="s">
        <v>820</v>
      </c>
      <c r="Z144" s="556" t="s">
        <v>841</v>
      </c>
      <c r="AA144" s="557"/>
      <c r="AB144" s="557"/>
      <c r="AC144" s="558"/>
      <c r="AD144" s="559" t="s">
        <v>820</v>
      </c>
      <c r="AE144" s="556" t="s">
        <v>841</v>
      </c>
      <c r="AF144" s="557"/>
      <c r="AG144" s="557"/>
      <c r="AH144" s="558"/>
      <c r="AI144" s="559" t="s">
        <v>820</v>
      </c>
      <c r="AJ144" s="556" t="s">
        <v>841</v>
      </c>
      <c r="AK144" s="557"/>
      <c r="AL144" s="557"/>
      <c r="AM144" s="558"/>
      <c r="AN144" s="559" t="s">
        <v>820</v>
      </c>
      <c r="AO144" s="556" t="s">
        <v>625</v>
      </c>
      <c r="AP144" s="557"/>
      <c r="AQ144" s="557"/>
      <c r="AR144" s="558"/>
      <c r="AS144" s="559" t="s">
        <v>623</v>
      </c>
      <c r="AT144" s="556" t="s">
        <v>625</v>
      </c>
      <c r="AU144" s="557"/>
      <c r="AV144" s="557"/>
      <c r="AW144" s="558"/>
      <c r="AX144" s="559" t="s">
        <v>623</v>
      </c>
    </row>
    <row r="145" spans="2:50">
      <c r="B145" s="559"/>
      <c r="C145" s="559"/>
      <c r="D145" s="559"/>
      <c r="E145" s="559" t="s">
        <v>842</v>
      </c>
      <c r="F145" s="559"/>
      <c r="G145" s="559"/>
      <c r="H145" s="561"/>
      <c r="I145" s="543" t="s">
        <v>842</v>
      </c>
      <c r="J145" s="543"/>
      <c r="K145" s="543"/>
      <c r="L145" s="545"/>
      <c r="M145" s="551"/>
      <c r="N145" s="559"/>
      <c r="O145" s="559"/>
      <c r="P145" s="556" t="s">
        <v>831</v>
      </c>
      <c r="Q145" s="557"/>
      <c r="R145" s="557"/>
      <c r="S145" s="558"/>
      <c r="T145" s="559"/>
      <c r="U145" s="556" t="s">
        <v>831</v>
      </c>
      <c r="V145" s="557"/>
      <c r="W145" s="557"/>
      <c r="X145" s="558"/>
      <c r="Y145" s="559"/>
      <c r="Z145" s="556" t="s">
        <v>831</v>
      </c>
      <c r="AA145" s="557"/>
      <c r="AB145" s="557"/>
      <c r="AC145" s="558"/>
      <c r="AD145" s="559"/>
      <c r="AE145" s="556" t="s">
        <v>831</v>
      </c>
      <c r="AF145" s="557"/>
      <c r="AG145" s="557"/>
      <c r="AH145" s="558"/>
      <c r="AI145" s="559"/>
      <c r="AJ145" s="556" t="s">
        <v>831</v>
      </c>
      <c r="AK145" s="557"/>
      <c r="AL145" s="557"/>
      <c r="AM145" s="558"/>
      <c r="AN145" s="559"/>
      <c r="AO145" s="556" t="s">
        <v>626</v>
      </c>
      <c r="AP145" s="557"/>
      <c r="AQ145" s="557"/>
      <c r="AR145" s="558"/>
      <c r="AS145" s="559"/>
      <c r="AT145" s="556" t="s">
        <v>626</v>
      </c>
      <c r="AU145" s="557"/>
      <c r="AV145" s="557"/>
      <c r="AW145" s="558"/>
      <c r="AX145" s="559"/>
    </row>
    <row r="146" spans="2:50">
      <c r="B146" s="559"/>
      <c r="C146" s="559"/>
      <c r="D146" s="559"/>
      <c r="E146" s="450" t="s">
        <v>838</v>
      </c>
      <c r="F146" s="450" t="s">
        <v>836</v>
      </c>
      <c r="G146" s="450" t="s">
        <v>837</v>
      </c>
      <c r="H146" s="562"/>
      <c r="I146" s="449" t="s">
        <v>838</v>
      </c>
      <c r="J146" s="449" t="s">
        <v>836</v>
      </c>
      <c r="K146" s="449" t="s">
        <v>837</v>
      </c>
      <c r="L146" s="546"/>
      <c r="M146" s="552"/>
      <c r="N146" s="559"/>
      <c r="O146" s="559"/>
      <c r="P146" s="450" t="s">
        <v>838</v>
      </c>
      <c r="Q146" s="450" t="s">
        <v>836</v>
      </c>
      <c r="R146" s="450" t="s">
        <v>837</v>
      </c>
      <c r="S146" s="450" t="s">
        <v>839</v>
      </c>
      <c r="T146" s="559"/>
      <c r="U146" s="450" t="s">
        <v>838</v>
      </c>
      <c r="V146" s="450" t="s">
        <v>836</v>
      </c>
      <c r="W146" s="450" t="s">
        <v>837</v>
      </c>
      <c r="X146" s="450" t="s">
        <v>839</v>
      </c>
      <c r="Y146" s="559"/>
      <c r="Z146" s="450" t="s">
        <v>838</v>
      </c>
      <c r="AA146" s="450" t="s">
        <v>836</v>
      </c>
      <c r="AB146" s="450" t="s">
        <v>837</v>
      </c>
      <c r="AC146" s="450" t="s">
        <v>839</v>
      </c>
      <c r="AD146" s="559"/>
      <c r="AE146" s="450" t="s">
        <v>838</v>
      </c>
      <c r="AF146" s="450" t="s">
        <v>836</v>
      </c>
      <c r="AG146" s="450" t="s">
        <v>837</v>
      </c>
      <c r="AH146" s="450" t="s">
        <v>839</v>
      </c>
      <c r="AI146" s="559"/>
      <c r="AJ146" s="450" t="s">
        <v>838</v>
      </c>
      <c r="AK146" s="450" t="s">
        <v>836</v>
      </c>
      <c r="AL146" s="450" t="s">
        <v>837</v>
      </c>
      <c r="AM146" s="450" t="s">
        <v>839</v>
      </c>
      <c r="AN146" s="559"/>
      <c r="AO146" s="389" t="s">
        <v>627</v>
      </c>
      <c r="AP146" s="389" t="s">
        <v>628</v>
      </c>
      <c r="AQ146" s="389" t="s">
        <v>629</v>
      </c>
      <c r="AR146" s="389" t="s">
        <v>624</v>
      </c>
      <c r="AS146" s="559"/>
      <c r="AT146" s="389" t="s">
        <v>627</v>
      </c>
      <c r="AU146" s="389" t="s">
        <v>628</v>
      </c>
      <c r="AV146" s="389" t="s">
        <v>629</v>
      </c>
      <c r="AW146" s="389" t="s">
        <v>624</v>
      </c>
      <c r="AX146" s="559"/>
    </row>
    <row r="147" spans="2:50">
      <c r="B147" s="559" t="s">
        <v>847</v>
      </c>
      <c r="C147" s="451">
        <v>1</v>
      </c>
      <c r="D147" s="226" t="s">
        <v>371</v>
      </c>
      <c r="E147" s="182">
        <v>6</v>
      </c>
      <c r="F147" s="451">
        <v>1500</v>
      </c>
      <c r="G147" s="453">
        <v>250</v>
      </c>
      <c r="H147" s="608">
        <f>AVERAGE(G147:G176)</f>
        <v>96.221666666666707</v>
      </c>
      <c r="I147" s="456">
        <f>AVERAGE(P147,U147,Z147,AE147,AJ147,AO147,AT147)</f>
        <v>6</v>
      </c>
      <c r="J147" s="456">
        <f>AVERAGE(Q147,V147,AA147,AF147,AK147,AP147,AU147)</f>
        <v>1454.6125887121329</v>
      </c>
      <c r="K147" s="454">
        <f>AVERAGE(R147,W147,AB147,AG147,AL147,AQ147,AV147)</f>
        <v>242.4354314520221</v>
      </c>
      <c r="L147" s="540">
        <f>IFERROR(AVERAGE(K147:K176),"-")</f>
        <v>80.956380001470151</v>
      </c>
      <c r="M147" s="455">
        <f>RANK(K147, K$147:$K$176)</f>
        <v>1</v>
      </c>
      <c r="N147" s="559"/>
      <c r="O147" s="559"/>
      <c r="P147" s="182">
        <v>6</v>
      </c>
      <c r="Q147" s="182">
        <v>1440.1717842323646</v>
      </c>
      <c r="R147" s="182">
        <v>240.02863070539411</v>
      </c>
      <c r="S147" s="451">
        <f>RANK(R147, R$147:R$176)</f>
        <v>1</v>
      </c>
      <c r="T147" s="605">
        <f>AVERAGE(R147:R176)</f>
        <v>81.061820001925199</v>
      </c>
      <c r="U147" s="182">
        <v>6</v>
      </c>
      <c r="V147" s="182">
        <v>1439.5593360995854</v>
      </c>
      <c r="W147" s="182">
        <v>239.92655601659757</v>
      </c>
      <c r="X147" s="451">
        <f>RANK(W147, W$147:W$176)</f>
        <v>1</v>
      </c>
      <c r="Y147" s="605">
        <f>AVERAGE(W147:W176)</f>
        <v>80.967071378717094</v>
      </c>
      <c r="Z147" s="182">
        <v>6</v>
      </c>
      <c r="AA147" s="182">
        <v>1473.2191304347825</v>
      </c>
      <c r="AB147" s="182">
        <v>245.53652173913042</v>
      </c>
      <c r="AC147" s="451">
        <f>RANK(AB147, AB$147:AB$176)</f>
        <v>1</v>
      </c>
      <c r="AD147" s="605">
        <f>AVERAGE(AB147:AB176)</f>
        <v>80.451299832623747</v>
      </c>
      <c r="AE147" s="182">
        <v>6</v>
      </c>
      <c r="AF147" s="182">
        <v>1461.9584070796454</v>
      </c>
      <c r="AG147" s="182">
        <v>243.65973451327423</v>
      </c>
      <c r="AH147" s="451">
        <f>RANK(AG147, AG$147:AG$176)</f>
        <v>1</v>
      </c>
      <c r="AI147" s="605">
        <f>AVERAGE(AG147:AG176)</f>
        <v>80.826391293530293</v>
      </c>
      <c r="AJ147" s="182">
        <v>6</v>
      </c>
      <c r="AK147" s="182">
        <v>1458.1542857142856</v>
      </c>
      <c r="AL147" s="182">
        <v>243.02571428571426</v>
      </c>
      <c r="AM147" s="451">
        <f>RANK(AL147, AL$147:AL$176)</f>
        <v>1</v>
      </c>
      <c r="AN147" s="605">
        <f>AVERAGE(AL147:AL176)</f>
        <v>81.475317500554425</v>
      </c>
      <c r="AO147" s="182"/>
      <c r="AP147" s="182"/>
      <c r="AQ147" s="182"/>
      <c r="AR147" s="390" t="e">
        <f>RANK(AQ147, AQ$147:AQ$176)</f>
        <v>#N/A</v>
      </c>
      <c r="AS147" s="605" t="e">
        <f>AVERAGE(AQ147:AQ176)</f>
        <v>#DIV/0!</v>
      </c>
      <c r="AT147" s="182"/>
      <c r="AU147" s="182"/>
      <c r="AV147" s="182"/>
      <c r="AW147" s="390" t="e">
        <f>RANK(AV147, AV$147:AV$176)</f>
        <v>#N/A</v>
      </c>
      <c r="AX147" s="605" t="e">
        <f>AVERAGE(AV147:AV176)</f>
        <v>#DIV/0!</v>
      </c>
    </row>
    <row r="148" spans="2:50">
      <c r="B148" s="572"/>
      <c r="C148" s="451">
        <v>2</v>
      </c>
      <c r="D148" s="226" t="s">
        <v>395</v>
      </c>
      <c r="E148" s="182">
        <v>6</v>
      </c>
      <c r="F148" s="451">
        <v>1636</v>
      </c>
      <c r="G148" s="453">
        <v>272.7</v>
      </c>
      <c r="H148" s="609"/>
      <c r="I148" s="456">
        <f t="shared" ref="I148:K170" si="36">AVERAGE(P148,U148,Z148,AE148,AJ148,AO148,AT148)</f>
        <v>7</v>
      </c>
      <c r="J148" s="456">
        <f t="shared" si="36"/>
        <v>1467.0045180948389</v>
      </c>
      <c r="K148" s="454">
        <f t="shared" si="36"/>
        <v>209.57207401354839</v>
      </c>
      <c r="L148" s="541"/>
      <c r="M148" s="455">
        <f>RANK(K148, K$147:$K$176)</f>
        <v>2</v>
      </c>
      <c r="N148" s="559"/>
      <c r="O148" s="559"/>
      <c r="P148" s="182">
        <v>7</v>
      </c>
      <c r="Q148" s="182">
        <v>1471.2500000000005</v>
      </c>
      <c r="R148" s="182">
        <v>210.1785714285715</v>
      </c>
      <c r="S148" s="451">
        <f t="shared" ref="S148:S176" si="37">RANK(R148, R$147:R$176)</f>
        <v>2</v>
      </c>
      <c r="T148" s="605"/>
      <c r="U148" s="182">
        <v>7</v>
      </c>
      <c r="V148" s="182">
        <v>1467.5510204081636</v>
      </c>
      <c r="W148" s="182">
        <v>209.65014577259481</v>
      </c>
      <c r="X148" s="451">
        <f t="shared" ref="X148:X176" si="38">RANK(W148, W$147:W$176)</f>
        <v>2</v>
      </c>
      <c r="Y148" s="605"/>
      <c r="Z148" s="182">
        <v>7</v>
      </c>
      <c r="AA148" s="182">
        <v>1495.5319148936173</v>
      </c>
      <c r="AB148" s="182">
        <v>213.64741641337392</v>
      </c>
      <c r="AC148" s="451">
        <f t="shared" ref="AC148:AC176" si="39">RANK(AB148, AB$147:AB$176)</f>
        <v>2</v>
      </c>
      <c r="AD148" s="605"/>
      <c r="AE148" s="182">
        <v>7</v>
      </c>
      <c r="AF148" s="182">
        <v>1449.6551724137928</v>
      </c>
      <c r="AG148" s="182">
        <v>207.09359605911325</v>
      </c>
      <c r="AH148" s="451">
        <f t="shared" ref="AH148:AH176" si="40">RANK(AG148, AG$147:AG$176)</f>
        <v>2</v>
      </c>
      <c r="AI148" s="605"/>
      <c r="AJ148" s="182">
        <v>7</v>
      </c>
      <c r="AK148" s="182">
        <v>1451.0344827586205</v>
      </c>
      <c r="AL148" s="182">
        <v>207.29064039408863</v>
      </c>
      <c r="AM148" s="451">
        <f t="shared" ref="AM148:AM176" si="41">RANK(AL148, AL$147:AL$176)</f>
        <v>2</v>
      </c>
      <c r="AN148" s="605"/>
      <c r="AO148" s="182"/>
      <c r="AP148" s="182"/>
      <c r="AQ148" s="182"/>
      <c r="AR148" s="390" t="e">
        <f t="shared" ref="AR148:AR176" si="42">RANK(AQ148, AQ$147:AQ$176)</f>
        <v>#N/A</v>
      </c>
      <c r="AS148" s="605"/>
      <c r="AT148" s="182"/>
      <c r="AU148" s="182"/>
      <c r="AV148" s="182"/>
      <c r="AW148" s="390" t="e">
        <f t="shared" ref="AW148:AW176" si="43">RANK(AV148, AV$147:AV$176)</f>
        <v>#N/A</v>
      </c>
      <c r="AX148" s="605"/>
    </row>
    <row r="149" spans="2:50">
      <c r="B149" s="572"/>
      <c r="C149" s="451">
        <v>3</v>
      </c>
      <c r="D149" s="226" t="s">
        <v>372</v>
      </c>
      <c r="E149" s="182">
        <v>18</v>
      </c>
      <c r="F149" s="451">
        <v>1500</v>
      </c>
      <c r="G149" s="453">
        <v>75</v>
      </c>
      <c r="H149" s="609"/>
      <c r="I149" s="456">
        <f t="shared" si="36"/>
        <v>18</v>
      </c>
      <c r="J149" s="456">
        <f t="shared" si="36"/>
        <v>1193.2317122041588</v>
      </c>
      <c r="K149" s="454">
        <f t="shared" si="36"/>
        <v>66.290650678008816</v>
      </c>
      <c r="L149" s="541"/>
      <c r="M149" s="455">
        <f>RANK(K149, K$147:$K$176)</f>
        <v>24</v>
      </c>
      <c r="N149" s="559"/>
      <c r="O149" s="559"/>
      <c r="P149" s="182">
        <v>18</v>
      </c>
      <c r="Q149" s="182">
        <v>1176.7164179104477</v>
      </c>
      <c r="R149" s="182">
        <v>65.373134328358205</v>
      </c>
      <c r="S149" s="451">
        <f t="shared" si="37"/>
        <v>24</v>
      </c>
      <c r="T149" s="605"/>
      <c r="U149" s="182">
        <v>18</v>
      </c>
      <c r="V149" s="182">
        <v>1197.0967741935481</v>
      </c>
      <c r="W149" s="182">
        <v>66.505376344086002</v>
      </c>
      <c r="X149" s="451">
        <f t="shared" si="38"/>
        <v>24</v>
      </c>
      <c r="Y149" s="605"/>
      <c r="Z149" s="182">
        <v>18</v>
      </c>
      <c r="AA149" s="182">
        <v>1220</v>
      </c>
      <c r="AB149" s="182">
        <v>67.777777777777771</v>
      </c>
      <c r="AC149" s="451">
        <f t="shared" si="39"/>
        <v>21</v>
      </c>
      <c r="AD149" s="605"/>
      <c r="AE149" s="182">
        <v>18</v>
      </c>
      <c r="AF149" s="182">
        <v>1192.6530612244901</v>
      </c>
      <c r="AG149" s="182">
        <v>66.258503401360556</v>
      </c>
      <c r="AH149" s="451">
        <f t="shared" si="40"/>
        <v>23</v>
      </c>
      <c r="AI149" s="605"/>
      <c r="AJ149" s="182">
        <v>18</v>
      </c>
      <c r="AK149" s="182">
        <v>1179.6923076923074</v>
      </c>
      <c r="AL149" s="182">
        <v>65.538461538461519</v>
      </c>
      <c r="AM149" s="451">
        <f t="shared" si="41"/>
        <v>25</v>
      </c>
      <c r="AN149" s="605"/>
      <c r="AO149" s="182"/>
      <c r="AP149" s="182"/>
      <c r="AQ149" s="182"/>
      <c r="AR149" s="390" t="e">
        <f t="shared" si="42"/>
        <v>#N/A</v>
      </c>
      <c r="AS149" s="605"/>
      <c r="AT149" s="182"/>
      <c r="AU149" s="182"/>
      <c r="AV149" s="182"/>
      <c r="AW149" s="390" t="e">
        <f t="shared" si="43"/>
        <v>#N/A</v>
      </c>
      <c r="AX149" s="605"/>
    </row>
    <row r="150" spans="2:50">
      <c r="B150" s="572"/>
      <c r="C150" s="451">
        <v>4</v>
      </c>
      <c r="D150" s="226" t="s">
        <v>414</v>
      </c>
      <c r="E150" s="182">
        <v>18</v>
      </c>
      <c r="F150" s="451">
        <v>1500</v>
      </c>
      <c r="G150" s="453">
        <v>83.3</v>
      </c>
      <c r="H150" s="609"/>
      <c r="I150" s="456">
        <f t="shared" si="36"/>
        <v>18</v>
      </c>
      <c r="J150" s="456">
        <f t="shared" si="36"/>
        <v>1310.6001671004851</v>
      </c>
      <c r="K150" s="454">
        <f t="shared" si="36"/>
        <v>72.811120394471388</v>
      </c>
      <c r="L150" s="541"/>
      <c r="M150" s="455">
        <f>RANK(K150, K$147:$K$176)</f>
        <v>13</v>
      </c>
      <c r="N150" s="559"/>
      <c r="O150" s="559"/>
      <c r="P150" s="182">
        <v>18</v>
      </c>
      <c r="Q150" s="182">
        <v>1305.3333333333335</v>
      </c>
      <c r="R150" s="182">
        <v>72.518518518518533</v>
      </c>
      <c r="S150" s="451">
        <f t="shared" si="37"/>
        <v>14</v>
      </c>
      <c r="T150" s="605"/>
      <c r="U150" s="182">
        <v>18</v>
      </c>
      <c r="V150" s="182">
        <v>1336.9565217391305</v>
      </c>
      <c r="W150" s="182">
        <v>74.275362318840578</v>
      </c>
      <c r="X150" s="451">
        <f t="shared" si="38"/>
        <v>12</v>
      </c>
      <c r="Y150" s="605"/>
      <c r="Z150" s="182">
        <v>18</v>
      </c>
      <c r="AA150" s="182">
        <v>1313.1818181818182</v>
      </c>
      <c r="AB150" s="182">
        <v>72.954545454545453</v>
      </c>
      <c r="AC150" s="451">
        <f t="shared" si="39"/>
        <v>14</v>
      </c>
      <c r="AD150" s="605"/>
      <c r="AE150" s="182">
        <v>18</v>
      </c>
      <c r="AF150" s="182">
        <v>1289.2682926829264</v>
      </c>
      <c r="AG150" s="182">
        <v>71.626016260162572</v>
      </c>
      <c r="AH150" s="451">
        <f t="shared" si="40"/>
        <v>16</v>
      </c>
      <c r="AI150" s="605"/>
      <c r="AJ150" s="182">
        <v>18</v>
      </c>
      <c r="AK150" s="182">
        <v>1308.2608695652175</v>
      </c>
      <c r="AL150" s="182">
        <v>72.681159420289859</v>
      </c>
      <c r="AM150" s="451">
        <f t="shared" si="41"/>
        <v>17</v>
      </c>
      <c r="AN150" s="605"/>
      <c r="AO150" s="182"/>
      <c r="AP150" s="182"/>
      <c r="AQ150" s="182"/>
      <c r="AR150" s="390" t="e">
        <f t="shared" si="42"/>
        <v>#N/A</v>
      </c>
      <c r="AS150" s="605"/>
      <c r="AT150" s="182"/>
      <c r="AU150" s="182"/>
      <c r="AV150" s="182"/>
      <c r="AW150" s="390" t="e">
        <f t="shared" si="43"/>
        <v>#N/A</v>
      </c>
      <c r="AX150" s="605"/>
    </row>
    <row r="151" spans="2:50">
      <c r="B151" s="572"/>
      <c r="C151" s="451">
        <v>5</v>
      </c>
      <c r="D151" s="226" t="s">
        <v>350</v>
      </c>
      <c r="E151" s="182">
        <v>16</v>
      </c>
      <c r="F151" s="451">
        <v>1500</v>
      </c>
      <c r="G151" s="453">
        <v>93.8</v>
      </c>
      <c r="H151" s="609"/>
      <c r="I151" s="456">
        <f t="shared" si="36"/>
        <v>16</v>
      </c>
      <c r="J151" s="456">
        <f t="shared" si="36"/>
        <v>1189.1437847866418</v>
      </c>
      <c r="K151" s="454">
        <f t="shared" si="36"/>
        <v>74.321486549165115</v>
      </c>
      <c r="L151" s="541"/>
      <c r="M151" s="455">
        <f>RANK(K151, K$147:$K$176)</f>
        <v>12</v>
      </c>
      <c r="N151" s="559"/>
      <c r="O151" s="559"/>
      <c r="P151" s="182">
        <v>16</v>
      </c>
      <c r="Q151" s="182">
        <v>1192.5000000000005</v>
      </c>
      <c r="R151" s="182">
        <v>74.531250000000028</v>
      </c>
      <c r="S151" s="451">
        <f t="shared" si="37"/>
        <v>11</v>
      </c>
      <c r="T151" s="605"/>
      <c r="U151" s="182">
        <v>16</v>
      </c>
      <c r="V151" s="182">
        <v>1177.8260869565217</v>
      </c>
      <c r="W151" s="182">
        <v>73.614130434782609</v>
      </c>
      <c r="X151" s="451">
        <f t="shared" si="38"/>
        <v>13</v>
      </c>
      <c r="Y151" s="605"/>
      <c r="Z151" s="182">
        <v>16</v>
      </c>
      <c r="AA151" s="182">
        <v>1192.1739130434783</v>
      </c>
      <c r="AB151" s="182">
        <v>74.510869565217391</v>
      </c>
      <c r="AC151" s="451">
        <f t="shared" si="39"/>
        <v>12</v>
      </c>
      <c r="AD151" s="605"/>
      <c r="AE151" s="182">
        <v>16</v>
      </c>
      <c r="AF151" s="182">
        <v>1179.5454545454545</v>
      </c>
      <c r="AG151" s="182">
        <v>73.721590909090907</v>
      </c>
      <c r="AH151" s="451">
        <f t="shared" si="40"/>
        <v>13</v>
      </c>
      <c r="AI151" s="605"/>
      <c r="AJ151" s="182">
        <v>16</v>
      </c>
      <c r="AK151" s="182">
        <v>1203.6734693877556</v>
      </c>
      <c r="AL151" s="182">
        <v>75.229591836734727</v>
      </c>
      <c r="AM151" s="451">
        <f t="shared" si="41"/>
        <v>12</v>
      </c>
      <c r="AN151" s="605"/>
      <c r="AO151" s="182"/>
      <c r="AP151" s="182"/>
      <c r="AQ151" s="182"/>
      <c r="AR151" s="390" t="e">
        <f t="shared" si="42"/>
        <v>#N/A</v>
      </c>
      <c r="AS151" s="605"/>
      <c r="AT151" s="182"/>
      <c r="AU151" s="182"/>
      <c r="AV151" s="182"/>
      <c r="AW151" s="390" t="e">
        <f t="shared" si="43"/>
        <v>#N/A</v>
      </c>
      <c r="AX151" s="605"/>
    </row>
    <row r="152" spans="2:50">
      <c r="B152" s="572"/>
      <c r="C152" s="451">
        <v>6</v>
      </c>
      <c r="D152" s="226" t="s">
        <v>379</v>
      </c>
      <c r="E152" s="182">
        <v>16</v>
      </c>
      <c r="F152" s="451">
        <v>1565</v>
      </c>
      <c r="G152" s="453">
        <v>97.8</v>
      </c>
      <c r="H152" s="609"/>
      <c r="I152" s="456">
        <f t="shared" si="36"/>
        <v>16</v>
      </c>
      <c r="J152" s="456">
        <f t="shared" si="36"/>
        <v>1250.3945556553153</v>
      </c>
      <c r="K152" s="454">
        <f t="shared" si="36"/>
        <v>78.149659728457209</v>
      </c>
      <c r="L152" s="541"/>
      <c r="M152" s="455">
        <f>RANK(K152, K$147:$K$176)</f>
        <v>7</v>
      </c>
      <c r="N152" s="559"/>
      <c r="O152" s="559"/>
      <c r="P152" s="182">
        <v>16</v>
      </c>
      <c r="Q152" s="182">
        <v>1266.6666666666663</v>
      </c>
      <c r="R152" s="182">
        <v>79.166666666666643</v>
      </c>
      <c r="S152" s="451">
        <f t="shared" si="37"/>
        <v>7</v>
      </c>
      <c r="T152" s="605"/>
      <c r="U152" s="182">
        <v>16</v>
      </c>
      <c r="V152" s="182">
        <v>1246.9230769230776</v>
      </c>
      <c r="W152" s="182">
        <v>77.932692307692349</v>
      </c>
      <c r="X152" s="451">
        <f t="shared" si="38"/>
        <v>7</v>
      </c>
      <c r="Y152" s="605"/>
      <c r="Z152" s="182">
        <v>16</v>
      </c>
      <c r="AA152" s="182">
        <v>1231.9480519480524</v>
      </c>
      <c r="AB152" s="182">
        <v>76.996753246753272</v>
      </c>
      <c r="AC152" s="451">
        <f t="shared" si="39"/>
        <v>7</v>
      </c>
      <c r="AD152" s="605"/>
      <c r="AE152" s="182">
        <v>16</v>
      </c>
      <c r="AF152" s="182">
        <v>1240.2531645569627</v>
      </c>
      <c r="AG152" s="182">
        <v>77.515822784810169</v>
      </c>
      <c r="AH152" s="451">
        <f t="shared" si="40"/>
        <v>7</v>
      </c>
      <c r="AI152" s="605"/>
      <c r="AJ152" s="182">
        <v>16</v>
      </c>
      <c r="AK152" s="182">
        <v>1266.1818181818182</v>
      </c>
      <c r="AL152" s="182">
        <v>79.13636363636364</v>
      </c>
      <c r="AM152" s="451">
        <f t="shared" si="41"/>
        <v>5</v>
      </c>
      <c r="AN152" s="605"/>
      <c r="AO152" s="182"/>
      <c r="AP152" s="182"/>
      <c r="AQ152" s="182"/>
      <c r="AR152" s="390" t="e">
        <f t="shared" si="42"/>
        <v>#N/A</v>
      </c>
      <c r="AS152" s="605"/>
      <c r="AT152" s="182"/>
      <c r="AU152" s="182"/>
      <c r="AV152" s="182"/>
      <c r="AW152" s="390" t="e">
        <f t="shared" si="43"/>
        <v>#N/A</v>
      </c>
      <c r="AX152" s="605"/>
    </row>
    <row r="153" spans="2:50">
      <c r="B153" s="572"/>
      <c r="C153" s="451">
        <v>7</v>
      </c>
      <c r="D153" s="226" t="s">
        <v>340</v>
      </c>
      <c r="E153" s="182">
        <v>15</v>
      </c>
      <c r="F153" s="451">
        <v>1440</v>
      </c>
      <c r="G153" s="453">
        <v>102.9</v>
      </c>
      <c r="H153" s="609"/>
      <c r="I153" s="456">
        <f t="shared" si="36"/>
        <v>15</v>
      </c>
      <c r="J153" s="456">
        <f t="shared" si="36"/>
        <v>1080.515873015873</v>
      </c>
      <c r="K153" s="454">
        <f t="shared" si="36"/>
        <v>72.034391534391531</v>
      </c>
      <c r="L153" s="541"/>
      <c r="M153" s="455">
        <f>RANK(K153, K$147:$K$176)</f>
        <v>15</v>
      </c>
      <c r="N153" s="559"/>
      <c r="O153" s="559"/>
      <c r="P153" s="182">
        <v>15</v>
      </c>
      <c r="Q153" s="182">
        <v>1088.8888888888864</v>
      </c>
      <c r="R153" s="182">
        <v>72.592592592592425</v>
      </c>
      <c r="S153" s="451">
        <f t="shared" si="37"/>
        <v>13</v>
      </c>
      <c r="T153" s="605"/>
      <c r="U153" s="182">
        <v>15</v>
      </c>
      <c r="V153" s="182">
        <v>1093.3333333333308</v>
      </c>
      <c r="W153" s="182">
        <v>72.888888888888715</v>
      </c>
      <c r="X153" s="451">
        <f t="shared" si="38"/>
        <v>15</v>
      </c>
      <c r="Y153" s="605"/>
      <c r="Z153" s="182">
        <v>15</v>
      </c>
      <c r="AA153" s="182">
        <v>1051.4285714285752</v>
      </c>
      <c r="AB153" s="182">
        <v>70.095238095238344</v>
      </c>
      <c r="AC153" s="451">
        <f t="shared" si="39"/>
        <v>18</v>
      </c>
      <c r="AD153" s="605"/>
      <c r="AE153" s="182">
        <v>15</v>
      </c>
      <c r="AF153" s="182">
        <v>1077.4999999999968</v>
      </c>
      <c r="AG153" s="182">
        <v>71.833333333333115</v>
      </c>
      <c r="AH153" s="451">
        <f t="shared" si="40"/>
        <v>14</v>
      </c>
      <c r="AI153" s="605"/>
      <c r="AJ153" s="182">
        <v>15</v>
      </c>
      <c r="AK153" s="182">
        <v>1091.4285714285752</v>
      </c>
      <c r="AL153" s="182">
        <v>72.761904761905015</v>
      </c>
      <c r="AM153" s="451">
        <f t="shared" si="41"/>
        <v>16</v>
      </c>
      <c r="AN153" s="605"/>
      <c r="AO153" s="182"/>
      <c r="AP153" s="182"/>
      <c r="AQ153" s="182"/>
      <c r="AR153" s="390" t="e">
        <f t="shared" si="42"/>
        <v>#N/A</v>
      </c>
      <c r="AS153" s="605"/>
      <c r="AT153" s="182"/>
      <c r="AU153" s="182"/>
      <c r="AV153" s="182"/>
      <c r="AW153" s="390" t="e">
        <f t="shared" si="43"/>
        <v>#N/A</v>
      </c>
      <c r="AX153" s="605"/>
    </row>
    <row r="154" spans="2:50">
      <c r="B154" s="572"/>
      <c r="C154" s="451">
        <v>8</v>
      </c>
      <c r="D154" s="226" t="s">
        <v>378</v>
      </c>
      <c r="E154" s="182">
        <v>16</v>
      </c>
      <c r="F154" s="451">
        <v>1440</v>
      </c>
      <c r="G154" s="453">
        <v>90</v>
      </c>
      <c r="H154" s="609"/>
      <c r="I154" s="456">
        <f t="shared" si="36"/>
        <v>16</v>
      </c>
      <c r="J154" s="456">
        <f t="shared" si="36"/>
        <v>1287.4155462184856</v>
      </c>
      <c r="K154" s="454">
        <f t="shared" si="36"/>
        <v>80.463471638655349</v>
      </c>
      <c r="L154" s="541"/>
      <c r="M154" s="455">
        <f>RANK(K154, K$147:$K$176)</f>
        <v>3</v>
      </c>
      <c r="N154" s="559"/>
      <c r="O154" s="559"/>
      <c r="P154" s="182">
        <v>16</v>
      </c>
      <c r="Q154" s="182">
        <v>1266.8571428571415</v>
      </c>
      <c r="R154" s="182">
        <v>79.178571428571345</v>
      </c>
      <c r="S154" s="451">
        <f t="shared" si="37"/>
        <v>6</v>
      </c>
      <c r="T154" s="605"/>
      <c r="U154" s="182">
        <v>16</v>
      </c>
      <c r="V154" s="182">
        <v>1286.4705882352923</v>
      </c>
      <c r="W154" s="182">
        <v>80.40441176470577</v>
      </c>
      <c r="X154" s="451">
        <f t="shared" si="38"/>
        <v>5</v>
      </c>
      <c r="Y154" s="605"/>
      <c r="Z154" s="182">
        <v>16</v>
      </c>
      <c r="AA154" s="182">
        <v>1319.9999999999973</v>
      </c>
      <c r="AB154" s="182">
        <v>82.499999999999829</v>
      </c>
      <c r="AC154" s="451">
        <f t="shared" si="39"/>
        <v>3</v>
      </c>
      <c r="AD154" s="605"/>
      <c r="AE154" s="182">
        <v>16</v>
      </c>
      <c r="AF154" s="182">
        <v>1299.9999999999984</v>
      </c>
      <c r="AG154" s="182">
        <v>81.249999999999901</v>
      </c>
      <c r="AH154" s="451">
        <f t="shared" si="40"/>
        <v>3</v>
      </c>
      <c r="AI154" s="605"/>
      <c r="AJ154" s="182">
        <v>16</v>
      </c>
      <c r="AK154" s="182">
        <v>1263.7499999999982</v>
      </c>
      <c r="AL154" s="182">
        <v>78.984374999999886</v>
      </c>
      <c r="AM154" s="451">
        <f t="shared" si="41"/>
        <v>6</v>
      </c>
      <c r="AN154" s="605"/>
      <c r="AO154" s="182"/>
      <c r="AP154" s="182"/>
      <c r="AQ154" s="182"/>
      <c r="AR154" s="390" t="e">
        <f t="shared" si="42"/>
        <v>#N/A</v>
      </c>
      <c r="AS154" s="605"/>
      <c r="AT154" s="182"/>
      <c r="AU154" s="182"/>
      <c r="AV154" s="182"/>
      <c r="AW154" s="390" t="e">
        <f t="shared" si="43"/>
        <v>#N/A</v>
      </c>
      <c r="AX154" s="605"/>
    </row>
    <row r="155" spans="2:50">
      <c r="B155" s="572"/>
      <c r="C155" s="451">
        <v>9</v>
      </c>
      <c r="D155" s="226" t="s">
        <v>374</v>
      </c>
      <c r="E155" s="182">
        <v>16</v>
      </c>
      <c r="F155" s="451">
        <v>1380</v>
      </c>
      <c r="G155" s="453">
        <v>86.25</v>
      </c>
      <c r="H155" s="609"/>
      <c r="I155" s="456">
        <f t="shared" si="36"/>
        <v>16.600000000000001</v>
      </c>
      <c r="J155" s="456">
        <f t="shared" si="36"/>
        <v>1190.7036616541161</v>
      </c>
      <c r="K155" s="454">
        <f t="shared" si="36"/>
        <v>71.773955627818694</v>
      </c>
      <c r="L155" s="541"/>
      <c r="M155" s="455">
        <f>RANK(K155, K$147:$K$176)</f>
        <v>16</v>
      </c>
      <c r="N155" s="559"/>
      <c r="O155" s="559"/>
      <c r="P155" s="182">
        <v>16</v>
      </c>
      <c r="Q155" s="182">
        <v>1153.0434782608695</v>
      </c>
      <c r="R155" s="182">
        <v>72.065217391304344</v>
      </c>
      <c r="S155" s="451">
        <f t="shared" si="37"/>
        <v>15</v>
      </c>
      <c r="T155" s="605"/>
      <c r="U155" s="182">
        <v>17</v>
      </c>
      <c r="V155" s="182">
        <v>1153.6363636363635</v>
      </c>
      <c r="W155" s="182">
        <v>67.860962566844918</v>
      </c>
      <c r="X155" s="451">
        <f t="shared" si="38"/>
        <v>22</v>
      </c>
      <c r="Y155" s="605"/>
      <c r="Z155" s="182">
        <v>16</v>
      </c>
      <c r="AA155" s="182">
        <v>1203.2432432432422</v>
      </c>
      <c r="AB155" s="182">
        <v>75.202702702702638</v>
      </c>
      <c r="AC155" s="451">
        <f t="shared" si="39"/>
        <v>10</v>
      </c>
      <c r="AD155" s="605"/>
      <c r="AE155" s="182">
        <v>17</v>
      </c>
      <c r="AF155" s="182">
        <v>1211.1627906976742</v>
      </c>
      <c r="AG155" s="182">
        <v>71.244870041039661</v>
      </c>
      <c r="AH155" s="451">
        <f t="shared" si="40"/>
        <v>18</v>
      </c>
      <c r="AI155" s="605"/>
      <c r="AJ155" s="182">
        <v>17</v>
      </c>
      <c r="AK155" s="182">
        <v>1232.4324324324316</v>
      </c>
      <c r="AL155" s="182">
        <v>72.496025437201865</v>
      </c>
      <c r="AM155" s="451">
        <f t="shared" si="41"/>
        <v>18</v>
      </c>
      <c r="AN155" s="605"/>
      <c r="AO155" s="182"/>
      <c r="AP155" s="182"/>
      <c r="AQ155" s="182"/>
      <c r="AR155" s="390" t="e">
        <f t="shared" si="42"/>
        <v>#N/A</v>
      </c>
      <c r="AS155" s="605"/>
      <c r="AT155" s="182"/>
      <c r="AU155" s="182"/>
      <c r="AV155" s="182"/>
      <c r="AW155" s="390" t="e">
        <f t="shared" si="43"/>
        <v>#N/A</v>
      </c>
      <c r="AX155" s="605"/>
    </row>
    <row r="156" spans="2:50">
      <c r="B156" s="572"/>
      <c r="C156" s="451">
        <v>10</v>
      </c>
      <c r="D156" s="226" t="s">
        <v>377</v>
      </c>
      <c r="E156" s="182">
        <v>18</v>
      </c>
      <c r="F156" s="451">
        <v>1636</v>
      </c>
      <c r="G156" s="453">
        <v>90.9</v>
      </c>
      <c r="H156" s="609"/>
      <c r="I156" s="456">
        <f t="shared" si="36"/>
        <v>18</v>
      </c>
      <c r="J156" s="456">
        <f t="shared" si="36"/>
        <v>1286.9489675870341</v>
      </c>
      <c r="K156" s="454">
        <f t="shared" si="36"/>
        <v>71.497164865946345</v>
      </c>
      <c r="L156" s="541"/>
      <c r="M156" s="455">
        <f>RANK(K156, K$147:$K$176)</f>
        <v>18</v>
      </c>
      <c r="N156" s="559"/>
      <c r="O156" s="559"/>
      <c r="P156" s="182">
        <v>18</v>
      </c>
      <c r="Q156" s="182">
        <v>1256.4000000000003</v>
      </c>
      <c r="R156" s="182">
        <v>69.800000000000011</v>
      </c>
      <c r="S156" s="451">
        <f t="shared" si="37"/>
        <v>21</v>
      </c>
      <c r="T156" s="605"/>
      <c r="U156" s="182">
        <v>18</v>
      </c>
      <c r="V156" s="182">
        <v>1281.1764705882358</v>
      </c>
      <c r="W156" s="182">
        <v>71.176470588235318</v>
      </c>
      <c r="X156" s="451">
        <f t="shared" si="38"/>
        <v>18</v>
      </c>
      <c r="Y156" s="605"/>
      <c r="Z156" s="182">
        <v>18</v>
      </c>
      <c r="AA156" s="182">
        <v>1244.0816326530617</v>
      </c>
      <c r="AB156" s="182">
        <v>69.115646258503432</v>
      </c>
      <c r="AC156" s="451">
        <f t="shared" si="39"/>
        <v>19</v>
      </c>
      <c r="AD156" s="605"/>
      <c r="AE156" s="182">
        <v>18</v>
      </c>
      <c r="AF156" s="182">
        <v>1291.836734693878</v>
      </c>
      <c r="AG156" s="182">
        <v>71.768707482993221</v>
      </c>
      <c r="AH156" s="451">
        <f t="shared" si="40"/>
        <v>15</v>
      </c>
      <c r="AI156" s="605"/>
      <c r="AJ156" s="182">
        <v>18</v>
      </c>
      <c r="AK156" s="182">
        <v>1361.2499999999957</v>
      </c>
      <c r="AL156" s="182">
        <v>75.624999999999758</v>
      </c>
      <c r="AM156" s="451">
        <f t="shared" si="41"/>
        <v>9</v>
      </c>
      <c r="AN156" s="605"/>
      <c r="AO156" s="182"/>
      <c r="AP156" s="182"/>
      <c r="AQ156" s="182"/>
      <c r="AR156" s="390" t="e">
        <f t="shared" si="42"/>
        <v>#N/A</v>
      </c>
      <c r="AS156" s="605"/>
      <c r="AT156" s="182"/>
      <c r="AU156" s="182"/>
      <c r="AV156" s="182"/>
      <c r="AW156" s="390" t="e">
        <f t="shared" si="43"/>
        <v>#N/A</v>
      </c>
      <c r="AX156" s="605"/>
    </row>
    <row r="157" spans="2:50">
      <c r="B157" s="572"/>
      <c r="C157" s="451">
        <v>11</v>
      </c>
      <c r="D157" s="226" t="s">
        <v>376</v>
      </c>
      <c r="E157" s="182">
        <v>18</v>
      </c>
      <c r="F157" s="451">
        <v>1636</v>
      </c>
      <c r="G157" s="453">
        <v>90.9</v>
      </c>
      <c r="H157" s="609"/>
      <c r="I157" s="456">
        <f t="shared" si="36"/>
        <v>18.600000000000001</v>
      </c>
      <c r="J157" s="456">
        <f t="shared" si="36"/>
        <v>1270.9399168399148</v>
      </c>
      <c r="K157" s="454">
        <f t="shared" si="36"/>
        <v>68.412484954590099</v>
      </c>
      <c r="L157" s="541"/>
      <c r="M157" s="455">
        <f>RANK(K157, K$147:$K$176)</f>
        <v>21</v>
      </c>
      <c r="N157" s="559"/>
      <c r="O157" s="559"/>
      <c r="P157" s="182">
        <v>18</v>
      </c>
      <c r="Q157" s="182">
        <v>1256.7567567567557</v>
      </c>
      <c r="R157" s="182">
        <v>69.81981981981977</v>
      </c>
      <c r="S157" s="451">
        <f t="shared" si="37"/>
        <v>20</v>
      </c>
      <c r="T157" s="605"/>
      <c r="U157" s="182">
        <v>19</v>
      </c>
      <c r="V157" s="182">
        <v>1246.4999999999995</v>
      </c>
      <c r="W157" s="182">
        <v>65.605263157894711</v>
      </c>
      <c r="X157" s="451">
        <f t="shared" si="38"/>
        <v>25</v>
      </c>
      <c r="Y157" s="605"/>
      <c r="Z157" s="182">
        <v>19</v>
      </c>
      <c r="AA157" s="182">
        <v>1255.1351351351341</v>
      </c>
      <c r="AB157" s="182">
        <v>66.059743954480737</v>
      </c>
      <c r="AC157" s="451">
        <f t="shared" si="39"/>
        <v>22</v>
      </c>
      <c r="AD157" s="605"/>
      <c r="AE157" s="182">
        <v>19</v>
      </c>
      <c r="AF157" s="182">
        <v>1252.3076923076917</v>
      </c>
      <c r="AG157" s="182">
        <v>65.910931174089043</v>
      </c>
      <c r="AH157" s="451">
        <f t="shared" si="40"/>
        <v>24</v>
      </c>
      <c r="AI157" s="605"/>
      <c r="AJ157" s="182">
        <v>18</v>
      </c>
      <c r="AK157" s="182">
        <v>1343.9999999999925</v>
      </c>
      <c r="AL157" s="182">
        <v>74.666666666666245</v>
      </c>
      <c r="AM157" s="451">
        <f t="shared" si="41"/>
        <v>13</v>
      </c>
      <c r="AN157" s="605"/>
      <c r="AO157" s="182"/>
      <c r="AP157" s="182"/>
      <c r="AQ157" s="182"/>
      <c r="AR157" s="390" t="e">
        <f t="shared" si="42"/>
        <v>#N/A</v>
      </c>
      <c r="AS157" s="605"/>
      <c r="AT157" s="182"/>
      <c r="AU157" s="182"/>
      <c r="AV157" s="182"/>
      <c r="AW157" s="390" t="e">
        <f t="shared" si="43"/>
        <v>#N/A</v>
      </c>
      <c r="AX157" s="605"/>
    </row>
    <row r="158" spans="2:50">
      <c r="B158" s="572"/>
      <c r="C158" s="451">
        <v>12</v>
      </c>
      <c r="D158" s="226" t="s">
        <v>353</v>
      </c>
      <c r="E158" s="182">
        <v>17</v>
      </c>
      <c r="F158" s="451">
        <v>1500</v>
      </c>
      <c r="G158" s="453">
        <v>88.2</v>
      </c>
      <c r="H158" s="609"/>
      <c r="I158" s="456">
        <f t="shared" si="36"/>
        <v>17</v>
      </c>
      <c r="J158" s="456">
        <f t="shared" si="36"/>
        <v>1273.5818181818165</v>
      </c>
      <c r="K158" s="454">
        <f t="shared" si="36"/>
        <v>74.916577540106857</v>
      </c>
      <c r="L158" s="541"/>
      <c r="M158" s="455">
        <f>RANK(K158, K$147:$K$176)</f>
        <v>10</v>
      </c>
      <c r="N158" s="559"/>
      <c r="O158" s="559"/>
      <c r="P158" s="182">
        <v>17</v>
      </c>
      <c r="Q158" s="182">
        <v>1310.9090909090892</v>
      </c>
      <c r="R158" s="182">
        <v>77.11229946524054</v>
      </c>
      <c r="S158" s="451">
        <f t="shared" si="37"/>
        <v>9</v>
      </c>
      <c r="T158" s="605"/>
      <c r="U158" s="182">
        <v>17</v>
      </c>
      <c r="V158" s="182">
        <v>1274.9999999999989</v>
      </c>
      <c r="W158" s="182">
        <v>74.999999999999929</v>
      </c>
      <c r="X158" s="451">
        <f t="shared" si="38"/>
        <v>11</v>
      </c>
      <c r="Y158" s="605"/>
      <c r="Z158" s="182">
        <v>17</v>
      </c>
      <c r="AA158" s="182">
        <v>1241.9999999999977</v>
      </c>
      <c r="AB158" s="182">
        <v>73.058823529411626</v>
      </c>
      <c r="AC158" s="451">
        <f t="shared" si="39"/>
        <v>13</v>
      </c>
      <c r="AD158" s="605"/>
      <c r="AE158" s="182">
        <v>17</v>
      </c>
      <c r="AF158" s="182">
        <v>1259.9999999999984</v>
      </c>
      <c r="AG158" s="182">
        <v>74.117647058823437</v>
      </c>
      <c r="AH158" s="451">
        <f t="shared" si="40"/>
        <v>11</v>
      </c>
      <c r="AI158" s="605"/>
      <c r="AJ158" s="182">
        <v>17</v>
      </c>
      <c r="AK158" s="182">
        <v>1279.9999999999984</v>
      </c>
      <c r="AL158" s="182">
        <v>75.294117647058727</v>
      </c>
      <c r="AM158" s="451">
        <f t="shared" si="41"/>
        <v>11</v>
      </c>
      <c r="AN158" s="605"/>
      <c r="AO158" s="182"/>
      <c r="AP158" s="182"/>
      <c r="AQ158" s="182"/>
      <c r="AR158" s="390" t="e">
        <f t="shared" si="42"/>
        <v>#N/A</v>
      </c>
      <c r="AS158" s="605"/>
      <c r="AT158" s="182"/>
      <c r="AU158" s="182"/>
      <c r="AV158" s="182"/>
      <c r="AW158" s="390" t="e">
        <f t="shared" si="43"/>
        <v>#N/A</v>
      </c>
      <c r="AX158" s="605"/>
    </row>
    <row r="159" spans="2:50">
      <c r="B159" s="572"/>
      <c r="C159" s="451">
        <v>13</v>
      </c>
      <c r="D159" s="226" t="s">
        <v>588</v>
      </c>
      <c r="E159" s="182">
        <v>18</v>
      </c>
      <c r="F159" s="451">
        <v>1440</v>
      </c>
      <c r="G159" s="453">
        <v>80</v>
      </c>
      <c r="H159" s="609"/>
      <c r="I159" s="456">
        <f t="shared" si="36"/>
        <v>18</v>
      </c>
      <c r="J159" s="456">
        <f t="shared" si="36"/>
        <v>1339.2861665697501</v>
      </c>
      <c r="K159" s="454">
        <f t="shared" si="36"/>
        <v>74.404787031652774</v>
      </c>
      <c r="L159" s="541"/>
      <c r="M159" s="455">
        <f>RANK(K159, K$147:$K$176)</f>
        <v>11</v>
      </c>
      <c r="N159" s="559"/>
      <c r="O159" s="559"/>
      <c r="P159" s="182">
        <v>18</v>
      </c>
      <c r="Q159" s="182">
        <v>1321.8181818181831</v>
      </c>
      <c r="R159" s="182">
        <v>73.434343434343504</v>
      </c>
      <c r="S159" s="451">
        <f t="shared" si="37"/>
        <v>12</v>
      </c>
      <c r="T159" s="605"/>
      <c r="U159" s="182">
        <v>18</v>
      </c>
      <c r="V159" s="182">
        <v>1364.7619047619062</v>
      </c>
      <c r="W159" s="182">
        <v>75.820105820105894</v>
      </c>
      <c r="X159" s="451">
        <f t="shared" si="38"/>
        <v>10</v>
      </c>
      <c r="Y159" s="605"/>
      <c r="Z159" s="182">
        <v>18</v>
      </c>
      <c r="AA159" s="182">
        <v>1350.0000000000011</v>
      </c>
      <c r="AB159" s="182">
        <v>75.000000000000057</v>
      </c>
      <c r="AC159" s="451">
        <f t="shared" si="39"/>
        <v>11</v>
      </c>
      <c r="AD159" s="605"/>
      <c r="AE159" s="182">
        <v>18</v>
      </c>
      <c r="AF159" s="182">
        <v>1330.0000000000014</v>
      </c>
      <c r="AG159" s="182">
        <v>73.888888888888971</v>
      </c>
      <c r="AH159" s="451">
        <f t="shared" si="40"/>
        <v>12</v>
      </c>
      <c r="AI159" s="605"/>
      <c r="AJ159" s="182">
        <v>18</v>
      </c>
      <c r="AK159" s="182">
        <v>1329.8507462686584</v>
      </c>
      <c r="AL159" s="182">
        <v>73.88059701492547</v>
      </c>
      <c r="AM159" s="451">
        <f t="shared" si="41"/>
        <v>14</v>
      </c>
      <c r="AN159" s="605"/>
      <c r="AO159" s="182"/>
      <c r="AP159" s="182"/>
      <c r="AQ159" s="182"/>
      <c r="AR159" s="390" t="e">
        <f t="shared" si="42"/>
        <v>#N/A</v>
      </c>
      <c r="AS159" s="605"/>
      <c r="AT159" s="182"/>
      <c r="AU159" s="182"/>
      <c r="AV159" s="182"/>
      <c r="AW159" s="390" t="e">
        <f t="shared" si="43"/>
        <v>#N/A</v>
      </c>
      <c r="AX159" s="605"/>
    </row>
    <row r="160" spans="2:50">
      <c r="B160" s="572"/>
      <c r="C160" s="451">
        <v>14</v>
      </c>
      <c r="D160" s="226" t="s">
        <v>381</v>
      </c>
      <c r="E160" s="182">
        <v>15</v>
      </c>
      <c r="F160" s="451">
        <v>1440</v>
      </c>
      <c r="G160" s="453">
        <v>96</v>
      </c>
      <c r="H160" s="609"/>
      <c r="I160" s="456">
        <f t="shared" si="36"/>
        <v>16</v>
      </c>
      <c r="J160" s="456">
        <f t="shared" si="36"/>
        <v>1284.0513755401796</v>
      </c>
      <c r="K160" s="454">
        <f t="shared" si="36"/>
        <v>80.253210971261225</v>
      </c>
      <c r="L160" s="541"/>
      <c r="M160" s="455">
        <f>RANK(K160, K$147:$K$176)</f>
        <v>4</v>
      </c>
      <c r="N160" s="559"/>
      <c r="O160" s="559"/>
      <c r="P160" s="182">
        <v>16</v>
      </c>
      <c r="Q160" s="182">
        <v>1284.0000000000007</v>
      </c>
      <c r="R160" s="182">
        <v>80.250000000000043</v>
      </c>
      <c r="S160" s="451">
        <f t="shared" si="37"/>
        <v>5</v>
      </c>
      <c r="T160" s="605"/>
      <c r="U160" s="182">
        <v>16</v>
      </c>
      <c r="V160" s="182">
        <v>1309.999999999997</v>
      </c>
      <c r="W160" s="182">
        <v>81.874999999999815</v>
      </c>
      <c r="X160" s="451">
        <f t="shared" si="38"/>
        <v>3</v>
      </c>
      <c r="Y160" s="605"/>
      <c r="Z160" s="182">
        <v>16</v>
      </c>
      <c r="AA160" s="182">
        <v>1304.68085106383</v>
      </c>
      <c r="AB160" s="182">
        <v>81.542553191489375</v>
      </c>
      <c r="AC160" s="451">
        <f t="shared" si="39"/>
        <v>4</v>
      </c>
      <c r="AD160" s="605"/>
      <c r="AE160" s="182">
        <v>16</v>
      </c>
      <c r="AF160" s="182">
        <v>1249.8113207547176</v>
      </c>
      <c r="AG160" s="182">
        <v>78.11320754716985</v>
      </c>
      <c r="AH160" s="451">
        <f t="shared" si="40"/>
        <v>6</v>
      </c>
      <c r="AI160" s="605"/>
      <c r="AJ160" s="182">
        <v>16</v>
      </c>
      <c r="AK160" s="182">
        <v>1271.7647058823536</v>
      </c>
      <c r="AL160" s="182">
        <v>79.485294117647101</v>
      </c>
      <c r="AM160" s="451">
        <f t="shared" si="41"/>
        <v>4</v>
      </c>
      <c r="AN160" s="605"/>
      <c r="AO160" s="182"/>
      <c r="AP160" s="182"/>
      <c r="AQ160" s="182"/>
      <c r="AR160" s="390" t="e">
        <f t="shared" si="42"/>
        <v>#N/A</v>
      </c>
      <c r="AS160" s="605"/>
      <c r="AT160" s="182"/>
      <c r="AU160" s="182"/>
      <c r="AV160" s="182"/>
      <c r="AW160" s="390" t="e">
        <f t="shared" si="43"/>
        <v>#N/A</v>
      </c>
      <c r="AX160" s="605"/>
    </row>
    <row r="161" spans="2:50">
      <c r="B161" s="572"/>
      <c r="C161" s="451">
        <v>15</v>
      </c>
      <c r="D161" s="226" t="s">
        <v>342</v>
      </c>
      <c r="E161" s="182">
        <v>17</v>
      </c>
      <c r="F161" s="451">
        <v>1440</v>
      </c>
      <c r="G161" s="453">
        <v>84.7</v>
      </c>
      <c r="H161" s="609"/>
      <c r="I161" s="456">
        <f t="shared" si="36"/>
        <v>17</v>
      </c>
      <c r="J161" s="456">
        <f t="shared" si="36"/>
        <v>1345.0068726469565</v>
      </c>
      <c r="K161" s="454">
        <f t="shared" si="36"/>
        <v>79.11805133217392</v>
      </c>
      <c r="L161" s="541"/>
      <c r="M161" s="456">
        <f>RANK(K161, K$147:$K$176)</f>
        <v>6</v>
      </c>
      <c r="N161" s="559"/>
      <c r="O161" s="559"/>
      <c r="P161" s="182">
        <v>17</v>
      </c>
      <c r="Q161" s="182">
        <v>1366.5789473684201</v>
      </c>
      <c r="R161" s="182">
        <v>80.386996904024713</v>
      </c>
      <c r="S161" s="451">
        <f t="shared" si="37"/>
        <v>4</v>
      </c>
      <c r="T161" s="605"/>
      <c r="U161" s="182">
        <v>17</v>
      </c>
      <c r="V161" s="182">
        <v>1328.8888888888885</v>
      </c>
      <c r="W161" s="182">
        <v>78.169934640522854</v>
      </c>
      <c r="X161" s="451">
        <f t="shared" si="38"/>
        <v>6</v>
      </c>
      <c r="Y161" s="605"/>
      <c r="Z161" s="182">
        <v>17</v>
      </c>
      <c r="AA161" s="182">
        <v>1322.6086956521724</v>
      </c>
      <c r="AB161" s="182">
        <v>77.800511508951317</v>
      </c>
      <c r="AC161" s="451">
        <f t="shared" si="39"/>
        <v>6</v>
      </c>
      <c r="AD161" s="605"/>
      <c r="AE161" s="182">
        <v>17</v>
      </c>
      <c r="AF161" s="182">
        <v>1372.5000000000011</v>
      </c>
      <c r="AG161" s="182">
        <v>80.735294117647129</v>
      </c>
      <c r="AH161" s="451">
        <f t="shared" si="40"/>
        <v>4</v>
      </c>
      <c r="AI161" s="605"/>
      <c r="AJ161" s="182">
        <v>17</v>
      </c>
      <c r="AK161" s="182">
        <v>1334.4578313253007</v>
      </c>
      <c r="AL161" s="182">
        <v>78.497519489723572</v>
      </c>
      <c r="AM161" s="451">
        <f t="shared" si="41"/>
        <v>7</v>
      </c>
      <c r="AN161" s="605"/>
      <c r="AO161" s="182"/>
      <c r="AP161" s="182"/>
      <c r="AQ161" s="182"/>
      <c r="AR161" s="390" t="e">
        <f t="shared" si="42"/>
        <v>#N/A</v>
      </c>
      <c r="AS161" s="605"/>
      <c r="AT161" s="182"/>
      <c r="AU161" s="182"/>
      <c r="AV161" s="182"/>
      <c r="AW161" s="390" t="e">
        <f t="shared" si="43"/>
        <v>#N/A</v>
      </c>
      <c r="AX161" s="605"/>
    </row>
    <row r="162" spans="2:50">
      <c r="B162" s="572"/>
      <c r="C162" s="451">
        <v>16</v>
      </c>
      <c r="D162" s="226" t="s">
        <v>375</v>
      </c>
      <c r="E162" s="182">
        <v>19</v>
      </c>
      <c r="F162" s="451">
        <v>1440</v>
      </c>
      <c r="G162" s="453">
        <v>75.8</v>
      </c>
      <c r="H162" s="609"/>
      <c r="I162" s="456">
        <f t="shared" si="36"/>
        <v>18</v>
      </c>
      <c r="J162" s="456">
        <f t="shared" si="36"/>
        <v>1282.1035268444534</v>
      </c>
      <c r="K162" s="454">
        <f t="shared" si="36"/>
        <v>71.227973713580752</v>
      </c>
      <c r="L162" s="541"/>
      <c r="M162" s="456">
        <f>RANK(K162, K$147:$K$176)</f>
        <v>19</v>
      </c>
      <c r="N162" s="559"/>
      <c r="O162" s="559"/>
      <c r="P162" s="182">
        <v>18</v>
      </c>
      <c r="Q162" s="182">
        <v>1287.0588235294124</v>
      </c>
      <c r="R162" s="182">
        <v>71.503267973856239</v>
      </c>
      <c r="S162" s="451">
        <f t="shared" si="37"/>
        <v>18</v>
      </c>
      <c r="T162" s="605"/>
      <c r="U162" s="182">
        <v>18</v>
      </c>
      <c r="V162" s="182">
        <v>1256.6666666666674</v>
      </c>
      <c r="W162" s="182">
        <v>69.814814814814852</v>
      </c>
      <c r="X162" s="451">
        <f t="shared" si="38"/>
        <v>19</v>
      </c>
      <c r="Y162" s="605"/>
      <c r="Z162" s="182">
        <v>18</v>
      </c>
      <c r="AA162" s="182">
        <v>1290.6382978723407</v>
      </c>
      <c r="AB162" s="182">
        <v>71.702127659574487</v>
      </c>
      <c r="AC162" s="451">
        <f t="shared" si="39"/>
        <v>15</v>
      </c>
      <c r="AD162" s="605"/>
      <c r="AE162" s="182">
        <v>18</v>
      </c>
      <c r="AF162" s="182">
        <v>1276.1538461538469</v>
      </c>
      <c r="AG162" s="182">
        <v>70.89743589743594</v>
      </c>
      <c r="AH162" s="451">
        <f t="shared" si="40"/>
        <v>19</v>
      </c>
      <c r="AI162" s="605"/>
      <c r="AJ162" s="182">
        <v>18</v>
      </c>
      <c r="AK162" s="182">
        <v>1300.0000000000005</v>
      </c>
      <c r="AL162" s="182">
        <v>72.222222222222243</v>
      </c>
      <c r="AM162" s="451">
        <f t="shared" si="41"/>
        <v>19</v>
      </c>
      <c r="AN162" s="605"/>
      <c r="AO162" s="182"/>
      <c r="AP162" s="182"/>
      <c r="AQ162" s="182"/>
      <c r="AR162" s="390" t="e">
        <f t="shared" si="42"/>
        <v>#N/A</v>
      </c>
      <c r="AS162" s="605"/>
      <c r="AT162" s="182"/>
      <c r="AU162" s="182"/>
      <c r="AV162" s="182"/>
      <c r="AW162" s="390" t="e">
        <f t="shared" si="43"/>
        <v>#N/A</v>
      </c>
      <c r="AX162" s="605"/>
    </row>
    <row r="163" spans="2:50">
      <c r="B163" s="572"/>
      <c r="C163" s="451">
        <v>17</v>
      </c>
      <c r="D163" s="226" t="s">
        <v>382</v>
      </c>
      <c r="E163" s="182">
        <v>19</v>
      </c>
      <c r="F163" s="451">
        <v>1500</v>
      </c>
      <c r="G163" s="453">
        <v>78.900000000000006</v>
      </c>
      <c r="H163" s="609"/>
      <c r="I163" s="456">
        <f t="shared" si="36"/>
        <v>18</v>
      </c>
      <c r="J163" s="456">
        <f t="shared" si="36"/>
        <v>1287.0979319400362</v>
      </c>
      <c r="K163" s="454">
        <f t="shared" si="36"/>
        <v>71.505440663335349</v>
      </c>
      <c r="L163" s="541"/>
      <c r="M163" s="456">
        <f>RANK(K163, K$147:$K$176)</f>
        <v>17</v>
      </c>
      <c r="N163" s="559"/>
      <c r="O163" s="559"/>
      <c r="P163" s="182">
        <v>18</v>
      </c>
      <c r="Q163" s="182">
        <v>1289.9999999999989</v>
      </c>
      <c r="R163" s="182">
        <v>71.6666666666666</v>
      </c>
      <c r="S163" s="451">
        <f t="shared" si="37"/>
        <v>16</v>
      </c>
      <c r="T163" s="605"/>
      <c r="U163" s="182">
        <v>18</v>
      </c>
      <c r="V163" s="182">
        <v>1289.2307692307686</v>
      </c>
      <c r="W163" s="182">
        <v>71.623931623931583</v>
      </c>
      <c r="X163" s="451">
        <f t="shared" si="38"/>
        <v>17</v>
      </c>
      <c r="Y163" s="605"/>
      <c r="Z163" s="182">
        <v>18</v>
      </c>
      <c r="AA163" s="182">
        <v>1289.9999999999982</v>
      </c>
      <c r="AB163" s="182">
        <v>71.666666666666572</v>
      </c>
      <c r="AC163" s="451">
        <f t="shared" si="39"/>
        <v>16</v>
      </c>
      <c r="AD163" s="605"/>
      <c r="AE163" s="182">
        <v>18</v>
      </c>
      <c r="AF163" s="182">
        <v>1288.421052631578</v>
      </c>
      <c r="AG163" s="182">
        <v>71.578947368420998</v>
      </c>
      <c r="AH163" s="451">
        <f t="shared" si="40"/>
        <v>17</v>
      </c>
      <c r="AI163" s="605"/>
      <c r="AJ163" s="182">
        <v>18</v>
      </c>
      <c r="AK163" s="182">
        <v>1277.8378378378368</v>
      </c>
      <c r="AL163" s="182">
        <v>70.990990990990937</v>
      </c>
      <c r="AM163" s="451">
        <f t="shared" si="41"/>
        <v>21</v>
      </c>
      <c r="AN163" s="605"/>
      <c r="AO163" s="182"/>
      <c r="AP163" s="182"/>
      <c r="AQ163" s="182"/>
      <c r="AR163" s="390" t="e">
        <f t="shared" si="42"/>
        <v>#N/A</v>
      </c>
      <c r="AS163" s="605"/>
      <c r="AT163" s="182"/>
      <c r="AU163" s="182"/>
      <c r="AV163" s="182"/>
      <c r="AW163" s="390" t="e">
        <f t="shared" si="43"/>
        <v>#N/A</v>
      </c>
      <c r="AX163" s="605"/>
    </row>
    <row r="164" spans="2:50">
      <c r="B164" s="572"/>
      <c r="C164" s="451">
        <v>18</v>
      </c>
      <c r="D164" s="226" t="s">
        <v>453</v>
      </c>
      <c r="E164" s="182">
        <v>18</v>
      </c>
      <c r="F164" s="451">
        <v>1440</v>
      </c>
      <c r="G164" s="453">
        <v>80</v>
      </c>
      <c r="H164" s="609"/>
      <c r="I164" s="456">
        <f t="shared" si="36"/>
        <v>17.2</v>
      </c>
      <c r="J164" s="456">
        <f t="shared" si="36"/>
        <v>1095.3532919254667</v>
      </c>
      <c r="K164" s="454">
        <f t="shared" si="36"/>
        <v>63.722929403645573</v>
      </c>
      <c r="L164" s="541"/>
      <c r="M164" s="456">
        <f>RANK(K164, K$147:$K$176)</f>
        <v>26</v>
      </c>
      <c r="N164" s="559"/>
      <c r="O164" s="559"/>
      <c r="P164" s="182">
        <v>17</v>
      </c>
      <c r="Q164" s="182">
        <v>1095.6521739130474</v>
      </c>
      <c r="R164" s="182">
        <v>64.450127877238074</v>
      </c>
      <c r="S164" s="451">
        <f t="shared" si="37"/>
        <v>26</v>
      </c>
      <c r="T164" s="605"/>
      <c r="U164" s="182">
        <v>17</v>
      </c>
      <c r="V164" s="182">
        <v>1069.9999999999968</v>
      </c>
      <c r="W164" s="182">
        <v>62.941176470588047</v>
      </c>
      <c r="X164" s="451">
        <f t="shared" si="38"/>
        <v>26</v>
      </c>
      <c r="Y164" s="605"/>
      <c r="Z164" s="182">
        <v>17</v>
      </c>
      <c r="AA164" s="182">
        <v>1119.0000000000039</v>
      </c>
      <c r="AB164" s="182">
        <v>65.823529411764937</v>
      </c>
      <c r="AC164" s="451">
        <f t="shared" si="39"/>
        <v>23</v>
      </c>
      <c r="AD164" s="605"/>
      <c r="AE164" s="182">
        <v>17</v>
      </c>
      <c r="AF164" s="182">
        <v>1106.3999999999969</v>
      </c>
      <c r="AG164" s="182">
        <v>65.082352941176282</v>
      </c>
      <c r="AH164" s="451">
        <f t="shared" si="40"/>
        <v>25</v>
      </c>
      <c r="AI164" s="605"/>
      <c r="AJ164" s="182">
        <v>18</v>
      </c>
      <c r="AK164" s="182">
        <v>1085.7142857142894</v>
      </c>
      <c r="AL164" s="182">
        <v>60.317460317460522</v>
      </c>
      <c r="AM164" s="451">
        <f t="shared" si="41"/>
        <v>27</v>
      </c>
      <c r="AN164" s="605"/>
      <c r="AO164" s="182"/>
      <c r="AP164" s="182"/>
      <c r="AQ164" s="182"/>
      <c r="AR164" s="390" t="e">
        <f t="shared" si="42"/>
        <v>#N/A</v>
      </c>
      <c r="AS164" s="605"/>
      <c r="AT164" s="182"/>
      <c r="AU164" s="182"/>
      <c r="AV164" s="182"/>
      <c r="AW164" s="390" t="e">
        <f t="shared" si="43"/>
        <v>#N/A</v>
      </c>
      <c r="AX164" s="605"/>
    </row>
    <row r="165" spans="2:50">
      <c r="B165" s="572"/>
      <c r="C165" s="451">
        <v>19</v>
      </c>
      <c r="D165" s="226" t="s">
        <v>498</v>
      </c>
      <c r="E165" s="182">
        <v>17</v>
      </c>
      <c r="F165" s="451">
        <v>1385</v>
      </c>
      <c r="G165" s="453">
        <v>81.400000000000006</v>
      </c>
      <c r="H165" s="609"/>
      <c r="I165" s="456">
        <f t="shared" si="36"/>
        <v>17</v>
      </c>
      <c r="J165" s="456">
        <f t="shared" si="36"/>
        <v>1172.5055555140657</v>
      </c>
      <c r="K165" s="454">
        <f t="shared" si="36"/>
        <v>68.970915030239155</v>
      </c>
      <c r="L165" s="541"/>
      <c r="M165" s="456">
        <f>RANK(K165, K$147:$K$176)</f>
        <v>20</v>
      </c>
      <c r="N165" s="559"/>
      <c r="O165" s="559"/>
      <c r="P165" s="182">
        <v>17</v>
      </c>
      <c r="Q165" s="182">
        <v>1178.2978723404256</v>
      </c>
      <c r="R165" s="182">
        <v>69.311639549436791</v>
      </c>
      <c r="S165" s="451">
        <f t="shared" si="37"/>
        <v>22</v>
      </c>
      <c r="T165" s="605"/>
      <c r="U165" s="182">
        <v>17</v>
      </c>
      <c r="V165" s="182">
        <v>1164.5454545454545</v>
      </c>
      <c r="W165" s="182">
        <v>68.502673796791441</v>
      </c>
      <c r="X165" s="451">
        <f t="shared" si="38"/>
        <v>21</v>
      </c>
      <c r="Y165" s="605"/>
      <c r="Z165" s="182">
        <v>17</v>
      </c>
      <c r="AA165" s="182">
        <v>1172.5714285714273</v>
      </c>
      <c r="AB165" s="182">
        <v>68.974789915966312</v>
      </c>
      <c r="AC165" s="451">
        <f t="shared" si="39"/>
        <v>20</v>
      </c>
      <c r="AD165" s="605"/>
      <c r="AE165" s="182">
        <v>17</v>
      </c>
      <c r="AF165" s="182">
        <v>1167.5675675675668</v>
      </c>
      <c r="AG165" s="182">
        <v>68.680445151033339</v>
      </c>
      <c r="AH165" s="451">
        <f t="shared" si="40"/>
        <v>22</v>
      </c>
      <c r="AI165" s="605"/>
      <c r="AJ165" s="182">
        <v>17</v>
      </c>
      <c r="AK165" s="182">
        <v>1179.5454545454545</v>
      </c>
      <c r="AL165" s="182">
        <v>69.385026737967905</v>
      </c>
      <c r="AM165" s="451">
        <f t="shared" si="41"/>
        <v>23</v>
      </c>
      <c r="AN165" s="605"/>
      <c r="AO165" s="182"/>
      <c r="AP165" s="182"/>
      <c r="AQ165" s="182"/>
      <c r="AR165" s="390" t="e">
        <f t="shared" si="42"/>
        <v>#N/A</v>
      </c>
      <c r="AS165" s="605"/>
      <c r="AT165" s="182"/>
      <c r="AU165" s="182"/>
      <c r="AV165" s="182"/>
      <c r="AW165" s="390" t="e">
        <f t="shared" si="43"/>
        <v>#N/A</v>
      </c>
      <c r="AX165" s="605"/>
    </row>
    <row r="166" spans="2:50">
      <c r="B166" s="572"/>
      <c r="C166" s="451">
        <v>20</v>
      </c>
      <c r="D166" s="226" t="s">
        <v>563</v>
      </c>
      <c r="E166" s="182">
        <v>17</v>
      </c>
      <c r="F166" s="451">
        <v>1440</v>
      </c>
      <c r="G166" s="453">
        <v>84.7</v>
      </c>
      <c r="H166" s="609"/>
      <c r="I166" s="456">
        <f t="shared" si="36"/>
        <v>17</v>
      </c>
      <c r="J166" s="456">
        <f t="shared" si="36"/>
        <v>1300.0318538831475</v>
      </c>
      <c r="K166" s="454">
        <f t="shared" si="36"/>
        <v>76.472461993126345</v>
      </c>
      <c r="L166" s="541"/>
      <c r="M166" s="456">
        <f>RANK(K166, K$147:$K$176)</f>
        <v>8</v>
      </c>
      <c r="N166" s="559"/>
      <c r="O166" s="559"/>
      <c r="P166" s="182">
        <v>17</v>
      </c>
      <c r="Q166" s="182">
        <v>1318.6046511627903</v>
      </c>
      <c r="R166" s="182">
        <v>77.564979480164141</v>
      </c>
      <c r="S166" s="451">
        <f t="shared" si="37"/>
        <v>8</v>
      </c>
      <c r="T166" s="605"/>
      <c r="U166" s="182">
        <v>17</v>
      </c>
      <c r="V166" s="182">
        <v>1314.6666666666667</v>
      </c>
      <c r="W166" s="182">
        <v>77.333333333333343</v>
      </c>
      <c r="X166" s="451">
        <f t="shared" si="38"/>
        <v>8</v>
      </c>
      <c r="Y166" s="605"/>
      <c r="Z166" s="182">
        <v>17</v>
      </c>
      <c r="AA166" s="182">
        <v>1288.421052631578</v>
      </c>
      <c r="AB166" s="182">
        <v>75.789473684210478</v>
      </c>
      <c r="AC166" s="451">
        <f t="shared" si="39"/>
        <v>9</v>
      </c>
      <c r="AD166" s="605"/>
      <c r="AE166" s="182">
        <v>17</v>
      </c>
      <c r="AF166" s="182">
        <v>1262.8571428571424</v>
      </c>
      <c r="AG166" s="182">
        <v>74.285714285714263</v>
      </c>
      <c r="AH166" s="451">
        <f t="shared" si="40"/>
        <v>9</v>
      </c>
      <c r="AI166" s="605"/>
      <c r="AJ166" s="182">
        <v>17</v>
      </c>
      <c r="AK166" s="182">
        <v>1315.6097560975604</v>
      </c>
      <c r="AL166" s="182">
        <v>77.388809182209442</v>
      </c>
      <c r="AM166" s="451">
        <f t="shared" si="41"/>
        <v>8</v>
      </c>
      <c r="AN166" s="605"/>
      <c r="AO166" s="182"/>
      <c r="AP166" s="182"/>
      <c r="AQ166" s="182"/>
      <c r="AR166" s="390" t="e">
        <f t="shared" si="42"/>
        <v>#N/A</v>
      </c>
      <c r="AS166" s="605"/>
      <c r="AT166" s="182"/>
      <c r="AU166" s="182"/>
      <c r="AV166" s="182"/>
      <c r="AW166" s="390" t="e">
        <f t="shared" si="43"/>
        <v>#N/A</v>
      </c>
      <c r="AX166" s="605"/>
    </row>
    <row r="167" spans="2:50">
      <c r="B167" s="572"/>
      <c r="C167" s="451">
        <v>21</v>
      </c>
      <c r="D167" s="226" t="s">
        <v>589</v>
      </c>
      <c r="E167" s="182">
        <v>17</v>
      </c>
      <c r="F167" s="451">
        <v>1500</v>
      </c>
      <c r="G167" s="453">
        <v>88.2</v>
      </c>
      <c r="H167" s="609"/>
      <c r="I167" s="456">
        <f t="shared" si="36"/>
        <v>17.8</v>
      </c>
      <c r="J167" s="456">
        <f t="shared" si="36"/>
        <v>1287.8340497871043</v>
      </c>
      <c r="K167" s="454">
        <f t="shared" si="36"/>
        <v>72.370442212317016</v>
      </c>
      <c r="L167" s="541"/>
      <c r="M167" s="456">
        <f>RANK(K167, K$147:$K$176)</f>
        <v>14</v>
      </c>
      <c r="N167" s="559"/>
      <c r="O167" s="559"/>
      <c r="P167" s="182">
        <v>18</v>
      </c>
      <c r="Q167" s="182">
        <v>1271.3043478260856</v>
      </c>
      <c r="R167" s="182">
        <v>70.628019323671424</v>
      </c>
      <c r="S167" s="451">
        <f t="shared" si="37"/>
        <v>19</v>
      </c>
      <c r="T167" s="605"/>
      <c r="U167" s="182">
        <v>18</v>
      </c>
      <c r="V167" s="182">
        <v>1312.835820895524</v>
      </c>
      <c r="W167" s="182">
        <v>72.935323383084665</v>
      </c>
      <c r="X167" s="451">
        <f t="shared" si="38"/>
        <v>14</v>
      </c>
      <c r="Y167" s="605"/>
      <c r="Z167" s="182">
        <v>18</v>
      </c>
      <c r="AA167" s="182">
        <v>1276.8750000000016</v>
      </c>
      <c r="AB167" s="182">
        <v>70.937500000000085</v>
      </c>
      <c r="AC167" s="451">
        <f t="shared" si="39"/>
        <v>17</v>
      </c>
      <c r="AD167" s="605"/>
      <c r="AE167" s="182">
        <v>17</v>
      </c>
      <c r="AF167" s="182">
        <v>1260.8823529411809</v>
      </c>
      <c r="AG167" s="182">
        <v>74.169550173010634</v>
      </c>
      <c r="AH167" s="451">
        <f t="shared" si="40"/>
        <v>10</v>
      </c>
      <c r="AI167" s="605"/>
      <c r="AJ167" s="182">
        <v>18</v>
      </c>
      <c r="AK167" s="182">
        <v>1317.2727272727286</v>
      </c>
      <c r="AL167" s="182">
        <v>73.181818181818258</v>
      </c>
      <c r="AM167" s="451">
        <f t="shared" si="41"/>
        <v>15</v>
      </c>
      <c r="AN167" s="605"/>
      <c r="AO167" s="182"/>
      <c r="AP167" s="182"/>
      <c r="AQ167" s="182"/>
      <c r="AR167" s="390" t="e">
        <f t="shared" si="42"/>
        <v>#N/A</v>
      </c>
      <c r="AS167" s="605"/>
      <c r="AT167" s="182"/>
      <c r="AU167" s="182"/>
      <c r="AV167" s="182"/>
      <c r="AW167" s="390" t="e">
        <f t="shared" si="43"/>
        <v>#N/A</v>
      </c>
      <c r="AX167" s="605"/>
    </row>
    <row r="168" spans="2:50">
      <c r="B168" s="572"/>
      <c r="C168" s="451">
        <v>22</v>
      </c>
      <c r="D168" s="226" t="s">
        <v>601</v>
      </c>
      <c r="E168" s="182">
        <v>18</v>
      </c>
      <c r="F168" s="451">
        <v>1500</v>
      </c>
      <c r="G168" s="453">
        <v>83.3</v>
      </c>
      <c r="H168" s="609"/>
      <c r="I168" s="456">
        <f t="shared" si="36"/>
        <v>18</v>
      </c>
      <c r="J168" s="456">
        <f t="shared" si="36"/>
        <v>1178.4065140953674</v>
      </c>
      <c r="K168" s="454">
        <f t="shared" si="36"/>
        <v>65.467028560853734</v>
      </c>
      <c r="L168" s="541"/>
      <c r="M168" s="456">
        <f>RANK(K168, K$147:$K$176)</f>
        <v>25</v>
      </c>
      <c r="N168" s="559"/>
      <c r="O168" s="559"/>
      <c r="P168" s="182">
        <v>18</v>
      </c>
      <c r="Q168" s="182">
        <v>1173.4883720930231</v>
      </c>
      <c r="R168" s="182">
        <v>65.193798449612402</v>
      </c>
      <c r="S168" s="451">
        <f t="shared" si="37"/>
        <v>25</v>
      </c>
      <c r="T168" s="605"/>
      <c r="U168" s="182">
        <v>18</v>
      </c>
      <c r="V168" s="182">
        <v>1199.9999999999995</v>
      </c>
      <c r="W168" s="182">
        <v>66.666666666666643</v>
      </c>
      <c r="X168" s="451">
        <f t="shared" si="38"/>
        <v>23</v>
      </c>
      <c r="Y168" s="605"/>
      <c r="Z168" s="182">
        <v>18</v>
      </c>
      <c r="AA168" s="182">
        <v>1174.8837209302324</v>
      </c>
      <c r="AB168" s="182">
        <v>65.271317829457359</v>
      </c>
      <c r="AC168" s="451">
        <f t="shared" si="39"/>
        <v>24</v>
      </c>
      <c r="AD168" s="605"/>
      <c r="AE168" s="182">
        <v>18</v>
      </c>
      <c r="AF168" s="182">
        <v>1148.2758620689663</v>
      </c>
      <c r="AG168" s="182">
        <v>63.7931034482759</v>
      </c>
      <c r="AH168" s="451">
        <f t="shared" si="40"/>
        <v>26</v>
      </c>
      <c r="AI168" s="605"/>
      <c r="AJ168" s="182">
        <v>18</v>
      </c>
      <c r="AK168" s="182">
        <v>1195.3846153846148</v>
      </c>
      <c r="AL168" s="182">
        <v>66.41025641025638</v>
      </c>
      <c r="AM168" s="451">
        <f t="shared" si="41"/>
        <v>24</v>
      </c>
      <c r="AN168" s="605"/>
      <c r="AO168" s="182"/>
      <c r="AP168" s="182"/>
      <c r="AQ168" s="182"/>
      <c r="AR168" s="390" t="e">
        <f t="shared" si="42"/>
        <v>#N/A</v>
      </c>
      <c r="AS168" s="605"/>
      <c r="AT168" s="182"/>
      <c r="AU168" s="182"/>
      <c r="AV168" s="182"/>
      <c r="AW168" s="390" t="e">
        <f t="shared" si="43"/>
        <v>#N/A</v>
      </c>
      <c r="AX168" s="605"/>
    </row>
    <row r="169" spans="2:50">
      <c r="B169" s="572"/>
      <c r="C169" s="451">
        <v>23</v>
      </c>
      <c r="D169" s="226" t="s">
        <v>602</v>
      </c>
      <c r="E169" s="182">
        <v>20</v>
      </c>
      <c r="F169" s="451">
        <v>1380</v>
      </c>
      <c r="G169" s="453">
        <v>69</v>
      </c>
      <c r="H169" s="609"/>
      <c r="I169" s="456">
        <f t="shared" si="36"/>
        <v>20</v>
      </c>
      <c r="J169" s="456">
        <f t="shared" si="36"/>
        <v>1095.1167242703546</v>
      </c>
      <c r="K169" s="454">
        <f t="shared" si="36"/>
        <v>54.755836213517725</v>
      </c>
      <c r="L169" s="541"/>
      <c r="M169" s="456">
        <f>RANK(K169, K$147:$K$176)</f>
        <v>30</v>
      </c>
      <c r="N169" s="559"/>
      <c r="O169" s="559"/>
      <c r="P169" s="182">
        <v>20</v>
      </c>
      <c r="Q169" s="182">
        <v>1076.1904761904773</v>
      </c>
      <c r="R169" s="182">
        <v>53.809523809523867</v>
      </c>
      <c r="S169" s="451">
        <f t="shared" si="37"/>
        <v>30</v>
      </c>
      <c r="T169" s="605"/>
      <c r="U169" s="182">
        <v>20</v>
      </c>
      <c r="V169" s="182">
        <v>1110.9375000000014</v>
      </c>
      <c r="W169" s="182">
        <v>55.546875000000071</v>
      </c>
      <c r="X169" s="451">
        <f t="shared" si="38"/>
        <v>30</v>
      </c>
      <c r="Y169" s="605"/>
      <c r="Z169" s="182">
        <v>20</v>
      </c>
      <c r="AA169" s="182">
        <v>1069.0000000000011</v>
      </c>
      <c r="AB169" s="182">
        <v>53.45000000000006</v>
      </c>
      <c r="AC169" s="451">
        <f t="shared" si="39"/>
        <v>30</v>
      </c>
      <c r="AD169" s="605"/>
      <c r="AE169" s="182">
        <v>20</v>
      </c>
      <c r="AF169" s="182">
        <v>1096.8750000000014</v>
      </c>
      <c r="AG169" s="182">
        <v>54.843750000000071</v>
      </c>
      <c r="AH169" s="451">
        <f t="shared" si="40"/>
        <v>30</v>
      </c>
      <c r="AI169" s="605"/>
      <c r="AJ169" s="182">
        <v>20</v>
      </c>
      <c r="AK169" s="182">
        <v>1122.5806451612914</v>
      </c>
      <c r="AL169" s="182">
        <v>56.129032258064569</v>
      </c>
      <c r="AM169" s="451">
        <f t="shared" si="41"/>
        <v>30</v>
      </c>
      <c r="AN169" s="605"/>
      <c r="AO169" s="182"/>
      <c r="AP169" s="182"/>
      <c r="AQ169" s="182"/>
      <c r="AR169" s="390" t="e">
        <f t="shared" si="42"/>
        <v>#N/A</v>
      </c>
      <c r="AS169" s="605"/>
      <c r="AT169" s="182"/>
      <c r="AU169" s="182"/>
      <c r="AV169" s="182"/>
      <c r="AW169" s="390" t="e">
        <f t="shared" si="43"/>
        <v>#N/A</v>
      </c>
      <c r="AX169" s="605"/>
    </row>
    <row r="170" spans="2:50">
      <c r="B170" s="572"/>
      <c r="C170" s="451">
        <v>24</v>
      </c>
      <c r="D170" s="226" t="s">
        <v>659</v>
      </c>
      <c r="E170" s="182">
        <v>16</v>
      </c>
      <c r="F170" s="451">
        <v>1565</v>
      </c>
      <c r="G170" s="453">
        <v>97.8</v>
      </c>
      <c r="H170" s="609"/>
      <c r="I170" s="456">
        <f t="shared" si="36"/>
        <v>17</v>
      </c>
      <c r="J170" s="456">
        <f t="shared" si="36"/>
        <v>1290.2805013325055</v>
      </c>
      <c r="K170" s="454">
        <f t="shared" si="36"/>
        <v>75.898853019559141</v>
      </c>
      <c r="L170" s="541"/>
      <c r="M170" s="456">
        <f>RANK(K170, K$147:$K$176)</f>
        <v>9</v>
      </c>
      <c r="N170" s="559"/>
      <c r="O170" s="559"/>
      <c r="P170" s="451">
        <v>17</v>
      </c>
      <c r="Q170" s="453">
        <v>1301.1940298507479</v>
      </c>
      <c r="R170" s="453">
        <v>76.540825285338116</v>
      </c>
      <c r="S170" s="451">
        <f t="shared" si="37"/>
        <v>10</v>
      </c>
      <c r="T170" s="605"/>
      <c r="U170" s="182">
        <v>17</v>
      </c>
      <c r="V170" s="182">
        <v>1289.1176470588221</v>
      </c>
      <c r="W170" s="182">
        <v>75.830449826989536</v>
      </c>
      <c r="X170" s="451">
        <f t="shared" si="38"/>
        <v>9</v>
      </c>
      <c r="Y170" s="605"/>
      <c r="Z170" s="182">
        <v>17</v>
      </c>
      <c r="AA170" s="182">
        <v>1293.0612244897964</v>
      </c>
      <c r="AB170" s="182">
        <v>76.062424969988015</v>
      </c>
      <c r="AC170" s="451">
        <f t="shared" si="39"/>
        <v>8</v>
      </c>
      <c r="AD170" s="605"/>
      <c r="AE170" s="182">
        <v>17</v>
      </c>
      <c r="AF170" s="182">
        <v>1287.1875000000016</v>
      </c>
      <c r="AG170" s="182">
        <v>75.716911764705969</v>
      </c>
      <c r="AH170" s="451">
        <f t="shared" si="40"/>
        <v>8</v>
      </c>
      <c r="AI170" s="605"/>
      <c r="AJ170" s="182">
        <v>17</v>
      </c>
      <c r="AK170" s="182">
        <v>1280.8421052631588</v>
      </c>
      <c r="AL170" s="182">
        <v>75.343653250774054</v>
      </c>
      <c r="AM170" s="451">
        <f t="shared" si="41"/>
        <v>10</v>
      </c>
      <c r="AN170" s="605"/>
      <c r="AO170" s="390"/>
      <c r="AP170" s="391"/>
      <c r="AQ170" s="391"/>
      <c r="AR170" s="390" t="e">
        <f t="shared" si="42"/>
        <v>#N/A</v>
      </c>
      <c r="AS170" s="605"/>
      <c r="AT170" s="390"/>
      <c r="AU170" s="391"/>
      <c r="AV170" s="391"/>
      <c r="AW170" s="390" t="e">
        <f t="shared" si="43"/>
        <v>#N/A</v>
      </c>
      <c r="AX170" s="605"/>
    </row>
    <row r="171" spans="2:50">
      <c r="B171" s="572"/>
      <c r="C171" s="451">
        <v>25</v>
      </c>
      <c r="D171" s="226" t="s">
        <v>660</v>
      </c>
      <c r="E171" s="182">
        <v>19</v>
      </c>
      <c r="F171" s="451">
        <v>1385</v>
      </c>
      <c r="G171" s="453">
        <v>72.900000000000006</v>
      </c>
      <c r="H171" s="609"/>
      <c r="I171" s="456">
        <f t="shared" ref="I171:K176" si="44">AVERAGE(P171,U171,Z171,AE171,AJ171,AO171,AT171)</f>
        <v>19</v>
      </c>
      <c r="J171" s="456">
        <f t="shared" si="44"/>
        <v>1091.3327028163105</v>
      </c>
      <c r="K171" s="454">
        <f t="shared" si="44"/>
        <v>57.438563306121601</v>
      </c>
      <c r="L171" s="541"/>
      <c r="M171" s="456">
        <f>RANK(K171, K$147:$K$176)</f>
        <v>28</v>
      </c>
      <c r="N171" s="559"/>
      <c r="O171" s="559"/>
      <c r="P171" s="451">
        <v>19</v>
      </c>
      <c r="Q171" s="453">
        <v>1080.9230769230783</v>
      </c>
      <c r="R171" s="453">
        <v>56.890688259109382</v>
      </c>
      <c r="S171" s="451">
        <f t="shared" si="37"/>
        <v>28</v>
      </c>
      <c r="T171" s="605"/>
      <c r="U171" s="182">
        <v>19</v>
      </c>
      <c r="V171" s="182">
        <v>1078.0952380952392</v>
      </c>
      <c r="W171" s="182">
        <v>56.74185463659154</v>
      </c>
      <c r="X171" s="451">
        <f t="shared" si="38"/>
        <v>28</v>
      </c>
      <c r="Y171" s="605"/>
      <c r="Z171" s="182">
        <v>19</v>
      </c>
      <c r="AA171" s="182">
        <v>1081.0714285714294</v>
      </c>
      <c r="AB171" s="182">
        <v>56.898496240601546</v>
      </c>
      <c r="AC171" s="451">
        <f t="shared" si="39"/>
        <v>28</v>
      </c>
      <c r="AD171" s="605"/>
      <c r="AE171" s="182">
        <v>19</v>
      </c>
      <c r="AF171" s="182">
        <v>1111.0000000000009</v>
      </c>
      <c r="AG171" s="182">
        <v>58.473684210526365</v>
      </c>
      <c r="AH171" s="451">
        <f t="shared" si="40"/>
        <v>28</v>
      </c>
      <c r="AI171" s="605"/>
      <c r="AJ171" s="182">
        <v>19</v>
      </c>
      <c r="AK171" s="182">
        <v>1105.5737704918042</v>
      </c>
      <c r="AL171" s="182">
        <v>58.188093183779166</v>
      </c>
      <c r="AM171" s="451">
        <f t="shared" si="41"/>
        <v>29</v>
      </c>
      <c r="AN171" s="605"/>
      <c r="AO171" s="390"/>
      <c r="AP171" s="391"/>
      <c r="AQ171" s="391"/>
      <c r="AR171" s="390" t="e">
        <f t="shared" si="42"/>
        <v>#N/A</v>
      </c>
      <c r="AS171" s="605"/>
      <c r="AT171" s="390"/>
      <c r="AU171" s="391"/>
      <c r="AV171" s="391"/>
      <c r="AW171" s="390" t="e">
        <f t="shared" si="43"/>
        <v>#N/A</v>
      </c>
      <c r="AX171" s="605"/>
    </row>
    <row r="172" spans="2:50">
      <c r="B172" s="572"/>
      <c r="C172" s="451">
        <v>26</v>
      </c>
      <c r="D172" s="226" t="s">
        <v>661</v>
      </c>
      <c r="E172" s="182">
        <v>18</v>
      </c>
      <c r="F172" s="451">
        <v>1440</v>
      </c>
      <c r="G172" s="453">
        <v>80</v>
      </c>
      <c r="H172" s="609"/>
      <c r="I172" s="456">
        <f t="shared" si="44"/>
        <v>18</v>
      </c>
      <c r="J172" s="456">
        <f t="shared" si="44"/>
        <v>1228.5473907431292</v>
      </c>
      <c r="K172" s="454">
        <f t="shared" si="44"/>
        <v>68.25263281906274</v>
      </c>
      <c r="L172" s="541"/>
      <c r="M172" s="456">
        <f>RANK(K172, K$147:$K$176)</f>
        <v>22</v>
      </c>
      <c r="N172" s="559"/>
      <c r="O172" s="559"/>
      <c r="P172" s="451">
        <v>18</v>
      </c>
      <c r="Q172" s="453">
        <v>1289.9999999999982</v>
      </c>
      <c r="R172" s="453">
        <v>71.666666666666572</v>
      </c>
      <c r="S172" s="451">
        <f t="shared" si="37"/>
        <v>17</v>
      </c>
      <c r="T172" s="605"/>
      <c r="U172" s="182">
        <v>18</v>
      </c>
      <c r="V172" s="182">
        <v>1242.3529411764689</v>
      </c>
      <c r="W172" s="182">
        <v>69.019607843137166</v>
      </c>
      <c r="X172" s="451">
        <f t="shared" si="38"/>
        <v>20</v>
      </c>
      <c r="Y172" s="605"/>
      <c r="Z172" s="182">
        <v>18</v>
      </c>
      <c r="AA172" s="182">
        <v>1087.4999999999984</v>
      </c>
      <c r="AB172" s="182">
        <v>60.416666666666579</v>
      </c>
      <c r="AC172" s="451">
        <f t="shared" si="39"/>
        <v>26</v>
      </c>
      <c r="AD172" s="605"/>
      <c r="AE172" s="182">
        <v>18</v>
      </c>
      <c r="AF172" s="182">
        <v>1269.0909090909074</v>
      </c>
      <c r="AG172" s="182">
        <v>70.505050505050406</v>
      </c>
      <c r="AH172" s="451">
        <f t="shared" si="40"/>
        <v>20</v>
      </c>
      <c r="AI172" s="605"/>
      <c r="AJ172" s="182">
        <v>18</v>
      </c>
      <c r="AK172" s="182">
        <v>1253.7931034482733</v>
      </c>
      <c r="AL172" s="182">
        <v>69.655172413792968</v>
      </c>
      <c r="AM172" s="451">
        <f t="shared" si="41"/>
        <v>22</v>
      </c>
      <c r="AN172" s="605"/>
      <c r="AO172" s="390"/>
      <c r="AP172" s="391"/>
      <c r="AQ172" s="391"/>
      <c r="AR172" s="390" t="e">
        <f t="shared" si="42"/>
        <v>#N/A</v>
      </c>
      <c r="AS172" s="605"/>
      <c r="AT172" s="390"/>
      <c r="AU172" s="391"/>
      <c r="AV172" s="391"/>
      <c r="AW172" s="390" t="e">
        <f t="shared" si="43"/>
        <v>#N/A</v>
      </c>
      <c r="AX172" s="605"/>
    </row>
    <row r="173" spans="2:50">
      <c r="B173" s="572"/>
      <c r="C173" s="451">
        <v>27</v>
      </c>
      <c r="D173" s="226" t="s">
        <v>662</v>
      </c>
      <c r="E173" s="182">
        <v>16</v>
      </c>
      <c r="F173" s="451">
        <v>1440</v>
      </c>
      <c r="G173" s="453">
        <v>90</v>
      </c>
      <c r="H173" s="609"/>
      <c r="I173" s="456">
        <f t="shared" si="44"/>
        <v>16</v>
      </c>
      <c r="J173" s="456">
        <f t="shared" si="44"/>
        <v>1280.0553035394353</v>
      </c>
      <c r="K173" s="454">
        <f t="shared" si="44"/>
        <v>80.003456471214704</v>
      </c>
      <c r="L173" s="541"/>
      <c r="M173" s="456">
        <f>RANK(K173, K$147:$K$176)</f>
        <v>5</v>
      </c>
      <c r="N173" s="559"/>
      <c r="O173" s="559"/>
      <c r="P173" s="451">
        <v>16</v>
      </c>
      <c r="Q173" s="453">
        <v>1294.0000000000014</v>
      </c>
      <c r="R173" s="453">
        <v>80.875000000000085</v>
      </c>
      <c r="S173" s="451">
        <f t="shared" si="37"/>
        <v>3</v>
      </c>
      <c r="T173" s="605"/>
      <c r="U173" s="182">
        <v>16</v>
      </c>
      <c r="V173" s="182">
        <v>1303.2786885245914</v>
      </c>
      <c r="W173" s="182">
        <v>81.454918032786964</v>
      </c>
      <c r="X173" s="451">
        <f t="shared" si="38"/>
        <v>4</v>
      </c>
      <c r="Y173" s="605"/>
      <c r="Z173" s="182">
        <v>16</v>
      </c>
      <c r="AA173" s="182">
        <v>1266.4285714285722</v>
      </c>
      <c r="AB173" s="182">
        <v>79.151785714285765</v>
      </c>
      <c r="AC173" s="451">
        <f t="shared" si="39"/>
        <v>5</v>
      </c>
      <c r="AD173" s="605"/>
      <c r="AE173" s="182">
        <v>16</v>
      </c>
      <c r="AF173" s="182">
        <v>1258.9830508474586</v>
      </c>
      <c r="AG173" s="182">
        <v>78.686440677966161</v>
      </c>
      <c r="AH173" s="451">
        <f t="shared" si="40"/>
        <v>5</v>
      </c>
      <c r="AI173" s="605"/>
      <c r="AJ173" s="182">
        <v>16</v>
      </c>
      <c r="AK173" s="182">
        <v>1277.5862068965528</v>
      </c>
      <c r="AL173" s="182">
        <v>79.849137931034548</v>
      </c>
      <c r="AM173" s="451">
        <f t="shared" si="41"/>
        <v>3</v>
      </c>
      <c r="AN173" s="605"/>
      <c r="AO173" s="390"/>
      <c r="AP173" s="391"/>
      <c r="AQ173" s="391"/>
      <c r="AR173" s="390" t="e">
        <f t="shared" si="42"/>
        <v>#N/A</v>
      </c>
      <c r="AS173" s="605"/>
      <c r="AT173" s="390"/>
      <c r="AU173" s="391"/>
      <c r="AV173" s="391"/>
      <c r="AW173" s="390" t="e">
        <f t="shared" si="43"/>
        <v>#N/A</v>
      </c>
      <c r="AX173" s="605"/>
    </row>
    <row r="174" spans="2:50">
      <c r="B174" s="572"/>
      <c r="C174" s="451">
        <v>28</v>
      </c>
      <c r="D174" s="226" t="s">
        <v>789</v>
      </c>
      <c r="E174" s="182">
        <v>21</v>
      </c>
      <c r="F174" s="451">
        <v>1500</v>
      </c>
      <c r="G174" s="453">
        <v>71.400000000000006</v>
      </c>
      <c r="H174" s="609"/>
      <c r="I174" s="456">
        <f t="shared" si="44"/>
        <v>20</v>
      </c>
      <c r="J174" s="456">
        <f t="shared" si="44"/>
        <v>1127.8253955750938</v>
      </c>
      <c r="K174" s="454">
        <f t="shared" si="44"/>
        <v>56.391269778754705</v>
      </c>
      <c r="L174" s="541"/>
      <c r="M174" s="456">
        <f>RANK(K174, K$147:$K$176)</f>
        <v>29</v>
      </c>
      <c r="N174" s="559"/>
      <c r="O174" s="559"/>
      <c r="P174" s="451">
        <v>20</v>
      </c>
      <c r="Q174" s="453">
        <v>1116.724137931034</v>
      </c>
      <c r="R174" s="453">
        <v>55.836206896551701</v>
      </c>
      <c r="S174" s="451">
        <f t="shared" si="37"/>
        <v>29</v>
      </c>
      <c r="T174" s="605"/>
      <c r="U174" s="182">
        <v>20</v>
      </c>
      <c r="V174" s="182">
        <v>1116.6315789473692</v>
      </c>
      <c r="W174" s="182">
        <v>55.831578947368463</v>
      </c>
      <c r="X174" s="451">
        <f t="shared" si="38"/>
        <v>29</v>
      </c>
      <c r="Y174" s="605"/>
      <c r="Z174" s="182">
        <v>20</v>
      </c>
      <c r="AA174" s="182">
        <v>1104.9999999999993</v>
      </c>
      <c r="AB174" s="182">
        <v>55.249999999999964</v>
      </c>
      <c r="AC174" s="451">
        <f t="shared" si="39"/>
        <v>29</v>
      </c>
      <c r="AD174" s="605"/>
      <c r="AE174" s="182">
        <v>20</v>
      </c>
      <c r="AF174" s="182">
        <v>1134.5454545454545</v>
      </c>
      <c r="AG174" s="182">
        <v>56.727272727272727</v>
      </c>
      <c r="AH174" s="451">
        <f t="shared" si="40"/>
        <v>29</v>
      </c>
      <c r="AI174" s="605"/>
      <c r="AJ174" s="182">
        <v>20</v>
      </c>
      <c r="AK174" s="182">
        <v>1166.2258064516127</v>
      </c>
      <c r="AL174" s="182">
        <v>58.311290322580632</v>
      </c>
      <c r="AM174" s="451">
        <f t="shared" si="41"/>
        <v>28</v>
      </c>
      <c r="AN174" s="605"/>
      <c r="AO174" s="390"/>
      <c r="AP174" s="391"/>
      <c r="AQ174" s="391"/>
      <c r="AR174" s="390" t="e">
        <f t="shared" si="42"/>
        <v>#N/A</v>
      </c>
      <c r="AS174" s="605"/>
      <c r="AT174" s="390"/>
      <c r="AU174" s="391"/>
      <c r="AV174" s="391"/>
      <c r="AW174" s="390" t="e">
        <f t="shared" si="43"/>
        <v>#N/A</v>
      </c>
      <c r="AX174" s="605"/>
    </row>
    <row r="175" spans="2:50">
      <c r="B175" s="572"/>
      <c r="C175" s="451">
        <v>29</v>
      </c>
      <c r="D175" s="226" t="s">
        <v>790</v>
      </c>
      <c r="E175" s="182">
        <v>19</v>
      </c>
      <c r="F175" s="451">
        <v>1440</v>
      </c>
      <c r="G175" s="453">
        <v>75.8</v>
      </c>
      <c r="H175" s="609"/>
      <c r="I175" s="456">
        <f t="shared" si="44"/>
        <v>18</v>
      </c>
      <c r="J175" s="456">
        <f t="shared" si="44"/>
        <v>1225.2974789915995</v>
      </c>
      <c r="K175" s="454">
        <f t="shared" si="44"/>
        <v>68.176417514374322</v>
      </c>
      <c r="L175" s="541"/>
      <c r="M175" s="456">
        <f>RANK(K175, K$147:$K$176)</f>
        <v>23</v>
      </c>
      <c r="N175" s="559"/>
      <c r="O175" s="559"/>
      <c r="P175" s="451">
        <v>17</v>
      </c>
      <c r="Q175" s="451">
        <v>1160.0000000000041</v>
      </c>
      <c r="R175" s="451">
        <v>68.2352941176473</v>
      </c>
      <c r="S175" s="451">
        <f t="shared" si="37"/>
        <v>23</v>
      </c>
      <c r="T175" s="605"/>
      <c r="U175" s="182">
        <v>18</v>
      </c>
      <c r="V175" s="182">
        <v>1297.8000000000047</v>
      </c>
      <c r="W175" s="182">
        <v>72.100000000000264</v>
      </c>
      <c r="X175" s="451">
        <f t="shared" si="38"/>
        <v>16</v>
      </c>
      <c r="Y175" s="605"/>
      <c r="Z175" s="182">
        <v>19</v>
      </c>
      <c r="AA175" s="182">
        <v>1118.0571428571468</v>
      </c>
      <c r="AB175" s="182">
        <v>58.845112781955095</v>
      </c>
      <c r="AC175" s="451">
        <f t="shared" si="39"/>
        <v>27</v>
      </c>
      <c r="AD175" s="605"/>
      <c r="AE175" s="182">
        <v>18</v>
      </c>
      <c r="AF175" s="182">
        <v>1267.0588235294124</v>
      </c>
      <c r="AG175" s="182">
        <v>70.392156862745139</v>
      </c>
      <c r="AH175" s="451">
        <f t="shared" si="40"/>
        <v>21</v>
      </c>
      <c r="AI175" s="605"/>
      <c r="AJ175" s="182">
        <v>18</v>
      </c>
      <c r="AK175" s="182">
        <v>1283.5714285714296</v>
      </c>
      <c r="AL175" s="182">
        <v>71.309523809523867</v>
      </c>
      <c r="AM175" s="451">
        <f t="shared" si="41"/>
        <v>20</v>
      </c>
      <c r="AN175" s="605"/>
      <c r="AO175" s="390"/>
      <c r="AP175" s="390"/>
      <c r="AQ175" s="390"/>
      <c r="AR175" s="390" t="e">
        <f t="shared" si="42"/>
        <v>#N/A</v>
      </c>
      <c r="AS175" s="605"/>
      <c r="AT175" s="390"/>
      <c r="AU175" s="390"/>
      <c r="AV175" s="390"/>
      <c r="AW175" s="390" t="e">
        <f t="shared" si="43"/>
        <v>#N/A</v>
      </c>
      <c r="AX175" s="605"/>
    </row>
    <row r="176" spans="2:50">
      <c r="B176" s="572"/>
      <c r="C176" s="451">
        <v>30</v>
      </c>
      <c r="D176" s="226" t="s">
        <v>791</v>
      </c>
      <c r="E176" s="182">
        <v>20</v>
      </c>
      <c r="F176" s="451">
        <v>1500</v>
      </c>
      <c r="G176" s="453">
        <v>75</v>
      </c>
      <c r="H176" s="610"/>
      <c r="I176" s="456">
        <f t="shared" si="44"/>
        <v>20</v>
      </c>
      <c r="J176" s="456">
        <f t="shared" si="44"/>
        <v>1231.6532206426423</v>
      </c>
      <c r="K176" s="454">
        <f t="shared" si="44"/>
        <v>61.582661032132116</v>
      </c>
      <c r="L176" s="542"/>
      <c r="M176" s="456">
        <f>RANK(K176, K$147:$K$176)</f>
        <v>27</v>
      </c>
      <c r="N176" s="559"/>
      <c r="O176" s="559"/>
      <c r="P176" s="451">
        <v>20</v>
      </c>
      <c r="Q176" s="451">
        <v>1224.905660377359</v>
      </c>
      <c r="R176" s="451">
        <v>61.245283018867951</v>
      </c>
      <c r="S176" s="451">
        <f t="shared" si="37"/>
        <v>27</v>
      </c>
      <c r="T176" s="605"/>
      <c r="U176" s="182">
        <v>20</v>
      </c>
      <c r="V176" s="182">
        <v>1239.2727272727279</v>
      </c>
      <c r="W176" s="182">
        <v>61.963636363636397</v>
      </c>
      <c r="X176" s="451">
        <f t="shared" si="38"/>
        <v>27</v>
      </c>
      <c r="Y176" s="605"/>
      <c r="Z176" s="182">
        <v>20</v>
      </c>
      <c r="AA176" s="182">
        <v>1229.9999999999993</v>
      </c>
      <c r="AB176" s="182">
        <v>61.499999999999964</v>
      </c>
      <c r="AC176" s="451">
        <f t="shared" si="39"/>
        <v>25</v>
      </c>
      <c r="AD176" s="605"/>
      <c r="AE176" s="182">
        <v>20</v>
      </c>
      <c r="AF176" s="182">
        <v>1244.4155844155848</v>
      </c>
      <c r="AG176" s="182">
        <v>62.220779220779242</v>
      </c>
      <c r="AH176" s="451">
        <f t="shared" si="40"/>
        <v>27</v>
      </c>
      <c r="AI176" s="605"/>
      <c r="AJ176" s="182">
        <v>20</v>
      </c>
      <c r="AK176" s="182">
        <v>1219.6721311475405</v>
      </c>
      <c r="AL176" s="182">
        <v>60.98360655737703</v>
      </c>
      <c r="AM176" s="451">
        <f t="shared" si="41"/>
        <v>26</v>
      </c>
      <c r="AN176" s="605"/>
      <c r="AO176" s="390"/>
      <c r="AP176" s="390"/>
      <c r="AQ176" s="390"/>
      <c r="AR176" s="390" t="e">
        <f t="shared" si="42"/>
        <v>#N/A</v>
      </c>
      <c r="AS176" s="605"/>
      <c r="AT176" s="390"/>
      <c r="AU176" s="390"/>
      <c r="AV176" s="390"/>
      <c r="AW176" s="390" t="e">
        <f t="shared" si="43"/>
        <v>#N/A</v>
      </c>
      <c r="AX176" s="605"/>
    </row>
    <row r="177" spans="2:50" ht="15.75">
      <c r="B177" s="576" t="s">
        <v>162</v>
      </c>
      <c r="C177" s="577"/>
      <c r="D177" s="577"/>
      <c r="E177" s="577"/>
      <c r="F177" s="577"/>
      <c r="G177" s="577"/>
      <c r="H177" s="578"/>
      <c r="I177" s="208"/>
      <c r="J177" s="208"/>
      <c r="K177" s="208"/>
      <c r="L177" s="208"/>
      <c r="M177" s="207"/>
      <c r="N177" s="565" t="s">
        <v>156</v>
      </c>
      <c r="O177" s="565" t="s">
        <v>105</v>
      </c>
      <c r="P177" s="571">
        <f>P142+7</f>
        <v>34</v>
      </c>
      <c r="Q177" s="572"/>
      <c r="R177" s="572"/>
      <c r="S177" s="572"/>
      <c r="T177" s="572"/>
      <c r="U177" s="568">
        <f>P177+1</f>
        <v>35</v>
      </c>
      <c r="V177" s="569"/>
      <c r="W177" s="569"/>
      <c r="X177" s="569"/>
      <c r="Y177" s="570"/>
      <c r="Z177" s="568">
        <f>U177+1</f>
        <v>36</v>
      </c>
      <c r="AA177" s="569"/>
      <c r="AB177" s="569"/>
      <c r="AC177" s="569"/>
      <c r="AD177" s="570"/>
      <c r="AE177" s="568">
        <f>Z177+1</f>
        <v>37</v>
      </c>
      <c r="AF177" s="569"/>
      <c r="AG177" s="569"/>
      <c r="AH177" s="569"/>
      <c r="AI177" s="570"/>
      <c r="AJ177" s="568">
        <f>AE177+1</f>
        <v>38</v>
      </c>
      <c r="AK177" s="569"/>
      <c r="AL177" s="569"/>
      <c r="AM177" s="569"/>
      <c r="AN177" s="570"/>
      <c r="AO177" s="568">
        <f>AJ177+1</f>
        <v>39</v>
      </c>
      <c r="AP177" s="569"/>
      <c r="AQ177" s="569"/>
      <c r="AR177" s="569"/>
      <c r="AS177" s="570"/>
      <c r="AT177" s="568">
        <f>AO177+1</f>
        <v>40</v>
      </c>
      <c r="AU177" s="569"/>
      <c r="AV177" s="569"/>
      <c r="AW177" s="569"/>
      <c r="AX177" s="570"/>
    </row>
    <row r="178" spans="2:50" ht="15.75">
      <c r="B178" s="579"/>
      <c r="C178" s="579"/>
      <c r="D178" s="579"/>
      <c r="E178" s="579"/>
      <c r="F178" s="579"/>
      <c r="G178" s="579"/>
      <c r="H178" s="579"/>
      <c r="I178" s="205"/>
      <c r="J178" s="205"/>
      <c r="K178" s="205"/>
      <c r="L178" s="205"/>
      <c r="M178" s="206"/>
      <c r="N178" s="567"/>
      <c r="O178" s="567"/>
      <c r="P178" s="571" t="s">
        <v>158</v>
      </c>
      <c r="Q178" s="572"/>
      <c r="R178" s="572"/>
      <c r="S178" s="572"/>
      <c r="T178" s="572"/>
      <c r="U178" s="571" t="s">
        <v>114</v>
      </c>
      <c r="V178" s="572"/>
      <c r="W178" s="572"/>
      <c r="X178" s="572"/>
      <c r="Y178" s="572"/>
      <c r="Z178" s="571" t="s">
        <v>159</v>
      </c>
      <c r="AA178" s="572"/>
      <c r="AB178" s="572"/>
      <c r="AC178" s="572"/>
      <c r="AD178" s="572"/>
      <c r="AE178" s="571" t="s">
        <v>157</v>
      </c>
      <c r="AF178" s="572"/>
      <c r="AG178" s="572"/>
      <c r="AH178" s="572"/>
      <c r="AI178" s="572"/>
      <c r="AJ178" s="571" t="s">
        <v>160</v>
      </c>
      <c r="AK178" s="572"/>
      <c r="AL178" s="572"/>
      <c r="AM178" s="572"/>
      <c r="AN178" s="572"/>
      <c r="AO178" s="571" t="s">
        <v>115</v>
      </c>
      <c r="AP178" s="572"/>
      <c r="AQ178" s="572"/>
      <c r="AR178" s="572"/>
      <c r="AS178" s="572"/>
      <c r="AT178" s="571" t="s">
        <v>161</v>
      </c>
      <c r="AU178" s="572"/>
      <c r="AV178" s="572"/>
      <c r="AW178" s="572"/>
      <c r="AX178" s="572"/>
    </row>
    <row r="179" spans="2:50">
      <c r="B179" s="559" t="s">
        <v>685</v>
      </c>
      <c r="C179" s="559" t="s">
        <v>686</v>
      </c>
      <c r="D179" s="559"/>
      <c r="E179" s="559" t="s">
        <v>687</v>
      </c>
      <c r="F179" s="559"/>
      <c r="G179" s="559"/>
      <c r="H179" s="560" t="s">
        <v>688</v>
      </c>
      <c r="I179" s="559" t="s">
        <v>689</v>
      </c>
      <c r="J179" s="559"/>
      <c r="K179" s="559"/>
      <c r="L179" s="560" t="s">
        <v>688</v>
      </c>
      <c r="M179" s="565" t="s">
        <v>690</v>
      </c>
      <c r="N179" s="559"/>
      <c r="O179" s="559" t="s">
        <v>691</v>
      </c>
      <c r="P179" s="556" t="s">
        <v>692</v>
      </c>
      <c r="Q179" s="557"/>
      <c r="R179" s="557"/>
      <c r="S179" s="558"/>
      <c r="T179" s="559" t="s">
        <v>688</v>
      </c>
      <c r="U179" s="556" t="s">
        <v>692</v>
      </c>
      <c r="V179" s="557"/>
      <c r="W179" s="557"/>
      <c r="X179" s="558"/>
      <c r="Y179" s="559" t="s">
        <v>688</v>
      </c>
      <c r="Z179" s="556" t="s">
        <v>418</v>
      </c>
      <c r="AA179" s="557"/>
      <c r="AB179" s="557"/>
      <c r="AC179" s="558"/>
      <c r="AD179" s="559" t="s">
        <v>416</v>
      </c>
      <c r="AE179" s="556" t="s">
        <v>418</v>
      </c>
      <c r="AF179" s="557"/>
      <c r="AG179" s="557"/>
      <c r="AH179" s="558"/>
      <c r="AI179" s="559" t="s">
        <v>416</v>
      </c>
      <c r="AJ179" s="556" t="s">
        <v>418</v>
      </c>
      <c r="AK179" s="557"/>
      <c r="AL179" s="557"/>
      <c r="AM179" s="558"/>
      <c r="AN179" s="559" t="s">
        <v>416</v>
      </c>
      <c r="AO179" s="556" t="s">
        <v>418</v>
      </c>
      <c r="AP179" s="557"/>
      <c r="AQ179" s="557"/>
      <c r="AR179" s="558"/>
      <c r="AS179" s="559" t="s">
        <v>416</v>
      </c>
      <c r="AT179" s="556" t="s">
        <v>418</v>
      </c>
      <c r="AU179" s="557"/>
      <c r="AV179" s="557"/>
      <c r="AW179" s="558"/>
      <c r="AX179" s="559" t="s">
        <v>416</v>
      </c>
    </row>
    <row r="180" spans="2:50">
      <c r="B180" s="559"/>
      <c r="C180" s="559"/>
      <c r="D180" s="559"/>
      <c r="E180" s="559" t="s">
        <v>693</v>
      </c>
      <c r="F180" s="559"/>
      <c r="G180" s="559"/>
      <c r="H180" s="561"/>
      <c r="I180" s="559" t="s">
        <v>693</v>
      </c>
      <c r="J180" s="559"/>
      <c r="K180" s="559"/>
      <c r="L180" s="561"/>
      <c r="M180" s="566"/>
      <c r="N180" s="559"/>
      <c r="O180" s="559"/>
      <c r="P180" s="556" t="s">
        <v>694</v>
      </c>
      <c r="Q180" s="557"/>
      <c r="R180" s="557"/>
      <c r="S180" s="558"/>
      <c r="T180" s="559"/>
      <c r="U180" s="556" t="s">
        <v>694</v>
      </c>
      <c r="V180" s="557"/>
      <c r="W180" s="557"/>
      <c r="X180" s="558"/>
      <c r="Y180" s="559"/>
      <c r="Z180" s="556" t="s">
        <v>423</v>
      </c>
      <c r="AA180" s="557"/>
      <c r="AB180" s="557"/>
      <c r="AC180" s="558"/>
      <c r="AD180" s="559"/>
      <c r="AE180" s="556" t="s">
        <v>423</v>
      </c>
      <c r="AF180" s="557"/>
      <c r="AG180" s="557"/>
      <c r="AH180" s="558"/>
      <c r="AI180" s="559"/>
      <c r="AJ180" s="556" t="s">
        <v>423</v>
      </c>
      <c r="AK180" s="557"/>
      <c r="AL180" s="557"/>
      <c r="AM180" s="558"/>
      <c r="AN180" s="559"/>
      <c r="AO180" s="556" t="s">
        <v>423</v>
      </c>
      <c r="AP180" s="557"/>
      <c r="AQ180" s="557"/>
      <c r="AR180" s="558"/>
      <c r="AS180" s="559"/>
      <c r="AT180" s="556" t="s">
        <v>423</v>
      </c>
      <c r="AU180" s="557"/>
      <c r="AV180" s="557"/>
      <c r="AW180" s="558"/>
      <c r="AX180" s="559"/>
    </row>
    <row r="181" spans="2:50">
      <c r="B181" s="559"/>
      <c r="C181" s="559"/>
      <c r="D181" s="559"/>
      <c r="E181" s="400" t="s">
        <v>695</v>
      </c>
      <c r="F181" s="400" t="s">
        <v>696</v>
      </c>
      <c r="G181" s="400" t="s">
        <v>697</v>
      </c>
      <c r="H181" s="562"/>
      <c r="I181" s="400" t="s">
        <v>695</v>
      </c>
      <c r="J181" s="400" t="s">
        <v>696</v>
      </c>
      <c r="K181" s="400" t="s">
        <v>697</v>
      </c>
      <c r="L181" s="562"/>
      <c r="M181" s="567"/>
      <c r="N181" s="559"/>
      <c r="O181" s="559"/>
      <c r="P181" s="400" t="s">
        <v>695</v>
      </c>
      <c r="Q181" s="400" t="s">
        <v>696</v>
      </c>
      <c r="R181" s="400" t="s">
        <v>697</v>
      </c>
      <c r="S181" s="400" t="s">
        <v>690</v>
      </c>
      <c r="T181" s="559"/>
      <c r="U181" s="400" t="s">
        <v>695</v>
      </c>
      <c r="V181" s="400" t="s">
        <v>696</v>
      </c>
      <c r="W181" s="400" t="s">
        <v>697</v>
      </c>
      <c r="X181" s="400" t="s">
        <v>690</v>
      </c>
      <c r="Y181" s="559"/>
      <c r="Z181" s="298" t="s">
        <v>424</v>
      </c>
      <c r="AA181" s="298" t="s">
        <v>425</v>
      </c>
      <c r="AB181" s="298" t="s">
        <v>426</v>
      </c>
      <c r="AC181" s="298" t="s">
        <v>417</v>
      </c>
      <c r="AD181" s="559"/>
      <c r="AE181" s="298" t="s">
        <v>424</v>
      </c>
      <c r="AF181" s="298" t="s">
        <v>425</v>
      </c>
      <c r="AG181" s="298" t="s">
        <v>426</v>
      </c>
      <c r="AH181" s="298" t="s">
        <v>417</v>
      </c>
      <c r="AI181" s="559"/>
      <c r="AJ181" s="298" t="s">
        <v>424</v>
      </c>
      <c r="AK181" s="298" t="s">
        <v>425</v>
      </c>
      <c r="AL181" s="298" t="s">
        <v>426</v>
      </c>
      <c r="AM181" s="298" t="s">
        <v>417</v>
      </c>
      <c r="AN181" s="559"/>
      <c r="AO181" s="298" t="s">
        <v>424</v>
      </c>
      <c r="AP181" s="298" t="s">
        <v>425</v>
      </c>
      <c r="AQ181" s="298" t="s">
        <v>426</v>
      </c>
      <c r="AR181" s="298" t="s">
        <v>417</v>
      </c>
      <c r="AS181" s="559"/>
      <c r="AT181" s="298" t="s">
        <v>424</v>
      </c>
      <c r="AU181" s="298" t="s">
        <v>425</v>
      </c>
      <c r="AV181" s="298" t="s">
        <v>426</v>
      </c>
      <c r="AW181" s="298" t="s">
        <v>417</v>
      </c>
      <c r="AX181" s="559"/>
    </row>
    <row r="182" spans="2:50">
      <c r="B182" s="559" t="s">
        <v>133</v>
      </c>
      <c r="C182" s="431">
        <v>1</v>
      </c>
      <c r="D182" s="435"/>
      <c r="E182" s="432"/>
      <c r="F182" s="432"/>
      <c r="G182" s="432">
        <v>250</v>
      </c>
      <c r="H182" s="563">
        <f>AVERAGE(G182:G211)</f>
        <v>91.703333333333333</v>
      </c>
      <c r="I182" s="432" t="e">
        <f>AVERAGE(P182,U182,Z182,AE182,AJ182,AO182,AT182)</f>
        <v>#DIV/0!</v>
      </c>
      <c r="J182" s="432" t="e">
        <f>AVERAGE(Q182,V182,AA182,AF182,AK182,AP182,AU182)</f>
        <v>#DIV/0!</v>
      </c>
      <c r="K182" s="433" t="e">
        <f>AVERAGE(R182,W182,AB182,AG182,AL182,AQ182,AV182)</f>
        <v>#DIV/0!</v>
      </c>
      <c r="L182" s="563"/>
      <c r="M182" s="432" t="e">
        <f>RANK(K182, K$182:$K$211)</f>
        <v>#DIV/0!</v>
      </c>
      <c r="N182" s="559"/>
      <c r="O182" s="559"/>
      <c r="P182" s="431"/>
      <c r="Q182" s="432"/>
      <c r="R182" s="432"/>
      <c r="S182" s="431" t="e">
        <f>RANK(R182, R$182:R$211)</f>
        <v>#N/A</v>
      </c>
      <c r="T182" s="588" t="e">
        <f>AVERAGE(R182:R211)</f>
        <v>#DIV/0!</v>
      </c>
      <c r="U182" s="431"/>
      <c r="V182" s="432"/>
      <c r="W182" s="432"/>
      <c r="X182" s="431" t="e">
        <f>RANK(W182, W$182:W$211)</f>
        <v>#N/A</v>
      </c>
      <c r="Y182" s="588" t="e">
        <f>AVERAGE(W182:W211)</f>
        <v>#DIV/0!</v>
      </c>
      <c r="Z182" s="182"/>
      <c r="AA182" s="182"/>
      <c r="AB182" s="182"/>
      <c r="AC182" s="297" t="e">
        <f>RANK(AB182, AB$147:AB$176)</f>
        <v>#N/A</v>
      </c>
      <c r="AD182" s="605" t="e">
        <f>AVERAGE(AB182:AB211)</f>
        <v>#DIV/0!</v>
      </c>
      <c r="AE182" s="182"/>
      <c r="AF182" s="182"/>
      <c r="AG182" s="182"/>
      <c r="AH182" s="297" t="e">
        <f>RANK(AG182, AG$147:AG$176)</f>
        <v>#N/A</v>
      </c>
      <c r="AI182" s="605" t="e">
        <f>AVERAGE(AG182:AG211)</f>
        <v>#DIV/0!</v>
      </c>
      <c r="AJ182" s="182"/>
      <c r="AK182" s="182"/>
      <c r="AL182" s="182"/>
      <c r="AM182" s="297" t="e">
        <f>RANK(AL182, AL$147:AL$176)</f>
        <v>#N/A</v>
      </c>
      <c r="AN182" s="605" t="e">
        <f>AVERAGE(AL182:AL211)</f>
        <v>#DIV/0!</v>
      </c>
      <c r="AO182" s="182"/>
      <c r="AP182" s="182"/>
      <c r="AQ182" s="182"/>
      <c r="AR182" s="297" t="e">
        <f>RANK(AQ182, AQ$147:AQ$176)</f>
        <v>#N/A</v>
      </c>
      <c r="AS182" s="605" t="e">
        <f>AVERAGE(AQ182:AQ211)</f>
        <v>#DIV/0!</v>
      </c>
      <c r="AT182" s="182"/>
      <c r="AU182" s="182"/>
      <c r="AV182" s="182"/>
      <c r="AW182" s="297" t="e">
        <f>RANK(AV182, AV$147:AV$176)</f>
        <v>#N/A</v>
      </c>
      <c r="AX182" s="605" t="e">
        <f>AVERAGE(AV182:AV211)</f>
        <v>#DIV/0!</v>
      </c>
    </row>
    <row r="183" spans="2:50">
      <c r="B183" s="599"/>
      <c r="C183" s="431">
        <v>2</v>
      </c>
      <c r="D183" s="435"/>
      <c r="E183" s="432"/>
      <c r="F183" s="432"/>
      <c r="G183" s="432">
        <v>250</v>
      </c>
      <c r="H183" s="564"/>
      <c r="I183" s="432" t="e">
        <f t="shared" ref="I183:K203" si="45">AVERAGE(P183,U183,Z183,AE183,AJ183,AO183,AT183)</f>
        <v>#DIV/0!</v>
      </c>
      <c r="J183" s="432" t="e">
        <f t="shared" si="45"/>
        <v>#DIV/0!</v>
      </c>
      <c r="K183" s="433" t="e">
        <f t="shared" si="45"/>
        <v>#DIV/0!</v>
      </c>
      <c r="L183" s="564"/>
      <c r="M183" s="432" t="e">
        <f>RANK(K183, K$182:$K$211)</f>
        <v>#DIV/0!</v>
      </c>
      <c r="N183" s="559"/>
      <c r="O183" s="559"/>
      <c r="P183" s="431"/>
      <c r="Q183" s="432"/>
      <c r="R183" s="432"/>
      <c r="S183" s="431" t="e">
        <f t="shared" ref="S183:S211" si="46">RANK(R183, R$182:R$211)</f>
        <v>#N/A</v>
      </c>
      <c r="T183" s="588"/>
      <c r="U183" s="431"/>
      <c r="V183" s="432"/>
      <c r="W183" s="432"/>
      <c r="X183" s="431" t="e">
        <f t="shared" ref="X183:X211" si="47">RANK(W183, W$182:W$211)</f>
        <v>#N/A</v>
      </c>
      <c r="Y183" s="588"/>
      <c r="Z183" s="182"/>
      <c r="AA183" s="182"/>
      <c r="AB183" s="182"/>
      <c r="AC183" s="297" t="e">
        <f t="shared" ref="AC183:AC211" si="48">RANK(AB183, AB$147:AB$176)</f>
        <v>#N/A</v>
      </c>
      <c r="AD183" s="605"/>
      <c r="AE183" s="182"/>
      <c r="AF183" s="182"/>
      <c r="AG183" s="182"/>
      <c r="AH183" s="297" t="e">
        <f t="shared" ref="AH183:AH211" si="49">RANK(AG183, AG$147:AG$176)</f>
        <v>#N/A</v>
      </c>
      <c r="AI183" s="605"/>
      <c r="AJ183" s="182"/>
      <c r="AK183" s="182"/>
      <c r="AL183" s="182"/>
      <c r="AM183" s="297" t="e">
        <f t="shared" ref="AM183:AM211" si="50">RANK(AL183, AL$147:AL$176)</f>
        <v>#N/A</v>
      </c>
      <c r="AN183" s="605"/>
      <c r="AO183" s="182"/>
      <c r="AP183" s="182"/>
      <c r="AQ183" s="182"/>
      <c r="AR183" s="297" t="e">
        <f t="shared" ref="AR183:AR211" si="51">RANK(AQ183, AQ$147:AQ$176)</f>
        <v>#N/A</v>
      </c>
      <c r="AS183" s="605"/>
      <c r="AT183" s="182"/>
      <c r="AU183" s="182"/>
      <c r="AV183" s="182"/>
      <c r="AW183" s="297" t="e">
        <f t="shared" ref="AW183:AW211" si="52">RANK(AV183, AV$147:AV$176)</f>
        <v>#N/A</v>
      </c>
      <c r="AX183" s="605"/>
    </row>
    <row r="184" spans="2:50">
      <c r="B184" s="599"/>
      <c r="C184" s="431">
        <v>3</v>
      </c>
      <c r="D184" s="435"/>
      <c r="E184" s="432"/>
      <c r="F184" s="432"/>
      <c r="G184" s="432">
        <v>88.2</v>
      </c>
      <c r="H184" s="564"/>
      <c r="I184" s="432" t="e">
        <f t="shared" si="45"/>
        <v>#DIV/0!</v>
      </c>
      <c r="J184" s="432" t="e">
        <f t="shared" si="45"/>
        <v>#DIV/0!</v>
      </c>
      <c r="K184" s="433" t="e">
        <f t="shared" si="45"/>
        <v>#DIV/0!</v>
      </c>
      <c r="L184" s="564"/>
      <c r="M184" s="432" t="e">
        <f>RANK(K184, K$182:$K$211)</f>
        <v>#DIV/0!</v>
      </c>
      <c r="N184" s="559"/>
      <c r="O184" s="559"/>
      <c r="P184" s="431"/>
      <c r="Q184" s="432"/>
      <c r="R184" s="432"/>
      <c r="S184" s="431" t="e">
        <f t="shared" si="46"/>
        <v>#N/A</v>
      </c>
      <c r="T184" s="588"/>
      <c r="U184" s="431"/>
      <c r="V184" s="432"/>
      <c r="W184" s="432"/>
      <c r="X184" s="431" t="e">
        <f t="shared" si="47"/>
        <v>#N/A</v>
      </c>
      <c r="Y184" s="588"/>
      <c r="Z184" s="182"/>
      <c r="AA184" s="182"/>
      <c r="AB184" s="182"/>
      <c r="AC184" s="297" t="e">
        <f t="shared" si="48"/>
        <v>#N/A</v>
      </c>
      <c r="AD184" s="605"/>
      <c r="AE184" s="182"/>
      <c r="AF184" s="182"/>
      <c r="AG184" s="182"/>
      <c r="AH184" s="297" t="e">
        <f t="shared" si="49"/>
        <v>#N/A</v>
      </c>
      <c r="AI184" s="605"/>
      <c r="AJ184" s="182"/>
      <c r="AK184" s="182"/>
      <c r="AL184" s="182"/>
      <c r="AM184" s="297" t="e">
        <f t="shared" si="50"/>
        <v>#N/A</v>
      </c>
      <c r="AN184" s="605"/>
      <c r="AO184" s="182"/>
      <c r="AP184" s="182"/>
      <c r="AQ184" s="182"/>
      <c r="AR184" s="297" t="e">
        <f t="shared" si="51"/>
        <v>#N/A</v>
      </c>
      <c r="AS184" s="605"/>
      <c r="AT184" s="182"/>
      <c r="AU184" s="182"/>
      <c r="AV184" s="182"/>
      <c r="AW184" s="297" t="e">
        <f t="shared" si="52"/>
        <v>#N/A</v>
      </c>
      <c r="AX184" s="605"/>
    </row>
    <row r="185" spans="2:50">
      <c r="B185" s="599"/>
      <c r="C185" s="431">
        <v>4</v>
      </c>
      <c r="D185" s="435"/>
      <c r="E185" s="432"/>
      <c r="F185" s="432"/>
      <c r="G185" s="432">
        <v>71.400000000000006</v>
      </c>
      <c r="H185" s="564"/>
      <c r="I185" s="432" t="e">
        <f t="shared" si="45"/>
        <v>#DIV/0!</v>
      </c>
      <c r="J185" s="432" t="e">
        <f t="shared" si="45"/>
        <v>#DIV/0!</v>
      </c>
      <c r="K185" s="433" t="e">
        <f t="shared" si="45"/>
        <v>#DIV/0!</v>
      </c>
      <c r="L185" s="564"/>
      <c r="M185" s="432" t="e">
        <f>RANK(K185, K$182:$K$211)</f>
        <v>#DIV/0!</v>
      </c>
      <c r="N185" s="559"/>
      <c r="O185" s="559"/>
      <c r="P185" s="431"/>
      <c r="Q185" s="432"/>
      <c r="R185" s="432"/>
      <c r="S185" s="431" t="e">
        <f t="shared" si="46"/>
        <v>#N/A</v>
      </c>
      <c r="T185" s="588"/>
      <c r="U185" s="431"/>
      <c r="V185" s="432"/>
      <c r="W185" s="432"/>
      <c r="X185" s="431" t="e">
        <f t="shared" si="47"/>
        <v>#N/A</v>
      </c>
      <c r="Y185" s="588"/>
      <c r="Z185" s="182"/>
      <c r="AA185" s="182"/>
      <c r="AB185" s="182"/>
      <c r="AC185" s="297" t="e">
        <f t="shared" si="48"/>
        <v>#N/A</v>
      </c>
      <c r="AD185" s="605"/>
      <c r="AE185" s="182"/>
      <c r="AF185" s="182"/>
      <c r="AG185" s="182"/>
      <c r="AH185" s="297" t="e">
        <f t="shared" si="49"/>
        <v>#N/A</v>
      </c>
      <c r="AI185" s="605"/>
      <c r="AJ185" s="182"/>
      <c r="AK185" s="182"/>
      <c r="AL185" s="182"/>
      <c r="AM185" s="297" t="e">
        <f t="shared" si="50"/>
        <v>#N/A</v>
      </c>
      <c r="AN185" s="605"/>
      <c r="AO185" s="182"/>
      <c r="AP185" s="182"/>
      <c r="AQ185" s="182"/>
      <c r="AR185" s="297" t="e">
        <f t="shared" si="51"/>
        <v>#N/A</v>
      </c>
      <c r="AS185" s="605"/>
      <c r="AT185" s="182"/>
      <c r="AU185" s="182"/>
      <c r="AV185" s="182"/>
      <c r="AW185" s="297" t="e">
        <f t="shared" si="52"/>
        <v>#N/A</v>
      </c>
      <c r="AX185" s="605"/>
    </row>
    <row r="186" spans="2:50">
      <c r="B186" s="599"/>
      <c r="C186" s="431">
        <v>5</v>
      </c>
      <c r="D186" s="435"/>
      <c r="E186" s="432"/>
      <c r="F186" s="432"/>
      <c r="G186" s="432">
        <v>93.8</v>
      </c>
      <c r="H186" s="564"/>
      <c r="I186" s="432" t="e">
        <f t="shared" si="45"/>
        <v>#DIV/0!</v>
      </c>
      <c r="J186" s="432" t="e">
        <f t="shared" si="45"/>
        <v>#DIV/0!</v>
      </c>
      <c r="K186" s="433" t="e">
        <f t="shared" si="45"/>
        <v>#DIV/0!</v>
      </c>
      <c r="L186" s="564"/>
      <c r="M186" s="432" t="e">
        <f>RANK(K186, K$182:$K$211)</f>
        <v>#DIV/0!</v>
      </c>
      <c r="N186" s="559"/>
      <c r="O186" s="559"/>
      <c r="P186" s="431"/>
      <c r="Q186" s="432"/>
      <c r="R186" s="432"/>
      <c r="S186" s="431" t="e">
        <f t="shared" si="46"/>
        <v>#N/A</v>
      </c>
      <c r="T186" s="588"/>
      <c r="U186" s="431"/>
      <c r="V186" s="432"/>
      <c r="W186" s="432"/>
      <c r="X186" s="431" t="e">
        <f t="shared" si="47"/>
        <v>#N/A</v>
      </c>
      <c r="Y186" s="588"/>
      <c r="Z186" s="182"/>
      <c r="AA186" s="182"/>
      <c r="AB186" s="182"/>
      <c r="AC186" s="297" t="e">
        <f t="shared" si="48"/>
        <v>#N/A</v>
      </c>
      <c r="AD186" s="605"/>
      <c r="AE186" s="182"/>
      <c r="AF186" s="182"/>
      <c r="AG186" s="182"/>
      <c r="AH186" s="297" t="e">
        <f t="shared" si="49"/>
        <v>#N/A</v>
      </c>
      <c r="AI186" s="605"/>
      <c r="AJ186" s="182"/>
      <c r="AK186" s="182"/>
      <c r="AL186" s="182"/>
      <c r="AM186" s="297" t="e">
        <f t="shared" si="50"/>
        <v>#N/A</v>
      </c>
      <c r="AN186" s="605"/>
      <c r="AO186" s="182"/>
      <c r="AP186" s="182"/>
      <c r="AQ186" s="182"/>
      <c r="AR186" s="297" t="e">
        <f t="shared" si="51"/>
        <v>#N/A</v>
      </c>
      <c r="AS186" s="605"/>
      <c r="AT186" s="182"/>
      <c r="AU186" s="182"/>
      <c r="AV186" s="182"/>
      <c r="AW186" s="297" t="e">
        <f t="shared" si="52"/>
        <v>#N/A</v>
      </c>
      <c r="AX186" s="605"/>
    </row>
    <row r="187" spans="2:50">
      <c r="B187" s="599"/>
      <c r="C187" s="431">
        <v>6</v>
      </c>
      <c r="D187" s="435"/>
      <c r="E187" s="432"/>
      <c r="F187" s="432"/>
      <c r="G187" s="432">
        <v>97.8</v>
      </c>
      <c r="H187" s="564"/>
      <c r="I187" s="432" t="e">
        <f t="shared" si="45"/>
        <v>#DIV/0!</v>
      </c>
      <c r="J187" s="432" t="e">
        <f t="shared" si="45"/>
        <v>#DIV/0!</v>
      </c>
      <c r="K187" s="433" t="e">
        <f t="shared" si="45"/>
        <v>#DIV/0!</v>
      </c>
      <c r="L187" s="564"/>
      <c r="M187" s="432" t="e">
        <f>RANK(K187, K$182:$K$211)</f>
        <v>#DIV/0!</v>
      </c>
      <c r="N187" s="559"/>
      <c r="O187" s="559"/>
      <c r="P187" s="431"/>
      <c r="Q187" s="432"/>
      <c r="R187" s="432"/>
      <c r="S187" s="431" t="e">
        <f t="shared" si="46"/>
        <v>#N/A</v>
      </c>
      <c r="T187" s="588"/>
      <c r="U187" s="431"/>
      <c r="V187" s="432"/>
      <c r="W187" s="432"/>
      <c r="X187" s="431" t="e">
        <f t="shared" si="47"/>
        <v>#N/A</v>
      </c>
      <c r="Y187" s="588"/>
      <c r="Z187" s="182"/>
      <c r="AA187" s="182"/>
      <c r="AB187" s="182"/>
      <c r="AC187" s="297" t="e">
        <f t="shared" si="48"/>
        <v>#N/A</v>
      </c>
      <c r="AD187" s="605"/>
      <c r="AE187" s="182"/>
      <c r="AF187" s="182"/>
      <c r="AG187" s="182"/>
      <c r="AH187" s="297" t="e">
        <f t="shared" si="49"/>
        <v>#N/A</v>
      </c>
      <c r="AI187" s="605"/>
      <c r="AJ187" s="182"/>
      <c r="AK187" s="182"/>
      <c r="AL187" s="182"/>
      <c r="AM187" s="297" t="e">
        <f t="shared" si="50"/>
        <v>#N/A</v>
      </c>
      <c r="AN187" s="605"/>
      <c r="AO187" s="182"/>
      <c r="AP187" s="182"/>
      <c r="AQ187" s="182"/>
      <c r="AR187" s="297" t="e">
        <f t="shared" si="51"/>
        <v>#N/A</v>
      </c>
      <c r="AS187" s="605"/>
      <c r="AT187" s="182"/>
      <c r="AU187" s="182"/>
      <c r="AV187" s="182"/>
      <c r="AW187" s="297" t="e">
        <f t="shared" si="52"/>
        <v>#N/A</v>
      </c>
      <c r="AX187" s="605"/>
    </row>
    <row r="188" spans="2:50">
      <c r="B188" s="599"/>
      <c r="C188" s="431">
        <v>7</v>
      </c>
      <c r="D188" s="306"/>
      <c r="E188" s="432"/>
      <c r="F188" s="432"/>
      <c r="G188" s="432">
        <v>102.9</v>
      </c>
      <c r="H188" s="564"/>
      <c r="I188" s="432" t="e">
        <f t="shared" si="45"/>
        <v>#DIV/0!</v>
      </c>
      <c r="J188" s="432" t="e">
        <f t="shared" si="45"/>
        <v>#DIV/0!</v>
      </c>
      <c r="K188" s="433" t="e">
        <f t="shared" si="45"/>
        <v>#DIV/0!</v>
      </c>
      <c r="L188" s="564"/>
      <c r="M188" s="432" t="e">
        <f>RANK(K188, K$182:$K$211)</f>
        <v>#DIV/0!</v>
      </c>
      <c r="N188" s="559"/>
      <c r="O188" s="559"/>
      <c r="P188" s="431"/>
      <c r="Q188" s="432"/>
      <c r="R188" s="432"/>
      <c r="S188" s="431" t="e">
        <f t="shared" si="46"/>
        <v>#N/A</v>
      </c>
      <c r="T188" s="588"/>
      <c r="U188" s="431"/>
      <c r="V188" s="432"/>
      <c r="W188" s="432"/>
      <c r="X188" s="431" t="e">
        <f t="shared" si="47"/>
        <v>#N/A</v>
      </c>
      <c r="Y188" s="588"/>
      <c r="Z188" s="182"/>
      <c r="AA188" s="182"/>
      <c r="AB188" s="182"/>
      <c r="AC188" s="297" t="e">
        <f t="shared" si="48"/>
        <v>#N/A</v>
      </c>
      <c r="AD188" s="605"/>
      <c r="AE188" s="182"/>
      <c r="AF188" s="182"/>
      <c r="AG188" s="182"/>
      <c r="AH188" s="297" t="e">
        <f t="shared" si="49"/>
        <v>#N/A</v>
      </c>
      <c r="AI188" s="605"/>
      <c r="AJ188" s="182"/>
      <c r="AK188" s="182"/>
      <c r="AL188" s="182"/>
      <c r="AM188" s="297" t="e">
        <f t="shared" si="50"/>
        <v>#N/A</v>
      </c>
      <c r="AN188" s="605"/>
      <c r="AO188" s="182"/>
      <c r="AP188" s="182"/>
      <c r="AQ188" s="182"/>
      <c r="AR188" s="297" t="e">
        <f t="shared" si="51"/>
        <v>#N/A</v>
      </c>
      <c r="AS188" s="605"/>
      <c r="AT188" s="182"/>
      <c r="AU188" s="182"/>
      <c r="AV188" s="182"/>
      <c r="AW188" s="297" t="e">
        <f t="shared" si="52"/>
        <v>#N/A</v>
      </c>
      <c r="AX188" s="605"/>
    </row>
    <row r="189" spans="2:50">
      <c r="B189" s="599"/>
      <c r="C189" s="431">
        <v>8</v>
      </c>
      <c r="D189" s="306"/>
      <c r="E189" s="432"/>
      <c r="F189" s="432"/>
      <c r="G189" s="432">
        <v>90</v>
      </c>
      <c r="H189" s="564"/>
      <c r="I189" s="432" t="e">
        <f t="shared" si="45"/>
        <v>#DIV/0!</v>
      </c>
      <c r="J189" s="432" t="e">
        <f t="shared" si="45"/>
        <v>#DIV/0!</v>
      </c>
      <c r="K189" s="433" t="e">
        <f t="shared" si="45"/>
        <v>#DIV/0!</v>
      </c>
      <c r="L189" s="564"/>
      <c r="M189" s="432" t="e">
        <f>RANK(K189, K$182:$K$211)</f>
        <v>#DIV/0!</v>
      </c>
      <c r="N189" s="559"/>
      <c r="O189" s="559"/>
      <c r="P189" s="431"/>
      <c r="Q189" s="432"/>
      <c r="R189" s="432"/>
      <c r="S189" s="431" t="e">
        <f t="shared" si="46"/>
        <v>#N/A</v>
      </c>
      <c r="T189" s="588"/>
      <c r="U189" s="431"/>
      <c r="V189" s="432"/>
      <c r="W189" s="432"/>
      <c r="X189" s="431" t="e">
        <f t="shared" si="47"/>
        <v>#N/A</v>
      </c>
      <c r="Y189" s="588"/>
      <c r="Z189" s="182"/>
      <c r="AA189" s="182"/>
      <c r="AB189" s="182"/>
      <c r="AC189" s="297" t="e">
        <f t="shared" si="48"/>
        <v>#N/A</v>
      </c>
      <c r="AD189" s="605"/>
      <c r="AE189" s="182"/>
      <c r="AF189" s="182"/>
      <c r="AG189" s="182"/>
      <c r="AH189" s="297" t="e">
        <f t="shared" si="49"/>
        <v>#N/A</v>
      </c>
      <c r="AI189" s="605"/>
      <c r="AJ189" s="182"/>
      <c r="AK189" s="182"/>
      <c r="AL189" s="182"/>
      <c r="AM189" s="297" t="e">
        <f t="shared" si="50"/>
        <v>#N/A</v>
      </c>
      <c r="AN189" s="605"/>
      <c r="AO189" s="182"/>
      <c r="AP189" s="182"/>
      <c r="AQ189" s="182"/>
      <c r="AR189" s="297" t="e">
        <f t="shared" si="51"/>
        <v>#N/A</v>
      </c>
      <c r="AS189" s="605"/>
      <c r="AT189" s="182"/>
      <c r="AU189" s="182"/>
      <c r="AV189" s="182"/>
      <c r="AW189" s="297" t="e">
        <f t="shared" si="52"/>
        <v>#N/A</v>
      </c>
      <c r="AX189" s="605"/>
    </row>
    <row r="190" spans="2:50">
      <c r="B190" s="599"/>
      <c r="C190" s="431">
        <v>9</v>
      </c>
      <c r="D190" s="306"/>
      <c r="E190" s="432"/>
      <c r="F190" s="432"/>
      <c r="G190" s="432">
        <v>80</v>
      </c>
      <c r="H190" s="564"/>
      <c r="I190" s="432" t="e">
        <f t="shared" si="45"/>
        <v>#DIV/0!</v>
      </c>
      <c r="J190" s="432" t="e">
        <f t="shared" si="45"/>
        <v>#DIV/0!</v>
      </c>
      <c r="K190" s="433" t="e">
        <f t="shared" si="45"/>
        <v>#DIV/0!</v>
      </c>
      <c r="L190" s="564"/>
      <c r="M190" s="432" t="e">
        <f>RANK(K190, K$182:$K$211)</f>
        <v>#DIV/0!</v>
      </c>
      <c r="N190" s="559"/>
      <c r="O190" s="559"/>
      <c r="P190" s="431"/>
      <c r="Q190" s="432"/>
      <c r="R190" s="432"/>
      <c r="S190" s="431" t="e">
        <f t="shared" si="46"/>
        <v>#N/A</v>
      </c>
      <c r="T190" s="588"/>
      <c r="U190" s="431"/>
      <c r="V190" s="432"/>
      <c r="W190" s="432"/>
      <c r="X190" s="431" t="e">
        <f t="shared" si="47"/>
        <v>#N/A</v>
      </c>
      <c r="Y190" s="588"/>
      <c r="Z190" s="182"/>
      <c r="AA190" s="182"/>
      <c r="AB190" s="182"/>
      <c r="AC190" s="297" t="e">
        <f t="shared" si="48"/>
        <v>#N/A</v>
      </c>
      <c r="AD190" s="605"/>
      <c r="AE190" s="182"/>
      <c r="AF190" s="182"/>
      <c r="AG190" s="182"/>
      <c r="AH190" s="297" t="e">
        <f t="shared" si="49"/>
        <v>#N/A</v>
      </c>
      <c r="AI190" s="605"/>
      <c r="AJ190" s="182"/>
      <c r="AK190" s="182"/>
      <c r="AL190" s="182"/>
      <c r="AM190" s="297" t="e">
        <f t="shared" si="50"/>
        <v>#N/A</v>
      </c>
      <c r="AN190" s="605"/>
      <c r="AO190" s="182"/>
      <c r="AP190" s="182"/>
      <c r="AQ190" s="182"/>
      <c r="AR190" s="297" t="e">
        <f t="shared" si="51"/>
        <v>#N/A</v>
      </c>
      <c r="AS190" s="605"/>
      <c r="AT190" s="182"/>
      <c r="AU190" s="182"/>
      <c r="AV190" s="182"/>
      <c r="AW190" s="297" t="e">
        <f t="shared" si="52"/>
        <v>#N/A</v>
      </c>
      <c r="AX190" s="605"/>
    </row>
    <row r="191" spans="2:50">
      <c r="B191" s="599"/>
      <c r="C191" s="431">
        <v>10</v>
      </c>
      <c r="D191" s="306"/>
      <c r="E191" s="432"/>
      <c r="F191" s="432"/>
      <c r="G191" s="432">
        <v>90.9</v>
      </c>
      <c r="H191" s="564"/>
      <c r="I191" s="432" t="e">
        <f t="shared" si="45"/>
        <v>#DIV/0!</v>
      </c>
      <c r="J191" s="432" t="e">
        <f t="shared" si="45"/>
        <v>#DIV/0!</v>
      </c>
      <c r="K191" s="433" t="e">
        <f t="shared" si="45"/>
        <v>#DIV/0!</v>
      </c>
      <c r="L191" s="564"/>
      <c r="M191" s="432" t="e">
        <f>RANK(K191, K$182:$K$211)</f>
        <v>#DIV/0!</v>
      </c>
      <c r="N191" s="559"/>
      <c r="O191" s="559"/>
      <c r="P191" s="431"/>
      <c r="Q191" s="432"/>
      <c r="R191" s="432"/>
      <c r="S191" s="431" t="e">
        <f t="shared" si="46"/>
        <v>#N/A</v>
      </c>
      <c r="T191" s="588"/>
      <c r="U191" s="431"/>
      <c r="V191" s="432"/>
      <c r="W191" s="432"/>
      <c r="X191" s="431" t="e">
        <f t="shared" si="47"/>
        <v>#N/A</v>
      </c>
      <c r="Y191" s="588"/>
      <c r="Z191" s="182"/>
      <c r="AA191" s="182"/>
      <c r="AB191" s="182"/>
      <c r="AC191" s="297" t="e">
        <f t="shared" si="48"/>
        <v>#N/A</v>
      </c>
      <c r="AD191" s="605"/>
      <c r="AE191" s="182"/>
      <c r="AF191" s="182"/>
      <c r="AG191" s="182"/>
      <c r="AH191" s="297" t="e">
        <f t="shared" si="49"/>
        <v>#N/A</v>
      </c>
      <c r="AI191" s="605"/>
      <c r="AJ191" s="182"/>
      <c r="AK191" s="182"/>
      <c r="AL191" s="182"/>
      <c r="AM191" s="297" t="e">
        <f t="shared" si="50"/>
        <v>#N/A</v>
      </c>
      <c r="AN191" s="605"/>
      <c r="AO191" s="182"/>
      <c r="AP191" s="182"/>
      <c r="AQ191" s="182"/>
      <c r="AR191" s="297" t="e">
        <f t="shared" si="51"/>
        <v>#N/A</v>
      </c>
      <c r="AS191" s="605"/>
      <c r="AT191" s="182"/>
      <c r="AU191" s="182"/>
      <c r="AV191" s="182"/>
      <c r="AW191" s="297" t="e">
        <f t="shared" si="52"/>
        <v>#N/A</v>
      </c>
      <c r="AX191" s="605"/>
    </row>
    <row r="192" spans="2:50">
      <c r="B192" s="599"/>
      <c r="C192" s="431">
        <v>11</v>
      </c>
      <c r="D192" s="306"/>
      <c r="E192" s="432"/>
      <c r="F192" s="432"/>
      <c r="G192" s="432">
        <v>90.9</v>
      </c>
      <c r="H192" s="564"/>
      <c r="I192" s="432" t="e">
        <f t="shared" si="45"/>
        <v>#DIV/0!</v>
      </c>
      <c r="J192" s="432" t="e">
        <f t="shared" si="45"/>
        <v>#DIV/0!</v>
      </c>
      <c r="K192" s="433" t="e">
        <f t="shared" si="45"/>
        <v>#DIV/0!</v>
      </c>
      <c r="L192" s="564"/>
      <c r="M192" s="432" t="e">
        <f>RANK(K192, K$182:$K$211)</f>
        <v>#DIV/0!</v>
      </c>
      <c r="N192" s="559"/>
      <c r="O192" s="559"/>
      <c r="P192" s="431"/>
      <c r="Q192" s="432"/>
      <c r="R192" s="432"/>
      <c r="S192" s="431" t="e">
        <f t="shared" si="46"/>
        <v>#N/A</v>
      </c>
      <c r="T192" s="588"/>
      <c r="U192" s="431"/>
      <c r="V192" s="432"/>
      <c r="W192" s="432"/>
      <c r="X192" s="431" t="e">
        <f t="shared" si="47"/>
        <v>#N/A</v>
      </c>
      <c r="Y192" s="588"/>
      <c r="Z192" s="182"/>
      <c r="AA192" s="182"/>
      <c r="AB192" s="182"/>
      <c r="AC192" s="297" t="e">
        <f t="shared" si="48"/>
        <v>#N/A</v>
      </c>
      <c r="AD192" s="605"/>
      <c r="AE192" s="182"/>
      <c r="AF192" s="182"/>
      <c r="AG192" s="182"/>
      <c r="AH192" s="297" t="e">
        <f t="shared" si="49"/>
        <v>#N/A</v>
      </c>
      <c r="AI192" s="605"/>
      <c r="AJ192" s="182"/>
      <c r="AK192" s="182"/>
      <c r="AL192" s="182"/>
      <c r="AM192" s="297" t="e">
        <f t="shared" si="50"/>
        <v>#N/A</v>
      </c>
      <c r="AN192" s="605"/>
      <c r="AO192" s="182"/>
      <c r="AP192" s="182"/>
      <c r="AQ192" s="182"/>
      <c r="AR192" s="297" t="e">
        <f t="shared" si="51"/>
        <v>#N/A</v>
      </c>
      <c r="AS192" s="605"/>
      <c r="AT192" s="182"/>
      <c r="AU192" s="182"/>
      <c r="AV192" s="182"/>
      <c r="AW192" s="297" t="e">
        <f t="shared" si="52"/>
        <v>#N/A</v>
      </c>
      <c r="AX192" s="605"/>
    </row>
    <row r="193" spans="2:50">
      <c r="B193" s="599"/>
      <c r="C193" s="431">
        <v>12</v>
      </c>
      <c r="D193" s="306"/>
      <c r="E193" s="432"/>
      <c r="F193" s="432"/>
      <c r="G193" s="432">
        <v>88.2</v>
      </c>
      <c r="H193" s="564"/>
      <c r="I193" s="432" t="e">
        <f t="shared" si="45"/>
        <v>#DIV/0!</v>
      </c>
      <c r="J193" s="432" t="e">
        <f t="shared" si="45"/>
        <v>#DIV/0!</v>
      </c>
      <c r="K193" s="433" t="e">
        <f t="shared" si="45"/>
        <v>#DIV/0!</v>
      </c>
      <c r="L193" s="564"/>
      <c r="M193" s="432" t="e">
        <f>RANK(K193, K$182:$K$211)</f>
        <v>#DIV/0!</v>
      </c>
      <c r="N193" s="559"/>
      <c r="O193" s="559"/>
      <c r="P193" s="431"/>
      <c r="Q193" s="432"/>
      <c r="R193" s="432"/>
      <c r="S193" s="431" t="e">
        <f t="shared" si="46"/>
        <v>#N/A</v>
      </c>
      <c r="T193" s="588"/>
      <c r="U193" s="431"/>
      <c r="V193" s="432"/>
      <c r="W193" s="432"/>
      <c r="X193" s="431" t="e">
        <f t="shared" si="47"/>
        <v>#N/A</v>
      </c>
      <c r="Y193" s="588"/>
      <c r="Z193" s="182"/>
      <c r="AA193" s="182"/>
      <c r="AB193" s="182"/>
      <c r="AC193" s="297" t="e">
        <f t="shared" si="48"/>
        <v>#N/A</v>
      </c>
      <c r="AD193" s="605"/>
      <c r="AE193" s="182"/>
      <c r="AF193" s="182"/>
      <c r="AG193" s="182"/>
      <c r="AH193" s="297" t="e">
        <f t="shared" si="49"/>
        <v>#N/A</v>
      </c>
      <c r="AI193" s="605"/>
      <c r="AJ193" s="182"/>
      <c r="AK193" s="182"/>
      <c r="AL193" s="182"/>
      <c r="AM193" s="297" t="e">
        <f t="shared" si="50"/>
        <v>#N/A</v>
      </c>
      <c r="AN193" s="605"/>
      <c r="AO193" s="182"/>
      <c r="AP193" s="182"/>
      <c r="AQ193" s="182"/>
      <c r="AR193" s="297" t="e">
        <f t="shared" si="51"/>
        <v>#N/A</v>
      </c>
      <c r="AS193" s="605"/>
      <c r="AT193" s="182"/>
      <c r="AU193" s="182"/>
      <c r="AV193" s="182"/>
      <c r="AW193" s="297" t="e">
        <f t="shared" si="52"/>
        <v>#N/A</v>
      </c>
      <c r="AX193" s="605"/>
    </row>
    <row r="194" spans="2:50">
      <c r="B194" s="599"/>
      <c r="C194" s="431">
        <v>13</v>
      </c>
      <c r="D194" s="306"/>
      <c r="E194" s="432"/>
      <c r="F194" s="432"/>
      <c r="G194" s="432">
        <v>80</v>
      </c>
      <c r="H194" s="564"/>
      <c r="I194" s="432" t="e">
        <f t="shared" si="45"/>
        <v>#DIV/0!</v>
      </c>
      <c r="J194" s="432" t="e">
        <f t="shared" si="45"/>
        <v>#DIV/0!</v>
      </c>
      <c r="K194" s="433" t="e">
        <f t="shared" si="45"/>
        <v>#DIV/0!</v>
      </c>
      <c r="L194" s="564"/>
      <c r="M194" s="432" t="e">
        <f>RANK(K194, K$182:$K$211)</f>
        <v>#DIV/0!</v>
      </c>
      <c r="N194" s="559"/>
      <c r="O194" s="559"/>
      <c r="P194" s="431"/>
      <c r="Q194" s="432"/>
      <c r="R194" s="432"/>
      <c r="S194" s="431" t="e">
        <f t="shared" si="46"/>
        <v>#N/A</v>
      </c>
      <c r="T194" s="588"/>
      <c r="U194" s="431"/>
      <c r="V194" s="432"/>
      <c r="W194" s="432"/>
      <c r="X194" s="431" t="e">
        <f t="shared" si="47"/>
        <v>#N/A</v>
      </c>
      <c r="Y194" s="588"/>
      <c r="Z194" s="182"/>
      <c r="AA194" s="182"/>
      <c r="AB194" s="182"/>
      <c r="AC194" s="297" t="e">
        <f t="shared" si="48"/>
        <v>#N/A</v>
      </c>
      <c r="AD194" s="605"/>
      <c r="AE194" s="182"/>
      <c r="AF194" s="182"/>
      <c r="AG194" s="182"/>
      <c r="AH194" s="297" t="e">
        <f t="shared" si="49"/>
        <v>#N/A</v>
      </c>
      <c r="AI194" s="605"/>
      <c r="AJ194" s="182"/>
      <c r="AK194" s="182"/>
      <c r="AL194" s="182"/>
      <c r="AM194" s="297" t="e">
        <f t="shared" si="50"/>
        <v>#N/A</v>
      </c>
      <c r="AN194" s="605"/>
      <c r="AO194" s="182"/>
      <c r="AP194" s="182"/>
      <c r="AQ194" s="182"/>
      <c r="AR194" s="297" t="e">
        <f t="shared" si="51"/>
        <v>#N/A</v>
      </c>
      <c r="AS194" s="605"/>
      <c r="AT194" s="182"/>
      <c r="AU194" s="182"/>
      <c r="AV194" s="182"/>
      <c r="AW194" s="297" t="e">
        <f t="shared" si="52"/>
        <v>#N/A</v>
      </c>
      <c r="AX194" s="605"/>
    </row>
    <row r="195" spans="2:50">
      <c r="B195" s="599"/>
      <c r="C195" s="431">
        <v>14</v>
      </c>
      <c r="D195" s="306"/>
      <c r="E195" s="432"/>
      <c r="F195" s="432"/>
      <c r="G195" s="432">
        <v>96</v>
      </c>
      <c r="H195" s="564"/>
      <c r="I195" s="432" t="e">
        <f t="shared" si="45"/>
        <v>#DIV/0!</v>
      </c>
      <c r="J195" s="432" t="e">
        <f t="shared" si="45"/>
        <v>#DIV/0!</v>
      </c>
      <c r="K195" s="433" t="e">
        <f t="shared" si="45"/>
        <v>#DIV/0!</v>
      </c>
      <c r="L195" s="564"/>
      <c r="M195" s="432" t="e">
        <f>RANK(K195, K$182:$K$211)</f>
        <v>#DIV/0!</v>
      </c>
      <c r="N195" s="559"/>
      <c r="O195" s="559"/>
      <c r="P195" s="431"/>
      <c r="Q195" s="432"/>
      <c r="R195" s="432"/>
      <c r="S195" s="431" t="e">
        <f t="shared" si="46"/>
        <v>#N/A</v>
      </c>
      <c r="T195" s="588"/>
      <c r="U195" s="431"/>
      <c r="V195" s="432"/>
      <c r="W195" s="432"/>
      <c r="X195" s="431" t="e">
        <f t="shared" si="47"/>
        <v>#N/A</v>
      </c>
      <c r="Y195" s="588"/>
      <c r="Z195" s="182"/>
      <c r="AA195" s="182"/>
      <c r="AB195" s="182"/>
      <c r="AC195" s="297" t="e">
        <f t="shared" si="48"/>
        <v>#N/A</v>
      </c>
      <c r="AD195" s="605"/>
      <c r="AE195" s="182"/>
      <c r="AF195" s="182"/>
      <c r="AG195" s="182"/>
      <c r="AH195" s="297" t="e">
        <f t="shared" si="49"/>
        <v>#N/A</v>
      </c>
      <c r="AI195" s="605"/>
      <c r="AJ195" s="182"/>
      <c r="AK195" s="182"/>
      <c r="AL195" s="182"/>
      <c r="AM195" s="297" t="e">
        <f t="shared" si="50"/>
        <v>#N/A</v>
      </c>
      <c r="AN195" s="605"/>
      <c r="AO195" s="182"/>
      <c r="AP195" s="182"/>
      <c r="AQ195" s="182"/>
      <c r="AR195" s="297" t="e">
        <f t="shared" si="51"/>
        <v>#N/A</v>
      </c>
      <c r="AS195" s="605"/>
      <c r="AT195" s="182"/>
      <c r="AU195" s="182"/>
      <c r="AV195" s="182"/>
      <c r="AW195" s="297" t="e">
        <f t="shared" si="52"/>
        <v>#N/A</v>
      </c>
      <c r="AX195" s="605"/>
    </row>
    <row r="196" spans="2:50">
      <c r="B196" s="599"/>
      <c r="C196" s="431">
        <v>15</v>
      </c>
      <c r="D196" s="306"/>
      <c r="E196" s="432"/>
      <c r="F196" s="432"/>
      <c r="G196" s="432">
        <v>84.7</v>
      </c>
      <c r="H196" s="564"/>
      <c r="I196" s="432" t="e">
        <f t="shared" si="45"/>
        <v>#DIV/0!</v>
      </c>
      <c r="J196" s="432" t="e">
        <f t="shared" si="45"/>
        <v>#DIV/0!</v>
      </c>
      <c r="K196" s="433" t="e">
        <f t="shared" si="45"/>
        <v>#DIV/0!</v>
      </c>
      <c r="L196" s="564"/>
      <c r="M196" s="432" t="e">
        <f>RANK(K196, K$182:$K$211)</f>
        <v>#DIV/0!</v>
      </c>
      <c r="N196" s="559"/>
      <c r="O196" s="559"/>
      <c r="P196" s="431"/>
      <c r="Q196" s="432"/>
      <c r="R196" s="432"/>
      <c r="S196" s="431" t="e">
        <f t="shared" si="46"/>
        <v>#N/A</v>
      </c>
      <c r="T196" s="588"/>
      <c r="U196" s="431"/>
      <c r="V196" s="432"/>
      <c r="W196" s="432"/>
      <c r="X196" s="431" t="e">
        <f t="shared" si="47"/>
        <v>#N/A</v>
      </c>
      <c r="Y196" s="588"/>
      <c r="Z196" s="182"/>
      <c r="AA196" s="182"/>
      <c r="AB196" s="182"/>
      <c r="AC196" s="297" t="e">
        <f t="shared" si="48"/>
        <v>#N/A</v>
      </c>
      <c r="AD196" s="605"/>
      <c r="AE196" s="182"/>
      <c r="AF196" s="182"/>
      <c r="AG196" s="182"/>
      <c r="AH196" s="297" t="e">
        <f t="shared" si="49"/>
        <v>#N/A</v>
      </c>
      <c r="AI196" s="605"/>
      <c r="AJ196" s="182"/>
      <c r="AK196" s="182"/>
      <c r="AL196" s="182"/>
      <c r="AM196" s="297" t="e">
        <f t="shared" si="50"/>
        <v>#N/A</v>
      </c>
      <c r="AN196" s="605"/>
      <c r="AO196" s="182"/>
      <c r="AP196" s="182"/>
      <c r="AQ196" s="182"/>
      <c r="AR196" s="297" t="e">
        <f t="shared" si="51"/>
        <v>#N/A</v>
      </c>
      <c r="AS196" s="605"/>
      <c r="AT196" s="182"/>
      <c r="AU196" s="182"/>
      <c r="AV196" s="182"/>
      <c r="AW196" s="297" t="e">
        <f t="shared" si="52"/>
        <v>#N/A</v>
      </c>
      <c r="AX196" s="605"/>
    </row>
    <row r="197" spans="2:50">
      <c r="B197" s="599"/>
      <c r="C197" s="431">
        <v>16</v>
      </c>
      <c r="D197" s="306"/>
      <c r="E197" s="432"/>
      <c r="F197" s="432"/>
      <c r="G197" s="432">
        <v>96.3</v>
      </c>
      <c r="H197" s="564"/>
      <c r="I197" s="432" t="e">
        <f t="shared" si="45"/>
        <v>#DIV/0!</v>
      </c>
      <c r="J197" s="432" t="e">
        <f t="shared" si="45"/>
        <v>#DIV/0!</v>
      </c>
      <c r="K197" s="433" t="e">
        <f t="shared" si="45"/>
        <v>#DIV/0!</v>
      </c>
      <c r="L197" s="564"/>
      <c r="M197" s="432" t="e">
        <f>RANK(K197, K$182:$K$211)</f>
        <v>#DIV/0!</v>
      </c>
      <c r="N197" s="559"/>
      <c r="O197" s="559"/>
      <c r="P197" s="431"/>
      <c r="Q197" s="432"/>
      <c r="R197" s="432"/>
      <c r="S197" s="431" t="e">
        <f t="shared" si="46"/>
        <v>#N/A</v>
      </c>
      <c r="T197" s="588"/>
      <c r="U197" s="431"/>
      <c r="V197" s="432"/>
      <c r="W197" s="432"/>
      <c r="X197" s="431" t="e">
        <f t="shared" si="47"/>
        <v>#N/A</v>
      </c>
      <c r="Y197" s="588"/>
      <c r="Z197" s="182"/>
      <c r="AA197" s="182"/>
      <c r="AB197" s="182"/>
      <c r="AC197" s="297" t="e">
        <f t="shared" si="48"/>
        <v>#N/A</v>
      </c>
      <c r="AD197" s="605"/>
      <c r="AE197" s="182"/>
      <c r="AF197" s="182"/>
      <c r="AG197" s="182"/>
      <c r="AH197" s="297" t="e">
        <f t="shared" si="49"/>
        <v>#N/A</v>
      </c>
      <c r="AI197" s="605"/>
      <c r="AJ197" s="182"/>
      <c r="AK197" s="182"/>
      <c r="AL197" s="182"/>
      <c r="AM197" s="297" t="e">
        <f t="shared" si="50"/>
        <v>#N/A</v>
      </c>
      <c r="AN197" s="605"/>
      <c r="AO197" s="182"/>
      <c r="AP197" s="182"/>
      <c r="AQ197" s="182"/>
      <c r="AR197" s="297" t="e">
        <f t="shared" si="51"/>
        <v>#N/A</v>
      </c>
      <c r="AS197" s="605"/>
      <c r="AT197" s="182"/>
      <c r="AU197" s="182"/>
      <c r="AV197" s="182"/>
      <c r="AW197" s="297" t="e">
        <f t="shared" si="52"/>
        <v>#N/A</v>
      </c>
      <c r="AX197" s="605"/>
    </row>
    <row r="198" spans="2:50">
      <c r="B198" s="599"/>
      <c r="C198" s="431">
        <v>17</v>
      </c>
      <c r="D198" s="306"/>
      <c r="E198" s="432"/>
      <c r="F198" s="432"/>
      <c r="G198" s="432">
        <v>80</v>
      </c>
      <c r="H198" s="564"/>
      <c r="I198" s="432" t="e">
        <f t="shared" si="45"/>
        <v>#DIV/0!</v>
      </c>
      <c r="J198" s="432" t="e">
        <f t="shared" si="45"/>
        <v>#DIV/0!</v>
      </c>
      <c r="K198" s="433" t="e">
        <f t="shared" si="45"/>
        <v>#DIV/0!</v>
      </c>
      <c r="L198" s="564"/>
      <c r="M198" s="432" t="e">
        <f>RANK(K198, K$182:$K$211)</f>
        <v>#DIV/0!</v>
      </c>
      <c r="N198" s="559"/>
      <c r="O198" s="559"/>
      <c r="P198" s="431"/>
      <c r="Q198" s="432"/>
      <c r="R198" s="432"/>
      <c r="S198" s="431" t="e">
        <f t="shared" si="46"/>
        <v>#N/A</v>
      </c>
      <c r="T198" s="588"/>
      <c r="U198" s="431"/>
      <c r="V198" s="432"/>
      <c r="W198" s="432"/>
      <c r="X198" s="431" t="e">
        <f t="shared" si="47"/>
        <v>#N/A</v>
      </c>
      <c r="Y198" s="588"/>
      <c r="Z198" s="182"/>
      <c r="AA198" s="182"/>
      <c r="AB198" s="182"/>
      <c r="AC198" s="297" t="e">
        <f t="shared" si="48"/>
        <v>#N/A</v>
      </c>
      <c r="AD198" s="605"/>
      <c r="AE198" s="182"/>
      <c r="AF198" s="182"/>
      <c r="AG198" s="182"/>
      <c r="AH198" s="297" t="e">
        <f t="shared" si="49"/>
        <v>#N/A</v>
      </c>
      <c r="AI198" s="605"/>
      <c r="AJ198" s="182"/>
      <c r="AK198" s="182"/>
      <c r="AL198" s="182"/>
      <c r="AM198" s="297" t="e">
        <f t="shared" si="50"/>
        <v>#N/A</v>
      </c>
      <c r="AN198" s="605"/>
      <c r="AO198" s="182"/>
      <c r="AP198" s="182"/>
      <c r="AQ198" s="182"/>
      <c r="AR198" s="297" t="e">
        <f t="shared" si="51"/>
        <v>#N/A</v>
      </c>
      <c r="AS198" s="605"/>
      <c r="AT198" s="182"/>
      <c r="AU198" s="182"/>
      <c r="AV198" s="182"/>
      <c r="AW198" s="297" t="e">
        <f t="shared" si="52"/>
        <v>#N/A</v>
      </c>
      <c r="AX198" s="605"/>
    </row>
    <row r="199" spans="2:50">
      <c r="B199" s="599"/>
      <c r="C199" s="431">
        <v>18</v>
      </c>
      <c r="D199" s="306"/>
      <c r="E199" s="432"/>
      <c r="F199" s="432"/>
      <c r="G199" s="432">
        <v>83.3</v>
      </c>
      <c r="H199" s="564"/>
      <c r="I199" s="432" t="e">
        <f t="shared" si="45"/>
        <v>#DIV/0!</v>
      </c>
      <c r="J199" s="432" t="e">
        <f t="shared" si="45"/>
        <v>#DIV/0!</v>
      </c>
      <c r="K199" s="433" t="e">
        <f t="shared" si="45"/>
        <v>#DIV/0!</v>
      </c>
      <c r="L199" s="564"/>
      <c r="M199" s="432" t="e">
        <f>RANK(K199, K$182:$K$211)</f>
        <v>#DIV/0!</v>
      </c>
      <c r="N199" s="559"/>
      <c r="O199" s="559"/>
      <c r="P199" s="431"/>
      <c r="Q199" s="432"/>
      <c r="R199" s="432"/>
      <c r="S199" s="431" t="e">
        <f t="shared" si="46"/>
        <v>#N/A</v>
      </c>
      <c r="T199" s="588"/>
      <c r="U199" s="431"/>
      <c r="V199" s="432"/>
      <c r="W199" s="432"/>
      <c r="X199" s="431" t="e">
        <f t="shared" si="47"/>
        <v>#N/A</v>
      </c>
      <c r="Y199" s="588"/>
      <c r="Z199" s="182"/>
      <c r="AA199" s="182"/>
      <c r="AB199" s="182"/>
      <c r="AC199" s="297" t="e">
        <f t="shared" si="48"/>
        <v>#N/A</v>
      </c>
      <c r="AD199" s="605"/>
      <c r="AE199" s="182"/>
      <c r="AF199" s="182"/>
      <c r="AG199" s="182"/>
      <c r="AH199" s="297" t="e">
        <f t="shared" si="49"/>
        <v>#N/A</v>
      </c>
      <c r="AI199" s="605"/>
      <c r="AJ199" s="182"/>
      <c r="AK199" s="182"/>
      <c r="AL199" s="182"/>
      <c r="AM199" s="297" t="e">
        <f t="shared" si="50"/>
        <v>#N/A</v>
      </c>
      <c r="AN199" s="605"/>
      <c r="AO199" s="182"/>
      <c r="AP199" s="182"/>
      <c r="AQ199" s="182"/>
      <c r="AR199" s="297" t="e">
        <f t="shared" si="51"/>
        <v>#N/A</v>
      </c>
      <c r="AS199" s="605"/>
      <c r="AT199" s="182"/>
      <c r="AU199" s="182"/>
      <c r="AV199" s="182"/>
      <c r="AW199" s="297" t="e">
        <f t="shared" si="52"/>
        <v>#N/A</v>
      </c>
      <c r="AX199" s="605"/>
    </row>
    <row r="200" spans="2:50">
      <c r="B200" s="599"/>
      <c r="C200" s="431">
        <v>19</v>
      </c>
      <c r="D200" s="306"/>
      <c r="E200" s="432"/>
      <c r="F200" s="432"/>
      <c r="G200" s="432">
        <v>84.7</v>
      </c>
      <c r="H200" s="564"/>
      <c r="I200" s="432" t="e">
        <f t="shared" si="45"/>
        <v>#DIV/0!</v>
      </c>
      <c r="J200" s="432" t="e">
        <f t="shared" si="45"/>
        <v>#DIV/0!</v>
      </c>
      <c r="K200" s="433" t="e">
        <f t="shared" si="45"/>
        <v>#DIV/0!</v>
      </c>
      <c r="L200" s="564"/>
      <c r="M200" s="432" t="e">
        <f>RANK(K200, K$182:$K$211)</f>
        <v>#DIV/0!</v>
      </c>
      <c r="N200" s="559"/>
      <c r="O200" s="559"/>
      <c r="P200" s="431"/>
      <c r="Q200" s="432"/>
      <c r="R200" s="432"/>
      <c r="S200" s="431" t="e">
        <f t="shared" si="46"/>
        <v>#N/A</v>
      </c>
      <c r="T200" s="588"/>
      <c r="U200" s="431"/>
      <c r="V200" s="432"/>
      <c r="W200" s="432"/>
      <c r="X200" s="431" t="e">
        <f t="shared" si="47"/>
        <v>#N/A</v>
      </c>
      <c r="Y200" s="588"/>
      <c r="Z200" s="182"/>
      <c r="AA200" s="182"/>
      <c r="AB200" s="182"/>
      <c r="AC200" s="297" t="e">
        <f t="shared" si="48"/>
        <v>#N/A</v>
      </c>
      <c r="AD200" s="605"/>
      <c r="AE200" s="182"/>
      <c r="AF200" s="182"/>
      <c r="AG200" s="182"/>
      <c r="AH200" s="297" t="e">
        <f t="shared" si="49"/>
        <v>#N/A</v>
      </c>
      <c r="AI200" s="605"/>
      <c r="AJ200" s="182"/>
      <c r="AK200" s="182"/>
      <c r="AL200" s="182"/>
      <c r="AM200" s="297" t="e">
        <f t="shared" si="50"/>
        <v>#N/A</v>
      </c>
      <c r="AN200" s="605"/>
      <c r="AO200" s="182"/>
      <c r="AP200" s="182"/>
      <c r="AQ200" s="182"/>
      <c r="AR200" s="297" t="e">
        <f t="shared" si="51"/>
        <v>#N/A</v>
      </c>
      <c r="AS200" s="605"/>
      <c r="AT200" s="182"/>
      <c r="AU200" s="182"/>
      <c r="AV200" s="182"/>
      <c r="AW200" s="297" t="e">
        <f t="shared" si="52"/>
        <v>#N/A</v>
      </c>
      <c r="AX200" s="605"/>
    </row>
    <row r="201" spans="2:50">
      <c r="B201" s="599"/>
      <c r="C201" s="431">
        <v>20</v>
      </c>
      <c r="D201" s="306"/>
      <c r="E201" s="432"/>
      <c r="F201" s="432"/>
      <c r="G201" s="432">
        <v>76.900000000000006</v>
      </c>
      <c r="H201" s="564"/>
      <c r="I201" s="432" t="e">
        <f t="shared" si="45"/>
        <v>#DIV/0!</v>
      </c>
      <c r="J201" s="432" t="e">
        <f t="shared" si="45"/>
        <v>#DIV/0!</v>
      </c>
      <c r="K201" s="433" t="e">
        <f t="shared" si="45"/>
        <v>#DIV/0!</v>
      </c>
      <c r="L201" s="564"/>
      <c r="M201" s="432" t="e">
        <f>RANK(K201, K$182:$K$211)</f>
        <v>#DIV/0!</v>
      </c>
      <c r="N201" s="559"/>
      <c r="O201" s="559"/>
      <c r="P201" s="431"/>
      <c r="Q201" s="432"/>
      <c r="R201" s="432"/>
      <c r="S201" s="431" t="e">
        <f t="shared" si="46"/>
        <v>#N/A</v>
      </c>
      <c r="T201" s="588"/>
      <c r="U201" s="431"/>
      <c r="V201" s="432"/>
      <c r="W201" s="432"/>
      <c r="X201" s="431" t="e">
        <f t="shared" si="47"/>
        <v>#N/A</v>
      </c>
      <c r="Y201" s="588"/>
      <c r="Z201" s="182"/>
      <c r="AA201" s="182"/>
      <c r="AB201" s="182"/>
      <c r="AC201" s="297" t="e">
        <f t="shared" si="48"/>
        <v>#N/A</v>
      </c>
      <c r="AD201" s="605"/>
      <c r="AE201" s="182"/>
      <c r="AF201" s="182"/>
      <c r="AG201" s="182"/>
      <c r="AH201" s="297" t="e">
        <f t="shared" si="49"/>
        <v>#N/A</v>
      </c>
      <c r="AI201" s="605"/>
      <c r="AJ201" s="182"/>
      <c r="AK201" s="182"/>
      <c r="AL201" s="182"/>
      <c r="AM201" s="297" t="e">
        <f t="shared" si="50"/>
        <v>#N/A</v>
      </c>
      <c r="AN201" s="605"/>
      <c r="AO201" s="182"/>
      <c r="AP201" s="182"/>
      <c r="AQ201" s="182"/>
      <c r="AR201" s="297" t="e">
        <f t="shared" si="51"/>
        <v>#N/A</v>
      </c>
      <c r="AS201" s="605"/>
      <c r="AT201" s="182"/>
      <c r="AU201" s="182"/>
      <c r="AV201" s="182"/>
      <c r="AW201" s="297" t="e">
        <f t="shared" si="52"/>
        <v>#N/A</v>
      </c>
      <c r="AX201" s="605"/>
    </row>
    <row r="202" spans="2:50">
      <c r="B202" s="599"/>
      <c r="C202" s="431">
        <v>21</v>
      </c>
      <c r="D202" s="306"/>
      <c r="E202" s="432"/>
      <c r="F202" s="432"/>
      <c r="G202" s="432">
        <v>80</v>
      </c>
      <c r="H202" s="564"/>
      <c r="I202" s="432" t="e">
        <f t="shared" si="45"/>
        <v>#DIV/0!</v>
      </c>
      <c r="J202" s="432" t="e">
        <f t="shared" si="45"/>
        <v>#DIV/0!</v>
      </c>
      <c r="K202" s="433" t="e">
        <f t="shared" si="45"/>
        <v>#DIV/0!</v>
      </c>
      <c r="L202" s="564"/>
      <c r="M202" s="432" t="e">
        <f>RANK(K202, K$182:$K$211)</f>
        <v>#DIV/0!</v>
      </c>
      <c r="N202" s="559"/>
      <c r="O202" s="559"/>
      <c r="P202" s="431"/>
      <c r="Q202" s="432"/>
      <c r="R202" s="432"/>
      <c r="S202" s="431" t="e">
        <f t="shared" si="46"/>
        <v>#N/A</v>
      </c>
      <c r="T202" s="588"/>
      <c r="U202" s="431"/>
      <c r="V202" s="432"/>
      <c r="W202" s="432"/>
      <c r="X202" s="431" t="e">
        <f t="shared" si="47"/>
        <v>#N/A</v>
      </c>
      <c r="Y202" s="588"/>
      <c r="Z202" s="182"/>
      <c r="AA202" s="182"/>
      <c r="AB202" s="182"/>
      <c r="AC202" s="297" t="e">
        <f t="shared" si="48"/>
        <v>#N/A</v>
      </c>
      <c r="AD202" s="605"/>
      <c r="AE202" s="182"/>
      <c r="AF202" s="182"/>
      <c r="AG202" s="182"/>
      <c r="AH202" s="297" t="e">
        <f t="shared" si="49"/>
        <v>#N/A</v>
      </c>
      <c r="AI202" s="605"/>
      <c r="AJ202" s="182"/>
      <c r="AK202" s="182"/>
      <c r="AL202" s="182"/>
      <c r="AM202" s="297" t="e">
        <f t="shared" si="50"/>
        <v>#N/A</v>
      </c>
      <c r="AN202" s="605"/>
      <c r="AO202" s="182"/>
      <c r="AP202" s="182"/>
      <c r="AQ202" s="182"/>
      <c r="AR202" s="297" t="e">
        <f t="shared" si="51"/>
        <v>#N/A</v>
      </c>
      <c r="AS202" s="605"/>
      <c r="AT202" s="182"/>
      <c r="AU202" s="182"/>
      <c r="AV202" s="182"/>
      <c r="AW202" s="297" t="e">
        <f t="shared" si="52"/>
        <v>#N/A</v>
      </c>
      <c r="AX202" s="605"/>
    </row>
    <row r="203" spans="2:50">
      <c r="B203" s="599"/>
      <c r="C203" s="431">
        <v>22</v>
      </c>
      <c r="D203" s="306"/>
      <c r="E203" s="432"/>
      <c r="F203" s="432"/>
      <c r="G203" s="432">
        <v>100</v>
      </c>
      <c r="H203" s="564"/>
      <c r="I203" s="432" t="e">
        <f t="shared" si="45"/>
        <v>#DIV/0!</v>
      </c>
      <c r="J203" s="432" t="e">
        <f t="shared" si="45"/>
        <v>#DIV/0!</v>
      </c>
      <c r="K203" s="433" t="e">
        <f t="shared" si="45"/>
        <v>#DIV/0!</v>
      </c>
      <c r="L203" s="564"/>
      <c r="M203" s="432" t="e">
        <f>RANK(K203, K$182:$K$211)</f>
        <v>#DIV/0!</v>
      </c>
      <c r="N203" s="559"/>
      <c r="O203" s="559"/>
      <c r="P203" s="431"/>
      <c r="Q203" s="432"/>
      <c r="R203" s="432"/>
      <c r="S203" s="431" t="e">
        <f t="shared" si="46"/>
        <v>#N/A</v>
      </c>
      <c r="T203" s="588"/>
      <c r="U203" s="431"/>
      <c r="V203" s="432"/>
      <c r="W203" s="432"/>
      <c r="X203" s="431" t="e">
        <f t="shared" si="47"/>
        <v>#N/A</v>
      </c>
      <c r="Y203" s="588"/>
      <c r="Z203" s="182"/>
      <c r="AA203" s="182"/>
      <c r="AB203" s="182"/>
      <c r="AC203" s="297" t="e">
        <f t="shared" si="48"/>
        <v>#N/A</v>
      </c>
      <c r="AD203" s="605"/>
      <c r="AE203" s="182"/>
      <c r="AF203" s="182"/>
      <c r="AG203" s="182"/>
      <c r="AH203" s="297" t="e">
        <f t="shared" si="49"/>
        <v>#N/A</v>
      </c>
      <c r="AI203" s="605"/>
      <c r="AJ203" s="182"/>
      <c r="AK203" s="182"/>
      <c r="AL203" s="182"/>
      <c r="AM203" s="297" t="e">
        <f t="shared" si="50"/>
        <v>#N/A</v>
      </c>
      <c r="AN203" s="605"/>
      <c r="AO203" s="182"/>
      <c r="AP203" s="182"/>
      <c r="AQ203" s="182"/>
      <c r="AR203" s="297" t="e">
        <f t="shared" si="51"/>
        <v>#N/A</v>
      </c>
      <c r="AS203" s="605"/>
      <c r="AT203" s="182"/>
      <c r="AU203" s="182"/>
      <c r="AV203" s="182"/>
      <c r="AW203" s="297" t="e">
        <f t="shared" si="52"/>
        <v>#N/A</v>
      </c>
      <c r="AX203" s="605"/>
    </row>
    <row r="204" spans="2:50">
      <c r="B204" s="599"/>
      <c r="C204" s="431">
        <v>23</v>
      </c>
      <c r="D204" s="306"/>
      <c r="E204" s="432"/>
      <c r="F204" s="432"/>
      <c r="G204" s="432">
        <v>93.8</v>
      </c>
      <c r="H204" s="564"/>
      <c r="I204" s="432" t="e">
        <f t="shared" ref="I204:K209" si="53">AVERAGE(P204,U204,Z204,AE204,AJ204,AO204,AT204)</f>
        <v>#DIV/0!</v>
      </c>
      <c r="J204" s="432" t="e">
        <f t="shared" si="53"/>
        <v>#DIV/0!</v>
      </c>
      <c r="K204" s="433" t="e">
        <f t="shared" si="53"/>
        <v>#DIV/0!</v>
      </c>
      <c r="L204" s="564"/>
      <c r="M204" s="432" t="e">
        <f>RANK(K204, K$182:$K$211)</f>
        <v>#DIV/0!</v>
      </c>
      <c r="N204" s="559"/>
      <c r="O204" s="559"/>
      <c r="P204" s="431"/>
      <c r="Q204" s="432"/>
      <c r="R204" s="432"/>
      <c r="S204" s="431" t="e">
        <f t="shared" si="46"/>
        <v>#N/A</v>
      </c>
      <c r="T204" s="588"/>
      <c r="U204" s="431"/>
      <c r="V204" s="432"/>
      <c r="W204" s="432"/>
      <c r="X204" s="431" t="e">
        <f t="shared" si="47"/>
        <v>#N/A</v>
      </c>
      <c r="Y204" s="588"/>
      <c r="Z204" s="182"/>
      <c r="AA204" s="182"/>
      <c r="AB204" s="182"/>
      <c r="AC204" s="297" t="e">
        <f t="shared" si="48"/>
        <v>#N/A</v>
      </c>
      <c r="AD204" s="605"/>
      <c r="AE204" s="182"/>
      <c r="AF204" s="182"/>
      <c r="AG204" s="182"/>
      <c r="AH204" s="297" t="e">
        <f t="shared" si="49"/>
        <v>#N/A</v>
      </c>
      <c r="AI204" s="605"/>
      <c r="AJ204" s="182"/>
      <c r="AK204" s="182"/>
      <c r="AL204" s="182"/>
      <c r="AM204" s="297" t="e">
        <f t="shared" si="50"/>
        <v>#N/A</v>
      </c>
      <c r="AN204" s="605"/>
      <c r="AO204" s="182"/>
      <c r="AP204" s="182"/>
      <c r="AQ204" s="182"/>
      <c r="AR204" s="297" t="e">
        <f t="shared" si="51"/>
        <v>#N/A</v>
      </c>
      <c r="AS204" s="605"/>
      <c r="AT204" s="182"/>
      <c r="AU204" s="182"/>
      <c r="AV204" s="182"/>
      <c r="AW204" s="297" t="e">
        <f t="shared" si="52"/>
        <v>#N/A</v>
      </c>
      <c r="AX204" s="605"/>
    </row>
    <row r="205" spans="2:50">
      <c r="B205" s="599"/>
      <c r="C205" s="431">
        <v>24</v>
      </c>
      <c r="D205" s="306"/>
      <c r="E205" s="432"/>
      <c r="F205" s="432"/>
      <c r="G205" s="432">
        <v>75</v>
      </c>
      <c r="H205" s="564"/>
      <c r="I205" s="432" t="e">
        <f t="shared" si="53"/>
        <v>#DIV/0!</v>
      </c>
      <c r="J205" s="432" t="e">
        <f t="shared" si="53"/>
        <v>#DIV/0!</v>
      </c>
      <c r="K205" s="433" t="e">
        <f t="shared" si="53"/>
        <v>#DIV/0!</v>
      </c>
      <c r="L205" s="564"/>
      <c r="M205" s="432" t="e">
        <f>RANK(K205, K$182:$K$211)</f>
        <v>#DIV/0!</v>
      </c>
      <c r="N205" s="559"/>
      <c r="O205" s="559"/>
      <c r="P205" s="431"/>
      <c r="Q205" s="432"/>
      <c r="R205" s="432"/>
      <c r="S205" s="431" t="e">
        <f t="shared" si="46"/>
        <v>#N/A</v>
      </c>
      <c r="T205" s="588"/>
      <c r="U205" s="431"/>
      <c r="V205" s="432"/>
      <c r="W205" s="432"/>
      <c r="X205" s="431" t="e">
        <f t="shared" si="47"/>
        <v>#N/A</v>
      </c>
      <c r="Y205" s="588"/>
      <c r="Z205" s="311"/>
      <c r="AA205" s="312"/>
      <c r="AB205" s="312"/>
      <c r="AC205" s="297" t="e">
        <f t="shared" si="48"/>
        <v>#N/A</v>
      </c>
      <c r="AD205" s="605"/>
      <c r="AE205" s="311"/>
      <c r="AF205" s="312"/>
      <c r="AG205" s="312"/>
      <c r="AH205" s="297" t="e">
        <f t="shared" si="49"/>
        <v>#N/A</v>
      </c>
      <c r="AI205" s="605"/>
      <c r="AJ205" s="311"/>
      <c r="AK205" s="312"/>
      <c r="AL205" s="312"/>
      <c r="AM205" s="297" t="e">
        <f t="shared" si="50"/>
        <v>#N/A</v>
      </c>
      <c r="AN205" s="605"/>
      <c r="AO205" s="311"/>
      <c r="AP205" s="312"/>
      <c r="AQ205" s="312"/>
      <c r="AR205" s="297" t="e">
        <f t="shared" si="51"/>
        <v>#N/A</v>
      </c>
      <c r="AS205" s="605"/>
      <c r="AT205" s="311"/>
      <c r="AU205" s="312"/>
      <c r="AV205" s="312"/>
      <c r="AW205" s="297" t="e">
        <f t="shared" si="52"/>
        <v>#N/A</v>
      </c>
      <c r="AX205" s="605"/>
    </row>
    <row r="206" spans="2:50">
      <c r="B206" s="599"/>
      <c r="C206" s="431">
        <v>25</v>
      </c>
      <c r="D206" s="306"/>
      <c r="E206" s="432"/>
      <c r="F206" s="432"/>
      <c r="G206" s="432">
        <v>84.7</v>
      </c>
      <c r="H206" s="564"/>
      <c r="I206" s="432" t="e">
        <f t="shared" si="53"/>
        <v>#DIV/0!</v>
      </c>
      <c r="J206" s="432" t="e">
        <f t="shared" si="53"/>
        <v>#DIV/0!</v>
      </c>
      <c r="K206" s="433" t="e">
        <f t="shared" si="53"/>
        <v>#DIV/0!</v>
      </c>
      <c r="L206" s="564"/>
      <c r="M206" s="432" t="e">
        <f>RANK(K206, K$182:$K$211)</f>
        <v>#DIV/0!</v>
      </c>
      <c r="N206" s="559"/>
      <c r="O206" s="559"/>
      <c r="P206" s="431"/>
      <c r="Q206" s="432"/>
      <c r="R206" s="432"/>
      <c r="S206" s="431" t="e">
        <f t="shared" si="46"/>
        <v>#N/A</v>
      </c>
      <c r="T206" s="588"/>
      <c r="U206" s="431"/>
      <c r="V206" s="432"/>
      <c r="W206" s="432"/>
      <c r="X206" s="431" t="e">
        <f t="shared" si="47"/>
        <v>#N/A</v>
      </c>
      <c r="Y206" s="588"/>
      <c r="Z206" s="311"/>
      <c r="AA206" s="312"/>
      <c r="AB206" s="312"/>
      <c r="AC206" s="297" t="e">
        <f t="shared" si="48"/>
        <v>#N/A</v>
      </c>
      <c r="AD206" s="605"/>
      <c r="AE206" s="311"/>
      <c r="AF206" s="312"/>
      <c r="AG206" s="312"/>
      <c r="AH206" s="297" t="e">
        <f t="shared" si="49"/>
        <v>#N/A</v>
      </c>
      <c r="AI206" s="605"/>
      <c r="AJ206" s="311"/>
      <c r="AK206" s="312"/>
      <c r="AL206" s="312"/>
      <c r="AM206" s="297" t="e">
        <f t="shared" si="50"/>
        <v>#N/A</v>
      </c>
      <c r="AN206" s="605"/>
      <c r="AO206" s="311"/>
      <c r="AP206" s="312"/>
      <c r="AQ206" s="312"/>
      <c r="AR206" s="297" t="e">
        <f t="shared" si="51"/>
        <v>#N/A</v>
      </c>
      <c r="AS206" s="605"/>
      <c r="AT206" s="311"/>
      <c r="AU206" s="312"/>
      <c r="AV206" s="312"/>
      <c r="AW206" s="297" t="e">
        <f t="shared" si="52"/>
        <v>#N/A</v>
      </c>
      <c r="AX206" s="605"/>
    </row>
    <row r="207" spans="2:50">
      <c r="B207" s="599"/>
      <c r="C207" s="431">
        <v>26</v>
      </c>
      <c r="D207" s="306"/>
      <c r="E207" s="432"/>
      <c r="F207" s="432"/>
      <c r="G207" s="432">
        <v>76.900000000000006</v>
      </c>
      <c r="H207" s="564"/>
      <c r="I207" s="432" t="e">
        <f t="shared" si="53"/>
        <v>#DIV/0!</v>
      </c>
      <c r="J207" s="432" t="e">
        <f t="shared" si="53"/>
        <v>#DIV/0!</v>
      </c>
      <c r="K207" s="433" t="e">
        <f t="shared" si="53"/>
        <v>#DIV/0!</v>
      </c>
      <c r="L207" s="564"/>
      <c r="M207" s="432" t="e">
        <f>RANK(K207, K$182:$K$211)</f>
        <v>#DIV/0!</v>
      </c>
      <c r="N207" s="559"/>
      <c r="O207" s="559"/>
      <c r="P207" s="431"/>
      <c r="Q207" s="432"/>
      <c r="R207" s="432"/>
      <c r="S207" s="431" t="e">
        <f t="shared" si="46"/>
        <v>#N/A</v>
      </c>
      <c r="T207" s="588"/>
      <c r="U207" s="431"/>
      <c r="V207" s="432"/>
      <c r="W207" s="432"/>
      <c r="X207" s="431" t="e">
        <f t="shared" si="47"/>
        <v>#N/A</v>
      </c>
      <c r="Y207" s="588"/>
      <c r="Z207" s="311"/>
      <c r="AA207" s="312"/>
      <c r="AB207" s="312"/>
      <c r="AC207" s="297" t="e">
        <f t="shared" si="48"/>
        <v>#N/A</v>
      </c>
      <c r="AD207" s="605"/>
      <c r="AE207" s="311"/>
      <c r="AF207" s="312"/>
      <c r="AG207" s="312"/>
      <c r="AH207" s="297" t="e">
        <f t="shared" si="49"/>
        <v>#N/A</v>
      </c>
      <c r="AI207" s="605"/>
      <c r="AJ207" s="311"/>
      <c r="AK207" s="312"/>
      <c r="AL207" s="312"/>
      <c r="AM207" s="297" t="e">
        <f t="shared" si="50"/>
        <v>#N/A</v>
      </c>
      <c r="AN207" s="605"/>
      <c r="AO207" s="311"/>
      <c r="AP207" s="312"/>
      <c r="AQ207" s="312"/>
      <c r="AR207" s="297" t="e">
        <f t="shared" si="51"/>
        <v>#N/A</v>
      </c>
      <c r="AS207" s="605"/>
      <c r="AT207" s="311"/>
      <c r="AU207" s="312"/>
      <c r="AV207" s="312"/>
      <c r="AW207" s="297" t="e">
        <f t="shared" si="52"/>
        <v>#N/A</v>
      </c>
      <c r="AX207" s="605"/>
    </row>
    <row r="208" spans="2:50">
      <c r="B208" s="599"/>
      <c r="C208" s="431">
        <v>27</v>
      </c>
      <c r="D208" s="306"/>
      <c r="E208" s="432"/>
      <c r="F208" s="432"/>
      <c r="G208" s="432">
        <v>80</v>
      </c>
      <c r="H208" s="564"/>
      <c r="I208" s="432" t="e">
        <f t="shared" si="53"/>
        <v>#DIV/0!</v>
      </c>
      <c r="J208" s="432" t="e">
        <f t="shared" si="53"/>
        <v>#DIV/0!</v>
      </c>
      <c r="K208" s="433" t="e">
        <f t="shared" si="53"/>
        <v>#DIV/0!</v>
      </c>
      <c r="L208" s="564"/>
      <c r="M208" s="432" t="e">
        <f>RANK(K208, K$182:$K$211)</f>
        <v>#DIV/0!</v>
      </c>
      <c r="N208" s="559"/>
      <c r="O208" s="559"/>
      <c r="P208" s="431"/>
      <c r="Q208" s="432"/>
      <c r="R208" s="432"/>
      <c r="S208" s="431" t="e">
        <f t="shared" si="46"/>
        <v>#N/A</v>
      </c>
      <c r="T208" s="588"/>
      <c r="U208" s="431"/>
      <c r="V208" s="432"/>
      <c r="W208" s="432"/>
      <c r="X208" s="431" t="e">
        <f t="shared" si="47"/>
        <v>#N/A</v>
      </c>
      <c r="Y208" s="588"/>
      <c r="Z208" s="311"/>
      <c r="AA208" s="312"/>
      <c r="AB208" s="312"/>
      <c r="AC208" s="297" t="e">
        <f t="shared" si="48"/>
        <v>#N/A</v>
      </c>
      <c r="AD208" s="605"/>
      <c r="AE208" s="311"/>
      <c r="AF208" s="312"/>
      <c r="AG208" s="312"/>
      <c r="AH208" s="297" t="e">
        <f t="shared" si="49"/>
        <v>#N/A</v>
      </c>
      <c r="AI208" s="605"/>
      <c r="AJ208" s="311"/>
      <c r="AK208" s="312"/>
      <c r="AL208" s="312"/>
      <c r="AM208" s="297" t="e">
        <f t="shared" si="50"/>
        <v>#N/A</v>
      </c>
      <c r="AN208" s="605"/>
      <c r="AO208" s="311"/>
      <c r="AP208" s="312"/>
      <c r="AQ208" s="312"/>
      <c r="AR208" s="297" t="e">
        <f t="shared" si="51"/>
        <v>#N/A</v>
      </c>
      <c r="AS208" s="605"/>
      <c r="AT208" s="311"/>
      <c r="AU208" s="312"/>
      <c r="AV208" s="312"/>
      <c r="AW208" s="297" t="e">
        <f t="shared" si="52"/>
        <v>#N/A</v>
      </c>
      <c r="AX208" s="605"/>
    </row>
    <row r="209" spans="2:50">
      <c r="B209" s="599"/>
      <c r="C209" s="431">
        <v>28</v>
      </c>
      <c r="D209" s="434"/>
      <c r="E209" s="432"/>
      <c r="F209" s="432"/>
      <c r="G209" s="432">
        <v>84.7</v>
      </c>
      <c r="H209" s="564"/>
      <c r="I209" s="432" t="e">
        <f t="shared" si="53"/>
        <v>#DIV/0!</v>
      </c>
      <c r="J209" s="432" t="e">
        <f t="shared" si="53"/>
        <v>#DIV/0!</v>
      </c>
      <c r="K209" s="433" t="e">
        <f t="shared" si="53"/>
        <v>#DIV/0!</v>
      </c>
      <c r="L209" s="564"/>
      <c r="M209" s="432" t="e">
        <f>RANK(K209, K$182:$K$211)</f>
        <v>#DIV/0!</v>
      </c>
      <c r="N209" s="559"/>
      <c r="O209" s="559"/>
      <c r="P209" s="431"/>
      <c r="Q209" s="432"/>
      <c r="R209" s="432"/>
      <c r="S209" s="431" t="e">
        <f t="shared" si="46"/>
        <v>#N/A</v>
      </c>
      <c r="T209" s="588"/>
      <c r="U209" s="431"/>
      <c r="V209" s="432"/>
      <c r="W209" s="432"/>
      <c r="X209" s="431" t="e">
        <f t="shared" si="47"/>
        <v>#N/A</v>
      </c>
      <c r="Y209" s="588"/>
      <c r="Z209" s="297"/>
      <c r="AA209" s="300"/>
      <c r="AB209" s="300"/>
      <c r="AC209" s="297" t="e">
        <f t="shared" si="48"/>
        <v>#N/A</v>
      </c>
      <c r="AD209" s="605"/>
      <c r="AE209" s="297"/>
      <c r="AF209" s="300"/>
      <c r="AG209" s="300"/>
      <c r="AH209" s="297" t="e">
        <f t="shared" si="49"/>
        <v>#N/A</v>
      </c>
      <c r="AI209" s="605"/>
      <c r="AJ209" s="297"/>
      <c r="AK209" s="300"/>
      <c r="AL209" s="300"/>
      <c r="AM209" s="297" t="e">
        <f t="shared" si="50"/>
        <v>#N/A</v>
      </c>
      <c r="AN209" s="605"/>
      <c r="AO209" s="297"/>
      <c r="AP209" s="297"/>
      <c r="AQ209" s="297"/>
      <c r="AR209" s="297" t="e">
        <f t="shared" si="51"/>
        <v>#N/A</v>
      </c>
      <c r="AS209" s="605"/>
      <c r="AT209" s="297"/>
      <c r="AU209" s="300"/>
      <c r="AV209" s="300"/>
      <c r="AW209" s="297" t="e">
        <f t="shared" si="52"/>
        <v>#N/A</v>
      </c>
      <c r="AX209" s="605"/>
    </row>
    <row r="210" spans="2:50">
      <c r="B210" s="599"/>
      <c r="C210" s="431">
        <v>29</v>
      </c>
      <c r="D210" s="435"/>
      <c r="E210" s="432">
        <f>IFERROR(VLOOKUP($D210,[2]ST總表!$B$3:$F$999,2,0),"")</f>
        <v>0</v>
      </c>
      <c r="F210" s="432">
        <f>IFERROR(VLOOKUP($D210,[2]ST總表!$B$3:$F$999,3,0),"")</f>
        <v>0</v>
      </c>
      <c r="G210" s="432">
        <f>IFERROR(VLOOKUP($D210,[2]ST總表!$B$3:$F$999,4,0),"")</f>
        <v>0</v>
      </c>
      <c r="H210" s="564"/>
      <c r="I210" s="431"/>
      <c r="J210" s="431"/>
      <c r="K210" s="431"/>
      <c r="L210" s="564"/>
      <c r="M210" s="432" t="e">
        <f>RANK(K210, K$182:$K$211)</f>
        <v>#DIV/0!</v>
      </c>
      <c r="N210" s="559"/>
      <c r="O210" s="559"/>
      <c r="P210" s="431"/>
      <c r="Q210" s="432"/>
      <c r="R210" s="432"/>
      <c r="S210" s="431" t="e">
        <f t="shared" si="46"/>
        <v>#N/A</v>
      </c>
      <c r="T210" s="588"/>
      <c r="U210" s="431"/>
      <c r="V210" s="432"/>
      <c r="W210" s="432"/>
      <c r="X210" s="431" t="e">
        <f t="shared" si="47"/>
        <v>#N/A</v>
      </c>
      <c r="Y210" s="588"/>
      <c r="Z210" s="297"/>
      <c r="AA210" s="297"/>
      <c r="AB210" s="297"/>
      <c r="AC210" s="297" t="e">
        <f t="shared" si="48"/>
        <v>#N/A</v>
      </c>
      <c r="AD210" s="605"/>
      <c r="AE210" s="297"/>
      <c r="AF210" s="297"/>
      <c r="AG210" s="297"/>
      <c r="AH210" s="297" t="e">
        <f t="shared" si="49"/>
        <v>#N/A</v>
      </c>
      <c r="AI210" s="605"/>
      <c r="AJ210" s="297"/>
      <c r="AK210" s="297"/>
      <c r="AL210" s="297"/>
      <c r="AM210" s="297" t="e">
        <f t="shared" si="50"/>
        <v>#N/A</v>
      </c>
      <c r="AN210" s="605"/>
      <c r="AO210" s="297"/>
      <c r="AP210" s="297"/>
      <c r="AQ210" s="297"/>
      <c r="AR210" s="297" t="e">
        <f t="shared" si="51"/>
        <v>#N/A</v>
      </c>
      <c r="AS210" s="605"/>
      <c r="AT210" s="297"/>
      <c r="AU210" s="297"/>
      <c r="AV210" s="297"/>
      <c r="AW210" s="297" t="e">
        <f t="shared" si="52"/>
        <v>#N/A</v>
      </c>
      <c r="AX210" s="605"/>
    </row>
    <row r="211" spans="2:50">
      <c r="B211" s="599"/>
      <c r="C211" s="431">
        <v>30</v>
      </c>
      <c r="D211" s="435"/>
      <c r="E211" s="432">
        <f>IFERROR(VLOOKUP($D211,[2]ST總表!$B$3:$F$999,2,0),"")</f>
        <v>0</v>
      </c>
      <c r="F211" s="432">
        <f>IFERROR(VLOOKUP($D211,[2]ST總表!$B$3:$F$999,3,0),"")</f>
        <v>0</v>
      </c>
      <c r="G211" s="432">
        <f>IFERROR(VLOOKUP($D211,[2]ST總表!$B$3:$F$999,4,0),"")</f>
        <v>0</v>
      </c>
      <c r="H211" s="616"/>
      <c r="I211" s="431"/>
      <c r="J211" s="431"/>
      <c r="K211" s="431"/>
      <c r="L211" s="616"/>
      <c r="M211" s="432" t="e">
        <f>RANK(K211, K$182:$K$211)</f>
        <v>#DIV/0!</v>
      </c>
      <c r="N211" s="559"/>
      <c r="O211" s="559"/>
      <c r="P211" s="431"/>
      <c r="Q211" s="432"/>
      <c r="R211" s="432"/>
      <c r="S211" s="431" t="e">
        <f t="shared" si="46"/>
        <v>#N/A</v>
      </c>
      <c r="T211" s="588"/>
      <c r="U211" s="431"/>
      <c r="V211" s="432"/>
      <c r="W211" s="432"/>
      <c r="X211" s="431" t="e">
        <f t="shared" si="47"/>
        <v>#N/A</v>
      </c>
      <c r="Y211" s="588"/>
      <c r="Z211" s="297"/>
      <c r="AA211" s="297"/>
      <c r="AB211" s="297"/>
      <c r="AC211" s="297" t="e">
        <f t="shared" si="48"/>
        <v>#N/A</v>
      </c>
      <c r="AD211" s="605"/>
      <c r="AE211" s="297"/>
      <c r="AF211" s="297"/>
      <c r="AG211" s="297"/>
      <c r="AH211" s="297" t="e">
        <f t="shared" si="49"/>
        <v>#N/A</v>
      </c>
      <c r="AI211" s="605"/>
      <c r="AJ211" s="297"/>
      <c r="AK211" s="297"/>
      <c r="AL211" s="297"/>
      <c r="AM211" s="297" t="e">
        <f t="shared" si="50"/>
        <v>#N/A</v>
      </c>
      <c r="AN211" s="605"/>
      <c r="AO211" s="297"/>
      <c r="AP211" s="297"/>
      <c r="AQ211" s="297"/>
      <c r="AR211" s="297" t="e">
        <f t="shared" si="51"/>
        <v>#N/A</v>
      </c>
      <c r="AS211" s="605"/>
      <c r="AT211" s="297"/>
      <c r="AU211" s="297"/>
      <c r="AV211" s="297"/>
      <c r="AW211" s="297" t="e">
        <f t="shared" si="52"/>
        <v>#N/A</v>
      </c>
      <c r="AX211" s="605"/>
    </row>
    <row r="213" spans="2:50" ht="15.75">
      <c r="B213" s="600" t="s">
        <v>469</v>
      </c>
      <c r="C213" s="601"/>
      <c r="D213" s="601"/>
      <c r="E213" s="601"/>
      <c r="F213" s="601"/>
      <c r="G213" s="601"/>
      <c r="H213" s="602"/>
      <c r="I213" s="301"/>
      <c r="J213" s="301"/>
      <c r="K213" s="301"/>
      <c r="L213" s="301"/>
      <c r="M213" s="302"/>
    </row>
    <row r="214" spans="2:50" ht="15.75">
      <c r="B214" s="603"/>
      <c r="C214" s="603"/>
      <c r="D214" s="603"/>
      <c r="E214" s="603"/>
      <c r="F214" s="603"/>
      <c r="G214" s="603"/>
      <c r="H214" s="603"/>
      <c r="I214" s="303"/>
      <c r="J214" s="303"/>
      <c r="K214" s="303"/>
      <c r="L214" s="303"/>
      <c r="M214" s="304"/>
    </row>
    <row r="215" spans="2:50">
      <c r="B215" s="559" t="s">
        <v>470</v>
      </c>
      <c r="C215" s="559" t="s">
        <v>471</v>
      </c>
      <c r="D215" s="559"/>
      <c r="E215" s="559" t="s">
        <v>472</v>
      </c>
      <c r="F215" s="559"/>
      <c r="G215" s="559"/>
      <c r="H215" s="559" t="s">
        <v>473</v>
      </c>
      <c r="I215" s="604" t="s">
        <v>474</v>
      </c>
      <c r="J215" s="604"/>
      <c r="K215" s="604"/>
      <c r="L215" s="604" t="s">
        <v>473</v>
      </c>
      <c r="M215" s="604" t="s">
        <v>475</v>
      </c>
    </row>
    <row r="216" spans="2:50">
      <c r="B216" s="559"/>
      <c r="C216" s="559"/>
      <c r="D216" s="559"/>
      <c r="E216" s="559" t="s">
        <v>476</v>
      </c>
      <c r="F216" s="559"/>
      <c r="G216" s="559"/>
      <c r="H216" s="559"/>
      <c r="I216" s="604" t="s">
        <v>476</v>
      </c>
      <c r="J216" s="604"/>
      <c r="K216" s="604"/>
      <c r="L216" s="604"/>
      <c r="M216" s="604"/>
    </row>
    <row r="217" spans="2:50">
      <c r="B217" s="559"/>
      <c r="C217" s="559"/>
      <c r="D217" s="559"/>
      <c r="E217" s="298" t="s">
        <v>477</v>
      </c>
      <c r="F217" s="298" t="s">
        <v>478</v>
      </c>
      <c r="G217" s="298" t="s">
        <v>479</v>
      </c>
      <c r="H217" s="559"/>
      <c r="I217" s="305" t="s">
        <v>477</v>
      </c>
      <c r="J217" s="305" t="s">
        <v>478</v>
      </c>
      <c r="K217" s="305" t="s">
        <v>479</v>
      </c>
      <c r="L217" s="604"/>
      <c r="M217" s="604"/>
    </row>
    <row r="218" spans="2:50">
      <c r="B218" s="559" t="s">
        <v>484</v>
      </c>
      <c r="C218" s="297">
        <v>1</v>
      </c>
      <c r="D218" s="297" t="s">
        <v>371</v>
      </c>
      <c r="E218" s="182">
        <v>6</v>
      </c>
      <c r="F218" s="297">
        <v>1600</v>
      </c>
      <c r="G218" s="300">
        <v>266.66666666666669</v>
      </c>
      <c r="H218" s="605">
        <f>AVERAGE(G218:G247)</f>
        <v>98.811670602789007</v>
      </c>
      <c r="I218" s="199">
        <f t="shared" ref="I218:J242" si="54">AVERAGEIF($D$7:$D$211,$D218,I$7:I$211)</f>
        <v>6</v>
      </c>
      <c r="J218" s="199">
        <f t="shared" si="54"/>
        <v>1391.4097854092463</v>
      </c>
      <c r="K218" s="199">
        <f t="shared" ref="K218:K243" si="55">AVERAGEIF($D$7:$D$211,$D218,K$7:K$211)</f>
        <v>231.90163090154107</v>
      </c>
      <c r="L218" s="629" t="e">
        <f>AVERAGE(K218:K247)</f>
        <v>#DIV/0!</v>
      </c>
      <c r="M218" s="199" t="e">
        <f>RANK(K218, K$218:$K$247)</f>
        <v>#DIV/0!</v>
      </c>
    </row>
    <row r="219" spans="2:50">
      <c r="B219" s="572"/>
      <c r="C219" s="297">
        <v>2</v>
      </c>
      <c r="D219" s="297" t="s">
        <v>395</v>
      </c>
      <c r="E219" s="182">
        <v>6</v>
      </c>
      <c r="F219" s="297">
        <v>1500</v>
      </c>
      <c r="G219" s="300">
        <v>250</v>
      </c>
      <c r="H219" s="605"/>
      <c r="I219" s="199">
        <f t="shared" si="54"/>
        <v>6.9599999999999991</v>
      </c>
      <c r="J219" s="199">
        <f t="shared" si="54"/>
        <v>1468.6825289568148</v>
      </c>
      <c r="K219" s="199">
        <f t="shared" si="55"/>
        <v>211.23627964689189</v>
      </c>
      <c r="L219" s="629"/>
      <c r="M219" s="199" t="e">
        <f>RANK(K219, K$218:$K$247)</f>
        <v>#DIV/0!</v>
      </c>
    </row>
    <row r="220" spans="2:50">
      <c r="B220" s="572"/>
      <c r="C220" s="297">
        <v>3</v>
      </c>
      <c r="D220" s="297" t="s">
        <v>372</v>
      </c>
      <c r="E220" s="182">
        <v>17</v>
      </c>
      <c r="F220" s="297">
        <v>1500</v>
      </c>
      <c r="G220" s="300">
        <v>88.235294117647058</v>
      </c>
      <c r="H220" s="605"/>
      <c r="I220" s="199">
        <f t="shared" si="54"/>
        <v>17.2</v>
      </c>
      <c r="J220" s="199">
        <f t="shared" si="54"/>
        <v>1262.7025047500031</v>
      </c>
      <c r="K220" s="199">
        <f t="shared" si="55"/>
        <v>73.496727918494187</v>
      </c>
      <c r="L220" s="629"/>
      <c r="M220" s="199" t="e">
        <f>RANK(K220, K$218:$K$247)</f>
        <v>#DIV/0!</v>
      </c>
    </row>
    <row r="221" spans="2:50">
      <c r="B221" s="572"/>
      <c r="C221" s="297">
        <v>4</v>
      </c>
      <c r="D221" s="297" t="s">
        <v>352</v>
      </c>
      <c r="E221" s="182">
        <v>19</v>
      </c>
      <c r="F221" s="297">
        <v>1500</v>
      </c>
      <c r="G221" s="300">
        <v>78.94736842105263</v>
      </c>
      <c r="H221" s="605"/>
      <c r="I221" s="199">
        <f t="shared" si="54"/>
        <v>20</v>
      </c>
      <c r="J221" s="199">
        <f t="shared" si="54"/>
        <v>1323.9345271858026</v>
      </c>
      <c r="K221" s="199">
        <f t="shared" si="55"/>
        <v>66.196726359290139</v>
      </c>
      <c r="L221" s="629"/>
      <c r="M221" s="199" t="e">
        <f>RANK(K221, K$218:$K$247)</f>
        <v>#DIV/0!</v>
      </c>
    </row>
    <row r="222" spans="2:50">
      <c r="B222" s="572"/>
      <c r="C222" s="297">
        <v>5</v>
      </c>
      <c r="D222" s="297" t="s">
        <v>350</v>
      </c>
      <c r="E222" s="182">
        <v>16</v>
      </c>
      <c r="F222" s="297">
        <v>1500</v>
      </c>
      <c r="G222" s="300">
        <v>93.75</v>
      </c>
      <c r="H222" s="605"/>
      <c r="I222" s="199">
        <f t="shared" si="54"/>
        <v>16</v>
      </c>
      <c r="J222" s="199">
        <f t="shared" si="54"/>
        <v>1277.7158252786614</v>
      </c>
      <c r="K222" s="199">
        <f t="shared" si="55"/>
        <v>79.85723907991634</v>
      </c>
      <c r="L222" s="629"/>
      <c r="M222" s="199" t="e">
        <f>RANK(K222, K$218:$K$247)</f>
        <v>#DIV/0!</v>
      </c>
    </row>
    <row r="223" spans="2:50">
      <c r="B223" s="572"/>
      <c r="C223" s="297">
        <v>6</v>
      </c>
      <c r="D223" s="297" t="s">
        <v>379</v>
      </c>
      <c r="E223" s="182">
        <v>16</v>
      </c>
      <c r="F223" s="297">
        <v>1565</v>
      </c>
      <c r="G223" s="300">
        <v>97.8125</v>
      </c>
      <c r="H223" s="605"/>
      <c r="I223" s="199">
        <f t="shared" si="54"/>
        <v>15.371428571428572</v>
      </c>
      <c r="J223" s="199">
        <f t="shared" si="54"/>
        <v>1338.718388999022</v>
      </c>
      <c r="K223" s="199">
        <f t="shared" si="55"/>
        <v>87.215509774477439</v>
      </c>
      <c r="L223" s="629"/>
      <c r="M223" s="199" t="e">
        <f>RANK(K223, K$218:$K$247)</f>
        <v>#DIV/0!</v>
      </c>
    </row>
    <row r="224" spans="2:50">
      <c r="B224" s="572"/>
      <c r="C224" s="297">
        <v>7</v>
      </c>
      <c r="D224" s="297" t="s">
        <v>340</v>
      </c>
      <c r="E224" s="182">
        <v>16</v>
      </c>
      <c r="F224" s="297">
        <v>1440</v>
      </c>
      <c r="G224" s="300">
        <v>90</v>
      </c>
      <c r="H224" s="605"/>
      <c r="I224" s="199">
        <f t="shared" si="54"/>
        <v>14.8</v>
      </c>
      <c r="J224" s="199">
        <f t="shared" si="54"/>
        <v>1092.9525505502575</v>
      </c>
      <c r="K224" s="199">
        <f t="shared" si="55"/>
        <v>73.883251740082216</v>
      </c>
      <c r="L224" s="629"/>
      <c r="M224" s="199" t="e">
        <f>RANK(K224, K$218:$K$247)</f>
        <v>#DIV/0!</v>
      </c>
    </row>
    <row r="225" spans="2:13">
      <c r="B225" s="572"/>
      <c r="C225" s="297">
        <v>8</v>
      </c>
      <c r="D225" s="297" t="s">
        <v>378</v>
      </c>
      <c r="E225" s="182">
        <v>17</v>
      </c>
      <c r="F225" s="297">
        <v>1440</v>
      </c>
      <c r="G225" s="300">
        <v>84.705882352941174</v>
      </c>
      <c r="H225" s="605"/>
      <c r="I225" s="199">
        <f t="shared" si="54"/>
        <v>15.868571428571428</v>
      </c>
      <c r="J225" s="199">
        <f t="shared" si="54"/>
        <v>1258.165619285719</v>
      </c>
      <c r="K225" s="199">
        <f t="shared" si="55"/>
        <v>79.30480690253934</v>
      </c>
      <c r="L225" s="629"/>
      <c r="M225" s="199" t="e">
        <f>RANK(K225, K$218:$K$247)</f>
        <v>#DIV/0!</v>
      </c>
    </row>
    <row r="226" spans="2:13">
      <c r="B226" s="572"/>
      <c r="C226" s="297">
        <v>9</v>
      </c>
      <c r="D226" s="297" t="s">
        <v>374</v>
      </c>
      <c r="E226" s="182">
        <v>18</v>
      </c>
      <c r="F226" s="297">
        <v>1440</v>
      </c>
      <c r="G226" s="300">
        <v>80</v>
      </c>
      <c r="H226" s="605"/>
      <c r="I226" s="199">
        <f t="shared" si="54"/>
        <v>17.52</v>
      </c>
      <c r="J226" s="199">
        <f t="shared" si="54"/>
        <v>1190.5985360469479</v>
      </c>
      <c r="K226" s="199">
        <f t="shared" si="55"/>
        <v>68.034210284361194</v>
      </c>
      <c r="L226" s="629"/>
      <c r="M226" s="199" t="e">
        <f>RANK(K226, K$218:$K$247)</f>
        <v>#DIV/0!</v>
      </c>
    </row>
    <row r="227" spans="2:13">
      <c r="B227" s="572"/>
      <c r="C227" s="297">
        <v>10</v>
      </c>
      <c r="D227" s="297" t="s">
        <v>377</v>
      </c>
      <c r="E227" s="182">
        <v>19</v>
      </c>
      <c r="F227" s="297">
        <v>1636</v>
      </c>
      <c r="G227" s="300">
        <v>86.10526315789474</v>
      </c>
      <c r="H227" s="605"/>
      <c r="I227" s="199">
        <f t="shared" si="54"/>
        <v>18</v>
      </c>
      <c r="J227" s="199">
        <f t="shared" si="54"/>
        <v>1266.7681688863656</v>
      </c>
      <c r="K227" s="199">
        <f t="shared" si="55"/>
        <v>70.376009382575887</v>
      </c>
      <c r="L227" s="629"/>
      <c r="M227" s="199" t="e">
        <f>RANK(K227, K$218:$K$247)</f>
        <v>#DIV/0!</v>
      </c>
    </row>
    <row r="228" spans="2:13">
      <c r="B228" s="572"/>
      <c r="C228" s="297">
        <v>11</v>
      </c>
      <c r="D228" s="297" t="s">
        <v>376</v>
      </c>
      <c r="E228" s="182">
        <v>19</v>
      </c>
      <c r="F228" s="297">
        <v>1636</v>
      </c>
      <c r="G228" s="300">
        <v>86.10526315789474</v>
      </c>
      <c r="H228" s="605"/>
      <c r="I228" s="199">
        <f t="shared" si="54"/>
        <v>18.53142857142857</v>
      </c>
      <c r="J228" s="199">
        <f t="shared" si="54"/>
        <v>1265.3019751139013</v>
      </c>
      <c r="K228" s="199">
        <f t="shared" si="55"/>
        <v>68.338738206056206</v>
      </c>
      <c r="L228" s="629"/>
      <c r="M228" s="199" t="e">
        <f>RANK(K228, K$218:$K$247)</f>
        <v>#DIV/0!</v>
      </c>
    </row>
    <row r="229" spans="2:13">
      <c r="B229" s="572"/>
      <c r="C229" s="297">
        <v>12</v>
      </c>
      <c r="D229" s="297" t="s">
        <v>380</v>
      </c>
      <c r="E229" s="182">
        <v>17</v>
      </c>
      <c r="F229" s="297">
        <v>1500</v>
      </c>
      <c r="G229" s="300">
        <v>88.235294117647058</v>
      </c>
      <c r="H229" s="605"/>
      <c r="I229" s="199" t="e">
        <f t="shared" si="54"/>
        <v>#DIV/0!</v>
      </c>
      <c r="J229" s="199" t="e">
        <f t="shared" si="54"/>
        <v>#DIV/0!</v>
      </c>
      <c r="K229" s="199" t="e">
        <f t="shared" si="55"/>
        <v>#DIV/0!</v>
      </c>
      <c r="L229" s="629"/>
      <c r="M229" s="199" t="e">
        <f>RANK(K229, K$218:$K$247)</f>
        <v>#DIV/0!</v>
      </c>
    </row>
    <row r="230" spans="2:13">
      <c r="B230" s="572"/>
      <c r="C230" s="297">
        <v>13</v>
      </c>
      <c r="D230" s="297" t="s">
        <v>353</v>
      </c>
      <c r="E230" s="182">
        <v>17</v>
      </c>
      <c r="F230" s="297">
        <v>1500</v>
      </c>
      <c r="G230" s="300">
        <v>88.235294117647058</v>
      </c>
      <c r="H230" s="605"/>
      <c r="I230" s="199">
        <f t="shared" si="54"/>
        <v>17.16</v>
      </c>
      <c r="J230" s="199">
        <f t="shared" si="54"/>
        <v>1267.8549719204891</v>
      </c>
      <c r="K230" s="199">
        <f t="shared" si="55"/>
        <v>73.908073861153824</v>
      </c>
      <c r="L230" s="629"/>
      <c r="M230" s="199" t="e">
        <f>RANK(K230, K$218:$K$247)</f>
        <v>#DIV/0!</v>
      </c>
    </row>
    <row r="231" spans="2:13">
      <c r="B231" s="572"/>
      <c r="C231" s="297">
        <v>14</v>
      </c>
      <c r="D231" s="297" t="s">
        <v>588</v>
      </c>
      <c r="E231" s="182">
        <v>17</v>
      </c>
      <c r="F231" s="297">
        <v>1440</v>
      </c>
      <c r="G231" s="300">
        <v>84.705882352941174</v>
      </c>
      <c r="H231" s="605"/>
      <c r="I231" s="199">
        <f t="shared" si="54"/>
        <v>18.228571428571428</v>
      </c>
      <c r="J231" s="199">
        <f t="shared" si="54"/>
        <v>1331.2113991353758</v>
      </c>
      <c r="K231" s="199">
        <f t="shared" si="55"/>
        <v>73.087272891539101</v>
      </c>
      <c r="L231" s="629"/>
      <c r="M231" s="199" t="e">
        <f>RANK(K231, K$218:$K$247)</f>
        <v>#DIV/0!</v>
      </c>
    </row>
    <row r="232" spans="2:13">
      <c r="B232" s="572"/>
      <c r="C232" s="297">
        <v>15</v>
      </c>
      <c r="D232" s="297" t="s">
        <v>381</v>
      </c>
      <c r="E232" s="182">
        <v>15</v>
      </c>
      <c r="F232" s="297">
        <v>1440</v>
      </c>
      <c r="G232" s="300">
        <v>96</v>
      </c>
      <c r="H232" s="605"/>
      <c r="I232" s="199">
        <f t="shared" si="54"/>
        <v>15.588571428571427</v>
      </c>
      <c r="J232" s="199">
        <f t="shared" si="54"/>
        <v>1271.9009946702486</v>
      </c>
      <c r="K232" s="199">
        <f t="shared" si="55"/>
        <v>81.673574868509348</v>
      </c>
      <c r="L232" s="629"/>
      <c r="M232" s="199" t="e">
        <f>RANK(K232, K$218:$K$247)</f>
        <v>#DIV/0!</v>
      </c>
    </row>
    <row r="233" spans="2:13">
      <c r="B233" s="572"/>
      <c r="C233" s="297">
        <v>16</v>
      </c>
      <c r="D233" s="297" t="s">
        <v>342</v>
      </c>
      <c r="E233" s="182">
        <v>16</v>
      </c>
      <c r="F233" s="297">
        <v>1440</v>
      </c>
      <c r="G233" s="300">
        <v>90</v>
      </c>
      <c r="H233" s="605"/>
      <c r="I233" s="199">
        <f t="shared" si="54"/>
        <v>16.428571428571427</v>
      </c>
      <c r="J233" s="199">
        <f t="shared" si="54"/>
        <v>1324.3856579439437</v>
      </c>
      <c r="K233" s="199">
        <f t="shared" si="55"/>
        <v>80.691290342808145</v>
      </c>
      <c r="L233" s="629"/>
      <c r="M233" s="199" t="e">
        <f>RANK(K233, K$218:$K$247)</f>
        <v>#DIV/0!</v>
      </c>
    </row>
    <row r="234" spans="2:13">
      <c r="B234" s="572"/>
      <c r="C234" s="297">
        <v>17</v>
      </c>
      <c r="D234" s="297" t="s">
        <v>373</v>
      </c>
      <c r="E234" s="182">
        <v>17</v>
      </c>
      <c r="F234" s="297">
        <v>1636</v>
      </c>
      <c r="G234" s="300">
        <v>96.235294117647058</v>
      </c>
      <c r="H234" s="605"/>
      <c r="I234" s="199">
        <f t="shared" si="54"/>
        <v>17</v>
      </c>
      <c r="J234" s="199">
        <f t="shared" si="54"/>
        <v>1110.6833766233747</v>
      </c>
      <c r="K234" s="199">
        <f t="shared" si="55"/>
        <v>65.334316271963218</v>
      </c>
      <c r="L234" s="629"/>
      <c r="M234" s="199" t="e">
        <f>RANK(K234, K$218:$K$247)</f>
        <v>#DIV/0!</v>
      </c>
    </row>
    <row r="235" spans="2:13">
      <c r="B235" s="572"/>
      <c r="C235" s="297">
        <v>18</v>
      </c>
      <c r="D235" s="297" t="s">
        <v>375</v>
      </c>
      <c r="E235" s="182">
        <v>18</v>
      </c>
      <c r="F235" s="297">
        <v>1440</v>
      </c>
      <c r="G235" s="300">
        <v>80</v>
      </c>
      <c r="H235" s="605"/>
      <c r="I235" s="199">
        <f t="shared" si="54"/>
        <v>17.285714285714285</v>
      </c>
      <c r="J235" s="199">
        <f t="shared" si="54"/>
        <v>1274.7406048677415</v>
      </c>
      <c r="K235" s="199">
        <f t="shared" si="55"/>
        <v>73.786467077669926</v>
      </c>
      <c r="L235" s="629"/>
      <c r="M235" s="199" t="e">
        <f>RANK(K235, K$218:$K$247)</f>
        <v>#DIV/0!</v>
      </c>
    </row>
    <row r="236" spans="2:13">
      <c r="B236" s="572"/>
      <c r="C236" s="297">
        <v>19</v>
      </c>
      <c r="D236" s="297" t="s">
        <v>467</v>
      </c>
      <c r="E236" s="182">
        <v>18</v>
      </c>
      <c r="F236" s="297">
        <v>1500</v>
      </c>
      <c r="G236" s="300">
        <v>83.333333333333329</v>
      </c>
      <c r="H236" s="605"/>
      <c r="I236" s="199" t="e">
        <f t="shared" si="54"/>
        <v>#DIV/0!</v>
      </c>
      <c r="J236" s="199" t="e">
        <f t="shared" si="54"/>
        <v>#DIV/0!</v>
      </c>
      <c r="K236" s="199" t="e">
        <f t="shared" si="55"/>
        <v>#DIV/0!</v>
      </c>
      <c r="L236" s="629"/>
      <c r="M236" s="199" t="e">
        <f>RANK(K236, K$218:$K$247)</f>
        <v>#DIV/0!</v>
      </c>
    </row>
    <row r="237" spans="2:13">
      <c r="B237" s="572"/>
      <c r="C237" s="297">
        <v>20</v>
      </c>
      <c r="D237" s="297" t="s">
        <v>382</v>
      </c>
      <c r="E237" s="182">
        <v>18</v>
      </c>
      <c r="F237" s="297">
        <v>1500</v>
      </c>
      <c r="G237" s="300">
        <v>83.333333333333329</v>
      </c>
      <c r="H237" s="605"/>
      <c r="I237" s="199">
        <f t="shared" si="54"/>
        <v>18</v>
      </c>
      <c r="J237" s="199">
        <f t="shared" si="54"/>
        <v>1264.3296422995379</v>
      </c>
      <c r="K237" s="199">
        <f t="shared" si="55"/>
        <v>70.24053568330767</v>
      </c>
      <c r="L237" s="629"/>
      <c r="M237" s="199" t="e">
        <f>RANK(K237, K$218:$K$247)</f>
        <v>#DIV/0!</v>
      </c>
    </row>
    <row r="238" spans="2:13">
      <c r="B238" s="572"/>
      <c r="C238" s="297">
        <v>21</v>
      </c>
      <c r="D238" s="297" t="s">
        <v>453</v>
      </c>
      <c r="E238" s="182">
        <v>17</v>
      </c>
      <c r="F238" s="297">
        <v>1440</v>
      </c>
      <c r="G238" s="300">
        <v>84.705882352941174</v>
      </c>
      <c r="H238" s="605"/>
      <c r="I238" s="199">
        <f t="shared" si="54"/>
        <v>17.04</v>
      </c>
      <c r="J238" s="199">
        <f t="shared" si="54"/>
        <v>1089.8668239123374</v>
      </c>
      <c r="K238" s="199">
        <f t="shared" si="55"/>
        <v>63.967889735272891</v>
      </c>
      <c r="L238" s="629"/>
      <c r="M238" s="199" t="e">
        <f>RANK(K238, K$218:$K$247)</f>
        <v>#DIV/0!</v>
      </c>
    </row>
    <row r="239" spans="2:13">
      <c r="B239" s="572"/>
      <c r="C239" s="297">
        <v>22</v>
      </c>
      <c r="D239" s="297" t="s">
        <v>498</v>
      </c>
      <c r="E239" s="182">
        <v>18</v>
      </c>
      <c r="F239" s="297">
        <v>1385</v>
      </c>
      <c r="G239" s="300">
        <v>76.944444444444443</v>
      </c>
      <c r="H239" s="605"/>
      <c r="I239" s="199">
        <f t="shared" si="54"/>
        <v>17</v>
      </c>
      <c r="J239" s="199">
        <f t="shared" si="54"/>
        <v>1172.2419199825904</v>
      </c>
      <c r="K239" s="199">
        <f t="shared" si="55"/>
        <v>68.95540705779942</v>
      </c>
      <c r="L239" s="629"/>
      <c r="M239" s="199" t="e">
        <f>RANK(K239, K$218:$K$247)</f>
        <v>#DIV/0!</v>
      </c>
    </row>
    <row r="240" spans="2:13">
      <c r="B240" s="572"/>
      <c r="C240" s="297">
        <v>23</v>
      </c>
      <c r="D240" s="297" t="s">
        <v>563</v>
      </c>
      <c r="E240" s="182">
        <v>17</v>
      </c>
      <c r="F240" s="297">
        <v>1440</v>
      </c>
      <c r="G240" s="300">
        <v>84.705882352941174</v>
      </c>
      <c r="H240" s="605"/>
      <c r="I240" s="199">
        <f t="shared" si="54"/>
        <v>17.925714285714285</v>
      </c>
      <c r="J240" s="199">
        <f t="shared" si="54"/>
        <v>1276.8831664275567</v>
      </c>
      <c r="K240" s="199">
        <f t="shared" si="55"/>
        <v>71.374248635600125</v>
      </c>
      <c r="L240" s="629"/>
      <c r="M240" s="199" t="e">
        <f>RANK(K240, K$218:$K$247)</f>
        <v>#DIV/0!</v>
      </c>
    </row>
    <row r="241" spans="2:13">
      <c r="B241" s="572"/>
      <c r="C241" s="297">
        <v>24</v>
      </c>
      <c r="D241" s="297" t="s">
        <v>589</v>
      </c>
      <c r="E241" s="182">
        <v>19</v>
      </c>
      <c r="F241" s="297">
        <v>1500</v>
      </c>
      <c r="G241" s="300">
        <v>78.94736842105263</v>
      </c>
      <c r="H241" s="605"/>
      <c r="I241" s="199">
        <f t="shared" si="54"/>
        <v>16.559999999999999</v>
      </c>
      <c r="J241" s="199">
        <f t="shared" si="54"/>
        <v>1274.0275839232713</v>
      </c>
      <c r="K241" s="199">
        <f t="shared" si="55"/>
        <v>77.11151404556999</v>
      </c>
      <c r="L241" s="629"/>
      <c r="M241" s="199" t="e">
        <f>RANK(K241, K$218:$K$247)</f>
        <v>#DIV/0!</v>
      </c>
    </row>
    <row r="242" spans="2:13">
      <c r="B242" s="572"/>
      <c r="C242" s="297">
        <v>25</v>
      </c>
      <c r="D242" s="297" t="s">
        <v>601</v>
      </c>
      <c r="E242" s="182">
        <v>17</v>
      </c>
      <c r="F242" s="297">
        <v>1500</v>
      </c>
      <c r="G242" s="300">
        <v>88.235294117647058</v>
      </c>
      <c r="H242" s="605"/>
      <c r="I242" s="388">
        <f t="shared" si="54"/>
        <v>16.8</v>
      </c>
      <c r="J242" s="388">
        <f t="shared" si="54"/>
        <v>1171.0365434168159</v>
      </c>
      <c r="K242" s="388">
        <f t="shared" si="55"/>
        <v>69.848674167683981</v>
      </c>
      <c r="L242" s="629"/>
      <c r="M242" s="199" t="e">
        <f>RANK(K242, K$218:$K$247)</f>
        <v>#DIV/0!</v>
      </c>
    </row>
    <row r="243" spans="2:13">
      <c r="B243" s="572"/>
      <c r="C243" s="297">
        <v>26</v>
      </c>
      <c r="D243" s="297" t="s">
        <v>602</v>
      </c>
      <c r="E243" s="182">
        <v>19</v>
      </c>
      <c r="F243" s="297">
        <v>1200</v>
      </c>
      <c r="G243" s="300">
        <v>63.157894736842103</v>
      </c>
      <c r="H243" s="605"/>
      <c r="I243" s="388">
        <f t="shared" ref="I243:J243" si="56">AVERAGEIF($D$7:$D$211,$D243,I$7:I$211)</f>
        <v>19.96</v>
      </c>
      <c r="J243" s="388">
        <f t="shared" si="56"/>
        <v>1100.7004516968195</v>
      </c>
      <c r="K243" s="388">
        <f t="shared" si="55"/>
        <v>55.15355805394853</v>
      </c>
      <c r="L243" s="629"/>
      <c r="M243" s="199" t="e">
        <f>RANK(K243, K$218:$K$247)</f>
        <v>#DIV/0!</v>
      </c>
    </row>
    <row r="244" spans="2:13">
      <c r="B244" s="572"/>
      <c r="C244" s="297">
        <v>27</v>
      </c>
      <c r="D244" s="297"/>
      <c r="E244" s="182"/>
      <c r="F244" s="297"/>
      <c r="G244" s="300"/>
      <c r="H244" s="605"/>
      <c r="I244" s="199"/>
      <c r="J244" s="199"/>
      <c r="K244" s="199"/>
      <c r="L244" s="629"/>
      <c r="M244" s="199" t="e">
        <f>RANK(K244, K$218:$K$247)</f>
        <v>#DIV/0!</v>
      </c>
    </row>
    <row r="245" spans="2:13">
      <c r="B245" s="572"/>
      <c r="C245" s="297">
        <v>28</v>
      </c>
      <c r="D245" s="297"/>
      <c r="E245" s="182"/>
      <c r="F245" s="297"/>
      <c r="G245" s="300"/>
      <c r="H245" s="605"/>
      <c r="I245" s="199"/>
      <c r="J245" s="199"/>
      <c r="K245" s="199"/>
      <c r="L245" s="629"/>
      <c r="M245" s="199" t="e">
        <f>RANK(K245, K$218:$K$247)</f>
        <v>#DIV/0!</v>
      </c>
    </row>
    <row r="246" spans="2:13">
      <c r="B246" s="572"/>
      <c r="C246" s="297">
        <v>29</v>
      </c>
      <c r="D246" s="297"/>
      <c r="E246" s="182"/>
      <c r="F246" s="297"/>
      <c r="G246" s="300"/>
      <c r="H246" s="605"/>
      <c r="I246" s="199"/>
      <c r="J246" s="199"/>
      <c r="K246" s="199"/>
      <c r="L246" s="629"/>
      <c r="M246" s="199" t="e">
        <f>RANK(K246, K$218:$K$247)</f>
        <v>#DIV/0!</v>
      </c>
    </row>
    <row r="247" spans="2:13">
      <c r="B247" s="572"/>
      <c r="C247" s="297">
        <v>30</v>
      </c>
      <c r="D247" s="297"/>
      <c r="E247" s="182"/>
      <c r="F247" s="297"/>
      <c r="G247" s="300"/>
      <c r="H247" s="605"/>
      <c r="I247" s="199"/>
      <c r="J247" s="199"/>
      <c r="K247" s="199"/>
      <c r="L247" s="629"/>
      <c r="M247" s="199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9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1" t="s">
        <v>329</v>
      </c>
      <c r="C1" s="220">
        <f>AVERAGE(L7,L27,L47,L67,L87,L107)</f>
        <v>68.391794846661682</v>
      </c>
    </row>
    <row r="2" spans="1:54" ht="15.75">
      <c r="A2" s="81"/>
      <c r="B2" s="576" t="s">
        <v>731</v>
      </c>
      <c r="C2" s="576"/>
      <c r="D2" s="576"/>
      <c r="E2" s="576"/>
      <c r="F2" s="576"/>
      <c r="G2" s="576"/>
      <c r="H2" s="576"/>
      <c r="I2" s="441"/>
      <c r="J2" s="441"/>
      <c r="K2" s="441"/>
      <c r="L2" s="441"/>
      <c r="M2" s="197"/>
      <c r="N2" s="565" t="s">
        <v>732</v>
      </c>
      <c r="O2" s="565" t="s">
        <v>733</v>
      </c>
      <c r="P2" s="617">
        <v>46386</v>
      </c>
      <c r="Q2" s="618"/>
      <c r="R2" s="618"/>
      <c r="S2" s="618"/>
      <c r="T2" s="619"/>
      <c r="U2" s="571">
        <f>P2+1</f>
        <v>46387</v>
      </c>
      <c r="V2" s="572"/>
      <c r="W2" s="572"/>
      <c r="X2" s="572"/>
      <c r="Y2" s="572"/>
      <c r="Z2" s="571">
        <f t="shared" ref="Z2" si="0">U2+1</f>
        <v>46388</v>
      </c>
      <c r="AA2" s="572"/>
      <c r="AB2" s="572"/>
      <c r="AC2" s="572"/>
      <c r="AD2" s="572"/>
      <c r="AE2" s="571">
        <f t="shared" ref="AE2" si="1">Z2+1</f>
        <v>46389</v>
      </c>
      <c r="AF2" s="572"/>
      <c r="AG2" s="572"/>
      <c r="AH2" s="572"/>
      <c r="AI2" s="572"/>
      <c r="AJ2" s="571">
        <f t="shared" ref="AJ2" si="2">AE2+1</f>
        <v>46390</v>
      </c>
      <c r="AK2" s="572"/>
      <c r="AL2" s="572"/>
      <c r="AM2" s="572"/>
      <c r="AN2" s="572"/>
      <c r="AO2" s="571">
        <f t="shared" ref="AO2" si="3">AJ2+1</f>
        <v>46391</v>
      </c>
      <c r="AP2" s="572"/>
      <c r="AQ2" s="572"/>
      <c r="AR2" s="572"/>
      <c r="AS2" s="572"/>
      <c r="AT2" s="571">
        <f t="shared" ref="AT2" si="4">AO2+1</f>
        <v>46392</v>
      </c>
      <c r="AU2" s="572"/>
      <c r="AV2" s="572"/>
      <c r="AW2" s="572"/>
      <c r="AX2" s="572"/>
    </row>
    <row r="3" spans="1:54" ht="15.75">
      <c r="A3" s="81"/>
      <c r="B3" s="597"/>
      <c r="C3" s="597"/>
      <c r="D3" s="597"/>
      <c r="E3" s="597"/>
      <c r="F3" s="597"/>
      <c r="G3" s="597"/>
      <c r="H3" s="597"/>
      <c r="I3" s="442"/>
      <c r="J3" s="442"/>
      <c r="K3" s="442"/>
      <c r="L3" s="442"/>
      <c r="M3" s="198"/>
      <c r="N3" s="567"/>
      <c r="O3" s="567"/>
      <c r="P3" s="568" t="s">
        <v>734</v>
      </c>
      <c r="Q3" s="569"/>
      <c r="R3" s="569"/>
      <c r="S3" s="569"/>
      <c r="T3" s="570"/>
      <c r="U3" s="568" t="s">
        <v>735</v>
      </c>
      <c r="V3" s="569"/>
      <c r="W3" s="569"/>
      <c r="X3" s="569"/>
      <c r="Y3" s="570"/>
      <c r="Z3" s="568" t="s">
        <v>736</v>
      </c>
      <c r="AA3" s="569"/>
      <c r="AB3" s="569"/>
      <c r="AC3" s="569"/>
      <c r="AD3" s="570"/>
      <c r="AE3" s="568" t="s">
        <v>737</v>
      </c>
      <c r="AF3" s="569"/>
      <c r="AG3" s="569"/>
      <c r="AH3" s="569"/>
      <c r="AI3" s="570"/>
      <c r="AJ3" s="568" t="s">
        <v>738</v>
      </c>
      <c r="AK3" s="569"/>
      <c r="AL3" s="569"/>
      <c r="AM3" s="569"/>
      <c r="AN3" s="570"/>
      <c r="AO3" s="568" t="s">
        <v>739</v>
      </c>
      <c r="AP3" s="569"/>
      <c r="AQ3" s="569"/>
      <c r="AR3" s="569"/>
      <c r="AS3" s="570"/>
      <c r="AT3" s="568" t="s">
        <v>740</v>
      </c>
      <c r="AU3" s="569"/>
      <c r="AV3" s="569"/>
      <c r="AW3" s="569"/>
      <c r="AX3" s="570"/>
    </row>
    <row r="4" spans="1:54">
      <c r="A4" s="81"/>
      <c r="B4" s="559" t="s">
        <v>741</v>
      </c>
      <c r="C4" s="559" t="s">
        <v>742</v>
      </c>
      <c r="D4" s="559"/>
      <c r="E4" s="559" t="s">
        <v>743</v>
      </c>
      <c r="F4" s="559"/>
      <c r="G4" s="559"/>
      <c r="H4" s="560" t="s">
        <v>744</v>
      </c>
      <c r="I4" s="543" t="s">
        <v>745</v>
      </c>
      <c r="J4" s="543"/>
      <c r="K4" s="543"/>
      <c r="L4" s="544" t="s">
        <v>744</v>
      </c>
      <c r="M4" s="550" t="s">
        <v>746</v>
      </c>
      <c r="N4" s="559"/>
      <c r="O4" s="559" t="s">
        <v>747</v>
      </c>
      <c r="P4" s="556" t="s">
        <v>748</v>
      </c>
      <c r="Q4" s="557"/>
      <c r="R4" s="557"/>
      <c r="S4" s="558"/>
      <c r="T4" s="559" t="s">
        <v>744</v>
      </c>
      <c r="U4" s="556" t="s">
        <v>748</v>
      </c>
      <c r="V4" s="557"/>
      <c r="W4" s="557"/>
      <c r="X4" s="558"/>
      <c r="Y4" s="559" t="s">
        <v>744</v>
      </c>
      <c r="Z4" s="556" t="s">
        <v>748</v>
      </c>
      <c r="AA4" s="557"/>
      <c r="AB4" s="557"/>
      <c r="AC4" s="558"/>
      <c r="AD4" s="559" t="s">
        <v>744</v>
      </c>
      <c r="AE4" s="556" t="s">
        <v>748</v>
      </c>
      <c r="AF4" s="557"/>
      <c r="AG4" s="557"/>
      <c r="AH4" s="558"/>
      <c r="AI4" s="559" t="s">
        <v>744</v>
      </c>
      <c r="AJ4" s="556" t="s">
        <v>748</v>
      </c>
      <c r="AK4" s="557"/>
      <c r="AL4" s="557"/>
      <c r="AM4" s="558"/>
      <c r="AN4" s="559" t="s">
        <v>744</v>
      </c>
      <c r="AO4" s="556" t="s">
        <v>748</v>
      </c>
      <c r="AP4" s="557"/>
      <c r="AQ4" s="557"/>
      <c r="AR4" s="558"/>
      <c r="AS4" s="559" t="s">
        <v>744</v>
      </c>
      <c r="AT4" s="556" t="s">
        <v>748</v>
      </c>
      <c r="AU4" s="557"/>
      <c r="AV4" s="557"/>
      <c r="AW4" s="558"/>
      <c r="AX4" s="559" t="s">
        <v>744</v>
      </c>
    </row>
    <row r="5" spans="1:54">
      <c r="A5" s="81"/>
      <c r="B5" s="559"/>
      <c r="C5" s="559"/>
      <c r="D5" s="559"/>
      <c r="E5" s="559" t="s">
        <v>749</v>
      </c>
      <c r="F5" s="559"/>
      <c r="G5" s="559"/>
      <c r="H5" s="561"/>
      <c r="I5" s="543" t="s">
        <v>749</v>
      </c>
      <c r="J5" s="543"/>
      <c r="K5" s="543"/>
      <c r="L5" s="545"/>
      <c r="M5" s="551"/>
      <c r="N5" s="559"/>
      <c r="O5" s="559"/>
      <c r="P5" s="556" t="s">
        <v>750</v>
      </c>
      <c r="Q5" s="557"/>
      <c r="R5" s="557"/>
      <c r="S5" s="558"/>
      <c r="T5" s="559"/>
      <c r="U5" s="556" t="s">
        <v>750</v>
      </c>
      <c r="V5" s="557"/>
      <c r="W5" s="557"/>
      <c r="X5" s="558"/>
      <c r="Y5" s="559"/>
      <c r="Z5" s="556" t="s">
        <v>750</v>
      </c>
      <c r="AA5" s="557"/>
      <c r="AB5" s="557"/>
      <c r="AC5" s="558"/>
      <c r="AD5" s="559"/>
      <c r="AE5" s="556" t="s">
        <v>750</v>
      </c>
      <c r="AF5" s="557"/>
      <c r="AG5" s="557"/>
      <c r="AH5" s="558"/>
      <c r="AI5" s="559"/>
      <c r="AJ5" s="556" t="s">
        <v>750</v>
      </c>
      <c r="AK5" s="557"/>
      <c r="AL5" s="557"/>
      <c r="AM5" s="558"/>
      <c r="AN5" s="559"/>
      <c r="AO5" s="556" t="s">
        <v>750</v>
      </c>
      <c r="AP5" s="557"/>
      <c r="AQ5" s="557"/>
      <c r="AR5" s="558"/>
      <c r="AS5" s="559"/>
      <c r="AT5" s="556" t="s">
        <v>750</v>
      </c>
      <c r="AU5" s="557"/>
      <c r="AV5" s="557"/>
      <c r="AW5" s="558"/>
      <c r="AX5" s="559"/>
    </row>
    <row r="6" spans="1:54">
      <c r="A6" s="79"/>
      <c r="B6" s="559"/>
      <c r="C6" s="559"/>
      <c r="D6" s="559"/>
      <c r="E6" s="440" t="s">
        <v>751</v>
      </c>
      <c r="F6" s="440" t="s">
        <v>752</v>
      </c>
      <c r="G6" s="440" t="s">
        <v>753</v>
      </c>
      <c r="H6" s="562"/>
      <c r="I6" s="444" t="s">
        <v>751</v>
      </c>
      <c r="J6" s="444" t="s">
        <v>752</v>
      </c>
      <c r="K6" s="444" t="s">
        <v>753</v>
      </c>
      <c r="L6" s="546"/>
      <c r="M6" s="552"/>
      <c r="N6" s="559"/>
      <c r="O6" s="559"/>
      <c r="P6" s="440" t="s">
        <v>751</v>
      </c>
      <c r="Q6" s="440" t="s">
        <v>752</v>
      </c>
      <c r="R6" s="440" t="s">
        <v>753</v>
      </c>
      <c r="S6" s="440" t="s">
        <v>746</v>
      </c>
      <c r="T6" s="559"/>
      <c r="U6" s="440" t="s">
        <v>751</v>
      </c>
      <c r="V6" s="440" t="s">
        <v>752</v>
      </c>
      <c r="W6" s="440" t="s">
        <v>753</v>
      </c>
      <c r="X6" s="440" t="s">
        <v>746</v>
      </c>
      <c r="Y6" s="559"/>
      <c r="Z6" s="440" t="s">
        <v>751</v>
      </c>
      <c r="AA6" s="440" t="s">
        <v>752</v>
      </c>
      <c r="AB6" s="440" t="s">
        <v>753</v>
      </c>
      <c r="AC6" s="440" t="s">
        <v>746</v>
      </c>
      <c r="AD6" s="559"/>
      <c r="AE6" s="440" t="s">
        <v>751</v>
      </c>
      <c r="AF6" s="440" t="s">
        <v>752</v>
      </c>
      <c r="AG6" s="440" t="s">
        <v>753</v>
      </c>
      <c r="AH6" s="440" t="s">
        <v>746</v>
      </c>
      <c r="AI6" s="559"/>
      <c r="AJ6" s="440" t="s">
        <v>751</v>
      </c>
      <c r="AK6" s="440" t="s">
        <v>752</v>
      </c>
      <c r="AL6" s="440" t="s">
        <v>753</v>
      </c>
      <c r="AM6" s="440" t="s">
        <v>746</v>
      </c>
      <c r="AN6" s="559"/>
      <c r="AO6" s="440" t="s">
        <v>751</v>
      </c>
      <c r="AP6" s="440" t="s">
        <v>752</v>
      </c>
      <c r="AQ6" s="440" t="s">
        <v>753</v>
      </c>
      <c r="AR6" s="440" t="s">
        <v>746</v>
      </c>
      <c r="AS6" s="559"/>
      <c r="AT6" s="440" t="s">
        <v>751</v>
      </c>
      <c r="AU6" s="440" t="s">
        <v>752</v>
      </c>
      <c r="AV6" s="440" t="s">
        <v>753</v>
      </c>
      <c r="AW6" s="440" t="s">
        <v>746</v>
      </c>
      <c r="AX6" s="559"/>
    </row>
    <row r="7" spans="1:54">
      <c r="A7" s="81"/>
      <c r="B7" s="559" t="s">
        <v>792</v>
      </c>
      <c r="C7" s="436">
        <v>1</v>
      </c>
      <c r="D7" s="226" t="s">
        <v>383</v>
      </c>
      <c r="E7" s="182">
        <v>18</v>
      </c>
      <c r="F7" s="436">
        <v>1440</v>
      </c>
      <c r="G7" s="437">
        <v>80</v>
      </c>
      <c r="H7" s="608">
        <f>AVERAGE(G7:G21)</f>
        <v>82.22727272727272</v>
      </c>
      <c r="I7" s="446">
        <f>AVERAGE(P7,U7,Z7,AE7,AJ7,AO7,AT7)</f>
        <v>18</v>
      </c>
      <c r="J7" s="446">
        <f>AVERAGE(Q7,V7,AA7,AF7,AK7,AP7,AU7)</f>
        <v>1275.1910375814123</v>
      </c>
      <c r="K7" s="438">
        <f>AVERAGE(R7,W7,AB7,AG7,AL7,AQ7,AV7)</f>
        <v>70.843946532300677</v>
      </c>
      <c r="L7" s="540">
        <f>IFERROR(AVERAGE(K7:K21),"-")</f>
        <v>70.148530946962708</v>
      </c>
      <c r="M7" s="445">
        <f>RANK(K7, K$7:$K$21)</f>
        <v>5</v>
      </c>
      <c r="N7" s="559"/>
      <c r="O7" s="559"/>
      <c r="P7" s="182"/>
      <c r="Q7" s="437"/>
      <c r="R7" s="437"/>
      <c r="S7" s="436" t="e">
        <f>RANK(R7, R$7:R$21)</f>
        <v>#N/A</v>
      </c>
      <c r="T7" s="608" t="e">
        <f>AVERAGE(R7:R21)</f>
        <v>#DIV/0!</v>
      </c>
      <c r="U7" s="182"/>
      <c r="V7" s="437"/>
      <c r="W7" s="437"/>
      <c r="X7" s="436" t="e">
        <f>RANK(W7, W$7:W$21)</f>
        <v>#N/A</v>
      </c>
      <c r="Y7" s="608" t="e">
        <f>AVERAGE(W7:W21)</f>
        <v>#DIV/0!</v>
      </c>
      <c r="Z7" s="182">
        <v>18</v>
      </c>
      <c r="AA7" s="437">
        <v>1287.5625000000007</v>
      </c>
      <c r="AB7" s="437">
        <v>71.531250000000043</v>
      </c>
      <c r="AC7" s="436">
        <f>RANK(AB7, AB$7:AB$21)</f>
        <v>5</v>
      </c>
      <c r="AD7" s="608">
        <f>AVERAGE(AB7:AB21)</f>
        <v>69.929366557557145</v>
      </c>
      <c r="AE7" s="182">
        <v>18</v>
      </c>
      <c r="AF7" s="437">
        <v>1246.304347826087</v>
      </c>
      <c r="AG7" s="437">
        <v>69.239130434782609</v>
      </c>
      <c r="AH7" s="436">
        <f>RANK(AG7, AG$7:AG$21)</f>
        <v>5</v>
      </c>
      <c r="AI7" s="608">
        <f>AVERAGE(AG7:AG21)</f>
        <v>67.752209594200082</v>
      </c>
      <c r="AJ7" s="182">
        <v>18</v>
      </c>
      <c r="AK7" s="437">
        <v>1289.4230769230776</v>
      </c>
      <c r="AL7" s="437">
        <v>71.634615384615415</v>
      </c>
      <c r="AM7" s="436">
        <f>RANK(AL7, AL$7:AL$21)</f>
        <v>4</v>
      </c>
      <c r="AN7" s="608">
        <f>AVERAGE(AL7:AL21)</f>
        <v>68.985859787313871</v>
      </c>
      <c r="AO7" s="182">
        <v>18</v>
      </c>
      <c r="AP7" s="437">
        <v>1258.1052631578953</v>
      </c>
      <c r="AQ7" s="437">
        <v>69.894736842105289</v>
      </c>
      <c r="AR7" s="436">
        <f>RANK(AQ7, AQ$7:AQ$21)</f>
        <v>7</v>
      </c>
      <c r="AS7" s="608">
        <f>AVERAGE(AQ7:AQ21)</f>
        <v>69.722575822854367</v>
      </c>
      <c r="AT7" s="182">
        <v>18</v>
      </c>
      <c r="AU7" s="437">
        <v>1294.5600000000004</v>
      </c>
      <c r="AV7" s="437">
        <v>71.920000000000016</v>
      </c>
      <c r="AW7" s="436">
        <f>RANK(AV7, AV$7:AV$21)</f>
        <v>5</v>
      </c>
      <c r="AX7" s="605">
        <f>AVERAGE(AV7:AV21)</f>
        <v>71.602172423098395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72"/>
      <c r="C8" s="436">
        <v>2</v>
      </c>
      <c r="D8" s="226" t="s">
        <v>384</v>
      </c>
      <c r="E8" s="182">
        <v>19</v>
      </c>
      <c r="F8" s="436">
        <v>1440</v>
      </c>
      <c r="G8" s="437">
        <v>75.8</v>
      </c>
      <c r="H8" s="609"/>
      <c r="I8" s="446">
        <f t="shared" ref="I8:K16" si="5">AVERAGE(P8,U8,Z8,AE8,AJ8,AO8,AT8)</f>
        <v>18</v>
      </c>
      <c r="J8" s="446">
        <f t="shared" si="5"/>
        <v>1219.9705823931331</v>
      </c>
      <c r="K8" s="438">
        <f t="shared" si="5"/>
        <v>67.776143466285177</v>
      </c>
      <c r="L8" s="541"/>
      <c r="M8" s="445">
        <f>RANK(K8, K$7:$K$21)</f>
        <v>6</v>
      </c>
      <c r="N8" s="559"/>
      <c r="O8" s="559"/>
      <c r="P8" s="436"/>
      <c r="Q8" s="437"/>
      <c r="R8" s="437"/>
      <c r="S8" s="436" t="e">
        <f t="shared" ref="S8:S21" si="6">RANK(R8, R$7:R$21)</f>
        <v>#N/A</v>
      </c>
      <c r="T8" s="609"/>
      <c r="U8" s="436"/>
      <c r="V8" s="437"/>
      <c r="W8" s="437"/>
      <c r="X8" s="436" t="e">
        <f t="shared" ref="X8:X21" si="7">RANK(W8, W$7:W$21)</f>
        <v>#N/A</v>
      </c>
      <c r="Y8" s="609"/>
      <c r="Z8" s="436">
        <v>18</v>
      </c>
      <c r="AA8" s="437">
        <v>1269.6774193548367</v>
      </c>
      <c r="AB8" s="437">
        <v>70.537634408602045</v>
      </c>
      <c r="AC8" s="436">
        <f t="shared" ref="AC8:AC21" si="8">RANK(AB8, AB$7:AB$21)</f>
        <v>6</v>
      </c>
      <c r="AD8" s="609"/>
      <c r="AE8" s="436">
        <v>18</v>
      </c>
      <c r="AF8" s="437">
        <v>1060.7142857142835</v>
      </c>
      <c r="AG8" s="437">
        <v>58.928571428571303</v>
      </c>
      <c r="AH8" s="436">
        <f t="shared" ref="AH8:AH21" si="9">RANK(AG8, AG$7:AG$21)</f>
        <v>11</v>
      </c>
      <c r="AI8" s="609"/>
      <c r="AJ8" s="436">
        <v>18</v>
      </c>
      <c r="AK8" s="437">
        <v>1247.5862068965494</v>
      </c>
      <c r="AL8" s="437">
        <v>69.310344827586079</v>
      </c>
      <c r="AM8" s="436">
        <f t="shared" ref="AM8:AM21" si="10">RANK(AL8, AL$7:AL$21)</f>
        <v>6</v>
      </c>
      <c r="AN8" s="609"/>
      <c r="AO8" s="436">
        <v>18</v>
      </c>
      <c r="AP8" s="437">
        <v>1259.9999999999982</v>
      </c>
      <c r="AQ8" s="437">
        <v>69.999999999999901</v>
      </c>
      <c r="AR8" s="436">
        <f t="shared" ref="AR8:AR21" si="11">RANK(AQ8, AQ$7:AQ$21)</f>
        <v>6</v>
      </c>
      <c r="AS8" s="609"/>
      <c r="AT8" s="436">
        <v>18</v>
      </c>
      <c r="AU8" s="437">
        <v>1261.8749999999982</v>
      </c>
      <c r="AV8" s="437">
        <v>70.104166666666572</v>
      </c>
      <c r="AW8" s="436">
        <f t="shared" ref="AW8:AW21" si="12">RANK(AV8, AV$7:AV$21)</f>
        <v>7</v>
      </c>
      <c r="AX8" s="605"/>
      <c r="AZ8" s="314" t="e">
        <f>RANK(AX8, $K$7:AX$21)</f>
        <v>#N/A</v>
      </c>
      <c r="BB8" s="311" t="e">
        <f t="shared" ref="BB8:BB21" si="13">RANK(BA8, BA$7:BA$21)</f>
        <v>#N/A</v>
      </c>
    </row>
    <row r="9" spans="1:54">
      <c r="A9" s="81"/>
      <c r="B9" s="572"/>
      <c r="C9" s="436">
        <v>3</v>
      </c>
      <c r="D9" s="226" t="s">
        <v>386</v>
      </c>
      <c r="E9" s="182">
        <v>17</v>
      </c>
      <c r="F9" s="436">
        <v>1636</v>
      </c>
      <c r="G9" s="437">
        <v>96.3</v>
      </c>
      <c r="H9" s="609"/>
      <c r="I9" s="446">
        <f t="shared" si="5"/>
        <v>17.2</v>
      </c>
      <c r="J9" s="446">
        <f t="shared" si="5"/>
        <v>1276.6178955144464</v>
      </c>
      <c r="K9" s="438">
        <f t="shared" si="5"/>
        <v>74.140419193157499</v>
      </c>
      <c r="L9" s="541"/>
      <c r="M9" s="445">
        <f>RANK(K9, K$7:$K$21)</f>
        <v>3</v>
      </c>
      <c r="N9" s="559"/>
      <c r="O9" s="559"/>
      <c r="P9" s="436"/>
      <c r="Q9" s="437"/>
      <c r="R9" s="437"/>
      <c r="S9" s="436" t="e">
        <f t="shared" si="6"/>
        <v>#N/A</v>
      </c>
      <c r="T9" s="609"/>
      <c r="U9" s="436"/>
      <c r="V9" s="437"/>
      <c r="W9" s="437"/>
      <c r="X9" s="436" t="e">
        <f t="shared" si="7"/>
        <v>#N/A</v>
      </c>
      <c r="Y9" s="609"/>
      <c r="Z9" s="436">
        <v>17</v>
      </c>
      <c r="AA9" s="437">
        <v>1221.4285714285686</v>
      </c>
      <c r="AB9" s="437">
        <v>71.848739495798156</v>
      </c>
      <c r="AC9" s="436">
        <f t="shared" si="8"/>
        <v>4</v>
      </c>
      <c r="AD9" s="609"/>
      <c r="AE9" s="436">
        <v>17</v>
      </c>
      <c r="AF9" s="437">
        <v>1249.0909090909136</v>
      </c>
      <c r="AG9" s="437">
        <v>73.475935828877269</v>
      </c>
      <c r="AH9" s="436">
        <f t="shared" si="9"/>
        <v>3</v>
      </c>
      <c r="AI9" s="609"/>
      <c r="AJ9" s="436">
        <v>17</v>
      </c>
      <c r="AK9" s="437">
        <v>1220.6896551724114</v>
      </c>
      <c r="AL9" s="437">
        <v>71.805273833671265</v>
      </c>
      <c r="AM9" s="436">
        <f t="shared" si="10"/>
        <v>3</v>
      </c>
      <c r="AN9" s="609"/>
      <c r="AO9" s="436">
        <v>17</v>
      </c>
      <c r="AP9" s="437">
        <v>1231.1111111111081</v>
      </c>
      <c r="AQ9" s="437">
        <v>72.418300653594599</v>
      </c>
      <c r="AR9" s="436">
        <f t="shared" si="11"/>
        <v>4</v>
      </c>
      <c r="AS9" s="609"/>
      <c r="AT9" s="436">
        <v>18</v>
      </c>
      <c r="AU9" s="437">
        <v>1460.7692307692316</v>
      </c>
      <c r="AV9" s="437">
        <v>81.153846153846203</v>
      </c>
      <c r="AW9" s="436">
        <f t="shared" si="12"/>
        <v>2</v>
      </c>
      <c r="AX9" s="605"/>
      <c r="AZ9" s="314" t="e">
        <f>RANK(AX9, $K$7:AX$21)</f>
        <v>#N/A</v>
      </c>
      <c r="BB9" s="311" t="e">
        <f t="shared" si="13"/>
        <v>#N/A</v>
      </c>
    </row>
    <row r="10" spans="1:54">
      <c r="A10" s="81"/>
      <c r="B10" s="572"/>
      <c r="C10" s="436">
        <v>4</v>
      </c>
      <c r="D10" s="226" t="s">
        <v>385</v>
      </c>
      <c r="E10" s="182">
        <v>17</v>
      </c>
      <c r="F10" s="436">
        <v>1440</v>
      </c>
      <c r="G10" s="437">
        <v>84.7</v>
      </c>
      <c r="H10" s="609"/>
      <c r="I10" s="446">
        <f t="shared" si="5"/>
        <v>17</v>
      </c>
      <c r="J10" s="446">
        <f t="shared" si="5"/>
        <v>1271.9071910645907</v>
      </c>
      <c r="K10" s="438">
        <f t="shared" si="5"/>
        <v>74.818070062622979</v>
      </c>
      <c r="L10" s="541"/>
      <c r="M10" s="445">
        <f>RANK(K10, K$7:$K$21)</f>
        <v>2</v>
      </c>
      <c r="N10" s="559"/>
      <c r="O10" s="559"/>
      <c r="P10" s="436"/>
      <c r="Q10" s="437"/>
      <c r="R10" s="437"/>
      <c r="S10" s="436" t="e">
        <f t="shared" si="6"/>
        <v>#N/A</v>
      </c>
      <c r="T10" s="609"/>
      <c r="U10" s="436"/>
      <c r="V10" s="437"/>
      <c r="W10" s="437"/>
      <c r="X10" s="436" t="e">
        <f t="shared" si="7"/>
        <v>#N/A</v>
      </c>
      <c r="Y10" s="609"/>
      <c r="Z10" s="436">
        <v>17</v>
      </c>
      <c r="AA10" s="437">
        <v>1281.272727272727</v>
      </c>
      <c r="AB10" s="437">
        <v>75.368983957219243</v>
      </c>
      <c r="AC10" s="436">
        <f t="shared" si="8"/>
        <v>2</v>
      </c>
      <c r="AD10" s="609"/>
      <c r="AE10" s="436">
        <v>17</v>
      </c>
      <c r="AF10" s="437">
        <v>1266.0550458715595</v>
      </c>
      <c r="AG10" s="437">
        <v>74.473826227738797</v>
      </c>
      <c r="AH10" s="436">
        <f t="shared" si="9"/>
        <v>2</v>
      </c>
      <c r="AI10" s="609"/>
      <c r="AJ10" s="436">
        <v>17</v>
      </c>
      <c r="AK10" s="437">
        <v>1275.1181102362202</v>
      </c>
      <c r="AL10" s="437">
        <v>75.006947660954125</v>
      </c>
      <c r="AM10" s="436">
        <f t="shared" si="10"/>
        <v>2</v>
      </c>
      <c r="AN10" s="609"/>
      <c r="AO10" s="436">
        <v>17</v>
      </c>
      <c r="AP10" s="437">
        <v>1257.4100719424459</v>
      </c>
      <c r="AQ10" s="437">
        <v>73.965298349555638</v>
      </c>
      <c r="AR10" s="436">
        <f t="shared" si="11"/>
        <v>2</v>
      </c>
      <c r="AS10" s="609"/>
      <c r="AT10" s="436">
        <v>17</v>
      </c>
      <c r="AU10" s="437">
        <v>1279.68</v>
      </c>
      <c r="AV10" s="437">
        <v>75.275294117647064</v>
      </c>
      <c r="AW10" s="436">
        <f t="shared" si="12"/>
        <v>3</v>
      </c>
      <c r="AX10" s="605"/>
      <c r="AZ10" s="314" t="e">
        <f>RANK(AX10, $K$7:AX$21)</f>
        <v>#N/A</v>
      </c>
      <c r="BB10" s="311" t="e">
        <f t="shared" si="13"/>
        <v>#N/A</v>
      </c>
    </row>
    <row r="11" spans="1:54">
      <c r="A11" s="81"/>
      <c r="B11" s="572"/>
      <c r="C11" s="436">
        <v>5</v>
      </c>
      <c r="D11" s="226" t="s">
        <v>387</v>
      </c>
      <c r="E11" s="182">
        <v>17</v>
      </c>
      <c r="F11" s="436">
        <v>1440</v>
      </c>
      <c r="G11" s="437">
        <v>84.7</v>
      </c>
      <c r="H11" s="609"/>
      <c r="I11" s="446">
        <f t="shared" si="5"/>
        <v>18</v>
      </c>
      <c r="J11" s="446">
        <f t="shared" si="5"/>
        <v>1193.4710789766391</v>
      </c>
      <c r="K11" s="438">
        <f t="shared" si="5"/>
        <v>66.303948832035502</v>
      </c>
      <c r="L11" s="541"/>
      <c r="M11" s="445">
        <f>RANK(K11, K$7:$K$21)</f>
        <v>8</v>
      </c>
      <c r="N11" s="559"/>
      <c r="O11" s="559"/>
      <c r="P11" s="436"/>
      <c r="Q11" s="437"/>
      <c r="R11" s="437"/>
      <c r="S11" s="436" t="e">
        <f t="shared" si="6"/>
        <v>#N/A</v>
      </c>
      <c r="T11" s="609"/>
      <c r="U11" s="436"/>
      <c r="V11" s="437"/>
      <c r="W11" s="437"/>
      <c r="X11" s="436" t="e">
        <f t="shared" si="7"/>
        <v>#N/A</v>
      </c>
      <c r="Y11" s="609"/>
      <c r="Z11" s="436">
        <v>18</v>
      </c>
      <c r="AA11" s="437">
        <v>1264.1379310344803</v>
      </c>
      <c r="AB11" s="437">
        <v>70.229885057471122</v>
      </c>
      <c r="AC11" s="436">
        <f t="shared" si="8"/>
        <v>7</v>
      </c>
      <c r="AD11" s="609"/>
      <c r="AE11" s="436">
        <v>18</v>
      </c>
      <c r="AF11" s="437">
        <v>1077.4999999999968</v>
      </c>
      <c r="AG11" s="437">
        <v>59.861111111110937</v>
      </c>
      <c r="AH11" s="436">
        <f t="shared" si="9"/>
        <v>10</v>
      </c>
      <c r="AI11" s="609"/>
      <c r="AJ11" s="436">
        <v>18</v>
      </c>
      <c r="AK11" s="437">
        <v>1047.0967741935467</v>
      </c>
      <c r="AL11" s="437">
        <v>58.172043010752596</v>
      </c>
      <c r="AM11" s="436">
        <f t="shared" si="10"/>
        <v>11</v>
      </c>
      <c r="AN11" s="609"/>
      <c r="AO11" s="436">
        <v>18</v>
      </c>
      <c r="AP11" s="437">
        <v>1278.6206896551698</v>
      </c>
      <c r="AQ11" s="437">
        <v>71.034482758620541</v>
      </c>
      <c r="AR11" s="436">
        <f t="shared" si="11"/>
        <v>5</v>
      </c>
      <c r="AS11" s="609"/>
      <c r="AT11" s="436">
        <v>18</v>
      </c>
      <c r="AU11" s="437">
        <v>1300.0000000000011</v>
      </c>
      <c r="AV11" s="437">
        <v>72.222222222222285</v>
      </c>
      <c r="AW11" s="436">
        <f t="shared" si="12"/>
        <v>4</v>
      </c>
      <c r="AX11" s="605"/>
      <c r="AZ11" s="314" t="e">
        <f>RANK(AX11, $K$7:AX$21)</f>
        <v>#N/A</v>
      </c>
      <c r="BB11" s="311" t="e">
        <f t="shared" si="13"/>
        <v>#N/A</v>
      </c>
    </row>
    <row r="12" spans="1:54">
      <c r="A12" s="81"/>
      <c r="B12" s="572"/>
      <c r="C12" s="436">
        <v>6</v>
      </c>
      <c r="D12" s="226" t="s">
        <v>388</v>
      </c>
      <c r="E12" s="182">
        <v>19</v>
      </c>
      <c r="F12" s="436">
        <v>1385</v>
      </c>
      <c r="G12" s="437">
        <v>72.900000000000006</v>
      </c>
      <c r="H12" s="609"/>
      <c r="I12" s="446">
        <f t="shared" si="5"/>
        <v>19</v>
      </c>
      <c r="J12" s="446">
        <f t="shared" si="5"/>
        <v>1221.1541618021195</v>
      </c>
      <c r="K12" s="438">
        <f t="shared" si="5"/>
        <v>64.271271673795766</v>
      </c>
      <c r="L12" s="541"/>
      <c r="M12" s="445">
        <f>RANK(K12, K$7:$K$21)</f>
        <v>9</v>
      </c>
      <c r="N12" s="559"/>
      <c r="O12" s="559"/>
      <c r="P12" s="436"/>
      <c r="Q12" s="437"/>
      <c r="R12" s="437"/>
      <c r="S12" s="436" t="e">
        <f t="shared" si="6"/>
        <v>#N/A</v>
      </c>
      <c r="T12" s="609"/>
      <c r="U12" s="436"/>
      <c r="V12" s="437"/>
      <c r="W12" s="437"/>
      <c r="X12" s="436" t="e">
        <f t="shared" si="7"/>
        <v>#N/A</v>
      </c>
      <c r="Y12" s="609"/>
      <c r="Z12" s="436">
        <v>19</v>
      </c>
      <c r="AA12" s="437">
        <v>1212.2891566265057</v>
      </c>
      <c r="AB12" s="437">
        <v>63.804692454026615</v>
      </c>
      <c r="AC12" s="436">
        <f t="shared" si="8"/>
        <v>10</v>
      </c>
      <c r="AD12" s="609"/>
      <c r="AE12" s="436">
        <v>19</v>
      </c>
      <c r="AF12" s="437">
        <v>1220.2702702702693</v>
      </c>
      <c r="AG12" s="437">
        <v>64.224751066856285</v>
      </c>
      <c r="AH12" s="436">
        <f t="shared" si="9"/>
        <v>8</v>
      </c>
      <c r="AI12" s="609"/>
      <c r="AJ12" s="436">
        <v>19</v>
      </c>
      <c r="AK12" s="437">
        <v>1254.8780487804875</v>
      </c>
      <c r="AL12" s="437">
        <v>66.046213093709866</v>
      </c>
      <c r="AM12" s="436">
        <f t="shared" si="10"/>
        <v>8</v>
      </c>
      <c r="AN12" s="609"/>
      <c r="AO12" s="436">
        <v>19</v>
      </c>
      <c r="AP12" s="437">
        <v>1218.3333333333342</v>
      </c>
      <c r="AQ12" s="437">
        <v>64.122807017543906</v>
      </c>
      <c r="AR12" s="436">
        <f t="shared" si="11"/>
        <v>10</v>
      </c>
      <c r="AS12" s="609"/>
      <c r="AT12" s="436">
        <v>19</v>
      </c>
      <c r="AU12" s="437">
        <v>1200.0000000000005</v>
      </c>
      <c r="AV12" s="437">
        <v>63.157894736842131</v>
      </c>
      <c r="AW12" s="436">
        <f t="shared" si="12"/>
        <v>10</v>
      </c>
      <c r="AX12" s="605"/>
      <c r="AZ12" s="314" t="e">
        <f>RANK(AX12, $K$7:AX$21)</f>
        <v>#N/A</v>
      </c>
      <c r="BB12" s="311" t="e">
        <f t="shared" si="13"/>
        <v>#N/A</v>
      </c>
    </row>
    <row r="13" spans="1:54">
      <c r="A13" s="81"/>
      <c r="B13" s="572"/>
      <c r="C13" s="436">
        <v>7</v>
      </c>
      <c r="D13" s="226" t="s">
        <v>389</v>
      </c>
      <c r="E13" s="182">
        <v>19</v>
      </c>
      <c r="F13" s="436">
        <v>1440</v>
      </c>
      <c r="G13" s="437">
        <v>75.8</v>
      </c>
      <c r="H13" s="609"/>
      <c r="I13" s="446">
        <f t="shared" si="5"/>
        <v>19</v>
      </c>
      <c r="J13" s="446">
        <f t="shared" si="5"/>
        <v>1273.1560582120119</v>
      </c>
      <c r="K13" s="438">
        <f t="shared" si="5"/>
        <v>67.008213590105896</v>
      </c>
      <c r="L13" s="541"/>
      <c r="M13" s="445">
        <f>RANK(K13, K$7:$K$21)</f>
        <v>7</v>
      </c>
      <c r="N13" s="559"/>
      <c r="O13" s="559"/>
      <c r="P13" s="436"/>
      <c r="Q13" s="437"/>
      <c r="R13" s="437"/>
      <c r="S13" s="436" t="e">
        <f t="shared" si="6"/>
        <v>#N/A</v>
      </c>
      <c r="T13" s="609"/>
      <c r="U13" s="436"/>
      <c r="V13" s="437"/>
      <c r="W13" s="437"/>
      <c r="X13" s="436" t="e">
        <f t="shared" si="7"/>
        <v>#N/A</v>
      </c>
      <c r="Y13" s="609"/>
      <c r="Z13" s="436">
        <v>19</v>
      </c>
      <c r="AA13" s="437">
        <v>1269.5238095238108</v>
      </c>
      <c r="AB13" s="437">
        <v>66.817042606516353</v>
      </c>
      <c r="AC13" s="436">
        <f t="shared" si="8"/>
        <v>8</v>
      </c>
      <c r="AD13" s="609"/>
      <c r="AE13" s="436">
        <v>19</v>
      </c>
      <c r="AF13" s="437">
        <v>1244.1509433962269</v>
      </c>
      <c r="AG13" s="437">
        <v>65.481628599801411</v>
      </c>
      <c r="AH13" s="436">
        <f t="shared" si="9"/>
        <v>6</v>
      </c>
      <c r="AI13" s="609"/>
      <c r="AJ13" s="436">
        <v>19</v>
      </c>
      <c r="AK13" s="437">
        <v>1278.6206896551735</v>
      </c>
      <c r="AL13" s="437">
        <v>67.295825771324914</v>
      </c>
      <c r="AM13" s="436">
        <f t="shared" si="10"/>
        <v>7</v>
      </c>
      <c r="AN13" s="609"/>
      <c r="AO13" s="436">
        <v>19</v>
      </c>
      <c r="AP13" s="437">
        <v>1271.6666666666656</v>
      </c>
      <c r="AQ13" s="437">
        <v>66.92982456140345</v>
      </c>
      <c r="AR13" s="436">
        <f t="shared" si="11"/>
        <v>8</v>
      </c>
      <c r="AS13" s="609"/>
      <c r="AT13" s="436">
        <v>19</v>
      </c>
      <c r="AU13" s="437">
        <v>1301.8181818181831</v>
      </c>
      <c r="AV13" s="437">
        <v>68.516746411483325</v>
      </c>
      <c r="AW13" s="436">
        <f t="shared" si="12"/>
        <v>8</v>
      </c>
      <c r="AX13" s="605"/>
      <c r="AZ13" s="314" t="e">
        <f>RANK(AX13, $K$7:AX$21)</f>
        <v>#N/A</v>
      </c>
      <c r="BB13" s="311" t="e">
        <f t="shared" si="13"/>
        <v>#N/A</v>
      </c>
    </row>
    <row r="14" spans="1:54">
      <c r="A14" s="81"/>
      <c r="B14" s="572"/>
      <c r="C14" s="436">
        <v>8</v>
      </c>
      <c r="D14" s="226" t="s">
        <v>489</v>
      </c>
      <c r="E14" s="182">
        <v>17</v>
      </c>
      <c r="F14" s="436">
        <v>1385</v>
      </c>
      <c r="G14" s="437">
        <v>81.400000000000006</v>
      </c>
      <c r="H14" s="609"/>
      <c r="I14" s="446">
        <f t="shared" si="5"/>
        <v>17</v>
      </c>
      <c r="J14" s="446">
        <f t="shared" si="5"/>
        <v>1222.1636720871247</v>
      </c>
      <c r="K14" s="438">
        <f t="shared" si="5"/>
        <v>71.891980711007335</v>
      </c>
      <c r="L14" s="541"/>
      <c r="M14" s="445">
        <f>RANK(K14, K$7:$K$21)</f>
        <v>4</v>
      </c>
      <c r="N14" s="559"/>
      <c r="O14" s="559"/>
      <c r="P14" s="436"/>
      <c r="Q14" s="437"/>
      <c r="R14" s="437"/>
      <c r="S14" s="436" t="e">
        <f t="shared" si="6"/>
        <v>#N/A</v>
      </c>
      <c r="T14" s="609"/>
      <c r="U14" s="436"/>
      <c r="V14" s="437"/>
      <c r="W14" s="437"/>
      <c r="X14" s="436" t="e">
        <f t="shared" si="7"/>
        <v>#N/A</v>
      </c>
      <c r="Y14" s="609"/>
      <c r="Z14" s="436">
        <v>17</v>
      </c>
      <c r="AA14" s="437">
        <v>1231.8181818181831</v>
      </c>
      <c r="AB14" s="437">
        <v>72.459893048128421</v>
      </c>
      <c r="AC14" s="436">
        <f t="shared" si="8"/>
        <v>3</v>
      </c>
      <c r="AD14" s="609"/>
      <c r="AE14" s="436">
        <v>17</v>
      </c>
      <c r="AF14" s="437">
        <v>1220.3389830508486</v>
      </c>
      <c r="AG14" s="437">
        <v>71.784646061814627</v>
      </c>
      <c r="AH14" s="436">
        <f t="shared" si="9"/>
        <v>4</v>
      </c>
      <c r="AI14" s="609"/>
      <c r="AJ14" s="436">
        <v>17</v>
      </c>
      <c r="AK14" s="437">
        <v>1199.0909090909104</v>
      </c>
      <c r="AL14" s="437">
        <v>70.534759358288852</v>
      </c>
      <c r="AM14" s="436">
        <f t="shared" si="10"/>
        <v>5</v>
      </c>
      <c r="AN14" s="609"/>
      <c r="AO14" s="436">
        <v>17</v>
      </c>
      <c r="AP14" s="437">
        <v>1250.8860759493664</v>
      </c>
      <c r="AQ14" s="437">
        <v>73.58153387937449</v>
      </c>
      <c r="AR14" s="436">
        <f t="shared" si="11"/>
        <v>3</v>
      </c>
      <c r="AS14" s="609"/>
      <c r="AT14" s="436">
        <v>17</v>
      </c>
      <c r="AU14" s="437">
        <v>1208.6842105263149</v>
      </c>
      <c r="AV14" s="437">
        <v>71.099071207430285</v>
      </c>
      <c r="AW14" s="436">
        <f t="shared" si="12"/>
        <v>6</v>
      </c>
      <c r="AX14" s="605"/>
      <c r="AZ14" s="314" t="e">
        <f>RANK(AX14, $K$7:AX$21)</f>
        <v>#N/A</v>
      </c>
      <c r="BB14" s="311" t="e">
        <f t="shared" si="13"/>
        <v>#N/A</v>
      </c>
    </row>
    <row r="15" spans="1:54">
      <c r="A15" s="81"/>
      <c r="B15" s="572"/>
      <c r="C15" s="436">
        <v>9</v>
      </c>
      <c r="D15" s="226" t="s">
        <v>492</v>
      </c>
      <c r="E15" s="182">
        <v>19</v>
      </c>
      <c r="F15" s="436">
        <v>1385</v>
      </c>
      <c r="G15" s="437">
        <v>72.900000000000006</v>
      </c>
      <c r="H15" s="609"/>
      <c r="I15" s="446">
        <f t="shared" si="5"/>
        <v>19.2</v>
      </c>
      <c r="J15" s="446">
        <f t="shared" si="5"/>
        <v>1214.6841160644472</v>
      </c>
      <c r="K15" s="438">
        <f t="shared" si="5"/>
        <v>63.285300075278982</v>
      </c>
      <c r="L15" s="541"/>
      <c r="M15" s="445">
        <f>RANK(K15, K$7:$K$21)</f>
        <v>10</v>
      </c>
      <c r="N15" s="559"/>
      <c r="O15" s="559"/>
      <c r="P15" s="436"/>
      <c r="Q15" s="437"/>
      <c r="R15" s="437"/>
      <c r="S15" s="436" t="e">
        <f t="shared" si="6"/>
        <v>#N/A</v>
      </c>
      <c r="T15" s="609"/>
      <c r="U15" s="436"/>
      <c r="V15" s="437"/>
      <c r="W15" s="437"/>
      <c r="X15" s="436" t="e">
        <f t="shared" si="7"/>
        <v>#N/A</v>
      </c>
      <c r="Y15" s="609"/>
      <c r="Z15" s="436">
        <v>19</v>
      </c>
      <c r="AA15" s="437">
        <v>1213.4999999999995</v>
      </c>
      <c r="AB15" s="437">
        <v>63.868421052631554</v>
      </c>
      <c r="AC15" s="436">
        <f t="shared" si="8"/>
        <v>9</v>
      </c>
      <c r="AD15" s="609"/>
      <c r="AE15" s="436">
        <v>19</v>
      </c>
      <c r="AF15" s="437">
        <v>1190.6249999999984</v>
      </c>
      <c r="AG15" s="437">
        <v>62.664473684210442</v>
      </c>
      <c r="AH15" s="436">
        <f t="shared" si="9"/>
        <v>9</v>
      </c>
      <c r="AI15" s="609"/>
      <c r="AJ15" s="436">
        <v>19</v>
      </c>
      <c r="AK15" s="437">
        <v>1217.8378378378368</v>
      </c>
      <c r="AL15" s="437">
        <v>64.096728307254565</v>
      </c>
      <c r="AM15" s="436">
        <f t="shared" si="10"/>
        <v>9</v>
      </c>
      <c r="AN15" s="609"/>
      <c r="AO15" s="436">
        <v>19</v>
      </c>
      <c r="AP15" s="437">
        <v>1225.1162790697672</v>
      </c>
      <c r="AQ15" s="437">
        <v>64.47980416156669</v>
      </c>
      <c r="AR15" s="436">
        <f t="shared" si="11"/>
        <v>9</v>
      </c>
      <c r="AS15" s="609"/>
      <c r="AT15" s="436">
        <v>20</v>
      </c>
      <c r="AU15" s="437">
        <v>1226.3414634146336</v>
      </c>
      <c r="AV15" s="437">
        <v>61.317073170731682</v>
      </c>
      <c r="AW15" s="436">
        <f t="shared" si="12"/>
        <v>11</v>
      </c>
      <c r="AX15" s="605"/>
      <c r="AZ15" s="314" t="e">
        <f>RANK(AX15, $K$7:AX$21)</f>
        <v>#N/A</v>
      </c>
      <c r="BB15" s="311" t="e">
        <f t="shared" si="13"/>
        <v>#N/A</v>
      </c>
    </row>
    <row r="16" spans="1:54">
      <c r="A16" s="81"/>
      <c r="B16" s="572"/>
      <c r="C16" s="436">
        <v>10</v>
      </c>
      <c r="D16" s="226" t="s">
        <v>564</v>
      </c>
      <c r="E16" s="182">
        <v>16</v>
      </c>
      <c r="F16" s="436">
        <v>1440</v>
      </c>
      <c r="G16" s="437">
        <v>90</v>
      </c>
      <c r="H16" s="609"/>
      <c r="I16" s="446">
        <f t="shared" si="5"/>
        <v>15.8</v>
      </c>
      <c r="J16" s="446">
        <f t="shared" si="5"/>
        <v>1281.077228935153</v>
      </c>
      <c r="K16" s="438">
        <f t="shared" si="5"/>
        <v>81.146015333037226</v>
      </c>
      <c r="L16" s="541"/>
      <c r="M16" s="445">
        <f>RANK(K16, K$7:$K$21)</f>
        <v>1</v>
      </c>
      <c r="N16" s="559"/>
      <c r="O16" s="559"/>
      <c r="P16" s="436"/>
      <c r="Q16" s="437"/>
      <c r="R16" s="437"/>
      <c r="S16" s="436" t="e">
        <f t="shared" si="6"/>
        <v>#N/A</v>
      </c>
      <c r="T16" s="609"/>
      <c r="U16" s="436"/>
      <c r="V16" s="437"/>
      <c r="W16" s="437"/>
      <c r="X16" s="436" t="e">
        <f t="shared" si="7"/>
        <v>#N/A</v>
      </c>
      <c r="Y16" s="609"/>
      <c r="Z16" s="436">
        <v>16</v>
      </c>
      <c r="AA16" s="437">
        <v>1270.0884955752203</v>
      </c>
      <c r="AB16" s="437">
        <v>79.380530973451272</v>
      </c>
      <c r="AC16" s="436">
        <f t="shared" si="8"/>
        <v>1</v>
      </c>
      <c r="AD16" s="609"/>
      <c r="AE16" s="436">
        <v>16</v>
      </c>
      <c r="AF16" s="437">
        <v>1290.7142857142853</v>
      </c>
      <c r="AG16" s="437">
        <v>80.669642857142833</v>
      </c>
      <c r="AH16" s="436">
        <f t="shared" si="9"/>
        <v>1</v>
      </c>
      <c r="AI16" s="609"/>
      <c r="AJ16" s="436">
        <v>16</v>
      </c>
      <c r="AK16" s="437">
        <v>1299.4594594594585</v>
      </c>
      <c r="AL16" s="437">
        <v>81.216216216216154</v>
      </c>
      <c r="AM16" s="436">
        <f t="shared" si="10"/>
        <v>1</v>
      </c>
      <c r="AN16" s="609"/>
      <c r="AO16" s="436">
        <v>16</v>
      </c>
      <c r="AP16" s="437">
        <v>1250.6976744186045</v>
      </c>
      <c r="AQ16" s="437">
        <v>78.168604651162781</v>
      </c>
      <c r="AR16" s="436">
        <f t="shared" si="11"/>
        <v>1</v>
      </c>
      <c r="AS16" s="609"/>
      <c r="AT16" s="436">
        <v>15</v>
      </c>
      <c r="AU16" s="437">
        <v>1294.4262295081962</v>
      </c>
      <c r="AV16" s="437">
        <v>86.295081967213079</v>
      </c>
      <c r="AW16" s="436">
        <f t="shared" si="12"/>
        <v>1</v>
      </c>
      <c r="AX16" s="605"/>
      <c r="AZ16" s="314" t="e">
        <f>RANK(AX16, $K$7:AX$21)</f>
        <v>#N/A</v>
      </c>
      <c r="BB16" s="311" t="e">
        <f t="shared" si="13"/>
        <v>#N/A</v>
      </c>
    </row>
    <row r="17" spans="2:54">
      <c r="B17" s="572"/>
      <c r="C17" s="436">
        <v>11</v>
      </c>
      <c r="D17" s="226" t="s">
        <v>605</v>
      </c>
      <c r="E17" s="182">
        <v>16</v>
      </c>
      <c r="F17" s="436">
        <v>1440</v>
      </c>
      <c r="G17" s="437">
        <v>90</v>
      </c>
      <c r="H17" s="609"/>
      <c r="I17" s="202"/>
      <c r="J17" s="202"/>
      <c r="K17" s="202"/>
      <c r="L17" s="541"/>
      <c r="M17" s="445" t="e">
        <f>RANK(K17, K$7:$K$21)</f>
        <v>#N/A</v>
      </c>
      <c r="N17" s="559"/>
      <c r="O17" s="559"/>
      <c r="P17" s="436"/>
      <c r="Q17" s="437"/>
      <c r="R17" s="437"/>
      <c r="S17" s="436" t="e">
        <f t="shared" si="6"/>
        <v>#N/A</v>
      </c>
      <c r="T17" s="609"/>
      <c r="U17" s="436"/>
      <c r="V17" s="437"/>
      <c r="W17" s="437"/>
      <c r="X17" s="436" t="e">
        <f t="shared" si="7"/>
        <v>#N/A</v>
      </c>
      <c r="Y17" s="609"/>
      <c r="Z17" s="436">
        <v>17</v>
      </c>
      <c r="AA17" s="437">
        <v>1077.3913043478224</v>
      </c>
      <c r="AB17" s="437">
        <v>63.375959079283668</v>
      </c>
      <c r="AC17" s="436">
        <f t="shared" si="8"/>
        <v>11</v>
      </c>
      <c r="AD17" s="609"/>
      <c r="AE17" s="436">
        <v>17</v>
      </c>
      <c r="AF17" s="437">
        <v>1096.0000000000041</v>
      </c>
      <c r="AG17" s="437">
        <v>64.470588235294358</v>
      </c>
      <c r="AH17" s="436">
        <f t="shared" si="9"/>
        <v>7</v>
      </c>
      <c r="AI17" s="609"/>
      <c r="AJ17" s="436">
        <v>17</v>
      </c>
      <c r="AK17" s="437">
        <v>1083.3333333333374</v>
      </c>
      <c r="AL17" s="437">
        <v>63.725490196078667</v>
      </c>
      <c r="AM17" s="436">
        <f t="shared" si="10"/>
        <v>10</v>
      </c>
      <c r="AN17" s="609"/>
      <c r="AO17" s="436">
        <v>17</v>
      </c>
      <c r="AP17" s="437">
        <v>1060.0000000000036</v>
      </c>
      <c r="AQ17" s="437">
        <v>62.3529411764708</v>
      </c>
      <c r="AR17" s="436">
        <f t="shared" si="11"/>
        <v>11</v>
      </c>
      <c r="AS17" s="609"/>
      <c r="AT17" s="436">
        <v>16</v>
      </c>
      <c r="AU17" s="437">
        <v>1064.9999999999966</v>
      </c>
      <c r="AV17" s="437">
        <v>66.562499999999787</v>
      </c>
      <c r="AW17" s="436">
        <f t="shared" si="12"/>
        <v>9</v>
      </c>
      <c r="AX17" s="605"/>
      <c r="AZ17" s="314" t="e">
        <f>RANK(AX17, $K$7:AX$21)</f>
        <v>#N/A</v>
      </c>
      <c r="BB17" s="311" t="e">
        <f t="shared" si="13"/>
        <v>#N/A</v>
      </c>
    </row>
    <row r="18" spans="2:54">
      <c r="B18" s="572"/>
      <c r="C18" s="436">
        <v>12</v>
      </c>
      <c r="D18" s="226"/>
      <c r="E18" s="182"/>
      <c r="F18" s="436"/>
      <c r="G18" s="437"/>
      <c r="H18" s="609"/>
      <c r="I18" s="202"/>
      <c r="J18" s="202"/>
      <c r="K18" s="202"/>
      <c r="L18" s="541"/>
      <c r="M18" s="445" t="e">
        <f>RANK(K18, K$7:$K$21)</f>
        <v>#N/A</v>
      </c>
      <c r="N18" s="559"/>
      <c r="O18" s="559"/>
      <c r="P18" s="436"/>
      <c r="Q18" s="437"/>
      <c r="R18" s="437"/>
      <c r="S18" s="436" t="e">
        <f t="shared" si="6"/>
        <v>#N/A</v>
      </c>
      <c r="T18" s="609"/>
      <c r="U18" s="436"/>
      <c r="V18" s="437"/>
      <c r="W18" s="437"/>
      <c r="X18" s="436" t="e">
        <f t="shared" si="7"/>
        <v>#N/A</v>
      </c>
      <c r="Y18" s="609"/>
      <c r="Z18" s="436"/>
      <c r="AA18" s="437"/>
      <c r="AB18" s="437"/>
      <c r="AC18" s="436" t="e">
        <f t="shared" si="8"/>
        <v>#N/A</v>
      </c>
      <c r="AD18" s="609"/>
      <c r="AE18" s="436"/>
      <c r="AF18" s="437"/>
      <c r="AG18" s="437"/>
      <c r="AH18" s="436" t="e">
        <f t="shared" si="9"/>
        <v>#N/A</v>
      </c>
      <c r="AI18" s="609"/>
      <c r="AJ18" s="436"/>
      <c r="AK18" s="437"/>
      <c r="AL18" s="437"/>
      <c r="AM18" s="436" t="e">
        <f t="shared" si="10"/>
        <v>#N/A</v>
      </c>
      <c r="AN18" s="609"/>
      <c r="AO18" s="436"/>
      <c r="AP18" s="437"/>
      <c r="AQ18" s="437"/>
      <c r="AR18" s="436" t="e">
        <f t="shared" si="11"/>
        <v>#N/A</v>
      </c>
      <c r="AS18" s="609"/>
      <c r="AT18" s="436"/>
      <c r="AU18" s="437"/>
      <c r="AV18" s="437"/>
      <c r="AW18" s="436" t="e">
        <f t="shared" si="12"/>
        <v>#N/A</v>
      </c>
      <c r="AX18" s="605"/>
      <c r="AZ18" s="314" t="e">
        <f>RANK(AX18, $K$7:AX$21)</f>
        <v>#N/A</v>
      </c>
      <c r="BB18" s="311" t="e">
        <f t="shared" si="13"/>
        <v>#N/A</v>
      </c>
    </row>
    <row r="19" spans="2:54">
      <c r="B19" s="572"/>
      <c r="C19" s="436">
        <v>13</v>
      </c>
      <c r="D19" s="226"/>
      <c r="E19" s="182"/>
      <c r="F19" s="436"/>
      <c r="G19" s="437"/>
      <c r="H19" s="609"/>
      <c r="I19" s="202"/>
      <c r="J19" s="202"/>
      <c r="K19" s="202"/>
      <c r="L19" s="541"/>
      <c r="M19" s="445" t="e">
        <f>RANK(K19, K$7:$K$21)</f>
        <v>#N/A</v>
      </c>
      <c r="N19" s="559"/>
      <c r="O19" s="559"/>
      <c r="P19" s="436"/>
      <c r="Q19" s="437"/>
      <c r="R19" s="437"/>
      <c r="S19" s="436" t="e">
        <f t="shared" si="6"/>
        <v>#N/A</v>
      </c>
      <c r="T19" s="609"/>
      <c r="U19" s="436"/>
      <c r="V19" s="437"/>
      <c r="W19" s="437"/>
      <c r="X19" s="436" t="e">
        <f t="shared" si="7"/>
        <v>#N/A</v>
      </c>
      <c r="Y19" s="609"/>
      <c r="Z19" s="436"/>
      <c r="AA19" s="437"/>
      <c r="AB19" s="437"/>
      <c r="AC19" s="436" t="e">
        <f t="shared" si="8"/>
        <v>#N/A</v>
      </c>
      <c r="AD19" s="609"/>
      <c r="AE19" s="436"/>
      <c r="AF19" s="437"/>
      <c r="AG19" s="437"/>
      <c r="AH19" s="436" t="e">
        <f t="shared" si="9"/>
        <v>#N/A</v>
      </c>
      <c r="AI19" s="609"/>
      <c r="AJ19" s="436"/>
      <c r="AK19" s="437"/>
      <c r="AL19" s="437"/>
      <c r="AM19" s="436" t="e">
        <f t="shared" si="10"/>
        <v>#N/A</v>
      </c>
      <c r="AN19" s="609"/>
      <c r="AO19" s="436"/>
      <c r="AP19" s="437"/>
      <c r="AQ19" s="437"/>
      <c r="AR19" s="436" t="e">
        <f t="shared" si="11"/>
        <v>#N/A</v>
      </c>
      <c r="AS19" s="609"/>
      <c r="AT19" s="436"/>
      <c r="AU19" s="437"/>
      <c r="AV19" s="437"/>
      <c r="AW19" s="436" t="e">
        <f t="shared" si="12"/>
        <v>#N/A</v>
      </c>
      <c r="AX19" s="605"/>
      <c r="AZ19" s="314" t="e">
        <f>RANK(AX19, $K$7:AX$21)</f>
        <v>#N/A</v>
      </c>
      <c r="BB19" s="311" t="e">
        <f t="shared" si="13"/>
        <v>#N/A</v>
      </c>
    </row>
    <row r="20" spans="2:54">
      <c r="B20" s="572"/>
      <c r="C20" s="436">
        <v>14</v>
      </c>
      <c r="D20" s="226"/>
      <c r="E20" s="182"/>
      <c r="F20" s="436"/>
      <c r="G20" s="437"/>
      <c r="H20" s="609"/>
      <c r="I20" s="202"/>
      <c r="J20" s="202"/>
      <c r="K20" s="202"/>
      <c r="L20" s="541"/>
      <c r="M20" s="445" t="e">
        <f>RANK(K20, K$7:$K$21)</f>
        <v>#N/A</v>
      </c>
      <c r="N20" s="559"/>
      <c r="O20" s="559"/>
      <c r="P20" s="436"/>
      <c r="Q20" s="437"/>
      <c r="R20" s="437"/>
      <c r="S20" s="436" t="e">
        <f t="shared" si="6"/>
        <v>#N/A</v>
      </c>
      <c r="T20" s="609"/>
      <c r="U20" s="436"/>
      <c r="V20" s="437"/>
      <c r="W20" s="437"/>
      <c r="X20" s="436" t="e">
        <f t="shared" si="7"/>
        <v>#N/A</v>
      </c>
      <c r="Y20" s="609"/>
      <c r="Z20" s="436"/>
      <c r="AA20" s="437"/>
      <c r="AB20" s="437"/>
      <c r="AC20" s="436" t="e">
        <f t="shared" si="8"/>
        <v>#N/A</v>
      </c>
      <c r="AD20" s="609"/>
      <c r="AE20" s="436"/>
      <c r="AF20" s="437"/>
      <c r="AG20" s="437"/>
      <c r="AH20" s="436" t="e">
        <f t="shared" si="9"/>
        <v>#N/A</v>
      </c>
      <c r="AI20" s="609"/>
      <c r="AJ20" s="436"/>
      <c r="AK20" s="437"/>
      <c r="AL20" s="437"/>
      <c r="AM20" s="436" t="e">
        <f t="shared" si="10"/>
        <v>#N/A</v>
      </c>
      <c r="AN20" s="609"/>
      <c r="AO20" s="436"/>
      <c r="AP20" s="437"/>
      <c r="AQ20" s="437"/>
      <c r="AR20" s="436" t="e">
        <f t="shared" si="11"/>
        <v>#N/A</v>
      </c>
      <c r="AS20" s="609"/>
      <c r="AT20" s="436"/>
      <c r="AU20" s="437"/>
      <c r="AV20" s="437"/>
      <c r="AW20" s="436" t="e">
        <f t="shared" si="12"/>
        <v>#N/A</v>
      </c>
      <c r="AX20" s="605"/>
      <c r="AZ20" s="314" t="e">
        <f>RANK(AX20, $K$7:AX$21)</f>
        <v>#N/A</v>
      </c>
      <c r="BB20" s="311" t="e">
        <f t="shared" si="13"/>
        <v>#N/A</v>
      </c>
    </row>
    <row r="21" spans="2:54">
      <c r="B21" s="572"/>
      <c r="C21" s="436">
        <v>15</v>
      </c>
      <c r="D21" s="226"/>
      <c r="E21" s="182"/>
      <c r="F21" s="436"/>
      <c r="G21" s="437"/>
      <c r="H21" s="610"/>
      <c r="I21" s="202"/>
      <c r="J21" s="202"/>
      <c r="K21" s="202"/>
      <c r="L21" s="542"/>
      <c r="M21" s="445" t="e">
        <f>RANK(K21, K$7:$K$21)</f>
        <v>#N/A</v>
      </c>
      <c r="N21" s="559"/>
      <c r="O21" s="559"/>
      <c r="P21" s="436"/>
      <c r="Q21" s="437"/>
      <c r="R21" s="437"/>
      <c r="S21" s="436" t="e">
        <f t="shared" si="6"/>
        <v>#N/A</v>
      </c>
      <c r="T21" s="610"/>
      <c r="U21" s="436"/>
      <c r="V21" s="437"/>
      <c r="W21" s="437"/>
      <c r="X21" s="436" t="e">
        <f t="shared" si="7"/>
        <v>#N/A</v>
      </c>
      <c r="Y21" s="610"/>
      <c r="Z21" s="436"/>
      <c r="AA21" s="437"/>
      <c r="AB21" s="437"/>
      <c r="AC21" s="436" t="e">
        <f t="shared" si="8"/>
        <v>#N/A</v>
      </c>
      <c r="AD21" s="610"/>
      <c r="AE21" s="436"/>
      <c r="AF21" s="437"/>
      <c r="AG21" s="437"/>
      <c r="AH21" s="436" t="e">
        <f t="shared" si="9"/>
        <v>#N/A</v>
      </c>
      <c r="AI21" s="610"/>
      <c r="AJ21" s="436"/>
      <c r="AK21" s="437"/>
      <c r="AL21" s="437"/>
      <c r="AM21" s="436" t="e">
        <f t="shared" si="10"/>
        <v>#N/A</v>
      </c>
      <c r="AN21" s="610"/>
      <c r="AO21" s="436"/>
      <c r="AP21" s="437"/>
      <c r="AQ21" s="437"/>
      <c r="AR21" s="436" t="e">
        <f t="shared" si="11"/>
        <v>#N/A</v>
      </c>
      <c r="AS21" s="610"/>
      <c r="AT21" s="436"/>
      <c r="AU21" s="437"/>
      <c r="AV21" s="437"/>
      <c r="AW21" s="436" t="e">
        <f t="shared" si="12"/>
        <v>#N/A</v>
      </c>
      <c r="AX21" s="605"/>
      <c r="AZ21" s="313" t="e">
        <f>RANK(AX21, $K$7:AX$21)</f>
        <v>#N/A</v>
      </c>
      <c r="BB21" s="311" t="e">
        <f t="shared" si="13"/>
        <v>#N/A</v>
      </c>
    </row>
    <row r="22" spans="2:54" ht="15.75">
      <c r="B22" s="592" t="s">
        <v>731</v>
      </c>
      <c r="C22" s="593"/>
      <c r="D22" s="593"/>
      <c r="E22" s="593"/>
      <c r="F22" s="593"/>
      <c r="G22" s="593"/>
      <c r="H22" s="593"/>
      <c r="I22" s="203"/>
      <c r="J22" s="203"/>
      <c r="K22" s="203"/>
      <c r="L22" s="203"/>
      <c r="M22" s="204"/>
      <c r="N22" s="565" t="s">
        <v>732</v>
      </c>
      <c r="O22" s="565" t="s">
        <v>733</v>
      </c>
      <c r="P22" s="571">
        <f>AT2+1</f>
        <v>46393</v>
      </c>
      <c r="Q22" s="572"/>
      <c r="R22" s="572"/>
      <c r="S22" s="572"/>
      <c r="T22" s="572"/>
      <c r="U22" s="571">
        <f>P22+1</f>
        <v>46394</v>
      </c>
      <c r="V22" s="572"/>
      <c r="W22" s="572"/>
      <c r="X22" s="572"/>
      <c r="Y22" s="572"/>
      <c r="Z22" s="571">
        <f>U22+1</f>
        <v>46395</v>
      </c>
      <c r="AA22" s="572"/>
      <c r="AB22" s="572"/>
      <c r="AC22" s="572"/>
      <c r="AD22" s="572"/>
      <c r="AE22" s="571">
        <f>Z22+1</f>
        <v>46396</v>
      </c>
      <c r="AF22" s="572"/>
      <c r="AG22" s="572"/>
      <c r="AH22" s="572"/>
      <c r="AI22" s="572"/>
      <c r="AJ22" s="571">
        <f>AE22+1</f>
        <v>46397</v>
      </c>
      <c r="AK22" s="572"/>
      <c r="AL22" s="572"/>
      <c r="AM22" s="572"/>
      <c r="AN22" s="572"/>
      <c r="AO22" s="571">
        <f>AJ22+1</f>
        <v>46398</v>
      </c>
      <c r="AP22" s="572"/>
      <c r="AQ22" s="572"/>
      <c r="AR22" s="572"/>
      <c r="AS22" s="572"/>
      <c r="AT22" s="571">
        <f>AO22+1</f>
        <v>46399</v>
      </c>
      <c r="AU22" s="572"/>
      <c r="AV22" s="572"/>
      <c r="AW22" s="572"/>
      <c r="AX22" s="572"/>
    </row>
    <row r="23" spans="2:54" ht="15.75">
      <c r="B23" s="579"/>
      <c r="C23" s="579"/>
      <c r="D23" s="579"/>
      <c r="E23" s="579"/>
      <c r="F23" s="579"/>
      <c r="G23" s="579"/>
      <c r="H23" s="579"/>
      <c r="I23" s="205"/>
      <c r="J23" s="205"/>
      <c r="K23" s="205"/>
      <c r="L23" s="205"/>
      <c r="M23" s="206"/>
      <c r="N23" s="567"/>
      <c r="O23" s="567"/>
      <c r="P23" s="571" t="s">
        <v>734</v>
      </c>
      <c r="Q23" s="572"/>
      <c r="R23" s="572"/>
      <c r="S23" s="572"/>
      <c r="T23" s="572"/>
      <c r="U23" s="571" t="s">
        <v>735</v>
      </c>
      <c r="V23" s="572"/>
      <c r="W23" s="572"/>
      <c r="X23" s="572"/>
      <c r="Y23" s="572"/>
      <c r="Z23" s="571" t="s">
        <v>736</v>
      </c>
      <c r="AA23" s="572"/>
      <c r="AB23" s="572"/>
      <c r="AC23" s="572"/>
      <c r="AD23" s="572"/>
      <c r="AE23" s="571" t="s">
        <v>737</v>
      </c>
      <c r="AF23" s="572"/>
      <c r="AG23" s="572"/>
      <c r="AH23" s="572"/>
      <c r="AI23" s="572"/>
      <c r="AJ23" s="571" t="s">
        <v>738</v>
      </c>
      <c r="AK23" s="572"/>
      <c r="AL23" s="572"/>
      <c r="AM23" s="572"/>
      <c r="AN23" s="572"/>
      <c r="AO23" s="571" t="s">
        <v>739</v>
      </c>
      <c r="AP23" s="572"/>
      <c r="AQ23" s="572"/>
      <c r="AR23" s="572"/>
      <c r="AS23" s="572"/>
      <c r="AT23" s="571" t="s">
        <v>740</v>
      </c>
      <c r="AU23" s="572"/>
      <c r="AV23" s="572"/>
      <c r="AW23" s="572"/>
      <c r="AX23" s="572"/>
    </row>
    <row r="24" spans="2:54">
      <c r="B24" s="559" t="s">
        <v>741</v>
      </c>
      <c r="C24" s="559" t="s">
        <v>742</v>
      </c>
      <c r="D24" s="559"/>
      <c r="E24" s="559" t="s">
        <v>743</v>
      </c>
      <c r="F24" s="559"/>
      <c r="G24" s="559"/>
      <c r="H24" s="560" t="s">
        <v>744</v>
      </c>
      <c r="I24" s="543" t="s">
        <v>745</v>
      </c>
      <c r="J24" s="543"/>
      <c r="K24" s="543"/>
      <c r="L24" s="544" t="s">
        <v>744</v>
      </c>
      <c r="M24" s="550" t="s">
        <v>746</v>
      </c>
      <c r="N24" s="559"/>
      <c r="O24" s="559" t="s">
        <v>747</v>
      </c>
      <c r="P24" s="556" t="s">
        <v>748</v>
      </c>
      <c r="Q24" s="557"/>
      <c r="R24" s="557"/>
      <c r="S24" s="558"/>
      <c r="T24" s="559" t="s">
        <v>744</v>
      </c>
      <c r="U24" s="556" t="s">
        <v>748</v>
      </c>
      <c r="V24" s="557"/>
      <c r="W24" s="557"/>
      <c r="X24" s="558"/>
      <c r="Y24" s="559" t="s">
        <v>744</v>
      </c>
      <c r="Z24" s="556" t="s">
        <v>748</v>
      </c>
      <c r="AA24" s="557"/>
      <c r="AB24" s="557"/>
      <c r="AC24" s="558"/>
      <c r="AD24" s="559" t="s">
        <v>744</v>
      </c>
      <c r="AE24" s="556" t="s">
        <v>748</v>
      </c>
      <c r="AF24" s="557"/>
      <c r="AG24" s="557"/>
      <c r="AH24" s="558"/>
      <c r="AI24" s="559" t="s">
        <v>744</v>
      </c>
      <c r="AJ24" s="556" t="s">
        <v>748</v>
      </c>
      <c r="AK24" s="557"/>
      <c r="AL24" s="557"/>
      <c r="AM24" s="558"/>
      <c r="AN24" s="559" t="s">
        <v>744</v>
      </c>
      <c r="AO24" s="556" t="s">
        <v>748</v>
      </c>
      <c r="AP24" s="557"/>
      <c r="AQ24" s="557"/>
      <c r="AR24" s="558"/>
      <c r="AS24" s="559" t="s">
        <v>744</v>
      </c>
      <c r="AT24" s="556" t="s">
        <v>748</v>
      </c>
      <c r="AU24" s="557"/>
      <c r="AV24" s="557"/>
      <c r="AW24" s="558"/>
      <c r="AX24" s="559" t="s">
        <v>744</v>
      </c>
    </row>
    <row r="25" spans="2:54">
      <c r="B25" s="559"/>
      <c r="C25" s="559"/>
      <c r="D25" s="559"/>
      <c r="E25" s="559" t="s">
        <v>749</v>
      </c>
      <c r="F25" s="559"/>
      <c r="G25" s="559"/>
      <c r="H25" s="561"/>
      <c r="I25" s="543" t="s">
        <v>749</v>
      </c>
      <c r="J25" s="543"/>
      <c r="K25" s="543"/>
      <c r="L25" s="545"/>
      <c r="M25" s="551"/>
      <c r="N25" s="559"/>
      <c r="O25" s="559"/>
      <c r="P25" s="556" t="s">
        <v>750</v>
      </c>
      <c r="Q25" s="557"/>
      <c r="R25" s="557"/>
      <c r="S25" s="558"/>
      <c r="T25" s="559"/>
      <c r="U25" s="556" t="s">
        <v>750</v>
      </c>
      <c r="V25" s="557"/>
      <c r="W25" s="557"/>
      <c r="X25" s="558"/>
      <c r="Y25" s="559"/>
      <c r="Z25" s="556" t="s">
        <v>750</v>
      </c>
      <c r="AA25" s="557"/>
      <c r="AB25" s="557"/>
      <c r="AC25" s="558"/>
      <c r="AD25" s="559"/>
      <c r="AE25" s="556" t="s">
        <v>750</v>
      </c>
      <c r="AF25" s="557"/>
      <c r="AG25" s="557"/>
      <c r="AH25" s="558"/>
      <c r="AI25" s="559"/>
      <c r="AJ25" s="556" t="s">
        <v>750</v>
      </c>
      <c r="AK25" s="557"/>
      <c r="AL25" s="557"/>
      <c r="AM25" s="558"/>
      <c r="AN25" s="559"/>
      <c r="AO25" s="556" t="s">
        <v>750</v>
      </c>
      <c r="AP25" s="557"/>
      <c r="AQ25" s="557"/>
      <c r="AR25" s="558"/>
      <c r="AS25" s="559"/>
      <c r="AT25" s="556" t="s">
        <v>750</v>
      </c>
      <c r="AU25" s="557"/>
      <c r="AV25" s="557"/>
      <c r="AW25" s="558"/>
      <c r="AX25" s="559"/>
    </row>
    <row r="26" spans="2:54">
      <c r="B26" s="559"/>
      <c r="C26" s="559"/>
      <c r="D26" s="559"/>
      <c r="E26" s="440" t="s">
        <v>751</v>
      </c>
      <c r="F26" s="440" t="s">
        <v>752</v>
      </c>
      <c r="G26" s="440" t="s">
        <v>753</v>
      </c>
      <c r="H26" s="562"/>
      <c r="I26" s="444" t="s">
        <v>751</v>
      </c>
      <c r="J26" s="444" t="s">
        <v>752</v>
      </c>
      <c r="K26" s="444" t="s">
        <v>753</v>
      </c>
      <c r="L26" s="546"/>
      <c r="M26" s="552"/>
      <c r="N26" s="559"/>
      <c r="O26" s="559"/>
      <c r="P26" s="440" t="s">
        <v>751</v>
      </c>
      <c r="Q26" s="440" t="s">
        <v>752</v>
      </c>
      <c r="R26" s="440" t="s">
        <v>753</v>
      </c>
      <c r="S26" s="440" t="s">
        <v>746</v>
      </c>
      <c r="T26" s="559"/>
      <c r="U26" s="440" t="s">
        <v>751</v>
      </c>
      <c r="V26" s="440" t="s">
        <v>752</v>
      </c>
      <c r="W26" s="440" t="s">
        <v>753</v>
      </c>
      <c r="X26" s="440" t="s">
        <v>746</v>
      </c>
      <c r="Y26" s="559"/>
      <c r="Z26" s="440" t="s">
        <v>751</v>
      </c>
      <c r="AA26" s="440" t="s">
        <v>752</v>
      </c>
      <c r="AB26" s="440" t="s">
        <v>753</v>
      </c>
      <c r="AC26" s="440" t="s">
        <v>746</v>
      </c>
      <c r="AD26" s="559"/>
      <c r="AE26" s="440" t="s">
        <v>751</v>
      </c>
      <c r="AF26" s="440" t="s">
        <v>752</v>
      </c>
      <c r="AG26" s="440" t="s">
        <v>753</v>
      </c>
      <c r="AH26" s="440" t="s">
        <v>746</v>
      </c>
      <c r="AI26" s="559"/>
      <c r="AJ26" s="440" t="s">
        <v>751</v>
      </c>
      <c r="AK26" s="440" t="s">
        <v>752</v>
      </c>
      <c r="AL26" s="440" t="s">
        <v>753</v>
      </c>
      <c r="AM26" s="440" t="s">
        <v>746</v>
      </c>
      <c r="AN26" s="559"/>
      <c r="AO26" s="440" t="s">
        <v>751</v>
      </c>
      <c r="AP26" s="440" t="s">
        <v>752</v>
      </c>
      <c r="AQ26" s="440" t="s">
        <v>753</v>
      </c>
      <c r="AR26" s="440" t="s">
        <v>746</v>
      </c>
      <c r="AS26" s="559"/>
      <c r="AT26" s="440" t="s">
        <v>751</v>
      </c>
      <c r="AU26" s="440" t="s">
        <v>752</v>
      </c>
      <c r="AV26" s="440" t="s">
        <v>753</v>
      </c>
      <c r="AW26" s="440" t="s">
        <v>746</v>
      </c>
      <c r="AX26" s="559"/>
    </row>
    <row r="27" spans="2:54">
      <c r="B27" s="559" t="s">
        <v>792</v>
      </c>
      <c r="C27" s="436">
        <v>1</v>
      </c>
      <c r="D27" s="226" t="s">
        <v>383</v>
      </c>
      <c r="E27" s="182">
        <v>18</v>
      </c>
      <c r="F27" s="436">
        <v>1440</v>
      </c>
      <c r="G27" s="437">
        <v>80</v>
      </c>
      <c r="H27" s="608">
        <f>AVERAGE(G27:G41)</f>
        <v>82.22727272727272</v>
      </c>
      <c r="I27" s="446">
        <f>AVERAGE(P27,U27,Z27,AE27,AJ27,AO27,AT27)</f>
        <v>18</v>
      </c>
      <c r="J27" s="446">
        <f>AVERAGE(Q27,V27,AA27,AF27,AK27,AP27,AU27)</f>
        <v>1269.3433928471034</v>
      </c>
      <c r="K27" s="438">
        <f>AVERAGE(R27,W27,AB27,AG27,AL27,AQ27,AV27)</f>
        <v>70.519077380394634</v>
      </c>
      <c r="L27" s="540">
        <f>IFERROR(AVERAGE(K27:K41),"-")</f>
        <v>68.779949772506171</v>
      </c>
      <c r="M27" s="445">
        <f>RANK(K27, K$27:$K$41)</f>
        <v>5</v>
      </c>
      <c r="N27" s="559"/>
      <c r="O27" s="559"/>
      <c r="P27" s="182">
        <v>18</v>
      </c>
      <c r="Q27" s="437">
        <v>1277.5000000000002</v>
      </c>
      <c r="R27" s="437">
        <v>70.972222222222229</v>
      </c>
      <c r="S27" s="436">
        <f t="shared" ref="S27:S41" si="14">RANK(R27, R$27:R$41)</f>
        <v>4</v>
      </c>
      <c r="T27" s="608">
        <f>AVERAGE(R27:R41)</f>
        <v>68.873680700388363</v>
      </c>
      <c r="U27" s="182">
        <v>18</v>
      </c>
      <c r="V27" s="437">
        <v>1261.2244897959188</v>
      </c>
      <c r="W27" s="437">
        <v>70.068027210884381</v>
      </c>
      <c r="X27" s="436">
        <f t="shared" ref="X27:X41" si="15">RANK(W27, W$27:W$41)</f>
        <v>5</v>
      </c>
      <c r="Y27" s="608">
        <f t="shared" ref="Y27" si="16">AVERAGE(W27:W41)</f>
        <v>69.196555618132123</v>
      </c>
      <c r="Z27" s="182">
        <v>18</v>
      </c>
      <c r="AA27" s="437">
        <v>1271.9999999999998</v>
      </c>
      <c r="AB27" s="437">
        <v>70.666666666666657</v>
      </c>
      <c r="AC27" s="436">
        <f t="shared" ref="AC27:AC41" si="17">RANK(AB27, AB$27:AB$41)</f>
        <v>6</v>
      </c>
      <c r="AD27" s="608">
        <f t="shared" ref="AD27" si="18">AVERAGE(AB27:AB41)</f>
        <v>70.193941646872631</v>
      </c>
      <c r="AE27" s="182">
        <v>18</v>
      </c>
      <c r="AF27" s="437">
        <v>1257.333333333333</v>
      </c>
      <c r="AG27" s="437">
        <v>69.851851851851833</v>
      </c>
      <c r="AH27" s="436">
        <f t="shared" ref="AH27:AH41" si="19">RANK(AG27, AG$27:AG$41)</f>
        <v>4</v>
      </c>
      <c r="AI27" s="608">
        <f t="shared" ref="AI27" si="20">AVERAGE(AG27:AG41)</f>
        <v>67.378748903675515</v>
      </c>
      <c r="AJ27" s="182">
        <v>18</v>
      </c>
      <c r="AK27" s="437">
        <v>1258.2857142857138</v>
      </c>
      <c r="AL27" s="437">
        <v>69.90476190476187</v>
      </c>
      <c r="AM27" s="436">
        <f t="shared" ref="AM27:AM41" si="21">RANK(AL27, AL$27:AL$41)</f>
        <v>4</v>
      </c>
      <c r="AN27" s="608">
        <f t="shared" ref="AN27" si="22">AVERAGE(AL27:AL41)</f>
        <v>67.579523925000245</v>
      </c>
      <c r="AO27" s="182">
        <v>18</v>
      </c>
      <c r="AP27" s="437">
        <v>1269.9173553719004</v>
      </c>
      <c r="AQ27" s="437">
        <v>70.550964187327793</v>
      </c>
      <c r="AR27" s="436">
        <f t="shared" ref="AR27:AR41" si="23">RANK(AQ27, AQ$27:AQ$41)</f>
        <v>5</v>
      </c>
      <c r="AS27" s="608">
        <f t="shared" ref="AS27" si="24">AVERAGE(AQ27:AQ41)</f>
        <v>69.095180466297194</v>
      </c>
      <c r="AT27" s="182">
        <v>18</v>
      </c>
      <c r="AU27" s="437">
        <v>1289.1428571428576</v>
      </c>
      <c r="AV27" s="437">
        <v>71.619047619047649</v>
      </c>
      <c r="AW27" s="436">
        <f t="shared" ref="AW27:AW41" si="25">RANK(AV27, AV$27:AV$41)</f>
        <v>5</v>
      </c>
      <c r="AX27" s="605">
        <f t="shared" ref="AX27" si="26">AVERAGE(AV27:AV41)</f>
        <v>69.142017147177228</v>
      </c>
    </row>
    <row r="28" spans="2:54">
      <c r="B28" s="572"/>
      <c r="C28" s="436">
        <v>2</v>
      </c>
      <c r="D28" s="226" t="s">
        <v>384</v>
      </c>
      <c r="E28" s="182">
        <v>19</v>
      </c>
      <c r="F28" s="436">
        <v>1440</v>
      </c>
      <c r="G28" s="437">
        <v>75.8</v>
      </c>
      <c r="H28" s="609"/>
      <c r="I28" s="446">
        <f t="shared" ref="I28:K37" si="27">AVERAGE(P28,U28,Z28,AE28,AJ28,AO28,AT28)</f>
        <v>18</v>
      </c>
      <c r="J28" s="446">
        <f t="shared" si="27"/>
        <v>1211.4282092147187</v>
      </c>
      <c r="K28" s="438">
        <f t="shared" si="27"/>
        <v>67.301567178595477</v>
      </c>
      <c r="L28" s="541"/>
      <c r="M28" s="445">
        <f>RANK(K28, K$27:$K$41)</f>
        <v>6</v>
      </c>
      <c r="N28" s="559"/>
      <c r="O28" s="559"/>
      <c r="P28" s="436">
        <v>18</v>
      </c>
      <c r="Q28" s="437">
        <v>1231.7647058823513</v>
      </c>
      <c r="R28" s="437">
        <v>68.431372549019514</v>
      </c>
      <c r="S28" s="436">
        <f t="shared" si="14"/>
        <v>6</v>
      </c>
      <c r="T28" s="609"/>
      <c r="U28" s="436">
        <v>18</v>
      </c>
      <c r="V28" s="437">
        <v>1276.8749999999982</v>
      </c>
      <c r="W28" s="437">
        <v>70.937499999999901</v>
      </c>
      <c r="X28" s="436">
        <f t="shared" si="15"/>
        <v>4</v>
      </c>
      <c r="Y28" s="609"/>
      <c r="Z28" s="436">
        <v>18</v>
      </c>
      <c r="AA28" s="437">
        <v>1259.9999999999982</v>
      </c>
      <c r="AB28" s="437">
        <v>69.999999999999901</v>
      </c>
      <c r="AC28" s="436">
        <f t="shared" si="17"/>
        <v>7</v>
      </c>
      <c r="AD28" s="609"/>
      <c r="AE28" s="436">
        <v>18</v>
      </c>
      <c r="AF28" s="437">
        <v>1094.4827586206875</v>
      </c>
      <c r="AG28" s="437">
        <v>60.804597701149305</v>
      </c>
      <c r="AH28" s="436">
        <f t="shared" si="19"/>
        <v>10</v>
      </c>
      <c r="AI28" s="609"/>
      <c r="AJ28" s="436">
        <v>18</v>
      </c>
      <c r="AK28" s="437">
        <v>1081.8749999999984</v>
      </c>
      <c r="AL28" s="437">
        <v>60.104166666666579</v>
      </c>
      <c r="AM28" s="436">
        <f t="shared" si="21"/>
        <v>11</v>
      </c>
      <c r="AN28" s="609"/>
      <c r="AO28" s="436">
        <v>18</v>
      </c>
      <c r="AP28" s="437">
        <v>1265.6249999999982</v>
      </c>
      <c r="AQ28" s="437">
        <v>70.312499999999901</v>
      </c>
      <c r="AR28" s="436">
        <f t="shared" si="23"/>
        <v>6</v>
      </c>
      <c r="AS28" s="609"/>
      <c r="AT28" s="436">
        <v>18</v>
      </c>
      <c r="AU28" s="437">
        <v>1269.3749999999982</v>
      </c>
      <c r="AV28" s="437">
        <v>70.520833333333229</v>
      </c>
      <c r="AW28" s="436">
        <f t="shared" si="25"/>
        <v>6</v>
      </c>
      <c r="AX28" s="605"/>
    </row>
    <row r="29" spans="2:54">
      <c r="B29" s="572"/>
      <c r="C29" s="436">
        <v>3</v>
      </c>
      <c r="D29" s="226" t="s">
        <v>386</v>
      </c>
      <c r="E29" s="182">
        <v>17</v>
      </c>
      <c r="F29" s="436">
        <v>1636</v>
      </c>
      <c r="G29" s="437">
        <v>96.3</v>
      </c>
      <c r="H29" s="609"/>
      <c r="I29" s="446">
        <f t="shared" si="27"/>
        <v>18</v>
      </c>
      <c r="J29" s="446">
        <f t="shared" si="27"/>
        <v>1320.4428172812393</v>
      </c>
      <c r="K29" s="438">
        <f t="shared" si="27"/>
        <v>73.357934293402195</v>
      </c>
      <c r="L29" s="541"/>
      <c r="M29" s="445">
        <f>RANK(K29, K$27:$K$41)</f>
        <v>3</v>
      </c>
      <c r="N29" s="559"/>
      <c r="O29" s="559"/>
      <c r="P29" s="436">
        <v>18</v>
      </c>
      <c r="Q29" s="437">
        <v>1442.3076923076931</v>
      </c>
      <c r="R29" s="437">
        <v>80.128205128205167</v>
      </c>
      <c r="S29" s="436">
        <f t="shared" si="14"/>
        <v>1</v>
      </c>
      <c r="T29" s="609"/>
      <c r="U29" s="436">
        <v>18</v>
      </c>
      <c r="V29" s="437">
        <v>1237.2413793103458</v>
      </c>
      <c r="W29" s="437">
        <v>68.735632183908095</v>
      </c>
      <c r="X29" s="436">
        <f t="shared" si="15"/>
        <v>7</v>
      </c>
      <c r="Y29" s="609"/>
      <c r="Z29" s="436">
        <v>18</v>
      </c>
      <c r="AA29" s="437">
        <v>1424.4444444444409</v>
      </c>
      <c r="AB29" s="437">
        <v>79.135802469135612</v>
      </c>
      <c r="AC29" s="436">
        <f t="shared" si="17"/>
        <v>2</v>
      </c>
      <c r="AD29" s="609"/>
      <c r="AE29" s="436">
        <v>18</v>
      </c>
      <c r="AF29" s="437">
        <v>1213.6363636363635</v>
      </c>
      <c r="AG29" s="437">
        <v>67.424242424242422</v>
      </c>
      <c r="AH29" s="436">
        <f t="shared" si="19"/>
        <v>5</v>
      </c>
      <c r="AI29" s="609"/>
      <c r="AJ29" s="436">
        <v>18</v>
      </c>
      <c r="AK29" s="437">
        <v>1219.1999999999966</v>
      </c>
      <c r="AL29" s="437">
        <v>67.73333333333315</v>
      </c>
      <c r="AM29" s="436">
        <f t="shared" si="21"/>
        <v>6</v>
      </c>
      <c r="AN29" s="609"/>
      <c r="AO29" s="436">
        <v>18</v>
      </c>
      <c r="AP29" s="437">
        <v>1270.7142857142831</v>
      </c>
      <c r="AQ29" s="437">
        <v>70.595238095237946</v>
      </c>
      <c r="AR29" s="436">
        <f t="shared" si="23"/>
        <v>4</v>
      </c>
      <c r="AS29" s="609"/>
      <c r="AT29" s="436">
        <v>18</v>
      </c>
      <c r="AU29" s="437">
        <v>1435.5555555555522</v>
      </c>
      <c r="AV29" s="437">
        <v>79.753086419752904</v>
      </c>
      <c r="AW29" s="436">
        <f t="shared" si="25"/>
        <v>1</v>
      </c>
      <c r="AX29" s="605"/>
    </row>
    <row r="30" spans="2:54">
      <c r="B30" s="572"/>
      <c r="C30" s="436">
        <v>4</v>
      </c>
      <c r="D30" s="226" t="s">
        <v>385</v>
      </c>
      <c r="E30" s="182">
        <v>17</v>
      </c>
      <c r="F30" s="436">
        <v>1440</v>
      </c>
      <c r="G30" s="437">
        <v>84.7</v>
      </c>
      <c r="H30" s="609"/>
      <c r="I30" s="446">
        <f t="shared" si="27"/>
        <v>17</v>
      </c>
      <c r="J30" s="446">
        <f t="shared" si="27"/>
        <v>1275.1287341853658</v>
      </c>
      <c r="K30" s="438">
        <f t="shared" si="27"/>
        <v>75.007572599139166</v>
      </c>
      <c r="L30" s="541"/>
      <c r="M30" s="445">
        <f>RANK(K30, K$27:$K$41)</f>
        <v>2</v>
      </c>
      <c r="N30" s="559"/>
      <c r="O30" s="559"/>
      <c r="P30" s="436">
        <v>17</v>
      </c>
      <c r="Q30" s="437">
        <v>1293.6106194690267</v>
      </c>
      <c r="R30" s="437">
        <v>76.094742321707457</v>
      </c>
      <c r="S30" s="436">
        <f t="shared" si="14"/>
        <v>2</v>
      </c>
      <c r="T30" s="609"/>
      <c r="U30" s="436">
        <v>17</v>
      </c>
      <c r="V30" s="437">
        <v>1296.4954128440365</v>
      </c>
      <c r="W30" s="437">
        <v>76.264436049649206</v>
      </c>
      <c r="X30" s="436">
        <f t="shared" si="15"/>
        <v>2</v>
      </c>
      <c r="Y30" s="609"/>
      <c r="Z30" s="436">
        <v>17</v>
      </c>
      <c r="AA30" s="437">
        <v>1251.0280373831774</v>
      </c>
      <c r="AB30" s="437">
        <v>73.589884551951613</v>
      </c>
      <c r="AC30" s="436">
        <f t="shared" si="17"/>
        <v>3</v>
      </c>
      <c r="AD30" s="609"/>
      <c r="AE30" s="436">
        <v>17</v>
      </c>
      <c r="AF30" s="437">
        <v>1306.0194174757289</v>
      </c>
      <c r="AG30" s="437">
        <v>76.824671616219348</v>
      </c>
      <c r="AH30" s="436">
        <f t="shared" si="19"/>
        <v>2</v>
      </c>
      <c r="AI30" s="609"/>
      <c r="AJ30" s="436">
        <v>17</v>
      </c>
      <c r="AK30" s="437">
        <v>1249.8305084745764</v>
      </c>
      <c r="AL30" s="437">
        <v>73.519441674975084</v>
      </c>
      <c r="AM30" s="436">
        <f t="shared" si="21"/>
        <v>2</v>
      </c>
      <c r="AN30" s="609"/>
      <c r="AO30" s="436">
        <v>17</v>
      </c>
      <c r="AP30" s="437">
        <v>1258.5442622950823</v>
      </c>
      <c r="AQ30" s="437">
        <v>74.032015429122481</v>
      </c>
      <c r="AR30" s="436">
        <f t="shared" si="23"/>
        <v>2</v>
      </c>
      <c r="AS30" s="609"/>
      <c r="AT30" s="436">
        <v>17</v>
      </c>
      <c r="AU30" s="437">
        <v>1270.3728813559326</v>
      </c>
      <c r="AV30" s="437">
        <v>74.727816550348976</v>
      </c>
      <c r="AW30" s="436">
        <f t="shared" si="25"/>
        <v>3</v>
      </c>
      <c r="AX30" s="605"/>
    </row>
    <row r="31" spans="2:54">
      <c r="B31" s="572"/>
      <c r="C31" s="436">
        <v>5</v>
      </c>
      <c r="D31" s="226" t="s">
        <v>387</v>
      </c>
      <c r="E31" s="182">
        <v>17</v>
      </c>
      <c r="F31" s="436">
        <v>1440</v>
      </c>
      <c r="G31" s="437">
        <v>84.7</v>
      </c>
      <c r="H31" s="609"/>
      <c r="I31" s="446">
        <f t="shared" si="27"/>
        <v>18.285714285714285</v>
      </c>
      <c r="J31" s="446">
        <f t="shared" si="27"/>
        <v>1170.4816519687215</v>
      </c>
      <c r="K31" s="438">
        <f t="shared" si="27"/>
        <v>64.044876654903902</v>
      </c>
      <c r="L31" s="541"/>
      <c r="M31" s="445">
        <f>RANK(K31, K$27:$K$41)</f>
        <v>9</v>
      </c>
      <c r="N31" s="559"/>
      <c r="O31" s="559"/>
      <c r="P31" s="436">
        <v>18</v>
      </c>
      <c r="Q31" s="437">
        <v>1081.8181818181829</v>
      </c>
      <c r="R31" s="437">
        <v>60.101010101010161</v>
      </c>
      <c r="S31" s="436">
        <f t="shared" si="14"/>
        <v>11</v>
      </c>
      <c r="T31" s="609"/>
      <c r="U31" s="436">
        <v>18</v>
      </c>
      <c r="V31" s="437">
        <v>1260.0000000000011</v>
      </c>
      <c r="W31" s="437">
        <v>70.000000000000057</v>
      </c>
      <c r="X31" s="436">
        <f t="shared" si="15"/>
        <v>6</v>
      </c>
      <c r="Y31" s="609"/>
      <c r="Z31" s="436">
        <v>18</v>
      </c>
      <c r="AA31" s="437">
        <v>1278.6206896551735</v>
      </c>
      <c r="AB31" s="437">
        <v>71.034482758620754</v>
      </c>
      <c r="AC31" s="436">
        <f t="shared" si="17"/>
        <v>5</v>
      </c>
      <c r="AD31" s="609"/>
      <c r="AE31" s="436">
        <v>18</v>
      </c>
      <c r="AF31" s="437">
        <v>1082.3076923076928</v>
      </c>
      <c r="AG31" s="437">
        <v>60.12820512820516</v>
      </c>
      <c r="AH31" s="436">
        <f t="shared" si="19"/>
        <v>11</v>
      </c>
      <c r="AI31" s="609"/>
      <c r="AJ31" s="436">
        <v>18</v>
      </c>
      <c r="AK31" s="437">
        <v>1139.999999999998</v>
      </c>
      <c r="AL31" s="437">
        <v>63.333333333333222</v>
      </c>
      <c r="AM31" s="436">
        <f t="shared" si="21"/>
        <v>8</v>
      </c>
      <c r="AN31" s="609"/>
      <c r="AO31" s="436">
        <v>19</v>
      </c>
      <c r="AP31" s="437">
        <v>1250.0000000000011</v>
      </c>
      <c r="AQ31" s="437">
        <v>65.789473684210591</v>
      </c>
      <c r="AR31" s="436">
        <f t="shared" si="23"/>
        <v>8</v>
      </c>
      <c r="AS31" s="609"/>
      <c r="AT31" s="436">
        <v>19</v>
      </c>
      <c r="AU31" s="437">
        <v>1100.6250000000014</v>
      </c>
      <c r="AV31" s="437">
        <v>57.927631578947441</v>
      </c>
      <c r="AW31" s="436">
        <f t="shared" si="25"/>
        <v>11</v>
      </c>
      <c r="AX31" s="605"/>
    </row>
    <row r="32" spans="2:54">
      <c r="B32" s="572"/>
      <c r="C32" s="436">
        <v>6</v>
      </c>
      <c r="D32" s="226" t="s">
        <v>388</v>
      </c>
      <c r="E32" s="182">
        <v>19</v>
      </c>
      <c r="F32" s="436">
        <v>1385</v>
      </c>
      <c r="G32" s="437">
        <v>72.900000000000006</v>
      </c>
      <c r="H32" s="609"/>
      <c r="I32" s="446">
        <f t="shared" si="27"/>
        <v>19</v>
      </c>
      <c r="J32" s="446">
        <f t="shared" si="27"/>
        <v>1218.3092653893329</v>
      </c>
      <c r="K32" s="438">
        <f t="shared" si="27"/>
        <v>64.121540283649082</v>
      </c>
      <c r="L32" s="541"/>
      <c r="M32" s="445">
        <f>RANK(K32, K$27:$K$41)</f>
        <v>8</v>
      </c>
      <c r="N32" s="559"/>
      <c r="O32" s="559"/>
      <c r="P32" s="436">
        <v>19</v>
      </c>
      <c r="Q32" s="437">
        <v>1236.6315789473688</v>
      </c>
      <c r="R32" s="437">
        <v>65.085872576177309</v>
      </c>
      <c r="S32" s="436">
        <f t="shared" si="14"/>
        <v>8</v>
      </c>
      <c r="T32" s="609"/>
      <c r="U32" s="436">
        <v>19</v>
      </c>
      <c r="V32" s="437">
        <v>1228.3333333333339</v>
      </c>
      <c r="W32" s="437">
        <v>64.649122807017577</v>
      </c>
      <c r="X32" s="436">
        <f t="shared" si="15"/>
        <v>9</v>
      </c>
      <c r="Y32" s="609"/>
      <c r="Z32" s="436">
        <v>19</v>
      </c>
      <c r="AA32" s="437">
        <v>1210.2127659574471</v>
      </c>
      <c r="AB32" s="437">
        <v>63.695408734602481</v>
      </c>
      <c r="AC32" s="436">
        <f t="shared" si="17"/>
        <v>9</v>
      </c>
      <c r="AD32" s="609"/>
      <c r="AE32" s="436">
        <v>19</v>
      </c>
      <c r="AF32" s="437">
        <v>1205.3333333333333</v>
      </c>
      <c r="AG32" s="437">
        <v>63.438596491228068</v>
      </c>
      <c r="AH32" s="436">
        <f t="shared" si="19"/>
        <v>7</v>
      </c>
      <c r="AI32" s="609"/>
      <c r="AJ32" s="436">
        <v>19</v>
      </c>
      <c r="AK32" s="437">
        <v>1207.3333333333335</v>
      </c>
      <c r="AL32" s="437">
        <v>63.543859649122815</v>
      </c>
      <c r="AM32" s="436">
        <f t="shared" si="21"/>
        <v>7</v>
      </c>
      <c r="AN32" s="609"/>
      <c r="AO32" s="436">
        <v>19</v>
      </c>
      <c r="AP32" s="437">
        <v>1223.5897435897432</v>
      </c>
      <c r="AQ32" s="437">
        <v>64.399460188933858</v>
      </c>
      <c r="AR32" s="436">
        <f t="shared" si="23"/>
        <v>9</v>
      </c>
      <c r="AS32" s="609"/>
      <c r="AT32" s="436">
        <v>19</v>
      </c>
      <c r="AU32" s="437">
        <v>1216.7307692307697</v>
      </c>
      <c r="AV32" s="437">
        <v>64.038461538461561</v>
      </c>
      <c r="AW32" s="436">
        <f t="shared" si="25"/>
        <v>8</v>
      </c>
      <c r="AX32" s="605"/>
    </row>
    <row r="33" spans="2:50">
      <c r="B33" s="572"/>
      <c r="C33" s="436">
        <v>7</v>
      </c>
      <c r="D33" s="226" t="s">
        <v>389</v>
      </c>
      <c r="E33" s="182">
        <v>19</v>
      </c>
      <c r="F33" s="436">
        <v>1440</v>
      </c>
      <c r="G33" s="437">
        <v>75.8</v>
      </c>
      <c r="H33" s="609"/>
      <c r="I33" s="446">
        <f t="shared" si="27"/>
        <v>19</v>
      </c>
      <c r="J33" s="446">
        <f t="shared" si="27"/>
        <v>1274.1858196168541</v>
      </c>
      <c r="K33" s="438">
        <f t="shared" si="27"/>
        <v>67.06241155878179</v>
      </c>
      <c r="L33" s="541"/>
      <c r="M33" s="445">
        <f>RANK(K33, K$27:$K$41)</f>
        <v>7</v>
      </c>
      <c r="N33" s="559"/>
      <c r="O33" s="559"/>
      <c r="P33" s="436">
        <v>19</v>
      </c>
      <c r="Q33" s="437">
        <v>1276.3636363636376</v>
      </c>
      <c r="R33" s="437">
        <v>67.177033492823028</v>
      </c>
      <c r="S33" s="436">
        <f t="shared" si="14"/>
        <v>7</v>
      </c>
      <c r="T33" s="609"/>
      <c r="U33" s="436">
        <v>19</v>
      </c>
      <c r="V33" s="437">
        <v>1248.3333333333323</v>
      </c>
      <c r="W33" s="437">
        <v>65.701754385964861</v>
      </c>
      <c r="X33" s="436">
        <f t="shared" si="15"/>
        <v>8</v>
      </c>
      <c r="Y33" s="609"/>
      <c r="Z33" s="436">
        <v>19</v>
      </c>
      <c r="AA33" s="437">
        <v>1279.2307692307686</v>
      </c>
      <c r="AB33" s="437">
        <v>67.327935222672025</v>
      </c>
      <c r="AC33" s="436">
        <f t="shared" si="17"/>
        <v>8</v>
      </c>
      <c r="AD33" s="609"/>
      <c r="AE33" s="436">
        <v>19</v>
      </c>
      <c r="AF33" s="437">
        <v>1262.0689655172423</v>
      </c>
      <c r="AG33" s="437">
        <v>66.424682395644325</v>
      </c>
      <c r="AH33" s="436">
        <f t="shared" si="19"/>
        <v>6</v>
      </c>
      <c r="AI33" s="609"/>
      <c r="AJ33" s="436">
        <v>19</v>
      </c>
      <c r="AK33" s="437">
        <v>1297.2413793103458</v>
      </c>
      <c r="AL33" s="437">
        <v>68.275862068965566</v>
      </c>
      <c r="AM33" s="436">
        <f t="shared" si="21"/>
        <v>5</v>
      </c>
      <c r="AN33" s="609"/>
      <c r="AO33" s="436">
        <v>19</v>
      </c>
      <c r="AP33" s="437">
        <v>1287.9545454545455</v>
      </c>
      <c r="AQ33" s="437">
        <v>67.787081339712927</v>
      </c>
      <c r="AR33" s="436">
        <f t="shared" si="23"/>
        <v>7</v>
      </c>
      <c r="AS33" s="609"/>
      <c r="AT33" s="436">
        <v>19</v>
      </c>
      <c r="AU33" s="437">
        <v>1268.1081081081072</v>
      </c>
      <c r="AV33" s="437">
        <v>66.742532005689853</v>
      </c>
      <c r="AW33" s="436">
        <f t="shared" si="25"/>
        <v>7</v>
      </c>
      <c r="AX33" s="605"/>
    </row>
    <row r="34" spans="2:50">
      <c r="B34" s="572"/>
      <c r="C34" s="436">
        <v>8</v>
      </c>
      <c r="D34" s="226" t="s">
        <v>489</v>
      </c>
      <c r="E34" s="182">
        <v>17</v>
      </c>
      <c r="F34" s="436">
        <v>1385</v>
      </c>
      <c r="G34" s="437">
        <v>81.400000000000006</v>
      </c>
      <c r="H34" s="609"/>
      <c r="I34" s="446">
        <f t="shared" si="27"/>
        <v>17</v>
      </c>
      <c r="J34" s="446">
        <f t="shared" si="27"/>
        <v>1223.3196167801823</v>
      </c>
      <c r="K34" s="438">
        <f t="shared" si="27"/>
        <v>71.959977457657786</v>
      </c>
      <c r="L34" s="541"/>
      <c r="M34" s="445">
        <f>RANK(K34, K$27:$K$41)</f>
        <v>4</v>
      </c>
      <c r="N34" s="559"/>
      <c r="O34" s="559"/>
      <c r="P34" s="436">
        <v>17</v>
      </c>
      <c r="Q34" s="437">
        <v>1204.799999999999</v>
      </c>
      <c r="R34" s="437">
        <v>70.870588235294065</v>
      </c>
      <c r="S34" s="436">
        <f t="shared" si="14"/>
        <v>5</v>
      </c>
      <c r="T34" s="609"/>
      <c r="U34" s="436">
        <v>17</v>
      </c>
      <c r="V34" s="437">
        <v>1228.421052631578</v>
      </c>
      <c r="W34" s="437">
        <v>72.260061919504594</v>
      </c>
      <c r="X34" s="436">
        <f t="shared" si="15"/>
        <v>3</v>
      </c>
      <c r="Y34" s="609"/>
      <c r="Z34" s="436">
        <v>17</v>
      </c>
      <c r="AA34" s="437">
        <v>1219.9999999999995</v>
      </c>
      <c r="AB34" s="437">
        <v>71.764705882352914</v>
      </c>
      <c r="AC34" s="436">
        <f t="shared" si="17"/>
        <v>4</v>
      </c>
      <c r="AD34" s="609"/>
      <c r="AE34" s="436">
        <v>17</v>
      </c>
      <c r="AF34" s="437">
        <v>1246.6666666666679</v>
      </c>
      <c r="AG34" s="437">
        <v>73.3333333333334</v>
      </c>
      <c r="AH34" s="436">
        <f t="shared" si="19"/>
        <v>3</v>
      </c>
      <c r="AI34" s="609"/>
      <c r="AJ34" s="436">
        <v>17</v>
      </c>
      <c r="AK34" s="437">
        <v>1222.3880597014941</v>
      </c>
      <c r="AL34" s="437">
        <v>71.905179982440828</v>
      </c>
      <c r="AM34" s="436">
        <f t="shared" si="21"/>
        <v>3</v>
      </c>
      <c r="AN34" s="609"/>
      <c r="AO34" s="436">
        <v>17</v>
      </c>
      <c r="AP34" s="437">
        <v>1222.5000000000005</v>
      </c>
      <c r="AQ34" s="437">
        <v>71.911764705882376</v>
      </c>
      <c r="AR34" s="436">
        <f t="shared" si="23"/>
        <v>3</v>
      </c>
      <c r="AS34" s="609"/>
      <c r="AT34" s="436">
        <v>17</v>
      </c>
      <c r="AU34" s="437">
        <v>1218.4615384615377</v>
      </c>
      <c r="AV34" s="437">
        <v>71.674208144796339</v>
      </c>
      <c r="AW34" s="436">
        <f t="shared" si="25"/>
        <v>4</v>
      </c>
      <c r="AX34" s="605"/>
    </row>
    <row r="35" spans="2:50">
      <c r="B35" s="572"/>
      <c r="C35" s="436">
        <v>9</v>
      </c>
      <c r="D35" s="226" t="s">
        <v>492</v>
      </c>
      <c r="E35" s="182">
        <v>19</v>
      </c>
      <c r="F35" s="436">
        <v>1385</v>
      </c>
      <c r="G35" s="437">
        <v>72.900000000000006</v>
      </c>
      <c r="H35" s="609"/>
      <c r="I35" s="446">
        <f t="shared" si="27"/>
        <v>20</v>
      </c>
      <c r="J35" s="446">
        <f t="shared" si="27"/>
        <v>1225.878210059394</v>
      </c>
      <c r="K35" s="438">
        <f t="shared" si="27"/>
        <v>61.293910502969702</v>
      </c>
      <c r="L35" s="541"/>
      <c r="M35" s="445">
        <f>RANK(K35, K$27:$K$41)</f>
        <v>11</v>
      </c>
      <c r="N35" s="559"/>
      <c r="O35" s="559"/>
      <c r="P35" s="436">
        <v>20</v>
      </c>
      <c r="Q35" s="437">
        <v>1227.8048780487802</v>
      </c>
      <c r="R35" s="437">
        <v>61.390243902439011</v>
      </c>
      <c r="S35" s="436">
        <f t="shared" si="14"/>
        <v>10</v>
      </c>
      <c r="T35" s="609"/>
      <c r="U35" s="436">
        <v>20</v>
      </c>
      <c r="V35" s="437">
        <v>1218.5714285714282</v>
      </c>
      <c r="W35" s="437">
        <v>60.928571428571409</v>
      </c>
      <c r="X35" s="436">
        <f t="shared" si="15"/>
        <v>11</v>
      </c>
      <c r="Y35" s="609"/>
      <c r="Z35" s="436">
        <v>20</v>
      </c>
      <c r="AA35" s="437">
        <v>1208.7804878048776</v>
      </c>
      <c r="AB35" s="437">
        <v>60.43902439024388</v>
      </c>
      <c r="AC35" s="436">
        <f t="shared" si="17"/>
        <v>11</v>
      </c>
      <c r="AD35" s="609"/>
      <c r="AE35" s="436">
        <v>20</v>
      </c>
      <c r="AF35" s="437">
        <v>1227.2727272727257</v>
      </c>
      <c r="AG35" s="437">
        <v>61.363636363636282</v>
      </c>
      <c r="AH35" s="436">
        <f t="shared" si="19"/>
        <v>9</v>
      </c>
      <c r="AI35" s="609"/>
      <c r="AJ35" s="436">
        <v>20</v>
      </c>
      <c r="AK35" s="437">
        <v>1233.3333333333323</v>
      </c>
      <c r="AL35" s="437">
        <v>61.666666666666615</v>
      </c>
      <c r="AM35" s="436">
        <f t="shared" si="21"/>
        <v>10</v>
      </c>
      <c r="AN35" s="609"/>
      <c r="AO35" s="436">
        <v>20</v>
      </c>
      <c r="AP35" s="437">
        <v>1235.3846153846146</v>
      </c>
      <c r="AQ35" s="437">
        <v>61.769230769230731</v>
      </c>
      <c r="AR35" s="436">
        <f t="shared" si="23"/>
        <v>11</v>
      </c>
      <c r="AS35" s="609"/>
      <c r="AT35" s="436">
        <v>20</v>
      </c>
      <c r="AU35" s="437">
        <v>1229.9999999999995</v>
      </c>
      <c r="AV35" s="437">
        <v>61.499999999999979</v>
      </c>
      <c r="AW35" s="436">
        <f t="shared" si="25"/>
        <v>10</v>
      </c>
      <c r="AX35" s="605"/>
    </row>
    <row r="36" spans="2:50">
      <c r="B36" s="572"/>
      <c r="C36" s="436">
        <v>10</v>
      </c>
      <c r="D36" s="226" t="s">
        <v>564</v>
      </c>
      <c r="E36" s="182">
        <v>16</v>
      </c>
      <c r="F36" s="436">
        <v>1440</v>
      </c>
      <c r="G36" s="437">
        <v>90</v>
      </c>
      <c r="H36" s="609"/>
      <c r="I36" s="446">
        <f t="shared" si="27"/>
        <v>16.142857142857142</v>
      </c>
      <c r="J36" s="446">
        <f t="shared" si="27"/>
        <v>1281.1934439460069</v>
      </c>
      <c r="K36" s="438">
        <f t="shared" si="27"/>
        <v>79.403668031585568</v>
      </c>
      <c r="L36" s="541"/>
      <c r="M36" s="445">
        <f>RANK(K36, K$27:$K$41)</f>
        <v>1</v>
      </c>
      <c r="N36" s="559"/>
      <c r="O36" s="559"/>
      <c r="P36" s="436">
        <v>17</v>
      </c>
      <c r="Q36" s="437">
        <v>1277.4358974358968</v>
      </c>
      <c r="R36" s="437">
        <v>75.143288084464515</v>
      </c>
      <c r="S36" s="436">
        <f t="shared" si="14"/>
        <v>3</v>
      </c>
      <c r="T36" s="609"/>
      <c r="U36" s="436">
        <v>16</v>
      </c>
      <c r="V36" s="437">
        <v>1268.3720930232557</v>
      </c>
      <c r="W36" s="437">
        <v>79.273255813953483</v>
      </c>
      <c r="X36" s="436">
        <f t="shared" si="15"/>
        <v>1</v>
      </c>
      <c r="Y36" s="609"/>
      <c r="Z36" s="436">
        <v>16</v>
      </c>
      <c r="AA36" s="437">
        <v>1294.5283018867913</v>
      </c>
      <c r="AB36" s="437">
        <v>80.908018867924454</v>
      </c>
      <c r="AC36" s="436">
        <f t="shared" si="17"/>
        <v>1</v>
      </c>
      <c r="AD36" s="609"/>
      <c r="AE36" s="436">
        <v>16</v>
      </c>
      <c r="AF36" s="437">
        <v>1279.4444444444453</v>
      </c>
      <c r="AG36" s="437">
        <v>79.965277777777828</v>
      </c>
      <c r="AH36" s="436">
        <f t="shared" si="19"/>
        <v>1</v>
      </c>
      <c r="AI36" s="609"/>
      <c r="AJ36" s="436">
        <v>16</v>
      </c>
      <c r="AK36" s="437">
        <v>1283.6842105263158</v>
      </c>
      <c r="AL36" s="437">
        <v>80.23026315789474</v>
      </c>
      <c r="AM36" s="436">
        <f t="shared" si="21"/>
        <v>1</v>
      </c>
      <c r="AN36" s="609"/>
      <c r="AO36" s="436">
        <v>16</v>
      </c>
      <c r="AP36" s="437">
        <v>1294.8091603053435</v>
      </c>
      <c r="AQ36" s="437">
        <v>80.925572519083971</v>
      </c>
      <c r="AR36" s="436">
        <f t="shared" si="23"/>
        <v>1</v>
      </c>
      <c r="AS36" s="609"/>
      <c r="AT36" s="436">
        <v>16</v>
      </c>
      <c r="AU36" s="437">
        <v>1270.0799999999997</v>
      </c>
      <c r="AV36" s="437">
        <v>79.379999999999981</v>
      </c>
      <c r="AW36" s="436">
        <f t="shared" si="25"/>
        <v>2</v>
      </c>
      <c r="AX36" s="605"/>
    </row>
    <row r="37" spans="2:50">
      <c r="B37" s="572"/>
      <c r="C37" s="436">
        <v>11</v>
      </c>
      <c r="D37" s="226" t="s">
        <v>605</v>
      </c>
      <c r="E37" s="182">
        <v>16</v>
      </c>
      <c r="F37" s="436">
        <v>1440</v>
      </c>
      <c r="G37" s="437">
        <v>90</v>
      </c>
      <c r="H37" s="609"/>
      <c r="I37" s="446">
        <f t="shared" si="27"/>
        <v>16</v>
      </c>
      <c r="J37" s="446">
        <f t="shared" si="27"/>
        <v>1000.1105849038197</v>
      </c>
      <c r="K37" s="438">
        <f t="shared" si="27"/>
        <v>62.506911556488731</v>
      </c>
      <c r="L37" s="541"/>
      <c r="M37" s="445">
        <f>RANK(K37, K$27:$K$41)</f>
        <v>10</v>
      </c>
      <c r="N37" s="559"/>
      <c r="O37" s="559"/>
      <c r="P37" s="436">
        <v>16</v>
      </c>
      <c r="Q37" s="437">
        <v>995.45454545454902</v>
      </c>
      <c r="R37" s="437">
        <v>62.215909090909314</v>
      </c>
      <c r="S37" s="436">
        <f t="shared" si="14"/>
        <v>9</v>
      </c>
      <c r="T37" s="609"/>
      <c r="U37" s="436">
        <v>16</v>
      </c>
      <c r="V37" s="437">
        <v>997.49999999999682</v>
      </c>
      <c r="W37" s="437">
        <v>62.343749999999801</v>
      </c>
      <c r="X37" s="436">
        <f t="shared" si="15"/>
        <v>10</v>
      </c>
      <c r="Y37" s="609"/>
      <c r="Z37" s="436">
        <v>16</v>
      </c>
      <c r="AA37" s="437">
        <v>1017.1428571428607</v>
      </c>
      <c r="AB37" s="437">
        <v>63.571428571428797</v>
      </c>
      <c r="AC37" s="436">
        <f t="shared" si="17"/>
        <v>10</v>
      </c>
      <c r="AD37" s="609"/>
      <c r="AE37" s="436">
        <v>16</v>
      </c>
      <c r="AF37" s="437">
        <v>985.71428571428351</v>
      </c>
      <c r="AG37" s="437">
        <v>61.607142857142719</v>
      </c>
      <c r="AH37" s="436">
        <f t="shared" si="19"/>
        <v>8</v>
      </c>
      <c r="AI37" s="609"/>
      <c r="AJ37" s="436">
        <v>16</v>
      </c>
      <c r="AK37" s="437">
        <v>1010.5263157894773</v>
      </c>
      <c r="AL37" s="437">
        <v>63.15789473684233</v>
      </c>
      <c r="AM37" s="436">
        <f t="shared" si="21"/>
        <v>9</v>
      </c>
      <c r="AN37" s="609"/>
      <c r="AO37" s="436">
        <v>16</v>
      </c>
      <c r="AP37" s="437">
        <v>991.57894736842445</v>
      </c>
      <c r="AQ37" s="437">
        <v>61.973684210526528</v>
      </c>
      <c r="AR37" s="436">
        <f t="shared" si="23"/>
        <v>10</v>
      </c>
      <c r="AS37" s="609"/>
      <c r="AT37" s="436">
        <v>16</v>
      </c>
      <c r="AU37" s="437">
        <v>1002.8571428571463</v>
      </c>
      <c r="AV37" s="437">
        <v>62.678571428571644</v>
      </c>
      <c r="AW37" s="436">
        <f t="shared" si="25"/>
        <v>9</v>
      </c>
      <c r="AX37" s="605"/>
    </row>
    <row r="38" spans="2:50">
      <c r="B38" s="572"/>
      <c r="C38" s="436">
        <v>12</v>
      </c>
      <c r="D38" s="226"/>
      <c r="E38" s="182"/>
      <c r="F38" s="436"/>
      <c r="G38" s="437"/>
      <c r="H38" s="609"/>
      <c r="I38" s="446"/>
      <c r="J38" s="446"/>
      <c r="K38" s="438"/>
      <c r="L38" s="541"/>
      <c r="M38" s="445" t="e">
        <f>RANK(K38, K$27:$K$41)</f>
        <v>#N/A</v>
      </c>
      <c r="N38" s="559"/>
      <c r="O38" s="559"/>
      <c r="P38" s="436"/>
      <c r="Q38" s="437"/>
      <c r="R38" s="437"/>
      <c r="S38" s="436" t="e">
        <f t="shared" si="14"/>
        <v>#N/A</v>
      </c>
      <c r="T38" s="609"/>
      <c r="U38" s="436"/>
      <c r="V38" s="437"/>
      <c r="W38" s="437"/>
      <c r="X38" s="436" t="e">
        <f t="shared" si="15"/>
        <v>#N/A</v>
      </c>
      <c r="Y38" s="609"/>
      <c r="Z38" s="436"/>
      <c r="AA38" s="437"/>
      <c r="AB38" s="437"/>
      <c r="AC38" s="436" t="e">
        <f t="shared" si="17"/>
        <v>#N/A</v>
      </c>
      <c r="AD38" s="609"/>
      <c r="AE38" s="436"/>
      <c r="AF38" s="437"/>
      <c r="AG38" s="437"/>
      <c r="AH38" s="436" t="e">
        <f t="shared" si="19"/>
        <v>#N/A</v>
      </c>
      <c r="AI38" s="609"/>
      <c r="AJ38" s="436"/>
      <c r="AK38" s="437"/>
      <c r="AL38" s="437"/>
      <c r="AM38" s="436" t="e">
        <f t="shared" si="21"/>
        <v>#N/A</v>
      </c>
      <c r="AN38" s="609"/>
      <c r="AO38" s="436"/>
      <c r="AP38" s="437"/>
      <c r="AQ38" s="437"/>
      <c r="AR38" s="436" t="e">
        <f t="shared" si="23"/>
        <v>#N/A</v>
      </c>
      <c r="AS38" s="609"/>
      <c r="AT38" s="436"/>
      <c r="AU38" s="437"/>
      <c r="AV38" s="437"/>
      <c r="AW38" s="436" t="e">
        <f t="shared" si="25"/>
        <v>#N/A</v>
      </c>
      <c r="AX38" s="605"/>
    </row>
    <row r="39" spans="2:50">
      <c r="B39" s="572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41"/>
      <c r="M39" s="445" t="e">
        <f>RANK(K39, K$27:$K$41)</f>
        <v>#N/A</v>
      </c>
      <c r="N39" s="559"/>
      <c r="O39" s="559"/>
      <c r="P39" s="436"/>
      <c r="Q39" s="437"/>
      <c r="R39" s="437"/>
      <c r="S39" s="436" t="e">
        <f t="shared" si="14"/>
        <v>#N/A</v>
      </c>
      <c r="T39" s="609"/>
      <c r="U39" s="436"/>
      <c r="V39" s="437"/>
      <c r="W39" s="437"/>
      <c r="X39" s="436" t="e">
        <f t="shared" si="15"/>
        <v>#N/A</v>
      </c>
      <c r="Y39" s="609"/>
      <c r="Z39" s="436"/>
      <c r="AA39" s="437"/>
      <c r="AB39" s="437"/>
      <c r="AC39" s="436" t="e">
        <f t="shared" si="17"/>
        <v>#N/A</v>
      </c>
      <c r="AD39" s="609"/>
      <c r="AE39" s="436"/>
      <c r="AF39" s="437"/>
      <c r="AG39" s="437"/>
      <c r="AH39" s="436" t="e">
        <f t="shared" si="19"/>
        <v>#N/A</v>
      </c>
      <c r="AI39" s="609"/>
      <c r="AJ39" s="436"/>
      <c r="AK39" s="437"/>
      <c r="AL39" s="437"/>
      <c r="AM39" s="436" t="e">
        <f t="shared" si="21"/>
        <v>#N/A</v>
      </c>
      <c r="AN39" s="609"/>
      <c r="AO39" s="436"/>
      <c r="AP39" s="437"/>
      <c r="AQ39" s="437"/>
      <c r="AR39" s="436" t="e">
        <f t="shared" si="23"/>
        <v>#N/A</v>
      </c>
      <c r="AS39" s="609"/>
      <c r="AT39" s="436"/>
      <c r="AU39" s="437"/>
      <c r="AV39" s="437"/>
      <c r="AW39" s="436" t="e">
        <f t="shared" si="25"/>
        <v>#N/A</v>
      </c>
      <c r="AX39" s="605"/>
    </row>
    <row r="40" spans="2:50">
      <c r="B40" s="572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41"/>
      <c r="M40" s="445" t="e">
        <f>RANK(K40, K$27:$K$41)</f>
        <v>#N/A</v>
      </c>
      <c r="N40" s="559"/>
      <c r="O40" s="559"/>
      <c r="P40" s="436"/>
      <c r="Q40" s="437"/>
      <c r="R40" s="437"/>
      <c r="S40" s="436" t="e">
        <f t="shared" si="14"/>
        <v>#N/A</v>
      </c>
      <c r="T40" s="609"/>
      <c r="U40" s="436"/>
      <c r="V40" s="437"/>
      <c r="W40" s="437"/>
      <c r="X40" s="436" t="e">
        <f t="shared" si="15"/>
        <v>#N/A</v>
      </c>
      <c r="Y40" s="609"/>
      <c r="Z40" s="436"/>
      <c r="AA40" s="437"/>
      <c r="AB40" s="437"/>
      <c r="AC40" s="436" t="e">
        <f t="shared" si="17"/>
        <v>#N/A</v>
      </c>
      <c r="AD40" s="609"/>
      <c r="AE40" s="436"/>
      <c r="AF40" s="437"/>
      <c r="AG40" s="437"/>
      <c r="AH40" s="436" t="e">
        <f t="shared" si="19"/>
        <v>#N/A</v>
      </c>
      <c r="AI40" s="609"/>
      <c r="AJ40" s="436"/>
      <c r="AK40" s="437"/>
      <c r="AL40" s="437"/>
      <c r="AM40" s="436" t="e">
        <f t="shared" si="21"/>
        <v>#N/A</v>
      </c>
      <c r="AN40" s="609"/>
      <c r="AO40" s="436"/>
      <c r="AP40" s="437"/>
      <c r="AQ40" s="437"/>
      <c r="AR40" s="436" t="e">
        <f t="shared" si="23"/>
        <v>#N/A</v>
      </c>
      <c r="AS40" s="609"/>
      <c r="AT40" s="436"/>
      <c r="AU40" s="437"/>
      <c r="AV40" s="437"/>
      <c r="AW40" s="436" t="e">
        <f t="shared" si="25"/>
        <v>#N/A</v>
      </c>
      <c r="AX40" s="605"/>
    </row>
    <row r="41" spans="2:50">
      <c r="B41" s="572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42"/>
      <c r="M41" s="446" t="e">
        <f>RANK(K41, K$27:$K$41)</f>
        <v>#N/A</v>
      </c>
      <c r="N41" s="559"/>
      <c r="O41" s="559"/>
      <c r="P41" s="436"/>
      <c r="Q41" s="437"/>
      <c r="R41" s="437"/>
      <c r="S41" s="436" t="e">
        <f t="shared" si="14"/>
        <v>#N/A</v>
      </c>
      <c r="T41" s="610"/>
      <c r="U41" s="436"/>
      <c r="V41" s="437"/>
      <c r="W41" s="437"/>
      <c r="X41" s="436" t="e">
        <f t="shared" si="15"/>
        <v>#N/A</v>
      </c>
      <c r="Y41" s="610"/>
      <c r="Z41" s="436"/>
      <c r="AA41" s="437"/>
      <c r="AB41" s="437"/>
      <c r="AC41" s="436" t="e">
        <f t="shared" si="17"/>
        <v>#N/A</v>
      </c>
      <c r="AD41" s="610"/>
      <c r="AE41" s="436"/>
      <c r="AF41" s="437"/>
      <c r="AG41" s="437"/>
      <c r="AH41" s="436" t="e">
        <f t="shared" si="19"/>
        <v>#N/A</v>
      </c>
      <c r="AI41" s="610"/>
      <c r="AJ41" s="436"/>
      <c r="AK41" s="437"/>
      <c r="AL41" s="437"/>
      <c r="AM41" s="436" t="e">
        <f t="shared" si="21"/>
        <v>#N/A</v>
      </c>
      <c r="AN41" s="610"/>
      <c r="AO41" s="436"/>
      <c r="AP41" s="437"/>
      <c r="AQ41" s="437"/>
      <c r="AR41" s="436" t="e">
        <f t="shared" si="23"/>
        <v>#N/A</v>
      </c>
      <c r="AS41" s="610"/>
      <c r="AT41" s="436"/>
      <c r="AU41" s="437"/>
      <c r="AV41" s="437"/>
      <c r="AW41" s="436" t="e">
        <f t="shared" si="25"/>
        <v>#N/A</v>
      </c>
      <c r="AX41" s="605"/>
    </row>
    <row r="42" spans="2:50" ht="15.75">
      <c r="B42" s="592" t="s">
        <v>731</v>
      </c>
      <c r="C42" s="593"/>
      <c r="D42" s="593"/>
      <c r="E42" s="593"/>
      <c r="F42" s="593"/>
      <c r="G42" s="593"/>
      <c r="H42" s="593"/>
      <c r="I42" s="208"/>
      <c r="J42" s="203"/>
      <c r="K42" s="208"/>
      <c r="L42" s="208"/>
      <c r="M42" s="204"/>
      <c r="N42" s="565" t="s">
        <v>732</v>
      </c>
      <c r="O42" s="565" t="s">
        <v>733</v>
      </c>
      <c r="P42" s="571">
        <f>P22+7</f>
        <v>46400</v>
      </c>
      <c r="Q42" s="572"/>
      <c r="R42" s="572"/>
      <c r="S42" s="572"/>
      <c r="T42" s="572"/>
      <c r="U42" s="568">
        <f>P42+1</f>
        <v>46401</v>
      </c>
      <c r="V42" s="569"/>
      <c r="W42" s="569"/>
      <c r="X42" s="569"/>
      <c r="Y42" s="570"/>
      <c r="Z42" s="568">
        <f>U42+1</f>
        <v>46402</v>
      </c>
      <c r="AA42" s="569"/>
      <c r="AB42" s="569"/>
      <c r="AC42" s="569"/>
      <c r="AD42" s="570"/>
      <c r="AE42" s="568">
        <f>Z42+1</f>
        <v>46403</v>
      </c>
      <c r="AF42" s="569"/>
      <c r="AG42" s="569"/>
      <c r="AH42" s="569"/>
      <c r="AI42" s="570"/>
      <c r="AJ42" s="568">
        <f>AE42+1</f>
        <v>46404</v>
      </c>
      <c r="AK42" s="569"/>
      <c r="AL42" s="569"/>
      <c r="AM42" s="569"/>
      <c r="AN42" s="570"/>
      <c r="AO42" s="568">
        <f>AJ42+1</f>
        <v>46405</v>
      </c>
      <c r="AP42" s="569"/>
      <c r="AQ42" s="569"/>
      <c r="AR42" s="569"/>
      <c r="AS42" s="570"/>
      <c r="AT42" s="568">
        <f>AO42+1</f>
        <v>46406</v>
      </c>
      <c r="AU42" s="569"/>
      <c r="AV42" s="569"/>
      <c r="AW42" s="569"/>
      <c r="AX42" s="570"/>
    </row>
    <row r="43" spans="2:50" ht="15.75">
      <c r="B43" s="579"/>
      <c r="C43" s="579"/>
      <c r="D43" s="579"/>
      <c r="E43" s="579"/>
      <c r="F43" s="579"/>
      <c r="G43" s="579"/>
      <c r="H43" s="579"/>
      <c r="I43" s="205"/>
      <c r="J43" s="205"/>
      <c r="K43" s="205"/>
      <c r="L43" s="205"/>
      <c r="M43" s="206"/>
      <c r="N43" s="567"/>
      <c r="O43" s="567"/>
      <c r="P43" s="571" t="s">
        <v>734</v>
      </c>
      <c r="Q43" s="572"/>
      <c r="R43" s="572"/>
      <c r="S43" s="572"/>
      <c r="T43" s="572"/>
      <c r="U43" s="571" t="s">
        <v>735</v>
      </c>
      <c r="V43" s="572"/>
      <c r="W43" s="572"/>
      <c r="X43" s="572"/>
      <c r="Y43" s="572"/>
      <c r="Z43" s="571" t="s">
        <v>736</v>
      </c>
      <c r="AA43" s="572"/>
      <c r="AB43" s="572"/>
      <c r="AC43" s="572"/>
      <c r="AD43" s="572"/>
      <c r="AE43" s="571" t="s">
        <v>737</v>
      </c>
      <c r="AF43" s="572"/>
      <c r="AG43" s="572"/>
      <c r="AH43" s="572"/>
      <c r="AI43" s="572"/>
      <c r="AJ43" s="571" t="s">
        <v>738</v>
      </c>
      <c r="AK43" s="572"/>
      <c r="AL43" s="572"/>
      <c r="AM43" s="572"/>
      <c r="AN43" s="572"/>
      <c r="AO43" s="571" t="s">
        <v>739</v>
      </c>
      <c r="AP43" s="572"/>
      <c r="AQ43" s="572"/>
      <c r="AR43" s="572"/>
      <c r="AS43" s="572"/>
      <c r="AT43" s="571" t="s">
        <v>740</v>
      </c>
      <c r="AU43" s="572"/>
      <c r="AV43" s="572"/>
      <c r="AW43" s="572"/>
      <c r="AX43" s="572"/>
    </row>
    <row r="44" spans="2:50">
      <c r="B44" s="559" t="s">
        <v>741</v>
      </c>
      <c r="C44" s="559" t="s">
        <v>742</v>
      </c>
      <c r="D44" s="559"/>
      <c r="E44" s="559" t="s">
        <v>743</v>
      </c>
      <c r="F44" s="559"/>
      <c r="G44" s="559"/>
      <c r="H44" s="560" t="s">
        <v>744</v>
      </c>
      <c r="I44" s="543" t="s">
        <v>745</v>
      </c>
      <c r="J44" s="543"/>
      <c r="K44" s="543"/>
      <c r="L44" s="544" t="s">
        <v>744</v>
      </c>
      <c r="M44" s="550" t="s">
        <v>746</v>
      </c>
      <c r="N44" s="559"/>
      <c r="O44" s="559" t="s">
        <v>747</v>
      </c>
      <c r="P44" s="556" t="s">
        <v>748</v>
      </c>
      <c r="Q44" s="557"/>
      <c r="R44" s="557"/>
      <c r="S44" s="558"/>
      <c r="T44" s="559" t="s">
        <v>744</v>
      </c>
      <c r="U44" s="556" t="s">
        <v>748</v>
      </c>
      <c r="V44" s="557"/>
      <c r="W44" s="557"/>
      <c r="X44" s="558"/>
      <c r="Y44" s="559" t="s">
        <v>744</v>
      </c>
      <c r="Z44" s="556" t="s">
        <v>748</v>
      </c>
      <c r="AA44" s="557"/>
      <c r="AB44" s="557"/>
      <c r="AC44" s="558"/>
      <c r="AD44" s="559" t="s">
        <v>744</v>
      </c>
      <c r="AE44" s="556" t="s">
        <v>748</v>
      </c>
      <c r="AF44" s="557"/>
      <c r="AG44" s="557"/>
      <c r="AH44" s="558"/>
      <c r="AI44" s="559" t="s">
        <v>744</v>
      </c>
      <c r="AJ44" s="556" t="s">
        <v>748</v>
      </c>
      <c r="AK44" s="557"/>
      <c r="AL44" s="557"/>
      <c r="AM44" s="558"/>
      <c r="AN44" s="559" t="s">
        <v>744</v>
      </c>
      <c r="AO44" s="556" t="s">
        <v>748</v>
      </c>
      <c r="AP44" s="557"/>
      <c r="AQ44" s="557"/>
      <c r="AR44" s="558"/>
      <c r="AS44" s="559" t="s">
        <v>744</v>
      </c>
      <c r="AT44" s="556" t="s">
        <v>748</v>
      </c>
      <c r="AU44" s="557"/>
      <c r="AV44" s="557"/>
      <c r="AW44" s="558"/>
      <c r="AX44" s="559" t="s">
        <v>744</v>
      </c>
    </row>
    <row r="45" spans="2:50">
      <c r="B45" s="559"/>
      <c r="C45" s="559"/>
      <c r="D45" s="559"/>
      <c r="E45" s="559" t="s">
        <v>749</v>
      </c>
      <c r="F45" s="559"/>
      <c r="G45" s="559"/>
      <c r="H45" s="561"/>
      <c r="I45" s="543" t="s">
        <v>749</v>
      </c>
      <c r="J45" s="543"/>
      <c r="K45" s="543"/>
      <c r="L45" s="545"/>
      <c r="M45" s="551"/>
      <c r="N45" s="559"/>
      <c r="O45" s="559"/>
      <c r="P45" s="556" t="s">
        <v>750</v>
      </c>
      <c r="Q45" s="557"/>
      <c r="R45" s="557"/>
      <c r="S45" s="558"/>
      <c r="T45" s="559"/>
      <c r="U45" s="556" t="s">
        <v>750</v>
      </c>
      <c r="V45" s="557"/>
      <c r="W45" s="557"/>
      <c r="X45" s="558"/>
      <c r="Y45" s="559"/>
      <c r="Z45" s="556" t="s">
        <v>750</v>
      </c>
      <c r="AA45" s="557"/>
      <c r="AB45" s="557"/>
      <c r="AC45" s="558"/>
      <c r="AD45" s="559"/>
      <c r="AE45" s="556" t="s">
        <v>750</v>
      </c>
      <c r="AF45" s="557"/>
      <c r="AG45" s="557"/>
      <c r="AH45" s="558"/>
      <c r="AI45" s="559"/>
      <c r="AJ45" s="556" t="s">
        <v>750</v>
      </c>
      <c r="AK45" s="557"/>
      <c r="AL45" s="557"/>
      <c r="AM45" s="558"/>
      <c r="AN45" s="559"/>
      <c r="AO45" s="556" t="s">
        <v>750</v>
      </c>
      <c r="AP45" s="557"/>
      <c r="AQ45" s="557"/>
      <c r="AR45" s="558"/>
      <c r="AS45" s="559"/>
      <c r="AT45" s="556" t="s">
        <v>750</v>
      </c>
      <c r="AU45" s="557"/>
      <c r="AV45" s="557"/>
      <c r="AW45" s="558"/>
      <c r="AX45" s="559"/>
    </row>
    <row r="46" spans="2:50">
      <c r="B46" s="559"/>
      <c r="C46" s="559"/>
      <c r="D46" s="559"/>
      <c r="E46" s="440" t="s">
        <v>751</v>
      </c>
      <c r="F46" s="440" t="s">
        <v>752</v>
      </c>
      <c r="G46" s="440" t="s">
        <v>753</v>
      </c>
      <c r="H46" s="562"/>
      <c r="I46" s="444" t="s">
        <v>751</v>
      </c>
      <c r="J46" s="444" t="s">
        <v>752</v>
      </c>
      <c r="K46" s="444" t="s">
        <v>753</v>
      </c>
      <c r="L46" s="546"/>
      <c r="M46" s="552"/>
      <c r="N46" s="559"/>
      <c r="O46" s="559"/>
      <c r="P46" s="440" t="s">
        <v>751</v>
      </c>
      <c r="Q46" s="440" t="s">
        <v>752</v>
      </c>
      <c r="R46" s="440" t="s">
        <v>753</v>
      </c>
      <c r="S46" s="440" t="s">
        <v>746</v>
      </c>
      <c r="T46" s="559"/>
      <c r="U46" s="440" t="s">
        <v>751</v>
      </c>
      <c r="V46" s="440" t="s">
        <v>752</v>
      </c>
      <c r="W46" s="440" t="s">
        <v>753</v>
      </c>
      <c r="X46" s="440" t="s">
        <v>746</v>
      </c>
      <c r="Y46" s="559"/>
      <c r="Z46" s="440" t="s">
        <v>751</v>
      </c>
      <c r="AA46" s="440" t="s">
        <v>752</v>
      </c>
      <c r="AB46" s="440" t="s">
        <v>753</v>
      </c>
      <c r="AC46" s="440" t="s">
        <v>746</v>
      </c>
      <c r="AD46" s="559"/>
      <c r="AE46" s="440" t="s">
        <v>751</v>
      </c>
      <c r="AF46" s="440" t="s">
        <v>752</v>
      </c>
      <c r="AG46" s="440" t="s">
        <v>753</v>
      </c>
      <c r="AH46" s="440" t="s">
        <v>746</v>
      </c>
      <c r="AI46" s="559"/>
      <c r="AJ46" s="440" t="s">
        <v>751</v>
      </c>
      <c r="AK46" s="440" t="s">
        <v>752</v>
      </c>
      <c r="AL46" s="440" t="s">
        <v>753</v>
      </c>
      <c r="AM46" s="440" t="s">
        <v>746</v>
      </c>
      <c r="AN46" s="559"/>
      <c r="AO46" s="440" t="s">
        <v>751</v>
      </c>
      <c r="AP46" s="440" t="s">
        <v>752</v>
      </c>
      <c r="AQ46" s="440" t="s">
        <v>753</v>
      </c>
      <c r="AR46" s="440" t="s">
        <v>746</v>
      </c>
      <c r="AS46" s="559"/>
      <c r="AT46" s="440" t="s">
        <v>751</v>
      </c>
      <c r="AU46" s="440" t="s">
        <v>752</v>
      </c>
      <c r="AV46" s="440" t="s">
        <v>753</v>
      </c>
      <c r="AW46" s="440" t="s">
        <v>746</v>
      </c>
      <c r="AX46" s="559"/>
    </row>
    <row r="47" spans="2:50">
      <c r="B47" s="559" t="s">
        <v>792</v>
      </c>
      <c r="C47" s="436">
        <v>1</v>
      </c>
      <c r="D47" s="226" t="s">
        <v>383</v>
      </c>
      <c r="E47" s="182">
        <v>18</v>
      </c>
      <c r="F47" s="436">
        <v>1440</v>
      </c>
      <c r="G47" s="437">
        <v>80</v>
      </c>
      <c r="H47" s="608">
        <f>AVERAGE(G47:G61)</f>
        <v>82.22727272727272</v>
      </c>
      <c r="I47" s="446">
        <f>AVERAGE(P47,U47,Z47,AE47,AJ47,AO47,AT47)</f>
        <v>18</v>
      </c>
      <c r="J47" s="446">
        <f>AVERAGE(Q47,V47,AA47,AF47,AK47,AP47,AU47)</f>
        <v>1216.2710376654791</v>
      </c>
      <c r="K47" s="438">
        <f>AVERAGE(R47,W47,AB47,AG47,AL47,AQ47,AV47)</f>
        <v>67.57061320363772</v>
      </c>
      <c r="L47" s="540">
        <f>IFERROR(AVERAGE(K47:K61),"-")</f>
        <v>67.719464916895902</v>
      </c>
      <c r="M47" s="445">
        <f>RANK(K47, K$47:$K$61)</f>
        <v>6</v>
      </c>
      <c r="N47" s="559"/>
      <c r="O47" s="559"/>
      <c r="P47" s="436">
        <v>18</v>
      </c>
      <c r="Q47" s="182">
        <v>1217.8799999999994</v>
      </c>
      <c r="R47" s="182">
        <v>67.659999999999968</v>
      </c>
      <c r="S47" s="436">
        <f>RANK(R47, R$47:R$61)</f>
        <v>6</v>
      </c>
      <c r="T47" s="605">
        <f>AVERAGE(R47:R61)</f>
        <v>68.330428393795856</v>
      </c>
      <c r="U47" s="436">
        <v>18</v>
      </c>
      <c r="V47" s="182">
        <v>1218.5840707964601</v>
      </c>
      <c r="W47" s="182">
        <v>67.699115044247776</v>
      </c>
      <c r="X47" s="436">
        <f>RANK(W47, W$47:W$61)</f>
        <v>5</v>
      </c>
      <c r="Y47" s="605">
        <f>AVERAGE(W47:W61)</f>
        <v>68.075081760700911</v>
      </c>
      <c r="Z47" s="436">
        <v>18</v>
      </c>
      <c r="AA47" s="182">
        <v>1225.0736842105264</v>
      </c>
      <c r="AB47" s="182">
        <v>68.059649122807016</v>
      </c>
      <c r="AC47" s="436">
        <f>RANK(AB47, AB$47:AB$61)</f>
        <v>5</v>
      </c>
      <c r="AD47" s="605">
        <f>AVERAGE(AB47:AB61)</f>
        <v>67.857779932987683</v>
      </c>
      <c r="AE47" s="436">
        <v>18</v>
      </c>
      <c r="AF47" s="182">
        <v>1222.1739130434783</v>
      </c>
      <c r="AG47" s="182">
        <v>67.898550724637687</v>
      </c>
      <c r="AH47" s="436">
        <f>RANK(AG47, AG$47:AG$61)</f>
        <v>5</v>
      </c>
      <c r="AI47" s="605">
        <f>AVERAGE(AG47:AG61)</f>
        <v>66.26918156360027</v>
      </c>
      <c r="AJ47" s="436">
        <v>18</v>
      </c>
      <c r="AK47" s="182">
        <v>1231.3761467889906</v>
      </c>
      <c r="AL47" s="182">
        <v>68.409785932721704</v>
      </c>
      <c r="AM47" s="436">
        <f>RANK(AL47, AL$47:AL$61)</f>
        <v>5</v>
      </c>
      <c r="AN47" s="605">
        <f>AVERAGE(AL47:AL61)</f>
        <v>67.308277983679858</v>
      </c>
      <c r="AO47" s="436">
        <v>18</v>
      </c>
      <c r="AP47" s="182">
        <v>1214.4000000000003</v>
      </c>
      <c r="AQ47" s="182">
        <v>67.466666666666683</v>
      </c>
      <c r="AR47" s="436">
        <f>RANK(AQ47, AQ$47:AQ$61)</f>
        <v>5</v>
      </c>
      <c r="AS47" s="605">
        <f>AVERAGE(AQ47:AQ61)</f>
        <v>67.740962470041993</v>
      </c>
      <c r="AT47" s="436">
        <v>18</v>
      </c>
      <c r="AU47" s="182">
        <v>1184.4094488188973</v>
      </c>
      <c r="AV47" s="182">
        <v>65.800524934383191</v>
      </c>
      <c r="AW47" s="436">
        <f>RANK(AV47, AV$47:AV$61)</f>
        <v>5</v>
      </c>
      <c r="AX47" s="605">
        <f>AVERAGE(AV47:AV61)</f>
        <v>65.915881218433299</v>
      </c>
    </row>
    <row r="48" spans="2:50">
      <c r="B48" s="572"/>
      <c r="C48" s="436">
        <v>2</v>
      </c>
      <c r="D48" s="226" t="s">
        <v>384</v>
      </c>
      <c r="E48" s="182">
        <v>19</v>
      </c>
      <c r="F48" s="436">
        <v>1440</v>
      </c>
      <c r="G48" s="437">
        <v>75.8</v>
      </c>
      <c r="H48" s="609"/>
      <c r="I48" s="446">
        <f t="shared" ref="I48:K57" si="28">AVERAGE(P48,U48,Z48,AE48,AJ48,AO48,AT48)</f>
        <v>18.142857142857142</v>
      </c>
      <c r="J48" s="446">
        <f t="shared" si="28"/>
        <v>1174.3183912861314</v>
      </c>
      <c r="K48" s="438">
        <f t="shared" si="28"/>
        <v>64.723296511072306</v>
      </c>
      <c r="L48" s="541"/>
      <c r="M48" s="445">
        <f>RANK(K48, K$47:$K$61)</f>
        <v>7</v>
      </c>
      <c r="N48" s="559"/>
      <c r="O48" s="559"/>
      <c r="P48" s="436">
        <v>19</v>
      </c>
      <c r="Q48" s="182">
        <v>1236.7741935483853</v>
      </c>
      <c r="R48" s="182">
        <v>65.093378607809754</v>
      </c>
      <c r="S48" s="436">
        <f t="shared" ref="S48:S61" si="29">RANK(R48, R$47:R$61)</f>
        <v>7</v>
      </c>
      <c r="T48" s="605"/>
      <c r="U48" s="436">
        <v>18</v>
      </c>
      <c r="V48" s="182">
        <v>1199.9999999999984</v>
      </c>
      <c r="W48" s="182">
        <v>66.666666666666572</v>
      </c>
      <c r="X48" s="436">
        <f t="shared" ref="X48:X61" si="30">RANK(W48, W$47:W$61)</f>
        <v>6</v>
      </c>
      <c r="Y48" s="605"/>
      <c r="Z48" s="436">
        <v>18</v>
      </c>
      <c r="AA48" s="182">
        <v>1199.9999999999982</v>
      </c>
      <c r="AB48" s="182">
        <v>66.666666666666572</v>
      </c>
      <c r="AC48" s="436">
        <f t="shared" ref="AC48:AC61" si="31">RANK(AB48, AB$47:AB$61)</f>
        <v>6</v>
      </c>
      <c r="AD48" s="605"/>
      <c r="AE48" s="436">
        <v>18</v>
      </c>
      <c r="AF48" s="182">
        <v>1049.9999999999984</v>
      </c>
      <c r="AG48" s="182">
        <v>58.333333333333243</v>
      </c>
      <c r="AH48" s="436">
        <f t="shared" ref="AH48:AH61" si="32">RANK(AG48, AG$47:AG$61)</f>
        <v>8</v>
      </c>
      <c r="AI48" s="605"/>
      <c r="AJ48" s="436">
        <v>18</v>
      </c>
      <c r="AK48" s="182">
        <v>1207.9999999999977</v>
      </c>
      <c r="AL48" s="182">
        <v>67.111111111110986</v>
      </c>
      <c r="AM48" s="436">
        <f t="shared" ref="AM48:AM61" si="33">RANK(AL48, AL$47:AL$61)</f>
        <v>6</v>
      </c>
      <c r="AN48" s="605"/>
      <c r="AO48" s="436">
        <v>18</v>
      </c>
      <c r="AP48" s="182">
        <v>1189.0909090909074</v>
      </c>
      <c r="AQ48" s="182">
        <v>66.060606060605963</v>
      </c>
      <c r="AR48" s="436">
        <f t="shared" ref="AR48:AR61" si="34">RANK(AQ48, AQ$47:AQ$61)</f>
        <v>6</v>
      </c>
      <c r="AS48" s="605"/>
      <c r="AT48" s="436">
        <v>18</v>
      </c>
      <c r="AU48" s="182">
        <v>1136.3636363636349</v>
      </c>
      <c r="AV48" s="182">
        <v>63.13131313131305</v>
      </c>
      <c r="AW48" s="436">
        <f t="shared" ref="AW48:AW61" si="35">RANK(AV48, AV$47:AV$61)</f>
        <v>7</v>
      </c>
      <c r="AX48" s="605"/>
    </row>
    <row r="49" spans="2:50">
      <c r="B49" s="572"/>
      <c r="C49" s="436">
        <v>3</v>
      </c>
      <c r="D49" s="226" t="s">
        <v>386</v>
      </c>
      <c r="E49" s="182">
        <v>17</v>
      </c>
      <c r="F49" s="436">
        <v>1636</v>
      </c>
      <c r="G49" s="437">
        <v>96.3</v>
      </c>
      <c r="H49" s="609"/>
      <c r="I49" s="446">
        <f t="shared" si="28"/>
        <v>17</v>
      </c>
      <c r="J49" s="446">
        <f t="shared" si="28"/>
        <v>1221.4285714285722</v>
      </c>
      <c r="K49" s="438">
        <f t="shared" si="28"/>
        <v>71.84873949579837</v>
      </c>
      <c r="L49" s="541"/>
      <c r="M49" s="445">
        <f>RANK(K49, K$47:$K$61)</f>
        <v>3</v>
      </c>
      <c r="N49" s="559"/>
      <c r="O49" s="559"/>
      <c r="P49" s="436">
        <v>17</v>
      </c>
      <c r="Q49" s="182">
        <v>1221.4285714285722</v>
      </c>
      <c r="R49" s="182">
        <v>71.84873949579837</v>
      </c>
      <c r="S49" s="436">
        <f t="shared" si="29"/>
        <v>3</v>
      </c>
      <c r="T49" s="605"/>
      <c r="U49" s="436"/>
      <c r="V49" s="182"/>
      <c r="W49" s="182"/>
      <c r="X49" s="436" t="e">
        <f t="shared" si="30"/>
        <v>#N/A</v>
      </c>
      <c r="Y49" s="605"/>
      <c r="Z49" s="436"/>
      <c r="AA49" s="182"/>
      <c r="AB49" s="182"/>
      <c r="AC49" s="436" t="e">
        <f t="shared" si="31"/>
        <v>#N/A</v>
      </c>
      <c r="AD49" s="605"/>
      <c r="AE49" s="436"/>
      <c r="AF49" s="182"/>
      <c r="AG49" s="182"/>
      <c r="AH49" s="436" t="e">
        <f t="shared" si="32"/>
        <v>#N/A</v>
      </c>
      <c r="AI49" s="605"/>
      <c r="AJ49" s="436"/>
      <c r="AK49" s="182"/>
      <c r="AL49" s="182"/>
      <c r="AM49" s="436" t="e">
        <f t="shared" si="33"/>
        <v>#N/A</v>
      </c>
      <c r="AN49" s="605"/>
      <c r="AO49" s="436"/>
      <c r="AP49" s="182"/>
      <c r="AQ49" s="182"/>
      <c r="AR49" s="436" t="e">
        <f t="shared" si="34"/>
        <v>#N/A</v>
      </c>
      <c r="AS49" s="605"/>
      <c r="AT49" s="436"/>
      <c r="AU49" s="182"/>
      <c r="AV49" s="182"/>
      <c r="AW49" s="436" t="e">
        <f t="shared" si="35"/>
        <v>#N/A</v>
      </c>
      <c r="AX49" s="605"/>
    </row>
    <row r="50" spans="2:50">
      <c r="B50" s="572"/>
      <c r="C50" s="436">
        <v>4</v>
      </c>
      <c r="D50" s="226" t="s">
        <v>385</v>
      </c>
      <c r="E50" s="182">
        <v>17</v>
      </c>
      <c r="F50" s="436">
        <v>1440</v>
      </c>
      <c r="G50" s="437">
        <v>84.7</v>
      </c>
      <c r="H50" s="609"/>
      <c r="I50" s="446">
        <f t="shared" si="28"/>
        <v>17</v>
      </c>
      <c r="J50" s="446">
        <f t="shared" si="28"/>
        <v>1217.0027819341947</v>
      </c>
      <c r="K50" s="438">
        <f t="shared" si="28"/>
        <v>71.58839893730557</v>
      </c>
      <c r="L50" s="541"/>
      <c r="M50" s="445">
        <f>RANK(K50, K$47:$K$61)</f>
        <v>4</v>
      </c>
      <c r="N50" s="559"/>
      <c r="O50" s="559"/>
      <c r="P50" s="436">
        <v>17</v>
      </c>
      <c r="Q50" s="182">
        <v>1205.5384615384612</v>
      </c>
      <c r="R50" s="182">
        <v>70.914027149321242</v>
      </c>
      <c r="S50" s="436">
        <f t="shared" si="29"/>
        <v>4</v>
      </c>
      <c r="T50" s="605"/>
      <c r="U50" s="436">
        <v>17</v>
      </c>
      <c r="V50" s="182">
        <v>1215.8974358974351</v>
      </c>
      <c r="W50" s="182">
        <v>71.523378582202071</v>
      </c>
      <c r="X50" s="436">
        <f t="shared" si="30"/>
        <v>3</v>
      </c>
      <c r="Y50" s="605"/>
      <c r="Z50" s="436">
        <v>17</v>
      </c>
      <c r="AA50" s="182">
        <v>1252.8</v>
      </c>
      <c r="AB50" s="182">
        <v>73.694117647058818</v>
      </c>
      <c r="AC50" s="436">
        <f t="shared" si="31"/>
        <v>3</v>
      </c>
      <c r="AD50" s="605"/>
      <c r="AE50" s="436">
        <v>17</v>
      </c>
      <c r="AF50" s="182">
        <v>1224.356435643565</v>
      </c>
      <c r="AG50" s="182">
        <v>72.02096680256264</v>
      </c>
      <c r="AH50" s="436">
        <f t="shared" si="32"/>
        <v>3</v>
      </c>
      <c r="AI50" s="605"/>
      <c r="AJ50" s="436">
        <v>17</v>
      </c>
      <c r="AK50" s="182">
        <v>1212.1714285714293</v>
      </c>
      <c r="AL50" s="182">
        <v>71.304201680672307</v>
      </c>
      <c r="AM50" s="436">
        <f t="shared" si="33"/>
        <v>3</v>
      </c>
      <c r="AN50" s="605"/>
      <c r="AO50" s="436">
        <v>17</v>
      </c>
      <c r="AP50" s="182">
        <v>1251.2950819672128</v>
      </c>
      <c r="AQ50" s="182">
        <v>73.605593056894875</v>
      </c>
      <c r="AR50" s="436">
        <f t="shared" si="34"/>
        <v>3</v>
      </c>
      <c r="AS50" s="605"/>
      <c r="AT50" s="436">
        <v>17</v>
      </c>
      <c r="AU50" s="182">
        <v>1156.9606299212596</v>
      </c>
      <c r="AV50" s="182">
        <v>68.056507642427036</v>
      </c>
      <c r="AW50" s="436">
        <f t="shared" si="35"/>
        <v>3</v>
      </c>
      <c r="AX50" s="605"/>
    </row>
    <row r="51" spans="2:50">
      <c r="B51" s="572"/>
      <c r="C51" s="436">
        <v>5</v>
      </c>
      <c r="D51" s="226" t="s">
        <v>387</v>
      </c>
      <c r="E51" s="182">
        <v>17</v>
      </c>
      <c r="F51" s="436">
        <v>1440</v>
      </c>
      <c r="G51" s="437">
        <v>84.7</v>
      </c>
      <c r="H51" s="609"/>
      <c r="I51" s="446">
        <f t="shared" si="28"/>
        <v>18.142857142857142</v>
      </c>
      <c r="J51" s="446">
        <f t="shared" si="28"/>
        <v>1075.2950102817269</v>
      </c>
      <c r="K51" s="438">
        <f t="shared" si="28"/>
        <v>59.351927258166754</v>
      </c>
      <c r="L51" s="541"/>
      <c r="M51" s="445">
        <f>RANK(K51, K$47:$K$61)</f>
        <v>10</v>
      </c>
      <c r="N51" s="559"/>
      <c r="O51" s="559"/>
      <c r="P51" s="436">
        <v>18</v>
      </c>
      <c r="Q51" s="182">
        <v>1152.0000000000041</v>
      </c>
      <c r="R51" s="182">
        <v>64.000000000000227</v>
      </c>
      <c r="S51" s="436">
        <f t="shared" si="29"/>
        <v>9</v>
      </c>
      <c r="T51" s="605"/>
      <c r="U51" s="436">
        <v>17</v>
      </c>
      <c r="V51" s="182">
        <v>1039.4117647058811</v>
      </c>
      <c r="W51" s="182">
        <v>61.141868512110648</v>
      </c>
      <c r="X51" s="436">
        <f t="shared" si="30"/>
        <v>9</v>
      </c>
      <c r="Y51" s="605"/>
      <c r="Z51" s="436">
        <v>17</v>
      </c>
      <c r="AA51" s="182">
        <v>1043.6363636363624</v>
      </c>
      <c r="AB51" s="182">
        <v>61.390374331550731</v>
      </c>
      <c r="AC51" s="436">
        <f t="shared" si="31"/>
        <v>9</v>
      </c>
      <c r="AD51" s="605"/>
      <c r="AE51" s="436">
        <v>19</v>
      </c>
      <c r="AF51" s="182">
        <v>1022.2222222222197</v>
      </c>
      <c r="AG51" s="182">
        <v>53.801169590643141</v>
      </c>
      <c r="AH51" s="436">
        <f t="shared" si="32"/>
        <v>10</v>
      </c>
      <c r="AI51" s="605"/>
      <c r="AJ51" s="436">
        <v>19</v>
      </c>
      <c r="AK51" s="182">
        <v>1060.6451612903209</v>
      </c>
      <c r="AL51" s="182">
        <v>55.823429541595836</v>
      </c>
      <c r="AM51" s="436">
        <f t="shared" si="33"/>
        <v>10</v>
      </c>
      <c r="AN51" s="605"/>
      <c r="AO51" s="436">
        <v>18</v>
      </c>
      <c r="AP51" s="182">
        <v>1038.1818181818169</v>
      </c>
      <c r="AQ51" s="182">
        <v>57.676767676767604</v>
      </c>
      <c r="AR51" s="436">
        <f t="shared" si="34"/>
        <v>10</v>
      </c>
      <c r="AS51" s="605"/>
      <c r="AT51" s="436">
        <v>19</v>
      </c>
      <c r="AU51" s="182">
        <v>1170.9677419354819</v>
      </c>
      <c r="AV51" s="182">
        <v>61.629881154499046</v>
      </c>
      <c r="AW51" s="436">
        <f t="shared" si="35"/>
        <v>9</v>
      </c>
      <c r="AX51" s="605"/>
    </row>
    <row r="52" spans="2:50">
      <c r="B52" s="572"/>
      <c r="C52" s="436">
        <v>6</v>
      </c>
      <c r="D52" s="226" t="s">
        <v>388</v>
      </c>
      <c r="E52" s="182">
        <v>19</v>
      </c>
      <c r="F52" s="436">
        <v>1385</v>
      </c>
      <c r="G52" s="437">
        <v>72.900000000000006</v>
      </c>
      <c r="H52" s="609"/>
      <c r="I52" s="446">
        <f t="shared" si="28"/>
        <v>19</v>
      </c>
      <c r="J52" s="446">
        <f t="shared" si="28"/>
        <v>1178.9488128715052</v>
      </c>
      <c r="K52" s="438">
        <f t="shared" si="28"/>
        <v>62.049937519552898</v>
      </c>
      <c r="L52" s="541"/>
      <c r="M52" s="445">
        <f>RANK(K52, K$47:$K$61)</f>
        <v>9</v>
      </c>
      <c r="N52" s="559"/>
      <c r="O52" s="559"/>
      <c r="P52" s="436">
        <v>19</v>
      </c>
      <c r="Q52" s="182">
        <v>1175.3571428571438</v>
      </c>
      <c r="R52" s="182">
        <v>61.860902255639147</v>
      </c>
      <c r="S52" s="436">
        <f t="shared" si="29"/>
        <v>10</v>
      </c>
      <c r="T52" s="605"/>
      <c r="U52" s="436">
        <v>19</v>
      </c>
      <c r="V52" s="182">
        <v>1179.8019801980204</v>
      </c>
      <c r="W52" s="182">
        <v>62.094841063053707</v>
      </c>
      <c r="X52" s="436">
        <f t="shared" si="30"/>
        <v>8</v>
      </c>
      <c r="Y52" s="605"/>
      <c r="Z52" s="436">
        <v>19</v>
      </c>
      <c r="AA52" s="182">
        <v>1181.6666666666656</v>
      </c>
      <c r="AB52" s="182">
        <v>62.192982456140292</v>
      </c>
      <c r="AC52" s="436">
        <f t="shared" si="31"/>
        <v>8</v>
      </c>
      <c r="AD52" s="605"/>
      <c r="AE52" s="436">
        <v>19</v>
      </c>
      <c r="AF52" s="182">
        <v>1183.3734939759033</v>
      </c>
      <c r="AG52" s="182">
        <v>62.282815472415962</v>
      </c>
      <c r="AH52" s="436">
        <f t="shared" si="32"/>
        <v>7</v>
      </c>
      <c r="AI52" s="605"/>
      <c r="AJ52" s="436">
        <v>19</v>
      </c>
      <c r="AK52" s="182">
        <v>1180.909090909091</v>
      </c>
      <c r="AL52" s="182">
        <v>62.153110047846894</v>
      </c>
      <c r="AM52" s="436">
        <f t="shared" si="33"/>
        <v>8</v>
      </c>
      <c r="AN52" s="605"/>
      <c r="AO52" s="436">
        <v>19</v>
      </c>
      <c r="AP52" s="182">
        <v>1173.5135135135126</v>
      </c>
      <c r="AQ52" s="182">
        <v>61.763869132290139</v>
      </c>
      <c r="AR52" s="436">
        <f t="shared" si="34"/>
        <v>8</v>
      </c>
      <c r="AS52" s="605"/>
      <c r="AT52" s="436">
        <v>19</v>
      </c>
      <c r="AU52" s="182">
        <v>1178.0198019801985</v>
      </c>
      <c r="AV52" s="182">
        <v>62.001042209484133</v>
      </c>
      <c r="AW52" s="436">
        <f t="shared" si="35"/>
        <v>8</v>
      </c>
      <c r="AX52" s="605"/>
    </row>
    <row r="53" spans="2:50">
      <c r="B53" s="572"/>
      <c r="C53" s="436">
        <v>7</v>
      </c>
      <c r="D53" s="226" t="s">
        <v>389</v>
      </c>
      <c r="E53" s="182">
        <v>19</v>
      </c>
      <c r="F53" s="436">
        <v>1440</v>
      </c>
      <c r="G53" s="437">
        <v>75.8</v>
      </c>
      <c r="H53" s="609"/>
      <c r="I53" s="446">
        <f t="shared" si="28"/>
        <v>19</v>
      </c>
      <c r="J53" s="446">
        <f t="shared" si="28"/>
        <v>1222.6131084663716</v>
      </c>
      <c r="K53" s="438">
        <f t="shared" si="28"/>
        <v>64.348058340335356</v>
      </c>
      <c r="L53" s="541"/>
      <c r="M53" s="445">
        <f>RANK(K53, K$47:$K$61)</f>
        <v>8</v>
      </c>
      <c r="N53" s="559"/>
      <c r="O53" s="559"/>
      <c r="P53" s="436">
        <v>19</v>
      </c>
      <c r="Q53" s="182">
        <v>1225.1162790697672</v>
      </c>
      <c r="R53" s="182">
        <v>64.47980416156669</v>
      </c>
      <c r="S53" s="436">
        <f t="shared" si="29"/>
        <v>8</v>
      </c>
      <c r="T53" s="605"/>
      <c r="U53" s="436">
        <v>19</v>
      </c>
      <c r="V53" s="182">
        <v>1230.399999999999</v>
      </c>
      <c r="W53" s="182">
        <v>64.757894736842047</v>
      </c>
      <c r="X53" s="436">
        <f t="shared" si="30"/>
        <v>7</v>
      </c>
      <c r="Y53" s="605"/>
      <c r="Z53" s="436">
        <v>19</v>
      </c>
      <c r="AA53" s="182">
        <v>1220.7407407407404</v>
      </c>
      <c r="AB53" s="182">
        <v>64.249512670565281</v>
      </c>
      <c r="AC53" s="436">
        <f t="shared" si="31"/>
        <v>7</v>
      </c>
      <c r="AD53" s="605"/>
      <c r="AE53" s="436">
        <v>19</v>
      </c>
      <c r="AF53" s="182">
        <v>1210.3846153846162</v>
      </c>
      <c r="AG53" s="182">
        <v>63.704453441295584</v>
      </c>
      <c r="AH53" s="436">
        <f t="shared" si="32"/>
        <v>6</v>
      </c>
      <c r="AI53" s="605"/>
      <c r="AJ53" s="436">
        <v>19</v>
      </c>
      <c r="AK53" s="182">
        <v>1217.4193548387109</v>
      </c>
      <c r="AL53" s="182">
        <v>64.074702886247948</v>
      </c>
      <c r="AM53" s="436">
        <f t="shared" si="33"/>
        <v>7</v>
      </c>
      <c r="AN53" s="605"/>
      <c r="AO53" s="436">
        <v>19</v>
      </c>
      <c r="AP53" s="182">
        <v>1229.2307692307686</v>
      </c>
      <c r="AQ53" s="182">
        <v>64.696356275303614</v>
      </c>
      <c r="AR53" s="436">
        <f t="shared" si="34"/>
        <v>7</v>
      </c>
      <c r="AS53" s="605"/>
      <c r="AT53" s="436">
        <v>19</v>
      </c>
      <c r="AU53" s="182">
        <v>1224.9999999999991</v>
      </c>
      <c r="AV53" s="182">
        <v>64.473684210526272</v>
      </c>
      <c r="AW53" s="436">
        <f t="shared" si="35"/>
        <v>6</v>
      </c>
      <c r="AX53" s="605"/>
    </row>
    <row r="54" spans="2:50">
      <c r="B54" s="572"/>
      <c r="C54" s="436">
        <v>8</v>
      </c>
      <c r="D54" s="226" t="s">
        <v>489</v>
      </c>
      <c r="E54" s="182">
        <v>17</v>
      </c>
      <c r="F54" s="436">
        <v>1385</v>
      </c>
      <c r="G54" s="437">
        <v>81.400000000000006</v>
      </c>
      <c r="H54" s="609"/>
      <c r="I54" s="446">
        <f t="shared" si="28"/>
        <v>17</v>
      </c>
      <c r="J54" s="446">
        <f t="shared" si="28"/>
        <v>1175.3706729575786</v>
      </c>
      <c r="K54" s="438">
        <f t="shared" si="28"/>
        <v>69.139451350445782</v>
      </c>
      <c r="L54" s="541"/>
      <c r="M54" s="445">
        <f>RANK(K54, K$47:$K$61)</f>
        <v>5</v>
      </c>
      <c r="N54" s="559"/>
      <c r="O54" s="559"/>
      <c r="P54" s="436">
        <v>17</v>
      </c>
      <c r="Q54" s="182">
        <v>1193.4065934065934</v>
      </c>
      <c r="R54" s="182">
        <v>70.200387847446677</v>
      </c>
      <c r="S54" s="436">
        <f t="shared" si="29"/>
        <v>5</v>
      </c>
      <c r="T54" s="605"/>
      <c r="U54" s="436">
        <v>17</v>
      </c>
      <c r="V54" s="182">
        <v>1168.5365853658532</v>
      </c>
      <c r="W54" s="182">
        <v>68.73744619799136</v>
      </c>
      <c r="X54" s="436">
        <f t="shared" si="30"/>
        <v>4</v>
      </c>
      <c r="Y54" s="605"/>
      <c r="Z54" s="436">
        <v>17</v>
      </c>
      <c r="AA54" s="182">
        <v>1176.9767441860465</v>
      </c>
      <c r="AB54" s="182">
        <v>69.233926128590966</v>
      </c>
      <c r="AC54" s="436">
        <f t="shared" si="31"/>
        <v>4</v>
      </c>
      <c r="AD54" s="605"/>
      <c r="AE54" s="436">
        <v>17</v>
      </c>
      <c r="AF54" s="182">
        <v>1197.7777777777783</v>
      </c>
      <c r="AG54" s="182">
        <v>70.457516339869315</v>
      </c>
      <c r="AH54" s="436">
        <f t="shared" si="32"/>
        <v>4</v>
      </c>
      <c r="AI54" s="605"/>
      <c r="AJ54" s="436">
        <v>17</v>
      </c>
      <c r="AK54" s="182">
        <v>1180.0000000000014</v>
      </c>
      <c r="AL54" s="182">
        <v>69.411764705882433</v>
      </c>
      <c r="AM54" s="436">
        <f t="shared" si="33"/>
        <v>4</v>
      </c>
      <c r="AN54" s="605"/>
      <c r="AO54" s="436">
        <v>17</v>
      </c>
      <c r="AP54" s="182">
        <v>1178.5714285714282</v>
      </c>
      <c r="AQ54" s="182">
        <v>69.327731092436949</v>
      </c>
      <c r="AR54" s="436">
        <f t="shared" si="34"/>
        <v>4</v>
      </c>
      <c r="AS54" s="605"/>
      <c r="AT54" s="436">
        <v>17</v>
      </c>
      <c r="AU54" s="182">
        <v>1132.3255813953488</v>
      </c>
      <c r="AV54" s="182">
        <v>66.607387140902873</v>
      </c>
      <c r="AW54" s="436">
        <f t="shared" si="35"/>
        <v>4</v>
      </c>
      <c r="AX54" s="605"/>
    </row>
    <row r="55" spans="2:50">
      <c r="B55" s="572"/>
      <c r="C55" s="436">
        <v>9</v>
      </c>
      <c r="D55" s="226" t="s">
        <v>492</v>
      </c>
      <c r="E55" s="182">
        <v>19</v>
      </c>
      <c r="F55" s="436">
        <v>1385</v>
      </c>
      <c r="G55" s="437">
        <v>72.900000000000006</v>
      </c>
      <c r="H55" s="609"/>
      <c r="I55" s="446">
        <f t="shared" si="28"/>
        <v>19.857142857142858</v>
      </c>
      <c r="J55" s="446">
        <f t="shared" si="28"/>
        <v>1154.1616825359226</v>
      </c>
      <c r="K55" s="438">
        <f t="shared" si="28"/>
        <v>58.139340840007719</v>
      </c>
      <c r="L55" s="541"/>
      <c r="M55" s="445">
        <f>RANK(K55, K$47:$K$61)</f>
        <v>11</v>
      </c>
      <c r="N55" s="559"/>
      <c r="O55" s="559"/>
      <c r="P55" s="436">
        <v>20</v>
      </c>
      <c r="Q55" s="182">
        <v>1166.3414634146336</v>
      </c>
      <c r="R55" s="182">
        <v>58.317073170731682</v>
      </c>
      <c r="S55" s="436">
        <f t="shared" si="29"/>
        <v>11</v>
      </c>
      <c r="T55" s="605"/>
      <c r="U55" s="436">
        <v>19</v>
      </c>
      <c r="V55" s="182">
        <v>1147.1428571428569</v>
      </c>
      <c r="W55" s="182">
        <v>60.375939849624046</v>
      </c>
      <c r="X55" s="436">
        <f t="shared" si="30"/>
        <v>10</v>
      </c>
      <c r="Y55" s="605"/>
      <c r="Z55" s="436">
        <v>20</v>
      </c>
      <c r="AA55" s="182">
        <v>1170.7692307692303</v>
      </c>
      <c r="AB55" s="182">
        <v>58.538461538461512</v>
      </c>
      <c r="AC55" s="436">
        <f t="shared" si="31"/>
        <v>10</v>
      </c>
      <c r="AD55" s="605"/>
      <c r="AE55" s="436">
        <v>20</v>
      </c>
      <c r="AF55" s="182">
        <v>1160.5714285714275</v>
      </c>
      <c r="AG55" s="182">
        <v>58.028571428571375</v>
      </c>
      <c r="AH55" s="436">
        <f t="shared" si="32"/>
        <v>9</v>
      </c>
      <c r="AI55" s="605"/>
      <c r="AJ55" s="436">
        <v>20</v>
      </c>
      <c r="AK55" s="182">
        <v>1156.9230769230762</v>
      </c>
      <c r="AL55" s="182">
        <v>57.846153846153811</v>
      </c>
      <c r="AM55" s="436">
        <f t="shared" si="33"/>
        <v>9</v>
      </c>
      <c r="AN55" s="605"/>
      <c r="AO55" s="436">
        <v>20</v>
      </c>
      <c r="AP55" s="182">
        <v>1162.4999999999995</v>
      </c>
      <c r="AQ55" s="182">
        <v>58.124999999999979</v>
      </c>
      <c r="AR55" s="436">
        <f t="shared" si="34"/>
        <v>9</v>
      </c>
      <c r="AS55" s="605"/>
      <c r="AT55" s="436">
        <v>20</v>
      </c>
      <c r="AU55" s="182">
        <v>1114.8837209302324</v>
      </c>
      <c r="AV55" s="182">
        <v>55.744186046511615</v>
      </c>
      <c r="AW55" s="436">
        <f t="shared" si="35"/>
        <v>10</v>
      </c>
      <c r="AX55" s="605"/>
    </row>
    <row r="56" spans="2:50">
      <c r="B56" s="572"/>
      <c r="C56" s="436">
        <v>10</v>
      </c>
      <c r="D56" s="226" t="s">
        <v>564</v>
      </c>
      <c r="E56" s="182">
        <v>16</v>
      </c>
      <c r="F56" s="436">
        <v>1440</v>
      </c>
      <c r="G56" s="437">
        <v>90</v>
      </c>
      <c r="H56" s="609"/>
      <c r="I56" s="446">
        <f t="shared" si="28"/>
        <v>15</v>
      </c>
      <c r="J56" s="446">
        <f t="shared" si="28"/>
        <v>1218.6988641710718</v>
      </c>
      <c r="K56" s="438">
        <f t="shared" si="28"/>
        <v>81.246590944738116</v>
      </c>
      <c r="L56" s="541"/>
      <c r="M56" s="445">
        <f>RANK(K56, K$47:$K$61)</f>
        <v>1</v>
      </c>
      <c r="N56" s="559"/>
      <c r="O56" s="559"/>
      <c r="P56" s="436">
        <v>15</v>
      </c>
      <c r="Q56" s="182">
        <v>1239.2125984251966</v>
      </c>
      <c r="R56" s="182">
        <v>82.614173228346445</v>
      </c>
      <c r="S56" s="436">
        <f t="shared" si="29"/>
        <v>1</v>
      </c>
      <c r="T56" s="605"/>
      <c r="U56" s="436">
        <v>15</v>
      </c>
      <c r="V56" s="182">
        <v>1243.2786885245896</v>
      </c>
      <c r="W56" s="182">
        <v>82.885245901639308</v>
      </c>
      <c r="X56" s="436">
        <f t="shared" si="30"/>
        <v>1</v>
      </c>
      <c r="Y56" s="605"/>
      <c r="Z56" s="436">
        <v>15</v>
      </c>
      <c r="AA56" s="182">
        <v>1198.5882352941185</v>
      </c>
      <c r="AB56" s="182">
        <v>79.905882352941234</v>
      </c>
      <c r="AC56" s="436">
        <f t="shared" si="31"/>
        <v>1</v>
      </c>
      <c r="AD56" s="605"/>
      <c r="AE56" s="436">
        <v>15</v>
      </c>
      <c r="AF56" s="182">
        <v>1212.3529411764712</v>
      </c>
      <c r="AG56" s="182">
        <v>80.823529411764738</v>
      </c>
      <c r="AH56" s="436">
        <f t="shared" si="32"/>
        <v>1</v>
      </c>
      <c r="AI56" s="605"/>
      <c r="AJ56" s="436">
        <v>15</v>
      </c>
      <c r="AK56" s="182">
        <v>1217.4545454545462</v>
      </c>
      <c r="AL56" s="182">
        <v>81.163636363636414</v>
      </c>
      <c r="AM56" s="436">
        <f t="shared" si="33"/>
        <v>1</v>
      </c>
      <c r="AN56" s="605"/>
      <c r="AO56" s="436">
        <v>15</v>
      </c>
      <c r="AP56" s="182">
        <v>1240.16129032258</v>
      </c>
      <c r="AQ56" s="182">
        <v>82.677419354838676</v>
      </c>
      <c r="AR56" s="436">
        <f t="shared" si="34"/>
        <v>1</v>
      </c>
      <c r="AS56" s="605"/>
      <c r="AT56" s="436">
        <v>15</v>
      </c>
      <c r="AU56" s="182">
        <v>1179.8437499999998</v>
      </c>
      <c r="AV56" s="182">
        <v>78.656249999999986</v>
      </c>
      <c r="AW56" s="436">
        <f t="shared" si="35"/>
        <v>1</v>
      </c>
      <c r="AX56" s="605"/>
    </row>
    <row r="57" spans="2:50">
      <c r="B57" s="572"/>
      <c r="C57" s="436">
        <v>11</v>
      </c>
      <c r="D57" s="226" t="s">
        <v>605</v>
      </c>
      <c r="E57" s="182">
        <v>16</v>
      </c>
      <c r="F57" s="436">
        <v>1440</v>
      </c>
      <c r="G57" s="437">
        <v>90</v>
      </c>
      <c r="H57" s="609"/>
      <c r="I57" s="446">
        <f t="shared" si="28"/>
        <v>16</v>
      </c>
      <c r="J57" s="446">
        <f t="shared" si="28"/>
        <v>1198.5241549567108</v>
      </c>
      <c r="K57" s="438">
        <f t="shared" si="28"/>
        <v>74.907759684794428</v>
      </c>
      <c r="L57" s="541"/>
      <c r="M57" s="445">
        <f>RANK(K57, K$47:$K$61)</f>
        <v>2</v>
      </c>
      <c r="N57" s="559"/>
      <c r="O57" s="559"/>
      <c r="P57" s="436">
        <v>16</v>
      </c>
      <c r="Q57" s="182">
        <v>1194.33962264151</v>
      </c>
      <c r="R57" s="182">
        <v>74.646226415094375</v>
      </c>
      <c r="S57" s="436">
        <f t="shared" si="29"/>
        <v>2</v>
      </c>
      <c r="T57" s="605"/>
      <c r="U57" s="436">
        <v>16</v>
      </c>
      <c r="V57" s="182">
        <v>1197.8947368421061</v>
      </c>
      <c r="W57" s="182">
        <v>74.868421052631632</v>
      </c>
      <c r="X57" s="436">
        <f t="shared" si="30"/>
        <v>2</v>
      </c>
      <c r="Y57" s="605"/>
      <c r="Z57" s="436">
        <v>16</v>
      </c>
      <c r="AA57" s="182">
        <v>1194.33962264151</v>
      </c>
      <c r="AB57" s="182">
        <v>74.646226415094375</v>
      </c>
      <c r="AC57" s="436">
        <f t="shared" si="31"/>
        <v>2</v>
      </c>
      <c r="AD57" s="605"/>
      <c r="AE57" s="436">
        <v>16</v>
      </c>
      <c r="AF57" s="182">
        <v>1205.4545454545466</v>
      </c>
      <c r="AG57" s="182">
        <v>75.340909090909165</v>
      </c>
      <c r="AH57" s="436">
        <f t="shared" si="32"/>
        <v>2</v>
      </c>
      <c r="AI57" s="605"/>
      <c r="AJ57" s="436">
        <v>16</v>
      </c>
      <c r="AK57" s="182">
        <v>1212.5581395348834</v>
      </c>
      <c r="AL57" s="182">
        <v>75.78488372093021</v>
      </c>
      <c r="AM57" s="436">
        <f t="shared" si="33"/>
        <v>2</v>
      </c>
      <c r="AN57" s="605"/>
      <c r="AO57" s="436">
        <v>16</v>
      </c>
      <c r="AP57" s="182">
        <v>1216.1538461538469</v>
      </c>
      <c r="AQ57" s="182">
        <v>76.009615384615429</v>
      </c>
      <c r="AR57" s="436">
        <f t="shared" si="34"/>
        <v>2</v>
      </c>
      <c r="AS57" s="605"/>
      <c r="AT57" s="436">
        <v>16</v>
      </c>
      <c r="AU57" s="182">
        <v>1168.9285714285722</v>
      </c>
      <c r="AV57" s="182">
        <v>73.058035714285765</v>
      </c>
      <c r="AW57" s="436">
        <f t="shared" si="35"/>
        <v>2</v>
      </c>
      <c r="AX57" s="605"/>
    </row>
    <row r="58" spans="2:50">
      <c r="B58" s="572"/>
      <c r="C58" s="436">
        <v>12</v>
      </c>
      <c r="D58" s="226"/>
      <c r="E58" s="182"/>
      <c r="F58" s="436"/>
      <c r="G58" s="437"/>
      <c r="H58" s="609"/>
      <c r="I58" s="446"/>
      <c r="J58" s="446"/>
      <c r="K58" s="438"/>
      <c r="L58" s="541"/>
      <c r="M58" s="445" t="e">
        <f>RANK(K58, K$47:$K$61)</f>
        <v>#N/A</v>
      </c>
      <c r="N58" s="559"/>
      <c r="O58" s="559"/>
      <c r="P58" s="436"/>
      <c r="Q58" s="182"/>
      <c r="R58" s="182"/>
      <c r="S58" s="436" t="e">
        <f t="shared" si="29"/>
        <v>#N/A</v>
      </c>
      <c r="T58" s="605"/>
      <c r="U58" s="436"/>
      <c r="V58" s="182"/>
      <c r="W58" s="182"/>
      <c r="X58" s="436" t="e">
        <f t="shared" si="30"/>
        <v>#N/A</v>
      </c>
      <c r="Y58" s="605"/>
      <c r="Z58" s="436"/>
      <c r="AA58" s="182"/>
      <c r="AB58" s="182"/>
      <c r="AC58" s="436" t="e">
        <f t="shared" si="31"/>
        <v>#N/A</v>
      </c>
      <c r="AD58" s="605"/>
      <c r="AE58" s="436"/>
      <c r="AF58" s="182"/>
      <c r="AG58" s="182"/>
      <c r="AH58" s="436" t="e">
        <f t="shared" si="32"/>
        <v>#N/A</v>
      </c>
      <c r="AI58" s="605"/>
      <c r="AJ58" s="436"/>
      <c r="AK58" s="182"/>
      <c r="AL58" s="182"/>
      <c r="AM58" s="436" t="e">
        <f t="shared" si="33"/>
        <v>#N/A</v>
      </c>
      <c r="AN58" s="605"/>
      <c r="AO58" s="436"/>
      <c r="AP58" s="182"/>
      <c r="AQ58" s="182"/>
      <c r="AR58" s="436" t="e">
        <f t="shared" si="34"/>
        <v>#N/A</v>
      </c>
      <c r="AS58" s="605"/>
      <c r="AT58" s="436"/>
      <c r="AU58" s="182"/>
      <c r="AV58" s="182"/>
      <c r="AW58" s="436" t="e">
        <f t="shared" si="35"/>
        <v>#N/A</v>
      </c>
      <c r="AX58" s="605"/>
    </row>
    <row r="59" spans="2:50">
      <c r="B59" s="572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41"/>
      <c r="M59" s="445" t="e">
        <f>RANK(K59, K$47:$K$61)</f>
        <v>#N/A</v>
      </c>
      <c r="N59" s="559"/>
      <c r="O59" s="559"/>
      <c r="P59" s="436"/>
      <c r="Q59" s="436"/>
      <c r="R59" s="436"/>
      <c r="S59" s="436" t="e">
        <f t="shared" si="29"/>
        <v>#N/A</v>
      </c>
      <c r="T59" s="605"/>
      <c r="U59" s="436"/>
      <c r="V59" s="436"/>
      <c r="W59" s="436"/>
      <c r="X59" s="436" t="e">
        <f t="shared" si="30"/>
        <v>#N/A</v>
      </c>
      <c r="Y59" s="605"/>
      <c r="Z59" s="436"/>
      <c r="AA59" s="436"/>
      <c r="AB59" s="436"/>
      <c r="AC59" s="436" t="e">
        <f t="shared" si="31"/>
        <v>#N/A</v>
      </c>
      <c r="AD59" s="605"/>
      <c r="AE59" s="436"/>
      <c r="AF59" s="436"/>
      <c r="AG59" s="436"/>
      <c r="AH59" s="436" t="e">
        <f t="shared" si="32"/>
        <v>#N/A</v>
      </c>
      <c r="AI59" s="605"/>
      <c r="AJ59" s="436"/>
      <c r="AK59" s="436"/>
      <c r="AL59" s="436"/>
      <c r="AM59" s="436" t="e">
        <f t="shared" si="33"/>
        <v>#N/A</v>
      </c>
      <c r="AN59" s="605"/>
      <c r="AO59" s="436"/>
      <c r="AP59" s="436"/>
      <c r="AQ59" s="436"/>
      <c r="AR59" s="436" t="e">
        <f t="shared" si="34"/>
        <v>#N/A</v>
      </c>
      <c r="AS59" s="605"/>
      <c r="AT59" s="436"/>
      <c r="AU59" s="436"/>
      <c r="AV59" s="436"/>
      <c r="AW59" s="436" t="e">
        <f t="shared" si="35"/>
        <v>#N/A</v>
      </c>
      <c r="AX59" s="605"/>
    </row>
    <row r="60" spans="2:50">
      <c r="B60" s="572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41"/>
      <c r="M60" s="445" t="e">
        <f>RANK(K60, K$47:$K$61)</f>
        <v>#N/A</v>
      </c>
      <c r="N60" s="559"/>
      <c r="O60" s="559"/>
      <c r="P60" s="436"/>
      <c r="Q60" s="436"/>
      <c r="R60" s="436"/>
      <c r="S60" s="436" t="e">
        <f t="shared" si="29"/>
        <v>#N/A</v>
      </c>
      <c r="T60" s="605"/>
      <c r="U60" s="436"/>
      <c r="V60" s="436"/>
      <c r="W60" s="436"/>
      <c r="X60" s="436" t="e">
        <f t="shared" si="30"/>
        <v>#N/A</v>
      </c>
      <c r="Y60" s="605"/>
      <c r="Z60" s="436"/>
      <c r="AA60" s="436"/>
      <c r="AB60" s="436"/>
      <c r="AC60" s="436" t="e">
        <f t="shared" si="31"/>
        <v>#N/A</v>
      </c>
      <c r="AD60" s="605"/>
      <c r="AE60" s="436"/>
      <c r="AF60" s="436"/>
      <c r="AG60" s="436"/>
      <c r="AH60" s="436" t="e">
        <f t="shared" si="32"/>
        <v>#N/A</v>
      </c>
      <c r="AI60" s="605"/>
      <c r="AJ60" s="436"/>
      <c r="AK60" s="436"/>
      <c r="AL60" s="436"/>
      <c r="AM60" s="436" t="e">
        <f t="shared" si="33"/>
        <v>#N/A</v>
      </c>
      <c r="AN60" s="605"/>
      <c r="AO60" s="436"/>
      <c r="AP60" s="436"/>
      <c r="AQ60" s="436"/>
      <c r="AR60" s="436" t="e">
        <f t="shared" si="34"/>
        <v>#N/A</v>
      </c>
      <c r="AS60" s="605"/>
      <c r="AT60" s="436"/>
      <c r="AU60" s="436"/>
      <c r="AV60" s="436"/>
      <c r="AW60" s="436" t="e">
        <f t="shared" si="35"/>
        <v>#N/A</v>
      </c>
      <c r="AX60" s="605"/>
    </row>
    <row r="61" spans="2:50">
      <c r="B61" s="572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42"/>
      <c r="M61" s="445" t="e">
        <f>RANK(K61, K$47:$K$61)</f>
        <v>#N/A</v>
      </c>
      <c r="N61" s="559"/>
      <c r="O61" s="559"/>
      <c r="P61" s="436"/>
      <c r="Q61" s="436"/>
      <c r="R61" s="436"/>
      <c r="S61" s="436" t="e">
        <f t="shared" si="29"/>
        <v>#N/A</v>
      </c>
      <c r="T61" s="605"/>
      <c r="U61" s="436"/>
      <c r="V61" s="436"/>
      <c r="W61" s="436"/>
      <c r="X61" s="436" t="e">
        <f t="shared" si="30"/>
        <v>#N/A</v>
      </c>
      <c r="Y61" s="605"/>
      <c r="Z61" s="436"/>
      <c r="AA61" s="436"/>
      <c r="AB61" s="436"/>
      <c r="AC61" s="436" t="e">
        <f t="shared" si="31"/>
        <v>#N/A</v>
      </c>
      <c r="AD61" s="605"/>
      <c r="AE61" s="436"/>
      <c r="AF61" s="436"/>
      <c r="AG61" s="436"/>
      <c r="AH61" s="436" t="e">
        <f t="shared" si="32"/>
        <v>#N/A</v>
      </c>
      <c r="AI61" s="605"/>
      <c r="AJ61" s="436"/>
      <c r="AK61" s="436"/>
      <c r="AL61" s="436"/>
      <c r="AM61" s="436" t="e">
        <f t="shared" si="33"/>
        <v>#N/A</v>
      </c>
      <c r="AN61" s="605"/>
      <c r="AO61" s="436"/>
      <c r="AP61" s="436"/>
      <c r="AQ61" s="436"/>
      <c r="AR61" s="436" t="e">
        <f t="shared" si="34"/>
        <v>#N/A</v>
      </c>
      <c r="AS61" s="605"/>
      <c r="AT61" s="436"/>
      <c r="AU61" s="436"/>
      <c r="AV61" s="436"/>
      <c r="AW61" s="436" t="e">
        <f t="shared" si="35"/>
        <v>#N/A</v>
      </c>
      <c r="AX61" s="605"/>
    </row>
    <row r="62" spans="2:50" ht="15.75">
      <c r="B62" s="576" t="s">
        <v>731</v>
      </c>
      <c r="C62" s="577"/>
      <c r="D62" s="577"/>
      <c r="E62" s="577"/>
      <c r="F62" s="577"/>
      <c r="G62" s="577"/>
      <c r="H62" s="578"/>
      <c r="I62" s="208"/>
      <c r="J62" s="208"/>
      <c r="K62" s="208"/>
      <c r="L62" s="208"/>
      <c r="M62" s="207"/>
      <c r="N62" s="565" t="s">
        <v>732</v>
      </c>
      <c r="O62" s="565" t="s">
        <v>733</v>
      </c>
      <c r="P62" s="571">
        <f>P42+7</f>
        <v>46407</v>
      </c>
      <c r="Q62" s="572"/>
      <c r="R62" s="572"/>
      <c r="S62" s="572"/>
      <c r="T62" s="572"/>
      <c r="U62" s="568">
        <f>P62+1</f>
        <v>46408</v>
      </c>
      <c r="V62" s="569"/>
      <c r="W62" s="569"/>
      <c r="X62" s="569"/>
      <c r="Y62" s="570"/>
      <c r="Z62" s="568">
        <f>U62+1</f>
        <v>46409</v>
      </c>
      <c r="AA62" s="569"/>
      <c r="AB62" s="569"/>
      <c r="AC62" s="569"/>
      <c r="AD62" s="570"/>
      <c r="AE62" s="568">
        <f>Z62+1</f>
        <v>46410</v>
      </c>
      <c r="AF62" s="569"/>
      <c r="AG62" s="569"/>
      <c r="AH62" s="569"/>
      <c r="AI62" s="570"/>
      <c r="AJ62" s="568">
        <f>AE62+1</f>
        <v>46411</v>
      </c>
      <c r="AK62" s="569"/>
      <c r="AL62" s="569"/>
      <c r="AM62" s="569"/>
      <c r="AN62" s="570"/>
      <c r="AO62" s="568">
        <f>AJ62+1</f>
        <v>46412</v>
      </c>
      <c r="AP62" s="569"/>
      <c r="AQ62" s="569"/>
      <c r="AR62" s="569"/>
      <c r="AS62" s="570"/>
      <c r="AT62" s="568">
        <f>AO62+1</f>
        <v>46413</v>
      </c>
      <c r="AU62" s="569"/>
      <c r="AV62" s="569"/>
      <c r="AW62" s="569"/>
      <c r="AX62" s="570"/>
    </row>
    <row r="63" spans="2:50" ht="15.75">
      <c r="B63" s="579"/>
      <c r="C63" s="579"/>
      <c r="D63" s="579"/>
      <c r="E63" s="579"/>
      <c r="F63" s="579"/>
      <c r="G63" s="579"/>
      <c r="H63" s="579"/>
      <c r="I63" s="205"/>
      <c r="J63" s="205"/>
      <c r="K63" s="205"/>
      <c r="L63" s="205"/>
      <c r="M63" s="206"/>
      <c r="N63" s="567"/>
      <c r="O63" s="567"/>
      <c r="P63" s="571" t="s">
        <v>734</v>
      </c>
      <c r="Q63" s="572"/>
      <c r="R63" s="572"/>
      <c r="S63" s="572"/>
      <c r="T63" s="572"/>
      <c r="U63" s="571" t="s">
        <v>735</v>
      </c>
      <c r="V63" s="572"/>
      <c r="W63" s="572"/>
      <c r="X63" s="572"/>
      <c r="Y63" s="572"/>
      <c r="Z63" s="571" t="s">
        <v>736</v>
      </c>
      <c r="AA63" s="572"/>
      <c r="AB63" s="572"/>
      <c r="AC63" s="572"/>
      <c r="AD63" s="572"/>
      <c r="AE63" s="571" t="s">
        <v>737</v>
      </c>
      <c r="AF63" s="572"/>
      <c r="AG63" s="572"/>
      <c r="AH63" s="572"/>
      <c r="AI63" s="572"/>
      <c r="AJ63" s="571" t="s">
        <v>738</v>
      </c>
      <c r="AK63" s="572"/>
      <c r="AL63" s="572"/>
      <c r="AM63" s="572"/>
      <c r="AN63" s="572"/>
      <c r="AO63" s="571" t="s">
        <v>739</v>
      </c>
      <c r="AP63" s="572"/>
      <c r="AQ63" s="572"/>
      <c r="AR63" s="572"/>
      <c r="AS63" s="572"/>
      <c r="AT63" s="571" t="s">
        <v>740</v>
      </c>
      <c r="AU63" s="572"/>
      <c r="AV63" s="572"/>
      <c r="AW63" s="572"/>
      <c r="AX63" s="572"/>
    </row>
    <row r="64" spans="2:50">
      <c r="B64" s="559" t="s">
        <v>741</v>
      </c>
      <c r="C64" s="559" t="s">
        <v>742</v>
      </c>
      <c r="D64" s="559"/>
      <c r="E64" s="559" t="s">
        <v>743</v>
      </c>
      <c r="F64" s="559"/>
      <c r="G64" s="559"/>
      <c r="H64" s="560" t="s">
        <v>744</v>
      </c>
      <c r="I64" s="543" t="s">
        <v>745</v>
      </c>
      <c r="J64" s="543"/>
      <c r="K64" s="543"/>
      <c r="L64" s="544" t="s">
        <v>744</v>
      </c>
      <c r="M64" s="550" t="s">
        <v>746</v>
      </c>
      <c r="N64" s="559"/>
      <c r="O64" s="559" t="s">
        <v>747</v>
      </c>
      <c r="P64" s="556" t="s">
        <v>748</v>
      </c>
      <c r="Q64" s="557"/>
      <c r="R64" s="557"/>
      <c r="S64" s="558"/>
      <c r="T64" s="559" t="s">
        <v>744</v>
      </c>
      <c r="U64" s="556" t="s">
        <v>748</v>
      </c>
      <c r="V64" s="557"/>
      <c r="W64" s="557"/>
      <c r="X64" s="558"/>
      <c r="Y64" s="559" t="s">
        <v>744</v>
      </c>
      <c r="Z64" s="556" t="s">
        <v>748</v>
      </c>
      <c r="AA64" s="557"/>
      <c r="AB64" s="557"/>
      <c r="AC64" s="558"/>
      <c r="AD64" s="559" t="s">
        <v>744</v>
      </c>
      <c r="AE64" s="556" t="s">
        <v>748</v>
      </c>
      <c r="AF64" s="557"/>
      <c r="AG64" s="557"/>
      <c r="AH64" s="558"/>
      <c r="AI64" s="559" t="s">
        <v>744</v>
      </c>
      <c r="AJ64" s="556" t="s">
        <v>748</v>
      </c>
      <c r="AK64" s="557"/>
      <c r="AL64" s="557"/>
      <c r="AM64" s="558"/>
      <c r="AN64" s="559" t="s">
        <v>744</v>
      </c>
      <c r="AO64" s="556" t="s">
        <v>748</v>
      </c>
      <c r="AP64" s="557"/>
      <c r="AQ64" s="557"/>
      <c r="AR64" s="558"/>
      <c r="AS64" s="559" t="s">
        <v>744</v>
      </c>
      <c r="AT64" s="556" t="s">
        <v>748</v>
      </c>
      <c r="AU64" s="557"/>
      <c r="AV64" s="557"/>
      <c r="AW64" s="558"/>
      <c r="AX64" s="559" t="s">
        <v>744</v>
      </c>
    </row>
    <row r="65" spans="2:50">
      <c r="B65" s="559"/>
      <c r="C65" s="559"/>
      <c r="D65" s="559"/>
      <c r="E65" s="559" t="s">
        <v>749</v>
      </c>
      <c r="F65" s="559"/>
      <c r="G65" s="559"/>
      <c r="H65" s="561"/>
      <c r="I65" s="543" t="s">
        <v>749</v>
      </c>
      <c r="J65" s="543"/>
      <c r="K65" s="543"/>
      <c r="L65" s="545"/>
      <c r="M65" s="551"/>
      <c r="N65" s="559"/>
      <c r="O65" s="559"/>
      <c r="P65" s="556" t="s">
        <v>750</v>
      </c>
      <c r="Q65" s="557"/>
      <c r="R65" s="557"/>
      <c r="S65" s="558"/>
      <c r="T65" s="559"/>
      <c r="U65" s="556" t="s">
        <v>750</v>
      </c>
      <c r="V65" s="557"/>
      <c r="W65" s="557"/>
      <c r="X65" s="558"/>
      <c r="Y65" s="559"/>
      <c r="Z65" s="556" t="s">
        <v>750</v>
      </c>
      <c r="AA65" s="557"/>
      <c r="AB65" s="557"/>
      <c r="AC65" s="558"/>
      <c r="AD65" s="559"/>
      <c r="AE65" s="556" t="s">
        <v>750</v>
      </c>
      <c r="AF65" s="557"/>
      <c r="AG65" s="557"/>
      <c r="AH65" s="558"/>
      <c r="AI65" s="559"/>
      <c r="AJ65" s="556" t="s">
        <v>750</v>
      </c>
      <c r="AK65" s="557"/>
      <c r="AL65" s="557"/>
      <c r="AM65" s="558"/>
      <c r="AN65" s="559"/>
      <c r="AO65" s="556" t="s">
        <v>750</v>
      </c>
      <c r="AP65" s="557"/>
      <c r="AQ65" s="557"/>
      <c r="AR65" s="558"/>
      <c r="AS65" s="559"/>
      <c r="AT65" s="556" t="s">
        <v>750</v>
      </c>
      <c r="AU65" s="557"/>
      <c r="AV65" s="557"/>
      <c r="AW65" s="558"/>
      <c r="AX65" s="559"/>
    </row>
    <row r="66" spans="2:50">
      <c r="B66" s="559"/>
      <c r="C66" s="559"/>
      <c r="D66" s="559"/>
      <c r="E66" s="440" t="s">
        <v>751</v>
      </c>
      <c r="F66" s="440" t="s">
        <v>752</v>
      </c>
      <c r="G66" s="440" t="s">
        <v>753</v>
      </c>
      <c r="H66" s="562"/>
      <c r="I66" s="444" t="s">
        <v>751</v>
      </c>
      <c r="J66" s="444" t="s">
        <v>752</v>
      </c>
      <c r="K66" s="444" t="s">
        <v>753</v>
      </c>
      <c r="L66" s="546"/>
      <c r="M66" s="552"/>
      <c r="N66" s="559"/>
      <c r="O66" s="559"/>
      <c r="P66" s="440" t="s">
        <v>751</v>
      </c>
      <c r="Q66" s="440" t="s">
        <v>752</v>
      </c>
      <c r="R66" s="440" t="s">
        <v>753</v>
      </c>
      <c r="S66" s="440" t="s">
        <v>746</v>
      </c>
      <c r="T66" s="559"/>
      <c r="U66" s="440" t="s">
        <v>751</v>
      </c>
      <c r="V66" s="440" t="s">
        <v>752</v>
      </c>
      <c r="W66" s="440" t="s">
        <v>753</v>
      </c>
      <c r="X66" s="440" t="s">
        <v>746</v>
      </c>
      <c r="Y66" s="559"/>
      <c r="Z66" s="440" t="s">
        <v>751</v>
      </c>
      <c r="AA66" s="440" t="s">
        <v>752</v>
      </c>
      <c r="AB66" s="440" t="s">
        <v>753</v>
      </c>
      <c r="AC66" s="440" t="s">
        <v>746</v>
      </c>
      <c r="AD66" s="559"/>
      <c r="AE66" s="440" t="s">
        <v>751</v>
      </c>
      <c r="AF66" s="440" t="s">
        <v>752</v>
      </c>
      <c r="AG66" s="440" t="s">
        <v>753</v>
      </c>
      <c r="AH66" s="440" t="s">
        <v>746</v>
      </c>
      <c r="AI66" s="559"/>
      <c r="AJ66" s="440" t="s">
        <v>751</v>
      </c>
      <c r="AK66" s="440" t="s">
        <v>752</v>
      </c>
      <c r="AL66" s="440" t="s">
        <v>753</v>
      </c>
      <c r="AM66" s="440" t="s">
        <v>746</v>
      </c>
      <c r="AN66" s="559"/>
      <c r="AO66" s="440" t="s">
        <v>751</v>
      </c>
      <c r="AP66" s="440" t="s">
        <v>752</v>
      </c>
      <c r="AQ66" s="440" t="s">
        <v>753</v>
      </c>
      <c r="AR66" s="440" t="s">
        <v>746</v>
      </c>
      <c r="AS66" s="559"/>
      <c r="AT66" s="440" t="s">
        <v>751</v>
      </c>
      <c r="AU66" s="440" t="s">
        <v>752</v>
      </c>
      <c r="AV66" s="440" t="s">
        <v>753</v>
      </c>
      <c r="AW66" s="440" t="s">
        <v>746</v>
      </c>
      <c r="AX66" s="559"/>
    </row>
    <row r="67" spans="2:50">
      <c r="B67" s="559" t="s">
        <v>792</v>
      </c>
      <c r="C67" s="436">
        <v>1</v>
      </c>
      <c r="D67" s="226" t="s">
        <v>383</v>
      </c>
      <c r="E67" s="182">
        <v>18</v>
      </c>
      <c r="F67" s="436">
        <v>1440</v>
      </c>
      <c r="G67" s="437">
        <v>80</v>
      </c>
      <c r="H67" s="608">
        <f>AVERAGE(G67:G81)</f>
        <v>80.745454545454535</v>
      </c>
      <c r="I67" s="446">
        <f>AVERAGE(P67,U67,Z67,AE67,AJ67,AO67,AT67)</f>
        <v>18</v>
      </c>
      <c r="J67" s="446">
        <f>AVERAGE(Q67,V67,AA67,AF67,AK67,AP67,AU67)</f>
        <v>1282.2548874231263</v>
      </c>
      <c r="K67" s="438">
        <f>AVERAGE(R67,W67,AB67,AG67,AL67,AQ67,AV67)</f>
        <v>71.236382634618124</v>
      </c>
      <c r="L67" s="540">
        <f>IFERROR(AVERAGE(K67:K81),"-")</f>
        <v>67.487136678948616</v>
      </c>
      <c r="M67" s="445">
        <f>RANK(K67, K$67:$K$81)</f>
        <v>4</v>
      </c>
      <c r="N67" s="559"/>
      <c r="O67" s="559"/>
      <c r="P67" s="182">
        <v>18</v>
      </c>
      <c r="Q67" s="437">
        <v>1293.9622641509432</v>
      </c>
      <c r="R67" s="437">
        <v>71.886792452830178</v>
      </c>
      <c r="S67" s="436">
        <f>RANK(R67, R$67:R$81)</f>
        <v>4</v>
      </c>
      <c r="T67" s="608">
        <f>AVERAGE(R67:R81)</f>
        <v>67.95498777009756</v>
      </c>
      <c r="U67" s="182">
        <v>18</v>
      </c>
      <c r="V67" s="437">
        <v>1283.7362637362637</v>
      </c>
      <c r="W67" s="437">
        <v>71.318681318681314</v>
      </c>
      <c r="X67" s="436">
        <f t="shared" ref="X67:X81" si="36">RANK(W67, W$67:W$81)</f>
        <v>4</v>
      </c>
      <c r="Y67" s="608">
        <f t="shared" ref="Y67" si="37">AVERAGE(W67:W81)</f>
        <v>68.670483766907509</v>
      </c>
      <c r="Z67" s="182">
        <v>18</v>
      </c>
      <c r="AA67" s="437">
        <v>1300.3692307692315</v>
      </c>
      <c r="AB67" s="437">
        <v>72.242735042735092</v>
      </c>
      <c r="AC67" s="436">
        <f t="shared" ref="AC67:AC81" si="38">RANK(AB67, AB$67:AB$81)</f>
        <v>4</v>
      </c>
      <c r="AD67" s="608">
        <f t="shared" ref="AD67" si="39">AVERAGE(AB67:AB81)</f>
        <v>67.666055561729195</v>
      </c>
      <c r="AE67" s="182">
        <v>18</v>
      </c>
      <c r="AF67" s="437">
        <v>1278.701298701299</v>
      </c>
      <c r="AG67" s="437">
        <v>71.038961038961062</v>
      </c>
      <c r="AH67" s="436">
        <f t="shared" ref="AH67:AH81" si="40">RANK(AG67, AG$67:AG$81)</f>
        <v>3</v>
      </c>
      <c r="AI67" s="608">
        <f t="shared" ref="AI67" si="41">AVERAGE(AG67:AG81)</f>
        <v>65.475924450327227</v>
      </c>
      <c r="AJ67" s="182">
        <v>18</v>
      </c>
      <c r="AK67" s="437">
        <v>1271.8518518518515</v>
      </c>
      <c r="AL67" s="437">
        <v>70.658436213991749</v>
      </c>
      <c r="AM67" s="436">
        <f t="shared" ref="AM67:AM81" si="42">RANK(AL67, AL$67:AL$81)</f>
        <v>4</v>
      </c>
      <c r="AN67" s="608">
        <f t="shared" ref="AN67" si="43">AVERAGE(AL67:AL81)</f>
        <v>67.013594809984525</v>
      </c>
      <c r="AO67" s="182">
        <v>18</v>
      </c>
      <c r="AP67" s="437">
        <v>1271.2000000000005</v>
      </c>
      <c r="AQ67" s="437">
        <v>70.622222222222248</v>
      </c>
      <c r="AR67" s="436">
        <f t="shared" ref="AR67:AR81" si="44">RANK(AQ67, AQ$67:AQ$81)</f>
        <v>4</v>
      </c>
      <c r="AS67" s="608">
        <f t="shared" ref="AS67" si="45">AVERAGE(AQ67:AQ81)</f>
        <v>67.688151281205407</v>
      </c>
      <c r="AT67" s="182">
        <v>18</v>
      </c>
      <c r="AU67" s="437">
        <v>1275.9633027522934</v>
      </c>
      <c r="AV67" s="437">
        <v>70.886850152905197</v>
      </c>
      <c r="AW67" s="436">
        <f t="shared" ref="AW67:AW81" si="46">RANK(AV67, AV$67:AV$81)</f>
        <v>4</v>
      </c>
      <c r="AX67" s="605">
        <f t="shared" ref="AX67" si="47">AVERAGE(AV67:AV81)</f>
        <v>67.940759112388818</v>
      </c>
    </row>
    <row r="68" spans="2:50">
      <c r="B68" s="572"/>
      <c r="C68" s="436">
        <v>2</v>
      </c>
      <c r="D68" s="226" t="s">
        <v>384</v>
      </c>
      <c r="E68" s="182">
        <v>19</v>
      </c>
      <c r="F68" s="436">
        <v>1440</v>
      </c>
      <c r="G68" s="437">
        <v>75.8</v>
      </c>
      <c r="H68" s="609"/>
      <c r="I68" s="446">
        <f t="shared" ref="I68:K77" si="48">AVERAGE(P68,U68,Z68,AE68,AJ68,AO68,AT68)</f>
        <v>18</v>
      </c>
      <c r="J68" s="446">
        <f t="shared" si="48"/>
        <v>1118.0038980609038</v>
      </c>
      <c r="K68" s="438">
        <f t="shared" si="48"/>
        <v>62.111327670050223</v>
      </c>
      <c r="L68" s="541"/>
      <c r="M68" s="445">
        <f>RANK(K68, K$67:$K$81)</f>
        <v>8</v>
      </c>
      <c r="N68" s="559"/>
      <c r="O68" s="559"/>
      <c r="P68" s="436">
        <v>18</v>
      </c>
      <c r="Q68" s="437">
        <v>1102.4999999999984</v>
      </c>
      <c r="R68" s="437">
        <v>61.249999999999915</v>
      </c>
      <c r="S68" s="436">
        <f t="shared" ref="S68:S81" si="49">RANK(R68, R$67:R$81)</f>
        <v>9</v>
      </c>
      <c r="T68" s="609"/>
      <c r="U68" s="436">
        <v>18</v>
      </c>
      <c r="V68" s="437">
        <v>1191.1111111111084</v>
      </c>
      <c r="W68" s="437">
        <v>66.172839506172693</v>
      </c>
      <c r="X68" s="436">
        <f t="shared" si="36"/>
        <v>7</v>
      </c>
      <c r="Y68" s="609"/>
      <c r="Z68" s="436">
        <v>18</v>
      </c>
      <c r="AA68" s="437">
        <v>1054.8387096774177</v>
      </c>
      <c r="AB68" s="437">
        <v>58.602150537634316</v>
      </c>
      <c r="AC68" s="436">
        <f t="shared" si="38"/>
        <v>10</v>
      </c>
      <c r="AD68" s="609"/>
      <c r="AE68" s="436">
        <v>18</v>
      </c>
      <c r="AF68" s="437">
        <v>1086.9230769230739</v>
      </c>
      <c r="AG68" s="437">
        <v>60.384615384615216</v>
      </c>
      <c r="AH68" s="436">
        <f t="shared" si="40"/>
        <v>9</v>
      </c>
      <c r="AI68" s="609"/>
      <c r="AJ68" s="436">
        <v>18</v>
      </c>
      <c r="AK68" s="437">
        <v>1061.2499999999984</v>
      </c>
      <c r="AL68" s="437">
        <v>58.958333333333243</v>
      </c>
      <c r="AM68" s="436">
        <f t="shared" si="42"/>
        <v>10</v>
      </c>
      <c r="AN68" s="609"/>
      <c r="AO68" s="436">
        <v>18</v>
      </c>
      <c r="AP68" s="437">
        <v>1247.5862068965494</v>
      </c>
      <c r="AQ68" s="437">
        <v>69.310344827586079</v>
      </c>
      <c r="AR68" s="436">
        <f t="shared" si="44"/>
        <v>5</v>
      </c>
      <c r="AS68" s="609"/>
      <c r="AT68" s="436">
        <v>18</v>
      </c>
      <c r="AU68" s="437">
        <v>1081.8181818181804</v>
      </c>
      <c r="AV68" s="437">
        <v>60.101010101010019</v>
      </c>
      <c r="AW68" s="436">
        <f t="shared" si="46"/>
        <v>11</v>
      </c>
      <c r="AX68" s="605"/>
    </row>
    <row r="69" spans="2:50">
      <c r="B69" s="572"/>
      <c r="C69" s="436">
        <v>3</v>
      </c>
      <c r="D69" s="226" t="s">
        <v>793</v>
      </c>
      <c r="E69" s="182">
        <v>18</v>
      </c>
      <c r="F69" s="436">
        <v>1440</v>
      </c>
      <c r="G69" s="437">
        <v>80</v>
      </c>
      <c r="H69" s="609"/>
      <c r="I69" s="446">
        <f t="shared" si="48"/>
        <v>19</v>
      </c>
      <c r="J69" s="446">
        <f t="shared" si="48"/>
        <v>1213.0245789821522</v>
      </c>
      <c r="K69" s="438">
        <f t="shared" si="48"/>
        <v>63.843398893797477</v>
      </c>
      <c r="L69" s="541"/>
      <c r="M69" s="445">
        <f>RANK(K69, K$67:$K$81)</f>
        <v>7</v>
      </c>
      <c r="N69" s="559"/>
      <c r="O69" s="559"/>
      <c r="P69" s="436">
        <v>19</v>
      </c>
      <c r="Q69" s="437">
        <v>1210.7236363636359</v>
      </c>
      <c r="R69" s="437">
        <v>63.722296650717681</v>
      </c>
      <c r="S69" s="436">
        <f t="shared" si="49"/>
        <v>6</v>
      </c>
      <c r="T69" s="609"/>
      <c r="U69" s="436">
        <v>19</v>
      </c>
      <c r="V69" s="437">
        <v>1209.6000000000042</v>
      </c>
      <c r="W69" s="437">
        <v>63.663157894737061</v>
      </c>
      <c r="X69" s="436">
        <f t="shared" si="36"/>
        <v>9</v>
      </c>
      <c r="Y69" s="609"/>
      <c r="Z69" s="436">
        <v>19</v>
      </c>
      <c r="AA69" s="437">
        <v>1239.0000000000045</v>
      </c>
      <c r="AB69" s="437">
        <v>65.210526315789707</v>
      </c>
      <c r="AC69" s="436">
        <f t="shared" si="38"/>
        <v>7</v>
      </c>
      <c r="AD69" s="609"/>
      <c r="AE69" s="436">
        <v>19</v>
      </c>
      <c r="AF69" s="437">
        <v>1205.1428571428557</v>
      </c>
      <c r="AG69" s="437">
        <v>63.428571428571352</v>
      </c>
      <c r="AH69" s="436">
        <f t="shared" si="40"/>
        <v>7</v>
      </c>
      <c r="AI69" s="609"/>
      <c r="AJ69" s="436">
        <v>19</v>
      </c>
      <c r="AK69" s="437">
        <v>1199.9999999999998</v>
      </c>
      <c r="AL69" s="437">
        <v>63.157894736842096</v>
      </c>
      <c r="AM69" s="436">
        <f t="shared" si="42"/>
        <v>7</v>
      </c>
      <c r="AN69" s="609"/>
      <c r="AO69" s="436">
        <v>19</v>
      </c>
      <c r="AP69" s="437">
        <v>1236.3829787234044</v>
      </c>
      <c r="AQ69" s="437">
        <v>65.072788353863388</v>
      </c>
      <c r="AR69" s="436">
        <f t="shared" si="44"/>
        <v>8</v>
      </c>
      <c r="AS69" s="609"/>
      <c r="AT69" s="436">
        <v>19</v>
      </c>
      <c r="AU69" s="437">
        <v>1190.3225806451594</v>
      </c>
      <c r="AV69" s="437">
        <v>62.648556876061022</v>
      </c>
      <c r="AW69" s="436">
        <f t="shared" si="46"/>
        <v>8</v>
      </c>
      <c r="AX69" s="605"/>
    </row>
    <row r="70" spans="2:50">
      <c r="B70" s="572"/>
      <c r="C70" s="436">
        <v>4</v>
      </c>
      <c r="D70" s="226" t="s">
        <v>385</v>
      </c>
      <c r="E70" s="182">
        <v>17</v>
      </c>
      <c r="F70" s="436">
        <v>1440</v>
      </c>
      <c r="G70" s="437">
        <v>84.7</v>
      </c>
      <c r="H70" s="609"/>
      <c r="I70" s="446">
        <f t="shared" si="48"/>
        <v>17</v>
      </c>
      <c r="J70" s="446">
        <f t="shared" si="48"/>
        <v>1283.5762140861166</v>
      </c>
      <c r="K70" s="438">
        <f t="shared" si="48"/>
        <v>75.504483181536258</v>
      </c>
      <c r="L70" s="541"/>
      <c r="M70" s="445">
        <f>RANK(K70, K$67:$K$81)</f>
        <v>3</v>
      </c>
      <c r="N70" s="559"/>
      <c r="O70" s="559"/>
      <c r="P70" s="436">
        <v>17</v>
      </c>
      <c r="Q70" s="437">
        <v>1272.7118644067791</v>
      </c>
      <c r="R70" s="437">
        <v>74.865403788634069</v>
      </c>
      <c r="S70" s="436">
        <f t="shared" si="49"/>
        <v>3</v>
      </c>
      <c r="T70" s="609"/>
      <c r="U70" s="436">
        <v>17</v>
      </c>
      <c r="V70" s="437">
        <v>1283.5294117647065</v>
      </c>
      <c r="W70" s="437">
        <v>75.501730103806267</v>
      </c>
      <c r="X70" s="436">
        <f t="shared" si="36"/>
        <v>2</v>
      </c>
      <c r="Y70" s="609"/>
      <c r="Z70" s="436">
        <v>17</v>
      </c>
      <c r="AA70" s="437">
        <v>1287.032967032967</v>
      </c>
      <c r="AB70" s="437">
        <v>75.707821590174532</v>
      </c>
      <c r="AC70" s="436">
        <f t="shared" si="38"/>
        <v>2</v>
      </c>
      <c r="AD70" s="609"/>
      <c r="AE70" s="436">
        <v>17</v>
      </c>
      <c r="AF70" s="437">
        <v>1296.0000000000002</v>
      </c>
      <c r="AG70" s="437">
        <v>76.235294117647072</v>
      </c>
      <c r="AH70" s="436">
        <f t="shared" si="40"/>
        <v>1</v>
      </c>
      <c r="AI70" s="609"/>
      <c r="AJ70" s="436">
        <v>17</v>
      </c>
      <c r="AK70" s="437">
        <v>1291.176470588236</v>
      </c>
      <c r="AL70" s="437">
        <v>75.951557093425649</v>
      </c>
      <c r="AM70" s="436">
        <f t="shared" si="42"/>
        <v>2</v>
      </c>
      <c r="AN70" s="609"/>
      <c r="AO70" s="436">
        <v>17</v>
      </c>
      <c r="AP70" s="437">
        <v>1300.8227848101258</v>
      </c>
      <c r="AQ70" s="437">
        <v>76.518987341772103</v>
      </c>
      <c r="AR70" s="436">
        <f t="shared" si="44"/>
        <v>2</v>
      </c>
      <c r="AS70" s="609"/>
      <c r="AT70" s="436">
        <v>17</v>
      </c>
      <c r="AU70" s="437">
        <v>1253.7599999999995</v>
      </c>
      <c r="AV70" s="437">
        <v>73.750588235294089</v>
      </c>
      <c r="AW70" s="436">
        <f t="shared" si="46"/>
        <v>3</v>
      </c>
      <c r="AX70" s="605"/>
    </row>
    <row r="71" spans="2:50">
      <c r="B71" s="572"/>
      <c r="C71" s="436">
        <v>5</v>
      </c>
      <c r="D71" s="226" t="s">
        <v>387</v>
      </c>
      <c r="E71" s="182">
        <v>17</v>
      </c>
      <c r="F71" s="436">
        <v>1440</v>
      </c>
      <c r="G71" s="437">
        <v>84.7</v>
      </c>
      <c r="H71" s="609"/>
      <c r="I71" s="446">
        <f t="shared" si="48"/>
        <v>18</v>
      </c>
      <c r="J71" s="446">
        <f t="shared" si="48"/>
        <v>1105.5801419566724</v>
      </c>
      <c r="K71" s="438">
        <f t="shared" si="48"/>
        <v>58.631202124703726</v>
      </c>
      <c r="L71" s="541"/>
      <c r="M71" s="445">
        <f>RANK(K71, K$67:$K$81)</f>
        <v>11</v>
      </c>
      <c r="N71" s="559"/>
      <c r="O71" s="559"/>
      <c r="P71" s="436">
        <v>18</v>
      </c>
      <c r="Q71" s="437">
        <v>1060.0000000000011</v>
      </c>
      <c r="R71" s="437">
        <v>58.88888888888895</v>
      </c>
      <c r="S71" s="436">
        <f t="shared" si="49"/>
        <v>11</v>
      </c>
      <c r="T71" s="609"/>
      <c r="U71" s="436">
        <v>18</v>
      </c>
      <c r="V71" s="437">
        <v>1166.6666666666672</v>
      </c>
      <c r="W71" s="437">
        <v>61.40350877192985</v>
      </c>
      <c r="X71" s="436">
        <f t="shared" si="36"/>
        <v>11</v>
      </c>
      <c r="Y71" s="609"/>
      <c r="Z71" s="436">
        <v>18</v>
      </c>
      <c r="AA71" s="437">
        <v>1088.2758620689663</v>
      </c>
      <c r="AB71" s="437">
        <v>57.277676950998227</v>
      </c>
      <c r="AC71" s="436">
        <f t="shared" si="38"/>
        <v>11</v>
      </c>
      <c r="AD71" s="609"/>
      <c r="AE71" s="436">
        <v>18</v>
      </c>
      <c r="AF71" s="437">
        <v>1047.5000000000005</v>
      </c>
      <c r="AG71" s="437">
        <v>55.131578947368446</v>
      </c>
      <c r="AH71" s="436">
        <f t="shared" si="40"/>
        <v>10</v>
      </c>
      <c r="AI71" s="609"/>
      <c r="AJ71" s="436">
        <v>18</v>
      </c>
      <c r="AK71" s="437">
        <v>1060.6451612903236</v>
      </c>
      <c r="AL71" s="437">
        <v>55.823429541595978</v>
      </c>
      <c r="AM71" s="436">
        <f t="shared" si="42"/>
        <v>11</v>
      </c>
      <c r="AN71" s="609"/>
      <c r="AO71" s="436">
        <v>18</v>
      </c>
      <c r="AP71" s="437">
        <v>1068.3870967741946</v>
      </c>
      <c r="AQ71" s="437">
        <v>56.230899830220764</v>
      </c>
      <c r="AR71" s="436">
        <f t="shared" si="44"/>
        <v>11</v>
      </c>
      <c r="AS71" s="609"/>
      <c r="AT71" s="436">
        <v>18</v>
      </c>
      <c r="AU71" s="437">
        <v>1247.5862068965528</v>
      </c>
      <c r="AV71" s="437">
        <v>65.662431941923828</v>
      </c>
      <c r="AW71" s="436">
        <f t="shared" si="46"/>
        <v>7</v>
      </c>
      <c r="AX71" s="605"/>
    </row>
    <row r="72" spans="2:50">
      <c r="B72" s="572"/>
      <c r="C72" s="436">
        <v>6</v>
      </c>
      <c r="D72" s="226" t="s">
        <v>388</v>
      </c>
      <c r="E72" s="182">
        <v>19</v>
      </c>
      <c r="F72" s="436">
        <v>1385</v>
      </c>
      <c r="G72" s="437">
        <v>72.900000000000006</v>
      </c>
      <c r="H72" s="609"/>
      <c r="I72" s="446">
        <f t="shared" si="48"/>
        <v>19.857142857142858</v>
      </c>
      <c r="J72" s="446">
        <f t="shared" si="48"/>
        <v>1223.0002975748971</v>
      </c>
      <c r="K72" s="438">
        <f t="shared" si="48"/>
        <v>61.604150217090719</v>
      </c>
      <c r="L72" s="541"/>
      <c r="M72" s="445">
        <f>RANK(K72, K$67:$K$81)</f>
        <v>9</v>
      </c>
      <c r="N72" s="559"/>
      <c r="O72" s="559"/>
      <c r="P72" s="436">
        <v>20</v>
      </c>
      <c r="Q72" s="437">
        <v>1199.4392523364493</v>
      </c>
      <c r="R72" s="437">
        <v>59.971962616822466</v>
      </c>
      <c r="S72" s="436">
        <f t="shared" si="49"/>
        <v>10</v>
      </c>
      <c r="T72" s="609"/>
      <c r="U72" s="436">
        <v>19</v>
      </c>
      <c r="V72" s="437">
        <v>1208</v>
      </c>
      <c r="W72" s="437">
        <v>63.578947368421055</v>
      </c>
      <c r="X72" s="436">
        <f t="shared" si="36"/>
        <v>10</v>
      </c>
      <c r="Y72" s="609"/>
      <c r="Z72" s="436">
        <v>20</v>
      </c>
      <c r="AA72" s="437">
        <v>1239.3333333333333</v>
      </c>
      <c r="AB72" s="437">
        <v>61.966666666666661</v>
      </c>
      <c r="AC72" s="436">
        <f t="shared" si="38"/>
        <v>8</v>
      </c>
      <c r="AD72" s="609"/>
      <c r="AE72" s="436">
        <v>20</v>
      </c>
      <c r="AF72" s="437">
        <v>1249.9999999999993</v>
      </c>
      <c r="AG72" s="437">
        <v>62.499999999999964</v>
      </c>
      <c r="AH72" s="436">
        <f t="shared" si="40"/>
        <v>8</v>
      </c>
      <c r="AI72" s="609"/>
      <c r="AJ72" s="436">
        <v>20</v>
      </c>
      <c r="AK72" s="437">
        <v>1225.9259259259254</v>
      </c>
      <c r="AL72" s="437">
        <v>61.296296296296269</v>
      </c>
      <c r="AM72" s="436">
        <f t="shared" si="42"/>
        <v>8</v>
      </c>
      <c r="AN72" s="609"/>
      <c r="AO72" s="436">
        <v>20</v>
      </c>
      <c r="AP72" s="437">
        <v>1206.4285714285722</v>
      </c>
      <c r="AQ72" s="437">
        <v>60.321428571428612</v>
      </c>
      <c r="AR72" s="436">
        <f t="shared" si="44"/>
        <v>9</v>
      </c>
      <c r="AS72" s="609"/>
      <c r="AT72" s="436">
        <v>20</v>
      </c>
      <c r="AU72" s="437">
        <v>1231.8750000000005</v>
      </c>
      <c r="AV72" s="437">
        <v>61.593750000000021</v>
      </c>
      <c r="AW72" s="436">
        <f t="shared" si="46"/>
        <v>9</v>
      </c>
      <c r="AX72" s="605"/>
    </row>
    <row r="73" spans="2:50">
      <c r="B73" s="572"/>
      <c r="C73" s="436">
        <v>7</v>
      </c>
      <c r="D73" s="226" t="s">
        <v>389</v>
      </c>
      <c r="E73" s="182">
        <v>19</v>
      </c>
      <c r="F73" s="436">
        <v>1440</v>
      </c>
      <c r="G73" s="437">
        <v>75.8</v>
      </c>
      <c r="H73" s="609"/>
      <c r="I73" s="446">
        <f t="shared" si="48"/>
        <v>19.142857142857142</v>
      </c>
      <c r="J73" s="446">
        <f t="shared" si="48"/>
        <v>1271.3655066472693</v>
      </c>
      <c r="K73" s="438">
        <f t="shared" si="48"/>
        <v>66.445576477675829</v>
      </c>
      <c r="L73" s="541"/>
      <c r="M73" s="445">
        <f>RANK(K73, K$67:$K$81)</f>
        <v>6</v>
      </c>
      <c r="N73" s="559"/>
      <c r="O73" s="559"/>
      <c r="P73" s="436">
        <v>20</v>
      </c>
      <c r="Q73" s="437">
        <v>1245.9375000000014</v>
      </c>
      <c r="R73" s="437">
        <v>62.296875000000071</v>
      </c>
      <c r="S73" s="436">
        <f t="shared" si="49"/>
        <v>8</v>
      </c>
      <c r="T73" s="609"/>
      <c r="U73" s="436">
        <v>19</v>
      </c>
      <c r="V73" s="437">
        <v>1281.1111111111118</v>
      </c>
      <c r="W73" s="437">
        <v>67.426900584795362</v>
      </c>
      <c r="X73" s="436">
        <f t="shared" si="36"/>
        <v>6</v>
      </c>
      <c r="Y73" s="609"/>
      <c r="Z73" s="436">
        <v>19</v>
      </c>
      <c r="AA73" s="437">
        <v>1288.831168831168</v>
      </c>
      <c r="AB73" s="437">
        <v>67.833219412166741</v>
      </c>
      <c r="AC73" s="436">
        <f t="shared" si="38"/>
        <v>6</v>
      </c>
      <c r="AD73" s="609"/>
      <c r="AE73" s="436">
        <v>19</v>
      </c>
      <c r="AF73" s="437">
        <v>1278.2142857142867</v>
      </c>
      <c r="AG73" s="437">
        <v>67.27443609022562</v>
      </c>
      <c r="AH73" s="436">
        <f t="shared" si="40"/>
        <v>6</v>
      </c>
      <c r="AI73" s="609"/>
      <c r="AJ73" s="436">
        <v>19</v>
      </c>
      <c r="AK73" s="437">
        <v>1252.1311475409848</v>
      </c>
      <c r="AL73" s="437">
        <v>65.901639344262364</v>
      </c>
      <c r="AM73" s="436">
        <f t="shared" si="42"/>
        <v>6</v>
      </c>
      <c r="AN73" s="609"/>
      <c r="AO73" s="436">
        <v>19</v>
      </c>
      <c r="AP73" s="437">
        <v>1260</v>
      </c>
      <c r="AQ73" s="437">
        <v>66.315789473684205</v>
      </c>
      <c r="AR73" s="436">
        <f t="shared" si="44"/>
        <v>7</v>
      </c>
      <c r="AS73" s="609"/>
      <c r="AT73" s="436">
        <v>19</v>
      </c>
      <c r="AU73" s="437">
        <v>1293.3333333333323</v>
      </c>
      <c r="AV73" s="437">
        <v>68.070175438596436</v>
      </c>
      <c r="AW73" s="436">
        <f t="shared" si="46"/>
        <v>6</v>
      </c>
      <c r="AX73" s="605"/>
    </row>
    <row r="74" spans="2:50">
      <c r="B74" s="572"/>
      <c r="C74" s="436">
        <v>8</v>
      </c>
      <c r="D74" s="226" t="s">
        <v>489</v>
      </c>
      <c r="E74" s="182">
        <v>17</v>
      </c>
      <c r="F74" s="436">
        <v>1385</v>
      </c>
      <c r="G74" s="437">
        <v>81.400000000000006</v>
      </c>
      <c r="H74" s="609"/>
      <c r="I74" s="446">
        <f t="shared" si="48"/>
        <v>18</v>
      </c>
      <c r="J74" s="446">
        <f t="shared" si="48"/>
        <v>1229.4948947034229</v>
      </c>
      <c r="K74" s="438">
        <f t="shared" si="48"/>
        <v>68.305271927967951</v>
      </c>
      <c r="L74" s="541"/>
      <c r="M74" s="445">
        <f>RANK(K74, K$67:$K$81)</f>
        <v>5</v>
      </c>
      <c r="N74" s="559"/>
      <c r="O74" s="559"/>
      <c r="P74" s="436">
        <v>18</v>
      </c>
      <c r="Q74" s="437">
        <v>1199.7540983606568</v>
      </c>
      <c r="R74" s="437">
        <v>66.653005464480941</v>
      </c>
      <c r="S74" s="436">
        <f t="shared" si="49"/>
        <v>5</v>
      </c>
      <c r="T74" s="609"/>
      <c r="U74" s="436">
        <v>18</v>
      </c>
      <c r="V74" s="437">
        <v>1229.0000000000011</v>
      </c>
      <c r="W74" s="437">
        <v>68.277777777777843</v>
      </c>
      <c r="X74" s="436">
        <f t="shared" si="36"/>
        <v>5</v>
      </c>
      <c r="Y74" s="609"/>
      <c r="Z74" s="436">
        <v>18</v>
      </c>
      <c r="AA74" s="437">
        <v>1236.2068965517251</v>
      </c>
      <c r="AB74" s="437">
        <v>68.678160919540289</v>
      </c>
      <c r="AC74" s="436">
        <f t="shared" si="38"/>
        <v>5</v>
      </c>
      <c r="AD74" s="609"/>
      <c r="AE74" s="436">
        <v>18</v>
      </c>
      <c r="AF74" s="437">
        <v>1229.5081967213125</v>
      </c>
      <c r="AG74" s="437">
        <v>68.306010928961811</v>
      </c>
      <c r="AH74" s="436">
        <f t="shared" si="40"/>
        <v>4</v>
      </c>
      <c r="AI74" s="609"/>
      <c r="AJ74" s="436">
        <v>18</v>
      </c>
      <c r="AK74" s="437">
        <v>1233.2307692307706</v>
      </c>
      <c r="AL74" s="437">
        <v>68.512820512820596</v>
      </c>
      <c r="AM74" s="436">
        <f t="shared" si="42"/>
        <v>5</v>
      </c>
      <c r="AN74" s="609"/>
      <c r="AO74" s="436">
        <v>18</v>
      </c>
      <c r="AP74" s="437">
        <v>1237.8947368421045</v>
      </c>
      <c r="AQ74" s="437">
        <v>68.771929824561369</v>
      </c>
      <c r="AR74" s="436">
        <f t="shared" si="44"/>
        <v>6</v>
      </c>
      <c r="AS74" s="609"/>
      <c r="AT74" s="436">
        <v>18</v>
      </c>
      <c r="AU74" s="437">
        <v>1240.8695652173901</v>
      </c>
      <c r="AV74" s="437">
        <v>68.937198067632778</v>
      </c>
      <c r="AW74" s="436">
        <f t="shared" si="46"/>
        <v>5</v>
      </c>
      <c r="AX74" s="605"/>
    </row>
    <row r="75" spans="2:50">
      <c r="B75" s="572"/>
      <c r="C75" s="436">
        <v>9</v>
      </c>
      <c r="D75" s="226" t="s">
        <v>492</v>
      </c>
      <c r="E75" s="182">
        <v>19</v>
      </c>
      <c r="F75" s="436">
        <v>1385</v>
      </c>
      <c r="G75" s="437">
        <v>72.900000000000006</v>
      </c>
      <c r="H75" s="609"/>
      <c r="I75" s="446">
        <f t="shared" si="48"/>
        <v>19.571428571428573</v>
      </c>
      <c r="J75" s="446">
        <f t="shared" si="48"/>
        <v>1190.2834168816603</v>
      </c>
      <c r="K75" s="438">
        <f t="shared" si="48"/>
        <v>60.814442713092497</v>
      </c>
      <c r="L75" s="541"/>
      <c r="M75" s="445">
        <f>RANK(K75, K$67:$K$81)</f>
        <v>10</v>
      </c>
      <c r="N75" s="559"/>
      <c r="O75" s="559"/>
      <c r="P75" s="436">
        <v>19</v>
      </c>
      <c r="Q75" s="437">
        <v>1193.6842105263174</v>
      </c>
      <c r="R75" s="437">
        <v>62.82548476454302</v>
      </c>
      <c r="S75" s="436">
        <f t="shared" si="49"/>
        <v>7</v>
      </c>
      <c r="T75" s="609"/>
      <c r="U75" s="436">
        <v>19</v>
      </c>
      <c r="V75" s="437">
        <v>1238.1818181818194</v>
      </c>
      <c r="W75" s="437">
        <v>65.167464114832597</v>
      </c>
      <c r="X75" s="436">
        <f t="shared" si="36"/>
        <v>8</v>
      </c>
      <c r="Y75" s="609"/>
      <c r="Z75" s="436">
        <v>20</v>
      </c>
      <c r="AA75" s="437">
        <v>1237.0588235294133</v>
      </c>
      <c r="AB75" s="437">
        <v>61.852941176470665</v>
      </c>
      <c r="AC75" s="436">
        <f t="shared" si="38"/>
        <v>9</v>
      </c>
      <c r="AD75" s="609"/>
      <c r="AE75" s="436">
        <v>19</v>
      </c>
      <c r="AF75" s="437">
        <v>1026.8571428571418</v>
      </c>
      <c r="AG75" s="437">
        <v>54.045112781954828</v>
      </c>
      <c r="AH75" s="436">
        <f t="shared" si="40"/>
        <v>11</v>
      </c>
      <c r="AI75" s="609"/>
      <c r="AJ75" s="436">
        <v>20</v>
      </c>
      <c r="AK75" s="437">
        <v>1213.1250000000014</v>
      </c>
      <c r="AL75" s="437">
        <v>60.656250000000071</v>
      </c>
      <c r="AM75" s="436">
        <f t="shared" si="42"/>
        <v>9</v>
      </c>
      <c r="AN75" s="609"/>
      <c r="AO75" s="436">
        <v>20</v>
      </c>
      <c r="AP75" s="437">
        <v>1200.0000000000016</v>
      </c>
      <c r="AQ75" s="437">
        <v>60.000000000000078</v>
      </c>
      <c r="AR75" s="436">
        <f t="shared" si="44"/>
        <v>10</v>
      </c>
      <c r="AS75" s="609"/>
      <c r="AT75" s="436">
        <v>20</v>
      </c>
      <c r="AU75" s="437">
        <v>1223.0769230769249</v>
      </c>
      <c r="AV75" s="437">
        <v>61.153846153846246</v>
      </c>
      <c r="AW75" s="436">
        <f t="shared" si="46"/>
        <v>10</v>
      </c>
      <c r="AX75" s="605"/>
    </row>
    <row r="76" spans="2:50">
      <c r="B76" s="572"/>
      <c r="C76" s="436">
        <v>10</v>
      </c>
      <c r="D76" s="226" t="s">
        <v>564</v>
      </c>
      <c r="E76" s="182">
        <v>16</v>
      </c>
      <c r="F76" s="436">
        <v>1440</v>
      </c>
      <c r="G76" s="437">
        <v>90</v>
      </c>
      <c r="H76" s="609"/>
      <c r="I76" s="446">
        <f t="shared" si="48"/>
        <v>15.857142857142858</v>
      </c>
      <c r="J76" s="446">
        <f t="shared" si="48"/>
        <v>1272.870568711196</v>
      </c>
      <c r="K76" s="438">
        <f t="shared" si="48"/>
        <v>76.30955326152295</v>
      </c>
      <c r="L76" s="541"/>
      <c r="M76" s="445">
        <f>RANK(K76, K$67:$K$81)</f>
        <v>2</v>
      </c>
      <c r="N76" s="559"/>
      <c r="O76" s="559"/>
      <c r="P76" s="436">
        <v>15</v>
      </c>
      <c r="Q76" s="437">
        <v>1280.5714285714294</v>
      </c>
      <c r="R76" s="437">
        <v>85.371428571428623</v>
      </c>
      <c r="S76" s="436">
        <f t="shared" si="49"/>
        <v>1</v>
      </c>
      <c r="T76" s="609"/>
      <c r="U76" s="436">
        <v>16</v>
      </c>
      <c r="V76" s="437">
        <v>1267.9120879120869</v>
      </c>
      <c r="W76" s="437">
        <v>74.583063994828649</v>
      </c>
      <c r="X76" s="436">
        <f t="shared" si="36"/>
        <v>3</v>
      </c>
      <c r="Y76" s="609"/>
      <c r="Z76" s="436">
        <v>16</v>
      </c>
      <c r="AA76" s="437">
        <v>1281.1363636363635</v>
      </c>
      <c r="AB76" s="437">
        <v>75.360962566844918</v>
      </c>
      <c r="AC76" s="436">
        <f t="shared" si="38"/>
        <v>3</v>
      </c>
      <c r="AD76" s="609"/>
      <c r="AE76" s="436">
        <v>16</v>
      </c>
      <c r="AF76" s="437">
        <v>1264.6400000000006</v>
      </c>
      <c r="AG76" s="437">
        <v>74.390588235294146</v>
      </c>
      <c r="AH76" s="436">
        <f t="shared" si="40"/>
        <v>2</v>
      </c>
      <c r="AI76" s="609"/>
      <c r="AJ76" s="436">
        <v>16</v>
      </c>
      <c r="AK76" s="437">
        <v>1280.7804878048789</v>
      </c>
      <c r="AL76" s="437">
        <v>75.340028694404637</v>
      </c>
      <c r="AM76" s="436">
        <f t="shared" si="42"/>
        <v>3</v>
      </c>
      <c r="AN76" s="609"/>
      <c r="AO76" s="436">
        <v>16</v>
      </c>
      <c r="AP76" s="437">
        <v>1254.8717948717942</v>
      </c>
      <c r="AQ76" s="437">
        <v>73.815987933634958</v>
      </c>
      <c r="AR76" s="436">
        <f t="shared" si="44"/>
        <v>3</v>
      </c>
      <c r="AS76" s="609"/>
      <c r="AT76" s="436">
        <v>16</v>
      </c>
      <c r="AU76" s="437">
        <v>1280.1818181818185</v>
      </c>
      <c r="AV76" s="437">
        <v>75.30481283422462</v>
      </c>
      <c r="AW76" s="436">
        <f t="shared" si="46"/>
        <v>2</v>
      </c>
      <c r="AX76" s="605"/>
    </row>
    <row r="77" spans="2:50">
      <c r="B77" s="572"/>
      <c r="C77" s="436">
        <v>11</v>
      </c>
      <c r="D77" s="226" t="s">
        <v>605</v>
      </c>
      <c r="E77" s="182">
        <v>16</v>
      </c>
      <c r="F77" s="436">
        <v>1440</v>
      </c>
      <c r="G77" s="437">
        <v>90</v>
      </c>
      <c r="H77" s="609"/>
      <c r="I77" s="446">
        <f t="shared" si="48"/>
        <v>16</v>
      </c>
      <c r="J77" s="446">
        <f t="shared" si="48"/>
        <v>1240.8434298620632</v>
      </c>
      <c r="K77" s="438">
        <f t="shared" si="48"/>
        <v>77.55271436637895</v>
      </c>
      <c r="L77" s="541"/>
      <c r="M77" s="445">
        <f>RANK(K77, K$67:$K$81)</f>
        <v>1</v>
      </c>
      <c r="N77" s="559"/>
      <c r="O77" s="559"/>
      <c r="P77" s="436">
        <v>16</v>
      </c>
      <c r="Q77" s="437">
        <v>1276.3636363636365</v>
      </c>
      <c r="R77" s="437">
        <v>79.77272727272728</v>
      </c>
      <c r="S77" s="436">
        <f t="shared" si="49"/>
        <v>2</v>
      </c>
      <c r="T77" s="609"/>
      <c r="U77" s="436">
        <v>16</v>
      </c>
      <c r="V77" s="437">
        <v>1252.4999999999995</v>
      </c>
      <c r="W77" s="437">
        <v>78.281249999999972</v>
      </c>
      <c r="X77" s="436">
        <f t="shared" si="36"/>
        <v>1</v>
      </c>
      <c r="Y77" s="609"/>
      <c r="Z77" s="436">
        <v>16</v>
      </c>
      <c r="AA77" s="437">
        <v>1273.4999999999995</v>
      </c>
      <c r="AB77" s="437">
        <v>79.593749999999972</v>
      </c>
      <c r="AC77" s="436">
        <f t="shared" si="38"/>
        <v>1</v>
      </c>
      <c r="AD77" s="609"/>
      <c r="AE77" s="436">
        <v>16</v>
      </c>
      <c r="AF77" s="437">
        <v>1080.0000000000011</v>
      </c>
      <c r="AG77" s="437">
        <v>67.500000000000071</v>
      </c>
      <c r="AH77" s="436">
        <f t="shared" si="40"/>
        <v>5</v>
      </c>
      <c r="AI77" s="609"/>
      <c r="AJ77" s="436">
        <v>16</v>
      </c>
      <c r="AK77" s="437">
        <v>1294.2857142857129</v>
      </c>
      <c r="AL77" s="437">
        <v>80.892857142857054</v>
      </c>
      <c r="AM77" s="436">
        <f t="shared" si="42"/>
        <v>1</v>
      </c>
      <c r="AN77" s="609"/>
      <c r="AO77" s="436">
        <v>16</v>
      </c>
      <c r="AP77" s="437">
        <v>1241.4285714285709</v>
      </c>
      <c r="AQ77" s="437">
        <v>77.58928571428568</v>
      </c>
      <c r="AR77" s="436">
        <f t="shared" si="44"/>
        <v>1</v>
      </c>
      <c r="AS77" s="609"/>
      <c r="AT77" s="436">
        <v>16</v>
      </c>
      <c r="AU77" s="437">
        <v>1267.8260869565217</v>
      </c>
      <c r="AV77" s="437">
        <v>79.239130434782609</v>
      </c>
      <c r="AW77" s="436">
        <f t="shared" si="46"/>
        <v>1</v>
      </c>
      <c r="AX77" s="605"/>
    </row>
    <row r="78" spans="2:50">
      <c r="B78" s="572"/>
      <c r="C78" s="436">
        <v>12</v>
      </c>
      <c r="D78" s="226"/>
      <c r="E78" s="182"/>
      <c r="F78" s="436"/>
      <c r="G78" s="437"/>
      <c r="H78" s="609"/>
      <c r="I78" s="446"/>
      <c r="J78" s="446"/>
      <c r="K78" s="438"/>
      <c r="L78" s="541"/>
      <c r="M78" s="445" t="e">
        <f>RANK(K78, K$67:$K$81)</f>
        <v>#N/A</v>
      </c>
      <c r="N78" s="559"/>
      <c r="O78" s="559"/>
      <c r="P78" s="436"/>
      <c r="Q78" s="437"/>
      <c r="R78" s="437"/>
      <c r="S78" s="436" t="e">
        <f t="shared" si="49"/>
        <v>#N/A</v>
      </c>
      <c r="T78" s="609"/>
      <c r="U78" s="436"/>
      <c r="V78" s="437"/>
      <c r="W78" s="437"/>
      <c r="X78" s="436" t="e">
        <f t="shared" si="36"/>
        <v>#N/A</v>
      </c>
      <c r="Y78" s="609"/>
      <c r="Z78" s="436"/>
      <c r="AA78" s="437"/>
      <c r="AB78" s="437"/>
      <c r="AC78" s="436" t="e">
        <f t="shared" si="38"/>
        <v>#N/A</v>
      </c>
      <c r="AD78" s="609"/>
      <c r="AE78" s="436"/>
      <c r="AF78" s="437"/>
      <c r="AG78" s="437"/>
      <c r="AH78" s="436" t="e">
        <f t="shared" si="40"/>
        <v>#N/A</v>
      </c>
      <c r="AI78" s="609"/>
      <c r="AJ78" s="436"/>
      <c r="AK78" s="437"/>
      <c r="AL78" s="437"/>
      <c r="AM78" s="436" t="e">
        <f t="shared" si="42"/>
        <v>#N/A</v>
      </c>
      <c r="AN78" s="609"/>
      <c r="AO78" s="436"/>
      <c r="AP78" s="437"/>
      <c r="AQ78" s="437"/>
      <c r="AR78" s="436" t="e">
        <f t="shared" si="44"/>
        <v>#N/A</v>
      </c>
      <c r="AS78" s="609"/>
      <c r="AT78" s="436"/>
      <c r="AU78" s="437"/>
      <c r="AV78" s="437"/>
      <c r="AW78" s="436" t="e">
        <f t="shared" si="46"/>
        <v>#N/A</v>
      </c>
      <c r="AX78" s="605"/>
    </row>
    <row r="79" spans="2:50">
      <c r="B79" s="572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41"/>
      <c r="M79" s="445" t="e">
        <f>RANK(K79, K$67:$K$81)</f>
        <v>#N/A</v>
      </c>
      <c r="N79" s="559"/>
      <c r="O79" s="559"/>
      <c r="P79" s="436"/>
      <c r="Q79" s="437"/>
      <c r="R79" s="437"/>
      <c r="S79" s="436" t="e">
        <f t="shared" si="49"/>
        <v>#N/A</v>
      </c>
      <c r="T79" s="609"/>
      <c r="U79" s="436"/>
      <c r="V79" s="437"/>
      <c r="W79" s="437"/>
      <c r="X79" s="436" t="e">
        <f t="shared" si="36"/>
        <v>#N/A</v>
      </c>
      <c r="Y79" s="609"/>
      <c r="Z79" s="436"/>
      <c r="AA79" s="437"/>
      <c r="AB79" s="437"/>
      <c r="AC79" s="436" t="e">
        <f t="shared" si="38"/>
        <v>#N/A</v>
      </c>
      <c r="AD79" s="609"/>
      <c r="AE79" s="436"/>
      <c r="AF79" s="437"/>
      <c r="AG79" s="437"/>
      <c r="AH79" s="436" t="e">
        <f t="shared" si="40"/>
        <v>#N/A</v>
      </c>
      <c r="AI79" s="609"/>
      <c r="AJ79" s="436"/>
      <c r="AK79" s="437"/>
      <c r="AL79" s="437"/>
      <c r="AM79" s="436" t="e">
        <f t="shared" si="42"/>
        <v>#N/A</v>
      </c>
      <c r="AN79" s="609"/>
      <c r="AO79" s="436"/>
      <c r="AP79" s="437"/>
      <c r="AQ79" s="437"/>
      <c r="AR79" s="436" t="e">
        <f t="shared" si="44"/>
        <v>#N/A</v>
      </c>
      <c r="AS79" s="609"/>
      <c r="AT79" s="436"/>
      <c r="AU79" s="437"/>
      <c r="AV79" s="437"/>
      <c r="AW79" s="436" t="e">
        <f t="shared" si="46"/>
        <v>#N/A</v>
      </c>
      <c r="AX79" s="605"/>
    </row>
    <row r="80" spans="2:50">
      <c r="B80" s="572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41"/>
      <c r="M80" s="445" t="e">
        <f>RANK(K80, K$67:$K$81)</f>
        <v>#N/A</v>
      </c>
      <c r="N80" s="559"/>
      <c r="O80" s="559"/>
      <c r="P80" s="436"/>
      <c r="Q80" s="437"/>
      <c r="R80" s="437"/>
      <c r="S80" s="436" t="e">
        <f t="shared" si="49"/>
        <v>#N/A</v>
      </c>
      <c r="T80" s="609"/>
      <c r="U80" s="436"/>
      <c r="V80" s="437"/>
      <c r="W80" s="437"/>
      <c r="X80" s="436" t="e">
        <f t="shared" si="36"/>
        <v>#N/A</v>
      </c>
      <c r="Y80" s="609"/>
      <c r="Z80" s="436"/>
      <c r="AA80" s="437"/>
      <c r="AB80" s="437"/>
      <c r="AC80" s="436" t="e">
        <f t="shared" si="38"/>
        <v>#N/A</v>
      </c>
      <c r="AD80" s="609"/>
      <c r="AE80" s="436"/>
      <c r="AF80" s="437"/>
      <c r="AG80" s="437"/>
      <c r="AH80" s="436" t="e">
        <f t="shared" si="40"/>
        <v>#N/A</v>
      </c>
      <c r="AI80" s="609"/>
      <c r="AJ80" s="436"/>
      <c r="AK80" s="437"/>
      <c r="AL80" s="437"/>
      <c r="AM80" s="436" t="e">
        <f t="shared" si="42"/>
        <v>#N/A</v>
      </c>
      <c r="AN80" s="609"/>
      <c r="AO80" s="436"/>
      <c r="AP80" s="437"/>
      <c r="AQ80" s="437"/>
      <c r="AR80" s="436" t="e">
        <f t="shared" si="44"/>
        <v>#N/A</v>
      </c>
      <c r="AS80" s="609"/>
      <c r="AT80" s="436"/>
      <c r="AU80" s="437"/>
      <c r="AV80" s="437"/>
      <c r="AW80" s="436" t="e">
        <f t="shared" si="46"/>
        <v>#N/A</v>
      </c>
      <c r="AX80" s="605"/>
    </row>
    <row r="81" spans="2:50">
      <c r="B81" s="572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42"/>
      <c r="M81" s="445" t="e">
        <f>RANK(K81, K$67:$K$81)</f>
        <v>#N/A</v>
      </c>
      <c r="N81" s="559"/>
      <c r="O81" s="559"/>
      <c r="P81" s="436"/>
      <c r="Q81" s="437"/>
      <c r="R81" s="437"/>
      <c r="S81" s="436" t="e">
        <f t="shared" si="49"/>
        <v>#N/A</v>
      </c>
      <c r="T81" s="610"/>
      <c r="U81" s="436"/>
      <c r="V81" s="437"/>
      <c r="W81" s="437"/>
      <c r="X81" s="436" t="e">
        <f t="shared" si="36"/>
        <v>#N/A</v>
      </c>
      <c r="Y81" s="610"/>
      <c r="Z81" s="436"/>
      <c r="AA81" s="437"/>
      <c r="AB81" s="437"/>
      <c r="AC81" s="436" t="e">
        <f t="shared" si="38"/>
        <v>#N/A</v>
      </c>
      <c r="AD81" s="610"/>
      <c r="AE81" s="436"/>
      <c r="AF81" s="437"/>
      <c r="AG81" s="437"/>
      <c r="AH81" s="436" t="e">
        <f t="shared" si="40"/>
        <v>#N/A</v>
      </c>
      <c r="AI81" s="610"/>
      <c r="AJ81" s="436"/>
      <c r="AK81" s="437"/>
      <c r="AL81" s="437"/>
      <c r="AM81" s="436" t="e">
        <f t="shared" si="42"/>
        <v>#N/A</v>
      </c>
      <c r="AN81" s="610"/>
      <c r="AO81" s="436"/>
      <c r="AP81" s="437"/>
      <c r="AQ81" s="437"/>
      <c r="AR81" s="436" t="e">
        <f t="shared" si="44"/>
        <v>#N/A</v>
      </c>
      <c r="AS81" s="610"/>
      <c r="AT81" s="436"/>
      <c r="AU81" s="437"/>
      <c r="AV81" s="437"/>
      <c r="AW81" s="436" t="e">
        <f t="shared" si="46"/>
        <v>#N/A</v>
      </c>
      <c r="AX81" s="605"/>
    </row>
    <row r="82" spans="2:50" ht="15.75">
      <c r="B82" s="576" t="s">
        <v>649</v>
      </c>
      <c r="C82" s="577"/>
      <c r="D82" s="577"/>
      <c r="E82" s="577"/>
      <c r="F82" s="577"/>
      <c r="G82" s="577"/>
      <c r="H82" s="578"/>
      <c r="I82" s="208"/>
      <c r="J82" s="208"/>
      <c r="K82" s="208"/>
      <c r="L82" s="208"/>
      <c r="M82" s="207"/>
      <c r="N82" s="565" t="s">
        <v>650</v>
      </c>
      <c r="O82" s="565" t="s">
        <v>651</v>
      </c>
      <c r="P82" s="571">
        <f>P62+7</f>
        <v>46414</v>
      </c>
      <c r="Q82" s="572"/>
      <c r="R82" s="572"/>
      <c r="S82" s="572"/>
      <c r="T82" s="572"/>
      <c r="U82" s="568">
        <f>P82+1</f>
        <v>46415</v>
      </c>
      <c r="V82" s="569"/>
      <c r="W82" s="569"/>
      <c r="X82" s="569"/>
      <c r="Y82" s="570"/>
      <c r="Z82" s="568">
        <f>U82+1</f>
        <v>46416</v>
      </c>
      <c r="AA82" s="569"/>
      <c r="AB82" s="569"/>
      <c r="AC82" s="569"/>
      <c r="AD82" s="570"/>
      <c r="AE82" s="568">
        <f>Z82+1</f>
        <v>46417</v>
      </c>
      <c r="AF82" s="569"/>
      <c r="AG82" s="569"/>
      <c r="AH82" s="569"/>
      <c r="AI82" s="570"/>
      <c r="AJ82" s="568">
        <f>AE82+1</f>
        <v>46418</v>
      </c>
      <c r="AK82" s="569"/>
      <c r="AL82" s="569"/>
      <c r="AM82" s="569"/>
      <c r="AN82" s="570"/>
      <c r="AO82" s="568">
        <f>AJ82+1</f>
        <v>46419</v>
      </c>
      <c r="AP82" s="569"/>
      <c r="AQ82" s="569"/>
      <c r="AR82" s="569"/>
      <c r="AS82" s="570"/>
      <c r="AT82" s="568">
        <f>AO82+1</f>
        <v>46420</v>
      </c>
      <c r="AU82" s="569"/>
      <c r="AV82" s="569"/>
      <c r="AW82" s="569"/>
      <c r="AX82" s="570"/>
    </row>
    <row r="83" spans="2:50" ht="15.75">
      <c r="B83" s="579"/>
      <c r="C83" s="579"/>
      <c r="D83" s="579"/>
      <c r="E83" s="579"/>
      <c r="F83" s="579"/>
      <c r="G83" s="579"/>
      <c r="H83" s="579"/>
      <c r="I83" s="205"/>
      <c r="J83" s="205"/>
      <c r="K83" s="205"/>
      <c r="L83" s="205"/>
      <c r="M83" s="206"/>
      <c r="N83" s="567"/>
      <c r="O83" s="567"/>
      <c r="P83" s="571" t="s">
        <v>652</v>
      </c>
      <c r="Q83" s="572"/>
      <c r="R83" s="572"/>
      <c r="S83" s="572"/>
      <c r="T83" s="572"/>
      <c r="U83" s="571" t="s">
        <v>653</v>
      </c>
      <c r="V83" s="572"/>
      <c r="W83" s="572"/>
      <c r="X83" s="572"/>
      <c r="Y83" s="572"/>
      <c r="Z83" s="571" t="s">
        <v>654</v>
      </c>
      <c r="AA83" s="572"/>
      <c r="AB83" s="572"/>
      <c r="AC83" s="572"/>
      <c r="AD83" s="572"/>
      <c r="AE83" s="571" t="s">
        <v>655</v>
      </c>
      <c r="AF83" s="572"/>
      <c r="AG83" s="572"/>
      <c r="AH83" s="572"/>
      <c r="AI83" s="572"/>
      <c r="AJ83" s="571" t="s">
        <v>656</v>
      </c>
      <c r="AK83" s="572"/>
      <c r="AL83" s="572"/>
      <c r="AM83" s="572"/>
      <c r="AN83" s="572"/>
      <c r="AO83" s="571" t="s">
        <v>657</v>
      </c>
      <c r="AP83" s="572"/>
      <c r="AQ83" s="572"/>
      <c r="AR83" s="572"/>
      <c r="AS83" s="572"/>
      <c r="AT83" s="571" t="s">
        <v>658</v>
      </c>
      <c r="AU83" s="572"/>
      <c r="AV83" s="572"/>
      <c r="AW83" s="572"/>
      <c r="AX83" s="572"/>
    </row>
    <row r="84" spans="2:50">
      <c r="B84" s="559" t="s">
        <v>817</v>
      </c>
      <c r="C84" s="559" t="s">
        <v>818</v>
      </c>
      <c r="D84" s="559"/>
      <c r="E84" s="559" t="s">
        <v>819</v>
      </c>
      <c r="F84" s="559"/>
      <c r="G84" s="559"/>
      <c r="H84" s="560" t="s">
        <v>820</v>
      </c>
      <c r="I84" s="543" t="s">
        <v>821</v>
      </c>
      <c r="J84" s="543"/>
      <c r="K84" s="543"/>
      <c r="L84" s="544" t="s">
        <v>820</v>
      </c>
      <c r="M84" s="550" t="s">
        <v>839</v>
      </c>
      <c r="N84" s="559"/>
      <c r="O84" s="559" t="s">
        <v>840</v>
      </c>
      <c r="P84" s="556" t="s">
        <v>841</v>
      </c>
      <c r="Q84" s="557"/>
      <c r="R84" s="557"/>
      <c r="S84" s="558"/>
      <c r="T84" s="559" t="s">
        <v>820</v>
      </c>
      <c r="U84" s="556" t="s">
        <v>841</v>
      </c>
      <c r="V84" s="557"/>
      <c r="W84" s="557"/>
      <c r="X84" s="558"/>
      <c r="Y84" s="559" t="s">
        <v>820</v>
      </c>
      <c r="Z84" s="556" t="s">
        <v>841</v>
      </c>
      <c r="AA84" s="557"/>
      <c r="AB84" s="557"/>
      <c r="AC84" s="558"/>
      <c r="AD84" s="559" t="s">
        <v>820</v>
      </c>
      <c r="AE84" s="556" t="s">
        <v>841</v>
      </c>
      <c r="AF84" s="557"/>
      <c r="AG84" s="557"/>
      <c r="AH84" s="558"/>
      <c r="AI84" s="559" t="s">
        <v>820</v>
      </c>
      <c r="AJ84" s="556" t="s">
        <v>841</v>
      </c>
      <c r="AK84" s="557"/>
      <c r="AL84" s="557"/>
      <c r="AM84" s="558"/>
      <c r="AN84" s="559" t="s">
        <v>820</v>
      </c>
      <c r="AO84" s="556" t="s">
        <v>625</v>
      </c>
      <c r="AP84" s="557"/>
      <c r="AQ84" s="557"/>
      <c r="AR84" s="558"/>
      <c r="AS84" s="559" t="s">
        <v>623</v>
      </c>
      <c r="AT84" s="556" t="s">
        <v>625</v>
      </c>
      <c r="AU84" s="557"/>
      <c r="AV84" s="557"/>
      <c r="AW84" s="558"/>
      <c r="AX84" s="559" t="s">
        <v>623</v>
      </c>
    </row>
    <row r="85" spans="2:50">
      <c r="B85" s="559"/>
      <c r="C85" s="559"/>
      <c r="D85" s="559"/>
      <c r="E85" s="559" t="s">
        <v>842</v>
      </c>
      <c r="F85" s="559"/>
      <c r="G85" s="559"/>
      <c r="H85" s="561"/>
      <c r="I85" s="543" t="s">
        <v>842</v>
      </c>
      <c r="J85" s="543"/>
      <c r="K85" s="543"/>
      <c r="L85" s="545"/>
      <c r="M85" s="551"/>
      <c r="N85" s="559"/>
      <c r="O85" s="559"/>
      <c r="P85" s="556" t="s">
        <v>831</v>
      </c>
      <c r="Q85" s="557"/>
      <c r="R85" s="557"/>
      <c r="S85" s="558"/>
      <c r="T85" s="559"/>
      <c r="U85" s="556" t="s">
        <v>831</v>
      </c>
      <c r="V85" s="557"/>
      <c r="W85" s="557"/>
      <c r="X85" s="558"/>
      <c r="Y85" s="559"/>
      <c r="Z85" s="556" t="s">
        <v>831</v>
      </c>
      <c r="AA85" s="557"/>
      <c r="AB85" s="557"/>
      <c r="AC85" s="558"/>
      <c r="AD85" s="559"/>
      <c r="AE85" s="556" t="s">
        <v>831</v>
      </c>
      <c r="AF85" s="557"/>
      <c r="AG85" s="557"/>
      <c r="AH85" s="558"/>
      <c r="AI85" s="559"/>
      <c r="AJ85" s="556" t="s">
        <v>831</v>
      </c>
      <c r="AK85" s="557"/>
      <c r="AL85" s="557"/>
      <c r="AM85" s="558"/>
      <c r="AN85" s="559"/>
      <c r="AO85" s="556" t="s">
        <v>626</v>
      </c>
      <c r="AP85" s="557"/>
      <c r="AQ85" s="557"/>
      <c r="AR85" s="558"/>
      <c r="AS85" s="559"/>
      <c r="AT85" s="556" t="s">
        <v>626</v>
      </c>
      <c r="AU85" s="557"/>
      <c r="AV85" s="557"/>
      <c r="AW85" s="558"/>
      <c r="AX85" s="559"/>
    </row>
    <row r="86" spans="2:50">
      <c r="B86" s="559"/>
      <c r="C86" s="559"/>
      <c r="D86" s="559"/>
      <c r="E86" s="450" t="s">
        <v>838</v>
      </c>
      <c r="F86" s="450" t="s">
        <v>836</v>
      </c>
      <c r="G86" s="450" t="s">
        <v>837</v>
      </c>
      <c r="H86" s="562"/>
      <c r="I86" s="449" t="s">
        <v>838</v>
      </c>
      <c r="J86" s="449" t="s">
        <v>836</v>
      </c>
      <c r="K86" s="449" t="s">
        <v>837</v>
      </c>
      <c r="L86" s="546"/>
      <c r="M86" s="552"/>
      <c r="N86" s="559"/>
      <c r="O86" s="559"/>
      <c r="P86" s="450" t="s">
        <v>838</v>
      </c>
      <c r="Q86" s="450" t="s">
        <v>836</v>
      </c>
      <c r="R86" s="450" t="s">
        <v>837</v>
      </c>
      <c r="S86" s="450" t="s">
        <v>839</v>
      </c>
      <c r="T86" s="559"/>
      <c r="U86" s="450" t="s">
        <v>838</v>
      </c>
      <c r="V86" s="450" t="s">
        <v>836</v>
      </c>
      <c r="W86" s="450" t="s">
        <v>837</v>
      </c>
      <c r="X86" s="450" t="s">
        <v>839</v>
      </c>
      <c r="Y86" s="559"/>
      <c r="Z86" s="450" t="s">
        <v>838</v>
      </c>
      <c r="AA86" s="450" t="s">
        <v>836</v>
      </c>
      <c r="AB86" s="450" t="s">
        <v>837</v>
      </c>
      <c r="AC86" s="450" t="s">
        <v>839</v>
      </c>
      <c r="AD86" s="559"/>
      <c r="AE86" s="450" t="s">
        <v>838</v>
      </c>
      <c r="AF86" s="450" t="s">
        <v>836</v>
      </c>
      <c r="AG86" s="450" t="s">
        <v>837</v>
      </c>
      <c r="AH86" s="450" t="s">
        <v>839</v>
      </c>
      <c r="AI86" s="559"/>
      <c r="AJ86" s="450" t="s">
        <v>838</v>
      </c>
      <c r="AK86" s="450" t="s">
        <v>836</v>
      </c>
      <c r="AL86" s="450" t="s">
        <v>837</v>
      </c>
      <c r="AM86" s="450" t="s">
        <v>839</v>
      </c>
      <c r="AN86" s="559"/>
      <c r="AO86" s="389" t="s">
        <v>627</v>
      </c>
      <c r="AP86" s="389" t="s">
        <v>628</v>
      </c>
      <c r="AQ86" s="389" t="s">
        <v>629</v>
      </c>
      <c r="AR86" s="389" t="s">
        <v>624</v>
      </c>
      <c r="AS86" s="559"/>
      <c r="AT86" s="389" t="s">
        <v>627</v>
      </c>
      <c r="AU86" s="389" t="s">
        <v>628</v>
      </c>
      <c r="AV86" s="389" t="s">
        <v>629</v>
      </c>
      <c r="AW86" s="389" t="s">
        <v>624</v>
      </c>
      <c r="AX86" s="559"/>
    </row>
    <row r="87" spans="2:50">
      <c r="B87" s="559" t="s">
        <v>848</v>
      </c>
      <c r="C87" s="451">
        <v>1</v>
      </c>
      <c r="D87" s="226" t="s">
        <v>383</v>
      </c>
      <c r="E87" s="182">
        <v>18</v>
      </c>
      <c r="F87" s="451">
        <v>1440</v>
      </c>
      <c r="G87" s="453">
        <v>80</v>
      </c>
      <c r="H87" s="608">
        <f>AVERAGE(G87:G101)</f>
        <v>80.927272727272722</v>
      </c>
      <c r="I87" s="456">
        <f>AVERAGE(P87,U87,Z87,AE87,AJ87,AO87,AT87)</f>
        <v>18</v>
      </c>
      <c r="J87" s="456">
        <f>AVERAGE(Q87,V87,AA87,AF87,AK87,AP87,AU87)</f>
        <v>1274.7677196476957</v>
      </c>
      <c r="K87" s="454">
        <f>AVERAGE(R87,W87,AB87,AG87,AL87,AQ87,AV87)</f>
        <v>70.82042886931643</v>
      </c>
      <c r="L87" s="540">
        <f>IFERROR(AVERAGE(K87:K101),"-")</f>
        <v>67.823891917995013</v>
      </c>
      <c r="M87" s="455">
        <f>RANK(K87, K$87:$K$101)</f>
        <v>4</v>
      </c>
      <c r="N87" s="559"/>
      <c r="O87" s="559"/>
      <c r="P87" s="182">
        <v>18</v>
      </c>
      <c r="Q87" s="453">
        <v>1279.9999999999998</v>
      </c>
      <c r="R87" s="453">
        <v>71.1111111111111</v>
      </c>
      <c r="S87" s="451">
        <f>RANK(R87, R$87:R$101)</f>
        <v>4</v>
      </c>
      <c r="T87" s="608">
        <f>AVERAGE(R87:R101)</f>
        <v>67.764770136882305</v>
      </c>
      <c r="U87" s="182">
        <v>18</v>
      </c>
      <c r="V87" s="182">
        <v>1263.4951456310675</v>
      </c>
      <c r="W87" s="182">
        <v>70.19417475728153</v>
      </c>
      <c r="X87" s="451">
        <f t="shared" ref="X87:X101" si="50">RANK(W87, W$87:W$101)</f>
        <v>5</v>
      </c>
      <c r="Y87" s="608">
        <f t="shared" ref="Y87" si="51">AVERAGE(W87:W101)</f>
        <v>69.29789497558518</v>
      </c>
      <c r="Z87" s="182">
        <v>18</v>
      </c>
      <c r="AA87" s="182">
        <v>1284.9504950495045</v>
      </c>
      <c r="AB87" s="182">
        <v>71.386138613861363</v>
      </c>
      <c r="AC87" s="451">
        <f t="shared" ref="AC87:AC101" si="52">RANK(AB87, AB$87:AB$101)</f>
        <v>4</v>
      </c>
      <c r="AD87" s="608">
        <f t="shared" ref="AD87" si="53">AVERAGE(AB87:AB101)</f>
        <v>68.106940448942353</v>
      </c>
      <c r="AE87" s="182">
        <v>18</v>
      </c>
      <c r="AF87" s="182">
        <v>1284.1558441558448</v>
      </c>
      <c r="AG87" s="182">
        <v>71.341991341991374</v>
      </c>
      <c r="AH87" s="451">
        <f t="shared" ref="AH87:AH101" si="54">RANK(AG87, AG$87:AG$101)</f>
        <v>3</v>
      </c>
      <c r="AI87" s="608">
        <f t="shared" ref="AI87" si="55">AVERAGE(AG87:AG101)</f>
        <v>65.677566644034542</v>
      </c>
      <c r="AJ87" s="182">
        <v>18</v>
      </c>
      <c r="AK87" s="182">
        <v>1261.2371134020623</v>
      </c>
      <c r="AL87" s="182">
        <v>70.068728522336798</v>
      </c>
      <c r="AM87" s="451">
        <f t="shared" ref="AM87:AM101" si="56">RANK(AL87, AL$87:AL$101)</f>
        <v>4</v>
      </c>
      <c r="AN87" s="608">
        <f t="shared" ref="AN87" si="57">AVERAGE(AL87:AL101)</f>
        <v>67.553106438917794</v>
      </c>
      <c r="AO87" s="182"/>
      <c r="AP87" s="391"/>
      <c r="AQ87" s="391"/>
      <c r="AR87" s="390" t="e">
        <f t="shared" ref="AR87:AR101" si="58">RANK(AQ87, AQ$87:AQ$101)</f>
        <v>#N/A</v>
      </c>
      <c r="AS87" s="608" t="e">
        <f t="shared" ref="AS87" si="59">AVERAGE(AQ87:AQ101)</f>
        <v>#DIV/0!</v>
      </c>
      <c r="AT87" s="182"/>
      <c r="AU87" s="391"/>
      <c r="AV87" s="391"/>
      <c r="AW87" s="390" t="e">
        <f t="shared" ref="AW87:AW101" si="60">RANK(AV87, AV$87:AV$101)</f>
        <v>#N/A</v>
      </c>
      <c r="AX87" s="605" t="e">
        <f t="shared" ref="AX87" si="61">AVERAGE(AV87:AV101)</f>
        <v>#DIV/0!</v>
      </c>
    </row>
    <row r="88" spans="2:50">
      <c r="B88" s="572"/>
      <c r="C88" s="451">
        <v>2</v>
      </c>
      <c r="D88" s="226" t="s">
        <v>384</v>
      </c>
      <c r="E88" s="182">
        <v>18</v>
      </c>
      <c r="F88" s="451">
        <v>1440</v>
      </c>
      <c r="G88" s="453">
        <v>80</v>
      </c>
      <c r="H88" s="609"/>
      <c r="I88" s="456">
        <f t="shared" ref="I88:K97" si="62">AVERAGE(P88,U88,Z88,AE88,AJ88,AO88,AT88)</f>
        <v>18</v>
      </c>
      <c r="J88" s="456">
        <f t="shared" si="62"/>
        <v>1131.5051158518879</v>
      </c>
      <c r="K88" s="454">
        <f t="shared" si="62"/>
        <v>62.861395325104887</v>
      </c>
      <c r="L88" s="541"/>
      <c r="M88" s="455">
        <f>RANK(K88, K$87:$K$101)</f>
        <v>8</v>
      </c>
      <c r="N88" s="559"/>
      <c r="O88" s="559"/>
      <c r="P88" s="451">
        <v>18</v>
      </c>
      <c r="Q88" s="453">
        <v>1095.4838709677401</v>
      </c>
      <c r="R88" s="453">
        <v>60.860215053763341</v>
      </c>
      <c r="S88" s="451">
        <f t="shared" ref="S88:S101" si="63">RANK(R88, R$87:R$101)</f>
        <v>8</v>
      </c>
      <c r="T88" s="609"/>
      <c r="U88" s="182">
        <v>18</v>
      </c>
      <c r="V88" s="182">
        <v>1298.5714285714257</v>
      </c>
      <c r="W88" s="182">
        <v>72.142857142856982</v>
      </c>
      <c r="X88" s="451">
        <f t="shared" si="50"/>
        <v>4</v>
      </c>
      <c r="Y88" s="609"/>
      <c r="Z88" s="182">
        <v>18</v>
      </c>
      <c r="AA88" s="182">
        <v>1058.1818181818167</v>
      </c>
      <c r="AB88" s="182">
        <v>58.787878787878704</v>
      </c>
      <c r="AC88" s="451">
        <f t="shared" si="52"/>
        <v>11</v>
      </c>
      <c r="AD88" s="609"/>
      <c r="AE88" s="182">
        <v>18</v>
      </c>
      <c r="AF88" s="182">
        <v>1091.5384615384587</v>
      </c>
      <c r="AG88" s="182">
        <v>60.641025641025486</v>
      </c>
      <c r="AH88" s="451">
        <f t="shared" si="54"/>
        <v>9</v>
      </c>
      <c r="AI88" s="609"/>
      <c r="AJ88" s="182">
        <v>18</v>
      </c>
      <c r="AK88" s="182">
        <v>1113.7499999999984</v>
      </c>
      <c r="AL88" s="182">
        <v>61.874999999999915</v>
      </c>
      <c r="AM88" s="451">
        <f t="shared" si="56"/>
        <v>9</v>
      </c>
      <c r="AN88" s="609"/>
      <c r="AO88" s="390"/>
      <c r="AP88" s="391"/>
      <c r="AQ88" s="391"/>
      <c r="AR88" s="390" t="e">
        <f t="shared" si="58"/>
        <v>#N/A</v>
      </c>
      <c r="AS88" s="609"/>
      <c r="AT88" s="390"/>
      <c r="AU88" s="391"/>
      <c r="AV88" s="391"/>
      <c r="AW88" s="390" t="e">
        <f t="shared" si="60"/>
        <v>#N/A</v>
      </c>
      <c r="AX88" s="605"/>
    </row>
    <row r="89" spans="2:50">
      <c r="B89" s="572"/>
      <c r="C89" s="451">
        <v>3</v>
      </c>
      <c r="D89" s="226" t="s">
        <v>793</v>
      </c>
      <c r="E89" s="182">
        <v>18</v>
      </c>
      <c r="F89" s="451">
        <v>1440</v>
      </c>
      <c r="G89" s="453">
        <v>80</v>
      </c>
      <c r="H89" s="609"/>
      <c r="I89" s="456">
        <f t="shared" si="62"/>
        <v>18.8</v>
      </c>
      <c r="J89" s="456">
        <f t="shared" si="62"/>
        <v>1081.0236024844721</v>
      </c>
      <c r="K89" s="454">
        <f t="shared" si="62"/>
        <v>57.55930405724456</v>
      </c>
      <c r="L89" s="541"/>
      <c r="M89" s="455">
        <f>RANK(K89, K$87:$K$101)</f>
        <v>11</v>
      </c>
      <c r="N89" s="559"/>
      <c r="O89" s="559"/>
      <c r="P89" s="451">
        <v>19</v>
      </c>
      <c r="Q89" s="453">
        <v>1108.5714285714282</v>
      </c>
      <c r="R89" s="453">
        <v>58.345864661654119</v>
      </c>
      <c r="S89" s="451">
        <f t="shared" si="63"/>
        <v>11</v>
      </c>
      <c r="T89" s="609"/>
      <c r="U89" s="182">
        <v>19</v>
      </c>
      <c r="V89" s="182">
        <v>1044.0000000000009</v>
      </c>
      <c r="W89" s="182">
        <v>54.94736842105268</v>
      </c>
      <c r="X89" s="451">
        <f t="shared" si="50"/>
        <v>11</v>
      </c>
      <c r="Y89" s="609"/>
      <c r="Z89" s="182">
        <v>18</v>
      </c>
      <c r="AA89" s="182">
        <v>1134.2857142857138</v>
      </c>
      <c r="AB89" s="182">
        <v>63.015873015872984</v>
      </c>
      <c r="AC89" s="451">
        <f t="shared" si="52"/>
        <v>8</v>
      </c>
      <c r="AD89" s="609"/>
      <c r="AE89" s="182">
        <v>19</v>
      </c>
      <c r="AF89" s="182">
        <v>1056.5217391304348</v>
      </c>
      <c r="AG89" s="182">
        <v>55.606407322654462</v>
      </c>
      <c r="AH89" s="451">
        <f t="shared" si="54"/>
        <v>11</v>
      </c>
      <c r="AI89" s="609"/>
      <c r="AJ89" s="182">
        <v>19</v>
      </c>
      <c r="AK89" s="182">
        <v>1061.7391304347825</v>
      </c>
      <c r="AL89" s="182">
        <v>55.881006864988557</v>
      </c>
      <c r="AM89" s="451">
        <f t="shared" si="56"/>
        <v>10</v>
      </c>
      <c r="AN89" s="609"/>
      <c r="AO89" s="390"/>
      <c r="AP89" s="391"/>
      <c r="AQ89" s="391"/>
      <c r="AR89" s="390" t="e">
        <f t="shared" si="58"/>
        <v>#N/A</v>
      </c>
      <c r="AS89" s="609"/>
      <c r="AT89" s="390"/>
      <c r="AU89" s="391"/>
      <c r="AV89" s="391"/>
      <c r="AW89" s="390" t="e">
        <f t="shared" si="60"/>
        <v>#N/A</v>
      </c>
      <c r="AX89" s="605"/>
    </row>
    <row r="90" spans="2:50">
      <c r="B90" s="572"/>
      <c r="C90" s="451">
        <v>4</v>
      </c>
      <c r="D90" s="226" t="s">
        <v>385</v>
      </c>
      <c r="E90" s="182">
        <v>16</v>
      </c>
      <c r="F90" s="451">
        <v>1440</v>
      </c>
      <c r="G90" s="453">
        <v>90</v>
      </c>
      <c r="H90" s="609"/>
      <c r="I90" s="456">
        <f t="shared" si="62"/>
        <v>17</v>
      </c>
      <c r="J90" s="456">
        <f t="shared" si="62"/>
        <v>1283.4196331375358</v>
      </c>
      <c r="K90" s="454">
        <f t="shared" si="62"/>
        <v>75.495272537502103</v>
      </c>
      <c r="L90" s="541"/>
      <c r="M90" s="455">
        <f>RANK(K90, K$87:$K$101)</f>
        <v>2</v>
      </c>
      <c r="N90" s="559"/>
      <c r="O90" s="559"/>
      <c r="P90" s="451">
        <v>17</v>
      </c>
      <c r="Q90" s="453">
        <v>1286.2184873949575</v>
      </c>
      <c r="R90" s="453">
        <v>75.659911023232794</v>
      </c>
      <c r="S90" s="451">
        <f t="shared" si="63"/>
        <v>3</v>
      </c>
      <c r="T90" s="609"/>
      <c r="U90" s="182">
        <v>17</v>
      </c>
      <c r="V90" s="182">
        <v>1265.641025641025</v>
      </c>
      <c r="W90" s="182">
        <v>74.449472096530883</v>
      </c>
      <c r="X90" s="451">
        <f t="shared" si="50"/>
        <v>3</v>
      </c>
      <c r="Y90" s="609"/>
      <c r="Z90" s="182">
        <v>17</v>
      </c>
      <c r="AA90" s="182">
        <v>1277.8846153846162</v>
      </c>
      <c r="AB90" s="182">
        <v>75.169683257918592</v>
      </c>
      <c r="AC90" s="451">
        <f t="shared" si="52"/>
        <v>3</v>
      </c>
      <c r="AD90" s="609"/>
      <c r="AE90" s="182">
        <v>17</v>
      </c>
      <c r="AF90" s="182">
        <v>1296.5714285714294</v>
      </c>
      <c r="AG90" s="182">
        <v>76.268907563025252</v>
      </c>
      <c r="AH90" s="451">
        <f t="shared" si="54"/>
        <v>2</v>
      </c>
      <c r="AI90" s="609"/>
      <c r="AJ90" s="182">
        <v>17</v>
      </c>
      <c r="AK90" s="182">
        <v>1290.7826086956513</v>
      </c>
      <c r="AL90" s="182">
        <v>75.928388746803023</v>
      </c>
      <c r="AM90" s="451">
        <f t="shared" si="56"/>
        <v>2</v>
      </c>
      <c r="AN90" s="609"/>
      <c r="AO90" s="390"/>
      <c r="AP90" s="391"/>
      <c r="AQ90" s="391"/>
      <c r="AR90" s="390" t="e">
        <f t="shared" si="58"/>
        <v>#N/A</v>
      </c>
      <c r="AS90" s="609"/>
      <c r="AT90" s="390"/>
      <c r="AU90" s="391"/>
      <c r="AV90" s="391"/>
      <c r="AW90" s="390" t="e">
        <f t="shared" si="60"/>
        <v>#N/A</v>
      </c>
      <c r="AX90" s="605"/>
    </row>
    <row r="91" spans="2:50">
      <c r="B91" s="572"/>
      <c r="C91" s="451">
        <v>5</v>
      </c>
      <c r="D91" s="226" t="s">
        <v>387</v>
      </c>
      <c r="E91" s="182">
        <v>17</v>
      </c>
      <c r="F91" s="451">
        <v>1440</v>
      </c>
      <c r="G91" s="453">
        <v>84.7</v>
      </c>
      <c r="H91" s="609"/>
      <c r="I91" s="456">
        <f t="shared" si="62"/>
        <v>18.8</v>
      </c>
      <c r="J91" s="456">
        <f t="shared" si="62"/>
        <v>1165.6109709200687</v>
      </c>
      <c r="K91" s="454">
        <f t="shared" si="62"/>
        <v>61.991975266308089</v>
      </c>
      <c r="L91" s="541"/>
      <c r="M91" s="455">
        <f>RANK(K91, K$87:$K$101)</f>
        <v>9</v>
      </c>
      <c r="N91" s="559"/>
      <c r="O91" s="559"/>
      <c r="P91" s="451">
        <v>19</v>
      </c>
      <c r="Q91" s="453">
        <v>1133.7931034482735</v>
      </c>
      <c r="R91" s="453">
        <v>59.673321234119662</v>
      </c>
      <c r="S91" s="451">
        <f t="shared" si="63"/>
        <v>10</v>
      </c>
      <c r="T91" s="609"/>
      <c r="U91" s="182">
        <v>19</v>
      </c>
      <c r="V91" s="182">
        <v>1298.5714285714257</v>
      </c>
      <c r="W91" s="182">
        <v>68.345864661653991</v>
      </c>
      <c r="X91" s="451">
        <f t="shared" si="50"/>
        <v>6</v>
      </c>
      <c r="Y91" s="609"/>
      <c r="Z91" s="182">
        <v>18</v>
      </c>
      <c r="AA91" s="182">
        <v>1101.2903225806435</v>
      </c>
      <c r="AB91" s="182">
        <v>61.182795698924643</v>
      </c>
      <c r="AC91" s="451">
        <f t="shared" si="52"/>
        <v>9</v>
      </c>
      <c r="AD91" s="609"/>
      <c r="AE91" s="182">
        <v>19</v>
      </c>
      <c r="AF91" s="182">
        <v>1094.3999999999969</v>
      </c>
      <c r="AG91" s="182">
        <v>57.599999999999838</v>
      </c>
      <c r="AH91" s="451">
        <f t="shared" si="54"/>
        <v>10</v>
      </c>
      <c r="AI91" s="609"/>
      <c r="AJ91" s="182">
        <v>19</v>
      </c>
      <c r="AK91" s="182">
        <v>1200.0000000000043</v>
      </c>
      <c r="AL91" s="182">
        <v>63.15789473684233</v>
      </c>
      <c r="AM91" s="451">
        <f t="shared" si="56"/>
        <v>8</v>
      </c>
      <c r="AN91" s="609"/>
      <c r="AO91" s="390"/>
      <c r="AP91" s="391"/>
      <c r="AQ91" s="391"/>
      <c r="AR91" s="390" t="e">
        <f t="shared" si="58"/>
        <v>#N/A</v>
      </c>
      <c r="AS91" s="609"/>
      <c r="AT91" s="390"/>
      <c r="AU91" s="391"/>
      <c r="AV91" s="391"/>
      <c r="AW91" s="390" t="e">
        <f t="shared" si="60"/>
        <v>#N/A</v>
      </c>
      <c r="AX91" s="605"/>
    </row>
    <row r="92" spans="2:50">
      <c r="B92" s="572"/>
      <c r="C92" s="451">
        <v>6</v>
      </c>
      <c r="D92" s="226" t="s">
        <v>388</v>
      </c>
      <c r="E92" s="182">
        <v>21</v>
      </c>
      <c r="F92" s="451">
        <v>1385</v>
      </c>
      <c r="G92" s="453">
        <v>65.900000000000006</v>
      </c>
      <c r="H92" s="609"/>
      <c r="I92" s="456">
        <f t="shared" si="62"/>
        <v>19</v>
      </c>
      <c r="J92" s="456">
        <f t="shared" si="62"/>
        <v>1164.5629623056125</v>
      </c>
      <c r="K92" s="454">
        <f t="shared" si="62"/>
        <v>61.292787489769083</v>
      </c>
      <c r="L92" s="541"/>
      <c r="M92" s="455">
        <f>RANK(K92, K$87:$K$101)</f>
        <v>10</v>
      </c>
      <c r="N92" s="559"/>
      <c r="O92" s="559"/>
      <c r="P92" s="451">
        <v>19</v>
      </c>
      <c r="Q92" s="453">
        <v>1150.896551724139</v>
      </c>
      <c r="R92" s="453">
        <v>60.573502722323106</v>
      </c>
      <c r="S92" s="451">
        <f t="shared" si="63"/>
        <v>9</v>
      </c>
      <c r="T92" s="609"/>
      <c r="U92" s="182">
        <v>19</v>
      </c>
      <c r="V92" s="182">
        <v>1157.333333333333</v>
      </c>
      <c r="W92" s="182">
        <v>60.912280701754369</v>
      </c>
      <c r="X92" s="451">
        <f t="shared" si="50"/>
        <v>10</v>
      </c>
      <c r="Y92" s="609"/>
      <c r="Z92" s="182">
        <v>19</v>
      </c>
      <c r="AA92" s="182">
        <v>1159.8000000000006</v>
      </c>
      <c r="AB92" s="182">
        <v>61.042105263157929</v>
      </c>
      <c r="AC92" s="451">
        <f t="shared" si="52"/>
        <v>10</v>
      </c>
      <c r="AD92" s="609"/>
      <c r="AE92" s="182">
        <v>19</v>
      </c>
      <c r="AF92" s="182">
        <v>1154.3437500000011</v>
      </c>
      <c r="AG92" s="182">
        <v>60.754934210526379</v>
      </c>
      <c r="AH92" s="451">
        <f t="shared" si="54"/>
        <v>8</v>
      </c>
      <c r="AI92" s="609"/>
      <c r="AJ92" s="182">
        <v>19</v>
      </c>
      <c r="AK92" s="182">
        <v>1200.4411764705883</v>
      </c>
      <c r="AL92" s="182">
        <v>63.181114551083596</v>
      </c>
      <c r="AM92" s="451">
        <f t="shared" si="56"/>
        <v>7</v>
      </c>
      <c r="AN92" s="609"/>
      <c r="AO92" s="390"/>
      <c r="AP92" s="391"/>
      <c r="AQ92" s="391"/>
      <c r="AR92" s="390" t="e">
        <f t="shared" si="58"/>
        <v>#N/A</v>
      </c>
      <c r="AS92" s="609"/>
      <c r="AT92" s="390"/>
      <c r="AU92" s="391"/>
      <c r="AV92" s="391"/>
      <c r="AW92" s="390" t="e">
        <f t="shared" si="60"/>
        <v>#N/A</v>
      </c>
      <c r="AX92" s="605"/>
    </row>
    <row r="93" spans="2:50">
      <c r="B93" s="572"/>
      <c r="C93" s="451">
        <v>7</v>
      </c>
      <c r="D93" s="226" t="s">
        <v>389</v>
      </c>
      <c r="E93" s="182">
        <v>19</v>
      </c>
      <c r="F93" s="451">
        <v>1440</v>
      </c>
      <c r="G93" s="453">
        <v>75.8</v>
      </c>
      <c r="H93" s="609"/>
      <c r="I93" s="456">
        <f t="shared" si="62"/>
        <v>19</v>
      </c>
      <c r="J93" s="456">
        <f t="shared" si="62"/>
        <v>1220.4402871075285</v>
      </c>
      <c r="K93" s="454">
        <f t="shared" si="62"/>
        <v>64.233699321448867</v>
      </c>
      <c r="L93" s="541"/>
      <c r="M93" s="455">
        <f>RANK(K93, K$87:$K$101)</f>
        <v>7</v>
      </c>
      <c r="N93" s="559"/>
      <c r="O93" s="559"/>
      <c r="P93" s="451">
        <v>19</v>
      </c>
      <c r="Q93" s="453">
        <v>1196.5517241379307</v>
      </c>
      <c r="R93" s="453">
        <v>62.9764065335753</v>
      </c>
      <c r="S93" s="451">
        <f t="shared" si="63"/>
        <v>7</v>
      </c>
      <c r="T93" s="609"/>
      <c r="U93" s="182">
        <v>19</v>
      </c>
      <c r="V93" s="182">
        <v>1227.2727272727266</v>
      </c>
      <c r="W93" s="182">
        <v>64.593301435406659</v>
      </c>
      <c r="X93" s="451">
        <f t="shared" si="50"/>
        <v>9</v>
      </c>
      <c r="Y93" s="609"/>
      <c r="Z93" s="182">
        <v>19</v>
      </c>
      <c r="AA93" s="182">
        <v>1244.2499999999995</v>
      </c>
      <c r="AB93" s="182">
        <v>65.486842105263136</v>
      </c>
      <c r="AC93" s="451">
        <f t="shared" si="52"/>
        <v>6</v>
      </c>
      <c r="AD93" s="609"/>
      <c r="AE93" s="182">
        <v>19</v>
      </c>
      <c r="AF93" s="182">
        <v>1192.2222222222229</v>
      </c>
      <c r="AG93" s="182">
        <v>62.748538011695942</v>
      </c>
      <c r="AH93" s="451">
        <f t="shared" si="54"/>
        <v>6</v>
      </c>
      <c r="AI93" s="609"/>
      <c r="AJ93" s="182">
        <v>19</v>
      </c>
      <c r="AK93" s="182">
        <v>1241.9047619047633</v>
      </c>
      <c r="AL93" s="182">
        <v>65.363408521303327</v>
      </c>
      <c r="AM93" s="451">
        <f t="shared" si="56"/>
        <v>5</v>
      </c>
      <c r="AN93" s="609"/>
      <c r="AO93" s="390"/>
      <c r="AP93" s="391"/>
      <c r="AQ93" s="391"/>
      <c r="AR93" s="390" t="e">
        <f t="shared" si="58"/>
        <v>#N/A</v>
      </c>
      <c r="AS93" s="609"/>
      <c r="AT93" s="390"/>
      <c r="AU93" s="391"/>
      <c r="AV93" s="391"/>
      <c r="AW93" s="390" t="e">
        <f t="shared" si="60"/>
        <v>#N/A</v>
      </c>
      <c r="AX93" s="605"/>
    </row>
    <row r="94" spans="2:50">
      <c r="B94" s="572"/>
      <c r="C94" s="451">
        <v>8</v>
      </c>
      <c r="D94" s="226" t="s">
        <v>489</v>
      </c>
      <c r="E94" s="182">
        <v>18</v>
      </c>
      <c r="F94" s="451">
        <v>1385</v>
      </c>
      <c r="G94" s="453">
        <v>76.900000000000006</v>
      </c>
      <c r="H94" s="609"/>
      <c r="I94" s="456">
        <f t="shared" si="62"/>
        <v>17.8</v>
      </c>
      <c r="J94" s="456">
        <f t="shared" si="62"/>
        <v>1224.7530749128921</v>
      </c>
      <c r="K94" s="454">
        <f t="shared" si="62"/>
        <v>68.846371808886161</v>
      </c>
      <c r="L94" s="541"/>
      <c r="M94" s="455">
        <f>RANK(K94, K$87:$K$101)</f>
        <v>5</v>
      </c>
      <c r="N94" s="559"/>
      <c r="O94" s="559"/>
      <c r="P94" s="451">
        <v>18</v>
      </c>
      <c r="Q94" s="453">
        <v>1213.1707317073167</v>
      </c>
      <c r="R94" s="453">
        <v>67.398373983739816</v>
      </c>
      <c r="S94" s="451">
        <f t="shared" si="63"/>
        <v>5</v>
      </c>
      <c r="T94" s="609"/>
      <c r="U94" s="182">
        <v>18</v>
      </c>
      <c r="V94" s="182">
        <v>1216.799999999999</v>
      </c>
      <c r="W94" s="182">
        <v>67.599999999999952</v>
      </c>
      <c r="X94" s="451">
        <f t="shared" si="50"/>
        <v>7</v>
      </c>
      <c r="Y94" s="609"/>
      <c r="Z94" s="182">
        <v>18</v>
      </c>
      <c r="AA94" s="182">
        <v>1242.857142857142</v>
      </c>
      <c r="AB94" s="182">
        <v>69.047619047618994</v>
      </c>
      <c r="AC94" s="451">
        <f t="shared" si="52"/>
        <v>5</v>
      </c>
      <c r="AD94" s="609"/>
      <c r="AE94" s="182">
        <v>18</v>
      </c>
      <c r="AF94" s="182">
        <v>1220.0000000000009</v>
      </c>
      <c r="AG94" s="182">
        <v>67.777777777777828</v>
      </c>
      <c r="AH94" s="451">
        <f t="shared" si="54"/>
        <v>4</v>
      </c>
      <c r="AI94" s="609"/>
      <c r="AJ94" s="182">
        <v>17</v>
      </c>
      <c r="AK94" s="182">
        <v>1230.9375000000014</v>
      </c>
      <c r="AL94" s="182">
        <v>72.408088235294201</v>
      </c>
      <c r="AM94" s="451">
        <f t="shared" si="56"/>
        <v>3</v>
      </c>
      <c r="AN94" s="609"/>
      <c r="AO94" s="390"/>
      <c r="AP94" s="391"/>
      <c r="AQ94" s="391"/>
      <c r="AR94" s="390" t="e">
        <f t="shared" si="58"/>
        <v>#N/A</v>
      </c>
      <c r="AS94" s="609"/>
      <c r="AT94" s="390"/>
      <c r="AU94" s="391"/>
      <c r="AV94" s="391"/>
      <c r="AW94" s="390" t="e">
        <f t="shared" si="60"/>
        <v>#N/A</v>
      </c>
      <c r="AX94" s="605"/>
    </row>
    <row r="95" spans="2:50">
      <c r="B95" s="572"/>
      <c r="C95" s="451">
        <v>9</v>
      </c>
      <c r="D95" s="226" t="s">
        <v>492</v>
      </c>
      <c r="E95" s="182">
        <v>18</v>
      </c>
      <c r="F95" s="451">
        <v>1385</v>
      </c>
      <c r="G95" s="453">
        <v>76.900000000000006</v>
      </c>
      <c r="H95" s="609"/>
      <c r="I95" s="456">
        <f t="shared" si="62"/>
        <v>19</v>
      </c>
      <c r="J95" s="456">
        <f t="shared" si="62"/>
        <v>1225.5373452606837</v>
      </c>
      <c r="K95" s="454">
        <f t="shared" si="62"/>
        <v>64.501965540035982</v>
      </c>
      <c r="L95" s="541"/>
      <c r="M95" s="455">
        <f>RANK(K95, K$87:$K$101)</f>
        <v>6</v>
      </c>
      <c r="N95" s="559"/>
      <c r="O95" s="559"/>
      <c r="P95" s="451">
        <v>19</v>
      </c>
      <c r="Q95" s="453">
        <v>1246.2857142857131</v>
      </c>
      <c r="R95" s="453">
        <v>65.593984962405955</v>
      </c>
      <c r="S95" s="451">
        <f t="shared" si="63"/>
        <v>6</v>
      </c>
      <c r="T95" s="609"/>
      <c r="U95" s="182">
        <v>19</v>
      </c>
      <c r="V95" s="182">
        <v>1249.4117647058806</v>
      </c>
      <c r="W95" s="182">
        <v>65.758513931888459</v>
      </c>
      <c r="X95" s="451">
        <f t="shared" si="50"/>
        <v>8</v>
      </c>
      <c r="Y95" s="609"/>
      <c r="Z95" s="182">
        <v>19</v>
      </c>
      <c r="AA95" s="182">
        <v>1216.6666666666656</v>
      </c>
      <c r="AB95" s="182">
        <v>64.03508771929819</v>
      </c>
      <c r="AC95" s="451">
        <f t="shared" si="52"/>
        <v>7</v>
      </c>
      <c r="AD95" s="609"/>
      <c r="AE95" s="182">
        <v>19</v>
      </c>
      <c r="AF95" s="182">
        <v>1190.3225806451594</v>
      </c>
      <c r="AG95" s="182">
        <v>62.648556876061022</v>
      </c>
      <c r="AH95" s="451">
        <f t="shared" si="54"/>
        <v>7</v>
      </c>
      <c r="AI95" s="609"/>
      <c r="AJ95" s="182">
        <v>19</v>
      </c>
      <c r="AK95" s="182">
        <v>1224.9999999999991</v>
      </c>
      <c r="AL95" s="182">
        <v>64.473684210526272</v>
      </c>
      <c r="AM95" s="451">
        <f t="shared" si="56"/>
        <v>6</v>
      </c>
      <c r="AN95" s="609"/>
      <c r="AO95" s="390"/>
      <c r="AP95" s="391"/>
      <c r="AQ95" s="391"/>
      <c r="AR95" s="390" t="e">
        <f t="shared" si="58"/>
        <v>#N/A</v>
      </c>
      <c r="AS95" s="609"/>
      <c r="AT95" s="390"/>
      <c r="AU95" s="391"/>
      <c r="AV95" s="391"/>
      <c r="AW95" s="390" t="e">
        <f t="shared" si="60"/>
        <v>#N/A</v>
      </c>
      <c r="AX95" s="605"/>
    </row>
    <row r="96" spans="2:50">
      <c r="B96" s="572"/>
      <c r="C96" s="451">
        <v>10</v>
      </c>
      <c r="D96" s="226" t="s">
        <v>564</v>
      </c>
      <c r="E96" s="182">
        <v>16</v>
      </c>
      <c r="F96" s="451">
        <v>1440</v>
      </c>
      <c r="G96" s="453">
        <v>90</v>
      </c>
      <c r="H96" s="609"/>
      <c r="I96" s="456">
        <f t="shared" si="62"/>
        <v>15.6</v>
      </c>
      <c r="J96" s="456">
        <f t="shared" si="62"/>
        <v>1293.8401937786846</v>
      </c>
      <c r="K96" s="454">
        <f t="shared" si="62"/>
        <v>82.995514041669708</v>
      </c>
      <c r="L96" s="541"/>
      <c r="M96" s="455">
        <f>RANK(K96, K$87:$K$101)</f>
        <v>1</v>
      </c>
      <c r="N96" s="559"/>
      <c r="O96" s="559"/>
      <c r="P96" s="451">
        <v>15</v>
      </c>
      <c r="Q96" s="453">
        <v>1277.1428571428564</v>
      </c>
      <c r="R96" s="453">
        <v>85.142857142857096</v>
      </c>
      <c r="S96" s="451">
        <f t="shared" si="63"/>
        <v>1</v>
      </c>
      <c r="T96" s="609"/>
      <c r="U96" s="182">
        <v>15</v>
      </c>
      <c r="V96" s="182">
        <v>1279.4594594594603</v>
      </c>
      <c r="W96" s="182">
        <v>85.297297297297348</v>
      </c>
      <c r="X96" s="451">
        <f t="shared" si="50"/>
        <v>1</v>
      </c>
      <c r="Y96" s="609"/>
      <c r="Z96" s="182">
        <v>16</v>
      </c>
      <c r="AA96" s="182">
        <v>1298.8571428571436</v>
      </c>
      <c r="AB96" s="182">
        <v>81.178571428571473</v>
      </c>
      <c r="AC96" s="451">
        <f t="shared" si="52"/>
        <v>1</v>
      </c>
      <c r="AD96" s="609"/>
      <c r="AE96" s="182">
        <v>16</v>
      </c>
      <c r="AF96" s="182">
        <v>1282.6415094339618</v>
      </c>
      <c r="AG96" s="182">
        <v>80.165094339622613</v>
      </c>
      <c r="AH96" s="451">
        <f t="shared" si="54"/>
        <v>1</v>
      </c>
      <c r="AI96" s="609"/>
      <c r="AJ96" s="182">
        <v>16</v>
      </c>
      <c r="AK96" s="182">
        <v>1331.1</v>
      </c>
      <c r="AL96" s="182">
        <v>83.193749999999994</v>
      </c>
      <c r="AM96" s="451">
        <f t="shared" si="56"/>
        <v>1</v>
      </c>
      <c r="AN96" s="609"/>
      <c r="AO96" s="390"/>
      <c r="AP96" s="391"/>
      <c r="AQ96" s="391"/>
      <c r="AR96" s="390" t="e">
        <f t="shared" si="58"/>
        <v>#N/A</v>
      </c>
      <c r="AS96" s="609"/>
      <c r="AT96" s="390"/>
      <c r="AU96" s="391"/>
      <c r="AV96" s="391"/>
      <c r="AW96" s="390" t="e">
        <f t="shared" si="60"/>
        <v>#N/A</v>
      </c>
      <c r="AX96" s="605"/>
    </row>
    <row r="97" spans="2:50">
      <c r="B97" s="572"/>
      <c r="C97" s="451">
        <v>11</v>
      </c>
      <c r="D97" s="226" t="s">
        <v>605</v>
      </c>
      <c r="E97" s="182">
        <v>16</v>
      </c>
      <c r="F97" s="451">
        <v>1440</v>
      </c>
      <c r="G97" s="453">
        <v>90</v>
      </c>
      <c r="H97" s="609"/>
      <c r="I97" s="456">
        <f t="shared" si="62"/>
        <v>16</v>
      </c>
      <c r="J97" s="456">
        <f t="shared" si="62"/>
        <v>1207.4255494505492</v>
      </c>
      <c r="K97" s="454">
        <f t="shared" si="62"/>
        <v>75.464096840659323</v>
      </c>
      <c r="L97" s="541"/>
      <c r="M97" s="455">
        <f>RANK(K97, K$87:$K$101)</f>
        <v>3</v>
      </c>
      <c r="N97" s="559"/>
      <c r="O97" s="559"/>
      <c r="P97" s="451">
        <v>16</v>
      </c>
      <c r="Q97" s="453">
        <v>1249.2307692307686</v>
      </c>
      <c r="R97" s="453">
        <v>78.076923076923038</v>
      </c>
      <c r="S97" s="451">
        <f t="shared" si="63"/>
        <v>2</v>
      </c>
      <c r="T97" s="609"/>
      <c r="U97" s="182">
        <v>16</v>
      </c>
      <c r="V97" s="182">
        <v>1248.5714285714282</v>
      </c>
      <c r="W97" s="182">
        <v>78.035714285714263</v>
      </c>
      <c r="X97" s="451">
        <f t="shared" si="50"/>
        <v>2</v>
      </c>
      <c r="Y97" s="609"/>
      <c r="Z97" s="182">
        <v>16</v>
      </c>
      <c r="AA97" s="182">
        <v>1261.4999999999995</v>
      </c>
      <c r="AB97" s="182">
        <v>78.843749999999972</v>
      </c>
      <c r="AC97" s="451">
        <f t="shared" si="52"/>
        <v>2</v>
      </c>
      <c r="AD97" s="609"/>
      <c r="AE97" s="182">
        <v>16</v>
      </c>
      <c r="AF97" s="182">
        <v>1070.4000000000001</v>
      </c>
      <c r="AG97" s="182">
        <v>66.900000000000006</v>
      </c>
      <c r="AH97" s="451">
        <f t="shared" si="54"/>
        <v>5</v>
      </c>
      <c r="AI97" s="609"/>
      <c r="AJ97" s="451"/>
      <c r="AK97" s="453"/>
      <c r="AL97" s="453"/>
      <c r="AM97" s="451" t="e">
        <f t="shared" si="56"/>
        <v>#N/A</v>
      </c>
      <c r="AN97" s="609"/>
      <c r="AO97" s="390"/>
      <c r="AP97" s="391"/>
      <c r="AQ97" s="391"/>
      <c r="AR97" s="390" t="e">
        <f t="shared" si="58"/>
        <v>#N/A</v>
      </c>
      <c r="AS97" s="609"/>
      <c r="AT97" s="390"/>
      <c r="AU97" s="391"/>
      <c r="AV97" s="391"/>
      <c r="AW97" s="390" t="e">
        <f t="shared" si="60"/>
        <v>#N/A</v>
      </c>
      <c r="AX97" s="605"/>
    </row>
    <row r="98" spans="2:50">
      <c r="B98" s="572"/>
      <c r="C98" s="451">
        <v>12</v>
      </c>
      <c r="D98" s="226"/>
      <c r="E98" s="182"/>
      <c r="F98" s="451"/>
      <c r="G98" s="453"/>
      <c r="H98" s="609"/>
      <c r="I98" s="456"/>
      <c r="J98" s="456"/>
      <c r="K98" s="454"/>
      <c r="L98" s="541"/>
      <c r="M98" s="455" t="e">
        <f>RANK(K98, K$87:$K$101)</f>
        <v>#N/A</v>
      </c>
      <c r="N98" s="559"/>
      <c r="O98" s="559"/>
      <c r="P98" s="451"/>
      <c r="Q98" s="453"/>
      <c r="R98" s="453"/>
      <c r="S98" s="451" t="e">
        <f t="shared" si="63"/>
        <v>#N/A</v>
      </c>
      <c r="T98" s="609"/>
      <c r="U98" s="451"/>
      <c r="V98" s="453"/>
      <c r="W98" s="453"/>
      <c r="X98" s="451" t="e">
        <f t="shared" si="50"/>
        <v>#N/A</v>
      </c>
      <c r="Y98" s="609"/>
      <c r="Z98" s="451"/>
      <c r="AA98" s="453"/>
      <c r="AB98" s="453"/>
      <c r="AC98" s="451" t="e">
        <f t="shared" si="52"/>
        <v>#N/A</v>
      </c>
      <c r="AD98" s="609"/>
      <c r="AE98" s="451"/>
      <c r="AF98" s="453"/>
      <c r="AG98" s="453"/>
      <c r="AH98" s="451" t="e">
        <f t="shared" si="54"/>
        <v>#N/A</v>
      </c>
      <c r="AI98" s="609"/>
      <c r="AJ98" s="451"/>
      <c r="AK98" s="453"/>
      <c r="AL98" s="453"/>
      <c r="AM98" s="451" t="e">
        <f t="shared" si="56"/>
        <v>#N/A</v>
      </c>
      <c r="AN98" s="609"/>
      <c r="AO98" s="390"/>
      <c r="AP98" s="391"/>
      <c r="AQ98" s="391"/>
      <c r="AR98" s="390" t="e">
        <f t="shared" si="58"/>
        <v>#N/A</v>
      </c>
      <c r="AS98" s="609"/>
      <c r="AT98" s="390"/>
      <c r="AU98" s="391"/>
      <c r="AV98" s="391"/>
      <c r="AW98" s="390" t="e">
        <f t="shared" si="60"/>
        <v>#N/A</v>
      </c>
      <c r="AX98" s="605"/>
    </row>
    <row r="99" spans="2:50">
      <c r="B99" s="572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41"/>
      <c r="M99" s="455" t="e">
        <f>RANK(K99, K$87:$K$101)</f>
        <v>#N/A</v>
      </c>
      <c r="N99" s="559"/>
      <c r="O99" s="559"/>
      <c r="P99" s="451"/>
      <c r="Q99" s="453"/>
      <c r="R99" s="453"/>
      <c r="S99" s="451" t="e">
        <f t="shared" si="63"/>
        <v>#N/A</v>
      </c>
      <c r="T99" s="609"/>
      <c r="U99" s="451"/>
      <c r="V99" s="453"/>
      <c r="W99" s="453"/>
      <c r="X99" s="451" t="e">
        <f t="shared" si="50"/>
        <v>#N/A</v>
      </c>
      <c r="Y99" s="609"/>
      <c r="Z99" s="451"/>
      <c r="AA99" s="453"/>
      <c r="AB99" s="453"/>
      <c r="AC99" s="451" t="e">
        <f t="shared" si="52"/>
        <v>#N/A</v>
      </c>
      <c r="AD99" s="609"/>
      <c r="AE99" s="451"/>
      <c r="AF99" s="453"/>
      <c r="AG99" s="453"/>
      <c r="AH99" s="451" t="e">
        <f t="shared" si="54"/>
        <v>#N/A</v>
      </c>
      <c r="AI99" s="609"/>
      <c r="AJ99" s="451"/>
      <c r="AK99" s="453"/>
      <c r="AL99" s="453"/>
      <c r="AM99" s="451" t="e">
        <f t="shared" si="56"/>
        <v>#N/A</v>
      </c>
      <c r="AN99" s="609"/>
      <c r="AO99" s="390"/>
      <c r="AP99" s="391"/>
      <c r="AQ99" s="391"/>
      <c r="AR99" s="390" t="e">
        <f t="shared" si="58"/>
        <v>#N/A</v>
      </c>
      <c r="AS99" s="609"/>
      <c r="AT99" s="390"/>
      <c r="AU99" s="391"/>
      <c r="AV99" s="391"/>
      <c r="AW99" s="390" t="e">
        <f t="shared" si="60"/>
        <v>#N/A</v>
      </c>
      <c r="AX99" s="605"/>
    </row>
    <row r="100" spans="2:50">
      <c r="B100" s="572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41"/>
      <c r="M100" s="455" t="e">
        <f>RANK(K100, K$87:$K$101)</f>
        <v>#N/A</v>
      </c>
      <c r="N100" s="559"/>
      <c r="O100" s="559"/>
      <c r="P100" s="451"/>
      <c r="Q100" s="453"/>
      <c r="R100" s="453"/>
      <c r="S100" s="451" t="e">
        <f t="shared" si="63"/>
        <v>#N/A</v>
      </c>
      <c r="T100" s="609"/>
      <c r="U100" s="451"/>
      <c r="V100" s="453"/>
      <c r="W100" s="453"/>
      <c r="X100" s="451" t="e">
        <f t="shared" si="50"/>
        <v>#N/A</v>
      </c>
      <c r="Y100" s="609"/>
      <c r="Z100" s="451"/>
      <c r="AA100" s="453"/>
      <c r="AB100" s="453"/>
      <c r="AC100" s="451" t="e">
        <f t="shared" si="52"/>
        <v>#N/A</v>
      </c>
      <c r="AD100" s="609"/>
      <c r="AE100" s="451"/>
      <c r="AF100" s="453"/>
      <c r="AG100" s="453"/>
      <c r="AH100" s="451" t="e">
        <f t="shared" si="54"/>
        <v>#N/A</v>
      </c>
      <c r="AI100" s="609"/>
      <c r="AJ100" s="451"/>
      <c r="AK100" s="453"/>
      <c r="AL100" s="453"/>
      <c r="AM100" s="451" t="e">
        <f t="shared" si="56"/>
        <v>#N/A</v>
      </c>
      <c r="AN100" s="609"/>
      <c r="AO100" s="390"/>
      <c r="AP100" s="391"/>
      <c r="AQ100" s="391"/>
      <c r="AR100" s="390" t="e">
        <f t="shared" si="58"/>
        <v>#N/A</v>
      </c>
      <c r="AS100" s="609"/>
      <c r="AT100" s="390"/>
      <c r="AU100" s="391"/>
      <c r="AV100" s="391"/>
      <c r="AW100" s="390" t="e">
        <f t="shared" si="60"/>
        <v>#N/A</v>
      </c>
      <c r="AX100" s="605"/>
    </row>
    <row r="101" spans="2:50">
      <c r="B101" s="572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42"/>
      <c r="M101" s="456" t="e">
        <f>RANK(K101, K$87:$K$101)</f>
        <v>#N/A</v>
      </c>
      <c r="N101" s="559"/>
      <c r="O101" s="559"/>
      <c r="P101" s="451"/>
      <c r="Q101" s="453"/>
      <c r="R101" s="453"/>
      <c r="S101" s="451" t="e">
        <f t="shared" si="63"/>
        <v>#N/A</v>
      </c>
      <c r="T101" s="610"/>
      <c r="U101" s="451"/>
      <c r="V101" s="453"/>
      <c r="W101" s="453"/>
      <c r="X101" s="451" t="e">
        <f t="shared" si="50"/>
        <v>#N/A</v>
      </c>
      <c r="Y101" s="610"/>
      <c r="Z101" s="451"/>
      <c r="AA101" s="453"/>
      <c r="AB101" s="453"/>
      <c r="AC101" s="451" t="e">
        <f t="shared" si="52"/>
        <v>#N/A</v>
      </c>
      <c r="AD101" s="610"/>
      <c r="AE101" s="451"/>
      <c r="AF101" s="453"/>
      <c r="AG101" s="453"/>
      <c r="AH101" s="451" t="e">
        <f t="shared" si="54"/>
        <v>#N/A</v>
      </c>
      <c r="AI101" s="610"/>
      <c r="AJ101" s="451"/>
      <c r="AK101" s="453"/>
      <c r="AL101" s="453"/>
      <c r="AM101" s="451" t="e">
        <f t="shared" si="56"/>
        <v>#N/A</v>
      </c>
      <c r="AN101" s="610"/>
      <c r="AO101" s="390"/>
      <c r="AP101" s="391"/>
      <c r="AQ101" s="391"/>
      <c r="AR101" s="390" t="e">
        <f t="shared" si="58"/>
        <v>#N/A</v>
      </c>
      <c r="AS101" s="610"/>
      <c r="AT101" s="390"/>
      <c r="AU101" s="391"/>
      <c r="AV101" s="391"/>
      <c r="AW101" s="390" t="e">
        <f t="shared" si="60"/>
        <v>#N/A</v>
      </c>
      <c r="AX101" s="605"/>
    </row>
    <row r="102" spans="2:50" ht="15.75">
      <c r="B102" s="576" t="s">
        <v>162</v>
      </c>
      <c r="C102" s="577"/>
      <c r="D102" s="577"/>
      <c r="E102" s="577"/>
      <c r="F102" s="577"/>
      <c r="G102" s="577"/>
      <c r="H102" s="578"/>
      <c r="I102" s="208"/>
      <c r="J102" s="208"/>
      <c r="K102" s="208"/>
      <c r="L102" s="208"/>
      <c r="M102" s="207"/>
      <c r="N102" s="565" t="s">
        <v>156</v>
      </c>
      <c r="O102" s="565" t="s">
        <v>105</v>
      </c>
      <c r="P102" s="571">
        <f>P82+7</f>
        <v>46421</v>
      </c>
      <c r="Q102" s="572"/>
      <c r="R102" s="572"/>
      <c r="S102" s="572"/>
      <c r="T102" s="572"/>
      <c r="U102" s="568">
        <f>P102+1</f>
        <v>46422</v>
      </c>
      <c r="V102" s="569"/>
      <c r="W102" s="569"/>
      <c r="X102" s="569"/>
      <c r="Y102" s="570"/>
      <c r="Z102" s="568">
        <f>U102+1</f>
        <v>46423</v>
      </c>
      <c r="AA102" s="569"/>
      <c r="AB102" s="569"/>
      <c r="AC102" s="569"/>
      <c r="AD102" s="570"/>
      <c r="AE102" s="568">
        <f>Z102+1</f>
        <v>46424</v>
      </c>
      <c r="AF102" s="569"/>
      <c r="AG102" s="569"/>
      <c r="AH102" s="569"/>
      <c r="AI102" s="570"/>
      <c r="AJ102" s="568">
        <f>AE102+1</f>
        <v>46425</v>
      </c>
      <c r="AK102" s="569"/>
      <c r="AL102" s="569"/>
      <c r="AM102" s="569"/>
      <c r="AN102" s="570"/>
      <c r="AO102" s="568">
        <f>AJ102+1</f>
        <v>46426</v>
      </c>
      <c r="AP102" s="569"/>
      <c r="AQ102" s="569"/>
      <c r="AR102" s="569"/>
      <c r="AS102" s="570"/>
      <c r="AT102" s="568">
        <f>AO102+1</f>
        <v>46427</v>
      </c>
      <c r="AU102" s="569"/>
      <c r="AV102" s="569"/>
      <c r="AW102" s="569"/>
      <c r="AX102" s="570"/>
    </row>
    <row r="103" spans="2:50" ht="15.75">
      <c r="B103" s="579"/>
      <c r="C103" s="579"/>
      <c r="D103" s="579"/>
      <c r="E103" s="579"/>
      <c r="F103" s="579"/>
      <c r="G103" s="579"/>
      <c r="H103" s="579"/>
      <c r="I103" s="205"/>
      <c r="J103" s="205"/>
      <c r="K103" s="205"/>
      <c r="L103" s="205"/>
      <c r="M103" s="206"/>
      <c r="N103" s="567"/>
      <c r="O103" s="567"/>
      <c r="P103" s="571" t="s">
        <v>158</v>
      </c>
      <c r="Q103" s="572"/>
      <c r="R103" s="572"/>
      <c r="S103" s="572"/>
      <c r="T103" s="572"/>
      <c r="U103" s="571" t="s">
        <v>114</v>
      </c>
      <c r="V103" s="572"/>
      <c r="W103" s="572"/>
      <c r="X103" s="572"/>
      <c r="Y103" s="572"/>
      <c r="Z103" s="571" t="s">
        <v>159</v>
      </c>
      <c r="AA103" s="572"/>
      <c r="AB103" s="572"/>
      <c r="AC103" s="572"/>
      <c r="AD103" s="572"/>
      <c r="AE103" s="571" t="s">
        <v>157</v>
      </c>
      <c r="AF103" s="572"/>
      <c r="AG103" s="572"/>
      <c r="AH103" s="572"/>
      <c r="AI103" s="572"/>
      <c r="AJ103" s="571" t="s">
        <v>160</v>
      </c>
      <c r="AK103" s="572"/>
      <c r="AL103" s="572"/>
      <c r="AM103" s="572"/>
      <c r="AN103" s="572"/>
      <c r="AO103" s="571" t="s">
        <v>115</v>
      </c>
      <c r="AP103" s="572"/>
      <c r="AQ103" s="572"/>
      <c r="AR103" s="572"/>
      <c r="AS103" s="572"/>
      <c r="AT103" s="571" t="s">
        <v>161</v>
      </c>
      <c r="AU103" s="572"/>
      <c r="AV103" s="572"/>
      <c r="AW103" s="572"/>
      <c r="AX103" s="572"/>
    </row>
    <row r="104" spans="2:50">
      <c r="B104" s="559" t="s">
        <v>685</v>
      </c>
      <c r="C104" s="559" t="s">
        <v>686</v>
      </c>
      <c r="D104" s="559"/>
      <c r="E104" s="559" t="s">
        <v>687</v>
      </c>
      <c r="F104" s="559"/>
      <c r="G104" s="559"/>
      <c r="H104" s="560" t="s">
        <v>688</v>
      </c>
      <c r="I104" s="559" t="s">
        <v>689</v>
      </c>
      <c r="J104" s="559"/>
      <c r="K104" s="559"/>
      <c r="L104" s="560" t="s">
        <v>688</v>
      </c>
      <c r="M104" s="565" t="s">
        <v>690</v>
      </c>
      <c r="N104" s="559"/>
      <c r="O104" s="559" t="s">
        <v>691</v>
      </c>
      <c r="P104" s="556" t="s">
        <v>692</v>
      </c>
      <c r="Q104" s="557"/>
      <c r="R104" s="557"/>
      <c r="S104" s="558"/>
      <c r="T104" s="559" t="s">
        <v>688</v>
      </c>
      <c r="U104" s="556" t="s">
        <v>692</v>
      </c>
      <c r="V104" s="557"/>
      <c r="W104" s="557"/>
      <c r="X104" s="558"/>
      <c r="Y104" s="559" t="s">
        <v>688</v>
      </c>
      <c r="Z104" s="556" t="s">
        <v>418</v>
      </c>
      <c r="AA104" s="557"/>
      <c r="AB104" s="557"/>
      <c r="AC104" s="558"/>
      <c r="AD104" s="559" t="s">
        <v>416</v>
      </c>
      <c r="AE104" s="556" t="s">
        <v>418</v>
      </c>
      <c r="AF104" s="557"/>
      <c r="AG104" s="557"/>
      <c r="AH104" s="558"/>
      <c r="AI104" s="559" t="s">
        <v>416</v>
      </c>
      <c r="AJ104" s="556" t="s">
        <v>418</v>
      </c>
      <c r="AK104" s="557"/>
      <c r="AL104" s="557"/>
      <c r="AM104" s="558"/>
      <c r="AN104" s="559" t="s">
        <v>416</v>
      </c>
      <c r="AO104" s="556" t="s">
        <v>418</v>
      </c>
      <c r="AP104" s="557"/>
      <c r="AQ104" s="557"/>
      <c r="AR104" s="558"/>
      <c r="AS104" s="559" t="s">
        <v>416</v>
      </c>
      <c r="AT104" s="556" t="s">
        <v>418</v>
      </c>
      <c r="AU104" s="557"/>
      <c r="AV104" s="557"/>
      <c r="AW104" s="558"/>
      <c r="AX104" s="559" t="s">
        <v>416</v>
      </c>
    </row>
    <row r="105" spans="2:50">
      <c r="B105" s="559"/>
      <c r="C105" s="559"/>
      <c r="D105" s="559"/>
      <c r="E105" s="559" t="s">
        <v>693</v>
      </c>
      <c r="F105" s="559"/>
      <c r="G105" s="559"/>
      <c r="H105" s="561"/>
      <c r="I105" s="559" t="s">
        <v>693</v>
      </c>
      <c r="J105" s="559"/>
      <c r="K105" s="559"/>
      <c r="L105" s="561"/>
      <c r="M105" s="566"/>
      <c r="N105" s="559"/>
      <c r="O105" s="559"/>
      <c r="P105" s="556" t="s">
        <v>694</v>
      </c>
      <c r="Q105" s="557"/>
      <c r="R105" s="557"/>
      <c r="S105" s="558"/>
      <c r="T105" s="559"/>
      <c r="U105" s="556" t="s">
        <v>694</v>
      </c>
      <c r="V105" s="557"/>
      <c r="W105" s="557"/>
      <c r="X105" s="558"/>
      <c r="Y105" s="559"/>
      <c r="Z105" s="556" t="s">
        <v>423</v>
      </c>
      <c r="AA105" s="557"/>
      <c r="AB105" s="557"/>
      <c r="AC105" s="558"/>
      <c r="AD105" s="559"/>
      <c r="AE105" s="556" t="s">
        <v>423</v>
      </c>
      <c r="AF105" s="557"/>
      <c r="AG105" s="557"/>
      <c r="AH105" s="558"/>
      <c r="AI105" s="559"/>
      <c r="AJ105" s="556" t="s">
        <v>423</v>
      </c>
      <c r="AK105" s="557"/>
      <c r="AL105" s="557"/>
      <c r="AM105" s="558"/>
      <c r="AN105" s="559"/>
      <c r="AO105" s="556" t="s">
        <v>423</v>
      </c>
      <c r="AP105" s="557"/>
      <c r="AQ105" s="557"/>
      <c r="AR105" s="558"/>
      <c r="AS105" s="559"/>
      <c r="AT105" s="556" t="s">
        <v>423</v>
      </c>
      <c r="AU105" s="557"/>
      <c r="AV105" s="557"/>
      <c r="AW105" s="558"/>
      <c r="AX105" s="559"/>
    </row>
    <row r="106" spans="2:50">
      <c r="B106" s="559"/>
      <c r="C106" s="559"/>
      <c r="D106" s="559"/>
      <c r="E106" s="400" t="s">
        <v>695</v>
      </c>
      <c r="F106" s="400" t="s">
        <v>696</v>
      </c>
      <c r="G106" s="400" t="s">
        <v>697</v>
      </c>
      <c r="H106" s="562"/>
      <c r="I106" s="400" t="s">
        <v>695</v>
      </c>
      <c r="J106" s="400" t="s">
        <v>696</v>
      </c>
      <c r="K106" s="400" t="s">
        <v>697</v>
      </c>
      <c r="L106" s="562"/>
      <c r="M106" s="567"/>
      <c r="N106" s="559"/>
      <c r="O106" s="559"/>
      <c r="P106" s="400" t="s">
        <v>695</v>
      </c>
      <c r="Q106" s="400" t="s">
        <v>696</v>
      </c>
      <c r="R106" s="400" t="s">
        <v>697</v>
      </c>
      <c r="S106" s="400" t="s">
        <v>690</v>
      </c>
      <c r="T106" s="559"/>
      <c r="U106" s="400" t="s">
        <v>695</v>
      </c>
      <c r="V106" s="400" t="s">
        <v>696</v>
      </c>
      <c r="W106" s="400" t="s">
        <v>697</v>
      </c>
      <c r="X106" s="400" t="s">
        <v>690</v>
      </c>
      <c r="Y106" s="559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9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9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9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9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9"/>
    </row>
    <row r="107" spans="2:50">
      <c r="B107" s="559" t="s">
        <v>702</v>
      </c>
      <c r="C107" s="431">
        <v>1</v>
      </c>
      <c r="D107" s="435"/>
      <c r="E107" s="432"/>
      <c r="F107" s="432"/>
      <c r="G107" s="432"/>
      <c r="H107" s="563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63"/>
      <c r="M107" s="432" t="e">
        <f>RANK(K107, K$107:$K$121)</f>
        <v>#DIV/0!</v>
      </c>
      <c r="N107" s="559"/>
      <c r="O107" s="559"/>
      <c r="P107" s="431"/>
      <c r="Q107" s="432"/>
      <c r="R107" s="432"/>
      <c r="S107" s="431" t="e">
        <f>RANK(R107, R$107:R$121)</f>
        <v>#N/A</v>
      </c>
      <c r="T107" s="588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630" t="e">
        <f>AVERAGE(W107:W121)</f>
        <v>#DIV/0!</v>
      </c>
      <c r="Z107" s="182"/>
      <c r="AA107" s="312"/>
      <c r="AB107" s="312"/>
      <c r="AC107" s="297" t="e">
        <f>RANK(AB107, AB$107:AB$121)</f>
        <v>#N/A</v>
      </c>
      <c r="AD107" s="608" t="e">
        <f>AVERAGE(AB107:AB121)</f>
        <v>#DIV/0!</v>
      </c>
      <c r="AE107" s="182"/>
      <c r="AF107" s="312"/>
      <c r="AG107" s="312"/>
      <c r="AH107" s="297" t="e">
        <f>RANK(AG107, AG$107:AG$121)</f>
        <v>#N/A</v>
      </c>
      <c r="AI107" s="608" t="e">
        <f>AVERAGE(AG107:AG121)</f>
        <v>#DIV/0!</v>
      </c>
      <c r="AJ107" s="182"/>
      <c r="AK107" s="312"/>
      <c r="AL107" s="312"/>
      <c r="AM107" s="297" t="e">
        <f>RANK(AL107, AL$107:AL$121)</f>
        <v>#N/A</v>
      </c>
      <c r="AN107" s="608" t="e">
        <f>AVERAGE(AL107:AL121)</f>
        <v>#DIV/0!</v>
      </c>
      <c r="AO107" s="182"/>
      <c r="AP107" s="312"/>
      <c r="AQ107" s="312"/>
      <c r="AR107" s="297" t="e">
        <f>RANK(AQ107, AQ$107:AQ$121)</f>
        <v>#N/A</v>
      </c>
      <c r="AS107" s="608" t="e">
        <f>AVERAGE(AQ107:AQ121)</f>
        <v>#DIV/0!</v>
      </c>
      <c r="AT107" s="182"/>
      <c r="AU107" s="312"/>
      <c r="AV107" s="312"/>
      <c r="AW107" s="297" t="e">
        <f>RANK(AV107, AV$107:AV$121)</f>
        <v>#N/A</v>
      </c>
      <c r="AX107" s="605" t="e">
        <f>AVERAGE(AV107:AV121)</f>
        <v>#DIV/0!</v>
      </c>
    </row>
    <row r="108" spans="2:50">
      <c r="B108" s="599"/>
      <c r="C108" s="431">
        <v>2</v>
      </c>
      <c r="D108" s="435"/>
      <c r="E108" s="432"/>
      <c r="F108" s="432"/>
      <c r="G108" s="432"/>
      <c r="H108" s="564"/>
      <c r="I108" s="432" t="e">
        <f t="shared" ref="I108:K112" si="64">AVERAGE(P108,U108,Z108,AE108,AJ108,AO108,AT108)</f>
        <v>#DIV/0!</v>
      </c>
      <c r="J108" s="432" t="e">
        <f t="shared" si="64"/>
        <v>#DIV/0!</v>
      </c>
      <c r="K108" s="433" t="e">
        <f t="shared" si="64"/>
        <v>#DIV/0!</v>
      </c>
      <c r="L108" s="564"/>
      <c r="M108" s="432" t="e">
        <f>RANK(K108, K$107:$K$121)</f>
        <v>#DIV/0!</v>
      </c>
      <c r="N108" s="559"/>
      <c r="O108" s="559"/>
      <c r="P108" s="431"/>
      <c r="Q108" s="432"/>
      <c r="R108" s="432"/>
      <c r="S108" s="431" t="e">
        <f t="shared" ref="S108:S121" si="65">RANK(R108, R$107:R$121)</f>
        <v>#N/A</v>
      </c>
      <c r="T108" s="588"/>
      <c r="U108" s="431"/>
      <c r="V108" s="432"/>
      <c r="W108" s="432"/>
      <c r="X108" s="431" t="e">
        <f t="shared" ref="X108:X121" si="66">RANK(W108, W$107:W$121)</f>
        <v>#N/A</v>
      </c>
      <c r="Y108" s="630"/>
      <c r="Z108" s="311"/>
      <c r="AA108" s="312"/>
      <c r="AB108" s="312"/>
      <c r="AC108" s="297" t="e">
        <f t="shared" ref="AC108:AC121" si="67">RANK(AB108, AB$107:AB$121)</f>
        <v>#N/A</v>
      </c>
      <c r="AD108" s="609"/>
      <c r="AE108" s="311"/>
      <c r="AF108" s="312"/>
      <c r="AG108" s="312"/>
      <c r="AH108" s="297" t="e">
        <f t="shared" ref="AH108:AH121" si="68">RANK(AG108, AG$107:AG$121)</f>
        <v>#N/A</v>
      </c>
      <c r="AI108" s="609"/>
      <c r="AJ108" s="311"/>
      <c r="AK108" s="312"/>
      <c r="AL108" s="312"/>
      <c r="AM108" s="297" t="e">
        <f t="shared" ref="AM108:AM121" si="69">RANK(AL108, AL$107:AL$121)</f>
        <v>#N/A</v>
      </c>
      <c r="AN108" s="609"/>
      <c r="AO108" s="311"/>
      <c r="AP108" s="312"/>
      <c r="AQ108" s="312"/>
      <c r="AR108" s="297" t="e">
        <f t="shared" ref="AR108:AR121" si="70">RANK(AQ108, AQ$107:AQ$121)</f>
        <v>#N/A</v>
      </c>
      <c r="AS108" s="609"/>
      <c r="AT108" s="311"/>
      <c r="AU108" s="312"/>
      <c r="AV108" s="312"/>
      <c r="AW108" s="297" t="e">
        <f t="shared" ref="AW108:AW121" si="71">RANK(AV108, AV$107:AV$121)</f>
        <v>#N/A</v>
      </c>
      <c r="AX108" s="605"/>
    </row>
    <row r="109" spans="2:50">
      <c r="B109" s="599"/>
      <c r="C109" s="431">
        <v>3</v>
      </c>
      <c r="D109" s="435"/>
      <c r="E109" s="432"/>
      <c r="F109" s="432"/>
      <c r="G109" s="432"/>
      <c r="H109" s="564"/>
      <c r="I109" s="432" t="e">
        <f t="shared" si="64"/>
        <v>#DIV/0!</v>
      </c>
      <c r="J109" s="432" t="e">
        <f t="shared" si="64"/>
        <v>#DIV/0!</v>
      </c>
      <c r="K109" s="433" t="e">
        <f t="shared" si="64"/>
        <v>#DIV/0!</v>
      </c>
      <c r="L109" s="564"/>
      <c r="M109" s="432" t="e">
        <f>RANK(K109, K$107:$K$121)</f>
        <v>#DIV/0!</v>
      </c>
      <c r="N109" s="559"/>
      <c r="O109" s="559"/>
      <c r="P109" s="431"/>
      <c r="Q109" s="432"/>
      <c r="R109" s="432"/>
      <c r="S109" s="431" t="e">
        <f t="shared" si="65"/>
        <v>#N/A</v>
      </c>
      <c r="T109" s="588"/>
      <c r="U109" s="431"/>
      <c r="V109" s="432"/>
      <c r="W109" s="432"/>
      <c r="X109" s="431" t="e">
        <f t="shared" si="66"/>
        <v>#N/A</v>
      </c>
      <c r="Y109" s="630"/>
      <c r="Z109" s="311"/>
      <c r="AA109" s="312"/>
      <c r="AB109" s="312"/>
      <c r="AC109" s="297" t="e">
        <f t="shared" si="67"/>
        <v>#N/A</v>
      </c>
      <c r="AD109" s="609"/>
      <c r="AE109" s="311"/>
      <c r="AF109" s="312"/>
      <c r="AG109" s="312"/>
      <c r="AH109" s="297" t="e">
        <f t="shared" si="68"/>
        <v>#N/A</v>
      </c>
      <c r="AI109" s="609"/>
      <c r="AJ109" s="311"/>
      <c r="AK109" s="312"/>
      <c r="AL109" s="312"/>
      <c r="AM109" s="297" t="e">
        <f t="shared" si="69"/>
        <v>#N/A</v>
      </c>
      <c r="AN109" s="609"/>
      <c r="AO109" s="311"/>
      <c r="AP109" s="312"/>
      <c r="AQ109" s="312"/>
      <c r="AR109" s="297" t="e">
        <f t="shared" si="70"/>
        <v>#N/A</v>
      </c>
      <c r="AS109" s="609"/>
      <c r="AT109" s="311"/>
      <c r="AU109" s="312"/>
      <c r="AV109" s="312"/>
      <c r="AW109" s="297" t="e">
        <f t="shared" si="71"/>
        <v>#N/A</v>
      </c>
      <c r="AX109" s="605"/>
    </row>
    <row r="110" spans="2:50">
      <c r="B110" s="599"/>
      <c r="C110" s="431">
        <v>4</v>
      </c>
      <c r="D110" s="435"/>
      <c r="E110" s="432"/>
      <c r="F110" s="432"/>
      <c r="G110" s="432"/>
      <c r="H110" s="564"/>
      <c r="I110" s="432" t="e">
        <f t="shared" si="64"/>
        <v>#DIV/0!</v>
      </c>
      <c r="J110" s="432" t="e">
        <f t="shared" si="64"/>
        <v>#DIV/0!</v>
      </c>
      <c r="K110" s="433" t="e">
        <f t="shared" si="64"/>
        <v>#DIV/0!</v>
      </c>
      <c r="L110" s="564"/>
      <c r="M110" s="432" t="e">
        <f>RANK(K110, K$107:$K$121)</f>
        <v>#DIV/0!</v>
      </c>
      <c r="N110" s="559"/>
      <c r="O110" s="559"/>
      <c r="P110" s="431"/>
      <c r="Q110" s="432"/>
      <c r="R110" s="432"/>
      <c r="S110" s="431" t="e">
        <f t="shared" si="65"/>
        <v>#N/A</v>
      </c>
      <c r="T110" s="588"/>
      <c r="U110" s="431"/>
      <c r="V110" s="432"/>
      <c r="W110" s="432"/>
      <c r="X110" s="431" t="e">
        <f t="shared" si="66"/>
        <v>#N/A</v>
      </c>
      <c r="Y110" s="630"/>
      <c r="Z110" s="311"/>
      <c r="AA110" s="312"/>
      <c r="AB110" s="312"/>
      <c r="AC110" s="297" t="e">
        <f t="shared" si="67"/>
        <v>#N/A</v>
      </c>
      <c r="AD110" s="609"/>
      <c r="AE110" s="311"/>
      <c r="AF110" s="312"/>
      <c r="AG110" s="312"/>
      <c r="AH110" s="297" t="e">
        <f t="shared" si="68"/>
        <v>#N/A</v>
      </c>
      <c r="AI110" s="609"/>
      <c r="AJ110" s="311"/>
      <c r="AK110" s="312"/>
      <c r="AL110" s="312"/>
      <c r="AM110" s="297" t="e">
        <f t="shared" si="69"/>
        <v>#N/A</v>
      </c>
      <c r="AN110" s="609"/>
      <c r="AO110" s="311"/>
      <c r="AP110" s="312"/>
      <c r="AQ110" s="312"/>
      <c r="AR110" s="297" t="e">
        <f t="shared" si="70"/>
        <v>#N/A</v>
      </c>
      <c r="AS110" s="609"/>
      <c r="AT110" s="311"/>
      <c r="AU110" s="312"/>
      <c r="AV110" s="312"/>
      <c r="AW110" s="297" t="e">
        <f t="shared" si="71"/>
        <v>#N/A</v>
      </c>
      <c r="AX110" s="605"/>
    </row>
    <row r="111" spans="2:50">
      <c r="B111" s="599"/>
      <c r="C111" s="431">
        <v>5</v>
      </c>
      <c r="D111" s="435"/>
      <c r="E111" s="432"/>
      <c r="F111" s="432"/>
      <c r="G111" s="432"/>
      <c r="H111" s="564"/>
      <c r="I111" s="432" t="e">
        <f t="shared" si="64"/>
        <v>#DIV/0!</v>
      </c>
      <c r="J111" s="432" t="e">
        <f t="shared" si="64"/>
        <v>#DIV/0!</v>
      </c>
      <c r="K111" s="433" t="e">
        <f t="shared" si="64"/>
        <v>#DIV/0!</v>
      </c>
      <c r="L111" s="564"/>
      <c r="M111" s="432" t="e">
        <f>RANK(K111, K$107:$K$121)</f>
        <v>#DIV/0!</v>
      </c>
      <c r="N111" s="559"/>
      <c r="O111" s="559"/>
      <c r="P111" s="431"/>
      <c r="Q111" s="432"/>
      <c r="R111" s="432"/>
      <c r="S111" s="431" t="e">
        <f t="shared" si="65"/>
        <v>#N/A</v>
      </c>
      <c r="T111" s="588"/>
      <c r="U111" s="431"/>
      <c r="V111" s="432"/>
      <c r="W111" s="432"/>
      <c r="X111" s="431" t="e">
        <f t="shared" si="66"/>
        <v>#N/A</v>
      </c>
      <c r="Y111" s="630"/>
      <c r="Z111" s="311"/>
      <c r="AA111" s="312"/>
      <c r="AB111" s="312"/>
      <c r="AC111" s="297" t="e">
        <f t="shared" si="67"/>
        <v>#N/A</v>
      </c>
      <c r="AD111" s="609"/>
      <c r="AE111" s="311"/>
      <c r="AF111" s="312"/>
      <c r="AG111" s="312"/>
      <c r="AH111" s="297" t="e">
        <f t="shared" si="68"/>
        <v>#N/A</v>
      </c>
      <c r="AI111" s="609"/>
      <c r="AJ111" s="311"/>
      <c r="AK111" s="312"/>
      <c r="AL111" s="312"/>
      <c r="AM111" s="297" t="e">
        <f t="shared" si="69"/>
        <v>#N/A</v>
      </c>
      <c r="AN111" s="609"/>
      <c r="AO111" s="311"/>
      <c r="AP111" s="312"/>
      <c r="AQ111" s="312"/>
      <c r="AR111" s="297" t="e">
        <f t="shared" si="70"/>
        <v>#N/A</v>
      </c>
      <c r="AS111" s="609"/>
      <c r="AT111" s="311"/>
      <c r="AU111" s="312"/>
      <c r="AV111" s="312"/>
      <c r="AW111" s="297" t="e">
        <f t="shared" si="71"/>
        <v>#N/A</v>
      </c>
      <c r="AX111" s="605"/>
    </row>
    <row r="112" spans="2:50">
      <c r="B112" s="599"/>
      <c r="C112" s="431">
        <v>6</v>
      </c>
      <c r="D112" s="435"/>
      <c r="E112" s="432"/>
      <c r="F112" s="432"/>
      <c r="G112" s="432"/>
      <c r="H112" s="564"/>
      <c r="I112" s="432" t="e">
        <f t="shared" si="64"/>
        <v>#DIV/0!</v>
      </c>
      <c r="J112" s="432" t="e">
        <f t="shared" si="64"/>
        <v>#DIV/0!</v>
      </c>
      <c r="K112" s="433" t="e">
        <f t="shared" si="64"/>
        <v>#DIV/0!</v>
      </c>
      <c r="L112" s="564"/>
      <c r="M112" s="432" t="e">
        <f>RANK(K112, K$107:$K$121)</f>
        <v>#DIV/0!</v>
      </c>
      <c r="N112" s="559"/>
      <c r="O112" s="559"/>
      <c r="P112" s="431"/>
      <c r="Q112" s="432"/>
      <c r="R112" s="432"/>
      <c r="S112" s="431" t="e">
        <f t="shared" si="65"/>
        <v>#N/A</v>
      </c>
      <c r="T112" s="588"/>
      <c r="U112" s="431"/>
      <c r="V112" s="432"/>
      <c r="W112" s="432"/>
      <c r="X112" s="431" t="e">
        <f t="shared" si="66"/>
        <v>#N/A</v>
      </c>
      <c r="Y112" s="630"/>
      <c r="Z112" s="311"/>
      <c r="AA112" s="312"/>
      <c r="AB112" s="312"/>
      <c r="AC112" s="297" t="e">
        <f t="shared" si="67"/>
        <v>#N/A</v>
      </c>
      <c r="AD112" s="609"/>
      <c r="AE112" s="311"/>
      <c r="AF112" s="312"/>
      <c r="AG112" s="312"/>
      <c r="AH112" s="297" t="e">
        <f t="shared" si="68"/>
        <v>#N/A</v>
      </c>
      <c r="AI112" s="609"/>
      <c r="AJ112" s="311"/>
      <c r="AK112" s="312"/>
      <c r="AL112" s="312"/>
      <c r="AM112" s="297" t="e">
        <f t="shared" si="69"/>
        <v>#N/A</v>
      </c>
      <c r="AN112" s="609"/>
      <c r="AO112" s="311"/>
      <c r="AP112" s="312"/>
      <c r="AQ112" s="312"/>
      <c r="AR112" s="297" t="e">
        <f t="shared" si="70"/>
        <v>#N/A</v>
      </c>
      <c r="AS112" s="609"/>
      <c r="AT112" s="311"/>
      <c r="AU112" s="312"/>
      <c r="AV112" s="312"/>
      <c r="AW112" s="297" t="e">
        <f t="shared" si="71"/>
        <v>#N/A</v>
      </c>
      <c r="AX112" s="605"/>
    </row>
    <row r="113" spans="2:50">
      <c r="B113" s="599"/>
      <c r="C113" s="431">
        <v>7</v>
      </c>
      <c r="D113" s="435"/>
      <c r="E113" s="432"/>
      <c r="F113" s="432"/>
      <c r="G113" s="432"/>
      <c r="H113" s="564"/>
      <c r="I113" s="432" t="e">
        <f>AVERAGE(P113,U113,Z113,AE113,AJ113,AO113,AT113)</f>
        <v>#DIV/0!</v>
      </c>
      <c r="J113" s="432" t="e">
        <f>AVERAGE(Q113,V113,AA113,AF113,AK113,AP113,AU113)</f>
        <v>#DIV/0!</v>
      </c>
      <c r="K113" s="433" t="e">
        <f>AVERAGE(R113,W113,AB113,AG113,AL113,AQ113,AV113)</f>
        <v>#DIV/0!</v>
      </c>
      <c r="L113" s="564"/>
      <c r="M113" s="432" t="e">
        <f>RANK(K113, K$107:$K$121)</f>
        <v>#DIV/0!</v>
      </c>
      <c r="N113" s="559"/>
      <c r="O113" s="559"/>
      <c r="P113" s="431"/>
      <c r="Q113" s="432"/>
      <c r="R113" s="432"/>
      <c r="S113" s="431" t="e">
        <f t="shared" si="65"/>
        <v>#N/A</v>
      </c>
      <c r="T113" s="588"/>
      <c r="U113" s="431"/>
      <c r="V113" s="432"/>
      <c r="W113" s="432"/>
      <c r="X113" s="431" t="e">
        <f t="shared" si="66"/>
        <v>#N/A</v>
      </c>
      <c r="Y113" s="630"/>
      <c r="Z113" s="311"/>
      <c r="AA113" s="312"/>
      <c r="AB113" s="312"/>
      <c r="AC113" s="297" t="e">
        <f t="shared" si="67"/>
        <v>#N/A</v>
      </c>
      <c r="AD113" s="609"/>
      <c r="AE113" s="311"/>
      <c r="AF113" s="312"/>
      <c r="AG113" s="312"/>
      <c r="AH113" s="297" t="e">
        <f t="shared" si="68"/>
        <v>#N/A</v>
      </c>
      <c r="AI113" s="609"/>
      <c r="AJ113" s="311"/>
      <c r="AK113" s="312"/>
      <c r="AL113" s="312"/>
      <c r="AM113" s="297" t="e">
        <f t="shared" si="69"/>
        <v>#N/A</v>
      </c>
      <c r="AN113" s="609"/>
      <c r="AO113" s="311"/>
      <c r="AP113" s="312"/>
      <c r="AQ113" s="312"/>
      <c r="AR113" s="297" t="e">
        <f t="shared" si="70"/>
        <v>#N/A</v>
      </c>
      <c r="AS113" s="609"/>
      <c r="AT113" s="311"/>
      <c r="AU113" s="312"/>
      <c r="AV113" s="312"/>
      <c r="AW113" s="297" t="e">
        <f t="shared" si="71"/>
        <v>#N/A</v>
      </c>
      <c r="AX113" s="605"/>
    </row>
    <row r="114" spans="2:50">
      <c r="B114" s="599"/>
      <c r="C114" s="431">
        <v>8</v>
      </c>
      <c r="D114" s="435"/>
      <c r="E114" s="432"/>
      <c r="F114" s="432"/>
      <c r="G114" s="432"/>
      <c r="H114" s="564"/>
      <c r="I114" s="432" t="e">
        <f t="shared" ref="I114:K117" si="72">AVERAGE(P114,U114,Z114,AE114,AJ114,AO114,AT114)</f>
        <v>#DIV/0!</v>
      </c>
      <c r="J114" s="432" t="e">
        <f t="shared" si="72"/>
        <v>#DIV/0!</v>
      </c>
      <c r="K114" s="433" t="e">
        <f t="shared" si="72"/>
        <v>#DIV/0!</v>
      </c>
      <c r="L114" s="564"/>
      <c r="M114" s="432" t="e">
        <f>RANK(K114, K$107:$K$121)</f>
        <v>#DIV/0!</v>
      </c>
      <c r="N114" s="559"/>
      <c r="O114" s="559"/>
      <c r="P114" s="431"/>
      <c r="Q114" s="432"/>
      <c r="R114" s="432"/>
      <c r="S114" s="431" t="e">
        <f t="shared" si="65"/>
        <v>#N/A</v>
      </c>
      <c r="T114" s="588"/>
      <c r="U114" s="431"/>
      <c r="V114" s="432"/>
      <c r="W114" s="432"/>
      <c r="X114" s="431" t="e">
        <f t="shared" si="66"/>
        <v>#N/A</v>
      </c>
      <c r="Y114" s="630"/>
      <c r="Z114" s="311"/>
      <c r="AA114" s="312"/>
      <c r="AB114" s="312"/>
      <c r="AC114" s="297" t="e">
        <f t="shared" si="67"/>
        <v>#N/A</v>
      </c>
      <c r="AD114" s="609"/>
      <c r="AE114" s="311"/>
      <c r="AF114" s="312"/>
      <c r="AG114" s="312"/>
      <c r="AH114" s="297" t="e">
        <f t="shared" si="68"/>
        <v>#N/A</v>
      </c>
      <c r="AI114" s="609"/>
      <c r="AJ114" s="311"/>
      <c r="AK114" s="312"/>
      <c r="AL114" s="312"/>
      <c r="AM114" s="297" t="e">
        <f t="shared" si="69"/>
        <v>#N/A</v>
      </c>
      <c r="AN114" s="609"/>
      <c r="AO114" s="311"/>
      <c r="AP114" s="312"/>
      <c r="AQ114" s="312"/>
      <c r="AR114" s="297" t="e">
        <f t="shared" si="70"/>
        <v>#N/A</v>
      </c>
      <c r="AS114" s="609"/>
      <c r="AT114" s="311"/>
      <c r="AU114" s="312"/>
      <c r="AV114" s="312"/>
      <c r="AW114" s="297" t="e">
        <f t="shared" si="71"/>
        <v>#N/A</v>
      </c>
      <c r="AX114" s="605"/>
    </row>
    <row r="115" spans="2:50">
      <c r="B115" s="599"/>
      <c r="C115" s="431">
        <v>9</v>
      </c>
      <c r="D115" s="435"/>
      <c r="E115" s="432"/>
      <c r="F115" s="432"/>
      <c r="G115" s="432"/>
      <c r="H115" s="564"/>
      <c r="I115" s="432" t="e">
        <f t="shared" si="72"/>
        <v>#DIV/0!</v>
      </c>
      <c r="J115" s="432" t="e">
        <f t="shared" si="72"/>
        <v>#DIV/0!</v>
      </c>
      <c r="K115" s="433" t="e">
        <f t="shared" si="72"/>
        <v>#DIV/0!</v>
      </c>
      <c r="L115" s="564"/>
      <c r="M115" s="432" t="e">
        <f>RANK(K115, K$107:$K$121)</f>
        <v>#DIV/0!</v>
      </c>
      <c r="N115" s="559"/>
      <c r="O115" s="559"/>
      <c r="P115" s="431"/>
      <c r="Q115" s="432"/>
      <c r="R115" s="432"/>
      <c r="S115" s="431" t="e">
        <f t="shared" si="65"/>
        <v>#N/A</v>
      </c>
      <c r="T115" s="588"/>
      <c r="U115" s="431"/>
      <c r="V115" s="432"/>
      <c r="W115" s="432"/>
      <c r="X115" s="431" t="e">
        <f t="shared" si="66"/>
        <v>#N/A</v>
      </c>
      <c r="Y115" s="630"/>
      <c r="Z115" s="311"/>
      <c r="AA115" s="312"/>
      <c r="AB115" s="312"/>
      <c r="AC115" s="297" t="e">
        <f t="shared" si="67"/>
        <v>#N/A</v>
      </c>
      <c r="AD115" s="609"/>
      <c r="AE115" s="311"/>
      <c r="AF115" s="312"/>
      <c r="AG115" s="312"/>
      <c r="AH115" s="297" t="e">
        <f t="shared" si="68"/>
        <v>#N/A</v>
      </c>
      <c r="AI115" s="609"/>
      <c r="AJ115" s="311"/>
      <c r="AK115" s="312"/>
      <c r="AL115" s="312"/>
      <c r="AM115" s="297" t="e">
        <f t="shared" si="69"/>
        <v>#N/A</v>
      </c>
      <c r="AN115" s="609"/>
      <c r="AO115" s="311"/>
      <c r="AP115" s="312"/>
      <c r="AQ115" s="312"/>
      <c r="AR115" s="297" t="e">
        <f t="shared" si="70"/>
        <v>#N/A</v>
      </c>
      <c r="AS115" s="609"/>
      <c r="AT115" s="311"/>
      <c r="AU115" s="312"/>
      <c r="AV115" s="312"/>
      <c r="AW115" s="297" t="e">
        <f t="shared" si="71"/>
        <v>#N/A</v>
      </c>
      <c r="AX115" s="605"/>
    </row>
    <row r="116" spans="2:50">
      <c r="B116" s="599"/>
      <c r="C116" s="431">
        <v>10</v>
      </c>
      <c r="D116" s="306"/>
      <c r="E116" s="432"/>
      <c r="F116" s="432"/>
      <c r="G116" s="432"/>
      <c r="H116" s="564"/>
      <c r="I116" s="432" t="e">
        <f t="shared" si="72"/>
        <v>#DIV/0!</v>
      </c>
      <c r="J116" s="432" t="e">
        <f t="shared" si="72"/>
        <v>#DIV/0!</v>
      </c>
      <c r="K116" s="433" t="e">
        <f t="shared" si="72"/>
        <v>#DIV/0!</v>
      </c>
      <c r="L116" s="564"/>
      <c r="M116" s="432" t="e">
        <f>RANK(K116, K$107:$K$121)</f>
        <v>#DIV/0!</v>
      </c>
      <c r="N116" s="559"/>
      <c r="O116" s="559"/>
      <c r="P116" s="431"/>
      <c r="Q116" s="432"/>
      <c r="R116" s="432"/>
      <c r="S116" s="431" t="e">
        <f t="shared" si="65"/>
        <v>#N/A</v>
      </c>
      <c r="T116" s="588"/>
      <c r="U116" s="431"/>
      <c r="V116" s="432"/>
      <c r="W116" s="432"/>
      <c r="X116" s="431" t="e">
        <f t="shared" si="66"/>
        <v>#N/A</v>
      </c>
      <c r="Y116" s="630"/>
      <c r="Z116" s="311"/>
      <c r="AA116" s="312"/>
      <c r="AB116" s="312"/>
      <c r="AC116" s="297" t="e">
        <f t="shared" si="67"/>
        <v>#N/A</v>
      </c>
      <c r="AD116" s="609"/>
      <c r="AE116" s="311"/>
      <c r="AF116" s="312"/>
      <c r="AG116" s="312"/>
      <c r="AH116" s="297" t="e">
        <f t="shared" si="68"/>
        <v>#N/A</v>
      </c>
      <c r="AI116" s="609"/>
      <c r="AJ116" s="311"/>
      <c r="AK116" s="312"/>
      <c r="AL116" s="312"/>
      <c r="AM116" s="297" t="e">
        <f t="shared" si="69"/>
        <v>#N/A</v>
      </c>
      <c r="AN116" s="609"/>
      <c r="AO116" s="311"/>
      <c r="AP116" s="312"/>
      <c r="AQ116" s="312"/>
      <c r="AR116" s="297" t="e">
        <f t="shared" si="70"/>
        <v>#N/A</v>
      </c>
      <c r="AS116" s="609"/>
      <c r="AT116" s="311"/>
      <c r="AU116" s="312"/>
      <c r="AV116" s="312"/>
      <c r="AW116" s="297" t="e">
        <f t="shared" si="71"/>
        <v>#N/A</v>
      </c>
      <c r="AX116" s="605"/>
    </row>
    <row r="117" spans="2:50">
      <c r="B117" s="599"/>
      <c r="C117" s="431">
        <v>11</v>
      </c>
      <c r="D117" s="435"/>
      <c r="E117" s="432"/>
      <c r="F117" s="432"/>
      <c r="G117" s="432"/>
      <c r="H117" s="564"/>
      <c r="I117" s="432" t="e">
        <f t="shared" si="72"/>
        <v>#DIV/0!</v>
      </c>
      <c r="J117" s="432" t="e">
        <f t="shared" si="72"/>
        <v>#DIV/0!</v>
      </c>
      <c r="K117" s="433" t="e">
        <f t="shared" si="72"/>
        <v>#DIV/0!</v>
      </c>
      <c r="L117" s="564"/>
      <c r="M117" s="432" t="e">
        <f>RANK(K117, K$107:$K$121)</f>
        <v>#DIV/0!</v>
      </c>
      <c r="N117" s="559"/>
      <c r="O117" s="559"/>
      <c r="P117" s="431"/>
      <c r="Q117" s="432"/>
      <c r="R117" s="432"/>
      <c r="S117" s="431" t="e">
        <f t="shared" si="65"/>
        <v>#N/A</v>
      </c>
      <c r="T117" s="588"/>
      <c r="U117" s="431"/>
      <c r="V117" s="432"/>
      <c r="W117" s="432"/>
      <c r="X117" s="431" t="e">
        <f t="shared" si="66"/>
        <v>#N/A</v>
      </c>
      <c r="Y117" s="630"/>
      <c r="Z117" s="311"/>
      <c r="AA117" s="312"/>
      <c r="AB117" s="312"/>
      <c r="AC117" s="297" t="e">
        <f t="shared" si="67"/>
        <v>#N/A</v>
      </c>
      <c r="AD117" s="609"/>
      <c r="AE117" s="311"/>
      <c r="AF117" s="312"/>
      <c r="AG117" s="312"/>
      <c r="AH117" s="297" t="e">
        <f t="shared" si="68"/>
        <v>#N/A</v>
      </c>
      <c r="AI117" s="609"/>
      <c r="AJ117" s="311"/>
      <c r="AK117" s="312"/>
      <c r="AL117" s="312"/>
      <c r="AM117" s="297" t="e">
        <f t="shared" si="69"/>
        <v>#N/A</v>
      </c>
      <c r="AN117" s="609"/>
      <c r="AO117" s="311"/>
      <c r="AP117" s="312"/>
      <c r="AQ117" s="312"/>
      <c r="AR117" s="297" t="e">
        <f t="shared" si="70"/>
        <v>#N/A</v>
      </c>
      <c r="AS117" s="609"/>
      <c r="AT117" s="311"/>
      <c r="AU117" s="312"/>
      <c r="AV117" s="312"/>
      <c r="AW117" s="297" t="e">
        <f t="shared" si="71"/>
        <v>#N/A</v>
      </c>
      <c r="AX117" s="605"/>
    </row>
    <row r="118" spans="2:50">
      <c r="B118" s="599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564"/>
      <c r="I118" s="432"/>
      <c r="J118" s="432"/>
      <c r="K118" s="433"/>
      <c r="L118" s="564"/>
      <c r="M118" s="432" t="e">
        <f>RANK(K118, K$107:$K$121)</f>
        <v>#DIV/0!</v>
      </c>
      <c r="N118" s="559"/>
      <c r="O118" s="559"/>
      <c r="P118" s="431" t="s">
        <v>561</v>
      </c>
      <c r="Q118" s="432" t="s">
        <v>561</v>
      </c>
      <c r="R118" s="432" t="s">
        <v>561</v>
      </c>
      <c r="S118" s="431" t="e">
        <f t="shared" si="65"/>
        <v>#VALUE!</v>
      </c>
      <c r="T118" s="588"/>
      <c r="U118" s="431"/>
      <c r="V118" s="432"/>
      <c r="W118" s="432"/>
      <c r="X118" s="431" t="e">
        <f t="shared" si="66"/>
        <v>#N/A</v>
      </c>
      <c r="Y118" s="630"/>
      <c r="Z118" s="311"/>
      <c r="AA118" s="312"/>
      <c r="AB118" s="312"/>
      <c r="AC118" s="297" t="e">
        <f t="shared" si="67"/>
        <v>#N/A</v>
      </c>
      <c r="AD118" s="609"/>
      <c r="AE118" s="311"/>
      <c r="AF118" s="312"/>
      <c r="AG118" s="312"/>
      <c r="AH118" s="297" t="e">
        <f t="shared" si="68"/>
        <v>#N/A</v>
      </c>
      <c r="AI118" s="609"/>
      <c r="AJ118" s="311"/>
      <c r="AK118" s="312"/>
      <c r="AL118" s="312"/>
      <c r="AM118" s="297" t="e">
        <f t="shared" si="69"/>
        <v>#N/A</v>
      </c>
      <c r="AN118" s="609"/>
      <c r="AO118" s="311"/>
      <c r="AP118" s="312"/>
      <c r="AQ118" s="312"/>
      <c r="AR118" s="297" t="e">
        <f t="shared" si="70"/>
        <v>#N/A</v>
      </c>
      <c r="AS118" s="609"/>
      <c r="AT118" s="311"/>
      <c r="AU118" s="312"/>
      <c r="AV118" s="312"/>
      <c r="AW118" s="297" t="e">
        <f t="shared" si="71"/>
        <v>#N/A</v>
      </c>
      <c r="AX118" s="605"/>
    </row>
    <row r="119" spans="2:50">
      <c r="B119" s="599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64"/>
      <c r="I119" s="431"/>
      <c r="J119" s="431"/>
      <c r="K119" s="431"/>
      <c r="L119" s="564"/>
      <c r="M119" s="432" t="e">
        <f>RANK(K119, K$107:$K$121)</f>
        <v>#DIV/0!</v>
      </c>
      <c r="N119" s="559"/>
      <c r="O119" s="559"/>
      <c r="P119" s="431" t="s">
        <v>561</v>
      </c>
      <c r="Q119" s="432" t="s">
        <v>561</v>
      </c>
      <c r="R119" s="432" t="s">
        <v>561</v>
      </c>
      <c r="S119" s="431" t="e">
        <f t="shared" si="65"/>
        <v>#VALUE!</v>
      </c>
      <c r="T119" s="588"/>
      <c r="U119" s="431" t="s">
        <v>561</v>
      </c>
      <c r="V119" s="432" t="s">
        <v>561</v>
      </c>
      <c r="W119" s="432" t="s">
        <v>561</v>
      </c>
      <c r="X119" s="431" t="e">
        <f t="shared" si="66"/>
        <v>#VALUE!</v>
      </c>
      <c r="Y119" s="630"/>
      <c r="Z119" s="311"/>
      <c r="AA119" s="312"/>
      <c r="AB119" s="312"/>
      <c r="AC119" s="297" t="e">
        <f t="shared" si="67"/>
        <v>#N/A</v>
      </c>
      <c r="AD119" s="609"/>
      <c r="AE119" s="311"/>
      <c r="AF119" s="312"/>
      <c r="AG119" s="312"/>
      <c r="AH119" s="297" t="e">
        <f t="shared" si="68"/>
        <v>#N/A</v>
      </c>
      <c r="AI119" s="609"/>
      <c r="AJ119" s="311"/>
      <c r="AK119" s="312"/>
      <c r="AL119" s="312"/>
      <c r="AM119" s="297" t="e">
        <f t="shared" si="69"/>
        <v>#N/A</v>
      </c>
      <c r="AN119" s="609"/>
      <c r="AO119" s="311"/>
      <c r="AP119" s="312"/>
      <c r="AQ119" s="312"/>
      <c r="AR119" s="297" t="e">
        <f t="shared" si="70"/>
        <v>#N/A</v>
      </c>
      <c r="AS119" s="609"/>
      <c r="AT119" s="311"/>
      <c r="AU119" s="312"/>
      <c r="AV119" s="312"/>
      <c r="AW119" s="297" t="e">
        <f t="shared" si="71"/>
        <v>#N/A</v>
      </c>
      <c r="AX119" s="605"/>
    </row>
    <row r="120" spans="2:50">
      <c r="B120" s="599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64"/>
      <c r="I120" s="431"/>
      <c r="J120" s="431"/>
      <c r="K120" s="431"/>
      <c r="L120" s="564"/>
      <c r="M120" s="432" t="e">
        <f>RANK(K120, K$107:$K$121)</f>
        <v>#DIV/0!</v>
      </c>
      <c r="N120" s="559"/>
      <c r="O120" s="559"/>
      <c r="P120" s="431" t="s">
        <v>561</v>
      </c>
      <c r="Q120" s="432" t="s">
        <v>561</v>
      </c>
      <c r="R120" s="432" t="s">
        <v>561</v>
      </c>
      <c r="S120" s="431" t="e">
        <f t="shared" si="65"/>
        <v>#VALUE!</v>
      </c>
      <c r="T120" s="588"/>
      <c r="U120" s="431" t="s">
        <v>561</v>
      </c>
      <c r="V120" s="432" t="s">
        <v>561</v>
      </c>
      <c r="W120" s="432" t="s">
        <v>561</v>
      </c>
      <c r="X120" s="431" t="e">
        <f t="shared" si="66"/>
        <v>#VALUE!</v>
      </c>
      <c r="Y120" s="630"/>
      <c r="Z120" s="311"/>
      <c r="AA120" s="312"/>
      <c r="AB120" s="312"/>
      <c r="AC120" s="297" t="e">
        <f t="shared" si="67"/>
        <v>#N/A</v>
      </c>
      <c r="AD120" s="609"/>
      <c r="AE120" s="311"/>
      <c r="AF120" s="312"/>
      <c r="AG120" s="312"/>
      <c r="AH120" s="297" t="e">
        <f t="shared" si="68"/>
        <v>#N/A</v>
      </c>
      <c r="AI120" s="609"/>
      <c r="AJ120" s="311"/>
      <c r="AK120" s="312"/>
      <c r="AL120" s="312"/>
      <c r="AM120" s="297" t="e">
        <f t="shared" si="69"/>
        <v>#N/A</v>
      </c>
      <c r="AN120" s="609"/>
      <c r="AO120" s="311"/>
      <c r="AP120" s="312"/>
      <c r="AQ120" s="312"/>
      <c r="AR120" s="297" t="e">
        <f t="shared" si="70"/>
        <v>#N/A</v>
      </c>
      <c r="AS120" s="609"/>
      <c r="AT120" s="311"/>
      <c r="AU120" s="312"/>
      <c r="AV120" s="312"/>
      <c r="AW120" s="297" t="e">
        <f t="shared" si="71"/>
        <v>#N/A</v>
      </c>
      <c r="AX120" s="605"/>
    </row>
    <row r="121" spans="2:50">
      <c r="B121" s="599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16"/>
      <c r="I121" s="431"/>
      <c r="J121" s="431"/>
      <c r="K121" s="431"/>
      <c r="L121" s="616"/>
      <c r="M121" s="432" t="e">
        <f>RANK(K121, K$107:$K$121)</f>
        <v>#DIV/0!</v>
      </c>
      <c r="N121" s="559"/>
      <c r="O121" s="559"/>
      <c r="P121" s="431" t="s">
        <v>561</v>
      </c>
      <c r="Q121" s="432" t="s">
        <v>561</v>
      </c>
      <c r="R121" s="432" t="s">
        <v>561</v>
      </c>
      <c r="S121" s="431" t="e">
        <f t="shared" si="65"/>
        <v>#VALUE!</v>
      </c>
      <c r="T121" s="588"/>
      <c r="U121" s="431" t="s">
        <v>561</v>
      </c>
      <c r="V121" s="432" t="s">
        <v>561</v>
      </c>
      <c r="W121" s="432" t="s">
        <v>561</v>
      </c>
      <c r="X121" s="431" t="e">
        <f t="shared" si="66"/>
        <v>#VALUE!</v>
      </c>
      <c r="Y121" s="630"/>
      <c r="Z121" s="311"/>
      <c r="AA121" s="312"/>
      <c r="AB121" s="312"/>
      <c r="AC121" s="297" t="e">
        <f t="shared" si="67"/>
        <v>#N/A</v>
      </c>
      <c r="AD121" s="610"/>
      <c r="AE121" s="311"/>
      <c r="AF121" s="312"/>
      <c r="AG121" s="312"/>
      <c r="AH121" s="297" t="e">
        <f t="shared" si="68"/>
        <v>#N/A</v>
      </c>
      <c r="AI121" s="610"/>
      <c r="AJ121" s="311"/>
      <c r="AK121" s="312"/>
      <c r="AL121" s="312"/>
      <c r="AM121" s="297" t="e">
        <f t="shared" si="69"/>
        <v>#N/A</v>
      </c>
      <c r="AN121" s="610"/>
      <c r="AO121" s="311"/>
      <c r="AP121" s="312"/>
      <c r="AQ121" s="312"/>
      <c r="AR121" s="297" t="e">
        <f t="shared" si="70"/>
        <v>#N/A</v>
      </c>
      <c r="AS121" s="610"/>
      <c r="AT121" s="311"/>
      <c r="AU121" s="312"/>
      <c r="AV121" s="312"/>
      <c r="AW121" s="297" t="e">
        <f t="shared" si="71"/>
        <v>#N/A</v>
      </c>
      <c r="AX121" s="605"/>
    </row>
    <row r="123" spans="2:50" ht="15.75">
      <c r="B123" s="600" t="s">
        <v>469</v>
      </c>
      <c r="C123" s="601"/>
      <c r="D123" s="601"/>
      <c r="E123" s="601"/>
      <c r="F123" s="601"/>
      <c r="G123" s="601"/>
      <c r="H123" s="602"/>
      <c r="I123" s="301"/>
      <c r="J123" s="301"/>
      <c r="K123" s="301"/>
      <c r="L123" s="301"/>
      <c r="M123" s="302"/>
    </row>
    <row r="124" spans="2:50" ht="15.75">
      <c r="B124" s="603"/>
      <c r="C124" s="603"/>
      <c r="D124" s="603"/>
      <c r="E124" s="603"/>
      <c r="F124" s="603"/>
      <c r="G124" s="603"/>
      <c r="H124" s="603"/>
      <c r="I124" s="303"/>
      <c r="J124" s="303"/>
      <c r="K124" s="303"/>
      <c r="L124" s="303"/>
      <c r="M124" s="304"/>
    </row>
    <row r="125" spans="2:50">
      <c r="B125" s="559" t="s">
        <v>470</v>
      </c>
      <c r="C125" s="559" t="s">
        <v>471</v>
      </c>
      <c r="D125" s="559"/>
      <c r="E125" s="559" t="s">
        <v>472</v>
      </c>
      <c r="F125" s="559"/>
      <c r="G125" s="559"/>
      <c r="H125" s="560" t="s">
        <v>473</v>
      </c>
      <c r="I125" s="604" t="s">
        <v>474</v>
      </c>
      <c r="J125" s="604"/>
      <c r="K125" s="604"/>
      <c r="L125" s="623" t="s">
        <v>473</v>
      </c>
      <c r="M125" s="626" t="s">
        <v>475</v>
      </c>
    </row>
    <row r="126" spans="2:50">
      <c r="B126" s="559"/>
      <c r="C126" s="559"/>
      <c r="D126" s="559"/>
      <c r="E126" s="559" t="s">
        <v>476</v>
      </c>
      <c r="F126" s="559"/>
      <c r="G126" s="559"/>
      <c r="H126" s="561"/>
      <c r="I126" s="604" t="s">
        <v>476</v>
      </c>
      <c r="J126" s="604"/>
      <c r="K126" s="604"/>
      <c r="L126" s="624"/>
      <c r="M126" s="627"/>
    </row>
    <row r="127" spans="2:50">
      <c r="B127" s="559"/>
      <c r="C127" s="559"/>
      <c r="D127" s="559"/>
      <c r="E127" s="298" t="s">
        <v>477</v>
      </c>
      <c r="F127" s="298" t="s">
        <v>478</v>
      </c>
      <c r="G127" s="298" t="s">
        <v>479</v>
      </c>
      <c r="H127" s="562"/>
      <c r="I127" s="305" t="s">
        <v>477</v>
      </c>
      <c r="J127" s="305" t="s">
        <v>478</v>
      </c>
      <c r="K127" s="305" t="s">
        <v>479</v>
      </c>
      <c r="L127" s="625"/>
      <c r="M127" s="628"/>
    </row>
    <row r="128" spans="2:50">
      <c r="B128" s="559" t="s">
        <v>485</v>
      </c>
      <c r="C128" s="297">
        <v>1</v>
      </c>
      <c r="D128" s="226" t="s">
        <v>383</v>
      </c>
      <c r="E128" s="182">
        <v>18</v>
      </c>
      <c r="F128" s="297">
        <v>1440</v>
      </c>
      <c r="G128" s="300">
        <v>80</v>
      </c>
      <c r="H128" s="608">
        <f>AVERAGE(G128:G142)</f>
        <v>78.280890389781646</v>
      </c>
      <c r="I128" s="199">
        <f t="shared" ref="I128:J139" si="73">AVERAGEIF($D$7:$D$121,$D128,I$7:I$121)</f>
        <v>18</v>
      </c>
      <c r="J128" s="199">
        <f t="shared" si="73"/>
        <v>1263.5656150329633</v>
      </c>
      <c r="K128" s="199">
        <f t="shared" ref="K128:K139" si="74">AVERAGEIF($D$7:$D$121,$D128,K$7:K$121)</f>
        <v>70.198089724053517</v>
      </c>
      <c r="L128" s="620" t="e">
        <f>AVERAGE(K128:K142)</f>
        <v>#DIV/0!</v>
      </c>
      <c r="M128" s="199" t="e">
        <f>RANK(K128, K$128:$K$142)</f>
        <v>#DIV/0!</v>
      </c>
    </row>
    <row r="129" spans="2:13">
      <c r="B129" s="572"/>
      <c r="C129" s="297">
        <v>2</v>
      </c>
      <c r="D129" s="226" t="s">
        <v>384</v>
      </c>
      <c r="E129" s="182">
        <v>18</v>
      </c>
      <c r="F129" s="297">
        <v>1440</v>
      </c>
      <c r="G129" s="300">
        <v>80</v>
      </c>
      <c r="H129" s="609"/>
      <c r="I129" s="199">
        <f t="shared" si="73"/>
        <v>18.028571428571428</v>
      </c>
      <c r="J129" s="199">
        <f t="shared" si="73"/>
        <v>1171.045239361355</v>
      </c>
      <c r="K129" s="199">
        <f t="shared" si="74"/>
        <v>64.954746030221614</v>
      </c>
      <c r="L129" s="621"/>
      <c r="M129" s="199" t="e">
        <f>RANK(K129, K$128:$K$142)</f>
        <v>#DIV/0!</v>
      </c>
    </row>
    <row r="130" spans="2:13">
      <c r="B130" s="572"/>
      <c r="C130" s="297">
        <v>3</v>
      </c>
      <c r="D130" s="226" t="s">
        <v>386</v>
      </c>
      <c r="E130" s="182">
        <v>17</v>
      </c>
      <c r="F130" s="297">
        <v>1636</v>
      </c>
      <c r="G130" s="300">
        <v>96.235294117647058</v>
      </c>
      <c r="H130" s="609"/>
      <c r="I130" s="199">
        <f t="shared" si="73"/>
        <v>17.400000000000002</v>
      </c>
      <c r="J130" s="199">
        <f t="shared" si="73"/>
        <v>1272.8297614080859</v>
      </c>
      <c r="K130" s="199">
        <f t="shared" si="74"/>
        <v>73.115697660786012</v>
      </c>
      <c r="L130" s="621"/>
      <c r="M130" s="199" t="e">
        <f>RANK(K130, K$128:$K$142)</f>
        <v>#DIV/0!</v>
      </c>
    </row>
    <row r="131" spans="2:13">
      <c r="B131" s="572"/>
      <c r="C131" s="297">
        <v>4</v>
      </c>
      <c r="D131" s="226" t="s">
        <v>385</v>
      </c>
      <c r="E131" s="182">
        <v>18</v>
      </c>
      <c r="F131" s="297">
        <v>1440</v>
      </c>
      <c r="G131" s="300">
        <v>80</v>
      </c>
      <c r="H131" s="609"/>
      <c r="I131" s="199">
        <f t="shared" si="73"/>
        <v>17</v>
      </c>
      <c r="J131" s="199">
        <f t="shared" si="73"/>
        <v>1266.2069108815608</v>
      </c>
      <c r="K131" s="199">
        <f t="shared" si="74"/>
        <v>74.482759463621221</v>
      </c>
      <c r="L131" s="621"/>
      <c r="M131" s="199" t="e">
        <f>RANK(K131, K$128:$K$142)</f>
        <v>#DIV/0!</v>
      </c>
    </row>
    <row r="132" spans="2:13">
      <c r="B132" s="572"/>
      <c r="C132" s="297">
        <v>5</v>
      </c>
      <c r="D132" s="226" t="s">
        <v>387</v>
      </c>
      <c r="E132" s="182">
        <v>19</v>
      </c>
      <c r="F132" s="297">
        <v>1440</v>
      </c>
      <c r="G132" s="300">
        <v>75.78947368421052</v>
      </c>
      <c r="H132" s="609"/>
      <c r="I132" s="199">
        <f t="shared" si="73"/>
        <v>18.245714285714286</v>
      </c>
      <c r="J132" s="199">
        <f t="shared" si="73"/>
        <v>1142.0877708207656</v>
      </c>
      <c r="K132" s="199">
        <f t="shared" si="74"/>
        <v>62.06478602722359</v>
      </c>
      <c r="L132" s="621"/>
      <c r="M132" s="199" t="e">
        <f>RANK(K132, K$128:$K$142)</f>
        <v>#DIV/0!</v>
      </c>
    </row>
    <row r="133" spans="2:13">
      <c r="B133" s="572"/>
      <c r="C133" s="297">
        <v>6</v>
      </c>
      <c r="D133" s="306" t="s">
        <v>388</v>
      </c>
      <c r="E133" s="182">
        <v>21</v>
      </c>
      <c r="F133" s="297">
        <v>1385</v>
      </c>
      <c r="G133" s="300">
        <v>65.952380952380949</v>
      </c>
      <c r="H133" s="609"/>
      <c r="I133" s="199">
        <f t="shared" si="73"/>
        <v>19.171428571428571</v>
      </c>
      <c r="J133" s="199">
        <f t="shared" si="73"/>
        <v>1201.1950999886933</v>
      </c>
      <c r="K133" s="199">
        <f t="shared" si="74"/>
        <v>62.667937436771503</v>
      </c>
      <c r="L133" s="621"/>
      <c r="M133" s="199" t="e">
        <f>RANK(K133, K$128:$K$142)</f>
        <v>#DIV/0!</v>
      </c>
    </row>
    <row r="134" spans="2:13">
      <c r="B134" s="572"/>
      <c r="C134" s="297">
        <v>7</v>
      </c>
      <c r="D134" s="226" t="s">
        <v>389</v>
      </c>
      <c r="E134" s="182">
        <v>20</v>
      </c>
      <c r="F134" s="297">
        <v>1440</v>
      </c>
      <c r="G134" s="300">
        <v>72</v>
      </c>
      <c r="H134" s="609"/>
      <c r="I134" s="199">
        <f t="shared" si="73"/>
        <v>19.028571428571428</v>
      </c>
      <c r="J134" s="199">
        <f t="shared" si="73"/>
        <v>1252.3521560100071</v>
      </c>
      <c r="K134" s="199">
        <f t="shared" si="74"/>
        <v>65.81959185766955</v>
      </c>
      <c r="L134" s="621"/>
      <c r="M134" s="199" t="e">
        <f>RANK(K134, K$128:$K$142)</f>
        <v>#DIV/0!</v>
      </c>
    </row>
    <row r="135" spans="2:13">
      <c r="B135" s="572"/>
      <c r="C135" s="297">
        <v>8</v>
      </c>
      <c r="D135" s="226" t="s">
        <v>489</v>
      </c>
      <c r="E135" s="182">
        <v>18</v>
      </c>
      <c r="F135" s="297">
        <v>1385</v>
      </c>
      <c r="G135" s="300">
        <v>76.944444444444443</v>
      </c>
      <c r="H135" s="609"/>
      <c r="I135" s="199">
        <f t="shared" si="73"/>
        <v>17.36</v>
      </c>
      <c r="J135" s="199">
        <f t="shared" si="73"/>
        <v>1215.0203862882402</v>
      </c>
      <c r="K135" s="199">
        <f t="shared" si="74"/>
        <v>70.028610651193006</v>
      </c>
      <c r="L135" s="621"/>
      <c r="M135" s="199" t="e">
        <f>RANK(K135, K$128:$K$142)</f>
        <v>#DIV/0!</v>
      </c>
    </row>
    <row r="136" spans="2:13">
      <c r="B136" s="572"/>
      <c r="C136" s="297">
        <v>9</v>
      </c>
      <c r="D136" s="226" t="s">
        <v>492</v>
      </c>
      <c r="E136" s="297">
        <v>21</v>
      </c>
      <c r="F136" s="297">
        <v>1385</v>
      </c>
      <c r="G136" s="297">
        <v>65.952380952380949</v>
      </c>
      <c r="H136" s="609"/>
      <c r="I136" s="388">
        <f t="shared" si="73"/>
        <v>19.525714285714287</v>
      </c>
      <c r="J136" s="388">
        <f t="shared" si="73"/>
        <v>1202.1089541604215</v>
      </c>
      <c r="K136" s="388">
        <f t="shared" si="74"/>
        <v>61.606991934276969</v>
      </c>
      <c r="L136" s="621"/>
      <c r="M136" s="199" t="e">
        <f>RANK(K136, K$128:$K$142)</f>
        <v>#DIV/0!</v>
      </c>
    </row>
    <row r="137" spans="2:13">
      <c r="B137" s="572"/>
      <c r="C137" s="297">
        <v>10</v>
      </c>
      <c r="D137" s="226" t="s">
        <v>534</v>
      </c>
      <c r="E137" s="297">
        <v>16</v>
      </c>
      <c r="F137" s="297">
        <v>1565</v>
      </c>
      <c r="G137" s="297">
        <v>97.8125</v>
      </c>
      <c r="H137" s="609"/>
      <c r="I137" s="388" t="e">
        <f t="shared" si="73"/>
        <v>#DIV/0!</v>
      </c>
      <c r="J137" s="388" t="e">
        <f t="shared" si="73"/>
        <v>#DIV/0!</v>
      </c>
      <c r="K137" s="388" t="e">
        <f t="shared" si="74"/>
        <v>#DIV/0!</v>
      </c>
      <c r="L137" s="621"/>
      <c r="M137" s="199" t="e">
        <f>RANK(K137, K$128:$K$142)</f>
        <v>#DIV/0!</v>
      </c>
    </row>
    <row r="138" spans="2:13">
      <c r="B138" s="572"/>
      <c r="C138" s="297">
        <v>11</v>
      </c>
      <c r="D138" s="226" t="s">
        <v>564</v>
      </c>
      <c r="E138" s="297">
        <v>19</v>
      </c>
      <c r="F138" s="297">
        <v>1440</v>
      </c>
      <c r="G138" s="297">
        <v>75.78947368421052</v>
      </c>
      <c r="H138" s="609"/>
      <c r="I138" s="388">
        <f t="shared" si="73"/>
        <v>15.679999999999998</v>
      </c>
      <c r="J138" s="388">
        <f t="shared" si="73"/>
        <v>1269.5360599084224</v>
      </c>
      <c r="K138" s="388">
        <f t="shared" si="74"/>
        <v>80.220268322510719</v>
      </c>
      <c r="L138" s="621"/>
      <c r="M138" s="199" t="e">
        <f>RANK(K138, K$128:$K$142)</f>
        <v>#DIV/0!</v>
      </c>
    </row>
    <row r="139" spans="2:13">
      <c r="B139" s="572"/>
      <c r="C139" s="297">
        <v>12</v>
      </c>
      <c r="D139" s="226" t="s">
        <v>605</v>
      </c>
      <c r="E139" s="297">
        <v>19</v>
      </c>
      <c r="F139" s="297">
        <v>1385</v>
      </c>
      <c r="G139" s="297">
        <v>72.89473684210526</v>
      </c>
      <c r="H139" s="609"/>
      <c r="I139" s="388">
        <f t="shared" si="73"/>
        <v>16</v>
      </c>
      <c r="J139" s="388">
        <f t="shared" si="73"/>
        <v>1161.7259297932856</v>
      </c>
      <c r="K139" s="388">
        <f t="shared" si="74"/>
        <v>72.607870612080347</v>
      </c>
      <c r="L139" s="621"/>
      <c r="M139" s="199" t="e">
        <f>RANK(K139, K$128:$K$142)</f>
        <v>#DIV/0!</v>
      </c>
    </row>
    <row r="140" spans="2:13">
      <c r="B140" s="572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21"/>
      <c r="M140" s="199" t="e">
        <f>RANK(K140, K$128:$K$142)</f>
        <v>#DIV/0!</v>
      </c>
    </row>
    <row r="141" spans="2:13">
      <c r="B141" s="572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21"/>
      <c r="M141" s="199" t="e">
        <f>RANK(K141, K$128:$K$142)</f>
        <v>#DIV/0!</v>
      </c>
    </row>
    <row r="142" spans="2:13">
      <c r="B142" s="572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4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1" t="s">
        <v>329</v>
      </c>
      <c r="C1" s="220">
        <f>AVERAGE(L7,L27,L47,L67,L87,L107)</f>
        <v>70.145844555570179</v>
      </c>
    </row>
    <row r="2" spans="1:54" ht="15.75">
      <c r="A2" s="81"/>
      <c r="B2" s="576" t="s">
        <v>731</v>
      </c>
      <c r="C2" s="576"/>
      <c r="D2" s="576"/>
      <c r="E2" s="576"/>
      <c r="F2" s="576"/>
      <c r="G2" s="576"/>
      <c r="H2" s="576"/>
      <c r="I2" s="441"/>
      <c r="J2" s="441"/>
      <c r="K2" s="441"/>
      <c r="L2" s="441"/>
      <c r="M2" s="197"/>
      <c r="N2" s="565" t="s">
        <v>732</v>
      </c>
      <c r="O2" s="565" t="s">
        <v>733</v>
      </c>
      <c r="P2" s="617"/>
      <c r="Q2" s="618"/>
      <c r="R2" s="618"/>
      <c r="S2" s="618"/>
      <c r="T2" s="619"/>
      <c r="U2" s="571"/>
      <c r="V2" s="572"/>
      <c r="W2" s="572"/>
      <c r="X2" s="572"/>
      <c r="Y2" s="572"/>
      <c r="Z2" s="571">
        <f t="shared" ref="Z2" si="0">U2+1</f>
        <v>1</v>
      </c>
      <c r="AA2" s="572"/>
      <c r="AB2" s="572"/>
      <c r="AC2" s="572"/>
      <c r="AD2" s="572"/>
      <c r="AE2" s="571">
        <f t="shared" ref="AE2" si="1">Z2+1</f>
        <v>2</v>
      </c>
      <c r="AF2" s="572"/>
      <c r="AG2" s="572"/>
      <c r="AH2" s="572"/>
      <c r="AI2" s="572"/>
      <c r="AJ2" s="571">
        <f t="shared" ref="AJ2" si="2">AE2+1</f>
        <v>3</v>
      </c>
      <c r="AK2" s="572"/>
      <c r="AL2" s="572"/>
      <c r="AM2" s="572"/>
      <c r="AN2" s="572"/>
      <c r="AO2" s="571">
        <f t="shared" ref="AO2" si="3">AJ2+1</f>
        <v>4</v>
      </c>
      <c r="AP2" s="572"/>
      <c r="AQ2" s="572"/>
      <c r="AR2" s="572"/>
      <c r="AS2" s="572"/>
      <c r="AT2" s="571">
        <f t="shared" ref="AT2" si="4">AO2+1</f>
        <v>5</v>
      </c>
      <c r="AU2" s="572"/>
      <c r="AV2" s="572"/>
      <c r="AW2" s="572"/>
      <c r="AX2" s="572"/>
    </row>
    <row r="3" spans="1:54" ht="15.75">
      <c r="A3" s="81"/>
      <c r="B3" s="597"/>
      <c r="C3" s="597"/>
      <c r="D3" s="597"/>
      <c r="E3" s="597"/>
      <c r="F3" s="597"/>
      <c r="G3" s="597"/>
      <c r="H3" s="597"/>
      <c r="I3" s="442"/>
      <c r="J3" s="442"/>
      <c r="K3" s="442"/>
      <c r="L3" s="442"/>
      <c r="M3" s="198"/>
      <c r="N3" s="567"/>
      <c r="O3" s="567"/>
      <c r="P3" s="568" t="s">
        <v>734</v>
      </c>
      <c r="Q3" s="569"/>
      <c r="R3" s="569"/>
      <c r="S3" s="569"/>
      <c r="T3" s="570"/>
      <c r="U3" s="568" t="s">
        <v>735</v>
      </c>
      <c r="V3" s="569"/>
      <c r="W3" s="569"/>
      <c r="X3" s="569"/>
      <c r="Y3" s="570"/>
      <c r="Z3" s="568" t="s">
        <v>736</v>
      </c>
      <c r="AA3" s="569"/>
      <c r="AB3" s="569"/>
      <c r="AC3" s="569"/>
      <c r="AD3" s="570"/>
      <c r="AE3" s="568" t="s">
        <v>737</v>
      </c>
      <c r="AF3" s="569"/>
      <c r="AG3" s="569"/>
      <c r="AH3" s="569"/>
      <c r="AI3" s="570"/>
      <c r="AJ3" s="568" t="s">
        <v>738</v>
      </c>
      <c r="AK3" s="569"/>
      <c r="AL3" s="569"/>
      <c r="AM3" s="569"/>
      <c r="AN3" s="570"/>
      <c r="AO3" s="568" t="s">
        <v>739</v>
      </c>
      <c r="AP3" s="569"/>
      <c r="AQ3" s="569"/>
      <c r="AR3" s="569"/>
      <c r="AS3" s="570"/>
      <c r="AT3" s="568" t="s">
        <v>740</v>
      </c>
      <c r="AU3" s="569"/>
      <c r="AV3" s="569"/>
      <c r="AW3" s="569"/>
      <c r="AX3" s="570"/>
    </row>
    <row r="4" spans="1:54">
      <c r="A4" s="81"/>
      <c r="B4" s="559" t="s">
        <v>703</v>
      </c>
      <c r="C4" s="559" t="s">
        <v>704</v>
      </c>
      <c r="D4" s="559"/>
      <c r="E4" s="559" t="s">
        <v>705</v>
      </c>
      <c r="F4" s="559"/>
      <c r="G4" s="559"/>
      <c r="H4" s="560" t="s">
        <v>706</v>
      </c>
      <c r="I4" s="559" t="s">
        <v>707</v>
      </c>
      <c r="J4" s="559"/>
      <c r="K4" s="559"/>
      <c r="L4" s="560" t="s">
        <v>706</v>
      </c>
      <c r="M4" s="565" t="s">
        <v>708</v>
      </c>
      <c r="N4" s="559"/>
      <c r="O4" s="559" t="s">
        <v>709</v>
      </c>
      <c r="P4" s="556" t="s">
        <v>748</v>
      </c>
      <c r="Q4" s="557"/>
      <c r="R4" s="557"/>
      <c r="S4" s="558"/>
      <c r="T4" s="559" t="s">
        <v>744</v>
      </c>
      <c r="U4" s="556" t="s">
        <v>748</v>
      </c>
      <c r="V4" s="557"/>
      <c r="W4" s="557"/>
      <c r="X4" s="558"/>
      <c r="Y4" s="559" t="s">
        <v>744</v>
      </c>
      <c r="Z4" s="556" t="s">
        <v>748</v>
      </c>
      <c r="AA4" s="557"/>
      <c r="AB4" s="557"/>
      <c r="AC4" s="558"/>
      <c r="AD4" s="559" t="s">
        <v>744</v>
      </c>
      <c r="AE4" s="556" t="s">
        <v>748</v>
      </c>
      <c r="AF4" s="557"/>
      <c r="AG4" s="557"/>
      <c r="AH4" s="558"/>
      <c r="AI4" s="559" t="s">
        <v>744</v>
      </c>
      <c r="AJ4" s="556" t="s">
        <v>748</v>
      </c>
      <c r="AK4" s="557"/>
      <c r="AL4" s="557"/>
      <c r="AM4" s="558"/>
      <c r="AN4" s="559" t="s">
        <v>744</v>
      </c>
      <c r="AO4" s="556" t="s">
        <v>748</v>
      </c>
      <c r="AP4" s="557"/>
      <c r="AQ4" s="557"/>
      <c r="AR4" s="558"/>
      <c r="AS4" s="559" t="s">
        <v>744</v>
      </c>
      <c r="AT4" s="556" t="s">
        <v>748</v>
      </c>
      <c r="AU4" s="557"/>
      <c r="AV4" s="557"/>
      <c r="AW4" s="558"/>
      <c r="AX4" s="559" t="s">
        <v>744</v>
      </c>
    </row>
    <row r="5" spans="1:54">
      <c r="A5" s="81"/>
      <c r="B5" s="559"/>
      <c r="C5" s="559"/>
      <c r="D5" s="559"/>
      <c r="E5" s="559" t="s">
        <v>710</v>
      </c>
      <c r="F5" s="559"/>
      <c r="G5" s="559"/>
      <c r="H5" s="561"/>
      <c r="I5" s="559" t="s">
        <v>710</v>
      </c>
      <c r="J5" s="559"/>
      <c r="K5" s="559"/>
      <c r="L5" s="561"/>
      <c r="M5" s="566"/>
      <c r="N5" s="559"/>
      <c r="O5" s="559"/>
      <c r="P5" s="556" t="s">
        <v>750</v>
      </c>
      <c r="Q5" s="557"/>
      <c r="R5" s="557"/>
      <c r="S5" s="558"/>
      <c r="T5" s="559"/>
      <c r="U5" s="556" t="s">
        <v>750</v>
      </c>
      <c r="V5" s="557"/>
      <c r="W5" s="557"/>
      <c r="X5" s="558"/>
      <c r="Y5" s="559"/>
      <c r="Z5" s="556" t="s">
        <v>750</v>
      </c>
      <c r="AA5" s="557"/>
      <c r="AB5" s="557"/>
      <c r="AC5" s="558"/>
      <c r="AD5" s="559"/>
      <c r="AE5" s="556" t="s">
        <v>750</v>
      </c>
      <c r="AF5" s="557"/>
      <c r="AG5" s="557"/>
      <c r="AH5" s="558"/>
      <c r="AI5" s="559"/>
      <c r="AJ5" s="556" t="s">
        <v>750</v>
      </c>
      <c r="AK5" s="557"/>
      <c r="AL5" s="557"/>
      <c r="AM5" s="558"/>
      <c r="AN5" s="559"/>
      <c r="AO5" s="556" t="s">
        <v>750</v>
      </c>
      <c r="AP5" s="557"/>
      <c r="AQ5" s="557"/>
      <c r="AR5" s="558"/>
      <c r="AS5" s="559"/>
      <c r="AT5" s="556" t="s">
        <v>750</v>
      </c>
      <c r="AU5" s="557"/>
      <c r="AV5" s="557"/>
      <c r="AW5" s="558"/>
      <c r="AX5" s="559"/>
    </row>
    <row r="6" spans="1:54">
      <c r="A6" s="79"/>
      <c r="B6" s="559"/>
      <c r="C6" s="559"/>
      <c r="D6" s="559"/>
      <c r="E6" s="440" t="s">
        <v>711</v>
      </c>
      <c r="F6" s="440" t="s">
        <v>712</v>
      </c>
      <c r="G6" s="440" t="s">
        <v>713</v>
      </c>
      <c r="H6" s="562"/>
      <c r="I6" s="440" t="s">
        <v>711</v>
      </c>
      <c r="J6" s="440" t="s">
        <v>712</v>
      </c>
      <c r="K6" s="440" t="s">
        <v>713</v>
      </c>
      <c r="L6" s="562"/>
      <c r="M6" s="567"/>
      <c r="N6" s="559"/>
      <c r="O6" s="559"/>
      <c r="P6" s="440" t="s">
        <v>751</v>
      </c>
      <c r="Q6" s="440" t="s">
        <v>752</v>
      </c>
      <c r="R6" s="440" t="s">
        <v>753</v>
      </c>
      <c r="S6" s="440" t="s">
        <v>746</v>
      </c>
      <c r="T6" s="559"/>
      <c r="U6" s="440" t="s">
        <v>751</v>
      </c>
      <c r="V6" s="440" t="s">
        <v>752</v>
      </c>
      <c r="W6" s="440" t="s">
        <v>753</v>
      </c>
      <c r="X6" s="440" t="s">
        <v>746</v>
      </c>
      <c r="Y6" s="559"/>
      <c r="Z6" s="440" t="s">
        <v>751</v>
      </c>
      <c r="AA6" s="440" t="s">
        <v>752</v>
      </c>
      <c r="AB6" s="440" t="s">
        <v>753</v>
      </c>
      <c r="AC6" s="440" t="s">
        <v>746</v>
      </c>
      <c r="AD6" s="559"/>
      <c r="AE6" s="440" t="s">
        <v>751</v>
      </c>
      <c r="AF6" s="440" t="s">
        <v>752</v>
      </c>
      <c r="AG6" s="440" t="s">
        <v>753</v>
      </c>
      <c r="AH6" s="440" t="s">
        <v>746</v>
      </c>
      <c r="AI6" s="559"/>
      <c r="AJ6" s="440" t="s">
        <v>751</v>
      </c>
      <c r="AK6" s="440" t="s">
        <v>752</v>
      </c>
      <c r="AL6" s="440" t="s">
        <v>753</v>
      </c>
      <c r="AM6" s="440" t="s">
        <v>746</v>
      </c>
      <c r="AN6" s="559"/>
      <c r="AO6" s="440" t="s">
        <v>751</v>
      </c>
      <c r="AP6" s="440" t="s">
        <v>752</v>
      </c>
      <c r="AQ6" s="440" t="s">
        <v>753</v>
      </c>
      <c r="AR6" s="440" t="s">
        <v>746</v>
      </c>
      <c r="AS6" s="559"/>
      <c r="AT6" s="440" t="s">
        <v>751</v>
      </c>
      <c r="AU6" s="440" t="s">
        <v>752</v>
      </c>
      <c r="AV6" s="440" t="s">
        <v>753</v>
      </c>
      <c r="AW6" s="440" t="s">
        <v>746</v>
      </c>
      <c r="AX6" s="559"/>
    </row>
    <row r="7" spans="1:54">
      <c r="A7" s="81"/>
      <c r="B7" s="559" t="s">
        <v>135</v>
      </c>
      <c r="C7" s="443">
        <v>1</v>
      </c>
      <c r="D7" s="435" t="s">
        <v>344</v>
      </c>
      <c r="E7" s="447">
        <v>18</v>
      </c>
      <c r="F7" s="447">
        <v>1636</v>
      </c>
      <c r="G7" s="447">
        <v>90.9</v>
      </c>
      <c r="H7" s="563">
        <f>AVERAGE(G7:G21)</f>
        <v>81.277777777777771</v>
      </c>
      <c r="I7" s="447">
        <f>AVERAGE(P7,U7,Z7,AE7,AJ7,AO7,AT7)</f>
        <v>16.8</v>
      </c>
      <c r="J7" s="447">
        <f>AVERAGE(Q7,V7,AA7,AF7,AK7,AP7,AU7)</f>
        <v>1444.2711376530651</v>
      </c>
      <c r="K7" s="439">
        <f>AVERAGE(R7,W7,AB7,AG7,AL7,AQ7,AV7)</f>
        <v>86.011165432462377</v>
      </c>
      <c r="L7" s="563">
        <f>AVERAGE(K7:K21)</f>
        <v>66.316219333608728</v>
      </c>
      <c r="M7" s="445">
        <f>RANK(K7, K$7:$K$21)</f>
        <v>2</v>
      </c>
      <c r="N7" s="559"/>
      <c r="O7" s="559"/>
      <c r="P7" s="443"/>
      <c r="Q7" s="447"/>
      <c r="R7" s="447"/>
      <c r="S7" s="447" t="e">
        <f>RANK(R7, R$7:R$21)</f>
        <v>#N/A</v>
      </c>
      <c r="T7" s="630" t="e">
        <f>AVERAGE(R7:R21)</f>
        <v>#DIV/0!</v>
      </c>
      <c r="U7" s="443"/>
      <c r="V7" s="447"/>
      <c r="W7" s="447"/>
      <c r="X7" s="447" t="e">
        <f>RANK(W7, W$7:W$21)</f>
        <v>#N/A</v>
      </c>
      <c r="Y7" s="588" t="e">
        <f>AVERAGE(W7:W21)</f>
        <v>#DIV/0!</v>
      </c>
      <c r="Z7" s="443">
        <v>17</v>
      </c>
      <c r="AA7" s="447">
        <v>1445.1428571428573</v>
      </c>
      <c r="AB7" s="447">
        <v>85.008403361344548</v>
      </c>
      <c r="AC7" s="447">
        <f>RANK(AB7, AB$7:AB$21)</f>
        <v>2</v>
      </c>
      <c r="AD7" s="588">
        <f>AVERAGE(AB7:AB21)</f>
        <v>69.21887006293511</v>
      </c>
      <c r="AE7" s="443">
        <v>17</v>
      </c>
      <c r="AF7" s="447">
        <v>1418.1818181818182</v>
      </c>
      <c r="AG7" s="447">
        <v>83.422459893048128</v>
      </c>
      <c r="AH7" s="447">
        <f>RANK(AG7, AG$7:AG$21)</f>
        <v>2</v>
      </c>
      <c r="AI7" s="588">
        <f>AVERAGE(AG7:AG21)</f>
        <v>65.587359942514922</v>
      </c>
      <c r="AJ7" s="443">
        <v>17</v>
      </c>
      <c r="AK7" s="447">
        <v>1447.4999999999989</v>
      </c>
      <c r="AL7" s="447">
        <v>85.147058823529349</v>
      </c>
      <c r="AM7" s="447">
        <f>RANK(AL7, AL$7:AL$21)</f>
        <v>2</v>
      </c>
      <c r="AN7" s="588">
        <f>AVERAGE(AL7:AL21)</f>
        <v>58.697239715704477</v>
      </c>
      <c r="AO7" s="443">
        <v>17</v>
      </c>
      <c r="AP7" s="447">
        <v>1477.0370370370365</v>
      </c>
      <c r="AQ7" s="447">
        <v>86.884531590413914</v>
      </c>
      <c r="AR7" s="447">
        <f>RANK(AQ7, AQ$7:AQ$21)</f>
        <v>2</v>
      </c>
      <c r="AS7" s="630">
        <f>AVERAGE(AQ7:AQ21)</f>
        <v>68.158765905914677</v>
      </c>
      <c r="AT7" s="443">
        <v>16</v>
      </c>
      <c r="AU7" s="447">
        <v>1433.493975903614</v>
      </c>
      <c r="AV7" s="447">
        <v>89.593373493975875</v>
      </c>
      <c r="AW7" s="447">
        <f>RANK(AV7, AV$7:AV$21)</f>
        <v>2</v>
      </c>
      <c r="AX7" s="631">
        <f>AVERAGE(AV7:AV21)</f>
        <v>69.918861040974505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99"/>
      <c r="C8" s="443">
        <v>2</v>
      </c>
      <c r="D8" s="435" t="s">
        <v>557</v>
      </c>
      <c r="E8" s="447">
        <v>14</v>
      </c>
      <c r="F8" s="447">
        <v>1500</v>
      </c>
      <c r="G8" s="447">
        <v>107.1</v>
      </c>
      <c r="H8" s="564"/>
      <c r="I8" s="447">
        <f t="shared" ref="I8:K15" si="5">AVERAGE(P8,U8,Z8,AE8,AJ8,AO8,AT8)</f>
        <v>12.6</v>
      </c>
      <c r="J8" s="447">
        <f t="shared" si="5"/>
        <v>1285.6740783410146</v>
      </c>
      <c r="K8" s="439">
        <f t="shared" si="5"/>
        <v>102.35612677453121</v>
      </c>
      <c r="L8" s="564"/>
      <c r="M8" s="445">
        <f>RANK(K8, K$7:$K$21)</f>
        <v>1</v>
      </c>
      <c r="N8" s="559"/>
      <c r="O8" s="559"/>
      <c r="P8" s="443"/>
      <c r="Q8" s="447"/>
      <c r="R8" s="447"/>
      <c r="S8" s="447" t="e">
        <f t="shared" ref="S8:S21" si="6">RANK(R8, R$7:R$21)</f>
        <v>#N/A</v>
      </c>
      <c r="T8" s="630"/>
      <c r="U8" s="443"/>
      <c r="V8" s="447"/>
      <c r="W8" s="447"/>
      <c r="X8" s="447" t="e">
        <f t="shared" ref="X8:X21" si="7">RANK(W8, W$7:W$21)</f>
        <v>#N/A</v>
      </c>
      <c r="Y8" s="588"/>
      <c r="Z8" s="443">
        <v>12</v>
      </c>
      <c r="AA8" s="447">
        <v>1344.3750000000016</v>
      </c>
      <c r="AB8" s="447">
        <v>112.03125000000013</v>
      </c>
      <c r="AC8" s="447">
        <f t="shared" ref="AC8:AC21" si="8">RANK(AB8, AB$7:AB$21)</f>
        <v>1</v>
      </c>
      <c r="AD8" s="588"/>
      <c r="AE8" s="443">
        <v>12</v>
      </c>
      <c r="AF8" s="447">
        <v>1133.5714285714294</v>
      </c>
      <c r="AG8" s="447">
        <v>94.464285714285779</v>
      </c>
      <c r="AH8" s="447">
        <f t="shared" ref="AH8:AH21" si="9">RANK(AG8, AG$7:AG$21)</f>
        <v>1</v>
      </c>
      <c r="AI8" s="588"/>
      <c r="AJ8" s="443">
        <v>13</v>
      </c>
      <c r="AK8" s="447">
        <v>1298.709677419356</v>
      </c>
      <c r="AL8" s="447">
        <v>99.900744416873536</v>
      </c>
      <c r="AM8" s="447">
        <f t="shared" ref="AM8:AM21" si="10">RANK(AL8, AL$7:AL$21)</f>
        <v>1</v>
      </c>
      <c r="AN8" s="588"/>
      <c r="AO8" s="443">
        <v>12</v>
      </c>
      <c r="AP8" s="447">
        <v>1342.0000000000014</v>
      </c>
      <c r="AQ8" s="447">
        <v>111.83333333333344</v>
      </c>
      <c r="AR8" s="447">
        <f t="shared" ref="AR8:AR21" si="11">RANK(AQ8, AQ$7:AQ$21)</f>
        <v>1</v>
      </c>
      <c r="AS8" s="630"/>
      <c r="AT8" s="443">
        <v>14</v>
      </c>
      <c r="AU8" s="447">
        <v>1309.7142857142844</v>
      </c>
      <c r="AV8" s="447">
        <v>93.551020408163168</v>
      </c>
      <c r="AW8" s="447">
        <f t="shared" ref="AW8:AW21" si="12">RANK(AV8, AV$7:AV$21)</f>
        <v>1</v>
      </c>
      <c r="AX8" s="631"/>
      <c r="AZ8" s="314" t="e">
        <f>RANK(AX8, $K$7:AX$21)</f>
        <v>#N/A</v>
      </c>
      <c r="BB8" s="311" t="e">
        <f t="shared" ref="BB8:BB21" si="13">RANK(BA8, BA$7:BA$21)</f>
        <v>#N/A</v>
      </c>
    </row>
    <row r="9" spans="1:54">
      <c r="A9" s="81"/>
      <c r="B9" s="599"/>
      <c r="C9" s="443">
        <v>3</v>
      </c>
      <c r="D9" s="435" t="s">
        <v>664</v>
      </c>
      <c r="E9" s="447">
        <v>17</v>
      </c>
      <c r="F9" s="447">
        <v>1636</v>
      </c>
      <c r="G9" s="447">
        <v>96.3</v>
      </c>
      <c r="H9" s="564"/>
      <c r="I9" s="447">
        <f t="shared" si="5"/>
        <v>18</v>
      </c>
      <c r="J9" s="447">
        <f t="shared" si="5"/>
        <v>1050.0001666666667</v>
      </c>
      <c r="K9" s="439">
        <f t="shared" si="5"/>
        <v>58.333342592592587</v>
      </c>
      <c r="L9" s="564"/>
      <c r="M9" s="445">
        <f>RANK(K9, K$7:$K$21)</f>
        <v>6</v>
      </c>
      <c r="N9" s="559"/>
      <c r="O9" s="559"/>
      <c r="P9" s="443"/>
      <c r="Q9" s="447"/>
      <c r="R9" s="447"/>
      <c r="S9" s="447" t="e">
        <f t="shared" si="6"/>
        <v>#N/A</v>
      </c>
      <c r="T9" s="630"/>
      <c r="U9" s="443"/>
      <c r="V9" s="447"/>
      <c r="W9" s="447"/>
      <c r="X9" s="447" t="e">
        <f t="shared" si="7"/>
        <v>#N/A</v>
      </c>
      <c r="Y9" s="588"/>
      <c r="Z9" s="443">
        <v>18</v>
      </c>
      <c r="AA9" s="447">
        <v>1337.3828571428558</v>
      </c>
      <c r="AB9" s="447">
        <v>74.299047619047542</v>
      </c>
      <c r="AC9" s="447">
        <f t="shared" si="8"/>
        <v>3</v>
      </c>
      <c r="AD9" s="588"/>
      <c r="AE9" s="443">
        <v>18</v>
      </c>
      <c r="AF9" s="447">
        <v>1312.8571428571424</v>
      </c>
      <c r="AG9" s="447">
        <v>72.936507936507908</v>
      </c>
      <c r="AH9" s="447">
        <f t="shared" si="9"/>
        <v>4</v>
      </c>
      <c r="AI9" s="588"/>
      <c r="AJ9" s="443">
        <v>18</v>
      </c>
      <c r="AK9" s="447">
        <v>0</v>
      </c>
      <c r="AL9" s="447">
        <v>0</v>
      </c>
      <c r="AM9" s="447">
        <f t="shared" si="10"/>
        <v>9</v>
      </c>
      <c r="AN9" s="588"/>
      <c r="AO9" s="443">
        <v>18</v>
      </c>
      <c r="AP9" s="447">
        <v>1297.5733333333335</v>
      </c>
      <c r="AQ9" s="447">
        <v>72.087407407407412</v>
      </c>
      <c r="AR9" s="447">
        <f t="shared" si="11"/>
        <v>4</v>
      </c>
      <c r="AS9" s="630"/>
      <c r="AT9" s="443">
        <v>18</v>
      </c>
      <c r="AU9" s="447">
        <v>1302.1875000000016</v>
      </c>
      <c r="AV9" s="447">
        <v>72.343750000000085</v>
      </c>
      <c r="AW9" s="447">
        <f t="shared" si="12"/>
        <v>5</v>
      </c>
      <c r="AX9" s="631"/>
      <c r="AZ9" s="314" t="e">
        <f>RANK(AX9, $K$7:AX$21)</f>
        <v>#N/A</v>
      </c>
      <c r="BB9" s="311" t="e">
        <f t="shared" si="13"/>
        <v>#N/A</v>
      </c>
    </row>
    <row r="10" spans="1:54">
      <c r="A10" s="81"/>
      <c r="B10" s="599"/>
      <c r="C10" s="443">
        <v>4</v>
      </c>
      <c r="D10" s="435" t="s">
        <v>598</v>
      </c>
      <c r="E10" s="447">
        <v>18</v>
      </c>
      <c r="F10" s="447">
        <v>1500</v>
      </c>
      <c r="G10" s="447">
        <v>83.3</v>
      </c>
      <c r="H10" s="564"/>
      <c r="I10" s="447">
        <f t="shared" si="5"/>
        <v>17.600000000000001</v>
      </c>
      <c r="J10" s="447">
        <f t="shared" si="5"/>
        <v>1168.109248371205</v>
      </c>
      <c r="K10" s="439">
        <f t="shared" si="5"/>
        <v>66.719363004749468</v>
      </c>
      <c r="L10" s="564"/>
      <c r="M10" s="445">
        <f>RANK(K10, K$7:$K$21)</f>
        <v>4</v>
      </c>
      <c r="N10" s="559"/>
      <c r="O10" s="559"/>
      <c r="P10" s="443"/>
      <c r="Q10" s="447"/>
      <c r="R10" s="447"/>
      <c r="S10" s="447" t="e">
        <f t="shared" si="6"/>
        <v>#N/A</v>
      </c>
      <c r="T10" s="630"/>
      <c r="U10" s="443"/>
      <c r="V10" s="447"/>
      <c r="W10" s="447"/>
      <c r="X10" s="447" t="e">
        <f t="shared" si="7"/>
        <v>#N/A</v>
      </c>
      <c r="Y10" s="588"/>
      <c r="Z10" s="443">
        <v>18</v>
      </c>
      <c r="AA10" s="447">
        <v>1132.2580645161272</v>
      </c>
      <c r="AB10" s="447">
        <v>62.903225806451509</v>
      </c>
      <c r="AC10" s="447">
        <f t="shared" si="8"/>
        <v>6</v>
      </c>
      <c r="AD10" s="588"/>
      <c r="AE10" s="443">
        <v>18</v>
      </c>
      <c r="AF10" s="447">
        <v>1142.5000000000002</v>
      </c>
      <c r="AG10" s="447">
        <v>63.472222222222236</v>
      </c>
      <c r="AH10" s="447">
        <f t="shared" si="9"/>
        <v>5</v>
      </c>
      <c r="AI10" s="588"/>
      <c r="AJ10" s="443">
        <v>18</v>
      </c>
      <c r="AK10" s="447">
        <v>1137.9310344827595</v>
      </c>
      <c r="AL10" s="447">
        <v>63.218390804597753</v>
      </c>
      <c r="AM10" s="447">
        <f t="shared" si="10"/>
        <v>4</v>
      </c>
      <c r="AN10" s="588"/>
      <c r="AO10" s="443">
        <v>18</v>
      </c>
      <c r="AP10" s="447">
        <v>1114.2857142857117</v>
      </c>
      <c r="AQ10" s="447">
        <v>61.904761904761763</v>
      </c>
      <c r="AR10" s="447">
        <f t="shared" si="11"/>
        <v>5</v>
      </c>
      <c r="AS10" s="630"/>
      <c r="AT10" s="443">
        <v>16</v>
      </c>
      <c r="AU10" s="447">
        <v>1313.5714285714257</v>
      </c>
      <c r="AV10" s="447">
        <v>82.098214285714107</v>
      </c>
      <c r="AW10" s="447">
        <f t="shared" si="12"/>
        <v>3</v>
      </c>
      <c r="AX10" s="631"/>
      <c r="AZ10" s="314" t="e">
        <f>RANK(AX10, $K$7:AX$21)</f>
        <v>#N/A</v>
      </c>
      <c r="BB10" s="311" t="e">
        <f t="shared" si="13"/>
        <v>#N/A</v>
      </c>
    </row>
    <row r="11" spans="1:54">
      <c r="A11" s="81"/>
      <c r="B11" s="599"/>
      <c r="C11" s="443">
        <v>5</v>
      </c>
      <c r="D11" s="435" t="s">
        <v>603</v>
      </c>
      <c r="E11" s="447">
        <v>21</v>
      </c>
      <c r="F11" s="447">
        <v>1385</v>
      </c>
      <c r="G11" s="447">
        <v>65.900000000000006</v>
      </c>
      <c r="H11" s="564"/>
      <c r="I11" s="447">
        <f t="shared" si="5"/>
        <v>20</v>
      </c>
      <c r="J11" s="447">
        <f t="shared" si="5"/>
        <v>984.72479357469126</v>
      </c>
      <c r="K11" s="439">
        <f t="shared" si="5"/>
        <v>49.236239678734556</v>
      </c>
      <c r="L11" s="564"/>
      <c r="M11" s="445">
        <f>RANK(K11, K$7:$K$21)</f>
        <v>8</v>
      </c>
      <c r="N11" s="559"/>
      <c r="O11" s="559"/>
      <c r="P11" s="443"/>
      <c r="Q11" s="447"/>
      <c r="R11" s="447"/>
      <c r="S11" s="447" t="e">
        <f t="shared" si="6"/>
        <v>#N/A</v>
      </c>
      <c r="T11" s="630"/>
      <c r="U11" s="443"/>
      <c r="V11" s="447"/>
      <c r="W11" s="447"/>
      <c r="X11" s="447" t="e">
        <f t="shared" si="7"/>
        <v>#N/A</v>
      </c>
      <c r="Y11" s="588"/>
      <c r="Z11" s="443">
        <v>20</v>
      </c>
      <c r="AA11" s="447">
        <v>971.66666666666595</v>
      </c>
      <c r="AB11" s="447">
        <v>48.5833333333333</v>
      </c>
      <c r="AC11" s="447">
        <f t="shared" si="8"/>
        <v>9</v>
      </c>
      <c r="AD11" s="588"/>
      <c r="AE11" s="443">
        <v>20</v>
      </c>
      <c r="AF11" s="447">
        <v>948.88888888888664</v>
      </c>
      <c r="AG11" s="447">
        <v>47.444444444444329</v>
      </c>
      <c r="AH11" s="447">
        <f t="shared" si="9"/>
        <v>9</v>
      </c>
      <c r="AI11" s="588"/>
      <c r="AJ11" s="443">
        <v>20</v>
      </c>
      <c r="AK11" s="447">
        <v>983.63636363636238</v>
      </c>
      <c r="AL11" s="447">
        <v>49.181818181818116</v>
      </c>
      <c r="AM11" s="447">
        <f t="shared" si="10"/>
        <v>7</v>
      </c>
      <c r="AN11" s="588"/>
      <c r="AO11" s="443">
        <v>20</v>
      </c>
      <c r="AP11" s="447">
        <v>964.13793103448347</v>
      </c>
      <c r="AQ11" s="447">
        <v>48.206896551724171</v>
      </c>
      <c r="AR11" s="447">
        <f t="shared" si="11"/>
        <v>8</v>
      </c>
      <c r="AS11" s="630"/>
      <c r="AT11" s="443">
        <v>20</v>
      </c>
      <c r="AU11" s="447">
        <v>1055.2941176470574</v>
      </c>
      <c r="AV11" s="447">
        <v>52.764705882352871</v>
      </c>
      <c r="AW11" s="447">
        <f t="shared" si="12"/>
        <v>9</v>
      </c>
      <c r="AX11" s="631"/>
      <c r="AZ11" s="314" t="e">
        <f>RANK(AX11, $K$7:AX$21)</f>
        <v>#N/A</v>
      </c>
      <c r="BB11" s="311" t="e">
        <f t="shared" si="13"/>
        <v>#N/A</v>
      </c>
    </row>
    <row r="12" spans="1:54">
      <c r="A12" s="81"/>
      <c r="B12" s="599"/>
      <c r="C12" s="443">
        <v>6</v>
      </c>
      <c r="D12" s="435" t="s">
        <v>618</v>
      </c>
      <c r="E12" s="447">
        <v>21</v>
      </c>
      <c r="F12" s="447">
        <v>1385</v>
      </c>
      <c r="G12" s="447">
        <v>65.900000000000006</v>
      </c>
      <c r="H12" s="564"/>
      <c r="I12" s="447">
        <f t="shared" si="5"/>
        <v>19.8</v>
      </c>
      <c r="J12" s="447">
        <f t="shared" si="5"/>
        <v>1029.7582251082288</v>
      </c>
      <c r="K12" s="439">
        <f t="shared" si="5"/>
        <v>52.039790954659566</v>
      </c>
      <c r="L12" s="564"/>
      <c r="M12" s="445">
        <f>RANK(K12, K$7:$K$21)</f>
        <v>7</v>
      </c>
      <c r="N12" s="559"/>
      <c r="O12" s="559"/>
      <c r="P12" s="443"/>
      <c r="Q12" s="447"/>
      <c r="R12" s="447"/>
      <c r="S12" s="447" t="e">
        <f t="shared" si="6"/>
        <v>#N/A</v>
      </c>
      <c r="T12" s="630"/>
      <c r="U12" s="443"/>
      <c r="V12" s="447"/>
      <c r="W12" s="447"/>
      <c r="X12" s="447" t="e">
        <f t="shared" si="7"/>
        <v>#N/A</v>
      </c>
      <c r="Y12" s="588"/>
      <c r="Z12" s="443">
        <v>20</v>
      </c>
      <c r="AA12" s="447">
        <v>1033.6363636363672</v>
      </c>
      <c r="AB12" s="447">
        <v>51.681818181818358</v>
      </c>
      <c r="AC12" s="447">
        <f t="shared" si="8"/>
        <v>7</v>
      </c>
      <c r="AD12" s="588"/>
      <c r="AE12" s="443">
        <v>20</v>
      </c>
      <c r="AF12" s="447">
        <v>1012.0000000000036</v>
      </c>
      <c r="AG12" s="447">
        <v>50.600000000000179</v>
      </c>
      <c r="AH12" s="447">
        <f t="shared" si="9"/>
        <v>7</v>
      </c>
      <c r="AI12" s="588"/>
      <c r="AJ12" s="443">
        <v>20</v>
      </c>
      <c r="AK12" s="447">
        <v>1023.333333333337</v>
      </c>
      <c r="AL12" s="447">
        <v>51.166666666666849</v>
      </c>
      <c r="AM12" s="447">
        <f t="shared" si="10"/>
        <v>6</v>
      </c>
      <c r="AN12" s="588"/>
      <c r="AO12" s="443">
        <v>20</v>
      </c>
      <c r="AP12" s="447">
        <v>1031.2500000000036</v>
      </c>
      <c r="AQ12" s="447">
        <v>51.562500000000185</v>
      </c>
      <c r="AR12" s="447">
        <f t="shared" si="11"/>
        <v>7</v>
      </c>
      <c r="AS12" s="630"/>
      <c r="AT12" s="443">
        <v>19</v>
      </c>
      <c r="AU12" s="447">
        <v>1048.5714285714323</v>
      </c>
      <c r="AV12" s="447">
        <v>55.187969924812229</v>
      </c>
      <c r="AW12" s="447">
        <f t="shared" si="12"/>
        <v>7</v>
      </c>
      <c r="AX12" s="631"/>
      <c r="AZ12" s="314" t="e">
        <f>RANK(AX12, $K$7:AX$21)</f>
        <v>#N/A</v>
      </c>
      <c r="BB12" s="311" t="e">
        <f t="shared" si="13"/>
        <v>#N/A</v>
      </c>
    </row>
    <row r="13" spans="1:54">
      <c r="A13" s="81"/>
      <c r="B13" s="599"/>
      <c r="C13" s="443">
        <v>7</v>
      </c>
      <c r="D13" s="435" t="s">
        <v>611</v>
      </c>
      <c r="E13" s="447">
        <v>18</v>
      </c>
      <c r="F13" s="447">
        <v>1500</v>
      </c>
      <c r="G13" s="447">
        <v>83.3</v>
      </c>
      <c r="H13" s="564"/>
      <c r="I13" s="447">
        <f t="shared" si="5"/>
        <v>18</v>
      </c>
      <c r="J13" s="447">
        <f t="shared" si="5"/>
        <v>1326.0729547538144</v>
      </c>
      <c r="K13" s="439">
        <f t="shared" si="5"/>
        <v>73.670719708545249</v>
      </c>
      <c r="L13" s="564"/>
      <c r="M13" s="445">
        <f>RANK(K13, K$7:$K$21)</f>
        <v>3</v>
      </c>
      <c r="N13" s="559"/>
      <c r="O13" s="559"/>
      <c r="P13" s="443"/>
      <c r="Q13" s="447"/>
      <c r="R13" s="447"/>
      <c r="S13" s="447" t="e">
        <f t="shared" si="6"/>
        <v>#N/A</v>
      </c>
      <c r="T13" s="630"/>
      <c r="U13" s="443"/>
      <c r="V13" s="447"/>
      <c r="W13" s="447"/>
      <c r="X13" s="447" t="e">
        <f t="shared" si="7"/>
        <v>#N/A</v>
      </c>
      <c r="Y13" s="588"/>
      <c r="Z13" s="443">
        <v>18</v>
      </c>
      <c r="AA13" s="447">
        <v>1316.3793103448272</v>
      </c>
      <c r="AB13" s="447">
        <v>73.13218390804596</v>
      </c>
      <c r="AC13" s="447">
        <f t="shared" si="8"/>
        <v>4</v>
      </c>
      <c r="AD13" s="588"/>
      <c r="AE13" s="443">
        <v>18</v>
      </c>
      <c r="AF13" s="447">
        <v>1318.0645161290324</v>
      </c>
      <c r="AG13" s="447">
        <v>73.225806451612911</v>
      </c>
      <c r="AH13" s="447">
        <f t="shared" si="9"/>
        <v>3</v>
      </c>
      <c r="AI13" s="588"/>
      <c r="AJ13" s="443">
        <v>18</v>
      </c>
      <c r="AK13" s="447">
        <v>1346.1386138613861</v>
      </c>
      <c r="AL13" s="447">
        <v>74.78547854785478</v>
      </c>
      <c r="AM13" s="447">
        <f t="shared" si="10"/>
        <v>3</v>
      </c>
      <c r="AN13" s="588"/>
      <c r="AO13" s="443">
        <v>18</v>
      </c>
      <c r="AP13" s="447">
        <v>1344.1935483870971</v>
      </c>
      <c r="AQ13" s="447">
        <v>74.677419354838719</v>
      </c>
      <c r="AR13" s="447">
        <f t="shared" si="11"/>
        <v>3</v>
      </c>
      <c r="AS13" s="630"/>
      <c r="AT13" s="443">
        <v>18</v>
      </c>
      <c r="AU13" s="447">
        <v>1305.5887850467293</v>
      </c>
      <c r="AV13" s="447">
        <v>72.532710280373848</v>
      </c>
      <c r="AW13" s="447">
        <f t="shared" si="12"/>
        <v>4</v>
      </c>
      <c r="AX13" s="631"/>
      <c r="AZ13" s="314" t="e">
        <f>RANK(AX13, $K$7:AX$21)</f>
        <v>#N/A</v>
      </c>
      <c r="BB13" s="311" t="e">
        <f t="shared" si="13"/>
        <v>#N/A</v>
      </c>
    </row>
    <row r="14" spans="1:54">
      <c r="A14" s="81"/>
      <c r="B14" s="599"/>
      <c r="C14" s="443">
        <v>8</v>
      </c>
      <c r="D14" s="435" t="s">
        <v>615</v>
      </c>
      <c r="E14" s="447">
        <v>19</v>
      </c>
      <c r="F14" s="447">
        <v>1385</v>
      </c>
      <c r="G14" s="447">
        <v>72.900000000000006</v>
      </c>
      <c r="H14" s="564"/>
      <c r="I14" s="447">
        <f t="shared" si="5"/>
        <v>18</v>
      </c>
      <c r="J14" s="447">
        <f t="shared" si="5"/>
        <v>1068.4722580645148</v>
      </c>
      <c r="K14" s="439">
        <f t="shared" si="5"/>
        <v>59.35956989247304</v>
      </c>
      <c r="L14" s="564"/>
      <c r="M14" s="445">
        <f>RANK(K14, K$7:$K$21)</f>
        <v>5</v>
      </c>
      <c r="N14" s="559"/>
      <c r="O14" s="559"/>
      <c r="P14" s="443"/>
      <c r="Q14" s="447"/>
      <c r="R14" s="447"/>
      <c r="S14" s="447" t="e">
        <f t="shared" si="6"/>
        <v>#N/A</v>
      </c>
      <c r="T14" s="630"/>
      <c r="U14" s="443"/>
      <c r="V14" s="447"/>
      <c r="W14" s="447"/>
      <c r="X14" s="447" t="e">
        <f t="shared" si="7"/>
        <v>#N/A</v>
      </c>
      <c r="Y14" s="588"/>
      <c r="Z14" s="443">
        <v>18</v>
      </c>
      <c r="AA14" s="447">
        <v>1198.0645161290304</v>
      </c>
      <c r="AB14" s="447">
        <v>66.559139784946126</v>
      </c>
      <c r="AC14" s="447">
        <f t="shared" si="8"/>
        <v>5</v>
      </c>
      <c r="AD14" s="588"/>
      <c r="AE14" s="443">
        <v>18</v>
      </c>
      <c r="AF14" s="447">
        <v>1027.2000000000003</v>
      </c>
      <c r="AG14" s="447">
        <v>57.066666666666684</v>
      </c>
      <c r="AH14" s="447">
        <f t="shared" si="9"/>
        <v>6</v>
      </c>
      <c r="AI14" s="588"/>
      <c r="AJ14" s="443">
        <v>18</v>
      </c>
      <c r="AK14" s="447">
        <v>1023.7499999999987</v>
      </c>
      <c r="AL14" s="447">
        <v>56.874999999999929</v>
      </c>
      <c r="AM14" s="447">
        <f t="shared" si="10"/>
        <v>5</v>
      </c>
      <c r="AN14" s="588"/>
      <c r="AO14" s="443">
        <v>18</v>
      </c>
      <c r="AP14" s="447">
        <v>1047.0967741935467</v>
      </c>
      <c r="AQ14" s="447">
        <v>58.172043010752596</v>
      </c>
      <c r="AR14" s="447">
        <f t="shared" si="11"/>
        <v>6</v>
      </c>
      <c r="AS14" s="630"/>
      <c r="AT14" s="443">
        <v>18</v>
      </c>
      <c r="AU14" s="447">
        <v>1046.2499999999984</v>
      </c>
      <c r="AV14" s="447">
        <v>58.124999999999915</v>
      </c>
      <c r="AW14" s="447">
        <f t="shared" si="12"/>
        <v>6</v>
      </c>
      <c r="AX14" s="631"/>
      <c r="AZ14" s="314" t="e">
        <f>RANK(AX14, $K$7:AX$21)</f>
        <v>#N/A</v>
      </c>
      <c r="BB14" s="311" t="e">
        <f t="shared" si="13"/>
        <v>#N/A</v>
      </c>
    </row>
    <row r="15" spans="1:54">
      <c r="A15" s="81"/>
      <c r="B15" s="599"/>
      <c r="C15" s="443">
        <v>9</v>
      </c>
      <c r="D15" s="435" t="s">
        <v>663</v>
      </c>
      <c r="E15" s="447">
        <v>21</v>
      </c>
      <c r="F15" s="447">
        <v>1385</v>
      </c>
      <c r="G15" s="447">
        <v>65.900000000000006</v>
      </c>
      <c r="H15" s="564"/>
      <c r="I15" s="447">
        <f t="shared" si="5"/>
        <v>19.8</v>
      </c>
      <c r="J15" s="447">
        <f t="shared" si="5"/>
        <v>971.77851825593609</v>
      </c>
      <c r="K15" s="439">
        <f t="shared" si="5"/>
        <v>49.119655963730587</v>
      </c>
      <c r="L15" s="564"/>
      <c r="M15" s="445">
        <f>RANK(K15, K$7:$K$21)</f>
        <v>9</v>
      </c>
      <c r="N15" s="559"/>
      <c r="O15" s="559"/>
      <c r="P15" s="443"/>
      <c r="Q15" s="447"/>
      <c r="R15" s="447"/>
      <c r="S15" s="447" t="e">
        <f t="shared" si="6"/>
        <v>#N/A</v>
      </c>
      <c r="T15" s="630"/>
      <c r="U15" s="443"/>
      <c r="V15" s="447"/>
      <c r="W15" s="447"/>
      <c r="X15" s="447" t="e">
        <f t="shared" si="7"/>
        <v>#N/A</v>
      </c>
      <c r="Y15" s="588"/>
      <c r="Z15" s="443">
        <v>20</v>
      </c>
      <c r="AA15" s="447">
        <v>975.42857142857054</v>
      </c>
      <c r="AB15" s="447">
        <v>48.77142857142853</v>
      </c>
      <c r="AC15" s="447">
        <f t="shared" si="8"/>
        <v>8</v>
      </c>
      <c r="AD15" s="588"/>
      <c r="AE15" s="443">
        <v>20</v>
      </c>
      <c r="AF15" s="447">
        <v>953.07692307692059</v>
      </c>
      <c r="AG15" s="447">
        <v>47.653846153846033</v>
      </c>
      <c r="AH15" s="447">
        <f t="shared" si="9"/>
        <v>8</v>
      </c>
      <c r="AI15" s="588"/>
      <c r="AJ15" s="443">
        <v>20</v>
      </c>
      <c r="AK15" s="447">
        <v>959.99999999999875</v>
      </c>
      <c r="AL15" s="447">
        <v>47.999999999999936</v>
      </c>
      <c r="AM15" s="447">
        <f t="shared" si="10"/>
        <v>8</v>
      </c>
      <c r="AN15" s="588"/>
      <c r="AO15" s="443">
        <v>20</v>
      </c>
      <c r="AP15" s="447">
        <v>961.99999999999841</v>
      </c>
      <c r="AQ15" s="447">
        <v>48.099999999999923</v>
      </c>
      <c r="AR15" s="447">
        <f t="shared" si="11"/>
        <v>9</v>
      </c>
      <c r="AS15" s="630"/>
      <c r="AT15" s="443">
        <v>19</v>
      </c>
      <c r="AU15" s="447">
        <v>1008.3870967741919</v>
      </c>
      <c r="AV15" s="447">
        <v>53.073005093378526</v>
      </c>
      <c r="AW15" s="447">
        <f t="shared" si="12"/>
        <v>8</v>
      </c>
      <c r="AX15" s="631"/>
      <c r="AZ15" s="314" t="e">
        <f>RANK(AX15, $K$7:AX$21)</f>
        <v>#N/A</v>
      </c>
      <c r="BB15" s="311" t="e">
        <f t="shared" si="13"/>
        <v>#N/A</v>
      </c>
    </row>
    <row r="16" spans="1:54">
      <c r="A16" s="81"/>
      <c r="B16" s="599"/>
      <c r="C16" s="443">
        <v>10</v>
      </c>
      <c r="D16" s="435"/>
      <c r="E16" s="447" t="s">
        <v>561</v>
      </c>
      <c r="F16" s="447" t="s">
        <v>561</v>
      </c>
      <c r="G16" s="447" t="s">
        <v>561</v>
      </c>
      <c r="H16" s="564"/>
      <c r="I16" s="447"/>
      <c r="J16" s="447"/>
      <c r="K16" s="439"/>
      <c r="L16" s="564"/>
      <c r="M16" s="445" t="e">
        <f>RANK(K16, K$7:$K$21)</f>
        <v>#N/A</v>
      </c>
      <c r="N16" s="559"/>
      <c r="O16" s="559"/>
      <c r="P16" s="443" t="s">
        <v>561</v>
      </c>
      <c r="Q16" s="447" t="s">
        <v>561</v>
      </c>
      <c r="R16" s="447" t="s">
        <v>561</v>
      </c>
      <c r="S16" s="447" t="e">
        <f t="shared" si="6"/>
        <v>#VALUE!</v>
      </c>
      <c r="T16" s="630"/>
      <c r="U16" s="443"/>
      <c r="V16" s="447"/>
      <c r="W16" s="447"/>
      <c r="X16" s="447" t="e">
        <f t="shared" si="7"/>
        <v>#N/A</v>
      </c>
      <c r="Y16" s="588"/>
      <c r="Z16" s="443"/>
      <c r="AA16" s="447"/>
      <c r="AB16" s="447"/>
      <c r="AC16" s="447" t="e">
        <f t="shared" si="8"/>
        <v>#N/A</v>
      </c>
      <c r="AD16" s="588"/>
      <c r="AE16" s="443"/>
      <c r="AF16" s="447"/>
      <c r="AG16" s="447"/>
      <c r="AH16" s="447" t="e">
        <f t="shared" si="9"/>
        <v>#N/A</v>
      </c>
      <c r="AI16" s="588"/>
      <c r="AJ16" s="443"/>
      <c r="AK16" s="447"/>
      <c r="AL16" s="447"/>
      <c r="AM16" s="447">
        <f t="shared" si="10"/>
        <v>9</v>
      </c>
      <c r="AN16" s="588"/>
      <c r="AO16" s="443"/>
      <c r="AP16" s="447"/>
      <c r="AQ16" s="447"/>
      <c r="AR16" s="447" t="e">
        <f t="shared" si="11"/>
        <v>#N/A</v>
      </c>
      <c r="AS16" s="630"/>
      <c r="AT16" s="443"/>
      <c r="AU16" s="447"/>
      <c r="AV16" s="447"/>
      <c r="AW16" s="447" t="e">
        <f t="shared" si="12"/>
        <v>#N/A</v>
      </c>
      <c r="AX16" s="631"/>
      <c r="AZ16" s="314" t="e">
        <f>RANK(AX16, $K$7:AX$21)</f>
        <v>#N/A</v>
      </c>
      <c r="BB16" s="311" t="e">
        <f t="shared" si="13"/>
        <v>#N/A</v>
      </c>
    </row>
    <row r="17" spans="2:54">
      <c r="B17" s="599"/>
      <c r="C17" s="443">
        <v>11</v>
      </c>
      <c r="D17" s="435"/>
      <c r="E17" s="447" t="s">
        <v>561</v>
      </c>
      <c r="F17" s="447" t="s">
        <v>561</v>
      </c>
      <c r="G17" s="447" t="s">
        <v>561</v>
      </c>
      <c r="H17" s="564"/>
      <c r="I17" s="447"/>
      <c r="J17" s="447"/>
      <c r="K17" s="439"/>
      <c r="L17" s="564"/>
      <c r="M17" s="445" t="e">
        <f>RANK(K17, K$7:$K$21)</f>
        <v>#N/A</v>
      </c>
      <c r="N17" s="559"/>
      <c r="O17" s="559"/>
      <c r="P17" s="443" t="s">
        <v>561</v>
      </c>
      <c r="Q17" s="447" t="s">
        <v>561</v>
      </c>
      <c r="R17" s="447" t="s">
        <v>561</v>
      </c>
      <c r="S17" s="447" t="e">
        <f t="shared" si="6"/>
        <v>#VALUE!</v>
      </c>
      <c r="T17" s="630"/>
      <c r="U17" s="443"/>
      <c r="V17" s="447"/>
      <c r="W17" s="447"/>
      <c r="X17" s="447" t="e">
        <f t="shared" si="7"/>
        <v>#N/A</v>
      </c>
      <c r="Y17" s="588"/>
      <c r="Z17" s="443"/>
      <c r="AA17" s="447"/>
      <c r="AB17" s="447"/>
      <c r="AC17" s="447" t="e">
        <f t="shared" si="8"/>
        <v>#N/A</v>
      </c>
      <c r="AD17" s="588"/>
      <c r="AE17" s="443"/>
      <c r="AF17" s="447"/>
      <c r="AG17" s="447"/>
      <c r="AH17" s="447" t="e">
        <f t="shared" si="9"/>
        <v>#N/A</v>
      </c>
      <c r="AI17" s="588"/>
      <c r="AJ17" s="443"/>
      <c r="AK17" s="447"/>
      <c r="AL17" s="447"/>
      <c r="AM17" s="447">
        <f t="shared" si="10"/>
        <v>9</v>
      </c>
      <c r="AN17" s="588"/>
      <c r="AO17" s="443"/>
      <c r="AP17" s="447"/>
      <c r="AQ17" s="447"/>
      <c r="AR17" s="447" t="e">
        <f t="shared" si="11"/>
        <v>#N/A</v>
      </c>
      <c r="AS17" s="630"/>
      <c r="AT17" s="443"/>
      <c r="AU17" s="447"/>
      <c r="AV17" s="447"/>
      <c r="AW17" s="447" t="e">
        <f t="shared" si="12"/>
        <v>#N/A</v>
      </c>
      <c r="AX17" s="631"/>
      <c r="AZ17" s="314" t="e">
        <f>RANK(AX17, $K$7:AX$21)</f>
        <v>#N/A</v>
      </c>
      <c r="BB17" s="311" t="e">
        <f t="shared" si="13"/>
        <v>#N/A</v>
      </c>
    </row>
    <row r="18" spans="2:54">
      <c r="B18" s="599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564"/>
      <c r="I18" s="447"/>
      <c r="J18" s="447"/>
      <c r="K18" s="439"/>
      <c r="L18" s="564"/>
      <c r="M18" s="445" t="e">
        <f>RANK(K18, K$7:$K$21)</f>
        <v>#N/A</v>
      </c>
      <c r="N18" s="559"/>
      <c r="O18" s="559"/>
      <c r="P18" s="443" t="s">
        <v>561</v>
      </c>
      <c r="Q18" s="447" t="s">
        <v>561</v>
      </c>
      <c r="R18" s="447" t="s">
        <v>561</v>
      </c>
      <c r="S18" s="447" t="e">
        <f t="shared" si="6"/>
        <v>#VALUE!</v>
      </c>
      <c r="T18" s="630"/>
      <c r="U18" s="443"/>
      <c r="V18" s="447"/>
      <c r="W18" s="447"/>
      <c r="X18" s="447" t="e">
        <f t="shared" si="7"/>
        <v>#N/A</v>
      </c>
      <c r="Y18" s="588"/>
      <c r="Z18" s="443"/>
      <c r="AA18" s="447"/>
      <c r="AB18" s="447"/>
      <c r="AC18" s="447" t="e">
        <f t="shared" si="8"/>
        <v>#N/A</v>
      </c>
      <c r="AD18" s="588"/>
      <c r="AE18" s="443"/>
      <c r="AF18" s="447"/>
      <c r="AG18" s="447"/>
      <c r="AH18" s="447" t="e">
        <f t="shared" si="9"/>
        <v>#N/A</v>
      </c>
      <c r="AI18" s="588"/>
      <c r="AJ18" s="443"/>
      <c r="AK18" s="447"/>
      <c r="AL18" s="447"/>
      <c r="AM18" s="447">
        <f t="shared" si="10"/>
        <v>9</v>
      </c>
      <c r="AN18" s="588"/>
      <c r="AO18" s="443"/>
      <c r="AP18" s="447"/>
      <c r="AQ18" s="447"/>
      <c r="AR18" s="447" t="e">
        <f t="shared" si="11"/>
        <v>#N/A</v>
      </c>
      <c r="AS18" s="630"/>
      <c r="AT18" s="443"/>
      <c r="AU18" s="447"/>
      <c r="AV18" s="447"/>
      <c r="AW18" s="447" t="e">
        <f t="shared" si="12"/>
        <v>#N/A</v>
      </c>
      <c r="AX18" s="631"/>
      <c r="AZ18" s="314" t="e">
        <f>RANK(AX18, $K$7:AX$21)</f>
        <v>#N/A</v>
      </c>
      <c r="BB18" s="311" t="e">
        <f t="shared" si="13"/>
        <v>#N/A</v>
      </c>
    </row>
    <row r="19" spans="2:54">
      <c r="B19" s="599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564"/>
      <c r="I19" s="443"/>
      <c r="J19" s="443"/>
      <c r="K19" s="443"/>
      <c r="L19" s="564"/>
      <c r="M19" s="445" t="e">
        <f>RANK(K19, K$7:$K$21)</f>
        <v>#N/A</v>
      </c>
      <c r="N19" s="559"/>
      <c r="O19" s="559"/>
      <c r="P19" s="443" t="s">
        <v>561</v>
      </c>
      <c r="Q19" s="447" t="s">
        <v>561</v>
      </c>
      <c r="R19" s="447" t="s">
        <v>561</v>
      </c>
      <c r="S19" s="447" t="e">
        <f t="shared" si="6"/>
        <v>#VALUE!</v>
      </c>
      <c r="T19" s="630"/>
      <c r="U19" s="443"/>
      <c r="V19" s="447"/>
      <c r="W19" s="447"/>
      <c r="X19" s="447" t="e">
        <f t="shared" si="7"/>
        <v>#N/A</v>
      </c>
      <c r="Y19" s="588"/>
      <c r="Z19" s="443"/>
      <c r="AA19" s="447"/>
      <c r="AB19" s="447"/>
      <c r="AC19" s="447" t="e">
        <f t="shared" si="8"/>
        <v>#N/A</v>
      </c>
      <c r="AD19" s="588"/>
      <c r="AE19" s="443"/>
      <c r="AF19" s="447"/>
      <c r="AG19" s="447"/>
      <c r="AH19" s="447" t="e">
        <f t="shared" si="9"/>
        <v>#N/A</v>
      </c>
      <c r="AI19" s="588"/>
      <c r="AJ19" s="443"/>
      <c r="AK19" s="447"/>
      <c r="AL19" s="447"/>
      <c r="AM19" s="447">
        <f t="shared" si="10"/>
        <v>9</v>
      </c>
      <c r="AN19" s="588"/>
      <c r="AO19" s="443"/>
      <c r="AP19" s="447"/>
      <c r="AQ19" s="447"/>
      <c r="AR19" s="447" t="e">
        <f t="shared" si="11"/>
        <v>#N/A</v>
      </c>
      <c r="AS19" s="630"/>
      <c r="AT19" s="443"/>
      <c r="AU19" s="447"/>
      <c r="AV19" s="447"/>
      <c r="AW19" s="447" t="e">
        <f t="shared" si="12"/>
        <v>#N/A</v>
      </c>
      <c r="AX19" s="631"/>
      <c r="AZ19" s="314" t="e">
        <f>RANK(AX19, $K$7:AX$21)</f>
        <v>#N/A</v>
      </c>
      <c r="BB19" s="311" t="e">
        <f t="shared" si="13"/>
        <v>#N/A</v>
      </c>
    </row>
    <row r="20" spans="2:54">
      <c r="B20" s="599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564"/>
      <c r="I20" s="443"/>
      <c r="J20" s="443"/>
      <c r="K20" s="443"/>
      <c r="L20" s="564"/>
      <c r="M20" s="445" t="e">
        <f>RANK(K20, K$7:$K$21)</f>
        <v>#N/A</v>
      </c>
      <c r="N20" s="559"/>
      <c r="O20" s="559"/>
      <c r="P20" s="443" t="s">
        <v>561</v>
      </c>
      <c r="Q20" s="447" t="s">
        <v>561</v>
      </c>
      <c r="R20" s="447" t="s">
        <v>561</v>
      </c>
      <c r="S20" s="447" t="e">
        <f t="shared" si="6"/>
        <v>#VALUE!</v>
      </c>
      <c r="T20" s="630"/>
      <c r="U20" s="443"/>
      <c r="V20" s="447"/>
      <c r="W20" s="447"/>
      <c r="X20" s="447" t="e">
        <f t="shared" si="7"/>
        <v>#N/A</v>
      </c>
      <c r="Y20" s="588"/>
      <c r="Z20" s="443"/>
      <c r="AA20" s="447"/>
      <c r="AB20" s="447"/>
      <c r="AC20" s="447" t="e">
        <f t="shared" si="8"/>
        <v>#N/A</v>
      </c>
      <c r="AD20" s="588"/>
      <c r="AE20" s="443"/>
      <c r="AF20" s="447"/>
      <c r="AG20" s="447"/>
      <c r="AH20" s="447" t="e">
        <f t="shared" si="9"/>
        <v>#N/A</v>
      </c>
      <c r="AI20" s="588"/>
      <c r="AJ20" s="443"/>
      <c r="AK20" s="447"/>
      <c r="AL20" s="447"/>
      <c r="AM20" s="447">
        <f t="shared" si="10"/>
        <v>9</v>
      </c>
      <c r="AN20" s="588"/>
      <c r="AO20" s="443"/>
      <c r="AP20" s="447"/>
      <c r="AQ20" s="447"/>
      <c r="AR20" s="447" t="e">
        <f t="shared" si="11"/>
        <v>#N/A</v>
      </c>
      <c r="AS20" s="630"/>
      <c r="AT20" s="443"/>
      <c r="AU20" s="447"/>
      <c r="AV20" s="447"/>
      <c r="AW20" s="447" t="e">
        <f t="shared" si="12"/>
        <v>#N/A</v>
      </c>
      <c r="AX20" s="631"/>
      <c r="AZ20" s="314" t="e">
        <f>RANK(AX20, $K$7:AX$21)</f>
        <v>#N/A</v>
      </c>
      <c r="BB20" s="311" t="e">
        <f t="shared" si="13"/>
        <v>#N/A</v>
      </c>
    </row>
    <row r="21" spans="2:54">
      <c r="B21" s="599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16"/>
      <c r="I21" s="443"/>
      <c r="J21" s="443"/>
      <c r="K21" s="443"/>
      <c r="L21" s="616"/>
      <c r="M21" s="445" t="e">
        <f>RANK(K21, K$7:$K$21)</f>
        <v>#N/A</v>
      </c>
      <c r="N21" s="559"/>
      <c r="O21" s="559"/>
      <c r="P21" s="443" t="s">
        <v>561</v>
      </c>
      <c r="Q21" s="447" t="s">
        <v>561</v>
      </c>
      <c r="R21" s="447" t="s">
        <v>561</v>
      </c>
      <c r="S21" s="447" t="e">
        <f t="shared" si="6"/>
        <v>#VALUE!</v>
      </c>
      <c r="T21" s="630"/>
      <c r="U21" s="443"/>
      <c r="V21" s="447"/>
      <c r="W21" s="447"/>
      <c r="X21" s="447" t="e">
        <f t="shared" si="7"/>
        <v>#N/A</v>
      </c>
      <c r="Y21" s="588"/>
      <c r="Z21" s="443"/>
      <c r="AA21" s="447"/>
      <c r="AB21" s="447"/>
      <c r="AC21" s="447" t="e">
        <f t="shared" si="8"/>
        <v>#N/A</v>
      </c>
      <c r="AD21" s="588"/>
      <c r="AE21" s="443"/>
      <c r="AF21" s="447"/>
      <c r="AG21" s="447"/>
      <c r="AH21" s="447" t="e">
        <f t="shared" si="9"/>
        <v>#N/A</v>
      </c>
      <c r="AI21" s="588"/>
      <c r="AJ21" s="443"/>
      <c r="AK21" s="447"/>
      <c r="AL21" s="447"/>
      <c r="AM21" s="447">
        <f t="shared" si="10"/>
        <v>9</v>
      </c>
      <c r="AN21" s="588"/>
      <c r="AO21" s="443"/>
      <c r="AP21" s="447"/>
      <c r="AQ21" s="447"/>
      <c r="AR21" s="447" t="e">
        <f t="shared" si="11"/>
        <v>#N/A</v>
      </c>
      <c r="AS21" s="630"/>
      <c r="AT21" s="443"/>
      <c r="AU21" s="447"/>
      <c r="AV21" s="447"/>
      <c r="AW21" s="447" t="e">
        <f t="shared" si="12"/>
        <v>#N/A</v>
      </c>
      <c r="AX21" s="631"/>
      <c r="AZ21" s="313" t="e">
        <f>RANK(AX21, $K$7:AX$21)</f>
        <v>#N/A</v>
      </c>
      <c r="BB21" s="311" t="e">
        <f t="shared" si="13"/>
        <v>#N/A</v>
      </c>
    </row>
    <row r="22" spans="2:54" ht="15.75">
      <c r="B22" s="592" t="s">
        <v>731</v>
      </c>
      <c r="C22" s="593"/>
      <c r="D22" s="593"/>
      <c r="E22" s="593"/>
      <c r="F22" s="593"/>
      <c r="G22" s="593"/>
      <c r="H22" s="593"/>
      <c r="I22" s="203"/>
      <c r="J22" s="203"/>
      <c r="K22" s="203"/>
      <c r="L22" s="203"/>
      <c r="M22" s="204"/>
      <c r="N22" s="565" t="s">
        <v>732</v>
      </c>
      <c r="O22" s="565" t="s">
        <v>733</v>
      </c>
      <c r="P22" s="571">
        <f>AT2+1</f>
        <v>6</v>
      </c>
      <c r="Q22" s="572"/>
      <c r="R22" s="572"/>
      <c r="S22" s="572"/>
      <c r="T22" s="572"/>
      <c r="U22" s="571">
        <f>P22+1</f>
        <v>7</v>
      </c>
      <c r="V22" s="572"/>
      <c r="W22" s="572"/>
      <c r="X22" s="572"/>
      <c r="Y22" s="572"/>
      <c r="Z22" s="571">
        <f>U22+1</f>
        <v>8</v>
      </c>
      <c r="AA22" s="572"/>
      <c r="AB22" s="572"/>
      <c r="AC22" s="572"/>
      <c r="AD22" s="572"/>
      <c r="AE22" s="571">
        <f>Z22+1</f>
        <v>9</v>
      </c>
      <c r="AF22" s="572"/>
      <c r="AG22" s="572"/>
      <c r="AH22" s="572"/>
      <c r="AI22" s="572"/>
      <c r="AJ22" s="571">
        <f>AE22+1</f>
        <v>10</v>
      </c>
      <c r="AK22" s="572"/>
      <c r="AL22" s="572"/>
      <c r="AM22" s="572"/>
      <c r="AN22" s="572"/>
      <c r="AO22" s="571">
        <f>AJ22+1</f>
        <v>11</v>
      </c>
      <c r="AP22" s="572"/>
      <c r="AQ22" s="572"/>
      <c r="AR22" s="572"/>
      <c r="AS22" s="572"/>
      <c r="AT22" s="571">
        <f>AO22+1</f>
        <v>12</v>
      </c>
      <c r="AU22" s="572"/>
      <c r="AV22" s="572"/>
      <c r="AW22" s="572"/>
      <c r="AX22" s="572"/>
    </row>
    <row r="23" spans="2:54" ht="15.75">
      <c r="B23" s="579"/>
      <c r="C23" s="579"/>
      <c r="D23" s="579"/>
      <c r="E23" s="579"/>
      <c r="F23" s="579"/>
      <c r="G23" s="579"/>
      <c r="H23" s="579"/>
      <c r="I23" s="205"/>
      <c r="J23" s="205"/>
      <c r="K23" s="205"/>
      <c r="L23" s="205"/>
      <c r="M23" s="206"/>
      <c r="N23" s="567"/>
      <c r="O23" s="567"/>
      <c r="P23" s="571" t="s">
        <v>734</v>
      </c>
      <c r="Q23" s="572"/>
      <c r="R23" s="572"/>
      <c r="S23" s="572"/>
      <c r="T23" s="572"/>
      <c r="U23" s="571" t="s">
        <v>735</v>
      </c>
      <c r="V23" s="572"/>
      <c r="W23" s="572"/>
      <c r="X23" s="572"/>
      <c r="Y23" s="572"/>
      <c r="Z23" s="571" t="s">
        <v>736</v>
      </c>
      <c r="AA23" s="572"/>
      <c r="AB23" s="572"/>
      <c r="AC23" s="572"/>
      <c r="AD23" s="572"/>
      <c r="AE23" s="571" t="s">
        <v>737</v>
      </c>
      <c r="AF23" s="572"/>
      <c r="AG23" s="572"/>
      <c r="AH23" s="572"/>
      <c r="AI23" s="572"/>
      <c r="AJ23" s="571" t="s">
        <v>738</v>
      </c>
      <c r="AK23" s="572"/>
      <c r="AL23" s="572"/>
      <c r="AM23" s="572"/>
      <c r="AN23" s="572"/>
      <c r="AO23" s="571" t="s">
        <v>739</v>
      </c>
      <c r="AP23" s="572"/>
      <c r="AQ23" s="572"/>
      <c r="AR23" s="572"/>
      <c r="AS23" s="572"/>
      <c r="AT23" s="571" t="s">
        <v>740</v>
      </c>
      <c r="AU23" s="572"/>
      <c r="AV23" s="572"/>
      <c r="AW23" s="572"/>
      <c r="AX23" s="572"/>
    </row>
    <row r="24" spans="2:54">
      <c r="B24" s="559" t="s">
        <v>741</v>
      </c>
      <c r="C24" s="559" t="s">
        <v>742</v>
      </c>
      <c r="D24" s="559"/>
      <c r="E24" s="559" t="s">
        <v>743</v>
      </c>
      <c r="F24" s="559"/>
      <c r="G24" s="559"/>
      <c r="H24" s="560" t="s">
        <v>744</v>
      </c>
      <c r="I24" s="543" t="s">
        <v>745</v>
      </c>
      <c r="J24" s="543"/>
      <c r="K24" s="543"/>
      <c r="L24" s="544" t="s">
        <v>744</v>
      </c>
      <c r="M24" s="550" t="s">
        <v>746</v>
      </c>
      <c r="N24" s="559"/>
      <c r="O24" s="559" t="s">
        <v>747</v>
      </c>
      <c r="P24" s="556" t="s">
        <v>748</v>
      </c>
      <c r="Q24" s="557"/>
      <c r="R24" s="557"/>
      <c r="S24" s="558"/>
      <c r="T24" s="559" t="s">
        <v>744</v>
      </c>
      <c r="U24" s="556" t="s">
        <v>748</v>
      </c>
      <c r="V24" s="557"/>
      <c r="W24" s="557"/>
      <c r="X24" s="558"/>
      <c r="Y24" s="559" t="s">
        <v>744</v>
      </c>
      <c r="Z24" s="556" t="s">
        <v>748</v>
      </c>
      <c r="AA24" s="557"/>
      <c r="AB24" s="557"/>
      <c r="AC24" s="558"/>
      <c r="AD24" s="559" t="s">
        <v>744</v>
      </c>
      <c r="AE24" s="556" t="s">
        <v>748</v>
      </c>
      <c r="AF24" s="557"/>
      <c r="AG24" s="557"/>
      <c r="AH24" s="558"/>
      <c r="AI24" s="559" t="s">
        <v>744</v>
      </c>
      <c r="AJ24" s="556" t="s">
        <v>748</v>
      </c>
      <c r="AK24" s="557"/>
      <c r="AL24" s="557"/>
      <c r="AM24" s="558"/>
      <c r="AN24" s="559" t="s">
        <v>744</v>
      </c>
      <c r="AO24" s="556" t="s">
        <v>748</v>
      </c>
      <c r="AP24" s="557"/>
      <c r="AQ24" s="557"/>
      <c r="AR24" s="558"/>
      <c r="AS24" s="559" t="s">
        <v>744</v>
      </c>
      <c r="AT24" s="556" t="s">
        <v>748</v>
      </c>
      <c r="AU24" s="557"/>
      <c r="AV24" s="557"/>
      <c r="AW24" s="558"/>
      <c r="AX24" s="559" t="s">
        <v>744</v>
      </c>
    </row>
    <row r="25" spans="2:54">
      <c r="B25" s="559"/>
      <c r="C25" s="559"/>
      <c r="D25" s="559"/>
      <c r="E25" s="559" t="s">
        <v>749</v>
      </c>
      <c r="F25" s="559"/>
      <c r="G25" s="559"/>
      <c r="H25" s="561"/>
      <c r="I25" s="543" t="s">
        <v>749</v>
      </c>
      <c r="J25" s="543"/>
      <c r="K25" s="543"/>
      <c r="L25" s="545"/>
      <c r="M25" s="551"/>
      <c r="N25" s="559"/>
      <c r="O25" s="559"/>
      <c r="P25" s="556" t="s">
        <v>750</v>
      </c>
      <c r="Q25" s="557"/>
      <c r="R25" s="557"/>
      <c r="S25" s="558"/>
      <c r="T25" s="559"/>
      <c r="U25" s="556" t="s">
        <v>750</v>
      </c>
      <c r="V25" s="557"/>
      <c r="W25" s="557"/>
      <c r="X25" s="558"/>
      <c r="Y25" s="559"/>
      <c r="Z25" s="556" t="s">
        <v>750</v>
      </c>
      <c r="AA25" s="557"/>
      <c r="AB25" s="557"/>
      <c r="AC25" s="558"/>
      <c r="AD25" s="559"/>
      <c r="AE25" s="556" t="s">
        <v>750</v>
      </c>
      <c r="AF25" s="557"/>
      <c r="AG25" s="557"/>
      <c r="AH25" s="558"/>
      <c r="AI25" s="559"/>
      <c r="AJ25" s="556" t="s">
        <v>750</v>
      </c>
      <c r="AK25" s="557"/>
      <c r="AL25" s="557"/>
      <c r="AM25" s="558"/>
      <c r="AN25" s="559"/>
      <c r="AO25" s="556" t="s">
        <v>750</v>
      </c>
      <c r="AP25" s="557"/>
      <c r="AQ25" s="557"/>
      <c r="AR25" s="558"/>
      <c r="AS25" s="559"/>
      <c r="AT25" s="556" t="s">
        <v>750</v>
      </c>
      <c r="AU25" s="557"/>
      <c r="AV25" s="557"/>
      <c r="AW25" s="558"/>
      <c r="AX25" s="559"/>
    </row>
    <row r="26" spans="2:54">
      <c r="B26" s="559"/>
      <c r="C26" s="559"/>
      <c r="D26" s="559"/>
      <c r="E26" s="440" t="s">
        <v>751</v>
      </c>
      <c r="F26" s="440" t="s">
        <v>752</v>
      </c>
      <c r="G26" s="440" t="s">
        <v>753</v>
      </c>
      <c r="H26" s="562"/>
      <c r="I26" s="444" t="s">
        <v>751</v>
      </c>
      <c r="J26" s="444" t="s">
        <v>752</v>
      </c>
      <c r="K26" s="444" t="s">
        <v>753</v>
      </c>
      <c r="L26" s="546"/>
      <c r="M26" s="552"/>
      <c r="N26" s="559"/>
      <c r="O26" s="559"/>
      <c r="P26" s="440" t="s">
        <v>751</v>
      </c>
      <c r="Q26" s="440" t="s">
        <v>752</v>
      </c>
      <c r="R26" s="440" t="s">
        <v>753</v>
      </c>
      <c r="S26" s="440" t="s">
        <v>746</v>
      </c>
      <c r="T26" s="559"/>
      <c r="U26" s="440" t="s">
        <v>751</v>
      </c>
      <c r="V26" s="440" t="s">
        <v>752</v>
      </c>
      <c r="W26" s="440" t="s">
        <v>753</v>
      </c>
      <c r="X26" s="440" t="s">
        <v>746</v>
      </c>
      <c r="Y26" s="559"/>
      <c r="Z26" s="440" t="s">
        <v>751</v>
      </c>
      <c r="AA26" s="440" t="s">
        <v>752</v>
      </c>
      <c r="AB26" s="440" t="s">
        <v>753</v>
      </c>
      <c r="AC26" s="440" t="s">
        <v>746</v>
      </c>
      <c r="AD26" s="559"/>
      <c r="AE26" s="440" t="s">
        <v>751</v>
      </c>
      <c r="AF26" s="440" t="s">
        <v>752</v>
      </c>
      <c r="AG26" s="440" t="s">
        <v>753</v>
      </c>
      <c r="AH26" s="440" t="s">
        <v>746</v>
      </c>
      <c r="AI26" s="559"/>
      <c r="AJ26" s="440" t="s">
        <v>751</v>
      </c>
      <c r="AK26" s="440" t="s">
        <v>752</v>
      </c>
      <c r="AL26" s="440" t="s">
        <v>753</v>
      </c>
      <c r="AM26" s="440" t="s">
        <v>746</v>
      </c>
      <c r="AN26" s="559"/>
      <c r="AO26" s="440" t="s">
        <v>751</v>
      </c>
      <c r="AP26" s="440" t="s">
        <v>752</v>
      </c>
      <c r="AQ26" s="440" t="s">
        <v>753</v>
      </c>
      <c r="AR26" s="440" t="s">
        <v>746</v>
      </c>
      <c r="AS26" s="559"/>
      <c r="AT26" s="440" t="s">
        <v>751</v>
      </c>
      <c r="AU26" s="440" t="s">
        <v>752</v>
      </c>
      <c r="AV26" s="440" t="s">
        <v>753</v>
      </c>
      <c r="AW26" s="440" t="s">
        <v>746</v>
      </c>
      <c r="AX26" s="559"/>
    </row>
    <row r="27" spans="2:54">
      <c r="B27" s="559" t="s">
        <v>794</v>
      </c>
      <c r="C27" s="436">
        <v>1</v>
      </c>
      <c r="D27" s="226" t="s">
        <v>344</v>
      </c>
      <c r="E27" s="182">
        <v>18</v>
      </c>
      <c r="F27" s="436">
        <v>1636</v>
      </c>
      <c r="G27" s="437">
        <v>90.9</v>
      </c>
      <c r="H27" s="608">
        <f>AVERAGE(G27:G41)</f>
        <v>81.277777777777771</v>
      </c>
      <c r="I27" s="446">
        <f>AVERAGE(P27,U27,Z27,AE27,AJ27,AO27,AT27)</f>
        <v>17.428571428571427</v>
      </c>
      <c r="J27" s="446">
        <f>AVERAGE(Q27,V27,AA27,AF27,AK27,AP27,AU27)</f>
        <v>1445.0362610114255</v>
      </c>
      <c r="K27" s="438">
        <f>AVERAGE(R27,W27,AB27,AG27,AL27,AQ27,AV27)</f>
        <v>83.149799255562343</v>
      </c>
      <c r="L27" s="540">
        <f>IFERROR(AVERAGE(K27:K41),"-")</f>
        <v>68.594669634244582</v>
      </c>
      <c r="M27" s="445">
        <f>RANK(K27, K$27:$K$41)</f>
        <v>2</v>
      </c>
      <c r="N27" s="559"/>
      <c r="O27" s="559"/>
      <c r="P27" s="443">
        <v>16</v>
      </c>
      <c r="Q27" s="447">
        <v>1447.2527472527472</v>
      </c>
      <c r="R27" s="447">
        <v>90.453296703296701</v>
      </c>
      <c r="S27" s="436">
        <f t="shared" ref="S27:S41" si="14">RANK(R27, R$27:R$41)</f>
        <v>2</v>
      </c>
      <c r="T27" s="605">
        <f>AVERAGE(R27:R41)</f>
        <v>69.762851276381099</v>
      </c>
      <c r="U27" s="443">
        <v>18</v>
      </c>
      <c r="V27" s="447">
        <v>1463.6842105263163</v>
      </c>
      <c r="W27" s="447">
        <v>81.315789473684234</v>
      </c>
      <c r="X27" s="436">
        <f t="shared" ref="X27:X41" si="15">RANK(W27, W$27:W$41)</f>
        <v>2</v>
      </c>
      <c r="Y27" s="605">
        <f t="shared" ref="Y27" si="16">AVERAGE(W27:W41)</f>
        <v>70.06533673527845</v>
      </c>
      <c r="Z27" s="443">
        <v>18</v>
      </c>
      <c r="AA27" s="447">
        <v>1440.7500000000009</v>
      </c>
      <c r="AB27" s="447">
        <v>80.041666666666714</v>
      </c>
      <c r="AC27" s="436">
        <f t="shared" ref="AC27:AC41" si="17">RANK(AB27, AB$27:AB$41)</f>
        <v>2</v>
      </c>
      <c r="AD27" s="605">
        <f t="shared" ref="AD27" si="18">AVERAGE(AB27:AB41)</f>
        <v>68.099062270589414</v>
      </c>
      <c r="AE27" s="443">
        <v>18</v>
      </c>
      <c r="AF27" s="447">
        <v>1447.4999999999995</v>
      </c>
      <c r="AG27" s="447">
        <v>80.416666666666643</v>
      </c>
      <c r="AH27" s="436">
        <f t="shared" ref="AH27:AH41" si="19">RANK(AG27, AG$27:AG$41)</f>
        <v>2</v>
      </c>
      <c r="AI27" s="605">
        <f t="shared" ref="AI27" si="20">AVERAGE(AG27:AG41)</f>
        <v>67.601239648078291</v>
      </c>
      <c r="AJ27" s="443">
        <v>18</v>
      </c>
      <c r="AK27" s="447">
        <v>1429.714285714286</v>
      </c>
      <c r="AL27" s="447">
        <v>79.428571428571445</v>
      </c>
      <c r="AM27" s="436">
        <f t="shared" ref="AM27:AM41" si="21">RANK(AL27, AL$27:AL$41)</f>
        <v>2</v>
      </c>
      <c r="AN27" s="605">
        <f t="shared" ref="AN27" si="22">AVERAGE(AL27:AL41)</f>
        <v>66.128680078189134</v>
      </c>
      <c r="AO27" s="443">
        <v>18</v>
      </c>
      <c r="AP27" s="447">
        <v>1440.6382978723407</v>
      </c>
      <c r="AQ27" s="447">
        <v>80.035460992907815</v>
      </c>
      <c r="AR27" s="436">
        <f t="shared" ref="AR27:AR41" si="23">RANK(AQ27, AQ$27:AQ$41)</f>
        <v>2</v>
      </c>
      <c r="AS27" s="605">
        <f t="shared" ref="AS27" si="24">AVERAGE(AQ27:AQ41)</f>
        <v>67.952406738261729</v>
      </c>
      <c r="AT27" s="182">
        <v>16</v>
      </c>
      <c r="AU27" s="182">
        <v>1445.7142857142853</v>
      </c>
      <c r="AV27" s="182">
        <v>90.357142857142833</v>
      </c>
      <c r="AW27" s="436">
        <f t="shared" ref="AW27:AW41" si="25">RANK(AV27, AV$27:AV$41)</f>
        <v>2</v>
      </c>
      <c r="AX27" s="605">
        <f t="shared" ref="AX27" si="26">AVERAGE(AV27:AV41)</f>
        <v>70.55311069293397</v>
      </c>
    </row>
    <row r="28" spans="2:54">
      <c r="B28" s="572"/>
      <c r="C28" s="436">
        <v>2</v>
      </c>
      <c r="D28" s="226" t="s">
        <v>557</v>
      </c>
      <c r="E28" s="182">
        <v>14</v>
      </c>
      <c r="F28" s="436">
        <v>1500</v>
      </c>
      <c r="G28" s="437">
        <v>107.1</v>
      </c>
      <c r="H28" s="609"/>
      <c r="I28" s="446">
        <f t="shared" ref="I28:K35" si="27">AVERAGE(P28,U28,Z28,AE28,AJ28,AO28,AT28)</f>
        <v>13</v>
      </c>
      <c r="J28" s="446">
        <f t="shared" si="27"/>
        <v>1269.3784640792239</v>
      </c>
      <c r="K28" s="438">
        <f t="shared" si="27"/>
        <v>97.808764877692269</v>
      </c>
      <c r="L28" s="541"/>
      <c r="M28" s="445">
        <f>RANK(K28, K$27:$K$41)</f>
        <v>1</v>
      </c>
      <c r="N28" s="559"/>
      <c r="O28" s="559"/>
      <c r="P28" s="443">
        <v>13</v>
      </c>
      <c r="Q28" s="447">
        <v>1340.6250000000016</v>
      </c>
      <c r="R28" s="447">
        <v>103.12500000000013</v>
      </c>
      <c r="S28" s="436">
        <f t="shared" si="14"/>
        <v>1</v>
      </c>
      <c r="T28" s="605"/>
      <c r="U28" s="443">
        <v>13</v>
      </c>
      <c r="V28" s="447">
        <v>1293.7500000000016</v>
      </c>
      <c r="W28" s="447">
        <v>99.519230769230887</v>
      </c>
      <c r="X28" s="436">
        <f t="shared" si="15"/>
        <v>1</v>
      </c>
      <c r="Y28" s="605"/>
      <c r="Z28" s="443">
        <v>14</v>
      </c>
      <c r="AA28" s="447">
        <v>1326.2068965517251</v>
      </c>
      <c r="AB28" s="447">
        <v>94.729064039408939</v>
      </c>
      <c r="AC28" s="436">
        <f t="shared" si="17"/>
        <v>1</v>
      </c>
      <c r="AD28" s="605"/>
      <c r="AE28" s="443">
        <v>13</v>
      </c>
      <c r="AF28" s="447">
        <v>1153.8461538461545</v>
      </c>
      <c r="AG28" s="447">
        <v>88.757396449704189</v>
      </c>
      <c r="AH28" s="436">
        <f t="shared" si="19"/>
        <v>1</v>
      </c>
      <c r="AI28" s="605"/>
      <c r="AJ28" s="443">
        <v>13</v>
      </c>
      <c r="AK28" s="447">
        <v>1145.8064516129043</v>
      </c>
      <c r="AL28" s="447">
        <v>88.138957816377257</v>
      </c>
      <c r="AM28" s="436">
        <f t="shared" si="21"/>
        <v>1</v>
      </c>
      <c r="AN28" s="605"/>
      <c r="AO28" s="443">
        <v>13</v>
      </c>
      <c r="AP28" s="447">
        <v>1309.2857142857151</v>
      </c>
      <c r="AQ28" s="447">
        <v>100.71428571428578</v>
      </c>
      <c r="AR28" s="436">
        <f t="shared" si="23"/>
        <v>1</v>
      </c>
      <c r="AS28" s="605"/>
      <c r="AT28" s="182">
        <v>12</v>
      </c>
      <c r="AU28" s="182">
        <v>1316.1290322580658</v>
      </c>
      <c r="AV28" s="182">
        <v>109.67741935483882</v>
      </c>
      <c r="AW28" s="436">
        <f t="shared" si="25"/>
        <v>1</v>
      </c>
      <c r="AX28" s="605"/>
    </row>
    <row r="29" spans="2:54">
      <c r="B29" s="572"/>
      <c r="C29" s="436">
        <v>3</v>
      </c>
      <c r="D29" s="226" t="s">
        <v>664</v>
      </c>
      <c r="E29" s="182">
        <v>17</v>
      </c>
      <c r="F29" s="436">
        <v>1636</v>
      </c>
      <c r="G29" s="437">
        <v>96.3</v>
      </c>
      <c r="H29" s="609"/>
      <c r="I29" s="446">
        <f t="shared" si="27"/>
        <v>18</v>
      </c>
      <c r="J29" s="446">
        <f t="shared" si="27"/>
        <v>1351.9917789994154</v>
      </c>
      <c r="K29" s="438">
        <f t="shared" si="27"/>
        <v>75.110654388856418</v>
      </c>
      <c r="L29" s="541"/>
      <c r="M29" s="445">
        <f>RANK(K29, K$27:$K$41)</f>
        <v>3</v>
      </c>
      <c r="N29" s="559"/>
      <c r="O29" s="559"/>
      <c r="P29" s="443">
        <v>18</v>
      </c>
      <c r="Q29" s="447">
        <v>1335.7546012269943</v>
      </c>
      <c r="R29" s="447">
        <v>74.208588957055241</v>
      </c>
      <c r="S29" s="436">
        <f t="shared" si="14"/>
        <v>3</v>
      </c>
      <c r="T29" s="605"/>
      <c r="U29" s="443">
        <v>18</v>
      </c>
      <c r="V29" s="447">
        <v>1341.473684210526</v>
      </c>
      <c r="W29" s="447">
        <v>74.526315789473671</v>
      </c>
      <c r="X29" s="436">
        <f t="shared" si="15"/>
        <v>3</v>
      </c>
      <c r="Y29" s="605"/>
      <c r="Z29" s="443">
        <v>18</v>
      </c>
      <c r="AA29" s="447">
        <v>1354.5957446808516</v>
      </c>
      <c r="AB29" s="447">
        <v>75.255319148936195</v>
      </c>
      <c r="AC29" s="436">
        <f t="shared" si="17"/>
        <v>3</v>
      </c>
      <c r="AD29" s="605"/>
      <c r="AE29" s="443">
        <v>18</v>
      </c>
      <c r="AF29" s="447">
        <v>1420.7727272727263</v>
      </c>
      <c r="AG29" s="447">
        <v>78.93181818181813</v>
      </c>
      <c r="AH29" s="436">
        <f t="shared" si="19"/>
        <v>3</v>
      </c>
      <c r="AI29" s="605"/>
      <c r="AJ29" s="443">
        <v>18</v>
      </c>
      <c r="AK29" s="447">
        <v>1335.8940397350991</v>
      </c>
      <c r="AL29" s="447">
        <v>74.216335540838841</v>
      </c>
      <c r="AM29" s="436">
        <f t="shared" si="21"/>
        <v>3</v>
      </c>
      <c r="AN29" s="605"/>
      <c r="AO29" s="443">
        <v>18</v>
      </c>
      <c r="AP29" s="447">
        <v>1349.8492462311556</v>
      </c>
      <c r="AQ29" s="447">
        <v>74.991624790619753</v>
      </c>
      <c r="AR29" s="436">
        <f t="shared" si="23"/>
        <v>4</v>
      </c>
      <c r="AS29" s="605"/>
      <c r="AT29" s="182">
        <v>18</v>
      </c>
      <c r="AU29" s="182">
        <v>1325.6024096385545</v>
      </c>
      <c r="AV29" s="182">
        <v>73.644578313253021</v>
      </c>
      <c r="AW29" s="436">
        <f t="shared" si="25"/>
        <v>4</v>
      </c>
      <c r="AX29" s="605"/>
    </row>
    <row r="30" spans="2:54">
      <c r="B30" s="572"/>
      <c r="C30" s="436">
        <v>4</v>
      </c>
      <c r="D30" s="226" t="s">
        <v>598</v>
      </c>
      <c r="E30" s="182">
        <v>18</v>
      </c>
      <c r="F30" s="436">
        <v>1500</v>
      </c>
      <c r="G30" s="437">
        <v>83.3</v>
      </c>
      <c r="H30" s="609"/>
      <c r="I30" s="446">
        <f t="shared" si="27"/>
        <v>17.428571428571427</v>
      </c>
      <c r="J30" s="446">
        <f t="shared" si="27"/>
        <v>1143.7807017543842</v>
      </c>
      <c r="K30" s="438">
        <f t="shared" si="27"/>
        <v>65.79713707345276</v>
      </c>
      <c r="L30" s="541"/>
      <c r="M30" s="445">
        <f>RANK(K30, K$27:$K$41)</f>
        <v>5</v>
      </c>
      <c r="N30" s="559"/>
      <c r="O30" s="559"/>
      <c r="P30" s="443">
        <v>16</v>
      </c>
      <c r="Q30" s="447">
        <v>1158.4615384615354</v>
      </c>
      <c r="R30" s="447">
        <v>72.403846153845961</v>
      </c>
      <c r="S30" s="436">
        <f t="shared" si="14"/>
        <v>5</v>
      </c>
      <c r="T30" s="605"/>
      <c r="U30" s="443">
        <v>18</v>
      </c>
      <c r="V30" s="447">
        <v>1151.5384615384587</v>
      </c>
      <c r="W30" s="447">
        <v>63.974358974358815</v>
      </c>
      <c r="X30" s="436">
        <f t="shared" si="15"/>
        <v>6</v>
      </c>
      <c r="Y30" s="605"/>
      <c r="Z30" s="443">
        <v>18</v>
      </c>
      <c r="AA30" s="447">
        <v>1127.9999999999968</v>
      </c>
      <c r="AB30" s="447">
        <v>62.666666666666487</v>
      </c>
      <c r="AC30" s="436">
        <f t="shared" si="17"/>
        <v>5</v>
      </c>
      <c r="AD30" s="605"/>
      <c r="AE30" s="443">
        <v>18</v>
      </c>
      <c r="AF30" s="447">
        <v>1212.6315789473674</v>
      </c>
      <c r="AG30" s="447">
        <v>67.368421052631518</v>
      </c>
      <c r="AH30" s="436">
        <f t="shared" si="19"/>
        <v>5</v>
      </c>
      <c r="AI30" s="605"/>
      <c r="AJ30" s="443">
        <v>18</v>
      </c>
      <c r="AK30" s="447">
        <v>1140.0000000000041</v>
      </c>
      <c r="AL30" s="447">
        <v>63.333333333333563</v>
      </c>
      <c r="AM30" s="436">
        <f t="shared" si="21"/>
        <v>5</v>
      </c>
      <c r="AN30" s="605"/>
      <c r="AO30" s="443">
        <v>18</v>
      </c>
      <c r="AP30" s="447">
        <v>1102.4999999999966</v>
      </c>
      <c r="AQ30" s="447">
        <v>61.249999999999808</v>
      </c>
      <c r="AR30" s="436">
        <f t="shared" si="23"/>
        <v>5</v>
      </c>
      <c r="AS30" s="605"/>
      <c r="AT30" s="182">
        <v>16</v>
      </c>
      <c r="AU30" s="182">
        <v>1113.3333333333308</v>
      </c>
      <c r="AV30" s="182">
        <v>69.583333333333172</v>
      </c>
      <c r="AW30" s="436">
        <f t="shared" si="25"/>
        <v>5</v>
      </c>
      <c r="AX30" s="605"/>
    </row>
    <row r="31" spans="2:54">
      <c r="B31" s="572"/>
      <c r="C31" s="436">
        <v>5</v>
      </c>
      <c r="D31" s="226" t="s">
        <v>603</v>
      </c>
      <c r="E31" s="182">
        <v>21</v>
      </c>
      <c r="F31" s="436">
        <v>1385</v>
      </c>
      <c r="G31" s="437">
        <v>65.900000000000006</v>
      </c>
      <c r="H31" s="609"/>
      <c r="I31" s="446">
        <f t="shared" si="27"/>
        <v>20</v>
      </c>
      <c r="J31" s="446">
        <f t="shared" si="27"/>
        <v>1076.8847926267258</v>
      </c>
      <c r="K31" s="438">
        <f t="shared" si="27"/>
        <v>53.844239631336293</v>
      </c>
      <c r="L31" s="541"/>
      <c r="M31" s="445">
        <f>RANK(K31, K$27:$K$41)</f>
        <v>8</v>
      </c>
      <c r="N31" s="559"/>
      <c r="O31" s="559"/>
      <c r="P31" s="443">
        <v>20</v>
      </c>
      <c r="Q31" s="447">
        <v>1016.1290322580629</v>
      </c>
      <c r="R31" s="447">
        <v>50.806451612903146</v>
      </c>
      <c r="S31" s="436">
        <f t="shared" si="14"/>
        <v>9</v>
      </c>
      <c r="T31" s="605"/>
      <c r="U31" s="443">
        <v>20</v>
      </c>
      <c r="V31" s="447">
        <v>1211.6129032258045</v>
      </c>
      <c r="W31" s="447">
        <v>60.580645161290228</v>
      </c>
      <c r="X31" s="436">
        <f t="shared" si="15"/>
        <v>7</v>
      </c>
      <c r="Y31" s="605"/>
      <c r="Z31" s="443">
        <v>20</v>
      </c>
      <c r="AA31" s="447">
        <v>1186.4516129032238</v>
      </c>
      <c r="AB31" s="447">
        <v>59.322580645161189</v>
      </c>
      <c r="AC31" s="436">
        <f t="shared" si="17"/>
        <v>6</v>
      </c>
      <c r="AD31" s="605"/>
      <c r="AE31" s="443">
        <v>20</v>
      </c>
      <c r="AF31" s="447">
        <v>995.99999999999704</v>
      </c>
      <c r="AG31" s="447">
        <v>49.799999999999855</v>
      </c>
      <c r="AH31" s="436">
        <f t="shared" si="19"/>
        <v>9</v>
      </c>
      <c r="AI31" s="605"/>
      <c r="AJ31" s="443">
        <v>20</v>
      </c>
      <c r="AK31" s="447">
        <v>1039.9999999999975</v>
      </c>
      <c r="AL31" s="447">
        <v>51.999999999999872</v>
      </c>
      <c r="AM31" s="436">
        <f t="shared" si="21"/>
        <v>8</v>
      </c>
      <c r="AN31" s="605"/>
      <c r="AO31" s="443">
        <v>20</v>
      </c>
      <c r="AP31" s="447">
        <v>1031.999999999997</v>
      </c>
      <c r="AQ31" s="447">
        <v>51.599999999999852</v>
      </c>
      <c r="AR31" s="436">
        <f t="shared" si="23"/>
        <v>9</v>
      </c>
      <c r="AS31" s="605"/>
      <c r="AT31" s="182">
        <v>20</v>
      </c>
      <c r="AU31" s="182">
        <v>1055.9999999999982</v>
      </c>
      <c r="AV31" s="182">
        <v>52.799999999999912</v>
      </c>
      <c r="AW31" s="436">
        <f t="shared" si="25"/>
        <v>8</v>
      </c>
      <c r="AX31" s="605"/>
    </row>
    <row r="32" spans="2:54">
      <c r="B32" s="572"/>
      <c r="C32" s="436">
        <v>6</v>
      </c>
      <c r="D32" s="226" t="s">
        <v>618</v>
      </c>
      <c r="E32" s="182">
        <v>21</v>
      </c>
      <c r="F32" s="436">
        <v>1385</v>
      </c>
      <c r="G32" s="437">
        <v>65.900000000000006</v>
      </c>
      <c r="H32" s="609"/>
      <c r="I32" s="446">
        <f t="shared" si="27"/>
        <v>19</v>
      </c>
      <c r="J32" s="446">
        <f t="shared" si="27"/>
        <v>1009.8988530266762</v>
      </c>
      <c r="K32" s="438">
        <f t="shared" si="27"/>
        <v>53.152571211930322</v>
      </c>
      <c r="L32" s="541"/>
      <c r="M32" s="445">
        <f>RANK(K32, K$27:$K$41)</f>
        <v>9</v>
      </c>
      <c r="N32" s="559"/>
      <c r="O32" s="559"/>
      <c r="P32" s="443">
        <v>19</v>
      </c>
      <c r="Q32" s="447">
        <v>990.00000000000341</v>
      </c>
      <c r="R32" s="447">
        <v>52.105263157894917</v>
      </c>
      <c r="S32" s="436">
        <f t="shared" si="14"/>
        <v>8</v>
      </c>
      <c r="T32" s="605"/>
      <c r="U32" s="443">
        <v>19</v>
      </c>
      <c r="V32" s="447">
        <v>1030.9090909090946</v>
      </c>
      <c r="W32" s="447">
        <v>54.258373205741826</v>
      </c>
      <c r="X32" s="436">
        <f t="shared" si="15"/>
        <v>9</v>
      </c>
      <c r="Y32" s="605"/>
      <c r="Z32" s="443">
        <v>19</v>
      </c>
      <c r="AA32" s="447">
        <v>1026.0000000000036</v>
      </c>
      <c r="AB32" s="447">
        <v>54.000000000000192</v>
      </c>
      <c r="AC32" s="436">
        <f t="shared" si="17"/>
        <v>9</v>
      </c>
      <c r="AD32" s="605"/>
      <c r="AE32" s="443">
        <v>19</v>
      </c>
      <c r="AF32" s="447">
        <v>994.28571428571775</v>
      </c>
      <c r="AG32" s="447">
        <v>52.330827067669354</v>
      </c>
      <c r="AH32" s="436">
        <f t="shared" si="19"/>
        <v>8</v>
      </c>
      <c r="AI32" s="605"/>
      <c r="AJ32" s="443">
        <v>19</v>
      </c>
      <c r="AK32" s="447">
        <v>975.78947368421393</v>
      </c>
      <c r="AL32" s="447">
        <v>51.357340720221785</v>
      </c>
      <c r="AM32" s="436">
        <f t="shared" si="21"/>
        <v>9</v>
      </c>
      <c r="AN32" s="605"/>
      <c r="AO32" s="443">
        <v>19</v>
      </c>
      <c r="AP32" s="447">
        <v>1052.307692307696</v>
      </c>
      <c r="AQ32" s="447">
        <v>55.384615384615579</v>
      </c>
      <c r="AR32" s="436">
        <f t="shared" si="23"/>
        <v>7</v>
      </c>
      <c r="AS32" s="605"/>
      <c r="AT32" s="182">
        <v>19</v>
      </c>
      <c r="AU32" s="182">
        <v>1000.0000000000035</v>
      </c>
      <c r="AV32" s="182">
        <v>52.63157894736861</v>
      </c>
      <c r="AW32" s="436">
        <f t="shared" si="25"/>
        <v>9</v>
      </c>
      <c r="AX32" s="605"/>
    </row>
    <row r="33" spans="2:50">
      <c r="B33" s="572"/>
      <c r="C33" s="436">
        <v>7</v>
      </c>
      <c r="D33" s="226" t="s">
        <v>611</v>
      </c>
      <c r="E33" s="182">
        <v>18</v>
      </c>
      <c r="F33" s="436">
        <v>1500</v>
      </c>
      <c r="G33" s="437">
        <v>83.3</v>
      </c>
      <c r="H33" s="609"/>
      <c r="I33" s="446">
        <f t="shared" si="27"/>
        <v>18</v>
      </c>
      <c r="J33" s="446">
        <f t="shared" si="27"/>
        <v>1338.5651356018946</v>
      </c>
      <c r="K33" s="438">
        <f t="shared" si="27"/>
        <v>74.364729755660804</v>
      </c>
      <c r="L33" s="541"/>
      <c r="M33" s="445">
        <f>RANK(K33, K$27:$K$41)</f>
        <v>4</v>
      </c>
      <c r="N33" s="559"/>
      <c r="O33" s="559"/>
      <c r="P33" s="443">
        <v>18</v>
      </c>
      <c r="Q33" s="447">
        <v>1323.7582417582425</v>
      </c>
      <c r="R33" s="447">
        <v>73.542124542124583</v>
      </c>
      <c r="S33" s="436">
        <f t="shared" si="14"/>
        <v>4</v>
      </c>
      <c r="T33" s="605"/>
      <c r="U33" s="443">
        <v>18</v>
      </c>
      <c r="V33" s="447">
        <v>1327.2592592592596</v>
      </c>
      <c r="W33" s="447">
        <v>73.736625514403315</v>
      </c>
      <c r="X33" s="436">
        <f t="shared" si="15"/>
        <v>4</v>
      </c>
      <c r="Y33" s="605"/>
      <c r="Z33" s="443">
        <v>18</v>
      </c>
      <c r="AA33" s="447">
        <v>1327.9125000000006</v>
      </c>
      <c r="AB33" s="447">
        <v>73.772916666666703</v>
      </c>
      <c r="AC33" s="436">
        <f t="shared" si="17"/>
        <v>4</v>
      </c>
      <c r="AD33" s="605"/>
      <c r="AE33" s="443">
        <v>18</v>
      </c>
      <c r="AF33" s="447">
        <v>1365.1851851851852</v>
      </c>
      <c r="AG33" s="447">
        <v>75.843621399176953</v>
      </c>
      <c r="AH33" s="436">
        <f t="shared" si="19"/>
        <v>4</v>
      </c>
      <c r="AI33" s="605"/>
      <c r="AJ33" s="443">
        <v>18</v>
      </c>
      <c r="AK33" s="447">
        <v>1325.2747252747254</v>
      </c>
      <c r="AL33" s="447">
        <v>73.626373626373635</v>
      </c>
      <c r="AM33" s="436">
        <f t="shared" si="21"/>
        <v>4</v>
      </c>
      <c r="AN33" s="605"/>
      <c r="AO33" s="443">
        <v>18</v>
      </c>
      <c r="AP33" s="447">
        <v>1361.3207547169807</v>
      </c>
      <c r="AQ33" s="447">
        <v>75.628930817610041</v>
      </c>
      <c r="AR33" s="436">
        <f t="shared" si="23"/>
        <v>3</v>
      </c>
      <c r="AS33" s="605"/>
      <c r="AT33" s="182">
        <v>18</v>
      </c>
      <c r="AU33" s="182">
        <v>1339.2452830188677</v>
      </c>
      <c r="AV33" s="182">
        <v>74.402515723270426</v>
      </c>
      <c r="AW33" s="436">
        <f t="shared" si="25"/>
        <v>3</v>
      </c>
      <c r="AX33" s="605"/>
    </row>
    <row r="34" spans="2:50">
      <c r="B34" s="572"/>
      <c r="C34" s="436">
        <v>8</v>
      </c>
      <c r="D34" s="226" t="s">
        <v>615</v>
      </c>
      <c r="E34" s="182">
        <v>19</v>
      </c>
      <c r="F34" s="436">
        <v>1385</v>
      </c>
      <c r="G34" s="437">
        <v>72.900000000000006</v>
      </c>
      <c r="H34" s="609"/>
      <c r="I34" s="446">
        <f t="shared" si="27"/>
        <v>18</v>
      </c>
      <c r="J34" s="446">
        <f t="shared" si="27"/>
        <v>1052.2693581243734</v>
      </c>
      <c r="K34" s="438">
        <f t="shared" si="27"/>
        <v>58.459408784687412</v>
      </c>
      <c r="L34" s="541"/>
      <c r="M34" s="445">
        <f>RANK(K34, K$27:$K$41)</f>
        <v>6</v>
      </c>
      <c r="N34" s="559"/>
      <c r="O34" s="559"/>
      <c r="P34" s="443">
        <v>18</v>
      </c>
      <c r="Q34" s="447">
        <v>1053.9999999999982</v>
      </c>
      <c r="R34" s="447">
        <v>58.555555555555458</v>
      </c>
      <c r="S34" s="436">
        <f t="shared" si="14"/>
        <v>6</v>
      </c>
      <c r="T34" s="605"/>
      <c r="U34" s="443">
        <v>18</v>
      </c>
      <c r="V34" s="447">
        <v>1054.2857142857119</v>
      </c>
      <c r="W34" s="447">
        <v>58.571428571428442</v>
      </c>
      <c r="X34" s="436">
        <f t="shared" si="15"/>
        <v>8</v>
      </c>
      <c r="Y34" s="605"/>
      <c r="Z34" s="443">
        <v>18</v>
      </c>
      <c r="AA34" s="447">
        <v>1062.8571428571406</v>
      </c>
      <c r="AB34" s="447">
        <v>59.047619047618923</v>
      </c>
      <c r="AC34" s="436">
        <f t="shared" si="17"/>
        <v>7</v>
      </c>
      <c r="AD34" s="605"/>
      <c r="AE34" s="443">
        <v>18</v>
      </c>
      <c r="AF34" s="447">
        <v>1089.4736842105301</v>
      </c>
      <c r="AG34" s="447">
        <v>60.526315789473898</v>
      </c>
      <c r="AH34" s="436">
        <f t="shared" si="19"/>
        <v>6</v>
      </c>
      <c r="AI34" s="605"/>
      <c r="AJ34" s="443">
        <v>18</v>
      </c>
      <c r="AK34" s="447">
        <v>1043.9999999999968</v>
      </c>
      <c r="AL34" s="447">
        <v>57.999999999999822</v>
      </c>
      <c r="AM34" s="436">
        <f t="shared" si="21"/>
        <v>6</v>
      </c>
      <c r="AN34" s="605"/>
      <c r="AO34" s="443">
        <v>18</v>
      </c>
      <c r="AP34" s="447">
        <v>1039.1999999999971</v>
      </c>
      <c r="AQ34" s="447">
        <v>57.733333333333171</v>
      </c>
      <c r="AR34" s="436">
        <f t="shared" si="23"/>
        <v>6</v>
      </c>
      <c r="AS34" s="605"/>
      <c r="AT34" s="182">
        <v>18</v>
      </c>
      <c r="AU34" s="182">
        <v>1022.0689655172393</v>
      </c>
      <c r="AV34" s="182">
        <v>56.781609195402183</v>
      </c>
      <c r="AW34" s="436">
        <f t="shared" si="25"/>
        <v>6</v>
      </c>
      <c r="AX34" s="605"/>
    </row>
    <row r="35" spans="2:50">
      <c r="B35" s="572"/>
      <c r="C35" s="436">
        <v>9</v>
      </c>
      <c r="D35" s="226" t="s">
        <v>663</v>
      </c>
      <c r="E35" s="182">
        <v>21</v>
      </c>
      <c r="F35" s="436">
        <v>1385</v>
      </c>
      <c r="G35" s="437">
        <v>65.900000000000006</v>
      </c>
      <c r="H35" s="609"/>
      <c r="I35" s="446">
        <f t="shared" si="27"/>
        <v>19</v>
      </c>
      <c r="J35" s="446">
        <f t="shared" si="27"/>
        <v>1057.6297128514302</v>
      </c>
      <c r="K35" s="438">
        <f t="shared" si="27"/>
        <v>55.664721729022645</v>
      </c>
      <c r="L35" s="541"/>
      <c r="M35" s="445">
        <f>RANK(K35, K$27:$K$41)</f>
        <v>7</v>
      </c>
      <c r="N35" s="559"/>
      <c r="O35" s="559"/>
      <c r="P35" s="443">
        <v>19</v>
      </c>
      <c r="Q35" s="447">
        <v>1000.645161290321</v>
      </c>
      <c r="R35" s="447">
        <v>52.665534804753733</v>
      </c>
      <c r="S35" s="436">
        <f t="shared" si="14"/>
        <v>7</v>
      </c>
      <c r="T35" s="605"/>
      <c r="U35" s="443">
        <v>19</v>
      </c>
      <c r="V35" s="447">
        <v>1217.9999999999995</v>
      </c>
      <c r="W35" s="447">
        <v>64.105263157894711</v>
      </c>
      <c r="X35" s="436">
        <f t="shared" si="15"/>
        <v>5</v>
      </c>
      <c r="Y35" s="605"/>
      <c r="Z35" s="443">
        <v>19</v>
      </c>
      <c r="AA35" s="447">
        <v>1027.0588235294103</v>
      </c>
      <c r="AB35" s="447">
        <v>54.055727554179491</v>
      </c>
      <c r="AC35" s="436">
        <f t="shared" si="17"/>
        <v>8</v>
      </c>
      <c r="AD35" s="605"/>
      <c r="AE35" s="443">
        <v>19</v>
      </c>
      <c r="AF35" s="447">
        <v>1034.2857142857179</v>
      </c>
      <c r="AG35" s="447">
        <v>54.436090225564101</v>
      </c>
      <c r="AH35" s="436">
        <f t="shared" si="19"/>
        <v>7</v>
      </c>
      <c r="AI35" s="605"/>
      <c r="AJ35" s="443">
        <v>19</v>
      </c>
      <c r="AK35" s="447">
        <v>1046.0869565217356</v>
      </c>
      <c r="AL35" s="447">
        <v>55.057208237986082</v>
      </c>
      <c r="AM35" s="436">
        <f t="shared" si="21"/>
        <v>7</v>
      </c>
      <c r="AN35" s="605"/>
      <c r="AO35" s="443">
        <v>19</v>
      </c>
      <c r="AP35" s="447">
        <v>1030.4347826086921</v>
      </c>
      <c r="AQ35" s="447">
        <v>54.233409610983792</v>
      </c>
      <c r="AR35" s="436">
        <f t="shared" si="23"/>
        <v>8</v>
      </c>
      <c r="AS35" s="605"/>
      <c r="AT35" s="182">
        <v>19</v>
      </c>
      <c r="AU35" s="182">
        <v>1046.8965517241359</v>
      </c>
      <c r="AV35" s="182">
        <v>55.099818511796627</v>
      </c>
      <c r="AW35" s="436">
        <f t="shared" si="25"/>
        <v>7</v>
      </c>
      <c r="AX35" s="605"/>
    </row>
    <row r="36" spans="2:50">
      <c r="B36" s="572"/>
      <c r="C36" s="436">
        <v>10</v>
      </c>
      <c r="D36" s="226"/>
      <c r="E36" s="182"/>
      <c r="F36" s="436"/>
      <c r="G36" s="437"/>
      <c r="H36" s="609"/>
      <c r="I36" s="446"/>
      <c r="J36" s="446"/>
      <c r="K36" s="438"/>
      <c r="L36" s="541"/>
      <c r="M36" s="445" t="e">
        <f>RANK(K36, K$27:$K$41)</f>
        <v>#N/A</v>
      </c>
      <c r="N36" s="559"/>
      <c r="O36" s="559"/>
      <c r="P36" s="443"/>
      <c r="Q36" s="447"/>
      <c r="R36" s="447"/>
      <c r="S36" s="436" t="e">
        <f t="shared" si="14"/>
        <v>#N/A</v>
      </c>
      <c r="T36" s="605"/>
      <c r="U36" s="443"/>
      <c r="V36" s="447"/>
      <c r="W36" s="447"/>
      <c r="X36" s="436" t="e">
        <f t="shared" si="15"/>
        <v>#N/A</v>
      </c>
      <c r="Y36" s="605"/>
      <c r="Z36" s="443"/>
      <c r="AA36" s="447"/>
      <c r="AB36" s="447"/>
      <c r="AC36" s="436" t="e">
        <f t="shared" si="17"/>
        <v>#N/A</v>
      </c>
      <c r="AD36" s="605"/>
      <c r="AE36" s="443"/>
      <c r="AF36" s="447"/>
      <c r="AG36" s="447"/>
      <c r="AH36" s="436" t="e">
        <f t="shared" si="19"/>
        <v>#N/A</v>
      </c>
      <c r="AI36" s="605"/>
      <c r="AJ36" s="443"/>
      <c r="AK36" s="447"/>
      <c r="AL36" s="447"/>
      <c r="AM36" s="436" t="e">
        <f t="shared" si="21"/>
        <v>#N/A</v>
      </c>
      <c r="AN36" s="605"/>
      <c r="AO36" s="443"/>
      <c r="AP36" s="447"/>
      <c r="AQ36" s="447"/>
      <c r="AR36" s="436" t="e">
        <f t="shared" si="23"/>
        <v>#N/A</v>
      </c>
      <c r="AS36" s="605"/>
      <c r="AT36" s="182"/>
      <c r="AU36" s="182"/>
      <c r="AV36" s="182"/>
      <c r="AW36" s="436" t="e">
        <f t="shared" si="25"/>
        <v>#N/A</v>
      </c>
      <c r="AX36" s="605"/>
    </row>
    <row r="37" spans="2:50">
      <c r="B37" s="572"/>
      <c r="C37" s="436">
        <v>11</v>
      </c>
      <c r="D37" s="226"/>
      <c r="E37" s="182"/>
      <c r="F37" s="436"/>
      <c r="G37" s="437"/>
      <c r="H37" s="609"/>
      <c r="I37" s="446"/>
      <c r="J37" s="446"/>
      <c r="K37" s="438"/>
      <c r="L37" s="541"/>
      <c r="M37" s="445" t="e">
        <f>RANK(K37, K$27:$K$41)</f>
        <v>#N/A</v>
      </c>
      <c r="N37" s="559"/>
      <c r="O37" s="559"/>
      <c r="P37" s="443"/>
      <c r="Q37" s="447"/>
      <c r="R37" s="447"/>
      <c r="S37" s="436" t="e">
        <f t="shared" si="14"/>
        <v>#N/A</v>
      </c>
      <c r="T37" s="605"/>
      <c r="U37" s="443"/>
      <c r="V37" s="447"/>
      <c r="W37" s="447"/>
      <c r="X37" s="436" t="e">
        <f t="shared" si="15"/>
        <v>#N/A</v>
      </c>
      <c r="Y37" s="605"/>
      <c r="Z37" s="443"/>
      <c r="AA37" s="447"/>
      <c r="AB37" s="447"/>
      <c r="AC37" s="436" t="e">
        <f t="shared" si="17"/>
        <v>#N/A</v>
      </c>
      <c r="AD37" s="605"/>
      <c r="AE37" s="443"/>
      <c r="AF37" s="447"/>
      <c r="AG37" s="447"/>
      <c r="AH37" s="436" t="e">
        <f t="shared" si="19"/>
        <v>#N/A</v>
      </c>
      <c r="AI37" s="605"/>
      <c r="AJ37" s="443"/>
      <c r="AK37" s="447"/>
      <c r="AL37" s="447"/>
      <c r="AM37" s="436" t="e">
        <f t="shared" si="21"/>
        <v>#N/A</v>
      </c>
      <c r="AN37" s="605"/>
      <c r="AO37" s="443"/>
      <c r="AP37" s="447"/>
      <c r="AQ37" s="447"/>
      <c r="AR37" s="436" t="e">
        <f t="shared" si="23"/>
        <v>#N/A</v>
      </c>
      <c r="AS37" s="605"/>
      <c r="AT37" s="182"/>
      <c r="AU37" s="182"/>
      <c r="AV37" s="182"/>
      <c r="AW37" s="436" t="e">
        <f t="shared" si="25"/>
        <v>#N/A</v>
      </c>
      <c r="AX37" s="605"/>
    </row>
    <row r="38" spans="2:50">
      <c r="B38" s="572"/>
      <c r="C38" s="436">
        <v>12</v>
      </c>
      <c r="D38" s="226"/>
      <c r="E38" s="182"/>
      <c r="F38" s="436"/>
      <c r="G38" s="437"/>
      <c r="H38" s="609"/>
      <c r="I38" s="446"/>
      <c r="J38" s="446"/>
      <c r="K38" s="438"/>
      <c r="L38" s="541"/>
      <c r="M38" s="445" t="e">
        <f>RANK(K38, K$27:$K$41)</f>
        <v>#N/A</v>
      </c>
      <c r="N38" s="559"/>
      <c r="O38" s="559"/>
      <c r="P38" s="443"/>
      <c r="Q38" s="447"/>
      <c r="R38" s="447"/>
      <c r="S38" s="436" t="e">
        <f t="shared" si="14"/>
        <v>#N/A</v>
      </c>
      <c r="T38" s="605"/>
      <c r="U38" s="443"/>
      <c r="V38" s="447"/>
      <c r="W38" s="447"/>
      <c r="X38" s="436" t="e">
        <f t="shared" si="15"/>
        <v>#N/A</v>
      </c>
      <c r="Y38" s="605"/>
      <c r="Z38" s="443"/>
      <c r="AA38" s="447"/>
      <c r="AB38" s="447"/>
      <c r="AC38" s="436" t="e">
        <f t="shared" si="17"/>
        <v>#N/A</v>
      </c>
      <c r="AD38" s="605"/>
      <c r="AE38" s="443"/>
      <c r="AF38" s="447"/>
      <c r="AG38" s="447"/>
      <c r="AH38" s="436" t="e">
        <f t="shared" si="19"/>
        <v>#N/A</v>
      </c>
      <c r="AI38" s="605"/>
      <c r="AJ38" s="443"/>
      <c r="AK38" s="447"/>
      <c r="AL38" s="447"/>
      <c r="AM38" s="436" t="e">
        <f t="shared" si="21"/>
        <v>#N/A</v>
      </c>
      <c r="AN38" s="605"/>
      <c r="AO38" s="443"/>
      <c r="AP38" s="447"/>
      <c r="AQ38" s="447"/>
      <c r="AR38" s="436" t="e">
        <f t="shared" si="23"/>
        <v>#N/A</v>
      </c>
      <c r="AS38" s="605"/>
      <c r="AT38" s="182"/>
      <c r="AU38" s="182"/>
      <c r="AV38" s="182"/>
      <c r="AW38" s="436" t="e">
        <f t="shared" si="25"/>
        <v>#N/A</v>
      </c>
      <c r="AX38" s="605"/>
    </row>
    <row r="39" spans="2:50">
      <c r="B39" s="572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41"/>
      <c r="M39" s="445" t="e">
        <f>RANK(K39, K$27:$K$41)</f>
        <v>#N/A</v>
      </c>
      <c r="N39" s="559"/>
      <c r="O39" s="559"/>
      <c r="P39" s="443"/>
      <c r="Q39" s="447"/>
      <c r="R39" s="447"/>
      <c r="S39" s="436" t="e">
        <f t="shared" si="14"/>
        <v>#N/A</v>
      </c>
      <c r="T39" s="605"/>
      <c r="U39" s="443"/>
      <c r="V39" s="447"/>
      <c r="W39" s="447"/>
      <c r="X39" s="436" t="e">
        <f t="shared" si="15"/>
        <v>#N/A</v>
      </c>
      <c r="Y39" s="605"/>
      <c r="Z39" s="443"/>
      <c r="AA39" s="447"/>
      <c r="AB39" s="447"/>
      <c r="AC39" s="436" t="e">
        <f t="shared" si="17"/>
        <v>#N/A</v>
      </c>
      <c r="AD39" s="605"/>
      <c r="AE39" s="443"/>
      <c r="AF39" s="447"/>
      <c r="AG39" s="447"/>
      <c r="AH39" s="436" t="e">
        <f t="shared" si="19"/>
        <v>#N/A</v>
      </c>
      <c r="AI39" s="605"/>
      <c r="AJ39" s="443"/>
      <c r="AK39" s="447"/>
      <c r="AL39" s="447"/>
      <c r="AM39" s="436" t="e">
        <f t="shared" si="21"/>
        <v>#N/A</v>
      </c>
      <c r="AN39" s="605"/>
      <c r="AO39" s="443"/>
      <c r="AP39" s="447"/>
      <c r="AQ39" s="447"/>
      <c r="AR39" s="436" t="e">
        <f t="shared" si="23"/>
        <v>#N/A</v>
      </c>
      <c r="AS39" s="605"/>
      <c r="AT39" s="182"/>
      <c r="AU39" s="182"/>
      <c r="AV39" s="182"/>
      <c r="AW39" s="436" t="e">
        <f t="shared" si="25"/>
        <v>#N/A</v>
      </c>
      <c r="AX39" s="605"/>
    </row>
    <row r="40" spans="2:50">
      <c r="B40" s="572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41"/>
      <c r="M40" s="445" t="e">
        <f>RANK(K40, K$27:$K$41)</f>
        <v>#N/A</v>
      </c>
      <c r="N40" s="559"/>
      <c r="O40" s="559"/>
      <c r="P40" s="443"/>
      <c r="Q40" s="447"/>
      <c r="R40" s="447"/>
      <c r="S40" s="436" t="e">
        <f t="shared" si="14"/>
        <v>#N/A</v>
      </c>
      <c r="T40" s="605"/>
      <c r="U40" s="443"/>
      <c r="V40" s="447"/>
      <c r="W40" s="447"/>
      <c r="X40" s="436" t="e">
        <f t="shared" si="15"/>
        <v>#N/A</v>
      </c>
      <c r="Y40" s="605"/>
      <c r="Z40" s="443"/>
      <c r="AA40" s="447"/>
      <c r="AB40" s="447"/>
      <c r="AC40" s="436" t="e">
        <f t="shared" si="17"/>
        <v>#N/A</v>
      </c>
      <c r="AD40" s="605"/>
      <c r="AE40" s="443"/>
      <c r="AF40" s="447"/>
      <c r="AG40" s="447"/>
      <c r="AH40" s="436" t="e">
        <f t="shared" si="19"/>
        <v>#N/A</v>
      </c>
      <c r="AI40" s="605"/>
      <c r="AJ40" s="443"/>
      <c r="AK40" s="447"/>
      <c r="AL40" s="447"/>
      <c r="AM40" s="436" t="e">
        <f t="shared" si="21"/>
        <v>#N/A</v>
      </c>
      <c r="AN40" s="605"/>
      <c r="AO40" s="443"/>
      <c r="AP40" s="447"/>
      <c r="AQ40" s="447"/>
      <c r="AR40" s="436" t="e">
        <f t="shared" si="23"/>
        <v>#N/A</v>
      </c>
      <c r="AS40" s="605"/>
      <c r="AT40" s="182"/>
      <c r="AU40" s="182"/>
      <c r="AV40" s="182"/>
      <c r="AW40" s="436" t="e">
        <f t="shared" si="25"/>
        <v>#N/A</v>
      </c>
      <c r="AX40" s="605"/>
    </row>
    <row r="41" spans="2:50">
      <c r="B41" s="572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42"/>
      <c r="M41" s="446" t="e">
        <f>RANK(K41, K$27:$K$41)</f>
        <v>#N/A</v>
      </c>
      <c r="N41" s="559"/>
      <c r="O41" s="559"/>
      <c r="P41" s="443"/>
      <c r="Q41" s="447"/>
      <c r="R41" s="447"/>
      <c r="S41" s="436" t="e">
        <f t="shared" si="14"/>
        <v>#N/A</v>
      </c>
      <c r="T41" s="605"/>
      <c r="U41" s="443"/>
      <c r="V41" s="447"/>
      <c r="W41" s="447"/>
      <c r="X41" s="436" t="e">
        <f t="shared" si="15"/>
        <v>#N/A</v>
      </c>
      <c r="Y41" s="605"/>
      <c r="Z41" s="443"/>
      <c r="AA41" s="447"/>
      <c r="AB41" s="447"/>
      <c r="AC41" s="436" t="e">
        <f t="shared" si="17"/>
        <v>#N/A</v>
      </c>
      <c r="AD41" s="605"/>
      <c r="AE41" s="443"/>
      <c r="AF41" s="447"/>
      <c r="AG41" s="447"/>
      <c r="AH41" s="436" t="e">
        <f t="shared" si="19"/>
        <v>#N/A</v>
      </c>
      <c r="AI41" s="605"/>
      <c r="AJ41" s="443"/>
      <c r="AK41" s="447"/>
      <c r="AL41" s="447"/>
      <c r="AM41" s="436" t="e">
        <f t="shared" si="21"/>
        <v>#N/A</v>
      </c>
      <c r="AN41" s="605"/>
      <c r="AO41" s="443"/>
      <c r="AP41" s="447"/>
      <c r="AQ41" s="447"/>
      <c r="AR41" s="436" t="e">
        <f t="shared" si="23"/>
        <v>#N/A</v>
      </c>
      <c r="AS41" s="605"/>
      <c r="AT41" s="182"/>
      <c r="AU41" s="182"/>
      <c r="AV41" s="182"/>
      <c r="AW41" s="436" t="e">
        <f t="shared" si="25"/>
        <v>#N/A</v>
      </c>
      <c r="AX41" s="605"/>
    </row>
    <row r="42" spans="2:50" ht="15.75">
      <c r="B42" s="592" t="s">
        <v>731</v>
      </c>
      <c r="C42" s="593"/>
      <c r="D42" s="593"/>
      <c r="E42" s="593"/>
      <c r="F42" s="593"/>
      <c r="G42" s="593"/>
      <c r="H42" s="593"/>
      <c r="I42" s="208"/>
      <c r="J42" s="203"/>
      <c r="K42" s="208"/>
      <c r="L42" s="208"/>
      <c r="M42" s="204"/>
      <c r="N42" s="565" t="s">
        <v>732</v>
      </c>
      <c r="O42" s="565" t="s">
        <v>733</v>
      </c>
      <c r="P42" s="571">
        <f>P22+7</f>
        <v>13</v>
      </c>
      <c r="Q42" s="572"/>
      <c r="R42" s="572"/>
      <c r="S42" s="572"/>
      <c r="T42" s="572"/>
      <c r="U42" s="568">
        <f>P42+1</f>
        <v>14</v>
      </c>
      <c r="V42" s="569"/>
      <c r="W42" s="569"/>
      <c r="X42" s="569"/>
      <c r="Y42" s="570"/>
      <c r="Z42" s="568">
        <f>U42+1</f>
        <v>15</v>
      </c>
      <c r="AA42" s="569"/>
      <c r="AB42" s="569"/>
      <c r="AC42" s="569"/>
      <c r="AD42" s="570"/>
      <c r="AE42" s="568">
        <f>Z42+1</f>
        <v>16</v>
      </c>
      <c r="AF42" s="569"/>
      <c r="AG42" s="569"/>
      <c r="AH42" s="569"/>
      <c r="AI42" s="570"/>
      <c r="AJ42" s="568">
        <f>AE42+1</f>
        <v>17</v>
      </c>
      <c r="AK42" s="569"/>
      <c r="AL42" s="569"/>
      <c r="AM42" s="569"/>
      <c r="AN42" s="570"/>
      <c r="AO42" s="568">
        <f>AJ42+1</f>
        <v>18</v>
      </c>
      <c r="AP42" s="569"/>
      <c r="AQ42" s="569"/>
      <c r="AR42" s="569"/>
      <c r="AS42" s="570"/>
      <c r="AT42" s="568">
        <f>AO42+1</f>
        <v>19</v>
      </c>
      <c r="AU42" s="569"/>
      <c r="AV42" s="569"/>
      <c r="AW42" s="569"/>
      <c r="AX42" s="570"/>
    </row>
    <row r="43" spans="2:50" ht="15.75">
      <c r="B43" s="579"/>
      <c r="C43" s="579"/>
      <c r="D43" s="579"/>
      <c r="E43" s="579"/>
      <c r="F43" s="579"/>
      <c r="G43" s="579"/>
      <c r="H43" s="579"/>
      <c r="I43" s="205"/>
      <c r="J43" s="205"/>
      <c r="K43" s="205"/>
      <c r="L43" s="205"/>
      <c r="M43" s="206"/>
      <c r="N43" s="567"/>
      <c r="O43" s="567"/>
      <c r="P43" s="571" t="s">
        <v>734</v>
      </c>
      <c r="Q43" s="572"/>
      <c r="R43" s="572"/>
      <c r="S43" s="572"/>
      <c r="T43" s="572"/>
      <c r="U43" s="571" t="s">
        <v>735</v>
      </c>
      <c r="V43" s="572"/>
      <c r="W43" s="572"/>
      <c r="X43" s="572"/>
      <c r="Y43" s="572"/>
      <c r="Z43" s="571" t="s">
        <v>736</v>
      </c>
      <c r="AA43" s="572"/>
      <c r="AB43" s="572"/>
      <c r="AC43" s="572"/>
      <c r="AD43" s="572"/>
      <c r="AE43" s="571" t="s">
        <v>737</v>
      </c>
      <c r="AF43" s="572"/>
      <c r="AG43" s="572"/>
      <c r="AH43" s="572"/>
      <c r="AI43" s="572"/>
      <c r="AJ43" s="571" t="s">
        <v>738</v>
      </c>
      <c r="AK43" s="572"/>
      <c r="AL43" s="572"/>
      <c r="AM43" s="572"/>
      <c r="AN43" s="572"/>
      <c r="AO43" s="571" t="s">
        <v>739</v>
      </c>
      <c r="AP43" s="572"/>
      <c r="AQ43" s="572"/>
      <c r="AR43" s="572"/>
      <c r="AS43" s="572"/>
      <c r="AT43" s="571" t="s">
        <v>740</v>
      </c>
      <c r="AU43" s="572"/>
      <c r="AV43" s="572"/>
      <c r="AW43" s="572"/>
      <c r="AX43" s="572"/>
    </row>
    <row r="44" spans="2:50">
      <c r="B44" s="559" t="s">
        <v>741</v>
      </c>
      <c r="C44" s="559" t="s">
        <v>742</v>
      </c>
      <c r="D44" s="559"/>
      <c r="E44" s="559" t="s">
        <v>743</v>
      </c>
      <c r="F44" s="559"/>
      <c r="G44" s="559"/>
      <c r="H44" s="560" t="s">
        <v>744</v>
      </c>
      <c r="I44" s="543" t="s">
        <v>745</v>
      </c>
      <c r="J44" s="543"/>
      <c r="K44" s="543"/>
      <c r="L44" s="544" t="s">
        <v>744</v>
      </c>
      <c r="M44" s="550" t="s">
        <v>746</v>
      </c>
      <c r="N44" s="559"/>
      <c r="O44" s="559" t="s">
        <v>747</v>
      </c>
      <c r="P44" s="556" t="s">
        <v>748</v>
      </c>
      <c r="Q44" s="557"/>
      <c r="R44" s="557"/>
      <c r="S44" s="558"/>
      <c r="T44" s="559" t="s">
        <v>744</v>
      </c>
      <c r="U44" s="556" t="s">
        <v>748</v>
      </c>
      <c r="V44" s="557"/>
      <c r="W44" s="557"/>
      <c r="X44" s="558"/>
      <c r="Y44" s="559" t="s">
        <v>744</v>
      </c>
      <c r="Z44" s="556" t="s">
        <v>748</v>
      </c>
      <c r="AA44" s="557"/>
      <c r="AB44" s="557"/>
      <c r="AC44" s="558"/>
      <c r="AD44" s="559" t="s">
        <v>744</v>
      </c>
      <c r="AE44" s="556" t="s">
        <v>748</v>
      </c>
      <c r="AF44" s="557"/>
      <c r="AG44" s="557"/>
      <c r="AH44" s="558"/>
      <c r="AI44" s="559" t="s">
        <v>744</v>
      </c>
      <c r="AJ44" s="556" t="s">
        <v>748</v>
      </c>
      <c r="AK44" s="557"/>
      <c r="AL44" s="557"/>
      <c r="AM44" s="558"/>
      <c r="AN44" s="559" t="s">
        <v>744</v>
      </c>
      <c r="AO44" s="556" t="s">
        <v>748</v>
      </c>
      <c r="AP44" s="557"/>
      <c r="AQ44" s="557"/>
      <c r="AR44" s="558"/>
      <c r="AS44" s="559" t="s">
        <v>744</v>
      </c>
      <c r="AT44" s="556" t="s">
        <v>748</v>
      </c>
      <c r="AU44" s="557"/>
      <c r="AV44" s="557"/>
      <c r="AW44" s="558"/>
      <c r="AX44" s="559" t="s">
        <v>744</v>
      </c>
    </row>
    <row r="45" spans="2:50">
      <c r="B45" s="559"/>
      <c r="C45" s="559"/>
      <c r="D45" s="559"/>
      <c r="E45" s="559" t="s">
        <v>749</v>
      </c>
      <c r="F45" s="559"/>
      <c r="G45" s="559"/>
      <c r="H45" s="561"/>
      <c r="I45" s="543" t="s">
        <v>749</v>
      </c>
      <c r="J45" s="543"/>
      <c r="K45" s="543"/>
      <c r="L45" s="545"/>
      <c r="M45" s="551"/>
      <c r="N45" s="559"/>
      <c r="O45" s="559"/>
      <c r="P45" s="556" t="s">
        <v>750</v>
      </c>
      <c r="Q45" s="557"/>
      <c r="R45" s="557"/>
      <c r="S45" s="558"/>
      <c r="T45" s="559"/>
      <c r="U45" s="556" t="s">
        <v>750</v>
      </c>
      <c r="V45" s="557"/>
      <c r="W45" s="557"/>
      <c r="X45" s="558"/>
      <c r="Y45" s="559"/>
      <c r="Z45" s="556" t="s">
        <v>750</v>
      </c>
      <c r="AA45" s="557"/>
      <c r="AB45" s="557"/>
      <c r="AC45" s="558"/>
      <c r="AD45" s="559"/>
      <c r="AE45" s="556" t="s">
        <v>750</v>
      </c>
      <c r="AF45" s="557"/>
      <c r="AG45" s="557"/>
      <c r="AH45" s="558"/>
      <c r="AI45" s="559"/>
      <c r="AJ45" s="556" t="s">
        <v>750</v>
      </c>
      <c r="AK45" s="557"/>
      <c r="AL45" s="557"/>
      <c r="AM45" s="558"/>
      <c r="AN45" s="559"/>
      <c r="AO45" s="556" t="s">
        <v>750</v>
      </c>
      <c r="AP45" s="557"/>
      <c r="AQ45" s="557"/>
      <c r="AR45" s="558"/>
      <c r="AS45" s="559"/>
      <c r="AT45" s="556" t="s">
        <v>750</v>
      </c>
      <c r="AU45" s="557"/>
      <c r="AV45" s="557"/>
      <c r="AW45" s="558"/>
      <c r="AX45" s="559"/>
    </row>
    <row r="46" spans="2:50">
      <c r="B46" s="559"/>
      <c r="C46" s="559"/>
      <c r="D46" s="559"/>
      <c r="E46" s="440" t="s">
        <v>751</v>
      </c>
      <c r="F46" s="440" t="s">
        <v>752</v>
      </c>
      <c r="G46" s="440" t="s">
        <v>753</v>
      </c>
      <c r="H46" s="562"/>
      <c r="I46" s="444" t="s">
        <v>751</v>
      </c>
      <c r="J46" s="444" t="s">
        <v>752</v>
      </c>
      <c r="K46" s="444" t="s">
        <v>753</v>
      </c>
      <c r="L46" s="546"/>
      <c r="M46" s="552"/>
      <c r="N46" s="559"/>
      <c r="O46" s="559"/>
      <c r="P46" s="440" t="s">
        <v>751</v>
      </c>
      <c r="Q46" s="440" t="s">
        <v>752</v>
      </c>
      <c r="R46" s="440" t="s">
        <v>753</v>
      </c>
      <c r="S46" s="440" t="s">
        <v>746</v>
      </c>
      <c r="T46" s="559"/>
      <c r="U46" s="440" t="s">
        <v>751</v>
      </c>
      <c r="V46" s="440" t="s">
        <v>752</v>
      </c>
      <c r="W46" s="440" t="s">
        <v>753</v>
      </c>
      <c r="X46" s="440" t="s">
        <v>746</v>
      </c>
      <c r="Y46" s="559"/>
      <c r="Z46" s="440" t="s">
        <v>751</v>
      </c>
      <c r="AA46" s="440" t="s">
        <v>752</v>
      </c>
      <c r="AB46" s="440" t="s">
        <v>753</v>
      </c>
      <c r="AC46" s="440" t="s">
        <v>746</v>
      </c>
      <c r="AD46" s="559"/>
      <c r="AE46" s="440" t="s">
        <v>751</v>
      </c>
      <c r="AF46" s="440" t="s">
        <v>752</v>
      </c>
      <c r="AG46" s="440" t="s">
        <v>753</v>
      </c>
      <c r="AH46" s="440" t="s">
        <v>746</v>
      </c>
      <c r="AI46" s="559"/>
      <c r="AJ46" s="440" t="s">
        <v>751</v>
      </c>
      <c r="AK46" s="440" t="s">
        <v>752</v>
      </c>
      <c r="AL46" s="440" t="s">
        <v>753</v>
      </c>
      <c r="AM46" s="440" t="s">
        <v>746</v>
      </c>
      <c r="AN46" s="559"/>
      <c r="AO46" s="440" t="s">
        <v>751</v>
      </c>
      <c r="AP46" s="440" t="s">
        <v>752</v>
      </c>
      <c r="AQ46" s="440" t="s">
        <v>753</v>
      </c>
      <c r="AR46" s="440" t="s">
        <v>746</v>
      </c>
      <c r="AS46" s="559"/>
      <c r="AT46" s="440" t="s">
        <v>751</v>
      </c>
      <c r="AU46" s="440" t="s">
        <v>752</v>
      </c>
      <c r="AV46" s="440" t="s">
        <v>753</v>
      </c>
      <c r="AW46" s="440" t="s">
        <v>746</v>
      </c>
      <c r="AX46" s="559"/>
    </row>
    <row r="47" spans="2:50">
      <c r="B47" s="559" t="s">
        <v>794</v>
      </c>
      <c r="C47" s="436">
        <v>1</v>
      </c>
      <c r="D47" s="226" t="s">
        <v>557</v>
      </c>
      <c r="E47" s="182">
        <v>14</v>
      </c>
      <c r="F47" s="436">
        <v>1500</v>
      </c>
      <c r="G47" s="437">
        <v>107.1</v>
      </c>
      <c r="H47" s="608">
        <f>AVERAGE(G47:G61)</f>
        <v>80.075000000000003</v>
      </c>
      <c r="I47" s="446">
        <f>AVERAGE(P47,U47,Z47,AE47,AJ47,AO47,AT47)</f>
        <v>12.714285714285714</v>
      </c>
      <c r="J47" s="446">
        <f>AVERAGE(Q47,V47,AA47,AF47,AK47,AP47,AU47)</f>
        <v>1122.4003246753259</v>
      </c>
      <c r="K47" s="438">
        <f>AVERAGE(R47,W47,AB47,AG47,AL47,AQ47,AV47)</f>
        <v>88.419530469530557</v>
      </c>
      <c r="L47" s="540">
        <f>IFERROR(AVERAGE(K47:K61),"-")</f>
        <v>64.587995180055216</v>
      </c>
      <c r="M47" s="445">
        <f>RANK(K47, K$47:$K$61)</f>
        <v>1</v>
      </c>
      <c r="N47" s="559"/>
      <c r="O47" s="559"/>
      <c r="P47" s="436">
        <v>13</v>
      </c>
      <c r="Q47" s="182">
        <v>1260.0000000000014</v>
      </c>
      <c r="R47" s="182">
        <v>96.923076923077033</v>
      </c>
      <c r="S47" s="436">
        <f>RANK(R47, R$47:R$61)</f>
        <v>1</v>
      </c>
      <c r="T47" s="572">
        <f>AVERAGE(R47:R61)</f>
        <v>66.672451493880629</v>
      </c>
      <c r="U47" s="436">
        <v>13</v>
      </c>
      <c r="V47" s="182">
        <v>1095.0000000000014</v>
      </c>
      <c r="W47" s="182">
        <v>84.23076923076934</v>
      </c>
      <c r="X47" s="436">
        <f>RANK(W47, W$47:W$61)</f>
        <v>1</v>
      </c>
      <c r="Y47" s="572">
        <f>AVERAGE(W47:W61)</f>
        <v>64.215039617782452</v>
      </c>
      <c r="Z47" s="436">
        <v>13</v>
      </c>
      <c r="AA47" s="182">
        <v>1052.7272727272739</v>
      </c>
      <c r="AB47" s="182">
        <v>80.979020979021072</v>
      </c>
      <c r="AC47" s="436">
        <f>RANK(AB47, AB$47:AB$61)</f>
        <v>1</v>
      </c>
      <c r="AD47" s="572">
        <f>AVERAGE(AB47:AB61)</f>
        <v>71.202384108266443</v>
      </c>
      <c r="AE47" s="436">
        <v>13</v>
      </c>
      <c r="AF47" s="182">
        <v>1087.2000000000003</v>
      </c>
      <c r="AG47" s="182">
        <v>83.630769230769246</v>
      </c>
      <c r="AH47" s="436">
        <f>RANK(AG47, AG$47:AG$61)</f>
        <v>1</v>
      </c>
      <c r="AI47" s="572">
        <f>AVERAGE(AG47:AG61)</f>
        <v>71.734346403317872</v>
      </c>
      <c r="AJ47" s="436">
        <v>12</v>
      </c>
      <c r="AK47" s="182">
        <v>1081.8750000000014</v>
      </c>
      <c r="AL47" s="182">
        <v>90.156250000000114</v>
      </c>
      <c r="AM47" s="436">
        <f>RANK(AL47, AL$47:AL$61)</f>
        <v>1</v>
      </c>
      <c r="AN47" s="572">
        <f>AVERAGE(AL47:AL61)</f>
        <v>73.304386894645788</v>
      </c>
      <c r="AO47" s="436">
        <v>13</v>
      </c>
      <c r="AP47" s="182">
        <v>1089.3750000000014</v>
      </c>
      <c r="AQ47" s="182">
        <v>83.798076923077033</v>
      </c>
      <c r="AR47" s="436">
        <f>RANK(AQ47, AQ$47:AQ$61)</f>
        <v>1</v>
      </c>
      <c r="AS47" s="572">
        <f>AVERAGE(AQ47:AQ61)</f>
        <v>71.996079966732125</v>
      </c>
      <c r="AT47" s="436">
        <v>12</v>
      </c>
      <c r="AU47" s="182">
        <v>1190.6250000000014</v>
      </c>
      <c r="AV47" s="182">
        <v>99.218750000000114</v>
      </c>
      <c r="AW47" s="436">
        <f>RANK(AV47, AV$47:AV$61)</f>
        <v>1</v>
      </c>
      <c r="AX47" s="572">
        <f>AVERAGE(AV47:AV61)</f>
        <v>72.851735690999774</v>
      </c>
    </row>
    <row r="48" spans="2:50">
      <c r="B48" s="572"/>
      <c r="C48" s="436">
        <v>2</v>
      </c>
      <c r="D48" s="226" t="s">
        <v>664</v>
      </c>
      <c r="E48" s="182">
        <v>17</v>
      </c>
      <c r="F48" s="436">
        <v>1636</v>
      </c>
      <c r="G48" s="437">
        <v>96.3</v>
      </c>
      <c r="H48" s="609"/>
      <c r="I48" s="446">
        <f t="shared" ref="I48:K54" si="28">AVERAGE(P48,U48,Z48,AE48,AJ48,AO48,AT48)</f>
        <v>18</v>
      </c>
      <c r="J48" s="446">
        <f t="shared" si="28"/>
        <v>1272.6188068202177</v>
      </c>
      <c r="K48" s="438">
        <f t="shared" si="28"/>
        <v>70.701044823345441</v>
      </c>
      <c r="L48" s="541"/>
      <c r="M48" s="445">
        <f>RANK(K48, K$47:$K$61)</f>
        <v>3</v>
      </c>
      <c r="N48" s="559"/>
      <c r="O48" s="559"/>
      <c r="P48" s="436">
        <v>18</v>
      </c>
      <c r="Q48" s="182">
        <v>1284.0875912408758</v>
      </c>
      <c r="R48" s="182">
        <v>71.338199513381994</v>
      </c>
      <c r="S48" s="436">
        <f t="shared" ref="S48:S61" si="29">RANK(R48, R$47:R$61)</f>
        <v>3</v>
      </c>
      <c r="T48" s="572"/>
      <c r="U48" s="436">
        <v>18</v>
      </c>
      <c r="V48" s="182">
        <v>1282.8749999999998</v>
      </c>
      <c r="W48" s="182">
        <v>71.270833333333314</v>
      </c>
      <c r="X48" s="436">
        <f t="shared" ref="X48:X61" si="30">RANK(W48, W$47:W$61)</f>
        <v>4</v>
      </c>
      <c r="Y48" s="572"/>
      <c r="Z48" s="436">
        <v>18</v>
      </c>
      <c r="AA48" s="182">
        <v>1299.226890756303</v>
      </c>
      <c r="AB48" s="182">
        <v>72.179271708683501</v>
      </c>
      <c r="AC48" s="436">
        <f t="shared" ref="AC48:AC61" si="31">RANK(AB48, AB$47:AB$61)</f>
        <v>3</v>
      </c>
      <c r="AD48" s="572"/>
      <c r="AE48" s="436">
        <v>18</v>
      </c>
      <c r="AF48" s="182">
        <v>1270.9915966386559</v>
      </c>
      <c r="AG48" s="182">
        <v>70.6106442577031</v>
      </c>
      <c r="AH48" s="436">
        <f t="shared" ref="AH48:AH61" si="32">RANK(AG48, AG$47:AG$61)</f>
        <v>3</v>
      </c>
      <c r="AI48" s="572"/>
      <c r="AJ48" s="436">
        <v>18</v>
      </c>
      <c r="AK48" s="182">
        <v>1254.2439024390242</v>
      </c>
      <c r="AL48" s="182">
        <v>69.680216802168005</v>
      </c>
      <c r="AM48" s="436">
        <f t="shared" ref="AM48:AM61" si="33">RANK(AL48, AL$47:AL$61)</f>
        <v>4</v>
      </c>
      <c r="AN48" s="572"/>
      <c r="AO48" s="436">
        <v>18</v>
      </c>
      <c r="AP48" s="182">
        <v>1290.6666666666665</v>
      </c>
      <c r="AQ48" s="182">
        <v>71.703703703703695</v>
      </c>
      <c r="AR48" s="436">
        <f t="shared" ref="AR48:AR61" si="34">RANK(AQ48, AQ$47:AQ$61)</f>
        <v>3</v>
      </c>
      <c r="AS48" s="572"/>
      <c r="AT48" s="436">
        <v>18</v>
      </c>
      <c r="AU48" s="182">
        <v>1226.2399999999998</v>
      </c>
      <c r="AV48" s="182">
        <v>68.124444444444435</v>
      </c>
      <c r="AW48" s="436">
        <f t="shared" ref="AW48:AW61" si="35">RANK(AV48, AV$47:AV$61)</f>
        <v>3</v>
      </c>
      <c r="AX48" s="572"/>
    </row>
    <row r="49" spans="2:50">
      <c r="B49" s="572"/>
      <c r="C49" s="436">
        <v>3</v>
      </c>
      <c r="D49" s="226" t="s">
        <v>598</v>
      </c>
      <c r="E49" s="182">
        <v>18</v>
      </c>
      <c r="F49" s="436">
        <v>1500</v>
      </c>
      <c r="G49" s="437">
        <v>83.3</v>
      </c>
      <c r="H49" s="609"/>
      <c r="I49" s="446">
        <f t="shared" si="28"/>
        <v>16</v>
      </c>
      <c r="J49" s="446">
        <f t="shared" si="28"/>
        <v>1264.8541756824891</v>
      </c>
      <c r="K49" s="438">
        <f t="shared" si="28"/>
        <v>79.053385980155568</v>
      </c>
      <c r="L49" s="541"/>
      <c r="M49" s="445">
        <f>RANK(K49, K$47:$K$61)</f>
        <v>2</v>
      </c>
      <c r="N49" s="559"/>
      <c r="O49" s="559"/>
      <c r="P49" s="436">
        <v>16</v>
      </c>
      <c r="Q49" s="182">
        <v>1266.5624999999998</v>
      </c>
      <c r="R49" s="182">
        <v>79.160156249999986</v>
      </c>
      <c r="S49" s="436">
        <f t="shared" si="29"/>
        <v>2</v>
      </c>
      <c r="T49" s="572"/>
      <c r="U49" s="436">
        <v>16</v>
      </c>
      <c r="V49" s="182">
        <v>1263.5294117647059</v>
      </c>
      <c r="W49" s="182">
        <v>78.970588235294116</v>
      </c>
      <c r="X49" s="436">
        <f t="shared" si="30"/>
        <v>2</v>
      </c>
      <c r="Y49" s="572"/>
      <c r="Z49" s="436">
        <v>16</v>
      </c>
      <c r="AA49" s="182">
        <v>1264.7619047619046</v>
      </c>
      <c r="AB49" s="182">
        <v>79.047619047619037</v>
      </c>
      <c r="AC49" s="436">
        <f t="shared" si="31"/>
        <v>2</v>
      </c>
      <c r="AD49" s="572"/>
      <c r="AE49" s="436">
        <v>16</v>
      </c>
      <c r="AF49" s="182">
        <v>1286.0869565217392</v>
      </c>
      <c r="AG49" s="182">
        <v>80.380434782608702</v>
      </c>
      <c r="AH49" s="436">
        <f t="shared" si="32"/>
        <v>2</v>
      </c>
      <c r="AI49" s="572"/>
      <c r="AJ49" s="436">
        <v>16</v>
      </c>
      <c r="AK49" s="182">
        <v>1276.2711864406772</v>
      </c>
      <c r="AL49" s="182">
        <v>79.766949152542324</v>
      </c>
      <c r="AM49" s="436">
        <f t="shared" si="33"/>
        <v>2</v>
      </c>
      <c r="AN49" s="572"/>
      <c r="AO49" s="436">
        <v>16</v>
      </c>
      <c r="AP49" s="182">
        <v>1263.8095238095236</v>
      </c>
      <c r="AQ49" s="182">
        <v>78.988095238095227</v>
      </c>
      <c r="AR49" s="436">
        <f t="shared" si="34"/>
        <v>2</v>
      </c>
      <c r="AS49" s="572"/>
      <c r="AT49" s="436">
        <v>16</v>
      </c>
      <c r="AU49" s="182">
        <v>1232.9577464788736</v>
      </c>
      <c r="AV49" s="182">
        <v>77.059859154929597</v>
      </c>
      <c r="AW49" s="436">
        <f t="shared" si="35"/>
        <v>2</v>
      </c>
      <c r="AX49" s="572"/>
    </row>
    <row r="50" spans="2:50">
      <c r="B50" s="572"/>
      <c r="C50" s="436">
        <v>4</v>
      </c>
      <c r="D50" s="226" t="s">
        <v>603</v>
      </c>
      <c r="E50" s="182">
        <v>21</v>
      </c>
      <c r="F50" s="436">
        <v>1385</v>
      </c>
      <c r="G50" s="437">
        <v>65.900000000000006</v>
      </c>
      <c r="H50" s="609"/>
      <c r="I50" s="446">
        <f t="shared" si="28"/>
        <v>20</v>
      </c>
      <c r="J50" s="446">
        <f t="shared" si="28"/>
        <v>1009.4155844155825</v>
      </c>
      <c r="K50" s="438">
        <f t="shared" si="28"/>
        <v>50.470779220779121</v>
      </c>
      <c r="L50" s="541"/>
      <c r="M50" s="445">
        <f>RANK(K50, K$47:$K$61)</f>
        <v>7</v>
      </c>
      <c r="N50" s="559"/>
      <c r="O50" s="559"/>
      <c r="P50" s="436">
        <v>20</v>
      </c>
      <c r="Q50" s="182">
        <v>1024.2857142857119</v>
      </c>
      <c r="R50" s="182">
        <v>51.214285714285595</v>
      </c>
      <c r="S50" s="436">
        <f t="shared" si="29"/>
        <v>7</v>
      </c>
      <c r="T50" s="572"/>
      <c r="U50" s="436">
        <v>20</v>
      </c>
      <c r="V50" s="182">
        <v>994.54545454545314</v>
      </c>
      <c r="W50" s="182">
        <v>49.727272727272656</v>
      </c>
      <c r="X50" s="436">
        <f t="shared" si="30"/>
        <v>8</v>
      </c>
      <c r="Y50" s="572"/>
      <c r="Z50" s="436"/>
      <c r="AA50" s="182"/>
      <c r="AB50" s="182"/>
      <c r="AC50" s="436" t="e">
        <f t="shared" si="31"/>
        <v>#N/A</v>
      </c>
      <c r="AD50" s="572"/>
      <c r="AE50" s="436"/>
      <c r="AF50" s="182"/>
      <c r="AG50" s="182"/>
      <c r="AH50" s="436" t="e">
        <f t="shared" si="32"/>
        <v>#N/A</v>
      </c>
      <c r="AI50" s="572"/>
      <c r="AJ50" s="436"/>
      <c r="AK50" s="182"/>
      <c r="AL50" s="182"/>
      <c r="AM50" s="436" t="e">
        <f t="shared" si="33"/>
        <v>#N/A</v>
      </c>
      <c r="AN50" s="572"/>
      <c r="AO50" s="436"/>
      <c r="AP50" s="182"/>
      <c r="AQ50" s="182"/>
      <c r="AR50" s="436" t="e">
        <f t="shared" si="34"/>
        <v>#N/A</v>
      </c>
      <c r="AS50" s="572"/>
      <c r="AT50" s="436"/>
      <c r="AU50" s="182"/>
      <c r="AV50" s="182"/>
      <c r="AW50" s="436" t="e">
        <f t="shared" si="35"/>
        <v>#N/A</v>
      </c>
      <c r="AX50" s="572"/>
    </row>
    <row r="51" spans="2:50">
      <c r="B51" s="572"/>
      <c r="C51" s="436">
        <v>5</v>
      </c>
      <c r="D51" s="226" t="s">
        <v>618</v>
      </c>
      <c r="E51" s="182">
        <v>21</v>
      </c>
      <c r="F51" s="436">
        <v>1385</v>
      </c>
      <c r="G51" s="437">
        <v>65.900000000000006</v>
      </c>
      <c r="H51" s="609"/>
      <c r="I51" s="446">
        <f t="shared" si="28"/>
        <v>19.5</v>
      </c>
      <c r="J51" s="446">
        <f t="shared" si="28"/>
        <v>1016.3333333333342</v>
      </c>
      <c r="K51" s="438">
        <f t="shared" si="28"/>
        <v>52.101754385964959</v>
      </c>
      <c r="L51" s="541"/>
      <c r="M51" s="445">
        <f>RANK(K51, K$47:$K$61)</f>
        <v>6</v>
      </c>
      <c r="N51" s="559"/>
      <c r="O51" s="559"/>
      <c r="P51" s="436">
        <v>20</v>
      </c>
      <c r="Q51" s="182">
        <v>1055.9999999999982</v>
      </c>
      <c r="R51" s="182">
        <v>52.799999999999912</v>
      </c>
      <c r="S51" s="436">
        <f t="shared" si="29"/>
        <v>6</v>
      </c>
      <c r="T51" s="572"/>
      <c r="U51" s="436">
        <v>19</v>
      </c>
      <c r="V51" s="182">
        <v>976.66666666667015</v>
      </c>
      <c r="W51" s="182">
        <v>51.403508771930007</v>
      </c>
      <c r="X51" s="436">
        <f t="shared" si="30"/>
        <v>6</v>
      </c>
      <c r="Y51" s="572"/>
      <c r="Z51" s="436"/>
      <c r="AA51" s="182"/>
      <c r="AB51" s="182"/>
      <c r="AC51" s="436" t="e">
        <f t="shared" si="31"/>
        <v>#N/A</v>
      </c>
      <c r="AD51" s="572"/>
      <c r="AE51" s="436"/>
      <c r="AF51" s="182"/>
      <c r="AG51" s="182"/>
      <c r="AH51" s="436" t="e">
        <f t="shared" si="32"/>
        <v>#N/A</v>
      </c>
      <c r="AI51" s="572"/>
      <c r="AJ51" s="436"/>
      <c r="AK51" s="182"/>
      <c r="AL51" s="182"/>
      <c r="AM51" s="436" t="e">
        <f t="shared" si="33"/>
        <v>#N/A</v>
      </c>
      <c r="AN51" s="572"/>
      <c r="AO51" s="436"/>
      <c r="AP51" s="182"/>
      <c r="AQ51" s="182"/>
      <c r="AR51" s="436" t="e">
        <f t="shared" si="34"/>
        <v>#N/A</v>
      </c>
      <c r="AS51" s="572"/>
      <c r="AT51" s="436"/>
      <c r="AU51" s="182"/>
      <c r="AV51" s="182"/>
      <c r="AW51" s="436" t="e">
        <f t="shared" si="35"/>
        <v>#N/A</v>
      </c>
      <c r="AX51" s="572"/>
    </row>
    <row r="52" spans="2:50">
      <c r="B52" s="572"/>
      <c r="C52" s="436">
        <v>6</v>
      </c>
      <c r="D52" s="226" t="s">
        <v>611</v>
      </c>
      <c r="E52" s="182">
        <v>18</v>
      </c>
      <c r="F52" s="436">
        <v>1500</v>
      </c>
      <c r="G52" s="437">
        <v>83.3</v>
      </c>
      <c r="H52" s="609"/>
      <c r="I52" s="446">
        <f t="shared" si="28"/>
        <v>18</v>
      </c>
      <c r="J52" s="446">
        <f t="shared" si="28"/>
        <v>1261.4619938372089</v>
      </c>
      <c r="K52" s="438">
        <f t="shared" si="28"/>
        <v>70.081221879844932</v>
      </c>
      <c r="L52" s="541"/>
      <c r="M52" s="445">
        <f>RANK(K52, K$47:$K$61)</f>
        <v>4</v>
      </c>
      <c r="N52" s="559"/>
      <c r="O52" s="559"/>
      <c r="P52" s="436">
        <v>18</v>
      </c>
      <c r="Q52" s="182">
        <v>1273.3333333333328</v>
      </c>
      <c r="R52" s="182">
        <v>70.740740740740705</v>
      </c>
      <c r="S52" s="436">
        <f t="shared" si="29"/>
        <v>4</v>
      </c>
      <c r="T52" s="572"/>
      <c r="U52" s="436">
        <v>18</v>
      </c>
      <c r="V52" s="182">
        <v>1294.8571428571424</v>
      </c>
      <c r="W52" s="182">
        <v>71.936507936507908</v>
      </c>
      <c r="X52" s="436">
        <f t="shared" si="30"/>
        <v>3</v>
      </c>
      <c r="Y52" s="572"/>
      <c r="Z52" s="436">
        <v>18</v>
      </c>
      <c r="AA52" s="182">
        <v>1256.9696969696965</v>
      </c>
      <c r="AB52" s="182">
        <v>69.831649831649813</v>
      </c>
      <c r="AC52" s="436">
        <f t="shared" si="31"/>
        <v>4</v>
      </c>
      <c r="AD52" s="572"/>
      <c r="AE52" s="436">
        <v>18</v>
      </c>
      <c r="AF52" s="182">
        <v>1257.10843373494</v>
      </c>
      <c r="AG52" s="182">
        <v>69.839357429718888</v>
      </c>
      <c r="AH52" s="436">
        <f t="shared" si="32"/>
        <v>4</v>
      </c>
      <c r="AI52" s="572"/>
      <c r="AJ52" s="436">
        <v>18</v>
      </c>
      <c r="AK52" s="182">
        <v>1281.3333333333333</v>
      </c>
      <c r="AL52" s="182">
        <v>71.185185185185176</v>
      </c>
      <c r="AM52" s="436">
        <f t="shared" si="33"/>
        <v>3</v>
      </c>
      <c r="AN52" s="572"/>
      <c r="AO52" s="436">
        <v>18</v>
      </c>
      <c r="AP52" s="182">
        <v>1262.3076923076919</v>
      </c>
      <c r="AQ52" s="182">
        <v>70.12820512820511</v>
      </c>
      <c r="AR52" s="436">
        <f t="shared" si="34"/>
        <v>4</v>
      </c>
      <c r="AS52" s="572"/>
      <c r="AT52" s="436">
        <v>18</v>
      </c>
      <c r="AU52" s="182">
        <v>1204.3243243243244</v>
      </c>
      <c r="AV52" s="182">
        <v>66.906906906906912</v>
      </c>
      <c r="AW52" s="436">
        <f t="shared" si="35"/>
        <v>4</v>
      </c>
      <c r="AX52" s="572"/>
    </row>
    <row r="53" spans="2:50">
      <c r="B53" s="572"/>
      <c r="C53" s="436">
        <v>7</v>
      </c>
      <c r="D53" s="226" t="s">
        <v>615</v>
      </c>
      <c r="E53" s="182">
        <v>19</v>
      </c>
      <c r="F53" s="436">
        <v>1385</v>
      </c>
      <c r="G53" s="437">
        <v>72.900000000000006</v>
      </c>
      <c r="H53" s="609"/>
      <c r="I53" s="446">
        <f t="shared" si="28"/>
        <v>18.142857142857142</v>
      </c>
      <c r="J53" s="446">
        <f t="shared" si="28"/>
        <v>1009.1055196519707</v>
      </c>
      <c r="K53" s="438">
        <f t="shared" si="28"/>
        <v>55.572151113569753</v>
      </c>
      <c r="L53" s="541"/>
      <c r="M53" s="445">
        <f>RANK(K53, K$47:$K$61)</f>
        <v>5</v>
      </c>
      <c r="N53" s="559"/>
      <c r="O53" s="559"/>
      <c r="P53" s="436">
        <v>19</v>
      </c>
      <c r="Q53" s="182">
        <v>1171.3043478260831</v>
      </c>
      <c r="R53" s="182">
        <v>61.647597254004374</v>
      </c>
      <c r="S53" s="436">
        <f t="shared" si="29"/>
        <v>5</v>
      </c>
      <c r="T53" s="572"/>
      <c r="U53" s="436">
        <v>18</v>
      </c>
      <c r="V53" s="182">
        <v>992.30769230768965</v>
      </c>
      <c r="W53" s="182">
        <v>55.128205128204982</v>
      </c>
      <c r="X53" s="436">
        <f t="shared" si="30"/>
        <v>5</v>
      </c>
      <c r="Y53" s="572"/>
      <c r="Z53" s="436">
        <v>18</v>
      </c>
      <c r="AA53" s="182">
        <v>971.53846153845905</v>
      </c>
      <c r="AB53" s="182">
        <v>53.974358974358836</v>
      </c>
      <c r="AC53" s="436">
        <f t="shared" si="31"/>
        <v>5</v>
      </c>
      <c r="AD53" s="572"/>
      <c r="AE53" s="436">
        <v>18</v>
      </c>
      <c r="AF53" s="182">
        <v>975.78947368420972</v>
      </c>
      <c r="AG53" s="182">
        <v>54.21052631578943</v>
      </c>
      <c r="AH53" s="436">
        <f t="shared" si="32"/>
        <v>5</v>
      </c>
      <c r="AI53" s="572"/>
      <c r="AJ53" s="436">
        <v>18</v>
      </c>
      <c r="AK53" s="182">
        <v>1003.2000000000004</v>
      </c>
      <c r="AL53" s="182">
        <v>55.733333333333356</v>
      </c>
      <c r="AM53" s="436">
        <f t="shared" si="33"/>
        <v>5</v>
      </c>
      <c r="AN53" s="572"/>
      <c r="AO53" s="436">
        <v>18</v>
      </c>
      <c r="AP53" s="182">
        <v>996.52173913043146</v>
      </c>
      <c r="AQ53" s="182">
        <v>55.362318840579526</v>
      </c>
      <c r="AR53" s="436">
        <f t="shared" si="34"/>
        <v>5</v>
      </c>
      <c r="AS53" s="572"/>
      <c r="AT53" s="436">
        <v>18</v>
      </c>
      <c r="AU53" s="182">
        <v>953.07692307692059</v>
      </c>
      <c r="AV53" s="182">
        <v>52.948717948717814</v>
      </c>
      <c r="AW53" s="436">
        <f t="shared" si="35"/>
        <v>5</v>
      </c>
      <c r="AX53" s="572"/>
    </row>
    <row r="54" spans="2:50">
      <c r="B54" s="572"/>
      <c r="C54" s="436">
        <v>8</v>
      </c>
      <c r="D54" s="226" t="s">
        <v>663</v>
      </c>
      <c r="E54" s="182">
        <v>21</v>
      </c>
      <c r="F54" s="436">
        <v>1385</v>
      </c>
      <c r="G54" s="437">
        <v>65.900000000000006</v>
      </c>
      <c r="H54" s="609"/>
      <c r="I54" s="446">
        <f t="shared" si="28"/>
        <v>19.5</v>
      </c>
      <c r="J54" s="446">
        <f t="shared" si="28"/>
        <v>980.55555555555361</v>
      </c>
      <c r="K54" s="438">
        <f t="shared" si="28"/>
        <v>50.304093567251364</v>
      </c>
      <c r="L54" s="541"/>
      <c r="M54" s="445">
        <f>RANK(K54, K$47:$K$61)</f>
        <v>8</v>
      </c>
      <c r="N54" s="559"/>
      <c r="O54" s="559"/>
      <c r="P54" s="436">
        <v>20</v>
      </c>
      <c r="Q54" s="182">
        <v>991.11111111110881</v>
      </c>
      <c r="R54" s="182">
        <v>49.555555555555443</v>
      </c>
      <c r="S54" s="436">
        <f t="shared" si="29"/>
        <v>8</v>
      </c>
      <c r="T54" s="572"/>
      <c r="U54" s="436">
        <v>19</v>
      </c>
      <c r="V54" s="182">
        <v>969.99999999999841</v>
      </c>
      <c r="W54" s="182">
        <v>51.052631578947285</v>
      </c>
      <c r="X54" s="436">
        <f t="shared" si="30"/>
        <v>7</v>
      </c>
      <c r="Y54" s="572"/>
      <c r="Z54" s="436"/>
      <c r="AA54" s="182"/>
      <c r="AB54" s="182"/>
      <c r="AC54" s="436" t="e">
        <f t="shared" si="31"/>
        <v>#N/A</v>
      </c>
      <c r="AD54" s="572"/>
      <c r="AE54" s="436"/>
      <c r="AF54" s="182"/>
      <c r="AG54" s="182"/>
      <c r="AH54" s="436" t="e">
        <f t="shared" si="32"/>
        <v>#N/A</v>
      </c>
      <c r="AI54" s="572"/>
      <c r="AJ54" s="436"/>
      <c r="AK54" s="182"/>
      <c r="AL54" s="182"/>
      <c r="AM54" s="436" t="e">
        <f t="shared" si="33"/>
        <v>#N/A</v>
      </c>
      <c r="AN54" s="572"/>
      <c r="AO54" s="436"/>
      <c r="AP54" s="182"/>
      <c r="AQ54" s="182"/>
      <c r="AR54" s="436" t="e">
        <f t="shared" si="34"/>
        <v>#N/A</v>
      </c>
      <c r="AS54" s="572"/>
      <c r="AT54" s="436"/>
      <c r="AU54" s="182"/>
      <c r="AV54" s="182"/>
      <c r="AW54" s="436" t="e">
        <f t="shared" si="35"/>
        <v>#N/A</v>
      </c>
      <c r="AX54" s="572"/>
    </row>
    <row r="55" spans="2:50">
      <c r="B55" s="572"/>
      <c r="C55" s="436">
        <v>9</v>
      </c>
      <c r="D55" s="226"/>
      <c r="E55" s="182"/>
      <c r="F55" s="436"/>
      <c r="G55" s="437"/>
      <c r="H55" s="609"/>
      <c r="I55" s="446"/>
      <c r="J55" s="446"/>
      <c r="K55" s="438"/>
      <c r="L55" s="541"/>
      <c r="M55" s="445" t="e">
        <f>RANK(K55, K$47:$K$61)</f>
        <v>#N/A</v>
      </c>
      <c r="N55" s="559"/>
      <c r="O55" s="559"/>
      <c r="P55" s="436"/>
      <c r="Q55" s="182"/>
      <c r="R55" s="182"/>
      <c r="S55" s="436" t="e">
        <f t="shared" si="29"/>
        <v>#N/A</v>
      </c>
      <c r="T55" s="572"/>
      <c r="U55" s="436"/>
      <c r="V55" s="182"/>
      <c r="W55" s="182"/>
      <c r="X55" s="436" t="e">
        <f t="shared" si="30"/>
        <v>#N/A</v>
      </c>
      <c r="Y55" s="572"/>
      <c r="Z55" s="436"/>
      <c r="AA55" s="182"/>
      <c r="AB55" s="182"/>
      <c r="AC55" s="436" t="e">
        <f t="shared" si="31"/>
        <v>#N/A</v>
      </c>
      <c r="AD55" s="572"/>
      <c r="AE55" s="436"/>
      <c r="AF55" s="182"/>
      <c r="AG55" s="182"/>
      <c r="AH55" s="436" t="e">
        <f t="shared" si="32"/>
        <v>#N/A</v>
      </c>
      <c r="AI55" s="572"/>
      <c r="AJ55" s="436"/>
      <c r="AK55" s="182"/>
      <c r="AL55" s="182"/>
      <c r="AM55" s="436" t="e">
        <f t="shared" si="33"/>
        <v>#N/A</v>
      </c>
      <c r="AN55" s="572"/>
      <c r="AO55" s="436"/>
      <c r="AP55" s="182"/>
      <c r="AQ55" s="182"/>
      <c r="AR55" s="436" t="e">
        <f t="shared" si="34"/>
        <v>#N/A</v>
      </c>
      <c r="AS55" s="572"/>
      <c r="AT55" s="436"/>
      <c r="AU55" s="182"/>
      <c r="AV55" s="182"/>
      <c r="AW55" s="436" t="e">
        <f t="shared" si="35"/>
        <v>#N/A</v>
      </c>
      <c r="AX55" s="572"/>
    </row>
    <row r="56" spans="2:50">
      <c r="B56" s="572"/>
      <c r="C56" s="436">
        <v>10</v>
      </c>
      <c r="D56" s="226"/>
      <c r="E56" s="182"/>
      <c r="F56" s="436"/>
      <c r="G56" s="437"/>
      <c r="H56" s="609"/>
      <c r="I56" s="446"/>
      <c r="J56" s="446"/>
      <c r="K56" s="438"/>
      <c r="L56" s="541"/>
      <c r="M56" s="445" t="e">
        <f>RANK(K56, K$47:$K$61)</f>
        <v>#N/A</v>
      </c>
      <c r="N56" s="559"/>
      <c r="O56" s="559"/>
      <c r="P56" s="436"/>
      <c r="Q56" s="182"/>
      <c r="R56" s="182"/>
      <c r="S56" s="436" t="e">
        <f t="shared" si="29"/>
        <v>#N/A</v>
      </c>
      <c r="T56" s="572"/>
      <c r="U56" s="436"/>
      <c r="V56" s="182"/>
      <c r="W56" s="182"/>
      <c r="X56" s="436" t="e">
        <f t="shared" si="30"/>
        <v>#N/A</v>
      </c>
      <c r="Y56" s="572"/>
      <c r="Z56" s="436"/>
      <c r="AA56" s="182"/>
      <c r="AB56" s="182"/>
      <c r="AC56" s="436" t="e">
        <f t="shared" si="31"/>
        <v>#N/A</v>
      </c>
      <c r="AD56" s="572"/>
      <c r="AE56" s="436"/>
      <c r="AF56" s="182"/>
      <c r="AG56" s="182"/>
      <c r="AH56" s="436" t="e">
        <f t="shared" si="32"/>
        <v>#N/A</v>
      </c>
      <c r="AI56" s="572"/>
      <c r="AJ56" s="436"/>
      <c r="AK56" s="182"/>
      <c r="AL56" s="182"/>
      <c r="AM56" s="436" t="e">
        <f t="shared" si="33"/>
        <v>#N/A</v>
      </c>
      <c r="AN56" s="572"/>
      <c r="AO56" s="436"/>
      <c r="AP56" s="182"/>
      <c r="AQ56" s="182"/>
      <c r="AR56" s="436" t="e">
        <f t="shared" si="34"/>
        <v>#N/A</v>
      </c>
      <c r="AS56" s="572"/>
      <c r="AT56" s="436"/>
      <c r="AU56" s="182"/>
      <c r="AV56" s="182"/>
      <c r="AW56" s="436" t="e">
        <f t="shared" si="35"/>
        <v>#N/A</v>
      </c>
      <c r="AX56" s="572"/>
    </row>
    <row r="57" spans="2:50">
      <c r="B57" s="572"/>
      <c r="C57" s="436">
        <v>11</v>
      </c>
      <c r="D57" s="226"/>
      <c r="E57" s="182"/>
      <c r="F57" s="436"/>
      <c r="G57" s="437"/>
      <c r="H57" s="609"/>
      <c r="I57" s="446"/>
      <c r="J57" s="446"/>
      <c r="K57" s="438"/>
      <c r="L57" s="541"/>
      <c r="M57" s="445" t="e">
        <f>RANK(K57, K$47:$K$61)</f>
        <v>#N/A</v>
      </c>
      <c r="N57" s="559"/>
      <c r="O57" s="559"/>
      <c r="P57" s="436"/>
      <c r="Q57" s="182"/>
      <c r="R57" s="182"/>
      <c r="S57" s="436" t="e">
        <f t="shared" si="29"/>
        <v>#N/A</v>
      </c>
      <c r="T57" s="572"/>
      <c r="U57" s="436"/>
      <c r="V57" s="182"/>
      <c r="W57" s="182"/>
      <c r="X57" s="436" t="e">
        <f t="shared" si="30"/>
        <v>#N/A</v>
      </c>
      <c r="Y57" s="572"/>
      <c r="Z57" s="436"/>
      <c r="AA57" s="182"/>
      <c r="AB57" s="182"/>
      <c r="AC57" s="436" t="e">
        <f t="shared" si="31"/>
        <v>#N/A</v>
      </c>
      <c r="AD57" s="572"/>
      <c r="AE57" s="436"/>
      <c r="AF57" s="182"/>
      <c r="AG57" s="182"/>
      <c r="AH57" s="436" t="e">
        <f t="shared" si="32"/>
        <v>#N/A</v>
      </c>
      <c r="AI57" s="572"/>
      <c r="AJ57" s="436"/>
      <c r="AK57" s="182"/>
      <c r="AL57" s="182"/>
      <c r="AM57" s="436" t="e">
        <f t="shared" si="33"/>
        <v>#N/A</v>
      </c>
      <c r="AN57" s="572"/>
      <c r="AO57" s="436"/>
      <c r="AP57" s="182"/>
      <c r="AQ57" s="182"/>
      <c r="AR57" s="436" t="e">
        <f t="shared" si="34"/>
        <v>#N/A</v>
      </c>
      <c r="AS57" s="572"/>
      <c r="AT57" s="436"/>
      <c r="AU57" s="182"/>
      <c r="AV57" s="182"/>
      <c r="AW57" s="436" t="e">
        <f t="shared" si="35"/>
        <v>#N/A</v>
      </c>
      <c r="AX57" s="572"/>
    </row>
    <row r="58" spans="2:50">
      <c r="B58" s="572"/>
      <c r="C58" s="436">
        <v>12</v>
      </c>
      <c r="D58" s="226"/>
      <c r="E58" s="182"/>
      <c r="F58" s="436"/>
      <c r="G58" s="437"/>
      <c r="H58" s="609"/>
      <c r="I58" s="446"/>
      <c r="J58" s="446"/>
      <c r="K58" s="438"/>
      <c r="L58" s="541"/>
      <c r="M58" s="445" t="e">
        <f>RANK(K58, K$47:$K$61)</f>
        <v>#N/A</v>
      </c>
      <c r="N58" s="559"/>
      <c r="O58" s="559"/>
      <c r="P58" s="436"/>
      <c r="Q58" s="182"/>
      <c r="R58" s="182"/>
      <c r="S58" s="436" t="e">
        <f t="shared" si="29"/>
        <v>#N/A</v>
      </c>
      <c r="T58" s="572"/>
      <c r="U58" s="436"/>
      <c r="V58" s="182"/>
      <c r="W58" s="182"/>
      <c r="X58" s="436" t="e">
        <f t="shared" si="30"/>
        <v>#N/A</v>
      </c>
      <c r="Y58" s="572"/>
      <c r="Z58" s="436"/>
      <c r="AA58" s="182"/>
      <c r="AB58" s="182"/>
      <c r="AC58" s="436" t="e">
        <f t="shared" si="31"/>
        <v>#N/A</v>
      </c>
      <c r="AD58" s="572"/>
      <c r="AE58" s="436"/>
      <c r="AF58" s="182"/>
      <c r="AG58" s="182"/>
      <c r="AH58" s="436" t="e">
        <f t="shared" si="32"/>
        <v>#N/A</v>
      </c>
      <c r="AI58" s="572"/>
      <c r="AJ58" s="436"/>
      <c r="AK58" s="182"/>
      <c r="AL58" s="182"/>
      <c r="AM58" s="436" t="e">
        <f t="shared" si="33"/>
        <v>#N/A</v>
      </c>
      <c r="AN58" s="572"/>
      <c r="AO58" s="436"/>
      <c r="AP58" s="182"/>
      <c r="AQ58" s="182"/>
      <c r="AR58" s="436" t="e">
        <f t="shared" si="34"/>
        <v>#N/A</v>
      </c>
      <c r="AS58" s="572"/>
      <c r="AT58" s="436"/>
      <c r="AU58" s="182"/>
      <c r="AV58" s="182"/>
      <c r="AW58" s="436" t="e">
        <f t="shared" si="35"/>
        <v>#N/A</v>
      </c>
      <c r="AX58" s="572"/>
    </row>
    <row r="59" spans="2:50">
      <c r="B59" s="572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41"/>
      <c r="M59" s="445" t="e">
        <f>RANK(K59, K$47:$K$61)</f>
        <v>#N/A</v>
      </c>
      <c r="N59" s="559"/>
      <c r="O59" s="559"/>
      <c r="P59" s="436"/>
      <c r="Q59" s="436"/>
      <c r="R59" s="436"/>
      <c r="S59" s="436" t="e">
        <f t="shared" si="29"/>
        <v>#N/A</v>
      </c>
      <c r="T59" s="572"/>
      <c r="U59" s="436"/>
      <c r="V59" s="436"/>
      <c r="W59" s="436"/>
      <c r="X59" s="436" t="e">
        <f t="shared" si="30"/>
        <v>#N/A</v>
      </c>
      <c r="Y59" s="572"/>
      <c r="Z59" s="436"/>
      <c r="AA59" s="436"/>
      <c r="AB59" s="436"/>
      <c r="AC59" s="436" t="e">
        <f t="shared" si="31"/>
        <v>#N/A</v>
      </c>
      <c r="AD59" s="572"/>
      <c r="AE59" s="436"/>
      <c r="AF59" s="436"/>
      <c r="AG59" s="436"/>
      <c r="AH59" s="436" t="e">
        <f t="shared" si="32"/>
        <v>#N/A</v>
      </c>
      <c r="AI59" s="572"/>
      <c r="AJ59" s="436"/>
      <c r="AK59" s="436"/>
      <c r="AL59" s="436"/>
      <c r="AM59" s="436" t="e">
        <f t="shared" si="33"/>
        <v>#N/A</v>
      </c>
      <c r="AN59" s="572"/>
      <c r="AO59" s="436"/>
      <c r="AP59" s="436"/>
      <c r="AQ59" s="436"/>
      <c r="AR59" s="436" t="e">
        <f t="shared" si="34"/>
        <v>#N/A</v>
      </c>
      <c r="AS59" s="572"/>
      <c r="AT59" s="436"/>
      <c r="AU59" s="436"/>
      <c r="AV59" s="436"/>
      <c r="AW59" s="436" t="e">
        <f t="shared" si="35"/>
        <v>#N/A</v>
      </c>
      <c r="AX59" s="572"/>
    </row>
    <row r="60" spans="2:50">
      <c r="B60" s="572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41"/>
      <c r="M60" s="445" t="e">
        <f>RANK(K60, K$47:$K$61)</f>
        <v>#N/A</v>
      </c>
      <c r="N60" s="559"/>
      <c r="O60" s="559"/>
      <c r="P60" s="436"/>
      <c r="Q60" s="436"/>
      <c r="R60" s="436"/>
      <c r="S60" s="436" t="e">
        <f t="shared" si="29"/>
        <v>#N/A</v>
      </c>
      <c r="T60" s="572"/>
      <c r="U60" s="436"/>
      <c r="V60" s="436"/>
      <c r="W60" s="436"/>
      <c r="X60" s="436" t="e">
        <f t="shared" si="30"/>
        <v>#N/A</v>
      </c>
      <c r="Y60" s="572"/>
      <c r="Z60" s="436"/>
      <c r="AA60" s="436"/>
      <c r="AB60" s="436"/>
      <c r="AC60" s="436" t="e">
        <f t="shared" si="31"/>
        <v>#N/A</v>
      </c>
      <c r="AD60" s="572"/>
      <c r="AE60" s="436"/>
      <c r="AF60" s="436"/>
      <c r="AG60" s="436"/>
      <c r="AH60" s="436" t="e">
        <f t="shared" si="32"/>
        <v>#N/A</v>
      </c>
      <c r="AI60" s="572"/>
      <c r="AJ60" s="436"/>
      <c r="AK60" s="436"/>
      <c r="AL60" s="436"/>
      <c r="AM60" s="436" t="e">
        <f t="shared" si="33"/>
        <v>#N/A</v>
      </c>
      <c r="AN60" s="572"/>
      <c r="AO60" s="436"/>
      <c r="AP60" s="436"/>
      <c r="AQ60" s="436"/>
      <c r="AR60" s="436" t="e">
        <f t="shared" si="34"/>
        <v>#N/A</v>
      </c>
      <c r="AS60" s="572"/>
      <c r="AT60" s="436"/>
      <c r="AU60" s="436"/>
      <c r="AV60" s="436"/>
      <c r="AW60" s="436" t="e">
        <f t="shared" si="35"/>
        <v>#N/A</v>
      </c>
      <c r="AX60" s="572"/>
    </row>
    <row r="61" spans="2:50">
      <c r="B61" s="572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42"/>
      <c r="M61" s="445" t="e">
        <f>RANK(K61, K$47:$K$61)</f>
        <v>#N/A</v>
      </c>
      <c r="N61" s="559"/>
      <c r="O61" s="559"/>
      <c r="P61" s="436"/>
      <c r="Q61" s="436"/>
      <c r="R61" s="436"/>
      <c r="S61" s="436" t="e">
        <f t="shared" si="29"/>
        <v>#N/A</v>
      </c>
      <c r="T61" s="572"/>
      <c r="U61" s="436"/>
      <c r="V61" s="436"/>
      <c r="W61" s="436"/>
      <c r="X61" s="436" t="e">
        <f t="shared" si="30"/>
        <v>#N/A</v>
      </c>
      <c r="Y61" s="572"/>
      <c r="Z61" s="436"/>
      <c r="AA61" s="436"/>
      <c r="AB61" s="436"/>
      <c r="AC61" s="436" t="e">
        <f t="shared" si="31"/>
        <v>#N/A</v>
      </c>
      <c r="AD61" s="572"/>
      <c r="AE61" s="436"/>
      <c r="AF61" s="436"/>
      <c r="AG61" s="436"/>
      <c r="AH61" s="436" t="e">
        <f t="shared" si="32"/>
        <v>#N/A</v>
      </c>
      <c r="AI61" s="572"/>
      <c r="AJ61" s="436"/>
      <c r="AK61" s="436"/>
      <c r="AL61" s="436"/>
      <c r="AM61" s="436" t="e">
        <f t="shared" si="33"/>
        <v>#N/A</v>
      </c>
      <c r="AN61" s="572"/>
      <c r="AO61" s="436"/>
      <c r="AP61" s="436"/>
      <c r="AQ61" s="436"/>
      <c r="AR61" s="436" t="e">
        <f t="shared" si="34"/>
        <v>#N/A</v>
      </c>
      <c r="AS61" s="572"/>
      <c r="AT61" s="436"/>
      <c r="AU61" s="436"/>
      <c r="AV61" s="436"/>
      <c r="AW61" s="436" t="e">
        <f t="shared" si="35"/>
        <v>#N/A</v>
      </c>
      <c r="AX61" s="572"/>
    </row>
    <row r="62" spans="2:50" ht="15.75">
      <c r="B62" s="576" t="s">
        <v>731</v>
      </c>
      <c r="C62" s="577"/>
      <c r="D62" s="577"/>
      <c r="E62" s="577"/>
      <c r="F62" s="577"/>
      <c r="G62" s="577"/>
      <c r="H62" s="578"/>
      <c r="I62" s="208"/>
      <c r="J62" s="208"/>
      <c r="K62" s="208"/>
      <c r="L62" s="208"/>
      <c r="M62" s="207"/>
      <c r="N62" s="565" t="s">
        <v>732</v>
      </c>
      <c r="O62" s="565" t="s">
        <v>733</v>
      </c>
      <c r="P62" s="571">
        <f>P42+7</f>
        <v>20</v>
      </c>
      <c r="Q62" s="572"/>
      <c r="R62" s="572"/>
      <c r="S62" s="572"/>
      <c r="T62" s="572"/>
      <c r="U62" s="568">
        <f>P62+1</f>
        <v>21</v>
      </c>
      <c r="V62" s="569"/>
      <c r="W62" s="569"/>
      <c r="X62" s="569"/>
      <c r="Y62" s="570"/>
      <c r="Z62" s="568">
        <f>U62+1</f>
        <v>22</v>
      </c>
      <c r="AA62" s="569"/>
      <c r="AB62" s="569"/>
      <c r="AC62" s="569"/>
      <c r="AD62" s="570"/>
      <c r="AE62" s="568">
        <f>Z62+1</f>
        <v>23</v>
      </c>
      <c r="AF62" s="569"/>
      <c r="AG62" s="569"/>
      <c r="AH62" s="569"/>
      <c r="AI62" s="570"/>
      <c r="AJ62" s="568">
        <f>AE62+1</f>
        <v>24</v>
      </c>
      <c r="AK62" s="569"/>
      <c r="AL62" s="569"/>
      <c r="AM62" s="569"/>
      <c r="AN62" s="570"/>
      <c r="AO62" s="568">
        <f>AJ62+1</f>
        <v>25</v>
      </c>
      <c r="AP62" s="569"/>
      <c r="AQ62" s="569"/>
      <c r="AR62" s="569"/>
      <c r="AS62" s="570"/>
      <c r="AT62" s="568">
        <f>AO62+1</f>
        <v>26</v>
      </c>
      <c r="AU62" s="569"/>
      <c r="AV62" s="569"/>
      <c r="AW62" s="569"/>
      <c r="AX62" s="570"/>
    </row>
    <row r="63" spans="2:50" ht="15.75">
      <c r="B63" s="579"/>
      <c r="C63" s="579"/>
      <c r="D63" s="579"/>
      <c r="E63" s="579"/>
      <c r="F63" s="579"/>
      <c r="G63" s="579"/>
      <c r="H63" s="579"/>
      <c r="I63" s="205"/>
      <c r="J63" s="205"/>
      <c r="K63" s="205"/>
      <c r="L63" s="205"/>
      <c r="M63" s="206"/>
      <c r="N63" s="567"/>
      <c r="O63" s="567"/>
      <c r="P63" s="571" t="s">
        <v>734</v>
      </c>
      <c r="Q63" s="572"/>
      <c r="R63" s="572"/>
      <c r="S63" s="572"/>
      <c r="T63" s="572"/>
      <c r="U63" s="571" t="s">
        <v>735</v>
      </c>
      <c r="V63" s="572"/>
      <c r="W63" s="572"/>
      <c r="X63" s="572"/>
      <c r="Y63" s="572"/>
      <c r="Z63" s="571" t="s">
        <v>736</v>
      </c>
      <c r="AA63" s="572"/>
      <c r="AB63" s="572"/>
      <c r="AC63" s="572"/>
      <c r="AD63" s="572"/>
      <c r="AE63" s="571" t="s">
        <v>737</v>
      </c>
      <c r="AF63" s="572"/>
      <c r="AG63" s="572"/>
      <c r="AH63" s="572"/>
      <c r="AI63" s="572"/>
      <c r="AJ63" s="571" t="s">
        <v>738</v>
      </c>
      <c r="AK63" s="572"/>
      <c r="AL63" s="572"/>
      <c r="AM63" s="572"/>
      <c r="AN63" s="572"/>
      <c r="AO63" s="571" t="s">
        <v>739</v>
      </c>
      <c r="AP63" s="572"/>
      <c r="AQ63" s="572"/>
      <c r="AR63" s="572"/>
      <c r="AS63" s="572"/>
      <c r="AT63" s="571" t="s">
        <v>740</v>
      </c>
      <c r="AU63" s="572"/>
      <c r="AV63" s="572"/>
      <c r="AW63" s="572"/>
      <c r="AX63" s="572"/>
    </row>
    <row r="64" spans="2:50">
      <c r="B64" s="559" t="s">
        <v>741</v>
      </c>
      <c r="C64" s="559" t="s">
        <v>742</v>
      </c>
      <c r="D64" s="559"/>
      <c r="E64" s="559" t="s">
        <v>743</v>
      </c>
      <c r="F64" s="559"/>
      <c r="G64" s="559"/>
      <c r="H64" s="560" t="s">
        <v>744</v>
      </c>
      <c r="I64" s="543" t="s">
        <v>745</v>
      </c>
      <c r="J64" s="543"/>
      <c r="K64" s="543"/>
      <c r="L64" s="544" t="s">
        <v>744</v>
      </c>
      <c r="M64" s="550" t="s">
        <v>746</v>
      </c>
      <c r="N64" s="559"/>
      <c r="O64" s="559" t="s">
        <v>747</v>
      </c>
      <c r="P64" s="556" t="s">
        <v>748</v>
      </c>
      <c r="Q64" s="557"/>
      <c r="R64" s="557"/>
      <c r="S64" s="558"/>
      <c r="T64" s="559" t="s">
        <v>744</v>
      </c>
      <c r="U64" s="556" t="s">
        <v>748</v>
      </c>
      <c r="V64" s="557"/>
      <c r="W64" s="557"/>
      <c r="X64" s="558"/>
      <c r="Y64" s="559" t="s">
        <v>744</v>
      </c>
      <c r="Z64" s="556" t="s">
        <v>748</v>
      </c>
      <c r="AA64" s="557"/>
      <c r="AB64" s="557"/>
      <c r="AC64" s="558"/>
      <c r="AD64" s="559" t="s">
        <v>744</v>
      </c>
      <c r="AE64" s="556" t="s">
        <v>748</v>
      </c>
      <c r="AF64" s="557"/>
      <c r="AG64" s="557"/>
      <c r="AH64" s="558"/>
      <c r="AI64" s="559" t="s">
        <v>744</v>
      </c>
      <c r="AJ64" s="556" t="s">
        <v>748</v>
      </c>
      <c r="AK64" s="557"/>
      <c r="AL64" s="557"/>
      <c r="AM64" s="558"/>
      <c r="AN64" s="559" t="s">
        <v>744</v>
      </c>
      <c r="AO64" s="556" t="s">
        <v>748</v>
      </c>
      <c r="AP64" s="557"/>
      <c r="AQ64" s="557"/>
      <c r="AR64" s="558"/>
      <c r="AS64" s="559" t="s">
        <v>744</v>
      </c>
      <c r="AT64" s="556" t="s">
        <v>748</v>
      </c>
      <c r="AU64" s="557"/>
      <c r="AV64" s="557"/>
      <c r="AW64" s="558"/>
      <c r="AX64" s="559" t="s">
        <v>744</v>
      </c>
    </row>
    <row r="65" spans="2:50">
      <c r="B65" s="559"/>
      <c r="C65" s="559"/>
      <c r="D65" s="559"/>
      <c r="E65" s="559" t="s">
        <v>749</v>
      </c>
      <c r="F65" s="559"/>
      <c r="G65" s="559"/>
      <c r="H65" s="561"/>
      <c r="I65" s="543" t="s">
        <v>749</v>
      </c>
      <c r="J65" s="543"/>
      <c r="K65" s="543"/>
      <c r="L65" s="545"/>
      <c r="M65" s="551"/>
      <c r="N65" s="559"/>
      <c r="O65" s="559"/>
      <c r="P65" s="556" t="s">
        <v>750</v>
      </c>
      <c r="Q65" s="557"/>
      <c r="R65" s="557"/>
      <c r="S65" s="558"/>
      <c r="T65" s="559"/>
      <c r="U65" s="556" t="s">
        <v>750</v>
      </c>
      <c r="V65" s="557"/>
      <c r="W65" s="557"/>
      <c r="X65" s="558"/>
      <c r="Y65" s="559"/>
      <c r="Z65" s="556" t="s">
        <v>750</v>
      </c>
      <c r="AA65" s="557"/>
      <c r="AB65" s="557"/>
      <c r="AC65" s="558"/>
      <c r="AD65" s="559"/>
      <c r="AE65" s="556" t="s">
        <v>750</v>
      </c>
      <c r="AF65" s="557"/>
      <c r="AG65" s="557"/>
      <c r="AH65" s="558"/>
      <c r="AI65" s="559"/>
      <c r="AJ65" s="556" t="s">
        <v>750</v>
      </c>
      <c r="AK65" s="557"/>
      <c r="AL65" s="557"/>
      <c r="AM65" s="558"/>
      <c r="AN65" s="559"/>
      <c r="AO65" s="556" t="s">
        <v>750</v>
      </c>
      <c r="AP65" s="557"/>
      <c r="AQ65" s="557"/>
      <c r="AR65" s="558"/>
      <c r="AS65" s="559"/>
      <c r="AT65" s="556" t="s">
        <v>750</v>
      </c>
      <c r="AU65" s="557"/>
      <c r="AV65" s="557"/>
      <c r="AW65" s="558"/>
      <c r="AX65" s="559"/>
    </row>
    <row r="66" spans="2:50">
      <c r="B66" s="559"/>
      <c r="C66" s="559"/>
      <c r="D66" s="559"/>
      <c r="E66" s="440" t="s">
        <v>751</v>
      </c>
      <c r="F66" s="440" t="s">
        <v>752</v>
      </c>
      <c r="G66" s="440" t="s">
        <v>753</v>
      </c>
      <c r="H66" s="562"/>
      <c r="I66" s="444" t="s">
        <v>751</v>
      </c>
      <c r="J66" s="444" t="s">
        <v>752</v>
      </c>
      <c r="K66" s="444" t="s">
        <v>753</v>
      </c>
      <c r="L66" s="546"/>
      <c r="M66" s="552"/>
      <c r="N66" s="559"/>
      <c r="O66" s="559"/>
      <c r="P66" s="440" t="s">
        <v>751</v>
      </c>
      <c r="Q66" s="440" t="s">
        <v>752</v>
      </c>
      <c r="R66" s="440" t="s">
        <v>753</v>
      </c>
      <c r="S66" s="440" t="s">
        <v>746</v>
      </c>
      <c r="T66" s="559"/>
      <c r="U66" s="440" t="s">
        <v>751</v>
      </c>
      <c r="V66" s="440" t="s">
        <v>752</v>
      </c>
      <c r="W66" s="440" t="s">
        <v>753</v>
      </c>
      <c r="X66" s="440" t="s">
        <v>746</v>
      </c>
      <c r="Y66" s="559"/>
      <c r="Z66" s="440" t="s">
        <v>751</v>
      </c>
      <c r="AA66" s="440" t="s">
        <v>752</v>
      </c>
      <c r="AB66" s="440" t="s">
        <v>753</v>
      </c>
      <c r="AC66" s="440" t="s">
        <v>746</v>
      </c>
      <c r="AD66" s="559"/>
      <c r="AE66" s="440" t="s">
        <v>751</v>
      </c>
      <c r="AF66" s="440" t="s">
        <v>752</v>
      </c>
      <c r="AG66" s="440" t="s">
        <v>753</v>
      </c>
      <c r="AH66" s="440" t="s">
        <v>746</v>
      </c>
      <c r="AI66" s="559"/>
      <c r="AJ66" s="440" t="s">
        <v>751</v>
      </c>
      <c r="AK66" s="440" t="s">
        <v>752</v>
      </c>
      <c r="AL66" s="440" t="s">
        <v>753</v>
      </c>
      <c r="AM66" s="440" t="s">
        <v>746</v>
      </c>
      <c r="AN66" s="559"/>
      <c r="AO66" s="440" t="s">
        <v>751</v>
      </c>
      <c r="AP66" s="440" t="s">
        <v>752</v>
      </c>
      <c r="AQ66" s="440" t="s">
        <v>753</v>
      </c>
      <c r="AR66" s="440" t="s">
        <v>746</v>
      </c>
      <c r="AS66" s="559"/>
      <c r="AT66" s="440" t="s">
        <v>751</v>
      </c>
      <c r="AU66" s="440" t="s">
        <v>752</v>
      </c>
      <c r="AV66" s="440" t="s">
        <v>753</v>
      </c>
      <c r="AW66" s="440" t="s">
        <v>746</v>
      </c>
      <c r="AX66" s="559"/>
    </row>
    <row r="67" spans="2:50">
      <c r="B67" s="559" t="s">
        <v>794</v>
      </c>
      <c r="C67" s="436">
        <v>1</v>
      </c>
      <c r="D67" s="226" t="s">
        <v>557</v>
      </c>
      <c r="E67" s="182">
        <v>14</v>
      </c>
      <c r="F67" s="436">
        <v>1500</v>
      </c>
      <c r="G67" s="437">
        <v>107.1</v>
      </c>
      <c r="H67" s="608">
        <f>AVERAGE(G67:G81)</f>
        <v>88.963937621832358</v>
      </c>
      <c r="I67" s="446">
        <f>AVERAGE(P67,U67,Z67,AE67,AJ67,AO67,AT67)</f>
        <v>13</v>
      </c>
      <c r="J67" s="446">
        <f>AVERAGE(Q67,V67,AA67,AF67,AK67,AP67,AU67)</f>
        <v>1132.3564059870109</v>
      </c>
      <c r="K67" s="438">
        <f>AVERAGE(R67,W67,AB67,AG67,AL67,AQ67,AV67)</f>
        <v>87.104338922077758</v>
      </c>
      <c r="L67" s="540">
        <f>IFERROR(AVERAGE(K67:K81),"-")</f>
        <v>76.532999763163886</v>
      </c>
      <c r="M67" s="445">
        <f>RANK(K67, K$67:$K$81)</f>
        <v>1</v>
      </c>
      <c r="N67" s="559"/>
      <c r="O67" s="559"/>
      <c r="P67" s="443">
        <v>13</v>
      </c>
      <c r="Q67" s="447">
        <v>1150.3448275862077</v>
      </c>
      <c r="R67" s="447">
        <v>88.488063660477508</v>
      </c>
      <c r="S67" s="436">
        <f>RANK(R67, R$67:R$81)</f>
        <v>1</v>
      </c>
      <c r="T67" s="605">
        <f>AVERAGE(R67:R81)</f>
        <v>77.498283102704079</v>
      </c>
      <c r="U67" s="443">
        <v>13</v>
      </c>
      <c r="V67" s="447">
        <v>1121.5384615384623</v>
      </c>
      <c r="W67" s="447">
        <v>86.272189349112494</v>
      </c>
      <c r="X67" s="436">
        <f t="shared" ref="X67:X81" si="36">RANK(W67, W$67:W$81)</f>
        <v>1</v>
      </c>
      <c r="Y67" s="605">
        <f t="shared" ref="Y67" si="37">AVERAGE(W67:W81)</f>
        <v>75.784231233510127</v>
      </c>
      <c r="Z67" s="443">
        <v>13</v>
      </c>
      <c r="AA67" s="447">
        <v>1128.461538461539</v>
      </c>
      <c r="AB67" s="447">
        <v>86.804733727810699</v>
      </c>
      <c r="AC67" s="436">
        <f t="shared" ref="AC67:AC81" si="38">RANK(AB67, AB$67:AB$81)</f>
        <v>1</v>
      </c>
      <c r="AD67" s="605">
        <f t="shared" ref="AD67" si="39">AVERAGE(AB67:AB81)</f>
        <v>76.621755792127715</v>
      </c>
      <c r="AE67" s="443">
        <v>13</v>
      </c>
      <c r="AF67" s="447">
        <v>1121.7391304347825</v>
      </c>
      <c r="AG67" s="447">
        <v>86.287625418060188</v>
      </c>
      <c r="AH67" s="436">
        <f t="shared" ref="AH67:AH81" si="40">RANK(AG67, AG$67:AG$81)</f>
        <v>1</v>
      </c>
      <c r="AI67" s="605">
        <f t="shared" ref="AI67" si="41">AVERAGE(AG67:AG81)</f>
        <v>75.882488757552863</v>
      </c>
      <c r="AJ67" s="443">
        <v>13</v>
      </c>
      <c r="AK67" s="447">
        <v>1144.1379310344837</v>
      </c>
      <c r="AL67" s="447">
        <v>88.01061007957567</v>
      </c>
      <c r="AM67" s="436">
        <f t="shared" ref="AM67:AM81" si="42">RANK(AL67, AL$67:AL$81)</f>
        <v>1</v>
      </c>
      <c r="AN67" s="605">
        <f t="shared" ref="AN67" si="43">AVERAGE(AL67:AL81)</f>
        <v>76.774446131160047</v>
      </c>
      <c r="AO67" s="443">
        <v>13</v>
      </c>
      <c r="AP67" s="447">
        <v>1137.6923076923083</v>
      </c>
      <c r="AQ67" s="447">
        <v>87.514792899408334</v>
      </c>
      <c r="AR67" s="436">
        <f t="shared" ref="AR67:AR81" si="44">RANK(AQ67, AQ$67:AQ$81)</f>
        <v>1</v>
      </c>
      <c r="AS67" s="605">
        <f t="shared" ref="AS67" si="45">AVERAGE(AQ67:AQ81)</f>
        <v>76.55632924137042</v>
      </c>
      <c r="AT67" s="182">
        <v>13</v>
      </c>
      <c r="AU67" s="182">
        <v>1122.5806451612914</v>
      </c>
      <c r="AV67" s="182">
        <v>86.352357320099344</v>
      </c>
      <c r="AW67" s="436">
        <f t="shared" ref="AW67:AW81" si="46">RANK(AV67, AV$67:AV$81)</f>
        <v>1</v>
      </c>
      <c r="AX67" s="605">
        <f t="shared" ref="AX67" si="47">AVERAGE(AV67:AV81)</f>
        <v>76.613464083721865</v>
      </c>
    </row>
    <row r="68" spans="2:50">
      <c r="B68" s="572"/>
      <c r="C68" s="436">
        <v>2</v>
      </c>
      <c r="D68" s="226" t="s">
        <v>664</v>
      </c>
      <c r="E68" s="182">
        <v>17</v>
      </c>
      <c r="F68" s="436">
        <v>1636</v>
      </c>
      <c r="G68" s="437">
        <v>96.3</v>
      </c>
      <c r="H68" s="609"/>
      <c r="I68" s="446">
        <f t="shared" ref="I68:K72" si="48">AVERAGE(P68,U68,Z68,AE68,AJ68,AO68,AT68)</f>
        <v>17</v>
      </c>
      <c r="J68" s="446">
        <f t="shared" si="48"/>
        <v>1340.131092438816</v>
      </c>
      <c r="K68" s="438">
        <f t="shared" si="48"/>
        <v>78.831240731695047</v>
      </c>
      <c r="L68" s="541"/>
      <c r="M68" s="445">
        <f>RANK(K68, K$67:$K$81)</f>
        <v>2</v>
      </c>
      <c r="N68" s="559"/>
      <c r="O68" s="559"/>
      <c r="P68" s="443">
        <v>17</v>
      </c>
      <c r="Q68" s="447">
        <v>1343.355704697987</v>
      </c>
      <c r="R68" s="447">
        <v>79.020923805763942</v>
      </c>
      <c r="S68" s="436">
        <f t="shared" ref="S68:S81" si="49">RANK(R68, R$67:R$81)</f>
        <v>3</v>
      </c>
      <c r="T68" s="605"/>
      <c r="U68" s="443">
        <v>17</v>
      </c>
      <c r="V68" s="447">
        <v>1350.4687499999998</v>
      </c>
      <c r="W68" s="447">
        <v>79.439338235294102</v>
      </c>
      <c r="X68" s="436">
        <f t="shared" si="36"/>
        <v>2</v>
      </c>
      <c r="Y68" s="605"/>
      <c r="Z68" s="443">
        <v>17</v>
      </c>
      <c r="AA68" s="447">
        <v>1330.0800000000004</v>
      </c>
      <c r="AB68" s="447">
        <v>78.240000000000023</v>
      </c>
      <c r="AC68" s="436">
        <f t="shared" si="38"/>
        <v>3</v>
      </c>
      <c r="AD68" s="605"/>
      <c r="AE68" s="443">
        <v>17</v>
      </c>
      <c r="AF68" s="447">
        <v>1352.4193548387093</v>
      </c>
      <c r="AG68" s="447">
        <v>79.554079696394666</v>
      </c>
      <c r="AH68" s="436">
        <f t="shared" si="40"/>
        <v>2</v>
      </c>
      <c r="AI68" s="605"/>
      <c r="AJ68" s="443">
        <v>17</v>
      </c>
      <c r="AK68" s="447">
        <v>1327.1428571428576</v>
      </c>
      <c r="AL68" s="447">
        <v>78.067226890756331</v>
      </c>
      <c r="AM68" s="436">
        <f t="shared" si="42"/>
        <v>4</v>
      </c>
      <c r="AN68" s="605"/>
      <c r="AO68" s="443">
        <v>17</v>
      </c>
      <c r="AP68" s="447">
        <v>1335.882352941177</v>
      </c>
      <c r="AQ68" s="447">
        <v>78.581314878892769</v>
      </c>
      <c r="AR68" s="436">
        <f t="shared" si="44"/>
        <v>3</v>
      </c>
      <c r="AS68" s="605"/>
      <c r="AT68" s="182">
        <v>17</v>
      </c>
      <c r="AU68" s="182">
        <v>1341.5686274509801</v>
      </c>
      <c r="AV68" s="182">
        <v>78.915801614763538</v>
      </c>
      <c r="AW68" s="436">
        <f t="shared" si="46"/>
        <v>3</v>
      </c>
      <c r="AX68" s="605"/>
    </row>
    <row r="69" spans="2:50">
      <c r="B69" s="572"/>
      <c r="C69" s="436">
        <v>3</v>
      </c>
      <c r="D69" s="226" t="s">
        <v>598</v>
      </c>
      <c r="E69" s="182">
        <v>18</v>
      </c>
      <c r="F69" s="436">
        <v>1500</v>
      </c>
      <c r="G69" s="437">
        <v>83.3</v>
      </c>
      <c r="H69" s="609"/>
      <c r="I69" s="446">
        <f t="shared" si="48"/>
        <v>16.857142857142858</v>
      </c>
      <c r="J69" s="446">
        <f t="shared" si="48"/>
        <v>1316.6312648667067</v>
      </c>
      <c r="K69" s="438">
        <f t="shared" si="48"/>
        <v>78.140001961153729</v>
      </c>
      <c r="L69" s="541"/>
      <c r="M69" s="445">
        <f>RANK(K69, K$67:$K$81)</f>
        <v>4</v>
      </c>
      <c r="N69" s="559"/>
      <c r="O69" s="559"/>
      <c r="P69" s="443">
        <v>16</v>
      </c>
      <c r="Q69" s="447">
        <v>1315.8620689655165</v>
      </c>
      <c r="R69" s="447">
        <v>82.241379310344783</v>
      </c>
      <c r="S69" s="436">
        <f t="shared" si="49"/>
        <v>2</v>
      </c>
      <c r="T69" s="605"/>
      <c r="U69" s="443">
        <v>17</v>
      </c>
      <c r="V69" s="447">
        <v>1316.7272727272737</v>
      </c>
      <c r="W69" s="447">
        <v>77.45454545454551</v>
      </c>
      <c r="X69" s="436">
        <f t="shared" si="36"/>
        <v>4</v>
      </c>
      <c r="Y69" s="605"/>
      <c r="Z69" s="443">
        <v>17</v>
      </c>
      <c r="AA69" s="447">
        <v>1312.2222222222229</v>
      </c>
      <c r="AB69" s="447">
        <v>77.189542483660162</v>
      </c>
      <c r="AC69" s="436">
        <f t="shared" si="38"/>
        <v>5</v>
      </c>
      <c r="AD69" s="605"/>
      <c r="AE69" s="443">
        <v>17</v>
      </c>
      <c r="AF69" s="447">
        <v>1316.7567567567573</v>
      </c>
      <c r="AG69" s="447">
        <v>77.456279809221016</v>
      </c>
      <c r="AH69" s="436">
        <f t="shared" si="40"/>
        <v>3</v>
      </c>
      <c r="AI69" s="605"/>
      <c r="AJ69" s="443">
        <v>17</v>
      </c>
      <c r="AK69" s="447">
        <v>1343.2653061224494</v>
      </c>
      <c r="AL69" s="447">
        <v>79.015606242497029</v>
      </c>
      <c r="AM69" s="436">
        <f t="shared" si="42"/>
        <v>3</v>
      </c>
      <c r="AN69" s="605"/>
      <c r="AO69" s="443">
        <v>17</v>
      </c>
      <c r="AP69" s="447">
        <v>1311.2727272727282</v>
      </c>
      <c r="AQ69" s="447">
        <v>77.133689839572241</v>
      </c>
      <c r="AR69" s="436">
        <f t="shared" si="44"/>
        <v>4</v>
      </c>
      <c r="AS69" s="605"/>
      <c r="AT69" s="182">
        <v>17</v>
      </c>
      <c r="AU69" s="182">
        <v>1300.3124999999998</v>
      </c>
      <c r="AV69" s="182">
        <v>76.488970588235276</v>
      </c>
      <c r="AW69" s="436">
        <f t="shared" si="46"/>
        <v>5</v>
      </c>
      <c r="AX69" s="605"/>
    </row>
    <row r="70" spans="2:50">
      <c r="B70" s="572"/>
      <c r="C70" s="436">
        <v>4</v>
      </c>
      <c r="D70" s="226" t="s">
        <v>611</v>
      </c>
      <c r="E70" s="182">
        <v>18</v>
      </c>
      <c r="F70" s="436">
        <v>1500</v>
      </c>
      <c r="G70" s="437">
        <v>83.3</v>
      </c>
      <c r="H70" s="609"/>
      <c r="I70" s="446">
        <f t="shared" si="48"/>
        <v>17</v>
      </c>
      <c r="J70" s="446">
        <f t="shared" si="48"/>
        <v>1335.7977075592494</v>
      </c>
      <c r="K70" s="438">
        <f t="shared" si="48"/>
        <v>78.576335738779377</v>
      </c>
      <c r="L70" s="541"/>
      <c r="M70" s="445">
        <f>RANK(K70, K$67:$K$81)</f>
        <v>3</v>
      </c>
      <c r="N70" s="559"/>
      <c r="O70" s="559"/>
      <c r="P70" s="443">
        <v>17</v>
      </c>
      <c r="Q70" s="447">
        <v>1322.045454545455</v>
      </c>
      <c r="R70" s="447">
        <v>77.767379679144412</v>
      </c>
      <c r="S70" s="436">
        <f t="shared" si="49"/>
        <v>4</v>
      </c>
      <c r="T70" s="605"/>
      <c r="U70" s="443">
        <v>17</v>
      </c>
      <c r="V70" s="447">
        <v>1318.4415584415585</v>
      </c>
      <c r="W70" s="447">
        <v>77.555385790679907</v>
      </c>
      <c r="X70" s="436">
        <f t="shared" si="36"/>
        <v>3</v>
      </c>
      <c r="Y70" s="605"/>
      <c r="Z70" s="443">
        <v>17</v>
      </c>
      <c r="AA70" s="447">
        <v>1340.7407407407411</v>
      </c>
      <c r="AB70" s="447">
        <v>78.867102396514184</v>
      </c>
      <c r="AC70" s="436">
        <f t="shared" si="38"/>
        <v>2</v>
      </c>
      <c r="AD70" s="605"/>
      <c r="AE70" s="443">
        <v>17</v>
      </c>
      <c r="AF70" s="447">
        <v>1313.4374999999998</v>
      </c>
      <c r="AG70" s="447">
        <v>77.261029411764696</v>
      </c>
      <c r="AH70" s="436">
        <f t="shared" si="40"/>
        <v>4</v>
      </c>
      <c r="AI70" s="605"/>
      <c r="AJ70" s="443">
        <v>17</v>
      </c>
      <c r="AK70" s="447">
        <v>1343.3333333333328</v>
      </c>
      <c r="AL70" s="447">
        <v>79.019607843137223</v>
      </c>
      <c r="AM70" s="436">
        <f t="shared" si="42"/>
        <v>2</v>
      </c>
      <c r="AN70" s="605"/>
      <c r="AO70" s="443">
        <v>17</v>
      </c>
      <c r="AP70" s="447">
        <v>1356.5853658536587</v>
      </c>
      <c r="AQ70" s="447">
        <v>79.799139167862279</v>
      </c>
      <c r="AR70" s="436">
        <f t="shared" si="44"/>
        <v>2</v>
      </c>
      <c r="AS70" s="605"/>
      <c r="AT70" s="182">
        <v>17</v>
      </c>
      <c r="AU70" s="182">
        <v>1356</v>
      </c>
      <c r="AV70" s="182">
        <v>79.764705882352942</v>
      </c>
      <c r="AW70" s="436">
        <f t="shared" si="46"/>
        <v>2</v>
      </c>
      <c r="AX70" s="605"/>
    </row>
    <row r="71" spans="2:50">
      <c r="B71" s="572"/>
      <c r="C71" s="436">
        <v>5</v>
      </c>
      <c r="D71" s="226" t="s">
        <v>795</v>
      </c>
      <c r="E71" s="182">
        <v>18</v>
      </c>
      <c r="F71" s="436">
        <v>1636</v>
      </c>
      <c r="G71" s="437">
        <v>90.888888888888886</v>
      </c>
      <c r="H71" s="609"/>
      <c r="I71" s="446">
        <f t="shared" si="48"/>
        <v>18</v>
      </c>
      <c r="J71" s="446">
        <f t="shared" si="48"/>
        <v>1384.6258111458299</v>
      </c>
      <c r="K71" s="438">
        <f t="shared" si="48"/>
        <v>76.923656174768325</v>
      </c>
      <c r="L71" s="541"/>
      <c r="M71" s="445">
        <f>RANK(K71, K$67:$K$81)</f>
        <v>5</v>
      </c>
      <c r="N71" s="559"/>
      <c r="O71" s="559"/>
      <c r="P71" s="443">
        <v>18</v>
      </c>
      <c r="Q71" s="447">
        <v>1376.8888888888885</v>
      </c>
      <c r="R71" s="447">
        <v>76.493827160493808</v>
      </c>
      <c r="S71" s="436">
        <f t="shared" si="49"/>
        <v>5</v>
      </c>
      <c r="T71" s="605"/>
      <c r="U71" s="443">
        <v>18</v>
      </c>
      <c r="V71" s="447">
        <v>1377.4821428571431</v>
      </c>
      <c r="W71" s="447">
        <v>76.526785714285722</v>
      </c>
      <c r="X71" s="436">
        <f t="shared" si="36"/>
        <v>5</v>
      </c>
      <c r="Y71" s="605"/>
      <c r="Z71" s="443">
        <v>18</v>
      </c>
      <c r="AA71" s="447">
        <v>1394.7187500000005</v>
      </c>
      <c r="AB71" s="447">
        <v>77.484375000000028</v>
      </c>
      <c r="AC71" s="436">
        <f t="shared" si="38"/>
        <v>4</v>
      </c>
      <c r="AD71" s="605"/>
      <c r="AE71" s="443">
        <v>18</v>
      </c>
      <c r="AF71" s="447">
        <v>1347.4687500000014</v>
      </c>
      <c r="AG71" s="447">
        <v>74.859375000000071</v>
      </c>
      <c r="AH71" s="436">
        <f t="shared" si="40"/>
        <v>5</v>
      </c>
      <c r="AI71" s="605"/>
      <c r="AJ71" s="443">
        <v>18</v>
      </c>
      <c r="AK71" s="447">
        <v>1397.6052631578937</v>
      </c>
      <c r="AL71" s="447">
        <v>77.644736842105203</v>
      </c>
      <c r="AM71" s="436">
        <f t="shared" si="42"/>
        <v>5</v>
      </c>
      <c r="AN71" s="605"/>
      <c r="AO71" s="443">
        <v>18</v>
      </c>
      <c r="AP71" s="447">
        <v>1388.0454545454545</v>
      </c>
      <c r="AQ71" s="447">
        <v>77.11363636363636</v>
      </c>
      <c r="AR71" s="436">
        <f t="shared" si="44"/>
        <v>5</v>
      </c>
      <c r="AS71" s="605"/>
      <c r="AT71" s="182">
        <v>18</v>
      </c>
      <c r="AU71" s="182">
        <v>1410.1714285714272</v>
      </c>
      <c r="AV71" s="182">
        <v>78.342857142857071</v>
      </c>
      <c r="AW71" s="436">
        <f t="shared" si="46"/>
        <v>4</v>
      </c>
      <c r="AX71" s="605"/>
    </row>
    <row r="72" spans="2:50">
      <c r="B72" s="572"/>
      <c r="C72" s="436">
        <v>6</v>
      </c>
      <c r="D72" s="226" t="s">
        <v>796</v>
      </c>
      <c r="E72" s="182">
        <v>19</v>
      </c>
      <c r="F72" s="436">
        <v>1385</v>
      </c>
      <c r="G72" s="437">
        <v>72.89473684210526</v>
      </c>
      <c r="H72" s="609"/>
      <c r="I72" s="446">
        <f t="shared" si="48"/>
        <v>18</v>
      </c>
      <c r="J72" s="446">
        <f t="shared" si="48"/>
        <v>1073.2036509091627</v>
      </c>
      <c r="K72" s="438">
        <f t="shared" si="48"/>
        <v>59.62242505050903</v>
      </c>
      <c r="L72" s="541"/>
      <c r="M72" s="445">
        <f>RANK(K72, K$67:$K$81)</f>
        <v>6</v>
      </c>
      <c r="N72" s="559"/>
      <c r="O72" s="559"/>
      <c r="P72" s="443">
        <v>18</v>
      </c>
      <c r="Q72" s="447">
        <v>1097.6062499999998</v>
      </c>
      <c r="R72" s="447">
        <v>60.978124999999991</v>
      </c>
      <c r="S72" s="436">
        <f t="shared" si="49"/>
        <v>6</v>
      </c>
      <c r="T72" s="605"/>
      <c r="U72" s="443">
        <v>18</v>
      </c>
      <c r="V72" s="447">
        <v>1034.2285714285749</v>
      </c>
      <c r="W72" s="447">
        <v>57.457142857143054</v>
      </c>
      <c r="X72" s="436">
        <f t="shared" si="36"/>
        <v>6</v>
      </c>
      <c r="Y72" s="605"/>
      <c r="Z72" s="443">
        <v>18</v>
      </c>
      <c r="AA72" s="447">
        <v>1100.606060606061</v>
      </c>
      <c r="AB72" s="447">
        <v>61.144781144781163</v>
      </c>
      <c r="AC72" s="436">
        <f t="shared" si="38"/>
        <v>6</v>
      </c>
      <c r="AD72" s="605"/>
      <c r="AE72" s="443">
        <v>18</v>
      </c>
      <c r="AF72" s="447">
        <v>1077.7777777777783</v>
      </c>
      <c r="AG72" s="447">
        <v>59.876543209876573</v>
      </c>
      <c r="AH72" s="436">
        <f t="shared" si="40"/>
        <v>6</v>
      </c>
      <c r="AI72" s="605"/>
      <c r="AJ72" s="443">
        <v>18</v>
      </c>
      <c r="AK72" s="447">
        <v>1059.9999999999995</v>
      </c>
      <c r="AL72" s="447">
        <v>58.888888888888864</v>
      </c>
      <c r="AM72" s="436">
        <f t="shared" si="42"/>
        <v>6</v>
      </c>
      <c r="AN72" s="605"/>
      <c r="AO72" s="443">
        <v>18</v>
      </c>
      <c r="AP72" s="447">
        <v>1065.5172413793096</v>
      </c>
      <c r="AQ72" s="447">
        <v>59.195402298850532</v>
      </c>
      <c r="AR72" s="436">
        <f t="shared" si="44"/>
        <v>6</v>
      </c>
      <c r="AS72" s="605"/>
      <c r="AT72" s="182">
        <v>18</v>
      </c>
      <c r="AU72" s="182">
        <v>1076.6896551724146</v>
      </c>
      <c r="AV72" s="182">
        <v>59.816091954023037</v>
      </c>
      <c r="AW72" s="436">
        <f t="shared" si="46"/>
        <v>6</v>
      </c>
      <c r="AX72" s="605"/>
    </row>
    <row r="73" spans="2:50">
      <c r="B73" s="572"/>
      <c r="C73" s="436">
        <v>7</v>
      </c>
      <c r="D73" s="226"/>
      <c r="E73" s="182"/>
      <c r="F73" s="436"/>
      <c r="G73" s="437"/>
      <c r="H73" s="609"/>
      <c r="I73" s="446"/>
      <c r="J73" s="446"/>
      <c r="K73" s="438"/>
      <c r="L73" s="541"/>
      <c r="M73" s="445" t="e">
        <f>RANK(K73, K$67:$K$81)</f>
        <v>#N/A</v>
      </c>
      <c r="N73" s="559"/>
      <c r="O73" s="559"/>
      <c r="P73" s="443"/>
      <c r="Q73" s="447"/>
      <c r="R73" s="447"/>
      <c r="S73" s="436" t="e">
        <f t="shared" si="49"/>
        <v>#N/A</v>
      </c>
      <c r="T73" s="605"/>
      <c r="U73" s="443"/>
      <c r="V73" s="447"/>
      <c r="W73" s="447"/>
      <c r="X73" s="436" t="e">
        <f t="shared" si="36"/>
        <v>#N/A</v>
      </c>
      <c r="Y73" s="605"/>
      <c r="Z73" s="443"/>
      <c r="AA73" s="447"/>
      <c r="AB73" s="447"/>
      <c r="AC73" s="436" t="e">
        <f t="shared" si="38"/>
        <v>#N/A</v>
      </c>
      <c r="AD73" s="605"/>
      <c r="AE73" s="443"/>
      <c r="AF73" s="447"/>
      <c r="AG73" s="447"/>
      <c r="AH73" s="436" t="e">
        <f t="shared" si="40"/>
        <v>#N/A</v>
      </c>
      <c r="AI73" s="605"/>
      <c r="AJ73" s="443"/>
      <c r="AK73" s="447"/>
      <c r="AL73" s="447"/>
      <c r="AM73" s="436" t="e">
        <f t="shared" si="42"/>
        <v>#N/A</v>
      </c>
      <c r="AN73" s="605"/>
      <c r="AO73" s="443"/>
      <c r="AP73" s="447"/>
      <c r="AQ73" s="447"/>
      <c r="AR73" s="436" t="e">
        <f t="shared" si="44"/>
        <v>#N/A</v>
      </c>
      <c r="AS73" s="605"/>
      <c r="AT73" s="182"/>
      <c r="AU73" s="182"/>
      <c r="AV73" s="182"/>
      <c r="AW73" s="436" t="e">
        <f t="shared" si="46"/>
        <v>#N/A</v>
      </c>
      <c r="AX73" s="605"/>
    </row>
    <row r="74" spans="2:50">
      <c r="B74" s="572"/>
      <c r="C74" s="436">
        <v>8</v>
      </c>
      <c r="D74" s="226"/>
      <c r="E74" s="182"/>
      <c r="F74" s="436"/>
      <c r="G74" s="437"/>
      <c r="H74" s="609"/>
      <c r="I74" s="446"/>
      <c r="J74" s="446"/>
      <c r="K74" s="438"/>
      <c r="L74" s="541"/>
      <c r="M74" s="445" t="e">
        <f>RANK(K74, K$67:$K$81)</f>
        <v>#N/A</v>
      </c>
      <c r="N74" s="559"/>
      <c r="O74" s="559"/>
      <c r="P74" s="443"/>
      <c r="Q74" s="447"/>
      <c r="R74" s="447"/>
      <c r="S74" s="436" t="e">
        <f t="shared" si="49"/>
        <v>#N/A</v>
      </c>
      <c r="T74" s="605"/>
      <c r="U74" s="443"/>
      <c r="V74" s="447"/>
      <c r="W74" s="447"/>
      <c r="X74" s="436" t="e">
        <f t="shared" si="36"/>
        <v>#N/A</v>
      </c>
      <c r="Y74" s="605"/>
      <c r="Z74" s="443"/>
      <c r="AA74" s="447"/>
      <c r="AB74" s="447"/>
      <c r="AC74" s="436" t="e">
        <f t="shared" si="38"/>
        <v>#N/A</v>
      </c>
      <c r="AD74" s="605"/>
      <c r="AE74" s="443"/>
      <c r="AF74" s="447"/>
      <c r="AG74" s="447"/>
      <c r="AH74" s="436" t="e">
        <f t="shared" si="40"/>
        <v>#N/A</v>
      </c>
      <c r="AI74" s="605"/>
      <c r="AJ74" s="443"/>
      <c r="AK74" s="447"/>
      <c r="AL74" s="447"/>
      <c r="AM74" s="436" t="e">
        <f t="shared" si="42"/>
        <v>#N/A</v>
      </c>
      <c r="AN74" s="605"/>
      <c r="AO74" s="443"/>
      <c r="AP74" s="447"/>
      <c r="AQ74" s="447"/>
      <c r="AR74" s="436" t="e">
        <f t="shared" si="44"/>
        <v>#N/A</v>
      </c>
      <c r="AS74" s="605"/>
      <c r="AT74" s="182"/>
      <c r="AU74" s="182"/>
      <c r="AV74" s="182"/>
      <c r="AW74" s="436" t="e">
        <f t="shared" si="46"/>
        <v>#N/A</v>
      </c>
      <c r="AX74" s="605"/>
    </row>
    <row r="75" spans="2:50">
      <c r="B75" s="572"/>
      <c r="C75" s="436">
        <v>9</v>
      </c>
      <c r="D75" s="226"/>
      <c r="E75" s="182"/>
      <c r="F75" s="436"/>
      <c r="G75" s="437"/>
      <c r="H75" s="609"/>
      <c r="I75" s="446"/>
      <c r="J75" s="446"/>
      <c r="K75" s="438"/>
      <c r="L75" s="541"/>
      <c r="M75" s="445" t="e">
        <f>RANK(K75, K$67:$K$81)</f>
        <v>#N/A</v>
      </c>
      <c r="N75" s="559"/>
      <c r="O75" s="559"/>
      <c r="P75" s="443"/>
      <c r="Q75" s="447"/>
      <c r="R75" s="447"/>
      <c r="S75" s="436" t="e">
        <f t="shared" si="49"/>
        <v>#N/A</v>
      </c>
      <c r="T75" s="605"/>
      <c r="U75" s="443"/>
      <c r="V75" s="447"/>
      <c r="W75" s="447"/>
      <c r="X75" s="436" t="e">
        <f t="shared" si="36"/>
        <v>#N/A</v>
      </c>
      <c r="Y75" s="605"/>
      <c r="Z75" s="443"/>
      <c r="AA75" s="447"/>
      <c r="AB75" s="447"/>
      <c r="AC75" s="436" t="e">
        <f t="shared" si="38"/>
        <v>#N/A</v>
      </c>
      <c r="AD75" s="605"/>
      <c r="AE75" s="443"/>
      <c r="AF75" s="447"/>
      <c r="AG75" s="447"/>
      <c r="AH75" s="436" t="e">
        <f t="shared" si="40"/>
        <v>#N/A</v>
      </c>
      <c r="AI75" s="605"/>
      <c r="AJ75" s="443"/>
      <c r="AK75" s="447"/>
      <c r="AL75" s="447"/>
      <c r="AM75" s="436" t="e">
        <f t="shared" si="42"/>
        <v>#N/A</v>
      </c>
      <c r="AN75" s="605"/>
      <c r="AO75" s="443"/>
      <c r="AP75" s="447"/>
      <c r="AQ75" s="447"/>
      <c r="AR75" s="436" t="e">
        <f t="shared" si="44"/>
        <v>#N/A</v>
      </c>
      <c r="AS75" s="605"/>
      <c r="AT75" s="182"/>
      <c r="AU75" s="182"/>
      <c r="AV75" s="182"/>
      <c r="AW75" s="436" t="e">
        <f t="shared" si="46"/>
        <v>#N/A</v>
      </c>
      <c r="AX75" s="605"/>
    </row>
    <row r="76" spans="2:50">
      <c r="B76" s="572"/>
      <c r="C76" s="436">
        <v>10</v>
      </c>
      <c r="D76" s="226"/>
      <c r="E76" s="182"/>
      <c r="F76" s="436"/>
      <c r="G76" s="437"/>
      <c r="H76" s="609"/>
      <c r="I76" s="446"/>
      <c r="J76" s="446"/>
      <c r="K76" s="438"/>
      <c r="L76" s="541"/>
      <c r="M76" s="445" t="e">
        <f>RANK(K76, K$67:$K$81)</f>
        <v>#N/A</v>
      </c>
      <c r="N76" s="559"/>
      <c r="O76" s="559"/>
      <c r="P76" s="443"/>
      <c r="Q76" s="447"/>
      <c r="R76" s="447"/>
      <c r="S76" s="436" t="e">
        <f t="shared" si="49"/>
        <v>#N/A</v>
      </c>
      <c r="T76" s="605"/>
      <c r="U76" s="443"/>
      <c r="V76" s="447"/>
      <c r="W76" s="447"/>
      <c r="X76" s="436" t="e">
        <f t="shared" si="36"/>
        <v>#N/A</v>
      </c>
      <c r="Y76" s="605"/>
      <c r="Z76" s="443"/>
      <c r="AA76" s="447"/>
      <c r="AB76" s="447"/>
      <c r="AC76" s="436" t="e">
        <f t="shared" si="38"/>
        <v>#N/A</v>
      </c>
      <c r="AD76" s="605"/>
      <c r="AE76" s="443"/>
      <c r="AF76" s="447"/>
      <c r="AG76" s="447"/>
      <c r="AH76" s="436" t="e">
        <f t="shared" si="40"/>
        <v>#N/A</v>
      </c>
      <c r="AI76" s="605"/>
      <c r="AJ76" s="443"/>
      <c r="AK76" s="447"/>
      <c r="AL76" s="447"/>
      <c r="AM76" s="436" t="e">
        <f t="shared" si="42"/>
        <v>#N/A</v>
      </c>
      <c r="AN76" s="605"/>
      <c r="AO76" s="443"/>
      <c r="AP76" s="447"/>
      <c r="AQ76" s="447"/>
      <c r="AR76" s="436" t="e">
        <f t="shared" si="44"/>
        <v>#N/A</v>
      </c>
      <c r="AS76" s="605"/>
      <c r="AT76" s="182"/>
      <c r="AU76" s="182"/>
      <c r="AV76" s="182"/>
      <c r="AW76" s="436" t="e">
        <f t="shared" si="46"/>
        <v>#N/A</v>
      </c>
      <c r="AX76" s="605"/>
    </row>
    <row r="77" spans="2:50">
      <c r="B77" s="572"/>
      <c r="C77" s="436">
        <v>11</v>
      </c>
      <c r="D77" s="226"/>
      <c r="E77" s="182"/>
      <c r="F77" s="436"/>
      <c r="G77" s="437"/>
      <c r="H77" s="609"/>
      <c r="I77" s="202"/>
      <c r="J77" s="202"/>
      <c r="K77" s="202"/>
      <c r="L77" s="541"/>
      <c r="M77" s="445" t="e">
        <f>RANK(K77, K$67:$K$81)</f>
        <v>#N/A</v>
      </c>
      <c r="N77" s="559"/>
      <c r="O77" s="559"/>
      <c r="P77" s="443"/>
      <c r="Q77" s="447"/>
      <c r="R77" s="447"/>
      <c r="S77" s="436" t="e">
        <f t="shared" si="49"/>
        <v>#N/A</v>
      </c>
      <c r="T77" s="605"/>
      <c r="U77" s="443"/>
      <c r="V77" s="447"/>
      <c r="W77" s="447"/>
      <c r="X77" s="436" t="e">
        <f t="shared" si="36"/>
        <v>#N/A</v>
      </c>
      <c r="Y77" s="605"/>
      <c r="Z77" s="443"/>
      <c r="AA77" s="447"/>
      <c r="AB77" s="447"/>
      <c r="AC77" s="436" t="e">
        <f t="shared" si="38"/>
        <v>#N/A</v>
      </c>
      <c r="AD77" s="605"/>
      <c r="AE77" s="443"/>
      <c r="AF77" s="447"/>
      <c r="AG77" s="447"/>
      <c r="AH77" s="436" t="e">
        <f t="shared" si="40"/>
        <v>#N/A</v>
      </c>
      <c r="AI77" s="605"/>
      <c r="AJ77" s="443"/>
      <c r="AK77" s="447"/>
      <c r="AL77" s="447"/>
      <c r="AM77" s="436" t="e">
        <f t="shared" si="42"/>
        <v>#N/A</v>
      </c>
      <c r="AN77" s="605"/>
      <c r="AO77" s="443"/>
      <c r="AP77" s="447"/>
      <c r="AQ77" s="447"/>
      <c r="AR77" s="436" t="e">
        <f t="shared" si="44"/>
        <v>#N/A</v>
      </c>
      <c r="AS77" s="605"/>
      <c r="AT77" s="182"/>
      <c r="AU77" s="182"/>
      <c r="AV77" s="182"/>
      <c r="AW77" s="436" t="e">
        <f t="shared" si="46"/>
        <v>#N/A</v>
      </c>
      <c r="AX77" s="605"/>
    </row>
    <row r="78" spans="2:50">
      <c r="B78" s="572"/>
      <c r="C78" s="436">
        <v>12</v>
      </c>
      <c r="D78" s="226"/>
      <c r="E78" s="182"/>
      <c r="F78" s="436"/>
      <c r="G78" s="437"/>
      <c r="H78" s="609"/>
      <c r="I78" s="202"/>
      <c r="J78" s="202"/>
      <c r="K78" s="202"/>
      <c r="L78" s="541"/>
      <c r="M78" s="445" t="e">
        <f>RANK(K78, K$67:$K$81)</f>
        <v>#N/A</v>
      </c>
      <c r="N78" s="559"/>
      <c r="O78" s="559"/>
      <c r="P78" s="443"/>
      <c r="Q78" s="447"/>
      <c r="R78" s="447"/>
      <c r="S78" s="436" t="e">
        <f t="shared" si="49"/>
        <v>#N/A</v>
      </c>
      <c r="T78" s="605"/>
      <c r="U78" s="443"/>
      <c r="V78" s="447"/>
      <c r="W78" s="447"/>
      <c r="X78" s="436" t="e">
        <f t="shared" si="36"/>
        <v>#N/A</v>
      </c>
      <c r="Y78" s="605"/>
      <c r="Z78" s="443"/>
      <c r="AA78" s="447"/>
      <c r="AB78" s="447"/>
      <c r="AC78" s="436" t="e">
        <f t="shared" si="38"/>
        <v>#N/A</v>
      </c>
      <c r="AD78" s="605"/>
      <c r="AE78" s="443"/>
      <c r="AF78" s="447"/>
      <c r="AG78" s="447"/>
      <c r="AH78" s="436" t="e">
        <f t="shared" si="40"/>
        <v>#N/A</v>
      </c>
      <c r="AI78" s="605"/>
      <c r="AJ78" s="443"/>
      <c r="AK78" s="447"/>
      <c r="AL78" s="447"/>
      <c r="AM78" s="436" t="e">
        <f t="shared" si="42"/>
        <v>#N/A</v>
      </c>
      <c r="AN78" s="605"/>
      <c r="AO78" s="443"/>
      <c r="AP78" s="447"/>
      <c r="AQ78" s="447"/>
      <c r="AR78" s="436" t="e">
        <f t="shared" si="44"/>
        <v>#N/A</v>
      </c>
      <c r="AS78" s="605"/>
      <c r="AT78" s="182"/>
      <c r="AU78" s="182"/>
      <c r="AV78" s="182"/>
      <c r="AW78" s="436" t="e">
        <f t="shared" si="46"/>
        <v>#N/A</v>
      </c>
      <c r="AX78" s="605"/>
    </row>
    <row r="79" spans="2:50">
      <c r="B79" s="572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41"/>
      <c r="M79" s="445" t="e">
        <f>RANK(K79, K$67:$K$81)</f>
        <v>#N/A</v>
      </c>
      <c r="N79" s="559"/>
      <c r="O79" s="559"/>
      <c r="P79" s="443"/>
      <c r="Q79" s="447"/>
      <c r="R79" s="447"/>
      <c r="S79" s="436" t="e">
        <f t="shared" si="49"/>
        <v>#N/A</v>
      </c>
      <c r="T79" s="605"/>
      <c r="U79" s="443"/>
      <c r="V79" s="447"/>
      <c r="W79" s="447"/>
      <c r="X79" s="436" t="e">
        <f t="shared" si="36"/>
        <v>#N/A</v>
      </c>
      <c r="Y79" s="605"/>
      <c r="Z79" s="443"/>
      <c r="AA79" s="447"/>
      <c r="AB79" s="447"/>
      <c r="AC79" s="436" t="e">
        <f t="shared" si="38"/>
        <v>#N/A</v>
      </c>
      <c r="AD79" s="605"/>
      <c r="AE79" s="443"/>
      <c r="AF79" s="447"/>
      <c r="AG79" s="447"/>
      <c r="AH79" s="436" t="e">
        <f t="shared" si="40"/>
        <v>#N/A</v>
      </c>
      <c r="AI79" s="605"/>
      <c r="AJ79" s="443"/>
      <c r="AK79" s="447"/>
      <c r="AL79" s="447"/>
      <c r="AM79" s="436" t="e">
        <f t="shared" si="42"/>
        <v>#N/A</v>
      </c>
      <c r="AN79" s="605"/>
      <c r="AO79" s="443"/>
      <c r="AP79" s="447"/>
      <c r="AQ79" s="447"/>
      <c r="AR79" s="436" t="e">
        <f t="shared" si="44"/>
        <v>#N/A</v>
      </c>
      <c r="AS79" s="605"/>
      <c r="AT79" s="182"/>
      <c r="AU79" s="182"/>
      <c r="AV79" s="182"/>
      <c r="AW79" s="436" t="e">
        <f t="shared" si="46"/>
        <v>#N/A</v>
      </c>
      <c r="AX79" s="605"/>
    </row>
    <row r="80" spans="2:50">
      <c r="B80" s="572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41"/>
      <c r="M80" s="445" t="e">
        <f>RANK(K80, K$67:$K$81)</f>
        <v>#N/A</v>
      </c>
      <c r="N80" s="559"/>
      <c r="O80" s="559"/>
      <c r="P80" s="443"/>
      <c r="Q80" s="447"/>
      <c r="R80" s="447"/>
      <c r="S80" s="436" t="e">
        <f t="shared" si="49"/>
        <v>#N/A</v>
      </c>
      <c r="T80" s="605"/>
      <c r="U80" s="443"/>
      <c r="V80" s="447"/>
      <c r="W80" s="447"/>
      <c r="X80" s="436" t="e">
        <f t="shared" si="36"/>
        <v>#N/A</v>
      </c>
      <c r="Y80" s="605"/>
      <c r="Z80" s="443"/>
      <c r="AA80" s="447"/>
      <c r="AB80" s="447"/>
      <c r="AC80" s="436" t="e">
        <f t="shared" si="38"/>
        <v>#N/A</v>
      </c>
      <c r="AD80" s="605"/>
      <c r="AE80" s="443"/>
      <c r="AF80" s="447"/>
      <c r="AG80" s="447"/>
      <c r="AH80" s="436" t="e">
        <f t="shared" si="40"/>
        <v>#N/A</v>
      </c>
      <c r="AI80" s="605"/>
      <c r="AJ80" s="443"/>
      <c r="AK80" s="447"/>
      <c r="AL80" s="447"/>
      <c r="AM80" s="436" t="e">
        <f t="shared" si="42"/>
        <v>#N/A</v>
      </c>
      <c r="AN80" s="605"/>
      <c r="AO80" s="443"/>
      <c r="AP80" s="447"/>
      <c r="AQ80" s="447"/>
      <c r="AR80" s="436" t="e">
        <f t="shared" si="44"/>
        <v>#N/A</v>
      </c>
      <c r="AS80" s="605"/>
      <c r="AT80" s="182"/>
      <c r="AU80" s="182"/>
      <c r="AV80" s="182"/>
      <c r="AW80" s="436" t="e">
        <f t="shared" si="46"/>
        <v>#N/A</v>
      </c>
      <c r="AX80" s="605"/>
    </row>
    <row r="81" spans="2:50">
      <c r="B81" s="572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42"/>
      <c r="M81" s="445" t="e">
        <f>RANK(K81, K$67:$K$81)</f>
        <v>#N/A</v>
      </c>
      <c r="N81" s="559"/>
      <c r="O81" s="559"/>
      <c r="P81" s="443"/>
      <c r="Q81" s="447"/>
      <c r="R81" s="447"/>
      <c r="S81" s="436" t="e">
        <f t="shared" si="49"/>
        <v>#N/A</v>
      </c>
      <c r="T81" s="605"/>
      <c r="U81" s="443"/>
      <c r="V81" s="447"/>
      <c r="W81" s="447"/>
      <c r="X81" s="436" t="e">
        <f t="shared" si="36"/>
        <v>#N/A</v>
      </c>
      <c r="Y81" s="605"/>
      <c r="Z81" s="443"/>
      <c r="AA81" s="447"/>
      <c r="AB81" s="447"/>
      <c r="AC81" s="436" t="e">
        <f t="shared" si="38"/>
        <v>#N/A</v>
      </c>
      <c r="AD81" s="605"/>
      <c r="AE81" s="443"/>
      <c r="AF81" s="447"/>
      <c r="AG81" s="447"/>
      <c r="AH81" s="436" t="e">
        <f t="shared" si="40"/>
        <v>#N/A</v>
      </c>
      <c r="AI81" s="605"/>
      <c r="AJ81" s="443"/>
      <c r="AK81" s="447"/>
      <c r="AL81" s="447"/>
      <c r="AM81" s="436" t="e">
        <f t="shared" si="42"/>
        <v>#N/A</v>
      </c>
      <c r="AN81" s="605"/>
      <c r="AO81" s="443"/>
      <c r="AP81" s="447"/>
      <c r="AQ81" s="447"/>
      <c r="AR81" s="436" t="e">
        <f t="shared" si="44"/>
        <v>#N/A</v>
      </c>
      <c r="AS81" s="605"/>
      <c r="AT81" s="182"/>
      <c r="AU81" s="182"/>
      <c r="AV81" s="182"/>
      <c r="AW81" s="436" t="e">
        <f t="shared" si="46"/>
        <v>#N/A</v>
      </c>
      <c r="AX81" s="605"/>
    </row>
    <row r="82" spans="2:50" ht="15.75">
      <c r="B82" s="576" t="s">
        <v>649</v>
      </c>
      <c r="C82" s="577"/>
      <c r="D82" s="577"/>
      <c r="E82" s="577"/>
      <c r="F82" s="577"/>
      <c r="G82" s="577"/>
      <c r="H82" s="578"/>
      <c r="I82" s="208"/>
      <c r="J82" s="208"/>
      <c r="K82" s="208"/>
      <c r="L82" s="208"/>
      <c r="M82" s="207"/>
      <c r="N82" s="565" t="s">
        <v>650</v>
      </c>
      <c r="O82" s="565" t="s">
        <v>651</v>
      </c>
      <c r="P82" s="571">
        <f>P62+7</f>
        <v>27</v>
      </c>
      <c r="Q82" s="572"/>
      <c r="R82" s="572"/>
      <c r="S82" s="572"/>
      <c r="T82" s="572"/>
      <c r="U82" s="568">
        <f>P82+1</f>
        <v>28</v>
      </c>
      <c r="V82" s="569"/>
      <c r="W82" s="569"/>
      <c r="X82" s="569"/>
      <c r="Y82" s="570"/>
      <c r="Z82" s="568">
        <f>U82+1</f>
        <v>29</v>
      </c>
      <c r="AA82" s="569"/>
      <c r="AB82" s="569"/>
      <c r="AC82" s="569"/>
      <c r="AD82" s="570"/>
      <c r="AE82" s="568">
        <f>Z82+1</f>
        <v>30</v>
      </c>
      <c r="AF82" s="569"/>
      <c r="AG82" s="569"/>
      <c r="AH82" s="569"/>
      <c r="AI82" s="570"/>
      <c r="AJ82" s="568">
        <f>AE82+1</f>
        <v>31</v>
      </c>
      <c r="AK82" s="569"/>
      <c r="AL82" s="569"/>
      <c r="AM82" s="569"/>
      <c r="AN82" s="570"/>
      <c r="AO82" s="568">
        <f>AJ82+1</f>
        <v>32</v>
      </c>
      <c r="AP82" s="569"/>
      <c r="AQ82" s="569"/>
      <c r="AR82" s="569"/>
      <c r="AS82" s="570"/>
      <c r="AT82" s="568">
        <f>AO82+1</f>
        <v>33</v>
      </c>
      <c r="AU82" s="569"/>
      <c r="AV82" s="569"/>
      <c r="AW82" s="569"/>
      <c r="AX82" s="570"/>
    </row>
    <row r="83" spans="2:50" ht="15.75">
      <c r="B83" s="579"/>
      <c r="C83" s="579"/>
      <c r="D83" s="579"/>
      <c r="E83" s="579"/>
      <c r="F83" s="579"/>
      <c r="G83" s="579"/>
      <c r="H83" s="579"/>
      <c r="I83" s="205"/>
      <c r="J83" s="205"/>
      <c r="K83" s="205"/>
      <c r="L83" s="205"/>
      <c r="M83" s="206"/>
      <c r="N83" s="567"/>
      <c r="O83" s="567"/>
      <c r="P83" s="571" t="s">
        <v>652</v>
      </c>
      <c r="Q83" s="572"/>
      <c r="R83" s="572"/>
      <c r="S83" s="572"/>
      <c r="T83" s="572"/>
      <c r="U83" s="571" t="s">
        <v>653</v>
      </c>
      <c r="V83" s="572"/>
      <c r="W83" s="572"/>
      <c r="X83" s="572"/>
      <c r="Y83" s="572"/>
      <c r="Z83" s="571" t="s">
        <v>654</v>
      </c>
      <c r="AA83" s="572"/>
      <c r="AB83" s="572"/>
      <c r="AC83" s="572"/>
      <c r="AD83" s="572"/>
      <c r="AE83" s="571" t="s">
        <v>655</v>
      </c>
      <c r="AF83" s="572"/>
      <c r="AG83" s="572"/>
      <c r="AH83" s="572"/>
      <c r="AI83" s="572"/>
      <c r="AJ83" s="571" t="s">
        <v>656</v>
      </c>
      <c r="AK83" s="572"/>
      <c r="AL83" s="572"/>
      <c r="AM83" s="572"/>
      <c r="AN83" s="572"/>
      <c r="AO83" s="571" t="s">
        <v>657</v>
      </c>
      <c r="AP83" s="572"/>
      <c r="AQ83" s="572"/>
      <c r="AR83" s="572"/>
      <c r="AS83" s="572"/>
      <c r="AT83" s="571" t="s">
        <v>658</v>
      </c>
      <c r="AU83" s="572"/>
      <c r="AV83" s="572"/>
      <c r="AW83" s="572"/>
      <c r="AX83" s="572"/>
    </row>
    <row r="84" spans="2:50">
      <c r="B84" s="559" t="s">
        <v>817</v>
      </c>
      <c r="C84" s="559" t="s">
        <v>818</v>
      </c>
      <c r="D84" s="559"/>
      <c r="E84" s="559" t="s">
        <v>819</v>
      </c>
      <c r="F84" s="559"/>
      <c r="G84" s="559"/>
      <c r="H84" s="560" t="s">
        <v>820</v>
      </c>
      <c r="I84" s="543" t="s">
        <v>821</v>
      </c>
      <c r="J84" s="543"/>
      <c r="K84" s="543"/>
      <c r="L84" s="544" t="s">
        <v>820</v>
      </c>
      <c r="M84" s="550" t="s">
        <v>839</v>
      </c>
      <c r="N84" s="559"/>
      <c r="O84" s="559" t="s">
        <v>840</v>
      </c>
      <c r="P84" s="556" t="s">
        <v>841</v>
      </c>
      <c r="Q84" s="557"/>
      <c r="R84" s="557"/>
      <c r="S84" s="558"/>
      <c r="T84" s="559" t="s">
        <v>820</v>
      </c>
      <c r="U84" s="556" t="s">
        <v>841</v>
      </c>
      <c r="V84" s="557"/>
      <c r="W84" s="557"/>
      <c r="X84" s="558"/>
      <c r="Y84" s="559" t="s">
        <v>820</v>
      </c>
      <c r="Z84" s="556" t="s">
        <v>841</v>
      </c>
      <c r="AA84" s="557"/>
      <c r="AB84" s="557"/>
      <c r="AC84" s="558"/>
      <c r="AD84" s="559" t="s">
        <v>820</v>
      </c>
      <c r="AE84" s="556" t="s">
        <v>841</v>
      </c>
      <c r="AF84" s="557"/>
      <c r="AG84" s="557"/>
      <c r="AH84" s="558"/>
      <c r="AI84" s="559" t="s">
        <v>820</v>
      </c>
      <c r="AJ84" s="556" t="s">
        <v>841</v>
      </c>
      <c r="AK84" s="557"/>
      <c r="AL84" s="557"/>
      <c r="AM84" s="558"/>
      <c r="AN84" s="559" t="s">
        <v>820</v>
      </c>
      <c r="AO84" s="556" t="s">
        <v>625</v>
      </c>
      <c r="AP84" s="557"/>
      <c r="AQ84" s="557"/>
      <c r="AR84" s="558"/>
      <c r="AS84" s="559" t="s">
        <v>623</v>
      </c>
      <c r="AT84" s="556" t="s">
        <v>625</v>
      </c>
      <c r="AU84" s="557"/>
      <c r="AV84" s="557"/>
      <c r="AW84" s="558"/>
      <c r="AX84" s="559" t="s">
        <v>623</v>
      </c>
    </row>
    <row r="85" spans="2:50">
      <c r="B85" s="559"/>
      <c r="C85" s="559"/>
      <c r="D85" s="559"/>
      <c r="E85" s="559" t="s">
        <v>842</v>
      </c>
      <c r="F85" s="559"/>
      <c r="G85" s="559"/>
      <c r="H85" s="561"/>
      <c r="I85" s="543" t="s">
        <v>842</v>
      </c>
      <c r="J85" s="543"/>
      <c r="K85" s="543"/>
      <c r="L85" s="545"/>
      <c r="M85" s="551"/>
      <c r="N85" s="559"/>
      <c r="O85" s="559"/>
      <c r="P85" s="556" t="s">
        <v>831</v>
      </c>
      <c r="Q85" s="557"/>
      <c r="R85" s="557"/>
      <c r="S85" s="558"/>
      <c r="T85" s="559"/>
      <c r="U85" s="556" t="s">
        <v>831</v>
      </c>
      <c r="V85" s="557"/>
      <c r="W85" s="557"/>
      <c r="X85" s="558"/>
      <c r="Y85" s="559"/>
      <c r="Z85" s="556" t="s">
        <v>831</v>
      </c>
      <c r="AA85" s="557"/>
      <c r="AB85" s="557"/>
      <c r="AC85" s="558"/>
      <c r="AD85" s="559"/>
      <c r="AE85" s="556" t="s">
        <v>831</v>
      </c>
      <c r="AF85" s="557"/>
      <c r="AG85" s="557"/>
      <c r="AH85" s="558"/>
      <c r="AI85" s="559"/>
      <c r="AJ85" s="556" t="s">
        <v>831</v>
      </c>
      <c r="AK85" s="557"/>
      <c r="AL85" s="557"/>
      <c r="AM85" s="558"/>
      <c r="AN85" s="559"/>
      <c r="AO85" s="556" t="s">
        <v>626</v>
      </c>
      <c r="AP85" s="557"/>
      <c r="AQ85" s="557"/>
      <c r="AR85" s="558"/>
      <c r="AS85" s="559"/>
      <c r="AT85" s="556" t="s">
        <v>626</v>
      </c>
      <c r="AU85" s="557"/>
      <c r="AV85" s="557"/>
      <c r="AW85" s="558"/>
      <c r="AX85" s="559"/>
    </row>
    <row r="86" spans="2:50">
      <c r="B86" s="559"/>
      <c r="C86" s="559"/>
      <c r="D86" s="559"/>
      <c r="E86" s="450" t="s">
        <v>838</v>
      </c>
      <c r="F86" s="450" t="s">
        <v>836</v>
      </c>
      <c r="G86" s="450" t="s">
        <v>837</v>
      </c>
      <c r="H86" s="562"/>
      <c r="I86" s="449" t="s">
        <v>838</v>
      </c>
      <c r="J86" s="449" t="s">
        <v>836</v>
      </c>
      <c r="K86" s="449" t="s">
        <v>837</v>
      </c>
      <c r="L86" s="546"/>
      <c r="M86" s="552"/>
      <c r="N86" s="559"/>
      <c r="O86" s="559"/>
      <c r="P86" s="450" t="s">
        <v>838</v>
      </c>
      <c r="Q86" s="450" t="s">
        <v>836</v>
      </c>
      <c r="R86" s="450" t="s">
        <v>837</v>
      </c>
      <c r="S86" s="450" t="s">
        <v>839</v>
      </c>
      <c r="T86" s="559"/>
      <c r="U86" s="450" t="s">
        <v>838</v>
      </c>
      <c r="V86" s="450" t="s">
        <v>836</v>
      </c>
      <c r="W86" s="450" t="s">
        <v>837</v>
      </c>
      <c r="X86" s="450" t="s">
        <v>839</v>
      </c>
      <c r="Y86" s="559"/>
      <c r="Z86" s="450" t="s">
        <v>838</v>
      </c>
      <c r="AA86" s="450" t="s">
        <v>836</v>
      </c>
      <c r="AB86" s="450" t="s">
        <v>837</v>
      </c>
      <c r="AC86" s="450" t="s">
        <v>839</v>
      </c>
      <c r="AD86" s="559"/>
      <c r="AE86" s="450" t="s">
        <v>838</v>
      </c>
      <c r="AF86" s="450" t="s">
        <v>836</v>
      </c>
      <c r="AG86" s="450" t="s">
        <v>837</v>
      </c>
      <c r="AH86" s="450" t="s">
        <v>839</v>
      </c>
      <c r="AI86" s="559"/>
      <c r="AJ86" s="450" t="s">
        <v>838</v>
      </c>
      <c r="AK86" s="450" t="s">
        <v>836</v>
      </c>
      <c r="AL86" s="450" t="s">
        <v>837</v>
      </c>
      <c r="AM86" s="450" t="s">
        <v>839</v>
      </c>
      <c r="AN86" s="559"/>
      <c r="AO86" s="389" t="s">
        <v>627</v>
      </c>
      <c r="AP86" s="389" t="s">
        <v>628</v>
      </c>
      <c r="AQ86" s="389" t="s">
        <v>629</v>
      </c>
      <c r="AR86" s="389" t="s">
        <v>624</v>
      </c>
      <c r="AS86" s="559"/>
      <c r="AT86" s="389" t="s">
        <v>627</v>
      </c>
      <c r="AU86" s="389" t="s">
        <v>628</v>
      </c>
      <c r="AV86" s="389" t="s">
        <v>629</v>
      </c>
      <c r="AW86" s="389" t="s">
        <v>624</v>
      </c>
      <c r="AX86" s="559"/>
    </row>
    <row r="87" spans="2:50">
      <c r="B87" s="559" t="s">
        <v>849</v>
      </c>
      <c r="C87" s="451">
        <v>1</v>
      </c>
      <c r="D87" s="226" t="s">
        <v>557</v>
      </c>
      <c r="E87" s="182">
        <v>14</v>
      </c>
      <c r="F87" s="451">
        <v>1500</v>
      </c>
      <c r="G87" s="453">
        <v>107.14285714285714</v>
      </c>
      <c r="H87" s="608">
        <f>AVERAGE(G87:G101)</f>
        <v>90.605394204465412</v>
      </c>
      <c r="I87" s="456">
        <f>AVERAGE(P87,U87,Z87,AE87,AJ87,AO87,AT87)</f>
        <v>12.4</v>
      </c>
      <c r="J87" s="456">
        <f>AVERAGE(Q87,V87,AA87,AF87,AK87,AP87,AU87)</f>
        <v>1129.267104542967</v>
      </c>
      <c r="K87" s="454">
        <f>AVERAGE(R87,W87,AB87,AG87,AL87,AQ87,AV87)</f>
        <v>91.17966611932134</v>
      </c>
      <c r="L87" s="540">
        <f>IFERROR(AVERAGE(K87:K101),"-")</f>
        <v>74.697338866778452</v>
      </c>
      <c r="M87" s="455">
        <f>RANK(K87, K$87:$K$101)</f>
        <v>1</v>
      </c>
      <c r="N87" s="559"/>
      <c r="O87" s="559"/>
      <c r="P87" s="182">
        <v>12</v>
      </c>
      <c r="Q87" s="182">
        <v>1104.8275862068972</v>
      </c>
      <c r="R87" s="182">
        <v>92.068965517241438</v>
      </c>
      <c r="S87" s="451">
        <f>RANK(R87, R$87:R$101)</f>
        <v>1</v>
      </c>
      <c r="T87" s="605">
        <f>AVERAGE(R87:R101)</f>
        <v>75.051636064100649</v>
      </c>
      <c r="U87" s="182">
        <v>13</v>
      </c>
      <c r="V87" s="182">
        <v>1148.8888888888896</v>
      </c>
      <c r="W87" s="182">
        <v>88.376068376068432</v>
      </c>
      <c r="X87" s="451">
        <f t="shared" ref="X87:X101" si="50">RANK(W87, W$87:W$101)</f>
        <v>1</v>
      </c>
      <c r="Y87" s="605">
        <f t="shared" ref="Y87" si="51">AVERAGE(W87:W101)</f>
        <v>73.935492034156226</v>
      </c>
      <c r="Z87" s="182">
        <v>12</v>
      </c>
      <c r="AA87" s="182">
        <v>1107.8571428571438</v>
      </c>
      <c r="AB87" s="182">
        <v>92.321428571428655</v>
      </c>
      <c r="AC87" s="451">
        <f t="shared" ref="AC87:AC101" si="52">RANK(AB87, AB$87:AB$101)</f>
        <v>1</v>
      </c>
      <c r="AD87" s="605">
        <f t="shared" ref="AD87" si="53">AVERAGE(AB87:AB101)</f>
        <v>75.085134972660384</v>
      </c>
      <c r="AE87" s="182">
        <v>12</v>
      </c>
      <c r="AF87" s="182">
        <v>1151.4285714285709</v>
      </c>
      <c r="AG87" s="182">
        <v>95.952380952380906</v>
      </c>
      <c r="AH87" s="451">
        <f t="shared" ref="AH87:AH101" si="54">RANK(AG87, AG$87:AG$101)</f>
        <v>1</v>
      </c>
      <c r="AI87" s="605">
        <f t="shared" ref="AI87" si="55">AVERAGE(AG87:AG101)</f>
        <v>76.116948899783551</v>
      </c>
      <c r="AJ87" s="182">
        <v>13</v>
      </c>
      <c r="AK87" s="182">
        <v>1133.3333333333339</v>
      </c>
      <c r="AL87" s="182">
        <v>87.179487179487225</v>
      </c>
      <c r="AM87" s="451">
        <f t="shared" ref="AM87:AM101" si="56">RANK(AL87, AL$87:AL$101)</f>
        <v>1</v>
      </c>
      <c r="AN87" s="605">
        <f t="shared" ref="AN87" si="57">AVERAGE(AL87:AL101)</f>
        <v>73.297482363191492</v>
      </c>
      <c r="AO87" s="182"/>
      <c r="AP87" s="182"/>
      <c r="AQ87" s="182"/>
      <c r="AR87" s="390" t="e">
        <f t="shared" ref="AR87:AR101" si="58">RANK(AQ87, AQ$87:AQ$101)</f>
        <v>#N/A</v>
      </c>
      <c r="AS87" s="605" t="e">
        <f t="shared" ref="AS87" si="59">AVERAGE(AQ87:AQ101)</f>
        <v>#DIV/0!</v>
      </c>
      <c r="AT87" s="182"/>
      <c r="AU87" s="182"/>
      <c r="AV87" s="182"/>
      <c r="AW87" s="390" t="e">
        <f t="shared" ref="AW87:AW101" si="60">RANK(AV87, AV$87:AV$101)</f>
        <v>#N/A</v>
      </c>
      <c r="AX87" s="605" t="e">
        <f t="shared" ref="AX87" si="61">AVERAGE(AV87:AV101)</f>
        <v>#DIV/0!</v>
      </c>
    </row>
    <row r="88" spans="2:50">
      <c r="B88" s="572"/>
      <c r="C88" s="451">
        <v>2</v>
      </c>
      <c r="D88" s="226" t="s">
        <v>664</v>
      </c>
      <c r="E88" s="182">
        <v>17</v>
      </c>
      <c r="F88" s="451">
        <v>1636</v>
      </c>
      <c r="G88" s="453">
        <v>96.235294117647058</v>
      </c>
      <c r="H88" s="609"/>
      <c r="I88" s="456">
        <f t="shared" ref="I88:K92" si="62">AVERAGE(P88,U88,Z88,AE88,AJ88,AO88,AT88)</f>
        <v>17</v>
      </c>
      <c r="J88" s="456">
        <f t="shared" si="62"/>
        <v>1328.1241500802566</v>
      </c>
      <c r="K88" s="454">
        <f t="shared" si="62"/>
        <v>78.124950004720986</v>
      </c>
      <c r="L88" s="541"/>
      <c r="M88" s="455">
        <f>RANK(K88, K$87:$K$101)</f>
        <v>2</v>
      </c>
      <c r="N88" s="559"/>
      <c r="O88" s="559"/>
      <c r="P88" s="182">
        <v>17</v>
      </c>
      <c r="Q88" s="182">
        <v>1325.5200000000004</v>
      </c>
      <c r="R88" s="182">
        <v>77.971764705882379</v>
      </c>
      <c r="S88" s="451">
        <f t="shared" ref="S88:S101" si="63">RANK(R88, R$87:R$101)</f>
        <v>3</v>
      </c>
      <c r="T88" s="605"/>
      <c r="U88" s="182">
        <v>17</v>
      </c>
      <c r="V88" s="182">
        <v>1334.8125000000005</v>
      </c>
      <c r="W88" s="182">
        <v>78.518382352941202</v>
      </c>
      <c r="X88" s="451">
        <f t="shared" si="50"/>
        <v>2</v>
      </c>
      <c r="Y88" s="605"/>
      <c r="Z88" s="182">
        <v>17</v>
      </c>
      <c r="AA88" s="182">
        <v>1315.685393258427</v>
      </c>
      <c r="AB88" s="182">
        <v>77.393258426966298</v>
      </c>
      <c r="AC88" s="451">
        <f t="shared" si="52"/>
        <v>2</v>
      </c>
      <c r="AD88" s="605"/>
      <c r="AE88" s="182">
        <v>17</v>
      </c>
      <c r="AF88" s="182">
        <v>1338.4999999999993</v>
      </c>
      <c r="AG88" s="182">
        <v>78.735294117647015</v>
      </c>
      <c r="AH88" s="451">
        <f t="shared" si="54"/>
        <v>2</v>
      </c>
      <c r="AI88" s="605"/>
      <c r="AJ88" s="182">
        <v>17</v>
      </c>
      <c r="AK88" s="182">
        <v>1326.1028571428567</v>
      </c>
      <c r="AL88" s="182">
        <v>78.006050420168037</v>
      </c>
      <c r="AM88" s="451">
        <f t="shared" si="56"/>
        <v>2</v>
      </c>
      <c r="AN88" s="605"/>
      <c r="AO88" s="182"/>
      <c r="AP88" s="182"/>
      <c r="AQ88" s="182"/>
      <c r="AR88" s="390" t="e">
        <f t="shared" si="58"/>
        <v>#N/A</v>
      </c>
      <c r="AS88" s="605"/>
      <c r="AT88" s="182"/>
      <c r="AU88" s="182"/>
      <c r="AV88" s="182"/>
      <c r="AW88" s="390" t="e">
        <f t="shared" si="60"/>
        <v>#N/A</v>
      </c>
      <c r="AX88" s="605"/>
    </row>
    <row r="89" spans="2:50">
      <c r="B89" s="572"/>
      <c r="C89" s="451">
        <v>3</v>
      </c>
      <c r="D89" s="226" t="s">
        <v>598</v>
      </c>
      <c r="E89" s="182">
        <v>17</v>
      </c>
      <c r="F89" s="451">
        <v>1500</v>
      </c>
      <c r="G89" s="453">
        <v>88.235294117647058</v>
      </c>
      <c r="H89" s="609"/>
      <c r="I89" s="456">
        <f t="shared" si="62"/>
        <v>18</v>
      </c>
      <c r="J89" s="456">
        <f t="shared" si="62"/>
        <v>1332.7366808317754</v>
      </c>
      <c r="K89" s="454">
        <f t="shared" si="62"/>
        <v>74.040926712876413</v>
      </c>
      <c r="L89" s="541"/>
      <c r="M89" s="455">
        <f>RANK(K89, K$87:$K$101)</f>
        <v>4</v>
      </c>
      <c r="N89" s="559"/>
      <c r="O89" s="559"/>
      <c r="P89" s="182">
        <v>18</v>
      </c>
      <c r="Q89" s="182">
        <v>1336.9811320754725</v>
      </c>
      <c r="R89" s="182">
        <v>74.276729559748475</v>
      </c>
      <c r="S89" s="451">
        <f t="shared" si="63"/>
        <v>4</v>
      </c>
      <c r="T89" s="605"/>
      <c r="U89" s="182">
        <v>18</v>
      </c>
      <c r="V89" s="182">
        <v>1316.6037735849063</v>
      </c>
      <c r="W89" s="182">
        <v>73.144654088050345</v>
      </c>
      <c r="X89" s="451">
        <f t="shared" si="50"/>
        <v>4</v>
      </c>
      <c r="Y89" s="605"/>
      <c r="Z89" s="182">
        <v>18</v>
      </c>
      <c r="AA89" s="182">
        <v>1344.4444444444453</v>
      </c>
      <c r="AB89" s="182">
        <v>74.691358024691397</v>
      </c>
      <c r="AC89" s="451">
        <f t="shared" si="52"/>
        <v>5</v>
      </c>
      <c r="AD89" s="605"/>
      <c r="AE89" s="182">
        <v>18</v>
      </c>
      <c r="AF89" s="182">
        <v>1354.054054054053</v>
      </c>
      <c r="AG89" s="182">
        <v>75.225225225225174</v>
      </c>
      <c r="AH89" s="451">
        <f t="shared" si="54"/>
        <v>4</v>
      </c>
      <c r="AI89" s="605"/>
      <c r="AJ89" s="182">
        <v>18</v>
      </c>
      <c r="AK89" s="182">
        <v>1311.6000000000004</v>
      </c>
      <c r="AL89" s="182">
        <v>72.866666666666688</v>
      </c>
      <c r="AM89" s="451">
        <f t="shared" si="56"/>
        <v>4</v>
      </c>
      <c r="AN89" s="605"/>
      <c r="AO89" s="182"/>
      <c r="AP89" s="182"/>
      <c r="AQ89" s="182"/>
      <c r="AR89" s="390" t="e">
        <f t="shared" si="58"/>
        <v>#N/A</v>
      </c>
      <c r="AS89" s="605"/>
      <c r="AT89" s="182"/>
      <c r="AU89" s="182"/>
      <c r="AV89" s="182"/>
      <c r="AW89" s="390" t="e">
        <f t="shared" si="60"/>
        <v>#N/A</v>
      </c>
      <c r="AX89" s="605"/>
    </row>
    <row r="90" spans="2:50">
      <c r="B90" s="572"/>
      <c r="C90" s="451">
        <v>4</v>
      </c>
      <c r="D90" s="226" t="s">
        <v>611</v>
      </c>
      <c r="E90" s="182">
        <v>17</v>
      </c>
      <c r="F90" s="451">
        <v>1500</v>
      </c>
      <c r="G90" s="453">
        <v>88.235294117647058</v>
      </c>
      <c r="H90" s="609"/>
      <c r="I90" s="456">
        <f t="shared" si="62"/>
        <v>18</v>
      </c>
      <c r="J90" s="456">
        <f t="shared" si="62"/>
        <v>1328.1233075706746</v>
      </c>
      <c r="K90" s="454">
        <f t="shared" si="62"/>
        <v>73.784628198370811</v>
      </c>
      <c r="L90" s="541"/>
      <c r="M90" s="455">
        <f>RANK(K90, K$87:$K$101)</f>
        <v>5</v>
      </c>
      <c r="N90" s="559"/>
      <c r="O90" s="559"/>
      <c r="P90" s="182">
        <v>18</v>
      </c>
      <c r="Q90" s="182">
        <v>1324.2857142857138</v>
      </c>
      <c r="R90" s="182">
        <v>73.571428571428541</v>
      </c>
      <c r="S90" s="451">
        <f t="shared" si="63"/>
        <v>5</v>
      </c>
      <c r="T90" s="605"/>
      <c r="U90" s="182">
        <v>18</v>
      </c>
      <c r="V90" s="182">
        <v>1305.1851851851852</v>
      </c>
      <c r="W90" s="182">
        <v>72.510288065843625</v>
      </c>
      <c r="X90" s="451">
        <f t="shared" si="50"/>
        <v>5</v>
      </c>
      <c r="Y90" s="605"/>
      <c r="Z90" s="182">
        <v>18</v>
      </c>
      <c r="AA90" s="182">
        <v>1353.4177215189882</v>
      </c>
      <c r="AB90" s="182">
        <v>75.189873417721572</v>
      </c>
      <c r="AC90" s="451">
        <f t="shared" si="52"/>
        <v>4</v>
      </c>
      <c r="AD90" s="605"/>
      <c r="AE90" s="182">
        <v>18</v>
      </c>
      <c r="AF90" s="182">
        <v>1358.2758620689656</v>
      </c>
      <c r="AG90" s="182">
        <v>75.459770114942529</v>
      </c>
      <c r="AH90" s="451">
        <f t="shared" si="54"/>
        <v>3</v>
      </c>
      <c r="AI90" s="605"/>
      <c r="AJ90" s="182">
        <v>18</v>
      </c>
      <c r="AK90" s="182">
        <v>1299.4520547945203</v>
      </c>
      <c r="AL90" s="182">
        <v>72.191780821917803</v>
      </c>
      <c r="AM90" s="451">
        <f t="shared" si="56"/>
        <v>5</v>
      </c>
      <c r="AN90" s="605"/>
      <c r="AO90" s="182"/>
      <c r="AP90" s="182"/>
      <c r="AQ90" s="182"/>
      <c r="AR90" s="390" t="e">
        <f t="shared" si="58"/>
        <v>#N/A</v>
      </c>
      <c r="AS90" s="605"/>
      <c r="AT90" s="182"/>
      <c r="AU90" s="182"/>
      <c r="AV90" s="182"/>
      <c r="AW90" s="390" t="e">
        <f t="shared" si="60"/>
        <v>#N/A</v>
      </c>
      <c r="AX90" s="605"/>
    </row>
    <row r="91" spans="2:50">
      <c r="B91" s="572"/>
      <c r="C91" s="451">
        <v>5</v>
      </c>
      <c r="D91" s="226" t="s">
        <v>795</v>
      </c>
      <c r="E91" s="182">
        <v>18</v>
      </c>
      <c r="F91" s="451">
        <v>1636</v>
      </c>
      <c r="G91" s="453">
        <v>90.888888888888886</v>
      </c>
      <c r="H91" s="609"/>
      <c r="I91" s="456">
        <f t="shared" si="62"/>
        <v>18</v>
      </c>
      <c r="J91" s="456">
        <f t="shared" si="62"/>
        <v>1379.4169856459325</v>
      </c>
      <c r="K91" s="454">
        <f t="shared" si="62"/>
        <v>76.634276980329588</v>
      </c>
      <c r="L91" s="541"/>
      <c r="M91" s="455">
        <f>RANK(K91, K$87:$K$101)</f>
        <v>3</v>
      </c>
      <c r="N91" s="559"/>
      <c r="O91" s="559"/>
      <c r="P91" s="182">
        <v>18</v>
      </c>
      <c r="Q91" s="182">
        <v>1422.5454545454554</v>
      </c>
      <c r="R91" s="182">
        <v>79.030303030303074</v>
      </c>
      <c r="S91" s="451">
        <f t="shared" si="63"/>
        <v>2</v>
      </c>
      <c r="T91" s="605"/>
      <c r="U91" s="182">
        <v>18</v>
      </c>
      <c r="V91" s="182">
        <v>1372.4999999999982</v>
      </c>
      <c r="W91" s="182">
        <v>76.249999999999901</v>
      </c>
      <c r="X91" s="451">
        <f t="shared" si="50"/>
        <v>3</v>
      </c>
      <c r="Y91" s="605"/>
      <c r="Z91" s="182">
        <v>18</v>
      </c>
      <c r="AA91" s="182">
        <v>1375.7894736842079</v>
      </c>
      <c r="AB91" s="182">
        <v>76.432748538011552</v>
      </c>
      <c r="AC91" s="451">
        <f t="shared" si="52"/>
        <v>3</v>
      </c>
      <c r="AD91" s="605"/>
      <c r="AE91" s="182">
        <v>18</v>
      </c>
      <c r="AF91" s="182">
        <v>1353.7500000000005</v>
      </c>
      <c r="AG91" s="182">
        <v>75.208333333333357</v>
      </c>
      <c r="AH91" s="451">
        <f t="shared" si="54"/>
        <v>5</v>
      </c>
      <c r="AI91" s="605"/>
      <c r="AJ91" s="182">
        <v>18</v>
      </c>
      <c r="AK91" s="182">
        <v>1372.5000000000005</v>
      </c>
      <c r="AL91" s="182">
        <v>76.250000000000028</v>
      </c>
      <c r="AM91" s="451">
        <f t="shared" si="56"/>
        <v>3</v>
      </c>
      <c r="AN91" s="605"/>
      <c r="AO91" s="182"/>
      <c r="AP91" s="182"/>
      <c r="AQ91" s="182"/>
      <c r="AR91" s="390" t="e">
        <f t="shared" si="58"/>
        <v>#N/A</v>
      </c>
      <c r="AS91" s="605"/>
      <c r="AT91" s="182"/>
      <c r="AU91" s="182"/>
      <c r="AV91" s="182"/>
      <c r="AW91" s="390" t="e">
        <f t="shared" si="60"/>
        <v>#N/A</v>
      </c>
      <c r="AX91" s="605"/>
    </row>
    <row r="92" spans="2:50">
      <c r="B92" s="572"/>
      <c r="C92" s="451">
        <v>6</v>
      </c>
      <c r="D92" s="226" t="s">
        <v>796</v>
      </c>
      <c r="E92" s="182">
        <v>19</v>
      </c>
      <c r="F92" s="451">
        <v>1385</v>
      </c>
      <c r="G92" s="453">
        <v>72.89473684210526</v>
      </c>
      <c r="H92" s="609"/>
      <c r="I92" s="456">
        <f t="shared" si="62"/>
        <v>20</v>
      </c>
      <c r="J92" s="456">
        <f t="shared" si="62"/>
        <v>1088.3917037010328</v>
      </c>
      <c r="K92" s="454">
        <f t="shared" si="62"/>
        <v>54.419585185051645</v>
      </c>
      <c r="L92" s="541"/>
      <c r="M92" s="455">
        <f>RANK(K92, K$87:$K$101)</f>
        <v>6</v>
      </c>
      <c r="N92" s="559"/>
      <c r="O92" s="559"/>
      <c r="P92" s="182">
        <v>20</v>
      </c>
      <c r="Q92" s="182">
        <v>1067.8124999999998</v>
      </c>
      <c r="R92" s="182">
        <v>53.390624999999986</v>
      </c>
      <c r="S92" s="451">
        <f t="shared" si="63"/>
        <v>6</v>
      </c>
      <c r="T92" s="605"/>
      <c r="U92" s="182">
        <v>20</v>
      </c>
      <c r="V92" s="182">
        <v>1096.2711864406774</v>
      </c>
      <c r="W92" s="182">
        <v>54.813559322033868</v>
      </c>
      <c r="X92" s="451">
        <f t="shared" si="50"/>
        <v>6</v>
      </c>
      <c r="Y92" s="605"/>
      <c r="Z92" s="182">
        <v>20</v>
      </c>
      <c r="AA92" s="182">
        <v>1089.642857142858</v>
      </c>
      <c r="AB92" s="182">
        <v>54.482142857142904</v>
      </c>
      <c r="AC92" s="451">
        <f t="shared" si="52"/>
        <v>6</v>
      </c>
      <c r="AD92" s="605"/>
      <c r="AE92" s="182">
        <v>20</v>
      </c>
      <c r="AF92" s="182">
        <v>1122.4137931034461</v>
      </c>
      <c r="AG92" s="182">
        <v>56.120689655172306</v>
      </c>
      <c r="AH92" s="451">
        <f t="shared" si="54"/>
        <v>6</v>
      </c>
      <c r="AI92" s="605"/>
      <c r="AJ92" s="182">
        <v>20</v>
      </c>
      <c r="AK92" s="182">
        <v>1065.8181818181827</v>
      </c>
      <c r="AL92" s="182">
        <v>53.290909090909132</v>
      </c>
      <c r="AM92" s="451">
        <f t="shared" si="56"/>
        <v>6</v>
      </c>
      <c r="AN92" s="605"/>
      <c r="AO92" s="182"/>
      <c r="AP92" s="182"/>
      <c r="AQ92" s="182"/>
      <c r="AR92" s="390" t="e">
        <f t="shared" si="58"/>
        <v>#N/A</v>
      </c>
      <c r="AS92" s="605"/>
      <c r="AT92" s="182"/>
      <c r="AU92" s="182"/>
      <c r="AV92" s="182"/>
      <c r="AW92" s="390" t="e">
        <f t="shared" si="60"/>
        <v>#N/A</v>
      </c>
      <c r="AX92" s="605"/>
    </row>
    <row r="93" spans="2:50">
      <c r="B93" s="572"/>
      <c r="C93" s="451">
        <v>7</v>
      </c>
      <c r="D93" s="226"/>
      <c r="E93" s="182"/>
      <c r="F93" s="451"/>
      <c r="G93" s="453"/>
      <c r="H93" s="609"/>
      <c r="I93" s="456"/>
      <c r="J93" s="456"/>
      <c r="K93" s="454"/>
      <c r="L93" s="541"/>
      <c r="M93" s="455" t="e">
        <f>RANK(K93, K$87:$K$101)</f>
        <v>#N/A</v>
      </c>
      <c r="N93" s="559"/>
      <c r="O93" s="559"/>
      <c r="P93" s="452"/>
      <c r="Q93" s="457"/>
      <c r="R93" s="457"/>
      <c r="S93" s="451" t="e">
        <f t="shared" si="63"/>
        <v>#N/A</v>
      </c>
      <c r="T93" s="605"/>
      <c r="U93" s="452"/>
      <c r="V93" s="457"/>
      <c r="W93" s="457"/>
      <c r="X93" s="451" t="e">
        <f t="shared" si="50"/>
        <v>#N/A</v>
      </c>
      <c r="Y93" s="605"/>
      <c r="Z93" s="452"/>
      <c r="AA93" s="457"/>
      <c r="AB93" s="457"/>
      <c r="AC93" s="451" t="e">
        <f t="shared" si="52"/>
        <v>#N/A</v>
      </c>
      <c r="AD93" s="605"/>
      <c r="AE93" s="452"/>
      <c r="AF93" s="457"/>
      <c r="AG93" s="457"/>
      <c r="AH93" s="451" t="e">
        <f t="shared" si="54"/>
        <v>#N/A</v>
      </c>
      <c r="AI93" s="605"/>
      <c r="AJ93" s="452"/>
      <c r="AK93" s="457"/>
      <c r="AL93" s="457"/>
      <c r="AM93" s="451" t="e">
        <f t="shared" si="56"/>
        <v>#N/A</v>
      </c>
      <c r="AN93" s="605"/>
      <c r="AO93" s="182"/>
      <c r="AP93" s="182"/>
      <c r="AQ93" s="182"/>
      <c r="AR93" s="390" t="e">
        <f t="shared" si="58"/>
        <v>#N/A</v>
      </c>
      <c r="AS93" s="605"/>
      <c r="AT93" s="182"/>
      <c r="AU93" s="182"/>
      <c r="AV93" s="182"/>
      <c r="AW93" s="390" t="e">
        <f t="shared" si="60"/>
        <v>#N/A</v>
      </c>
      <c r="AX93" s="605"/>
    </row>
    <row r="94" spans="2:50">
      <c r="B94" s="572"/>
      <c r="C94" s="451">
        <v>8</v>
      </c>
      <c r="D94" s="226"/>
      <c r="E94" s="182"/>
      <c r="F94" s="451"/>
      <c r="G94" s="453"/>
      <c r="H94" s="609"/>
      <c r="I94" s="456"/>
      <c r="J94" s="456"/>
      <c r="K94" s="454"/>
      <c r="L94" s="541"/>
      <c r="M94" s="455" t="e">
        <f>RANK(K94, K$87:$K$101)</f>
        <v>#N/A</v>
      </c>
      <c r="N94" s="559"/>
      <c r="O94" s="559"/>
      <c r="P94" s="452"/>
      <c r="Q94" s="457"/>
      <c r="R94" s="457"/>
      <c r="S94" s="451" t="e">
        <f t="shared" si="63"/>
        <v>#N/A</v>
      </c>
      <c r="T94" s="605"/>
      <c r="U94" s="452"/>
      <c r="V94" s="457"/>
      <c r="W94" s="457"/>
      <c r="X94" s="451" t="e">
        <f t="shared" si="50"/>
        <v>#N/A</v>
      </c>
      <c r="Y94" s="605"/>
      <c r="Z94" s="452"/>
      <c r="AA94" s="457"/>
      <c r="AB94" s="457"/>
      <c r="AC94" s="451" t="e">
        <f t="shared" si="52"/>
        <v>#N/A</v>
      </c>
      <c r="AD94" s="605"/>
      <c r="AE94" s="452"/>
      <c r="AF94" s="457"/>
      <c r="AG94" s="457"/>
      <c r="AH94" s="451" t="e">
        <f t="shared" si="54"/>
        <v>#N/A</v>
      </c>
      <c r="AI94" s="605"/>
      <c r="AJ94" s="452"/>
      <c r="AK94" s="457"/>
      <c r="AL94" s="457"/>
      <c r="AM94" s="451" t="e">
        <f t="shared" si="56"/>
        <v>#N/A</v>
      </c>
      <c r="AN94" s="605"/>
      <c r="AO94" s="182"/>
      <c r="AP94" s="182"/>
      <c r="AQ94" s="182"/>
      <c r="AR94" s="390" t="e">
        <f t="shared" si="58"/>
        <v>#N/A</v>
      </c>
      <c r="AS94" s="605"/>
      <c r="AT94" s="182"/>
      <c r="AU94" s="182"/>
      <c r="AV94" s="182"/>
      <c r="AW94" s="390" t="e">
        <f t="shared" si="60"/>
        <v>#N/A</v>
      </c>
      <c r="AX94" s="605"/>
    </row>
    <row r="95" spans="2:50">
      <c r="B95" s="572"/>
      <c r="C95" s="451">
        <v>9</v>
      </c>
      <c r="D95" s="226"/>
      <c r="E95" s="182"/>
      <c r="F95" s="451"/>
      <c r="G95" s="453"/>
      <c r="H95" s="609"/>
      <c r="I95" s="456"/>
      <c r="J95" s="456"/>
      <c r="K95" s="454"/>
      <c r="L95" s="541"/>
      <c r="M95" s="455" t="e">
        <f>RANK(K95, K$87:$K$101)</f>
        <v>#N/A</v>
      </c>
      <c r="N95" s="559"/>
      <c r="O95" s="559"/>
      <c r="P95" s="452"/>
      <c r="Q95" s="457"/>
      <c r="R95" s="457"/>
      <c r="S95" s="451" t="e">
        <f t="shared" si="63"/>
        <v>#N/A</v>
      </c>
      <c r="T95" s="605"/>
      <c r="U95" s="452"/>
      <c r="V95" s="457"/>
      <c r="W95" s="457"/>
      <c r="X95" s="451" t="e">
        <f t="shared" si="50"/>
        <v>#N/A</v>
      </c>
      <c r="Y95" s="605"/>
      <c r="Z95" s="452"/>
      <c r="AA95" s="457"/>
      <c r="AB95" s="457"/>
      <c r="AC95" s="451" t="e">
        <f t="shared" si="52"/>
        <v>#N/A</v>
      </c>
      <c r="AD95" s="605"/>
      <c r="AE95" s="452"/>
      <c r="AF95" s="457"/>
      <c r="AG95" s="457"/>
      <c r="AH95" s="451" t="e">
        <f t="shared" si="54"/>
        <v>#N/A</v>
      </c>
      <c r="AI95" s="605"/>
      <c r="AJ95" s="452"/>
      <c r="AK95" s="457"/>
      <c r="AL95" s="457"/>
      <c r="AM95" s="451" t="e">
        <f t="shared" si="56"/>
        <v>#N/A</v>
      </c>
      <c r="AN95" s="605"/>
      <c r="AO95" s="182"/>
      <c r="AP95" s="182"/>
      <c r="AQ95" s="182"/>
      <c r="AR95" s="390" t="e">
        <f t="shared" si="58"/>
        <v>#N/A</v>
      </c>
      <c r="AS95" s="605"/>
      <c r="AT95" s="182"/>
      <c r="AU95" s="182"/>
      <c r="AV95" s="182"/>
      <c r="AW95" s="390" t="e">
        <f t="shared" si="60"/>
        <v>#N/A</v>
      </c>
      <c r="AX95" s="605"/>
    </row>
    <row r="96" spans="2:50">
      <c r="B96" s="572"/>
      <c r="C96" s="451">
        <v>10</v>
      </c>
      <c r="D96" s="226"/>
      <c r="E96" s="182"/>
      <c r="F96" s="451"/>
      <c r="G96" s="453"/>
      <c r="H96" s="609"/>
      <c r="I96" s="456"/>
      <c r="J96" s="456"/>
      <c r="K96" s="454"/>
      <c r="L96" s="541"/>
      <c r="M96" s="455" t="e">
        <f>RANK(K96, K$87:$K$101)</f>
        <v>#N/A</v>
      </c>
      <c r="N96" s="559"/>
      <c r="O96" s="559"/>
      <c r="P96" s="452"/>
      <c r="Q96" s="457"/>
      <c r="R96" s="457"/>
      <c r="S96" s="451" t="e">
        <f t="shared" si="63"/>
        <v>#N/A</v>
      </c>
      <c r="T96" s="605"/>
      <c r="U96" s="452"/>
      <c r="V96" s="457"/>
      <c r="W96" s="457"/>
      <c r="X96" s="451" t="e">
        <f t="shared" si="50"/>
        <v>#N/A</v>
      </c>
      <c r="Y96" s="605"/>
      <c r="Z96" s="452"/>
      <c r="AA96" s="457"/>
      <c r="AB96" s="457"/>
      <c r="AC96" s="451" t="e">
        <f t="shared" si="52"/>
        <v>#N/A</v>
      </c>
      <c r="AD96" s="605"/>
      <c r="AE96" s="452"/>
      <c r="AF96" s="457"/>
      <c r="AG96" s="457"/>
      <c r="AH96" s="451" t="e">
        <f t="shared" si="54"/>
        <v>#N/A</v>
      </c>
      <c r="AI96" s="605"/>
      <c r="AJ96" s="452"/>
      <c r="AK96" s="457"/>
      <c r="AL96" s="457"/>
      <c r="AM96" s="451" t="e">
        <f t="shared" si="56"/>
        <v>#N/A</v>
      </c>
      <c r="AN96" s="605"/>
      <c r="AO96" s="182"/>
      <c r="AP96" s="182"/>
      <c r="AQ96" s="182"/>
      <c r="AR96" s="390" t="e">
        <f t="shared" si="58"/>
        <v>#N/A</v>
      </c>
      <c r="AS96" s="605"/>
      <c r="AT96" s="182"/>
      <c r="AU96" s="182"/>
      <c r="AV96" s="182"/>
      <c r="AW96" s="390" t="e">
        <f t="shared" si="60"/>
        <v>#N/A</v>
      </c>
      <c r="AX96" s="605"/>
    </row>
    <row r="97" spans="2:50">
      <c r="B97" s="572"/>
      <c r="C97" s="451">
        <v>11</v>
      </c>
      <c r="D97" s="226"/>
      <c r="E97" s="182"/>
      <c r="F97" s="451"/>
      <c r="G97" s="453"/>
      <c r="H97" s="609"/>
      <c r="I97" s="456"/>
      <c r="J97" s="456"/>
      <c r="K97" s="454"/>
      <c r="L97" s="541"/>
      <c r="M97" s="455" t="e">
        <f>RANK(K97, K$87:$K$101)</f>
        <v>#N/A</v>
      </c>
      <c r="N97" s="559"/>
      <c r="O97" s="559"/>
      <c r="P97" s="452"/>
      <c r="Q97" s="457"/>
      <c r="R97" s="457"/>
      <c r="S97" s="451" t="e">
        <f t="shared" si="63"/>
        <v>#N/A</v>
      </c>
      <c r="T97" s="605"/>
      <c r="U97" s="452"/>
      <c r="V97" s="457"/>
      <c r="W97" s="457"/>
      <c r="X97" s="451" t="e">
        <f t="shared" si="50"/>
        <v>#N/A</v>
      </c>
      <c r="Y97" s="605"/>
      <c r="Z97" s="452"/>
      <c r="AA97" s="457"/>
      <c r="AB97" s="457"/>
      <c r="AC97" s="451" t="e">
        <f t="shared" si="52"/>
        <v>#N/A</v>
      </c>
      <c r="AD97" s="605"/>
      <c r="AE97" s="452"/>
      <c r="AF97" s="457"/>
      <c r="AG97" s="457"/>
      <c r="AH97" s="451" t="e">
        <f t="shared" si="54"/>
        <v>#N/A</v>
      </c>
      <c r="AI97" s="605"/>
      <c r="AJ97" s="452"/>
      <c r="AK97" s="457"/>
      <c r="AL97" s="457"/>
      <c r="AM97" s="451" t="e">
        <f t="shared" si="56"/>
        <v>#N/A</v>
      </c>
      <c r="AN97" s="605"/>
      <c r="AO97" s="182"/>
      <c r="AP97" s="182"/>
      <c r="AQ97" s="182"/>
      <c r="AR97" s="390" t="e">
        <f t="shared" si="58"/>
        <v>#N/A</v>
      </c>
      <c r="AS97" s="605"/>
      <c r="AT97" s="182"/>
      <c r="AU97" s="182"/>
      <c r="AV97" s="182"/>
      <c r="AW97" s="390" t="e">
        <f t="shared" si="60"/>
        <v>#N/A</v>
      </c>
      <c r="AX97" s="605"/>
    </row>
    <row r="98" spans="2:50">
      <c r="B98" s="572"/>
      <c r="C98" s="451">
        <v>12</v>
      </c>
      <c r="D98" s="226"/>
      <c r="E98" s="182"/>
      <c r="F98" s="451"/>
      <c r="G98" s="453"/>
      <c r="H98" s="609"/>
      <c r="I98" s="202"/>
      <c r="J98" s="202"/>
      <c r="K98" s="202"/>
      <c r="L98" s="541"/>
      <c r="M98" s="455" t="e">
        <f>RANK(K98, K$87:$K$101)</f>
        <v>#N/A</v>
      </c>
      <c r="N98" s="559"/>
      <c r="O98" s="559"/>
      <c r="P98" s="452"/>
      <c r="Q98" s="457"/>
      <c r="R98" s="457"/>
      <c r="S98" s="451" t="e">
        <f t="shared" si="63"/>
        <v>#N/A</v>
      </c>
      <c r="T98" s="605"/>
      <c r="U98" s="452"/>
      <c r="V98" s="457"/>
      <c r="W98" s="457"/>
      <c r="X98" s="451" t="e">
        <f t="shared" si="50"/>
        <v>#N/A</v>
      </c>
      <c r="Y98" s="605"/>
      <c r="Z98" s="452"/>
      <c r="AA98" s="457"/>
      <c r="AB98" s="457"/>
      <c r="AC98" s="451" t="e">
        <f t="shared" si="52"/>
        <v>#N/A</v>
      </c>
      <c r="AD98" s="605"/>
      <c r="AE98" s="452"/>
      <c r="AF98" s="457"/>
      <c r="AG98" s="457"/>
      <c r="AH98" s="451" t="e">
        <f t="shared" si="54"/>
        <v>#N/A</v>
      </c>
      <c r="AI98" s="605"/>
      <c r="AJ98" s="452"/>
      <c r="AK98" s="457"/>
      <c r="AL98" s="457"/>
      <c r="AM98" s="451" t="e">
        <f t="shared" si="56"/>
        <v>#N/A</v>
      </c>
      <c r="AN98" s="605"/>
      <c r="AO98" s="182"/>
      <c r="AP98" s="182"/>
      <c r="AQ98" s="182"/>
      <c r="AR98" s="390" t="e">
        <f t="shared" si="58"/>
        <v>#N/A</v>
      </c>
      <c r="AS98" s="605"/>
      <c r="AT98" s="182"/>
      <c r="AU98" s="182"/>
      <c r="AV98" s="182"/>
      <c r="AW98" s="390" t="e">
        <f t="shared" si="60"/>
        <v>#N/A</v>
      </c>
      <c r="AX98" s="605"/>
    </row>
    <row r="99" spans="2:50">
      <c r="B99" s="572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41"/>
      <c r="M99" s="455" t="e">
        <f>RANK(K99, K$87:$K$101)</f>
        <v>#N/A</v>
      </c>
      <c r="N99" s="559"/>
      <c r="O99" s="559"/>
      <c r="P99" s="452"/>
      <c r="Q99" s="457"/>
      <c r="R99" s="457"/>
      <c r="S99" s="451" t="e">
        <f t="shared" si="63"/>
        <v>#N/A</v>
      </c>
      <c r="T99" s="605"/>
      <c r="U99" s="452"/>
      <c r="V99" s="457"/>
      <c r="W99" s="457"/>
      <c r="X99" s="451" t="e">
        <f t="shared" si="50"/>
        <v>#N/A</v>
      </c>
      <c r="Y99" s="605"/>
      <c r="Z99" s="452"/>
      <c r="AA99" s="457"/>
      <c r="AB99" s="457"/>
      <c r="AC99" s="451" t="e">
        <f t="shared" si="52"/>
        <v>#N/A</v>
      </c>
      <c r="AD99" s="605"/>
      <c r="AE99" s="452"/>
      <c r="AF99" s="457"/>
      <c r="AG99" s="457"/>
      <c r="AH99" s="451" t="e">
        <f t="shared" si="54"/>
        <v>#N/A</v>
      </c>
      <c r="AI99" s="605"/>
      <c r="AJ99" s="452"/>
      <c r="AK99" s="457"/>
      <c r="AL99" s="457"/>
      <c r="AM99" s="451" t="e">
        <f t="shared" si="56"/>
        <v>#N/A</v>
      </c>
      <c r="AN99" s="605"/>
      <c r="AO99" s="182"/>
      <c r="AP99" s="182"/>
      <c r="AQ99" s="182"/>
      <c r="AR99" s="390" t="e">
        <f t="shared" si="58"/>
        <v>#N/A</v>
      </c>
      <c r="AS99" s="605"/>
      <c r="AT99" s="182"/>
      <c r="AU99" s="182"/>
      <c r="AV99" s="182"/>
      <c r="AW99" s="390" t="e">
        <f t="shared" si="60"/>
        <v>#N/A</v>
      </c>
      <c r="AX99" s="605"/>
    </row>
    <row r="100" spans="2:50">
      <c r="B100" s="572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41"/>
      <c r="M100" s="455" t="e">
        <f>RANK(K100, K$87:$K$101)</f>
        <v>#N/A</v>
      </c>
      <c r="N100" s="559"/>
      <c r="O100" s="559"/>
      <c r="P100" s="452"/>
      <c r="Q100" s="457"/>
      <c r="R100" s="457"/>
      <c r="S100" s="451" t="e">
        <f t="shared" si="63"/>
        <v>#N/A</v>
      </c>
      <c r="T100" s="605"/>
      <c r="U100" s="452"/>
      <c r="V100" s="457"/>
      <c r="W100" s="457"/>
      <c r="X100" s="451" t="e">
        <f t="shared" si="50"/>
        <v>#N/A</v>
      </c>
      <c r="Y100" s="605"/>
      <c r="Z100" s="452"/>
      <c r="AA100" s="457"/>
      <c r="AB100" s="457"/>
      <c r="AC100" s="451" t="e">
        <f t="shared" si="52"/>
        <v>#N/A</v>
      </c>
      <c r="AD100" s="605"/>
      <c r="AE100" s="452"/>
      <c r="AF100" s="457"/>
      <c r="AG100" s="457"/>
      <c r="AH100" s="451" t="e">
        <f t="shared" si="54"/>
        <v>#N/A</v>
      </c>
      <c r="AI100" s="605"/>
      <c r="AJ100" s="452"/>
      <c r="AK100" s="457"/>
      <c r="AL100" s="457"/>
      <c r="AM100" s="451" t="e">
        <f t="shared" si="56"/>
        <v>#N/A</v>
      </c>
      <c r="AN100" s="605"/>
      <c r="AO100" s="182"/>
      <c r="AP100" s="182"/>
      <c r="AQ100" s="182"/>
      <c r="AR100" s="390" t="e">
        <f t="shared" si="58"/>
        <v>#N/A</v>
      </c>
      <c r="AS100" s="605"/>
      <c r="AT100" s="182"/>
      <c r="AU100" s="182"/>
      <c r="AV100" s="182"/>
      <c r="AW100" s="390" t="e">
        <f t="shared" si="60"/>
        <v>#N/A</v>
      </c>
      <c r="AX100" s="605"/>
    </row>
    <row r="101" spans="2:50">
      <c r="B101" s="572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42"/>
      <c r="M101" s="456" t="e">
        <f>RANK(K101, K$87:$K$101)</f>
        <v>#N/A</v>
      </c>
      <c r="N101" s="559"/>
      <c r="O101" s="559"/>
      <c r="P101" s="452"/>
      <c r="Q101" s="457"/>
      <c r="R101" s="457"/>
      <c r="S101" s="451" t="e">
        <f t="shared" si="63"/>
        <v>#N/A</v>
      </c>
      <c r="T101" s="605"/>
      <c r="U101" s="452"/>
      <c r="V101" s="457"/>
      <c r="W101" s="457"/>
      <c r="X101" s="451" t="e">
        <f t="shared" si="50"/>
        <v>#N/A</v>
      </c>
      <c r="Y101" s="605"/>
      <c r="Z101" s="452"/>
      <c r="AA101" s="457"/>
      <c r="AB101" s="457"/>
      <c r="AC101" s="451" t="e">
        <f t="shared" si="52"/>
        <v>#N/A</v>
      </c>
      <c r="AD101" s="605"/>
      <c r="AE101" s="452"/>
      <c r="AF101" s="457"/>
      <c r="AG101" s="457"/>
      <c r="AH101" s="451" t="e">
        <f t="shared" si="54"/>
        <v>#N/A</v>
      </c>
      <c r="AI101" s="605"/>
      <c r="AJ101" s="452"/>
      <c r="AK101" s="457"/>
      <c r="AL101" s="457"/>
      <c r="AM101" s="451" t="e">
        <f t="shared" si="56"/>
        <v>#N/A</v>
      </c>
      <c r="AN101" s="605"/>
      <c r="AO101" s="182"/>
      <c r="AP101" s="182"/>
      <c r="AQ101" s="182"/>
      <c r="AR101" s="390" t="e">
        <f t="shared" si="58"/>
        <v>#N/A</v>
      </c>
      <c r="AS101" s="605"/>
      <c r="AT101" s="182"/>
      <c r="AU101" s="182"/>
      <c r="AV101" s="182"/>
      <c r="AW101" s="390" t="e">
        <f t="shared" si="60"/>
        <v>#N/A</v>
      </c>
      <c r="AX101" s="605"/>
    </row>
    <row r="102" spans="2:50" ht="15.75">
      <c r="B102" s="576" t="s">
        <v>162</v>
      </c>
      <c r="C102" s="577"/>
      <c r="D102" s="577"/>
      <c r="E102" s="577"/>
      <c r="F102" s="577"/>
      <c r="G102" s="577"/>
      <c r="H102" s="578"/>
      <c r="I102" s="208"/>
      <c r="J102" s="208"/>
      <c r="K102" s="208"/>
      <c r="L102" s="208"/>
      <c r="M102" s="207"/>
      <c r="N102" s="565" t="s">
        <v>156</v>
      </c>
      <c r="O102" s="565" t="s">
        <v>105</v>
      </c>
      <c r="P102" s="571">
        <f>P82+7</f>
        <v>34</v>
      </c>
      <c r="Q102" s="572"/>
      <c r="R102" s="572"/>
      <c r="S102" s="572"/>
      <c r="T102" s="572"/>
      <c r="U102" s="568">
        <f>P102+1</f>
        <v>35</v>
      </c>
      <c r="V102" s="569"/>
      <c r="W102" s="569"/>
      <c r="X102" s="569"/>
      <c r="Y102" s="570"/>
      <c r="Z102" s="568">
        <f>U102+1</f>
        <v>36</v>
      </c>
      <c r="AA102" s="569"/>
      <c r="AB102" s="569"/>
      <c r="AC102" s="569"/>
      <c r="AD102" s="570"/>
      <c r="AE102" s="568">
        <f>Z102+1</f>
        <v>37</v>
      </c>
      <c r="AF102" s="569"/>
      <c r="AG102" s="569"/>
      <c r="AH102" s="569"/>
      <c r="AI102" s="570"/>
      <c r="AJ102" s="568">
        <f>AE102+1</f>
        <v>38</v>
      </c>
      <c r="AK102" s="569"/>
      <c r="AL102" s="569"/>
      <c r="AM102" s="569"/>
      <c r="AN102" s="570"/>
      <c r="AO102" s="568">
        <f>AJ102+1</f>
        <v>39</v>
      </c>
      <c r="AP102" s="569"/>
      <c r="AQ102" s="569"/>
      <c r="AR102" s="569"/>
      <c r="AS102" s="570"/>
      <c r="AT102" s="568">
        <f>AO102+1</f>
        <v>40</v>
      </c>
      <c r="AU102" s="569"/>
      <c r="AV102" s="569"/>
      <c r="AW102" s="569"/>
      <c r="AX102" s="570"/>
    </row>
    <row r="103" spans="2:50" ht="15.75">
      <c r="B103" s="579"/>
      <c r="C103" s="579"/>
      <c r="D103" s="579"/>
      <c r="E103" s="579"/>
      <c r="F103" s="579"/>
      <c r="G103" s="579"/>
      <c r="H103" s="579"/>
      <c r="I103" s="205"/>
      <c r="J103" s="205"/>
      <c r="K103" s="205"/>
      <c r="L103" s="205"/>
      <c r="M103" s="206"/>
      <c r="N103" s="567"/>
      <c r="O103" s="567"/>
      <c r="P103" s="571" t="s">
        <v>158</v>
      </c>
      <c r="Q103" s="572"/>
      <c r="R103" s="572"/>
      <c r="S103" s="572"/>
      <c r="T103" s="572"/>
      <c r="U103" s="571" t="s">
        <v>114</v>
      </c>
      <c r="V103" s="572"/>
      <c r="W103" s="572"/>
      <c r="X103" s="572"/>
      <c r="Y103" s="572"/>
      <c r="Z103" s="571" t="s">
        <v>159</v>
      </c>
      <c r="AA103" s="572"/>
      <c r="AB103" s="572"/>
      <c r="AC103" s="572"/>
      <c r="AD103" s="572"/>
      <c r="AE103" s="571" t="s">
        <v>157</v>
      </c>
      <c r="AF103" s="572"/>
      <c r="AG103" s="572"/>
      <c r="AH103" s="572"/>
      <c r="AI103" s="572"/>
      <c r="AJ103" s="571" t="s">
        <v>160</v>
      </c>
      <c r="AK103" s="572"/>
      <c r="AL103" s="572"/>
      <c r="AM103" s="572"/>
      <c r="AN103" s="572"/>
      <c r="AO103" s="571" t="s">
        <v>115</v>
      </c>
      <c r="AP103" s="572"/>
      <c r="AQ103" s="572"/>
      <c r="AR103" s="572"/>
      <c r="AS103" s="572"/>
      <c r="AT103" s="571" t="s">
        <v>161</v>
      </c>
      <c r="AU103" s="572"/>
      <c r="AV103" s="572"/>
      <c r="AW103" s="572"/>
      <c r="AX103" s="572"/>
    </row>
    <row r="104" spans="2:50">
      <c r="B104" s="559" t="s">
        <v>703</v>
      </c>
      <c r="C104" s="559" t="s">
        <v>704</v>
      </c>
      <c r="D104" s="559"/>
      <c r="E104" s="559" t="s">
        <v>705</v>
      </c>
      <c r="F104" s="559"/>
      <c r="G104" s="559"/>
      <c r="H104" s="560" t="s">
        <v>706</v>
      </c>
      <c r="I104" s="559" t="s">
        <v>707</v>
      </c>
      <c r="J104" s="559"/>
      <c r="K104" s="559"/>
      <c r="L104" s="560" t="s">
        <v>706</v>
      </c>
      <c r="M104" s="565" t="s">
        <v>708</v>
      </c>
      <c r="N104" s="559"/>
      <c r="O104" s="559" t="s">
        <v>709</v>
      </c>
      <c r="P104" s="556" t="s">
        <v>692</v>
      </c>
      <c r="Q104" s="557"/>
      <c r="R104" s="557"/>
      <c r="S104" s="558"/>
      <c r="T104" s="559" t="s">
        <v>688</v>
      </c>
      <c r="U104" s="556" t="s">
        <v>692</v>
      </c>
      <c r="V104" s="557"/>
      <c r="W104" s="557"/>
      <c r="X104" s="558"/>
      <c r="Y104" s="559" t="s">
        <v>688</v>
      </c>
      <c r="Z104" s="556" t="s">
        <v>418</v>
      </c>
      <c r="AA104" s="557"/>
      <c r="AB104" s="557"/>
      <c r="AC104" s="558"/>
      <c r="AD104" s="559" t="s">
        <v>416</v>
      </c>
      <c r="AE104" s="556" t="s">
        <v>418</v>
      </c>
      <c r="AF104" s="557"/>
      <c r="AG104" s="557"/>
      <c r="AH104" s="558"/>
      <c r="AI104" s="559" t="s">
        <v>416</v>
      </c>
      <c r="AJ104" s="556" t="s">
        <v>418</v>
      </c>
      <c r="AK104" s="557"/>
      <c r="AL104" s="557"/>
      <c r="AM104" s="558"/>
      <c r="AN104" s="559" t="s">
        <v>416</v>
      </c>
      <c r="AO104" s="556" t="s">
        <v>418</v>
      </c>
      <c r="AP104" s="557"/>
      <c r="AQ104" s="557"/>
      <c r="AR104" s="558"/>
      <c r="AS104" s="559" t="s">
        <v>416</v>
      </c>
      <c r="AT104" s="556" t="s">
        <v>418</v>
      </c>
      <c r="AU104" s="557"/>
      <c r="AV104" s="557"/>
      <c r="AW104" s="558"/>
      <c r="AX104" s="559" t="s">
        <v>416</v>
      </c>
    </row>
    <row r="105" spans="2:50">
      <c r="B105" s="559"/>
      <c r="C105" s="559"/>
      <c r="D105" s="559"/>
      <c r="E105" s="559" t="s">
        <v>710</v>
      </c>
      <c r="F105" s="559"/>
      <c r="G105" s="559"/>
      <c r="H105" s="561"/>
      <c r="I105" s="559" t="s">
        <v>710</v>
      </c>
      <c r="J105" s="559"/>
      <c r="K105" s="559"/>
      <c r="L105" s="561"/>
      <c r="M105" s="566"/>
      <c r="N105" s="559"/>
      <c r="O105" s="559"/>
      <c r="P105" s="556" t="s">
        <v>694</v>
      </c>
      <c r="Q105" s="557"/>
      <c r="R105" s="557"/>
      <c r="S105" s="558"/>
      <c r="T105" s="559"/>
      <c r="U105" s="556" t="s">
        <v>694</v>
      </c>
      <c r="V105" s="557"/>
      <c r="W105" s="557"/>
      <c r="X105" s="558"/>
      <c r="Y105" s="559"/>
      <c r="Z105" s="556" t="s">
        <v>423</v>
      </c>
      <c r="AA105" s="557"/>
      <c r="AB105" s="557"/>
      <c r="AC105" s="558"/>
      <c r="AD105" s="559"/>
      <c r="AE105" s="556" t="s">
        <v>423</v>
      </c>
      <c r="AF105" s="557"/>
      <c r="AG105" s="557"/>
      <c r="AH105" s="558"/>
      <c r="AI105" s="559"/>
      <c r="AJ105" s="556" t="s">
        <v>423</v>
      </c>
      <c r="AK105" s="557"/>
      <c r="AL105" s="557"/>
      <c r="AM105" s="558"/>
      <c r="AN105" s="559"/>
      <c r="AO105" s="556" t="s">
        <v>423</v>
      </c>
      <c r="AP105" s="557"/>
      <c r="AQ105" s="557"/>
      <c r="AR105" s="558"/>
      <c r="AS105" s="559"/>
      <c r="AT105" s="556" t="s">
        <v>423</v>
      </c>
      <c r="AU105" s="557"/>
      <c r="AV105" s="557"/>
      <c r="AW105" s="558"/>
      <c r="AX105" s="559"/>
    </row>
    <row r="106" spans="2:50">
      <c r="B106" s="559"/>
      <c r="C106" s="559"/>
      <c r="D106" s="559"/>
      <c r="E106" s="400" t="s">
        <v>711</v>
      </c>
      <c r="F106" s="400" t="s">
        <v>712</v>
      </c>
      <c r="G106" s="400" t="s">
        <v>713</v>
      </c>
      <c r="H106" s="562"/>
      <c r="I106" s="400" t="s">
        <v>711</v>
      </c>
      <c r="J106" s="400" t="s">
        <v>712</v>
      </c>
      <c r="K106" s="400" t="s">
        <v>713</v>
      </c>
      <c r="L106" s="562"/>
      <c r="M106" s="567"/>
      <c r="N106" s="559"/>
      <c r="O106" s="559"/>
      <c r="P106" s="400" t="s">
        <v>695</v>
      </c>
      <c r="Q106" s="400" t="s">
        <v>696</v>
      </c>
      <c r="R106" s="400" t="s">
        <v>697</v>
      </c>
      <c r="S106" s="400" t="s">
        <v>690</v>
      </c>
      <c r="T106" s="559"/>
      <c r="U106" s="400" t="s">
        <v>695</v>
      </c>
      <c r="V106" s="400" t="s">
        <v>696</v>
      </c>
      <c r="W106" s="400" t="s">
        <v>697</v>
      </c>
      <c r="X106" s="400" t="s">
        <v>690</v>
      </c>
      <c r="Y106" s="559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9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9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9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9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9"/>
    </row>
    <row r="107" spans="2:50">
      <c r="B107" s="559" t="s">
        <v>135</v>
      </c>
      <c r="C107" s="431">
        <v>1</v>
      </c>
      <c r="D107" s="435"/>
      <c r="E107" s="432"/>
      <c r="F107" s="432"/>
      <c r="G107" s="432"/>
      <c r="H107" s="563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63"/>
      <c r="M107" s="432" t="e">
        <f>RANK(K107, K$67:$K$81)</f>
        <v>#DIV/0!</v>
      </c>
      <c r="N107" s="559"/>
      <c r="O107" s="559"/>
      <c r="P107" s="431"/>
      <c r="Q107" s="432"/>
      <c r="R107" s="432"/>
      <c r="S107" s="431" t="e">
        <f>RANK(R107, R$107:R$121)</f>
        <v>#N/A</v>
      </c>
      <c r="T107" s="630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88" t="e">
        <f>AVERAGE(W107:W121)</f>
        <v>#DIV/0!</v>
      </c>
      <c r="Z107" s="182"/>
      <c r="AA107" s="182"/>
      <c r="AB107" s="182"/>
      <c r="AC107" s="297" t="e">
        <f>RANK(AB107, AB$87:AB$101)</f>
        <v>#N/A</v>
      </c>
      <c r="AD107" s="605" t="e">
        <f>AVERAGE(AB107:AB121)</f>
        <v>#DIV/0!</v>
      </c>
      <c r="AE107" s="182"/>
      <c r="AF107" s="182"/>
      <c r="AG107" s="182"/>
      <c r="AH107" s="297" t="e">
        <f>RANK(AG107, AG$87:AG$101)</f>
        <v>#N/A</v>
      </c>
      <c r="AI107" s="605" t="e">
        <f>AVERAGE(AG107:AG121)</f>
        <v>#DIV/0!</v>
      </c>
      <c r="AJ107" s="182"/>
      <c r="AK107" s="182"/>
      <c r="AL107" s="182"/>
      <c r="AM107" s="297" t="e">
        <f>RANK(AL107, AL$87:AL$101)</f>
        <v>#N/A</v>
      </c>
      <c r="AN107" s="605" t="e">
        <f>AVERAGE(AL107:AL121)</f>
        <v>#DIV/0!</v>
      </c>
      <c r="AO107" s="182"/>
      <c r="AP107" s="182"/>
      <c r="AQ107" s="182"/>
      <c r="AR107" s="297" t="e">
        <f>RANK(AQ107, AQ$87:AQ$101)</f>
        <v>#N/A</v>
      </c>
      <c r="AS107" s="605" t="e">
        <f>AVERAGE(AQ107:AQ121)</f>
        <v>#DIV/0!</v>
      </c>
      <c r="AT107" s="182"/>
      <c r="AU107" s="182"/>
      <c r="AV107" s="182"/>
      <c r="AW107" s="297" t="e">
        <f>RANK(AV107, AV$87:AV$101)</f>
        <v>#N/A</v>
      </c>
      <c r="AX107" s="605" t="e">
        <f>AVERAGE(AV107:AV121)</f>
        <v>#DIV/0!</v>
      </c>
    </row>
    <row r="108" spans="2:50">
      <c r="B108" s="599"/>
      <c r="C108" s="431">
        <v>2</v>
      </c>
      <c r="D108" s="435"/>
      <c r="E108" s="432"/>
      <c r="F108" s="432"/>
      <c r="G108" s="432"/>
      <c r="H108" s="564"/>
      <c r="I108" s="432" t="e">
        <f t="shared" ref="I108:K115" si="64">AVERAGE(P108,U108,Z108,AE108,AJ108,AO108,AT108)</f>
        <v>#DIV/0!</v>
      </c>
      <c r="J108" s="432" t="e">
        <f t="shared" si="64"/>
        <v>#DIV/0!</v>
      </c>
      <c r="K108" s="433" t="e">
        <f t="shared" si="64"/>
        <v>#DIV/0!</v>
      </c>
      <c r="L108" s="564"/>
      <c r="M108" s="432" t="e">
        <f>RANK(K108, K$67:$K$81)</f>
        <v>#DIV/0!</v>
      </c>
      <c r="N108" s="559"/>
      <c r="O108" s="559"/>
      <c r="P108" s="431"/>
      <c r="Q108" s="432"/>
      <c r="R108" s="432"/>
      <c r="S108" s="431" t="e">
        <f t="shared" ref="S108:S121" si="65">RANK(R108, R$107:R$121)</f>
        <v>#N/A</v>
      </c>
      <c r="T108" s="630"/>
      <c r="U108" s="431"/>
      <c r="V108" s="432"/>
      <c r="W108" s="432"/>
      <c r="X108" s="431" t="e">
        <f t="shared" ref="X108:X121" si="66">RANK(W108, W$107:W$121)</f>
        <v>#N/A</v>
      </c>
      <c r="Y108" s="588"/>
      <c r="Z108" s="182"/>
      <c r="AA108" s="182"/>
      <c r="AB108" s="182"/>
      <c r="AC108" s="297" t="e">
        <f t="shared" ref="AC108:AC121" si="67">RANK(AB108, AB$87:AB$101)</f>
        <v>#N/A</v>
      </c>
      <c r="AD108" s="605"/>
      <c r="AE108" s="182"/>
      <c r="AF108" s="182"/>
      <c r="AG108" s="182"/>
      <c r="AH108" s="297" t="e">
        <f t="shared" ref="AH108:AH121" si="68">RANK(AG108, AG$87:AG$101)</f>
        <v>#N/A</v>
      </c>
      <c r="AI108" s="605"/>
      <c r="AJ108" s="182"/>
      <c r="AK108" s="182"/>
      <c r="AL108" s="182"/>
      <c r="AM108" s="297" t="e">
        <f t="shared" ref="AM108:AM121" si="69">RANK(AL108, AL$87:AL$101)</f>
        <v>#N/A</v>
      </c>
      <c r="AN108" s="605"/>
      <c r="AO108" s="182"/>
      <c r="AP108" s="182"/>
      <c r="AQ108" s="182"/>
      <c r="AR108" s="297" t="e">
        <f t="shared" ref="AR108:AR121" si="70">RANK(AQ108, AQ$87:AQ$101)</f>
        <v>#N/A</v>
      </c>
      <c r="AS108" s="605"/>
      <c r="AT108" s="182"/>
      <c r="AU108" s="182"/>
      <c r="AV108" s="182"/>
      <c r="AW108" s="297" t="e">
        <f t="shared" ref="AW108:AW121" si="71">RANK(AV108, AV$87:AV$101)</f>
        <v>#N/A</v>
      </c>
      <c r="AX108" s="605"/>
    </row>
    <row r="109" spans="2:50">
      <c r="B109" s="599"/>
      <c r="C109" s="431">
        <v>3</v>
      </c>
      <c r="D109" s="435"/>
      <c r="E109" s="432"/>
      <c r="F109" s="432"/>
      <c r="G109" s="432"/>
      <c r="H109" s="564"/>
      <c r="I109" s="432" t="e">
        <f t="shared" si="64"/>
        <v>#DIV/0!</v>
      </c>
      <c r="J109" s="432" t="e">
        <f t="shared" si="64"/>
        <v>#DIV/0!</v>
      </c>
      <c r="K109" s="433" t="e">
        <f t="shared" si="64"/>
        <v>#DIV/0!</v>
      </c>
      <c r="L109" s="564"/>
      <c r="M109" s="432" t="e">
        <f>RANK(K109, K$67:$K$81)</f>
        <v>#DIV/0!</v>
      </c>
      <c r="N109" s="559"/>
      <c r="O109" s="559"/>
      <c r="P109" s="431"/>
      <c r="Q109" s="432"/>
      <c r="R109" s="432"/>
      <c r="S109" s="431" t="e">
        <f t="shared" si="65"/>
        <v>#N/A</v>
      </c>
      <c r="T109" s="630"/>
      <c r="U109" s="431"/>
      <c r="V109" s="432"/>
      <c r="W109" s="432"/>
      <c r="X109" s="431" t="e">
        <f t="shared" si="66"/>
        <v>#N/A</v>
      </c>
      <c r="Y109" s="588"/>
      <c r="Z109" s="182"/>
      <c r="AA109" s="182"/>
      <c r="AB109" s="182"/>
      <c r="AC109" s="297" t="e">
        <f t="shared" si="67"/>
        <v>#N/A</v>
      </c>
      <c r="AD109" s="605"/>
      <c r="AE109" s="182"/>
      <c r="AF109" s="182"/>
      <c r="AG109" s="182"/>
      <c r="AH109" s="297" t="e">
        <f t="shared" si="68"/>
        <v>#N/A</v>
      </c>
      <c r="AI109" s="605"/>
      <c r="AJ109" s="182"/>
      <c r="AK109" s="182"/>
      <c r="AL109" s="182"/>
      <c r="AM109" s="297" t="e">
        <f t="shared" si="69"/>
        <v>#N/A</v>
      </c>
      <c r="AN109" s="605"/>
      <c r="AO109" s="182"/>
      <c r="AP109" s="182"/>
      <c r="AQ109" s="182"/>
      <c r="AR109" s="297" t="e">
        <f t="shared" si="70"/>
        <v>#N/A</v>
      </c>
      <c r="AS109" s="605"/>
      <c r="AT109" s="182"/>
      <c r="AU109" s="182"/>
      <c r="AV109" s="182"/>
      <c r="AW109" s="297" t="e">
        <f t="shared" si="71"/>
        <v>#N/A</v>
      </c>
      <c r="AX109" s="605"/>
    </row>
    <row r="110" spans="2:50">
      <c r="B110" s="599"/>
      <c r="C110" s="431">
        <v>4</v>
      </c>
      <c r="D110" s="435"/>
      <c r="E110" s="432"/>
      <c r="F110" s="432"/>
      <c r="G110" s="432"/>
      <c r="H110" s="564"/>
      <c r="I110" s="432" t="e">
        <f t="shared" si="64"/>
        <v>#DIV/0!</v>
      </c>
      <c r="J110" s="432" t="e">
        <f t="shared" si="64"/>
        <v>#DIV/0!</v>
      </c>
      <c r="K110" s="433" t="e">
        <f t="shared" si="64"/>
        <v>#DIV/0!</v>
      </c>
      <c r="L110" s="564"/>
      <c r="M110" s="432" t="e">
        <f>RANK(K110, K$67:$K$81)</f>
        <v>#DIV/0!</v>
      </c>
      <c r="N110" s="559"/>
      <c r="O110" s="559"/>
      <c r="P110" s="431"/>
      <c r="Q110" s="432"/>
      <c r="R110" s="432"/>
      <c r="S110" s="431" t="e">
        <f t="shared" si="65"/>
        <v>#N/A</v>
      </c>
      <c r="T110" s="630"/>
      <c r="U110" s="431"/>
      <c r="V110" s="432"/>
      <c r="W110" s="432"/>
      <c r="X110" s="431" t="e">
        <f t="shared" si="66"/>
        <v>#N/A</v>
      </c>
      <c r="Y110" s="588"/>
      <c r="Z110" s="182"/>
      <c r="AA110" s="182"/>
      <c r="AB110" s="182"/>
      <c r="AC110" s="297" t="e">
        <f t="shared" si="67"/>
        <v>#N/A</v>
      </c>
      <c r="AD110" s="605"/>
      <c r="AE110" s="182"/>
      <c r="AF110" s="182"/>
      <c r="AG110" s="182"/>
      <c r="AH110" s="297" t="e">
        <f t="shared" si="68"/>
        <v>#N/A</v>
      </c>
      <c r="AI110" s="605"/>
      <c r="AJ110" s="182"/>
      <c r="AK110" s="182"/>
      <c r="AL110" s="182"/>
      <c r="AM110" s="297" t="e">
        <f t="shared" si="69"/>
        <v>#N/A</v>
      </c>
      <c r="AN110" s="605"/>
      <c r="AO110" s="182"/>
      <c r="AP110" s="182"/>
      <c r="AQ110" s="182"/>
      <c r="AR110" s="297" t="e">
        <f t="shared" si="70"/>
        <v>#N/A</v>
      </c>
      <c r="AS110" s="605"/>
      <c r="AT110" s="182"/>
      <c r="AU110" s="182"/>
      <c r="AV110" s="182"/>
      <c r="AW110" s="297" t="e">
        <f t="shared" si="71"/>
        <v>#N/A</v>
      </c>
      <c r="AX110" s="605"/>
    </row>
    <row r="111" spans="2:50">
      <c r="B111" s="599"/>
      <c r="C111" s="431">
        <v>5</v>
      </c>
      <c r="D111" s="435"/>
      <c r="E111" s="432"/>
      <c r="F111" s="432"/>
      <c r="G111" s="432"/>
      <c r="H111" s="564"/>
      <c r="I111" s="432" t="e">
        <f t="shared" si="64"/>
        <v>#DIV/0!</v>
      </c>
      <c r="J111" s="432" t="e">
        <f t="shared" si="64"/>
        <v>#DIV/0!</v>
      </c>
      <c r="K111" s="433" t="e">
        <f t="shared" si="64"/>
        <v>#DIV/0!</v>
      </c>
      <c r="L111" s="564"/>
      <c r="M111" s="432" t="e">
        <f>RANK(K111, K$67:$K$81)</f>
        <v>#DIV/0!</v>
      </c>
      <c r="N111" s="559"/>
      <c r="O111" s="559"/>
      <c r="P111" s="431"/>
      <c r="Q111" s="432"/>
      <c r="R111" s="432"/>
      <c r="S111" s="431" t="e">
        <f t="shared" si="65"/>
        <v>#N/A</v>
      </c>
      <c r="T111" s="630"/>
      <c r="U111" s="431"/>
      <c r="V111" s="432"/>
      <c r="W111" s="432"/>
      <c r="X111" s="431" t="e">
        <f t="shared" si="66"/>
        <v>#N/A</v>
      </c>
      <c r="Y111" s="588"/>
      <c r="Z111" s="182"/>
      <c r="AA111" s="182"/>
      <c r="AB111" s="182"/>
      <c r="AC111" s="297" t="e">
        <f t="shared" si="67"/>
        <v>#N/A</v>
      </c>
      <c r="AD111" s="605"/>
      <c r="AE111" s="182"/>
      <c r="AF111" s="182"/>
      <c r="AG111" s="182"/>
      <c r="AH111" s="297" t="e">
        <f t="shared" si="68"/>
        <v>#N/A</v>
      </c>
      <c r="AI111" s="605"/>
      <c r="AJ111" s="182"/>
      <c r="AK111" s="182"/>
      <c r="AL111" s="182"/>
      <c r="AM111" s="297" t="e">
        <f t="shared" si="69"/>
        <v>#N/A</v>
      </c>
      <c r="AN111" s="605"/>
      <c r="AO111" s="182"/>
      <c r="AP111" s="182"/>
      <c r="AQ111" s="182"/>
      <c r="AR111" s="297" t="e">
        <f t="shared" si="70"/>
        <v>#N/A</v>
      </c>
      <c r="AS111" s="605"/>
      <c r="AT111" s="182"/>
      <c r="AU111" s="182"/>
      <c r="AV111" s="182"/>
      <c r="AW111" s="297" t="e">
        <f t="shared" si="71"/>
        <v>#N/A</v>
      </c>
      <c r="AX111" s="605"/>
    </row>
    <row r="112" spans="2:50">
      <c r="B112" s="599"/>
      <c r="C112" s="431">
        <v>6</v>
      </c>
      <c r="D112" s="435"/>
      <c r="E112" s="432"/>
      <c r="F112" s="432"/>
      <c r="G112" s="432"/>
      <c r="H112" s="564"/>
      <c r="I112" s="432" t="e">
        <f t="shared" si="64"/>
        <v>#DIV/0!</v>
      </c>
      <c r="J112" s="432" t="e">
        <f t="shared" si="64"/>
        <v>#DIV/0!</v>
      </c>
      <c r="K112" s="433" t="e">
        <f t="shared" si="64"/>
        <v>#DIV/0!</v>
      </c>
      <c r="L112" s="564"/>
      <c r="M112" s="432" t="e">
        <f>RANK(K112, K$67:$K$81)</f>
        <v>#DIV/0!</v>
      </c>
      <c r="N112" s="559"/>
      <c r="O112" s="559"/>
      <c r="P112" s="431"/>
      <c r="Q112" s="432"/>
      <c r="R112" s="432"/>
      <c r="S112" s="431" t="e">
        <f t="shared" si="65"/>
        <v>#N/A</v>
      </c>
      <c r="T112" s="630"/>
      <c r="U112" s="431"/>
      <c r="V112" s="432"/>
      <c r="W112" s="432"/>
      <c r="X112" s="431" t="e">
        <f t="shared" si="66"/>
        <v>#N/A</v>
      </c>
      <c r="Y112" s="588"/>
      <c r="Z112" s="182"/>
      <c r="AA112" s="182"/>
      <c r="AB112" s="182"/>
      <c r="AC112" s="297" t="e">
        <f t="shared" si="67"/>
        <v>#N/A</v>
      </c>
      <c r="AD112" s="605"/>
      <c r="AE112" s="182"/>
      <c r="AF112" s="182"/>
      <c r="AG112" s="182"/>
      <c r="AH112" s="297" t="e">
        <f t="shared" si="68"/>
        <v>#N/A</v>
      </c>
      <c r="AI112" s="605"/>
      <c r="AJ112" s="182"/>
      <c r="AK112" s="182"/>
      <c r="AL112" s="182"/>
      <c r="AM112" s="297" t="e">
        <f t="shared" si="69"/>
        <v>#N/A</v>
      </c>
      <c r="AN112" s="605"/>
      <c r="AO112" s="182"/>
      <c r="AP112" s="182"/>
      <c r="AQ112" s="182"/>
      <c r="AR112" s="297" t="e">
        <f t="shared" si="70"/>
        <v>#N/A</v>
      </c>
      <c r="AS112" s="605"/>
      <c r="AT112" s="182"/>
      <c r="AU112" s="182"/>
      <c r="AV112" s="182"/>
      <c r="AW112" s="297" t="e">
        <f t="shared" si="71"/>
        <v>#N/A</v>
      </c>
      <c r="AX112" s="605"/>
    </row>
    <row r="113" spans="2:50">
      <c r="B113" s="599"/>
      <c r="C113" s="431">
        <v>7</v>
      </c>
      <c r="D113" s="435"/>
      <c r="E113" s="432"/>
      <c r="F113" s="432"/>
      <c r="G113" s="432"/>
      <c r="H113" s="564"/>
      <c r="I113" s="432" t="e">
        <f t="shared" si="64"/>
        <v>#DIV/0!</v>
      </c>
      <c r="J113" s="432" t="e">
        <f t="shared" si="64"/>
        <v>#DIV/0!</v>
      </c>
      <c r="K113" s="433" t="e">
        <f t="shared" si="64"/>
        <v>#DIV/0!</v>
      </c>
      <c r="L113" s="564"/>
      <c r="M113" s="432" t="e">
        <f>RANK(K113, K$67:$K$81)</f>
        <v>#DIV/0!</v>
      </c>
      <c r="N113" s="559"/>
      <c r="O113" s="559"/>
      <c r="P113" s="431"/>
      <c r="Q113" s="432"/>
      <c r="R113" s="432"/>
      <c r="S113" s="431" t="e">
        <f t="shared" si="65"/>
        <v>#N/A</v>
      </c>
      <c r="T113" s="630"/>
      <c r="U113" s="431"/>
      <c r="V113" s="432"/>
      <c r="W113" s="432"/>
      <c r="X113" s="431" t="e">
        <f t="shared" si="66"/>
        <v>#N/A</v>
      </c>
      <c r="Y113" s="588"/>
      <c r="Z113" s="182"/>
      <c r="AA113" s="182"/>
      <c r="AB113" s="182"/>
      <c r="AC113" s="297" t="e">
        <f t="shared" si="67"/>
        <v>#N/A</v>
      </c>
      <c r="AD113" s="605"/>
      <c r="AE113" s="182"/>
      <c r="AF113" s="182"/>
      <c r="AG113" s="182"/>
      <c r="AH113" s="297" t="e">
        <f t="shared" si="68"/>
        <v>#N/A</v>
      </c>
      <c r="AI113" s="605"/>
      <c r="AJ113" s="182"/>
      <c r="AK113" s="182"/>
      <c r="AL113" s="182"/>
      <c r="AM113" s="297" t="e">
        <f t="shared" si="69"/>
        <v>#N/A</v>
      </c>
      <c r="AN113" s="605"/>
      <c r="AO113" s="182"/>
      <c r="AP113" s="182"/>
      <c r="AQ113" s="182"/>
      <c r="AR113" s="297" t="e">
        <f t="shared" si="70"/>
        <v>#N/A</v>
      </c>
      <c r="AS113" s="605"/>
      <c r="AT113" s="182"/>
      <c r="AU113" s="182"/>
      <c r="AV113" s="182"/>
      <c r="AW113" s="297" t="e">
        <f t="shared" si="71"/>
        <v>#N/A</v>
      </c>
      <c r="AX113" s="605"/>
    </row>
    <row r="114" spans="2:50">
      <c r="B114" s="599"/>
      <c r="C114" s="431">
        <v>8</v>
      </c>
      <c r="D114" s="435"/>
      <c r="E114" s="432"/>
      <c r="F114" s="432"/>
      <c r="G114" s="432"/>
      <c r="H114" s="564"/>
      <c r="I114" s="432" t="e">
        <f t="shared" si="64"/>
        <v>#DIV/0!</v>
      </c>
      <c r="J114" s="432" t="e">
        <f t="shared" si="64"/>
        <v>#DIV/0!</v>
      </c>
      <c r="K114" s="433" t="e">
        <f t="shared" si="64"/>
        <v>#DIV/0!</v>
      </c>
      <c r="L114" s="564"/>
      <c r="M114" s="432" t="e">
        <f>RANK(K114, K$67:$K$81)</f>
        <v>#DIV/0!</v>
      </c>
      <c r="N114" s="559"/>
      <c r="O114" s="559"/>
      <c r="P114" s="431"/>
      <c r="Q114" s="432"/>
      <c r="R114" s="432"/>
      <c r="S114" s="431" t="e">
        <f t="shared" si="65"/>
        <v>#N/A</v>
      </c>
      <c r="T114" s="630"/>
      <c r="U114" s="431"/>
      <c r="V114" s="432"/>
      <c r="W114" s="432"/>
      <c r="X114" s="431" t="e">
        <f t="shared" si="66"/>
        <v>#N/A</v>
      </c>
      <c r="Y114" s="588"/>
      <c r="Z114" s="182"/>
      <c r="AA114" s="182"/>
      <c r="AB114" s="182"/>
      <c r="AC114" s="297" t="e">
        <f t="shared" si="67"/>
        <v>#N/A</v>
      </c>
      <c r="AD114" s="605"/>
      <c r="AE114" s="182"/>
      <c r="AF114" s="182"/>
      <c r="AG114" s="182"/>
      <c r="AH114" s="297" t="e">
        <f t="shared" si="68"/>
        <v>#N/A</v>
      </c>
      <c r="AI114" s="605"/>
      <c r="AJ114" s="182"/>
      <c r="AK114" s="182"/>
      <c r="AL114" s="182"/>
      <c r="AM114" s="297" t="e">
        <f t="shared" si="69"/>
        <v>#N/A</v>
      </c>
      <c r="AN114" s="605"/>
      <c r="AO114" s="182"/>
      <c r="AP114" s="182"/>
      <c r="AQ114" s="182"/>
      <c r="AR114" s="297" t="e">
        <f t="shared" si="70"/>
        <v>#N/A</v>
      </c>
      <c r="AS114" s="605"/>
      <c r="AT114" s="182"/>
      <c r="AU114" s="182"/>
      <c r="AV114" s="182"/>
      <c r="AW114" s="297" t="e">
        <f t="shared" si="71"/>
        <v>#N/A</v>
      </c>
      <c r="AX114" s="605"/>
    </row>
    <row r="115" spans="2:50">
      <c r="B115" s="599"/>
      <c r="C115" s="431">
        <v>9</v>
      </c>
      <c r="D115" s="306"/>
      <c r="E115" s="432"/>
      <c r="F115" s="432"/>
      <c r="G115" s="432"/>
      <c r="H115" s="564"/>
      <c r="I115" s="432" t="e">
        <f t="shared" si="64"/>
        <v>#DIV/0!</v>
      </c>
      <c r="J115" s="432" t="e">
        <f t="shared" si="64"/>
        <v>#DIV/0!</v>
      </c>
      <c r="K115" s="433" t="e">
        <f t="shared" si="64"/>
        <v>#DIV/0!</v>
      </c>
      <c r="L115" s="564"/>
      <c r="M115" s="432" t="e">
        <f>RANK(K115, K$67:$K$81)</f>
        <v>#DIV/0!</v>
      </c>
      <c r="N115" s="559"/>
      <c r="O115" s="559"/>
      <c r="P115" s="431"/>
      <c r="Q115" s="432"/>
      <c r="R115" s="432"/>
      <c r="S115" s="431" t="e">
        <f t="shared" si="65"/>
        <v>#N/A</v>
      </c>
      <c r="T115" s="630"/>
      <c r="U115" s="431"/>
      <c r="V115" s="432"/>
      <c r="W115" s="432"/>
      <c r="X115" s="431" t="e">
        <f t="shared" si="66"/>
        <v>#N/A</v>
      </c>
      <c r="Y115" s="588"/>
      <c r="Z115" s="182"/>
      <c r="AA115" s="182"/>
      <c r="AB115" s="182"/>
      <c r="AC115" s="297" t="e">
        <f t="shared" si="67"/>
        <v>#N/A</v>
      </c>
      <c r="AD115" s="605"/>
      <c r="AE115" s="182"/>
      <c r="AF115" s="182"/>
      <c r="AG115" s="182"/>
      <c r="AH115" s="297" t="e">
        <f t="shared" si="68"/>
        <v>#N/A</v>
      </c>
      <c r="AI115" s="605"/>
      <c r="AJ115" s="182"/>
      <c r="AK115" s="182"/>
      <c r="AL115" s="182"/>
      <c r="AM115" s="297" t="e">
        <f t="shared" si="69"/>
        <v>#N/A</v>
      </c>
      <c r="AN115" s="605"/>
      <c r="AO115" s="182"/>
      <c r="AP115" s="182"/>
      <c r="AQ115" s="182"/>
      <c r="AR115" s="297" t="e">
        <f t="shared" si="70"/>
        <v>#N/A</v>
      </c>
      <c r="AS115" s="605"/>
      <c r="AT115" s="182"/>
      <c r="AU115" s="182"/>
      <c r="AV115" s="182"/>
      <c r="AW115" s="297" t="e">
        <f t="shared" si="71"/>
        <v>#N/A</v>
      </c>
      <c r="AX115" s="605"/>
    </row>
    <row r="116" spans="2:50">
      <c r="B116" s="599"/>
      <c r="C116" s="431">
        <v>10</v>
      </c>
      <c r="D116" s="435"/>
      <c r="E116" s="432"/>
      <c r="F116" s="432"/>
      <c r="G116" s="432"/>
      <c r="H116" s="564"/>
      <c r="I116" s="432"/>
      <c r="J116" s="432"/>
      <c r="K116" s="433"/>
      <c r="L116" s="564"/>
      <c r="M116" s="432" t="e">
        <f>RANK(K116, K$67:$K$81)</f>
        <v>#N/A</v>
      </c>
      <c r="N116" s="559"/>
      <c r="O116" s="559"/>
      <c r="P116" s="431"/>
      <c r="Q116" s="432"/>
      <c r="R116" s="432"/>
      <c r="S116" s="431" t="e">
        <f t="shared" si="65"/>
        <v>#N/A</v>
      </c>
      <c r="T116" s="630"/>
      <c r="U116" s="431"/>
      <c r="V116" s="432"/>
      <c r="W116" s="432"/>
      <c r="X116" s="431" t="e">
        <f t="shared" si="66"/>
        <v>#N/A</v>
      </c>
      <c r="Y116" s="588"/>
      <c r="Z116" s="182"/>
      <c r="AA116" s="182"/>
      <c r="AB116" s="182"/>
      <c r="AC116" s="297" t="e">
        <f t="shared" si="67"/>
        <v>#N/A</v>
      </c>
      <c r="AD116" s="605"/>
      <c r="AE116" s="182"/>
      <c r="AF116" s="182"/>
      <c r="AG116" s="182"/>
      <c r="AH116" s="297" t="e">
        <f t="shared" si="68"/>
        <v>#N/A</v>
      </c>
      <c r="AI116" s="605"/>
      <c r="AJ116" s="182"/>
      <c r="AK116" s="182"/>
      <c r="AL116" s="182"/>
      <c r="AM116" s="297" t="e">
        <f t="shared" si="69"/>
        <v>#N/A</v>
      </c>
      <c r="AN116" s="605"/>
      <c r="AO116" s="182"/>
      <c r="AP116" s="182"/>
      <c r="AQ116" s="182"/>
      <c r="AR116" s="297" t="e">
        <f t="shared" si="70"/>
        <v>#N/A</v>
      </c>
      <c r="AS116" s="605"/>
      <c r="AT116" s="182"/>
      <c r="AU116" s="182"/>
      <c r="AV116" s="182"/>
      <c r="AW116" s="297" t="e">
        <f t="shared" si="71"/>
        <v>#N/A</v>
      </c>
      <c r="AX116" s="605"/>
    </row>
    <row r="117" spans="2:50">
      <c r="B117" s="599"/>
      <c r="C117" s="431">
        <v>11</v>
      </c>
      <c r="D117" s="435"/>
      <c r="E117" s="432" t="s">
        <v>561</v>
      </c>
      <c r="F117" s="432" t="s">
        <v>561</v>
      </c>
      <c r="G117" s="432" t="s">
        <v>561</v>
      </c>
      <c r="H117" s="564"/>
      <c r="I117" s="432"/>
      <c r="J117" s="432"/>
      <c r="K117" s="433"/>
      <c r="L117" s="564"/>
      <c r="M117" s="432" t="e">
        <f>RANK(K117, K$67:$K$81)</f>
        <v>#N/A</v>
      </c>
      <c r="N117" s="559"/>
      <c r="O117" s="559"/>
      <c r="P117" s="431" t="s">
        <v>561</v>
      </c>
      <c r="Q117" s="432" t="s">
        <v>561</v>
      </c>
      <c r="R117" s="432" t="s">
        <v>561</v>
      </c>
      <c r="S117" s="431" t="e">
        <f t="shared" si="65"/>
        <v>#VALUE!</v>
      </c>
      <c r="T117" s="630"/>
      <c r="U117" s="431" t="s">
        <v>561</v>
      </c>
      <c r="V117" s="432" t="s">
        <v>561</v>
      </c>
      <c r="W117" s="432" t="s">
        <v>561</v>
      </c>
      <c r="X117" s="431" t="e">
        <f t="shared" si="66"/>
        <v>#VALUE!</v>
      </c>
      <c r="Y117" s="588"/>
      <c r="Z117" s="182"/>
      <c r="AA117" s="182"/>
      <c r="AB117" s="182"/>
      <c r="AC117" s="297" t="e">
        <f t="shared" si="67"/>
        <v>#N/A</v>
      </c>
      <c r="AD117" s="605"/>
      <c r="AE117" s="182"/>
      <c r="AF117" s="182"/>
      <c r="AG117" s="182"/>
      <c r="AH117" s="297" t="e">
        <f t="shared" si="68"/>
        <v>#N/A</v>
      </c>
      <c r="AI117" s="605"/>
      <c r="AJ117" s="182"/>
      <c r="AK117" s="182"/>
      <c r="AL117" s="182"/>
      <c r="AM117" s="297" t="e">
        <f t="shared" si="69"/>
        <v>#N/A</v>
      </c>
      <c r="AN117" s="605"/>
      <c r="AO117" s="182"/>
      <c r="AP117" s="182"/>
      <c r="AQ117" s="182"/>
      <c r="AR117" s="297" t="e">
        <f t="shared" si="70"/>
        <v>#N/A</v>
      </c>
      <c r="AS117" s="605"/>
      <c r="AT117" s="182"/>
      <c r="AU117" s="182"/>
      <c r="AV117" s="182"/>
      <c r="AW117" s="297" t="e">
        <f t="shared" si="71"/>
        <v>#N/A</v>
      </c>
      <c r="AX117" s="605"/>
    </row>
    <row r="118" spans="2:50">
      <c r="B118" s="599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564"/>
      <c r="I118" s="432"/>
      <c r="J118" s="432"/>
      <c r="K118" s="433"/>
      <c r="L118" s="564"/>
      <c r="M118" s="432" t="e">
        <f>RANK(K118, K$67:$K$81)</f>
        <v>#N/A</v>
      </c>
      <c r="N118" s="559"/>
      <c r="O118" s="559"/>
      <c r="P118" s="431" t="s">
        <v>561</v>
      </c>
      <c r="Q118" s="432" t="s">
        <v>561</v>
      </c>
      <c r="R118" s="432" t="s">
        <v>561</v>
      </c>
      <c r="S118" s="431" t="e">
        <f t="shared" si="65"/>
        <v>#VALUE!</v>
      </c>
      <c r="T118" s="630"/>
      <c r="U118" s="431" t="s">
        <v>561</v>
      </c>
      <c r="V118" s="432" t="s">
        <v>561</v>
      </c>
      <c r="W118" s="432" t="s">
        <v>561</v>
      </c>
      <c r="X118" s="431" t="e">
        <f t="shared" si="66"/>
        <v>#VALUE!</v>
      </c>
      <c r="Y118" s="588"/>
      <c r="Z118" s="182"/>
      <c r="AA118" s="182"/>
      <c r="AB118" s="182"/>
      <c r="AC118" s="297" t="e">
        <f t="shared" si="67"/>
        <v>#N/A</v>
      </c>
      <c r="AD118" s="605"/>
      <c r="AE118" s="182"/>
      <c r="AF118" s="182"/>
      <c r="AG118" s="182"/>
      <c r="AH118" s="297" t="e">
        <f t="shared" si="68"/>
        <v>#N/A</v>
      </c>
      <c r="AI118" s="605"/>
      <c r="AJ118" s="182"/>
      <c r="AK118" s="182"/>
      <c r="AL118" s="182"/>
      <c r="AM118" s="297" t="e">
        <f t="shared" si="69"/>
        <v>#N/A</v>
      </c>
      <c r="AN118" s="605"/>
      <c r="AO118" s="182"/>
      <c r="AP118" s="182"/>
      <c r="AQ118" s="182"/>
      <c r="AR118" s="297" t="e">
        <f t="shared" si="70"/>
        <v>#N/A</v>
      </c>
      <c r="AS118" s="605"/>
      <c r="AT118" s="182"/>
      <c r="AU118" s="182"/>
      <c r="AV118" s="182"/>
      <c r="AW118" s="297" t="e">
        <f t="shared" si="71"/>
        <v>#N/A</v>
      </c>
      <c r="AX118" s="605"/>
    </row>
    <row r="119" spans="2:50">
      <c r="B119" s="599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64"/>
      <c r="I119" s="431"/>
      <c r="J119" s="431"/>
      <c r="K119" s="431"/>
      <c r="L119" s="564"/>
      <c r="M119" s="432" t="e">
        <f>RANK(K119, K$67:$K$81)</f>
        <v>#N/A</v>
      </c>
      <c r="N119" s="559"/>
      <c r="O119" s="559"/>
      <c r="P119" s="431" t="s">
        <v>561</v>
      </c>
      <c r="Q119" s="432" t="s">
        <v>561</v>
      </c>
      <c r="R119" s="432" t="s">
        <v>561</v>
      </c>
      <c r="S119" s="431" t="e">
        <f t="shared" si="65"/>
        <v>#VALUE!</v>
      </c>
      <c r="T119" s="630"/>
      <c r="U119" s="431" t="s">
        <v>561</v>
      </c>
      <c r="V119" s="432" t="s">
        <v>561</v>
      </c>
      <c r="W119" s="432" t="s">
        <v>561</v>
      </c>
      <c r="X119" s="431" t="e">
        <f t="shared" si="66"/>
        <v>#VALUE!</v>
      </c>
      <c r="Y119" s="588"/>
      <c r="Z119" s="182"/>
      <c r="AA119" s="182"/>
      <c r="AB119" s="182"/>
      <c r="AC119" s="297" t="e">
        <f t="shared" si="67"/>
        <v>#N/A</v>
      </c>
      <c r="AD119" s="605"/>
      <c r="AE119" s="182"/>
      <c r="AF119" s="182"/>
      <c r="AG119" s="182"/>
      <c r="AH119" s="297" t="e">
        <f t="shared" si="68"/>
        <v>#N/A</v>
      </c>
      <c r="AI119" s="605"/>
      <c r="AJ119" s="182"/>
      <c r="AK119" s="182"/>
      <c r="AL119" s="182"/>
      <c r="AM119" s="297" t="e">
        <f t="shared" si="69"/>
        <v>#N/A</v>
      </c>
      <c r="AN119" s="605"/>
      <c r="AO119" s="182"/>
      <c r="AP119" s="182"/>
      <c r="AQ119" s="182"/>
      <c r="AR119" s="297" t="e">
        <f t="shared" si="70"/>
        <v>#N/A</v>
      </c>
      <c r="AS119" s="605"/>
      <c r="AT119" s="182"/>
      <c r="AU119" s="182"/>
      <c r="AV119" s="182"/>
      <c r="AW119" s="297" t="e">
        <f t="shared" si="71"/>
        <v>#N/A</v>
      </c>
      <c r="AX119" s="605"/>
    </row>
    <row r="120" spans="2:50">
      <c r="B120" s="599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64"/>
      <c r="I120" s="431"/>
      <c r="J120" s="431"/>
      <c r="K120" s="431"/>
      <c r="L120" s="564"/>
      <c r="M120" s="432" t="e">
        <f>RANK(K120, K$67:$K$81)</f>
        <v>#N/A</v>
      </c>
      <c r="N120" s="559"/>
      <c r="O120" s="559"/>
      <c r="P120" s="431" t="s">
        <v>561</v>
      </c>
      <c r="Q120" s="432" t="s">
        <v>561</v>
      </c>
      <c r="R120" s="432" t="s">
        <v>561</v>
      </c>
      <c r="S120" s="431" t="e">
        <f t="shared" si="65"/>
        <v>#VALUE!</v>
      </c>
      <c r="T120" s="630"/>
      <c r="U120" s="431" t="s">
        <v>561</v>
      </c>
      <c r="V120" s="432" t="s">
        <v>561</v>
      </c>
      <c r="W120" s="432" t="s">
        <v>561</v>
      </c>
      <c r="X120" s="431" t="e">
        <f t="shared" si="66"/>
        <v>#VALUE!</v>
      </c>
      <c r="Y120" s="588"/>
      <c r="Z120" s="182"/>
      <c r="AA120" s="182"/>
      <c r="AB120" s="182"/>
      <c r="AC120" s="297" t="e">
        <f t="shared" si="67"/>
        <v>#N/A</v>
      </c>
      <c r="AD120" s="605"/>
      <c r="AE120" s="182"/>
      <c r="AF120" s="182"/>
      <c r="AG120" s="182"/>
      <c r="AH120" s="297" t="e">
        <f t="shared" si="68"/>
        <v>#N/A</v>
      </c>
      <c r="AI120" s="605"/>
      <c r="AJ120" s="182"/>
      <c r="AK120" s="182"/>
      <c r="AL120" s="182"/>
      <c r="AM120" s="297" t="e">
        <f t="shared" si="69"/>
        <v>#N/A</v>
      </c>
      <c r="AN120" s="605"/>
      <c r="AO120" s="182"/>
      <c r="AP120" s="182"/>
      <c r="AQ120" s="182"/>
      <c r="AR120" s="297" t="e">
        <f t="shared" si="70"/>
        <v>#N/A</v>
      </c>
      <c r="AS120" s="605"/>
      <c r="AT120" s="182"/>
      <c r="AU120" s="182"/>
      <c r="AV120" s="182"/>
      <c r="AW120" s="297" t="e">
        <f t="shared" si="71"/>
        <v>#N/A</v>
      </c>
      <c r="AX120" s="605"/>
    </row>
    <row r="121" spans="2:50">
      <c r="B121" s="599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16"/>
      <c r="I121" s="431"/>
      <c r="J121" s="431"/>
      <c r="K121" s="431"/>
      <c r="L121" s="616"/>
      <c r="M121" s="432" t="e">
        <f>RANK(K121, K$67:$K$81)</f>
        <v>#N/A</v>
      </c>
      <c r="N121" s="559"/>
      <c r="O121" s="559"/>
      <c r="P121" s="431" t="s">
        <v>561</v>
      </c>
      <c r="Q121" s="432" t="s">
        <v>561</v>
      </c>
      <c r="R121" s="432" t="s">
        <v>561</v>
      </c>
      <c r="S121" s="431" t="e">
        <f t="shared" si="65"/>
        <v>#VALUE!</v>
      </c>
      <c r="T121" s="630"/>
      <c r="U121" s="431" t="s">
        <v>561</v>
      </c>
      <c r="V121" s="432" t="s">
        <v>561</v>
      </c>
      <c r="W121" s="432" t="s">
        <v>561</v>
      </c>
      <c r="X121" s="431" t="e">
        <f t="shared" si="66"/>
        <v>#VALUE!</v>
      </c>
      <c r="Y121" s="588"/>
      <c r="Z121" s="182"/>
      <c r="AA121" s="182"/>
      <c r="AB121" s="182"/>
      <c r="AC121" s="297" t="e">
        <f t="shared" si="67"/>
        <v>#N/A</v>
      </c>
      <c r="AD121" s="605"/>
      <c r="AE121" s="182"/>
      <c r="AF121" s="182"/>
      <c r="AG121" s="182"/>
      <c r="AH121" s="297" t="e">
        <f t="shared" si="68"/>
        <v>#N/A</v>
      </c>
      <c r="AI121" s="605"/>
      <c r="AJ121" s="182"/>
      <c r="AK121" s="182"/>
      <c r="AL121" s="182"/>
      <c r="AM121" s="297" t="e">
        <f t="shared" si="69"/>
        <v>#N/A</v>
      </c>
      <c r="AN121" s="605"/>
      <c r="AO121" s="182"/>
      <c r="AP121" s="182"/>
      <c r="AQ121" s="182"/>
      <c r="AR121" s="297" t="e">
        <f t="shared" si="70"/>
        <v>#N/A</v>
      </c>
      <c r="AS121" s="605"/>
      <c r="AT121" s="182"/>
      <c r="AU121" s="182"/>
      <c r="AV121" s="182"/>
      <c r="AW121" s="297" t="e">
        <f t="shared" si="71"/>
        <v>#N/A</v>
      </c>
      <c r="AX121" s="605"/>
    </row>
    <row r="123" spans="2:50" ht="15.75">
      <c r="B123" s="600" t="s">
        <v>482</v>
      </c>
      <c r="C123" s="601"/>
      <c r="D123" s="601"/>
      <c r="E123" s="601"/>
      <c r="F123" s="601"/>
      <c r="G123" s="601"/>
      <c r="H123" s="602"/>
      <c r="I123" s="301"/>
      <c r="J123" s="301"/>
      <c r="K123" s="301"/>
      <c r="L123" s="301"/>
      <c r="M123" s="302"/>
    </row>
    <row r="124" spans="2:50" ht="15.75">
      <c r="B124" s="603"/>
      <c r="C124" s="603"/>
      <c r="D124" s="603"/>
      <c r="E124" s="603"/>
      <c r="F124" s="603"/>
      <c r="G124" s="603"/>
      <c r="H124" s="603"/>
      <c r="I124" s="303"/>
      <c r="J124" s="303"/>
      <c r="K124" s="303"/>
      <c r="L124" s="303"/>
      <c r="M124" s="304"/>
    </row>
    <row r="125" spans="2:50">
      <c r="B125" s="559" t="s">
        <v>154</v>
      </c>
      <c r="C125" s="559" t="s">
        <v>428</v>
      </c>
      <c r="D125" s="559"/>
      <c r="E125" s="559" t="s">
        <v>419</v>
      </c>
      <c r="F125" s="559"/>
      <c r="G125" s="559"/>
      <c r="H125" s="560" t="s">
        <v>416</v>
      </c>
      <c r="I125" s="604" t="s">
        <v>420</v>
      </c>
      <c r="J125" s="604"/>
      <c r="K125" s="604"/>
      <c r="L125" s="623" t="s">
        <v>416</v>
      </c>
      <c r="M125" s="626" t="s">
        <v>417</v>
      </c>
    </row>
    <row r="126" spans="2:50">
      <c r="B126" s="559"/>
      <c r="C126" s="559"/>
      <c r="D126" s="559"/>
      <c r="E126" s="559" t="s">
        <v>422</v>
      </c>
      <c r="F126" s="559"/>
      <c r="G126" s="559"/>
      <c r="H126" s="561"/>
      <c r="I126" s="604" t="s">
        <v>422</v>
      </c>
      <c r="J126" s="604"/>
      <c r="K126" s="604"/>
      <c r="L126" s="624"/>
      <c r="M126" s="627"/>
    </row>
    <row r="127" spans="2:50">
      <c r="B127" s="559"/>
      <c r="C127" s="559"/>
      <c r="D127" s="559"/>
      <c r="E127" s="298" t="s">
        <v>424</v>
      </c>
      <c r="F127" s="298" t="s">
        <v>425</v>
      </c>
      <c r="G127" s="298" t="s">
        <v>426</v>
      </c>
      <c r="H127" s="562"/>
      <c r="I127" s="305" t="s">
        <v>424</v>
      </c>
      <c r="J127" s="305" t="s">
        <v>425</v>
      </c>
      <c r="K127" s="305" t="s">
        <v>426</v>
      </c>
      <c r="L127" s="625"/>
      <c r="M127" s="628"/>
    </row>
    <row r="128" spans="2:50">
      <c r="B128" s="559" t="s">
        <v>430</v>
      </c>
      <c r="C128" s="297">
        <v>1</v>
      </c>
      <c r="D128" s="226" t="s">
        <v>390</v>
      </c>
      <c r="E128" s="182">
        <v>18</v>
      </c>
      <c r="F128" s="297">
        <v>1636</v>
      </c>
      <c r="G128" s="300">
        <v>90.888888888888886</v>
      </c>
      <c r="H128" s="608">
        <f>AVERAGE(G128:G142)</f>
        <v>87.782109015855156</v>
      </c>
      <c r="I128" s="199" t="e">
        <f t="shared" ref="I128:J138" si="72">AVERAGEIF($D$7:$D$121,$D128,I$7:I$121)</f>
        <v>#DIV/0!</v>
      </c>
      <c r="J128" s="199" t="e">
        <f t="shared" si="72"/>
        <v>#DIV/0!</v>
      </c>
      <c r="K128" s="199" t="e">
        <f t="shared" ref="K128:K138" si="73">AVERAGEIF($D$7:$D$121,$D128,K$7:K$121)</f>
        <v>#DIV/0!</v>
      </c>
      <c r="L128" s="620" t="e">
        <f>AVERAGE(K128:K142)</f>
        <v>#DIV/0!</v>
      </c>
      <c r="M128" s="199" t="e">
        <f>RANK(K128, K$128:$K$142)</f>
        <v>#DIV/0!</v>
      </c>
    </row>
    <row r="129" spans="2:13">
      <c r="B129" s="572"/>
      <c r="C129" s="297">
        <v>2</v>
      </c>
      <c r="D129" s="226" t="s">
        <v>344</v>
      </c>
      <c r="E129" s="182">
        <v>17</v>
      </c>
      <c r="F129" s="297">
        <v>1636</v>
      </c>
      <c r="G129" s="300">
        <v>96.235294117647058</v>
      </c>
      <c r="H129" s="609"/>
      <c r="I129" s="199">
        <f t="shared" si="72"/>
        <v>17.114285714285714</v>
      </c>
      <c r="J129" s="199">
        <f t="shared" si="72"/>
        <v>1444.6536993322452</v>
      </c>
      <c r="K129" s="199">
        <f t="shared" si="73"/>
        <v>84.580482344012353</v>
      </c>
      <c r="L129" s="621"/>
      <c r="M129" s="199" t="e">
        <f>RANK(K129, K$128:$K$142)</f>
        <v>#DIV/0!</v>
      </c>
    </row>
    <row r="130" spans="2:13">
      <c r="B130" s="572"/>
      <c r="C130" s="297">
        <v>3</v>
      </c>
      <c r="D130" s="226" t="s">
        <v>557</v>
      </c>
      <c r="E130" s="182">
        <v>12</v>
      </c>
      <c r="F130" s="297">
        <v>1500</v>
      </c>
      <c r="G130" s="300">
        <v>125</v>
      </c>
      <c r="H130" s="609"/>
      <c r="I130" s="199">
        <f t="shared" si="72"/>
        <v>12.742857142857144</v>
      </c>
      <c r="J130" s="199">
        <f t="shared" si="72"/>
        <v>1187.8152755251085</v>
      </c>
      <c r="K130" s="199">
        <f t="shared" si="73"/>
        <v>93.373685432630623</v>
      </c>
      <c r="L130" s="621"/>
      <c r="M130" s="199" t="e">
        <f>RANK(K130, K$128:$K$142)</f>
        <v>#DIV/0!</v>
      </c>
    </row>
    <row r="131" spans="2:13">
      <c r="B131" s="572"/>
      <c r="C131" s="297">
        <v>4</v>
      </c>
      <c r="D131" s="226" t="s">
        <v>465</v>
      </c>
      <c r="E131" s="182">
        <v>17</v>
      </c>
      <c r="F131" s="297">
        <v>1636</v>
      </c>
      <c r="G131" s="300">
        <v>96.235294117647058</v>
      </c>
      <c r="H131" s="609"/>
      <c r="I131" s="199" t="e">
        <f t="shared" si="72"/>
        <v>#DIV/0!</v>
      </c>
      <c r="J131" s="199" t="e">
        <f t="shared" si="72"/>
        <v>#DIV/0!</v>
      </c>
      <c r="K131" s="199" t="e">
        <f t="shared" si="73"/>
        <v>#DIV/0!</v>
      </c>
      <c r="L131" s="621"/>
      <c r="M131" s="199" t="e">
        <f>RANK(K131, K$128:$K$142)</f>
        <v>#DIV/0!</v>
      </c>
    </row>
    <row r="132" spans="2:13">
      <c r="B132" s="572"/>
      <c r="C132" s="297">
        <v>5</v>
      </c>
      <c r="D132" s="226" t="s">
        <v>497</v>
      </c>
      <c r="E132" s="182">
        <v>17</v>
      </c>
      <c r="F132" s="297">
        <v>1385</v>
      </c>
      <c r="G132" s="300">
        <v>81.470588235294116</v>
      </c>
      <c r="H132" s="609"/>
      <c r="I132" s="199" t="e">
        <f t="shared" si="72"/>
        <v>#DIV/0!</v>
      </c>
      <c r="J132" s="199" t="e">
        <f t="shared" si="72"/>
        <v>#DIV/0!</v>
      </c>
      <c r="K132" s="199" t="e">
        <f t="shared" si="73"/>
        <v>#DIV/0!</v>
      </c>
      <c r="L132" s="621"/>
      <c r="M132" s="199" t="e">
        <f>RANK(K132, K$128:$K$142)</f>
        <v>#DIV/0!</v>
      </c>
    </row>
    <row r="133" spans="2:13">
      <c r="B133" s="572"/>
      <c r="C133" s="297">
        <v>6</v>
      </c>
      <c r="D133" s="306" t="s">
        <v>598</v>
      </c>
      <c r="E133" s="182">
        <v>15</v>
      </c>
      <c r="F133" s="297">
        <v>1500</v>
      </c>
      <c r="G133" s="300">
        <v>100</v>
      </c>
      <c r="H133" s="609"/>
      <c r="I133" s="199">
        <f t="shared" si="72"/>
        <v>17.177142857142858</v>
      </c>
      <c r="J133" s="199">
        <f t="shared" si="72"/>
        <v>1245.222414301312</v>
      </c>
      <c r="K133" s="199">
        <f t="shared" si="73"/>
        <v>72.750162946477573</v>
      </c>
      <c r="L133" s="621"/>
      <c r="M133" s="199" t="e">
        <f>RANK(K133, K$128:$K$142)</f>
        <v>#DIV/0!</v>
      </c>
    </row>
    <row r="134" spans="2:13">
      <c r="B134" s="572"/>
      <c r="C134" s="297">
        <v>7</v>
      </c>
      <c r="D134" s="226" t="s">
        <v>603</v>
      </c>
      <c r="E134" s="182">
        <v>19</v>
      </c>
      <c r="F134" s="297">
        <v>1100</v>
      </c>
      <c r="G134" s="300">
        <v>57.89473684210526</v>
      </c>
      <c r="H134" s="609"/>
      <c r="I134" s="199">
        <f t="shared" si="72"/>
        <v>20</v>
      </c>
      <c r="J134" s="199">
        <f t="shared" si="72"/>
        <v>1023.6750568723332</v>
      </c>
      <c r="K134" s="199">
        <f t="shared" si="73"/>
        <v>51.183752843616652</v>
      </c>
      <c r="L134" s="621"/>
      <c r="M134" s="199" t="e">
        <f>RANK(K134, K$128:$K$142)</f>
        <v>#DIV/0!</v>
      </c>
    </row>
    <row r="135" spans="2:13">
      <c r="B135" s="572"/>
      <c r="C135" s="297">
        <v>8</v>
      </c>
      <c r="D135" s="226" t="s">
        <v>618</v>
      </c>
      <c r="E135" s="182">
        <v>19</v>
      </c>
      <c r="F135" s="297">
        <v>1385</v>
      </c>
      <c r="G135" s="300">
        <v>72.89473684210526</v>
      </c>
      <c r="H135" s="609"/>
      <c r="I135" s="199">
        <f t="shared" si="72"/>
        <v>19.433333333333334</v>
      </c>
      <c r="J135" s="199">
        <f t="shared" si="72"/>
        <v>1018.6634704894132</v>
      </c>
      <c r="K135" s="199">
        <f t="shared" si="73"/>
        <v>52.431372184184944</v>
      </c>
      <c r="L135" s="621"/>
      <c r="M135" s="199" t="e">
        <f>RANK(K135, K$128:$K$142)</f>
        <v>#DIV/0!</v>
      </c>
    </row>
    <row r="136" spans="2:13">
      <c r="B136" s="572"/>
      <c r="C136" s="297">
        <v>9</v>
      </c>
      <c r="D136" s="226" t="s">
        <v>609</v>
      </c>
      <c r="E136" s="297">
        <v>17</v>
      </c>
      <c r="F136" s="297">
        <v>1440</v>
      </c>
      <c r="G136" s="297">
        <v>84.705882352941174</v>
      </c>
      <c r="H136" s="609"/>
      <c r="I136" s="199" t="e">
        <f t="shared" si="72"/>
        <v>#DIV/0!</v>
      </c>
      <c r="J136" s="199" t="e">
        <f t="shared" si="72"/>
        <v>#DIV/0!</v>
      </c>
      <c r="K136" s="199" t="e">
        <f t="shared" si="73"/>
        <v>#DIV/0!</v>
      </c>
      <c r="L136" s="621"/>
      <c r="M136" s="199" t="e">
        <f>RANK(K136, K$128:$K$142)</f>
        <v>#DIV/0!</v>
      </c>
    </row>
    <row r="137" spans="2:13">
      <c r="B137" s="572"/>
      <c r="C137" s="297">
        <v>10</v>
      </c>
      <c r="D137" s="226" t="s">
        <v>611</v>
      </c>
      <c r="E137" s="297">
        <v>18</v>
      </c>
      <c r="F137" s="297">
        <v>1500</v>
      </c>
      <c r="G137" s="297">
        <v>83.333333333333329</v>
      </c>
      <c r="H137" s="609"/>
      <c r="I137" s="199">
        <f t="shared" si="72"/>
        <v>17.8</v>
      </c>
      <c r="J137" s="199">
        <f t="shared" si="72"/>
        <v>1318.0042198645685</v>
      </c>
      <c r="K137" s="199">
        <f t="shared" si="73"/>
        <v>74.095527056240229</v>
      </c>
      <c r="L137" s="621"/>
      <c r="M137" s="199" t="e">
        <f>RANK(K137, K$128:$K$142)</f>
        <v>#DIV/0!</v>
      </c>
    </row>
    <row r="138" spans="2:13">
      <c r="B138" s="572"/>
      <c r="C138" s="297">
        <v>11</v>
      </c>
      <c r="D138" s="226" t="s">
        <v>615</v>
      </c>
      <c r="E138" s="297">
        <v>18</v>
      </c>
      <c r="F138" s="297">
        <v>1385</v>
      </c>
      <c r="G138" s="297">
        <v>76.944444444444443</v>
      </c>
      <c r="H138" s="609"/>
      <c r="I138" s="388">
        <f t="shared" si="72"/>
        <v>18.047619047619047</v>
      </c>
      <c r="J138" s="388">
        <f t="shared" si="72"/>
        <v>1043.2823786136196</v>
      </c>
      <c r="K138" s="388">
        <f t="shared" si="73"/>
        <v>57.797043263576739</v>
      </c>
      <c r="L138" s="621"/>
      <c r="M138" s="199" t="e">
        <f>RANK(K138, K$128:$K$142)</f>
        <v>#DIV/0!</v>
      </c>
    </row>
    <row r="139" spans="2:13">
      <c r="B139" s="572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21"/>
      <c r="M139" s="199" t="e">
        <f>RANK(K139, K$128:$K$142)</f>
        <v>#DIV/0!</v>
      </c>
    </row>
    <row r="140" spans="2:13">
      <c r="B140" s="572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21"/>
      <c r="M140" s="199" t="e">
        <f>RANK(K140, K$128:$K$142)</f>
        <v>#DIV/0!</v>
      </c>
    </row>
    <row r="141" spans="2:13">
      <c r="B141" s="572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21"/>
      <c r="M141" s="199" t="e">
        <f>RANK(K141, K$128:$K$142)</f>
        <v>#DIV/0!</v>
      </c>
    </row>
    <row r="142" spans="2:13">
      <c r="B142" s="572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22"/>
      <c r="M142" s="199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7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1" t="s">
        <v>329</v>
      </c>
      <c r="C1" s="220">
        <f>AVERAGE(L7,L27,L47,L67,L87,L107)</f>
        <v>122.33833293709185</v>
      </c>
    </row>
    <row r="2" spans="1:54" ht="15.75">
      <c r="A2" s="81"/>
      <c r="B2" s="576" t="s">
        <v>731</v>
      </c>
      <c r="C2" s="576"/>
      <c r="D2" s="576"/>
      <c r="E2" s="576"/>
      <c r="F2" s="576"/>
      <c r="G2" s="576"/>
      <c r="H2" s="576"/>
      <c r="I2" s="441"/>
      <c r="J2" s="441"/>
      <c r="K2" s="441"/>
      <c r="L2" s="441"/>
      <c r="M2" s="197"/>
      <c r="N2" s="565" t="s">
        <v>732</v>
      </c>
      <c r="O2" s="565" t="s">
        <v>733</v>
      </c>
      <c r="P2" s="617">
        <v>46386</v>
      </c>
      <c r="Q2" s="618"/>
      <c r="R2" s="618"/>
      <c r="S2" s="618"/>
      <c r="T2" s="619"/>
      <c r="U2" s="571">
        <f>P2+1</f>
        <v>46387</v>
      </c>
      <c r="V2" s="572"/>
      <c r="W2" s="572"/>
      <c r="X2" s="572"/>
      <c r="Y2" s="572"/>
      <c r="Z2" s="571">
        <f t="shared" ref="Z2" si="0">U2+1</f>
        <v>46388</v>
      </c>
      <c r="AA2" s="572"/>
      <c r="AB2" s="572"/>
      <c r="AC2" s="572"/>
      <c r="AD2" s="572"/>
      <c r="AE2" s="571">
        <f t="shared" ref="AE2" si="1">Z2+1</f>
        <v>46389</v>
      </c>
      <c r="AF2" s="572"/>
      <c r="AG2" s="572"/>
      <c r="AH2" s="572"/>
      <c r="AI2" s="572"/>
      <c r="AJ2" s="571">
        <f t="shared" ref="AJ2" si="2">AE2+1</f>
        <v>46390</v>
      </c>
      <c r="AK2" s="572"/>
      <c r="AL2" s="572"/>
      <c r="AM2" s="572"/>
      <c r="AN2" s="572"/>
      <c r="AO2" s="571">
        <f t="shared" ref="AO2" si="3">AJ2+1</f>
        <v>46391</v>
      </c>
      <c r="AP2" s="572"/>
      <c r="AQ2" s="572"/>
      <c r="AR2" s="572"/>
      <c r="AS2" s="572"/>
      <c r="AT2" s="571">
        <f t="shared" ref="AT2" si="4">AO2+1</f>
        <v>46392</v>
      </c>
      <c r="AU2" s="572"/>
      <c r="AV2" s="572"/>
      <c r="AW2" s="572"/>
      <c r="AX2" s="572"/>
    </row>
    <row r="3" spans="1:54" ht="15.75">
      <c r="A3" s="81"/>
      <c r="B3" s="597"/>
      <c r="C3" s="597"/>
      <c r="D3" s="597"/>
      <c r="E3" s="597"/>
      <c r="F3" s="597"/>
      <c r="G3" s="597"/>
      <c r="H3" s="597"/>
      <c r="I3" s="442"/>
      <c r="J3" s="442"/>
      <c r="K3" s="442"/>
      <c r="L3" s="442"/>
      <c r="M3" s="198"/>
      <c r="N3" s="567"/>
      <c r="O3" s="567"/>
      <c r="P3" s="568" t="s">
        <v>734</v>
      </c>
      <c r="Q3" s="569"/>
      <c r="R3" s="569"/>
      <c r="S3" s="569"/>
      <c r="T3" s="570"/>
      <c r="U3" s="568" t="s">
        <v>735</v>
      </c>
      <c r="V3" s="569"/>
      <c r="W3" s="569"/>
      <c r="X3" s="569"/>
      <c r="Y3" s="570"/>
      <c r="Z3" s="568" t="s">
        <v>736</v>
      </c>
      <c r="AA3" s="569"/>
      <c r="AB3" s="569"/>
      <c r="AC3" s="569"/>
      <c r="AD3" s="570"/>
      <c r="AE3" s="568" t="s">
        <v>737</v>
      </c>
      <c r="AF3" s="569"/>
      <c r="AG3" s="569"/>
      <c r="AH3" s="569"/>
      <c r="AI3" s="570"/>
      <c r="AJ3" s="568" t="s">
        <v>738</v>
      </c>
      <c r="AK3" s="569"/>
      <c r="AL3" s="569"/>
      <c r="AM3" s="569"/>
      <c r="AN3" s="570"/>
      <c r="AO3" s="568" t="s">
        <v>739</v>
      </c>
      <c r="AP3" s="569"/>
      <c r="AQ3" s="569"/>
      <c r="AR3" s="569"/>
      <c r="AS3" s="570"/>
      <c r="AT3" s="568" t="s">
        <v>740</v>
      </c>
      <c r="AU3" s="569"/>
      <c r="AV3" s="569"/>
      <c r="AW3" s="569"/>
      <c r="AX3" s="570"/>
    </row>
    <row r="4" spans="1:54">
      <c r="A4" s="81"/>
      <c r="B4" s="559" t="s">
        <v>703</v>
      </c>
      <c r="C4" s="559" t="s">
        <v>704</v>
      </c>
      <c r="D4" s="559"/>
      <c r="E4" s="559" t="s">
        <v>705</v>
      </c>
      <c r="F4" s="559"/>
      <c r="G4" s="559"/>
      <c r="H4" s="560" t="s">
        <v>706</v>
      </c>
      <c r="I4" s="559" t="s">
        <v>707</v>
      </c>
      <c r="J4" s="559"/>
      <c r="K4" s="559"/>
      <c r="L4" s="560" t="s">
        <v>706</v>
      </c>
      <c r="M4" s="565" t="s">
        <v>708</v>
      </c>
      <c r="N4" s="559"/>
      <c r="O4" s="559" t="s">
        <v>747</v>
      </c>
      <c r="P4" s="556" t="s">
        <v>748</v>
      </c>
      <c r="Q4" s="557"/>
      <c r="R4" s="557"/>
      <c r="S4" s="558"/>
      <c r="T4" s="559" t="s">
        <v>744</v>
      </c>
      <c r="U4" s="556" t="s">
        <v>748</v>
      </c>
      <c r="V4" s="557"/>
      <c r="W4" s="557"/>
      <c r="X4" s="558"/>
      <c r="Y4" s="559" t="s">
        <v>744</v>
      </c>
      <c r="Z4" s="556" t="s">
        <v>748</v>
      </c>
      <c r="AA4" s="557"/>
      <c r="AB4" s="557"/>
      <c r="AC4" s="558"/>
      <c r="AD4" s="559" t="s">
        <v>744</v>
      </c>
      <c r="AE4" s="556" t="s">
        <v>748</v>
      </c>
      <c r="AF4" s="557"/>
      <c r="AG4" s="557"/>
      <c r="AH4" s="558"/>
      <c r="AI4" s="559" t="s">
        <v>744</v>
      </c>
      <c r="AJ4" s="556" t="s">
        <v>748</v>
      </c>
      <c r="AK4" s="557"/>
      <c r="AL4" s="557"/>
      <c r="AM4" s="558"/>
      <c r="AN4" s="559" t="s">
        <v>744</v>
      </c>
      <c r="AO4" s="556" t="s">
        <v>748</v>
      </c>
      <c r="AP4" s="557"/>
      <c r="AQ4" s="557"/>
      <c r="AR4" s="558"/>
      <c r="AS4" s="559" t="s">
        <v>744</v>
      </c>
      <c r="AT4" s="556" t="s">
        <v>748</v>
      </c>
      <c r="AU4" s="557"/>
      <c r="AV4" s="557"/>
      <c r="AW4" s="558"/>
      <c r="AX4" s="559" t="s">
        <v>744</v>
      </c>
    </row>
    <row r="5" spans="1:54">
      <c r="A5" s="81"/>
      <c r="B5" s="559"/>
      <c r="C5" s="559"/>
      <c r="D5" s="559"/>
      <c r="E5" s="559" t="s">
        <v>710</v>
      </c>
      <c r="F5" s="559"/>
      <c r="G5" s="559"/>
      <c r="H5" s="561"/>
      <c r="I5" s="559" t="s">
        <v>710</v>
      </c>
      <c r="J5" s="559"/>
      <c r="K5" s="559"/>
      <c r="L5" s="561"/>
      <c r="M5" s="566"/>
      <c r="N5" s="559"/>
      <c r="O5" s="559"/>
      <c r="P5" s="556" t="s">
        <v>750</v>
      </c>
      <c r="Q5" s="557"/>
      <c r="R5" s="557"/>
      <c r="S5" s="558"/>
      <c r="T5" s="559"/>
      <c r="U5" s="556" t="s">
        <v>750</v>
      </c>
      <c r="V5" s="557"/>
      <c r="W5" s="557"/>
      <c r="X5" s="558"/>
      <c r="Y5" s="559"/>
      <c r="Z5" s="556" t="s">
        <v>750</v>
      </c>
      <c r="AA5" s="557"/>
      <c r="AB5" s="557"/>
      <c r="AC5" s="558"/>
      <c r="AD5" s="559"/>
      <c r="AE5" s="556" t="s">
        <v>750</v>
      </c>
      <c r="AF5" s="557"/>
      <c r="AG5" s="557"/>
      <c r="AH5" s="558"/>
      <c r="AI5" s="559"/>
      <c r="AJ5" s="556" t="s">
        <v>750</v>
      </c>
      <c r="AK5" s="557"/>
      <c r="AL5" s="557"/>
      <c r="AM5" s="558"/>
      <c r="AN5" s="559"/>
      <c r="AO5" s="556" t="s">
        <v>750</v>
      </c>
      <c r="AP5" s="557"/>
      <c r="AQ5" s="557"/>
      <c r="AR5" s="558"/>
      <c r="AS5" s="559"/>
      <c r="AT5" s="556" t="s">
        <v>750</v>
      </c>
      <c r="AU5" s="557"/>
      <c r="AV5" s="557"/>
      <c r="AW5" s="558"/>
      <c r="AX5" s="559"/>
    </row>
    <row r="6" spans="1:54">
      <c r="A6" s="79"/>
      <c r="B6" s="559"/>
      <c r="C6" s="559"/>
      <c r="D6" s="559"/>
      <c r="E6" s="440" t="s">
        <v>711</v>
      </c>
      <c r="F6" s="440" t="s">
        <v>712</v>
      </c>
      <c r="G6" s="440" t="s">
        <v>713</v>
      </c>
      <c r="H6" s="562"/>
      <c r="I6" s="440" t="s">
        <v>711</v>
      </c>
      <c r="J6" s="440" t="s">
        <v>712</v>
      </c>
      <c r="K6" s="440" t="s">
        <v>713</v>
      </c>
      <c r="L6" s="562"/>
      <c r="M6" s="567"/>
      <c r="N6" s="559"/>
      <c r="O6" s="559"/>
      <c r="P6" s="440" t="s">
        <v>751</v>
      </c>
      <c r="Q6" s="440" t="s">
        <v>752</v>
      </c>
      <c r="R6" s="440" t="s">
        <v>753</v>
      </c>
      <c r="S6" s="440" t="s">
        <v>746</v>
      </c>
      <c r="T6" s="559"/>
      <c r="U6" s="440" t="s">
        <v>751</v>
      </c>
      <c r="V6" s="440" t="s">
        <v>752</v>
      </c>
      <c r="W6" s="440" t="s">
        <v>753</v>
      </c>
      <c r="X6" s="440" t="s">
        <v>746</v>
      </c>
      <c r="Y6" s="559"/>
      <c r="Z6" s="440" t="s">
        <v>751</v>
      </c>
      <c r="AA6" s="440" t="s">
        <v>752</v>
      </c>
      <c r="AB6" s="440" t="s">
        <v>753</v>
      </c>
      <c r="AC6" s="440" t="s">
        <v>746</v>
      </c>
      <c r="AD6" s="559"/>
      <c r="AE6" s="440" t="s">
        <v>751</v>
      </c>
      <c r="AF6" s="440" t="s">
        <v>752</v>
      </c>
      <c r="AG6" s="440" t="s">
        <v>753</v>
      </c>
      <c r="AH6" s="440" t="s">
        <v>746</v>
      </c>
      <c r="AI6" s="559"/>
      <c r="AJ6" s="440" t="s">
        <v>751</v>
      </c>
      <c r="AK6" s="440" t="s">
        <v>752</v>
      </c>
      <c r="AL6" s="440" t="s">
        <v>753</v>
      </c>
      <c r="AM6" s="440" t="s">
        <v>746</v>
      </c>
      <c r="AN6" s="559"/>
      <c r="AO6" s="440" t="s">
        <v>751</v>
      </c>
      <c r="AP6" s="440" t="s">
        <v>752</v>
      </c>
      <c r="AQ6" s="440" t="s">
        <v>753</v>
      </c>
      <c r="AR6" s="440" t="s">
        <v>746</v>
      </c>
      <c r="AS6" s="559"/>
      <c r="AT6" s="440" t="s">
        <v>751</v>
      </c>
      <c r="AU6" s="440" t="s">
        <v>752</v>
      </c>
      <c r="AV6" s="440" t="s">
        <v>753</v>
      </c>
      <c r="AW6" s="440" t="s">
        <v>746</v>
      </c>
      <c r="AX6" s="559"/>
    </row>
    <row r="7" spans="1:54">
      <c r="A7" s="81"/>
      <c r="B7" s="559" t="s">
        <v>136</v>
      </c>
      <c r="C7" s="443">
        <v>1</v>
      </c>
      <c r="D7" s="435" t="s">
        <v>391</v>
      </c>
      <c r="E7" s="447">
        <v>20</v>
      </c>
      <c r="F7" s="447">
        <v>2400</v>
      </c>
      <c r="G7" s="447">
        <v>120</v>
      </c>
      <c r="H7" s="632">
        <f>AVERAGE(G7:G21)</f>
        <v>144.76</v>
      </c>
      <c r="I7" s="447">
        <f>AVERAGE(P7,U7,Z7,AE7,AJ7,AO7,AT7)</f>
        <v>19</v>
      </c>
      <c r="J7" s="447">
        <f>AVERAGE(Q7,V7,AA7,AF7,AK7,AP7,AU7)</f>
        <v>2193.8224971381201</v>
      </c>
      <c r="K7" s="439">
        <f>AVERAGE(R7,W7,AB7,AG7,AL7,AQ7,AV7)</f>
        <v>115.46434195463789</v>
      </c>
      <c r="L7" s="563">
        <f>AVERAGE(K7:K21)</f>
        <v>121.70716621028673</v>
      </c>
      <c r="M7" s="445">
        <f>RANK(K7, K$7:$K$21)</f>
        <v>4</v>
      </c>
      <c r="N7" s="559"/>
      <c r="O7" s="559"/>
      <c r="P7" s="443"/>
      <c r="Q7" s="447"/>
      <c r="R7" s="447"/>
      <c r="S7" s="443" t="e">
        <f>RANK(R7, R$7:R$21)</f>
        <v>#N/A</v>
      </c>
      <c r="T7" s="588" t="e">
        <f>AVERAGE(R7:R21)</f>
        <v>#DIV/0!</v>
      </c>
      <c r="U7" s="443"/>
      <c r="V7" s="447"/>
      <c r="W7" s="447"/>
      <c r="X7" s="443" t="e">
        <f>RANK(W7, W$7:W$21)</f>
        <v>#N/A</v>
      </c>
      <c r="Y7" s="588" t="e">
        <f>AVERAGE(W7:W21)</f>
        <v>#DIV/0!</v>
      </c>
      <c r="Z7" s="443">
        <v>19</v>
      </c>
      <c r="AA7" s="447">
        <v>2217.4468085106387</v>
      </c>
      <c r="AB7" s="447">
        <v>116.70772676371783</v>
      </c>
      <c r="AC7" s="443">
        <f>RANK(AB7, AB$7:AB$21)</f>
        <v>4</v>
      </c>
      <c r="AD7" s="588">
        <f>AVERAGE(AB7:AB21)</f>
        <v>122.86117239237055</v>
      </c>
      <c r="AE7" s="443">
        <v>19</v>
      </c>
      <c r="AF7" s="447">
        <v>2258.0000000000014</v>
      </c>
      <c r="AG7" s="447">
        <v>118.84210526315796</v>
      </c>
      <c r="AH7" s="443">
        <f>RANK(AG7, AG$7:AG$21)</f>
        <v>4</v>
      </c>
      <c r="AI7" s="588">
        <f>AVERAGE(AG7:AG21)</f>
        <v>121.92249475084914</v>
      </c>
      <c r="AJ7" s="443">
        <v>19</v>
      </c>
      <c r="AK7" s="447">
        <v>2211.9999999999986</v>
      </c>
      <c r="AL7" s="447">
        <v>116.42105263157887</v>
      </c>
      <c r="AM7" s="443">
        <f>RANK(AL7, AL$7:AL$21)</f>
        <v>4</v>
      </c>
      <c r="AN7" s="588">
        <f>AVERAGE(AL7:AL21)</f>
        <v>120.65226412528045</v>
      </c>
      <c r="AO7" s="443">
        <v>19</v>
      </c>
      <c r="AP7" s="447">
        <v>2282.5636363636345</v>
      </c>
      <c r="AQ7" s="447">
        <v>120.13492822966498</v>
      </c>
      <c r="AR7" s="443">
        <f>RANK(AQ7, AQ$7:AQ$21)</f>
        <v>4</v>
      </c>
      <c r="AS7" s="588">
        <f>AVERAGE(AQ7:AQ21)</f>
        <v>122.49580863854924</v>
      </c>
      <c r="AT7" s="443">
        <v>19</v>
      </c>
      <c r="AU7" s="447">
        <v>1999.1020408163272</v>
      </c>
      <c r="AV7" s="447">
        <v>105.21589688506985</v>
      </c>
      <c r="AW7" s="443">
        <f>RANK(AV7, AV$7:AV$21)</f>
        <v>4</v>
      </c>
      <c r="AX7" s="588">
        <f>AVERAGE(AV7:AV21)</f>
        <v>120.60409114438421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99"/>
      <c r="C8" s="443">
        <v>2</v>
      </c>
      <c r="D8" s="435" t="s">
        <v>392</v>
      </c>
      <c r="E8" s="447">
        <v>18</v>
      </c>
      <c r="F8" s="447">
        <v>3000</v>
      </c>
      <c r="G8" s="447">
        <v>166.7</v>
      </c>
      <c r="H8" s="633"/>
      <c r="I8" s="447">
        <f t="shared" ref="I8:K11" si="5">AVERAGE(P8,U8,Z8,AE8,AJ8,AO8,AT8)</f>
        <v>18.8</v>
      </c>
      <c r="J8" s="447">
        <f t="shared" si="5"/>
        <v>2463.9323986358477</v>
      </c>
      <c r="K8" s="439">
        <f t="shared" si="5"/>
        <v>131.09318388810226</v>
      </c>
      <c r="L8" s="564"/>
      <c r="M8" s="445">
        <f>RANK(K8, K$7:$K$21)</f>
        <v>2</v>
      </c>
      <c r="N8" s="559"/>
      <c r="O8" s="559"/>
      <c r="P8" s="443"/>
      <c r="Q8" s="447"/>
      <c r="R8" s="447"/>
      <c r="S8" s="443" t="e">
        <f t="shared" ref="S8:S21" si="6">RANK(R8, R$7:R$21)</f>
        <v>#N/A</v>
      </c>
      <c r="T8" s="588"/>
      <c r="U8" s="443"/>
      <c r="V8" s="447"/>
      <c r="W8" s="447"/>
      <c r="X8" s="443" t="e">
        <f t="shared" ref="X8:X21" si="7">RANK(W8, W$7:W$21)</f>
        <v>#N/A</v>
      </c>
      <c r="Y8" s="588"/>
      <c r="Z8" s="443">
        <v>19</v>
      </c>
      <c r="AA8" s="447">
        <v>2518.3846153846166</v>
      </c>
      <c r="AB8" s="447">
        <v>132.5465587044535</v>
      </c>
      <c r="AC8" s="443">
        <f t="shared" ref="AC8:AC21" si="8">RANK(AB8, AB$7:AB$21)</f>
        <v>2</v>
      </c>
      <c r="AD8" s="588"/>
      <c r="AE8" s="443">
        <v>19</v>
      </c>
      <c r="AF8" s="447">
        <v>2499.2307692307704</v>
      </c>
      <c r="AG8" s="447">
        <v>131.5384615384616</v>
      </c>
      <c r="AH8" s="443">
        <f t="shared" ref="AH8:AH21" si="9">RANK(AG8, AG$7:AG$21)</f>
        <v>2</v>
      </c>
      <c r="AI8" s="588"/>
      <c r="AJ8" s="443">
        <v>19</v>
      </c>
      <c r="AK8" s="447">
        <v>2439.3103448275879</v>
      </c>
      <c r="AL8" s="447">
        <v>128.38475499092567</v>
      </c>
      <c r="AM8" s="443">
        <f t="shared" ref="AM8:AM21" si="10">RANK(AL8, AL$7:AL$21)</f>
        <v>3</v>
      </c>
      <c r="AN8" s="588"/>
      <c r="AO8" s="443">
        <v>19</v>
      </c>
      <c r="AP8" s="447">
        <v>2447.3076923076937</v>
      </c>
      <c r="AQ8" s="447">
        <v>128.8056680161944</v>
      </c>
      <c r="AR8" s="443">
        <f t="shared" ref="AR8:AR21" si="11">RANK(AQ8, AQ$7:AQ$21)</f>
        <v>3</v>
      </c>
      <c r="AS8" s="588"/>
      <c r="AT8" s="443">
        <v>18</v>
      </c>
      <c r="AU8" s="447">
        <v>2415.4285714285706</v>
      </c>
      <c r="AV8" s="447">
        <v>134.19047619047615</v>
      </c>
      <c r="AW8" s="443">
        <f t="shared" ref="AW8:AW21" si="12">RANK(AV8, AV$7:AV$21)</f>
        <v>2</v>
      </c>
      <c r="AX8" s="588"/>
      <c r="AZ8" s="314" t="e">
        <f>RANK(AX8, $K$7:AX$21)</f>
        <v>#N/A</v>
      </c>
      <c r="BB8" s="311" t="e">
        <f t="shared" ref="BB8:BB21" si="13">RANK(BA8, BA$7:BA$21)</f>
        <v>#N/A</v>
      </c>
    </row>
    <row r="9" spans="1:54">
      <c r="A9" s="81"/>
      <c r="B9" s="599"/>
      <c r="C9" s="443">
        <v>3</v>
      </c>
      <c r="D9" s="435" t="s">
        <v>393</v>
      </c>
      <c r="E9" s="447">
        <v>18</v>
      </c>
      <c r="F9" s="447">
        <v>3000</v>
      </c>
      <c r="G9" s="447">
        <v>166.7</v>
      </c>
      <c r="H9" s="633"/>
      <c r="I9" s="447">
        <f t="shared" si="5"/>
        <v>19</v>
      </c>
      <c r="J9" s="447">
        <f t="shared" si="5"/>
        <v>2478.6469665222648</v>
      </c>
      <c r="K9" s="439">
        <f t="shared" si="5"/>
        <v>130.45510350117183</v>
      </c>
      <c r="L9" s="564"/>
      <c r="M9" s="445">
        <f>RANK(K9, K$7:$K$21)</f>
        <v>3</v>
      </c>
      <c r="N9" s="559"/>
      <c r="O9" s="559"/>
      <c r="P9" s="443"/>
      <c r="Q9" s="447"/>
      <c r="R9" s="447"/>
      <c r="S9" s="443" t="e">
        <f t="shared" si="6"/>
        <v>#N/A</v>
      </c>
      <c r="T9" s="588"/>
      <c r="U9" s="443"/>
      <c r="V9" s="447"/>
      <c r="W9" s="447"/>
      <c r="X9" s="443" t="e">
        <f t="shared" si="7"/>
        <v>#N/A</v>
      </c>
      <c r="Y9" s="588"/>
      <c r="Z9" s="443">
        <v>19</v>
      </c>
      <c r="AA9" s="447">
        <v>2491.6363636363617</v>
      </c>
      <c r="AB9" s="447">
        <v>131.13875598086113</v>
      </c>
      <c r="AC9" s="443">
        <f t="shared" si="8"/>
        <v>3</v>
      </c>
      <c r="AD9" s="588"/>
      <c r="AE9" s="443">
        <v>19</v>
      </c>
      <c r="AF9" s="447">
        <v>2451.6279069767438</v>
      </c>
      <c r="AG9" s="447">
        <v>129.03304773561808</v>
      </c>
      <c r="AH9" s="443">
        <f t="shared" si="9"/>
        <v>3</v>
      </c>
      <c r="AI9" s="588"/>
      <c r="AJ9" s="443">
        <v>19</v>
      </c>
      <c r="AK9" s="447">
        <v>2480.3389830508463</v>
      </c>
      <c r="AL9" s="447">
        <v>130.54415700267612</v>
      </c>
      <c r="AM9" s="443">
        <f t="shared" si="10"/>
        <v>2</v>
      </c>
      <c r="AN9" s="588"/>
      <c r="AO9" s="443">
        <v>19</v>
      </c>
      <c r="AP9" s="447">
        <v>2512.6315789473701</v>
      </c>
      <c r="AQ9" s="447">
        <v>132.24376731301948</v>
      </c>
      <c r="AR9" s="443">
        <f t="shared" si="11"/>
        <v>1</v>
      </c>
      <c r="AS9" s="588"/>
      <c r="AT9" s="443">
        <v>19</v>
      </c>
      <c r="AU9" s="447">
        <v>2457.0000000000023</v>
      </c>
      <c r="AV9" s="447">
        <v>129.31578947368433</v>
      </c>
      <c r="AW9" s="443">
        <f t="shared" si="12"/>
        <v>3</v>
      </c>
      <c r="AX9" s="588"/>
      <c r="AZ9" s="314" t="e">
        <f>RANK(AX9, $K$7:AX$21)</f>
        <v>#N/A</v>
      </c>
      <c r="BB9" s="311" t="e">
        <f t="shared" si="13"/>
        <v>#N/A</v>
      </c>
    </row>
    <row r="10" spans="1:54">
      <c r="A10" s="81"/>
      <c r="B10" s="599"/>
      <c r="C10" s="443">
        <v>4</v>
      </c>
      <c r="D10" s="435" t="s">
        <v>394</v>
      </c>
      <c r="E10" s="447">
        <v>19</v>
      </c>
      <c r="F10" s="447">
        <v>3000</v>
      </c>
      <c r="G10" s="447">
        <v>157.9</v>
      </c>
      <c r="H10" s="633"/>
      <c r="I10" s="447">
        <f t="shared" si="5"/>
        <v>18.8</v>
      </c>
      <c r="J10" s="447">
        <f t="shared" si="5"/>
        <v>2497.2687338919673</v>
      </c>
      <c r="K10" s="439">
        <f t="shared" si="5"/>
        <v>132.86491539613186</v>
      </c>
      <c r="L10" s="564"/>
      <c r="M10" s="445">
        <f>RANK(K10, K$7:$K$21)</f>
        <v>1</v>
      </c>
      <c r="N10" s="559"/>
      <c r="O10" s="559"/>
      <c r="P10" s="443"/>
      <c r="Q10" s="447"/>
      <c r="R10" s="447"/>
      <c r="S10" s="443" t="e">
        <f t="shared" si="6"/>
        <v>#N/A</v>
      </c>
      <c r="T10" s="588"/>
      <c r="U10" s="443"/>
      <c r="V10" s="447"/>
      <c r="W10" s="447"/>
      <c r="X10" s="443" t="e">
        <f t="shared" si="7"/>
        <v>#N/A</v>
      </c>
      <c r="Y10" s="588"/>
      <c r="Z10" s="443">
        <v>19</v>
      </c>
      <c r="AA10" s="447">
        <v>2543.0769230769215</v>
      </c>
      <c r="AB10" s="447">
        <v>133.84615384615375</v>
      </c>
      <c r="AC10" s="443">
        <f t="shared" si="8"/>
        <v>1</v>
      </c>
      <c r="AD10" s="588"/>
      <c r="AE10" s="443">
        <v>19</v>
      </c>
      <c r="AF10" s="447">
        <v>2504.5714285714294</v>
      </c>
      <c r="AG10" s="447">
        <v>131.81954887218049</v>
      </c>
      <c r="AH10" s="443">
        <f t="shared" si="9"/>
        <v>1</v>
      </c>
      <c r="AI10" s="588"/>
      <c r="AJ10" s="443">
        <v>19</v>
      </c>
      <c r="AK10" s="447">
        <v>2481.7021276595751</v>
      </c>
      <c r="AL10" s="447">
        <v>130.6159014557671</v>
      </c>
      <c r="AM10" s="443">
        <f t="shared" si="10"/>
        <v>1</v>
      </c>
      <c r="AN10" s="588"/>
      <c r="AO10" s="443">
        <v>19</v>
      </c>
      <c r="AP10" s="447">
        <v>2512.1739130434785</v>
      </c>
      <c r="AQ10" s="447">
        <v>132.21967963386729</v>
      </c>
      <c r="AR10" s="443">
        <f t="shared" si="11"/>
        <v>2</v>
      </c>
      <c r="AS10" s="588"/>
      <c r="AT10" s="443">
        <v>18</v>
      </c>
      <c r="AU10" s="447">
        <v>2444.8192771084327</v>
      </c>
      <c r="AV10" s="447">
        <v>135.82329317269071</v>
      </c>
      <c r="AW10" s="443">
        <f t="shared" si="12"/>
        <v>1</v>
      </c>
      <c r="AX10" s="588"/>
      <c r="AZ10" s="314" t="e">
        <f>RANK(AX10, $K$7:AX$21)</f>
        <v>#N/A</v>
      </c>
      <c r="BB10" s="311" t="e">
        <f t="shared" si="13"/>
        <v>#N/A</v>
      </c>
    </row>
    <row r="11" spans="1:54">
      <c r="A11" s="81"/>
      <c r="B11" s="599"/>
      <c r="C11" s="443">
        <v>5</v>
      </c>
      <c r="D11" s="435" t="s">
        <v>565</v>
      </c>
      <c r="E11" s="447">
        <v>20</v>
      </c>
      <c r="F11" s="447">
        <v>2250</v>
      </c>
      <c r="G11" s="447">
        <v>112.5</v>
      </c>
      <c r="H11" s="633"/>
      <c r="I11" s="447">
        <f t="shared" si="5"/>
        <v>20</v>
      </c>
      <c r="J11" s="447">
        <f t="shared" si="5"/>
        <v>1973.1657262277954</v>
      </c>
      <c r="K11" s="439">
        <f t="shared" si="5"/>
        <v>98.658286311389773</v>
      </c>
      <c r="L11" s="564"/>
      <c r="M11" s="445">
        <f>RANK(K11, K$7:$K$21)</f>
        <v>5</v>
      </c>
      <c r="N11" s="559"/>
      <c r="O11" s="559"/>
      <c r="P11" s="443"/>
      <c r="Q11" s="447"/>
      <c r="R11" s="447"/>
      <c r="S11" s="443" t="e">
        <f t="shared" si="6"/>
        <v>#N/A</v>
      </c>
      <c r="T11" s="588"/>
      <c r="U11" s="443"/>
      <c r="V11" s="447"/>
      <c r="W11" s="447"/>
      <c r="X11" s="443" t="e">
        <f t="shared" si="7"/>
        <v>#N/A</v>
      </c>
      <c r="Y11" s="588"/>
      <c r="Z11" s="443">
        <v>20</v>
      </c>
      <c r="AA11" s="447">
        <v>2001.3333333333333</v>
      </c>
      <c r="AB11" s="447">
        <v>100.06666666666666</v>
      </c>
      <c r="AC11" s="443">
        <f t="shared" si="8"/>
        <v>5</v>
      </c>
      <c r="AD11" s="588"/>
      <c r="AE11" s="443">
        <v>20</v>
      </c>
      <c r="AF11" s="447">
        <v>1967.5862068965507</v>
      </c>
      <c r="AG11" s="447">
        <v>98.37931034482753</v>
      </c>
      <c r="AH11" s="443">
        <f t="shared" si="9"/>
        <v>5</v>
      </c>
      <c r="AI11" s="588"/>
      <c r="AJ11" s="443">
        <v>20</v>
      </c>
      <c r="AK11" s="447">
        <v>1945.9090909090908</v>
      </c>
      <c r="AL11" s="447">
        <v>97.295454545454533</v>
      </c>
      <c r="AM11" s="443">
        <f t="shared" si="10"/>
        <v>5</v>
      </c>
      <c r="AN11" s="588"/>
      <c r="AO11" s="443">
        <v>20</v>
      </c>
      <c r="AP11" s="447">
        <v>1981.5000000000011</v>
      </c>
      <c r="AQ11" s="447">
        <v>99.07500000000006</v>
      </c>
      <c r="AR11" s="443">
        <f t="shared" si="11"/>
        <v>5</v>
      </c>
      <c r="AS11" s="588"/>
      <c r="AT11" s="443">
        <v>20</v>
      </c>
      <c r="AU11" s="447">
        <v>1969.5000000000009</v>
      </c>
      <c r="AV11" s="447">
        <v>98.475000000000051</v>
      </c>
      <c r="AW11" s="443">
        <f t="shared" si="12"/>
        <v>5</v>
      </c>
      <c r="AX11" s="588"/>
      <c r="AZ11" s="314" t="e">
        <f>RANK(AX11, $K$7:AX$21)</f>
        <v>#N/A</v>
      </c>
      <c r="BB11" s="311" t="e">
        <f t="shared" si="13"/>
        <v>#N/A</v>
      </c>
    </row>
    <row r="12" spans="1:54">
      <c r="A12" s="81"/>
      <c r="B12" s="599"/>
      <c r="C12" s="443">
        <v>6</v>
      </c>
      <c r="D12" s="435"/>
      <c r="E12" s="447" t="s">
        <v>561</v>
      </c>
      <c r="F12" s="447" t="s">
        <v>561</v>
      </c>
      <c r="G12" s="447" t="s">
        <v>561</v>
      </c>
      <c r="H12" s="633"/>
      <c r="I12" s="447"/>
      <c r="J12" s="447"/>
      <c r="K12" s="439"/>
      <c r="L12" s="564"/>
      <c r="M12" s="445" t="e">
        <f>RANK(K12, K$7:$K$21)</f>
        <v>#N/A</v>
      </c>
      <c r="N12" s="559"/>
      <c r="O12" s="559"/>
      <c r="P12" s="443" t="s">
        <v>561</v>
      </c>
      <c r="Q12" s="447" t="s">
        <v>561</v>
      </c>
      <c r="R12" s="447" t="s">
        <v>561</v>
      </c>
      <c r="S12" s="443" t="e">
        <f t="shared" si="6"/>
        <v>#VALUE!</v>
      </c>
      <c r="T12" s="588"/>
      <c r="U12" s="443"/>
      <c r="V12" s="447"/>
      <c r="W12" s="447"/>
      <c r="X12" s="443" t="e">
        <f t="shared" si="7"/>
        <v>#N/A</v>
      </c>
      <c r="Y12" s="588"/>
      <c r="Z12" s="443"/>
      <c r="AA12" s="447"/>
      <c r="AB12" s="447"/>
      <c r="AC12" s="443" t="e">
        <f t="shared" si="8"/>
        <v>#N/A</v>
      </c>
      <c r="AD12" s="588"/>
      <c r="AE12" s="443"/>
      <c r="AF12" s="447"/>
      <c r="AG12" s="447"/>
      <c r="AH12" s="443" t="e">
        <f t="shared" si="9"/>
        <v>#N/A</v>
      </c>
      <c r="AI12" s="588"/>
      <c r="AJ12" s="443"/>
      <c r="AK12" s="447"/>
      <c r="AL12" s="447"/>
      <c r="AM12" s="443" t="e">
        <f t="shared" si="10"/>
        <v>#N/A</v>
      </c>
      <c r="AN12" s="588"/>
      <c r="AO12" s="443"/>
      <c r="AP12" s="447"/>
      <c r="AQ12" s="447"/>
      <c r="AR12" s="443" t="e">
        <f t="shared" si="11"/>
        <v>#N/A</v>
      </c>
      <c r="AS12" s="588"/>
      <c r="AT12" s="443"/>
      <c r="AU12" s="447"/>
      <c r="AV12" s="447"/>
      <c r="AW12" s="443" t="e">
        <f t="shared" si="12"/>
        <v>#N/A</v>
      </c>
      <c r="AX12" s="588"/>
      <c r="AZ12" s="314" t="e">
        <f>RANK(AX12, $K$7:AX$21)</f>
        <v>#N/A</v>
      </c>
      <c r="BB12" s="311" t="e">
        <f t="shared" si="13"/>
        <v>#N/A</v>
      </c>
    </row>
    <row r="13" spans="1:54">
      <c r="A13" s="81"/>
      <c r="B13" s="599"/>
      <c r="C13" s="443">
        <v>7</v>
      </c>
      <c r="D13" s="435"/>
      <c r="E13" s="447" t="s">
        <v>561</v>
      </c>
      <c r="F13" s="447" t="s">
        <v>561</v>
      </c>
      <c r="G13" s="447" t="s">
        <v>561</v>
      </c>
      <c r="H13" s="633"/>
      <c r="I13" s="447"/>
      <c r="J13" s="447"/>
      <c r="K13" s="439"/>
      <c r="L13" s="564"/>
      <c r="M13" s="445" t="e">
        <f>RANK(K13, K$7:$K$21)</f>
        <v>#N/A</v>
      </c>
      <c r="N13" s="559"/>
      <c r="O13" s="559"/>
      <c r="P13" s="443" t="s">
        <v>561</v>
      </c>
      <c r="Q13" s="447" t="s">
        <v>561</v>
      </c>
      <c r="R13" s="447" t="s">
        <v>561</v>
      </c>
      <c r="S13" s="443" t="e">
        <f t="shared" si="6"/>
        <v>#VALUE!</v>
      </c>
      <c r="T13" s="588"/>
      <c r="U13" s="443"/>
      <c r="V13" s="447"/>
      <c r="W13" s="447"/>
      <c r="X13" s="443" t="e">
        <f t="shared" si="7"/>
        <v>#N/A</v>
      </c>
      <c r="Y13" s="588"/>
      <c r="Z13" s="443"/>
      <c r="AA13" s="447"/>
      <c r="AB13" s="447"/>
      <c r="AC13" s="443" t="e">
        <f t="shared" si="8"/>
        <v>#N/A</v>
      </c>
      <c r="AD13" s="588"/>
      <c r="AE13" s="443"/>
      <c r="AF13" s="447"/>
      <c r="AG13" s="447"/>
      <c r="AH13" s="443" t="e">
        <f t="shared" si="9"/>
        <v>#N/A</v>
      </c>
      <c r="AI13" s="588"/>
      <c r="AJ13" s="443"/>
      <c r="AK13" s="447"/>
      <c r="AL13" s="447"/>
      <c r="AM13" s="443" t="e">
        <f t="shared" si="10"/>
        <v>#N/A</v>
      </c>
      <c r="AN13" s="588"/>
      <c r="AO13" s="443"/>
      <c r="AP13" s="447"/>
      <c r="AQ13" s="447"/>
      <c r="AR13" s="443" t="e">
        <f t="shared" si="11"/>
        <v>#N/A</v>
      </c>
      <c r="AS13" s="588"/>
      <c r="AT13" s="443"/>
      <c r="AU13" s="447"/>
      <c r="AV13" s="447"/>
      <c r="AW13" s="443" t="e">
        <f t="shared" si="12"/>
        <v>#N/A</v>
      </c>
      <c r="AX13" s="588"/>
      <c r="AZ13" s="314" t="e">
        <f>RANK(AX13, $K$7:AX$21)</f>
        <v>#N/A</v>
      </c>
      <c r="BB13" s="311" t="e">
        <f t="shared" si="13"/>
        <v>#N/A</v>
      </c>
    </row>
    <row r="14" spans="1:54">
      <c r="A14" s="81"/>
      <c r="B14" s="599"/>
      <c r="C14" s="443">
        <v>8</v>
      </c>
      <c r="D14" s="435"/>
      <c r="E14" s="447" t="s">
        <v>561</v>
      </c>
      <c r="F14" s="447" t="s">
        <v>561</v>
      </c>
      <c r="G14" s="447" t="s">
        <v>561</v>
      </c>
      <c r="H14" s="633"/>
      <c r="I14" s="447"/>
      <c r="J14" s="447"/>
      <c r="K14" s="439"/>
      <c r="L14" s="564"/>
      <c r="M14" s="445" t="e">
        <f>RANK(K14, K$7:$K$21)</f>
        <v>#N/A</v>
      </c>
      <c r="N14" s="559"/>
      <c r="O14" s="559"/>
      <c r="P14" s="443" t="s">
        <v>561</v>
      </c>
      <c r="Q14" s="447" t="s">
        <v>561</v>
      </c>
      <c r="R14" s="447" t="s">
        <v>561</v>
      </c>
      <c r="S14" s="443" t="e">
        <f t="shared" si="6"/>
        <v>#VALUE!</v>
      </c>
      <c r="T14" s="588"/>
      <c r="U14" s="443"/>
      <c r="V14" s="447"/>
      <c r="W14" s="447"/>
      <c r="X14" s="443" t="e">
        <f t="shared" si="7"/>
        <v>#N/A</v>
      </c>
      <c r="Y14" s="588"/>
      <c r="Z14" s="443"/>
      <c r="AA14" s="447"/>
      <c r="AB14" s="447"/>
      <c r="AC14" s="443" t="e">
        <f t="shared" si="8"/>
        <v>#N/A</v>
      </c>
      <c r="AD14" s="588"/>
      <c r="AE14" s="443"/>
      <c r="AF14" s="447"/>
      <c r="AG14" s="447"/>
      <c r="AH14" s="443" t="e">
        <f t="shared" si="9"/>
        <v>#N/A</v>
      </c>
      <c r="AI14" s="588"/>
      <c r="AJ14" s="443"/>
      <c r="AK14" s="447"/>
      <c r="AL14" s="447"/>
      <c r="AM14" s="443" t="e">
        <f t="shared" si="10"/>
        <v>#N/A</v>
      </c>
      <c r="AN14" s="588"/>
      <c r="AO14" s="443"/>
      <c r="AP14" s="447"/>
      <c r="AQ14" s="447"/>
      <c r="AR14" s="443" t="e">
        <f t="shared" si="11"/>
        <v>#N/A</v>
      </c>
      <c r="AS14" s="588"/>
      <c r="AT14" s="443"/>
      <c r="AU14" s="447"/>
      <c r="AV14" s="447"/>
      <c r="AW14" s="443" t="e">
        <f t="shared" si="12"/>
        <v>#N/A</v>
      </c>
      <c r="AX14" s="588"/>
      <c r="AZ14" s="314" t="e">
        <f>RANK(AX14, $K$7:AX$21)</f>
        <v>#N/A</v>
      </c>
      <c r="BB14" s="311" t="e">
        <f t="shared" si="13"/>
        <v>#N/A</v>
      </c>
    </row>
    <row r="15" spans="1:54">
      <c r="A15" s="81"/>
      <c r="B15" s="599"/>
      <c r="C15" s="443">
        <v>9</v>
      </c>
      <c r="D15" s="435"/>
      <c r="E15" s="447" t="s">
        <v>561</v>
      </c>
      <c r="F15" s="447" t="s">
        <v>561</v>
      </c>
      <c r="G15" s="447" t="s">
        <v>561</v>
      </c>
      <c r="H15" s="633"/>
      <c r="I15" s="447"/>
      <c r="J15" s="447"/>
      <c r="K15" s="439"/>
      <c r="L15" s="564"/>
      <c r="M15" s="445" t="e">
        <f>RANK(K15, K$7:$K$21)</f>
        <v>#N/A</v>
      </c>
      <c r="N15" s="559"/>
      <c r="O15" s="559"/>
      <c r="P15" s="443" t="s">
        <v>561</v>
      </c>
      <c r="Q15" s="447" t="s">
        <v>561</v>
      </c>
      <c r="R15" s="447" t="s">
        <v>561</v>
      </c>
      <c r="S15" s="443" t="e">
        <f t="shared" si="6"/>
        <v>#VALUE!</v>
      </c>
      <c r="T15" s="588"/>
      <c r="U15" s="443"/>
      <c r="V15" s="447"/>
      <c r="W15" s="447"/>
      <c r="X15" s="443" t="e">
        <f t="shared" si="7"/>
        <v>#N/A</v>
      </c>
      <c r="Y15" s="588"/>
      <c r="Z15" s="443"/>
      <c r="AA15" s="447"/>
      <c r="AB15" s="447"/>
      <c r="AC15" s="443" t="e">
        <f t="shared" si="8"/>
        <v>#N/A</v>
      </c>
      <c r="AD15" s="588"/>
      <c r="AE15" s="443"/>
      <c r="AF15" s="447"/>
      <c r="AG15" s="447"/>
      <c r="AH15" s="443" t="e">
        <f t="shared" si="9"/>
        <v>#N/A</v>
      </c>
      <c r="AI15" s="588"/>
      <c r="AJ15" s="443"/>
      <c r="AK15" s="447"/>
      <c r="AL15" s="447"/>
      <c r="AM15" s="443" t="e">
        <f t="shared" si="10"/>
        <v>#N/A</v>
      </c>
      <c r="AN15" s="588"/>
      <c r="AO15" s="443"/>
      <c r="AP15" s="447"/>
      <c r="AQ15" s="447"/>
      <c r="AR15" s="443" t="e">
        <f t="shared" si="11"/>
        <v>#N/A</v>
      </c>
      <c r="AS15" s="588"/>
      <c r="AT15" s="443"/>
      <c r="AU15" s="447"/>
      <c r="AV15" s="447"/>
      <c r="AW15" s="443" t="e">
        <f t="shared" si="12"/>
        <v>#N/A</v>
      </c>
      <c r="AX15" s="588"/>
      <c r="AZ15" s="314" t="e">
        <f>RANK(AX15, $K$7:AX$21)</f>
        <v>#N/A</v>
      </c>
      <c r="BB15" s="311" t="e">
        <f t="shared" si="13"/>
        <v>#N/A</v>
      </c>
    </row>
    <row r="16" spans="1:54">
      <c r="A16" s="81"/>
      <c r="B16" s="599"/>
      <c r="C16" s="443">
        <v>10</v>
      </c>
      <c r="D16" s="435"/>
      <c r="E16" s="447" t="s">
        <v>561</v>
      </c>
      <c r="F16" s="447" t="s">
        <v>561</v>
      </c>
      <c r="G16" s="447" t="s">
        <v>561</v>
      </c>
      <c r="H16" s="633"/>
      <c r="I16" s="447"/>
      <c r="J16" s="447"/>
      <c r="K16" s="439"/>
      <c r="L16" s="564"/>
      <c r="M16" s="445" t="e">
        <f>RANK(K16, K$7:$K$21)</f>
        <v>#N/A</v>
      </c>
      <c r="N16" s="559"/>
      <c r="O16" s="559"/>
      <c r="P16" s="443" t="s">
        <v>561</v>
      </c>
      <c r="Q16" s="447" t="s">
        <v>561</v>
      </c>
      <c r="R16" s="447" t="s">
        <v>561</v>
      </c>
      <c r="S16" s="443" t="e">
        <f t="shared" si="6"/>
        <v>#VALUE!</v>
      </c>
      <c r="T16" s="588"/>
      <c r="U16" s="443"/>
      <c r="V16" s="447"/>
      <c r="W16" s="447"/>
      <c r="X16" s="443" t="e">
        <f t="shared" si="7"/>
        <v>#N/A</v>
      </c>
      <c r="Y16" s="588"/>
      <c r="Z16" s="443"/>
      <c r="AA16" s="447"/>
      <c r="AB16" s="447"/>
      <c r="AC16" s="443" t="e">
        <f t="shared" si="8"/>
        <v>#N/A</v>
      </c>
      <c r="AD16" s="588"/>
      <c r="AE16" s="443"/>
      <c r="AF16" s="447"/>
      <c r="AG16" s="447"/>
      <c r="AH16" s="443" t="e">
        <f t="shared" si="9"/>
        <v>#N/A</v>
      </c>
      <c r="AI16" s="588"/>
      <c r="AJ16" s="443"/>
      <c r="AK16" s="447"/>
      <c r="AL16" s="447"/>
      <c r="AM16" s="443" t="e">
        <f t="shared" si="10"/>
        <v>#N/A</v>
      </c>
      <c r="AN16" s="588"/>
      <c r="AO16" s="443"/>
      <c r="AP16" s="447"/>
      <c r="AQ16" s="447"/>
      <c r="AR16" s="443" t="e">
        <f t="shared" si="11"/>
        <v>#N/A</v>
      </c>
      <c r="AS16" s="588"/>
      <c r="AT16" s="443"/>
      <c r="AU16" s="447"/>
      <c r="AV16" s="447"/>
      <c r="AW16" s="443" t="e">
        <f t="shared" si="12"/>
        <v>#N/A</v>
      </c>
      <c r="AX16" s="588"/>
      <c r="AZ16" s="314" t="e">
        <f>RANK(AX16, $K$7:AX$21)</f>
        <v>#N/A</v>
      </c>
      <c r="BB16" s="311" t="e">
        <f t="shared" si="13"/>
        <v>#N/A</v>
      </c>
    </row>
    <row r="17" spans="2:54">
      <c r="B17" s="599"/>
      <c r="C17" s="443">
        <v>11</v>
      </c>
      <c r="D17" s="435"/>
      <c r="E17" s="447" t="s">
        <v>561</v>
      </c>
      <c r="F17" s="447" t="s">
        <v>561</v>
      </c>
      <c r="G17" s="447" t="s">
        <v>561</v>
      </c>
      <c r="H17" s="633"/>
      <c r="I17" s="443"/>
      <c r="J17" s="443"/>
      <c r="K17" s="443"/>
      <c r="L17" s="564"/>
      <c r="M17" s="445" t="e">
        <f>RANK(K17, K$7:$K$21)</f>
        <v>#N/A</v>
      </c>
      <c r="N17" s="559"/>
      <c r="O17" s="559"/>
      <c r="P17" s="443" t="s">
        <v>561</v>
      </c>
      <c r="Q17" s="447" t="s">
        <v>561</v>
      </c>
      <c r="R17" s="447" t="s">
        <v>561</v>
      </c>
      <c r="S17" s="443" t="e">
        <f t="shared" si="6"/>
        <v>#VALUE!</v>
      </c>
      <c r="T17" s="588"/>
      <c r="U17" s="443"/>
      <c r="V17" s="447"/>
      <c r="W17" s="447"/>
      <c r="X17" s="443" t="e">
        <f t="shared" si="7"/>
        <v>#N/A</v>
      </c>
      <c r="Y17" s="588"/>
      <c r="Z17" s="443"/>
      <c r="AA17" s="447"/>
      <c r="AB17" s="447"/>
      <c r="AC17" s="443" t="e">
        <f t="shared" si="8"/>
        <v>#N/A</v>
      </c>
      <c r="AD17" s="588"/>
      <c r="AE17" s="443"/>
      <c r="AF17" s="447"/>
      <c r="AG17" s="447"/>
      <c r="AH17" s="443" t="e">
        <f t="shared" si="9"/>
        <v>#N/A</v>
      </c>
      <c r="AI17" s="588"/>
      <c r="AJ17" s="443"/>
      <c r="AK17" s="447"/>
      <c r="AL17" s="447"/>
      <c r="AM17" s="443" t="e">
        <f t="shared" si="10"/>
        <v>#N/A</v>
      </c>
      <c r="AN17" s="588"/>
      <c r="AO17" s="443"/>
      <c r="AP17" s="447"/>
      <c r="AQ17" s="447"/>
      <c r="AR17" s="443" t="e">
        <f t="shared" si="11"/>
        <v>#N/A</v>
      </c>
      <c r="AS17" s="588"/>
      <c r="AT17" s="443"/>
      <c r="AU17" s="447"/>
      <c r="AV17" s="447"/>
      <c r="AW17" s="443" t="e">
        <f t="shared" si="12"/>
        <v>#N/A</v>
      </c>
      <c r="AX17" s="588"/>
      <c r="AZ17" s="314" t="e">
        <f>RANK(AX17, $K$7:AX$21)</f>
        <v>#N/A</v>
      </c>
      <c r="BB17" s="311" t="e">
        <f t="shared" si="13"/>
        <v>#N/A</v>
      </c>
    </row>
    <row r="18" spans="2:54">
      <c r="B18" s="599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633"/>
      <c r="I18" s="443"/>
      <c r="J18" s="443"/>
      <c r="K18" s="443"/>
      <c r="L18" s="564"/>
      <c r="M18" s="445" t="e">
        <f>RANK(K18, K$7:$K$21)</f>
        <v>#N/A</v>
      </c>
      <c r="N18" s="559"/>
      <c r="O18" s="559"/>
      <c r="P18" s="443" t="s">
        <v>561</v>
      </c>
      <c r="Q18" s="447" t="s">
        <v>561</v>
      </c>
      <c r="R18" s="447" t="s">
        <v>561</v>
      </c>
      <c r="S18" s="443" t="e">
        <f t="shared" si="6"/>
        <v>#VALUE!</v>
      </c>
      <c r="T18" s="588"/>
      <c r="U18" s="443"/>
      <c r="V18" s="447"/>
      <c r="W18" s="447"/>
      <c r="X18" s="443" t="e">
        <f t="shared" si="7"/>
        <v>#N/A</v>
      </c>
      <c r="Y18" s="588"/>
      <c r="Z18" s="443"/>
      <c r="AA18" s="447"/>
      <c r="AB18" s="447"/>
      <c r="AC18" s="443" t="e">
        <f t="shared" si="8"/>
        <v>#N/A</v>
      </c>
      <c r="AD18" s="588"/>
      <c r="AE18" s="443"/>
      <c r="AF18" s="447"/>
      <c r="AG18" s="447"/>
      <c r="AH18" s="443" t="e">
        <f t="shared" si="9"/>
        <v>#N/A</v>
      </c>
      <c r="AI18" s="588"/>
      <c r="AJ18" s="443"/>
      <c r="AK18" s="447"/>
      <c r="AL18" s="447"/>
      <c r="AM18" s="443" t="e">
        <f t="shared" si="10"/>
        <v>#N/A</v>
      </c>
      <c r="AN18" s="588"/>
      <c r="AO18" s="443"/>
      <c r="AP18" s="447"/>
      <c r="AQ18" s="447"/>
      <c r="AR18" s="443" t="e">
        <f t="shared" si="11"/>
        <v>#N/A</v>
      </c>
      <c r="AS18" s="588"/>
      <c r="AT18" s="443"/>
      <c r="AU18" s="447"/>
      <c r="AV18" s="447"/>
      <c r="AW18" s="443" t="e">
        <f t="shared" si="12"/>
        <v>#N/A</v>
      </c>
      <c r="AX18" s="588"/>
      <c r="AZ18" s="314" t="e">
        <f>RANK(AX18, $K$7:AX$21)</f>
        <v>#N/A</v>
      </c>
      <c r="BB18" s="311" t="e">
        <f t="shared" si="13"/>
        <v>#N/A</v>
      </c>
    </row>
    <row r="19" spans="2:54">
      <c r="B19" s="599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633"/>
      <c r="I19" s="443"/>
      <c r="J19" s="443"/>
      <c r="K19" s="443"/>
      <c r="L19" s="564"/>
      <c r="M19" s="445" t="e">
        <f>RANK(K19, K$7:$K$21)</f>
        <v>#N/A</v>
      </c>
      <c r="N19" s="559"/>
      <c r="O19" s="559"/>
      <c r="P19" s="443" t="s">
        <v>561</v>
      </c>
      <c r="Q19" s="447" t="s">
        <v>561</v>
      </c>
      <c r="R19" s="447" t="s">
        <v>561</v>
      </c>
      <c r="S19" s="443" t="e">
        <f t="shared" si="6"/>
        <v>#VALUE!</v>
      </c>
      <c r="T19" s="588"/>
      <c r="U19" s="443"/>
      <c r="V19" s="447"/>
      <c r="W19" s="447"/>
      <c r="X19" s="443" t="e">
        <f t="shared" si="7"/>
        <v>#N/A</v>
      </c>
      <c r="Y19" s="588"/>
      <c r="Z19" s="443"/>
      <c r="AA19" s="447"/>
      <c r="AB19" s="447"/>
      <c r="AC19" s="443" t="e">
        <f t="shared" si="8"/>
        <v>#N/A</v>
      </c>
      <c r="AD19" s="588"/>
      <c r="AE19" s="443"/>
      <c r="AF19" s="447"/>
      <c r="AG19" s="447"/>
      <c r="AH19" s="443" t="e">
        <f t="shared" si="9"/>
        <v>#N/A</v>
      </c>
      <c r="AI19" s="588"/>
      <c r="AJ19" s="443"/>
      <c r="AK19" s="447"/>
      <c r="AL19" s="447"/>
      <c r="AM19" s="443" t="e">
        <f t="shared" si="10"/>
        <v>#N/A</v>
      </c>
      <c r="AN19" s="588"/>
      <c r="AO19" s="443"/>
      <c r="AP19" s="447"/>
      <c r="AQ19" s="447"/>
      <c r="AR19" s="443" t="e">
        <f t="shared" si="11"/>
        <v>#N/A</v>
      </c>
      <c r="AS19" s="588"/>
      <c r="AT19" s="443"/>
      <c r="AU19" s="447"/>
      <c r="AV19" s="447"/>
      <c r="AW19" s="443" t="e">
        <f t="shared" si="12"/>
        <v>#N/A</v>
      </c>
      <c r="AX19" s="588"/>
      <c r="AZ19" s="314" t="e">
        <f>RANK(AX19, $K$7:AX$21)</f>
        <v>#N/A</v>
      </c>
      <c r="BB19" s="311" t="e">
        <f t="shared" si="13"/>
        <v>#N/A</v>
      </c>
    </row>
    <row r="20" spans="2:54">
      <c r="B20" s="599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633"/>
      <c r="I20" s="443"/>
      <c r="J20" s="443"/>
      <c r="K20" s="443"/>
      <c r="L20" s="564"/>
      <c r="M20" s="445" t="e">
        <f>RANK(K20, K$7:$K$21)</f>
        <v>#N/A</v>
      </c>
      <c r="N20" s="559"/>
      <c r="O20" s="559"/>
      <c r="P20" s="443" t="s">
        <v>561</v>
      </c>
      <c r="Q20" s="447" t="s">
        <v>561</v>
      </c>
      <c r="R20" s="447" t="s">
        <v>561</v>
      </c>
      <c r="S20" s="443" t="e">
        <f t="shared" si="6"/>
        <v>#VALUE!</v>
      </c>
      <c r="T20" s="588"/>
      <c r="U20" s="443"/>
      <c r="V20" s="447"/>
      <c r="W20" s="447"/>
      <c r="X20" s="443" t="e">
        <f t="shared" si="7"/>
        <v>#N/A</v>
      </c>
      <c r="Y20" s="588"/>
      <c r="Z20" s="443"/>
      <c r="AA20" s="447"/>
      <c r="AB20" s="447"/>
      <c r="AC20" s="443" t="e">
        <f t="shared" si="8"/>
        <v>#N/A</v>
      </c>
      <c r="AD20" s="588"/>
      <c r="AE20" s="443"/>
      <c r="AF20" s="447"/>
      <c r="AG20" s="447"/>
      <c r="AH20" s="443" t="e">
        <f t="shared" si="9"/>
        <v>#N/A</v>
      </c>
      <c r="AI20" s="588"/>
      <c r="AJ20" s="443"/>
      <c r="AK20" s="447"/>
      <c r="AL20" s="447"/>
      <c r="AM20" s="443" t="e">
        <f t="shared" si="10"/>
        <v>#N/A</v>
      </c>
      <c r="AN20" s="588"/>
      <c r="AO20" s="443"/>
      <c r="AP20" s="447"/>
      <c r="AQ20" s="447"/>
      <c r="AR20" s="443" t="e">
        <f t="shared" si="11"/>
        <v>#N/A</v>
      </c>
      <c r="AS20" s="588"/>
      <c r="AT20" s="443"/>
      <c r="AU20" s="447"/>
      <c r="AV20" s="447"/>
      <c r="AW20" s="443" t="e">
        <f t="shared" si="12"/>
        <v>#N/A</v>
      </c>
      <c r="AX20" s="588"/>
      <c r="AZ20" s="314" t="e">
        <f>RANK(AX20, $K$7:AX$21)</f>
        <v>#N/A</v>
      </c>
      <c r="BB20" s="311" t="e">
        <f t="shared" si="13"/>
        <v>#N/A</v>
      </c>
    </row>
    <row r="21" spans="2:54">
      <c r="B21" s="599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34"/>
      <c r="I21" s="443"/>
      <c r="J21" s="443"/>
      <c r="K21" s="443"/>
      <c r="L21" s="616"/>
      <c r="M21" s="445" t="e">
        <f>RANK(K21, K$7:$K$21)</f>
        <v>#N/A</v>
      </c>
      <c r="N21" s="559"/>
      <c r="O21" s="559"/>
      <c r="P21" s="443" t="s">
        <v>561</v>
      </c>
      <c r="Q21" s="447" t="s">
        <v>561</v>
      </c>
      <c r="R21" s="447" t="s">
        <v>561</v>
      </c>
      <c r="S21" s="443" t="e">
        <f t="shared" si="6"/>
        <v>#VALUE!</v>
      </c>
      <c r="T21" s="588"/>
      <c r="U21" s="443"/>
      <c r="V21" s="447"/>
      <c r="W21" s="447"/>
      <c r="X21" s="443" t="e">
        <f t="shared" si="7"/>
        <v>#N/A</v>
      </c>
      <c r="Y21" s="588"/>
      <c r="Z21" s="443"/>
      <c r="AA21" s="447"/>
      <c r="AB21" s="447"/>
      <c r="AC21" s="443" t="e">
        <f t="shared" si="8"/>
        <v>#N/A</v>
      </c>
      <c r="AD21" s="588"/>
      <c r="AE21" s="443"/>
      <c r="AF21" s="447"/>
      <c r="AG21" s="447"/>
      <c r="AH21" s="443" t="e">
        <f t="shared" si="9"/>
        <v>#N/A</v>
      </c>
      <c r="AI21" s="588"/>
      <c r="AJ21" s="443"/>
      <c r="AK21" s="447"/>
      <c r="AL21" s="447"/>
      <c r="AM21" s="443" t="e">
        <f t="shared" si="10"/>
        <v>#N/A</v>
      </c>
      <c r="AN21" s="588"/>
      <c r="AO21" s="443"/>
      <c r="AP21" s="447"/>
      <c r="AQ21" s="447"/>
      <c r="AR21" s="443" t="e">
        <f t="shared" si="11"/>
        <v>#N/A</v>
      </c>
      <c r="AS21" s="588"/>
      <c r="AT21" s="443"/>
      <c r="AU21" s="447"/>
      <c r="AV21" s="447"/>
      <c r="AW21" s="443" t="e">
        <f t="shared" si="12"/>
        <v>#N/A</v>
      </c>
      <c r="AX21" s="588"/>
      <c r="AZ21" s="313" t="e">
        <f>RANK(AX21, $K$7:AX$21)</f>
        <v>#N/A</v>
      </c>
      <c r="BB21" s="311" t="e">
        <f t="shared" si="13"/>
        <v>#N/A</v>
      </c>
    </row>
    <row r="22" spans="2:54" ht="15.75">
      <c r="B22" s="592" t="s">
        <v>731</v>
      </c>
      <c r="C22" s="593"/>
      <c r="D22" s="593"/>
      <c r="E22" s="593"/>
      <c r="F22" s="593"/>
      <c r="G22" s="593"/>
      <c r="H22" s="593"/>
      <c r="I22" s="203"/>
      <c r="J22" s="203"/>
      <c r="K22" s="203"/>
      <c r="L22" s="203"/>
      <c r="M22" s="204"/>
      <c r="N22" s="565" t="s">
        <v>732</v>
      </c>
      <c r="O22" s="565" t="s">
        <v>733</v>
      </c>
      <c r="P22" s="571">
        <f>AT2+1</f>
        <v>46393</v>
      </c>
      <c r="Q22" s="572"/>
      <c r="R22" s="572"/>
      <c r="S22" s="572"/>
      <c r="T22" s="572"/>
      <c r="U22" s="571">
        <f>P22+1</f>
        <v>46394</v>
      </c>
      <c r="V22" s="572"/>
      <c r="W22" s="572"/>
      <c r="X22" s="572"/>
      <c r="Y22" s="572"/>
      <c r="Z22" s="571">
        <f>U22+1</f>
        <v>46395</v>
      </c>
      <c r="AA22" s="572"/>
      <c r="AB22" s="572"/>
      <c r="AC22" s="572"/>
      <c r="AD22" s="572"/>
      <c r="AE22" s="571">
        <f>Z22+1</f>
        <v>46396</v>
      </c>
      <c r="AF22" s="572"/>
      <c r="AG22" s="572"/>
      <c r="AH22" s="572"/>
      <c r="AI22" s="572"/>
      <c r="AJ22" s="571">
        <f>AE22+1</f>
        <v>46397</v>
      </c>
      <c r="AK22" s="572"/>
      <c r="AL22" s="572"/>
      <c r="AM22" s="572"/>
      <c r="AN22" s="572"/>
      <c r="AO22" s="571">
        <f>AJ22+1</f>
        <v>46398</v>
      </c>
      <c r="AP22" s="572"/>
      <c r="AQ22" s="572"/>
      <c r="AR22" s="572"/>
      <c r="AS22" s="572"/>
      <c r="AT22" s="571">
        <f>AO22+1</f>
        <v>46399</v>
      </c>
      <c r="AU22" s="572"/>
      <c r="AV22" s="572"/>
      <c r="AW22" s="572"/>
      <c r="AX22" s="572"/>
    </row>
    <row r="23" spans="2:54" ht="15.75">
      <c r="B23" s="579"/>
      <c r="C23" s="579"/>
      <c r="D23" s="579"/>
      <c r="E23" s="579"/>
      <c r="F23" s="579"/>
      <c r="G23" s="579"/>
      <c r="H23" s="579"/>
      <c r="I23" s="205"/>
      <c r="J23" s="205"/>
      <c r="K23" s="205"/>
      <c r="L23" s="205"/>
      <c r="M23" s="206"/>
      <c r="N23" s="567"/>
      <c r="O23" s="567"/>
      <c r="P23" s="571" t="s">
        <v>734</v>
      </c>
      <c r="Q23" s="572"/>
      <c r="R23" s="572"/>
      <c r="S23" s="572"/>
      <c r="T23" s="572"/>
      <c r="U23" s="571" t="s">
        <v>735</v>
      </c>
      <c r="V23" s="572"/>
      <c r="W23" s="572"/>
      <c r="X23" s="572"/>
      <c r="Y23" s="572"/>
      <c r="Z23" s="571" t="s">
        <v>736</v>
      </c>
      <c r="AA23" s="572"/>
      <c r="AB23" s="572"/>
      <c r="AC23" s="572"/>
      <c r="AD23" s="572"/>
      <c r="AE23" s="571" t="s">
        <v>737</v>
      </c>
      <c r="AF23" s="572"/>
      <c r="AG23" s="572"/>
      <c r="AH23" s="572"/>
      <c r="AI23" s="572"/>
      <c r="AJ23" s="571" t="s">
        <v>738</v>
      </c>
      <c r="AK23" s="572"/>
      <c r="AL23" s="572"/>
      <c r="AM23" s="572"/>
      <c r="AN23" s="572"/>
      <c r="AO23" s="571" t="s">
        <v>739</v>
      </c>
      <c r="AP23" s="572"/>
      <c r="AQ23" s="572"/>
      <c r="AR23" s="572"/>
      <c r="AS23" s="572"/>
      <c r="AT23" s="571" t="s">
        <v>740</v>
      </c>
      <c r="AU23" s="572"/>
      <c r="AV23" s="572"/>
      <c r="AW23" s="572"/>
      <c r="AX23" s="572"/>
    </row>
    <row r="24" spans="2:54">
      <c r="B24" s="559" t="s">
        <v>741</v>
      </c>
      <c r="C24" s="559" t="s">
        <v>742</v>
      </c>
      <c r="D24" s="559"/>
      <c r="E24" s="559" t="s">
        <v>743</v>
      </c>
      <c r="F24" s="559"/>
      <c r="G24" s="559"/>
      <c r="H24" s="560" t="s">
        <v>416</v>
      </c>
      <c r="I24" s="543" t="s">
        <v>797</v>
      </c>
      <c r="J24" s="543"/>
      <c r="K24" s="543"/>
      <c r="L24" s="544" t="s">
        <v>760</v>
      </c>
      <c r="M24" s="550" t="s">
        <v>417</v>
      </c>
      <c r="N24" s="559"/>
      <c r="O24" s="559" t="s">
        <v>798</v>
      </c>
      <c r="P24" s="556" t="s">
        <v>758</v>
      </c>
      <c r="Q24" s="557"/>
      <c r="R24" s="557"/>
      <c r="S24" s="558"/>
      <c r="T24" s="559" t="s">
        <v>744</v>
      </c>
      <c r="U24" s="556" t="s">
        <v>748</v>
      </c>
      <c r="V24" s="557"/>
      <c r="W24" s="557"/>
      <c r="X24" s="558"/>
      <c r="Y24" s="559" t="s">
        <v>416</v>
      </c>
      <c r="Z24" s="556" t="s">
        <v>799</v>
      </c>
      <c r="AA24" s="557"/>
      <c r="AB24" s="557"/>
      <c r="AC24" s="558"/>
      <c r="AD24" s="559" t="s">
        <v>760</v>
      </c>
      <c r="AE24" s="556" t="s">
        <v>418</v>
      </c>
      <c r="AF24" s="557"/>
      <c r="AG24" s="557"/>
      <c r="AH24" s="558"/>
      <c r="AI24" s="559" t="s">
        <v>800</v>
      </c>
      <c r="AJ24" s="556" t="s">
        <v>758</v>
      </c>
      <c r="AK24" s="557"/>
      <c r="AL24" s="557"/>
      <c r="AM24" s="558"/>
      <c r="AN24" s="559" t="s">
        <v>744</v>
      </c>
      <c r="AO24" s="556" t="s">
        <v>748</v>
      </c>
      <c r="AP24" s="557"/>
      <c r="AQ24" s="557"/>
      <c r="AR24" s="558"/>
      <c r="AS24" s="559" t="s">
        <v>416</v>
      </c>
      <c r="AT24" s="556" t="s">
        <v>801</v>
      </c>
      <c r="AU24" s="557"/>
      <c r="AV24" s="557"/>
      <c r="AW24" s="558"/>
      <c r="AX24" s="559" t="s">
        <v>760</v>
      </c>
    </row>
    <row r="25" spans="2:54">
      <c r="B25" s="559"/>
      <c r="C25" s="559"/>
      <c r="D25" s="559"/>
      <c r="E25" s="559" t="s">
        <v>422</v>
      </c>
      <c r="F25" s="559"/>
      <c r="G25" s="559"/>
      <c r="H25" s="561"/>
      <c r="I25" s="543" t="s">
        <v>802</v>
      </c>
      <c r="J25" s="543"/>
      <c r="K25" s="543"/>
      <c r="L25" s="545"/>
      <c r="M25" s="551"/>
      <c r="N25" s="559"/>
      <c r="O25" s="559"/>
      <c r="P25" s="556" t="s">
        <v>778</v>
      </c>
      <c r="Q25" s="557"/>
      <c r="R25" s="557"/>
      <c r="S25" s="558"/>
      <c r="T25" s="559"/>
      <c r="U25" s="556" t="s">
        <v>750</v>
      </c>
      <c r="V25" s="557"/>
      <c r="W25" s="557"/>
      <c r="X25" s="558"/>
      <c r="Y25" s="559"/>
      <c r="Z25" s="556" t="s">
        <v>803</v>
      </c>
      <c r="AA25" s="557"/>
      <c r="AB25" s="557"/>
      <c r="AC25" s="558"/>
      <c r="AD25" s="559"/>
      <c r="AE25" s="556" t="s">
        <v>803</v>
      </c>
      <c r="AF25" s="557"/>
      <c r="AG25" s="557"/>
      <c r="AH25" s="558"/>
      <c r="AI25" s="559"/>
      <c r="AJ25" s="556" t="s">
        <v>803</v>
      </c>
      <c r="AK25" s="557"/>
      <c r="AL25" s="557"/>
      <c r="AM25" s="558"/>
      <c r="AN25" s="559"/>
      <c r="AO25" s="556" t="s">
        <v>803</v>
      </c>
      <c r="AP25" s="557"/>
      <c r="AQ25" s="557"/>
      <c r="AR25" s="558"/>
      <c r="AS25" s="559"/>
      <c r="AT25" s="556" t="s">
        <v>803</v>
      </c>
      <c r="AU25" s="557"/>
      <c r="AV25" s="557"/>
      <c r="AW25" s="558"/>
      <c r="AX25" s="559"/>
    </row>
    <row r="26" spans="2:54">
      <c r="B26" s="559"/>
      <c r="C26" s="559"/>
      <c r="D26" s="559"/>
      <c r="E26" s="440" t="s">
        <v>804</v>
      </c>
      <c r="F26" s="440" t="s">
        <v>805</v>
      </c>
      <c r="G26" s="440" t="s">
        <v>806</v>
      </c>
      <c r="H26" s="562"/>
      <c r="I26" s="444" t="s">
        <v>804</v>
      </c>
      <c r="J26" s="444" t="s">
        <v>805</v>
      </c>
      <c r="K26" s="444" t="s">
        <v>806</v>
      </c>
      <c r="L26" s="546"/>
      <c r="M26" s="552"/>
      <c r="N26" s="559"/>
      <c r="O26" s="559"/>
      <c r="P26" s="440" t="s">
        <v>804</v>
      </c>
      <c r="Q26" s="440" t="s">
        <v>805</v>
      </c>
      <c r="R26" s="440" t="s">
        <v>806</v>
      </c>
      <c r="S26" s="440" t="s">
        <v>807</v>
      </c>
      <c r="T26" s="559"/>
      <c r="U26" s="440" t="s">
        <v>804</v>
      </c>
      <c r="V26" s="440" t="s">
        <v>805</v>
      </c>
      <c r="W26" s="440" t="s">
        <v>806</v>
      </c>
      <c r="X26" s="440" t="s">
        <v>807</v>
      </c>
      <c r="Y26" s="559"/>
      <c r="Z26" s="440" t="s">
        <v>804</v>
      </c>
      <c r="AA26" s="440" t="s">
        <v>805</v>
      </c>
      <c r="AB26" s="440" t="s">
        <v>806</v>
      </c>
      <c r="AC26" s="440" t="s">
        <v>807</v>
      </c>
      <c r="AD26" s="559"/>
      <c r="AE26" s="440" t="s">
        <v>804</v>
      </c>
      <c r="AF26" s="440" t="s">
        <v>805</v>
      </c>
      <c r="AG26" s="440" t="s">
        <v>806</v>
      </c>
      <c r="AH26" s="440" t="s">
        <v>807</v>
      </c>
      <c r="AI26" s="559"/>
      <c r="AJ26" s="440" t="s">
        <v>804</v>
      </c>
      <c r="AK26" s="440" t="s">
        <v>805</v>
      </c>
      <c r="AL26" s="440" t="s">
        <v>806</v>
      </c>
      <c r="AM26" s="440" t="s">
        <v>807</v>
      </c>
      <c r="AN26" s="559"/>
      <c r="AO26" s="440" t="s">
        <v>804</v>
      </c>
      <c r="AP26" s="440" t="s">
        <v>805</v>
      </c>
      <c r="AQ26" s="440" t="s">
        <v>806</v>
      </c>
      <c r="AR26" s="440" t="s">
        <v>807</v>
      </c>
      <c r="AS26" s="559"/>
      <c r="AT26" s="440" t="s">
        <v>804</v>
      </c>
      <c r="AU26" s="440" t="s">
        <v>805</v>
      </c>
      <c r="AV26" s="440" t="s">
        <v>806</v>
      </c>
      <c r="AW26" s="440" t="s">
        <v>807</v>
      </c>
      <c r="AX26" s="559"/>
    </row>
    <row r="27" spans="2:54">
      <c r="B27" s="559" t="s">
        <v>808</v>
      </c>
      <c r="C27" s="436">
        <v>1</v>
      </c>
      <c r="D27" s="226" t="s">
        <v>391</v>
      </c>
      <c r="E27" s="182">
        <v>20</v>
      </c>
      <c r="F27" s="436">
        <v>2400</v>
      </c>
      <c r="G27" s="437">
        <v>120</v>
      </c>
      <c r="H27" s="608">
        <f>AVERAGE(G27:G41)</f>
        <v>144.76</v>
      </c>
      <c r="I27" s="446">
        <f t="shared" ref="I27:K31" si="14">AVERAGE(P27,U27,Z27,AE27,AJ27,AO27,AT27)</f>
        <v>19.857142857142858</v>
      </c>
      <c r="J27" s="446">
        <f t="shared" si="14"/>
        <v>2134.4567798674166</v>
      </c>
      <c r="K27" s="438">
        <f t="shared" si="14"/>
        <v>107.52974261606391</v>
      </c>
      <c r="L27" s="540">
        <f>IFERROR(AVERAGE(K27:K41),"-")</f>
        <v>122.74185149722962</v>
      </c>
      <c r="M27" s="445">
        <f>RANK(K27, K$27:$K$41)</f>
        <v>4</v>
      </c>
      <c r="N27" s="559"/>
      <c r="O27" s="559"/>
      <c r="P27" s="443">
        <v>19</v>
      </c>
      <c r="Q27" s="447">
        <v>2146.3636363636365</v>
      </c>
      <c r="R27" s="447">
        <v>112.96650717703351</v>
      </c>
      <c r="S27" s="436">
        <f t="shared" ref="S27:S41" si="15">RANK(R27, R$27:R$41)</f>
        <v>4</v>
      </c>
      <c r="T27" s="608">
        <f>AVERAGE(R27:R41)</f>
        <v>124.16342937611425</v>
      </c>
      <c r="U27" s="443">
        <v>20</v>
      </c>
      <c r="V27" s="447">
        <v>2172.5000000000005</v>
      </c>
      <c r="W27" s="447">
        <v>108.62500000000003</v>
      </c>
      <c r="X27" s="436">
        <f t="shared" ref="X27:X41" si="16">RANK(W27, W$27:W$41)</f>
        <v>4</v>
      </c>
      <c r="Y27" s="608">
        <f t="shared" ref="Y27" si="17">AVERAGE(W27:W41)</f>
        <v>122.74105842229145</v>
      </c>
      <c r="Z27" s="443">
        <v>20</v>
      </c>
      <c r="AA27" s="447">
        <v>2090.0000000000009</v>
      </c>
      <c r="AB27" s="447">
        <v>104.50000000000004</v>
      </c>
      <c r="AC27" s="436">
        <f t="shared" ref="AC27:AC41" si="18">RANK(AB27, AB$27:AB$41)</f>
        <v>4</v>
      </c>
      <c r="AD27" s="608">
        <f t="shared" ref="AD27" si="19">AVERAGE(AB27:AB41)</f>
        <v>121.9225555410635</v>
      </c>
      <c r="AE27" s="443">
        <v>20</v>
      </c>
      <c r="AF27" s="447">
        <v>2147.027027027028</v>
      </c>
      <c r="AG27" s="447">
        <v>107.3513513513514</v>
      </c>
      <c r="AH27" s="436">
        <f t="shared" ref="AH27:AH41" si="20">RANK(AG27, AG$27:AG$41)</f>
        <v>4</v>
      </c>
      <c r="AI27" s="608">
        <f t="shared" ref="AI27" si="21">AVERAGE(AG27:AG41)</f>
        <v>122.89660292795796</v>
      </c>
      <c r="AJ27" s="443">
        <v>20</v>
      </c>
      <c r="AK27" s="447">
        <v>2129.538461538461</v>
      </c>
      <c r="AL27" s="447">
        <v>106.47692307692304</v>
      </c>
      <c r="AM27" s="436">
        <f t="shared" ref="AM27:AM41" si="22">RANK(AL27, AL$27:AL$41)</f>
        <v>4</v>
      </c>
      <c r="AN27" s="608">
        <f t="shared" ref="AN27" si="23">AVERAGE(AL27:AL41)</f>
        <v>122.1900326538525</v>
      </c>
      <c r="AO27" s="443">
        <v>20</v>
      </c>
      <c r="AP27" s="447">
        <v>2148.9655172413786</v>
      </c>
      <c r="AQ27" s="447">
        <v>107.44827586206893</v>
      </c>
      <c r="AR27" s="436">
        <f t="shared" ref="AR27:AR41" si="24">RANK(AQ27, AQ$27:AQ$41)</f>
        <v>4</v>
      </c>
      <c r="AS27" s="608">
        <f t="shared" ref="AS27" si="25">AVERAGE(AQ27:AQ41)</f>
        <v>122.35309328416604</v>
      </c>
      <c r="AT27" s="182">
        <v>20</v>
      </c>
      <c r="AU27" s="437">
        <v>2106.8028169014083</v>
      </c>
      <c r="AV27" s="437">
        <v>105.34014084507041</v>
      </c>
      <c r="AW27" s="436">
        <f t="shared" ref="AW27:AW41" si="26">RANK(AV27, AV$27:AV$41)</f>
        <v>4</v>
      </c>
      <c r="AX27" s="605">
        <f t="shared" ref="AX27" si="27">AVERAGE(AV27:AV41)</f>
        <v>122.92618827516173</v>
      </c>
    </row>
    <row r="28" spans="2:54">
      <c r="B28" s="572"/>
      <c r="C28" s="436">
        <v>2</v>
      </c>
      <c r="D28" s="226" t="s">
        <v>392</v>
      </c>
      <c r="E28" s="182">
        <v>18</v>
      </c>
      <c r="F28" s="436">
        <v>3000</v>
      </c>
      <c r="G28" s="437">
        <v>166.7</v>
      </c>
      <c r="H28" s="609"/>
      <c r="I28" s="446">
        <f t="shared" si="14"/>
        <v>19</v>
      </c>
      <c r="J28" s="446">
        <f t="shared" si="14"/>
        <v>2621.0503708161245</v>
      </c>
      <c r="K28" s="438">
        <f t="shared" si="14"/>
        <v>137.95001951663815</v>
      </c>
      <c r="L28" s="541"/>
      <c r="M28" s="445">
        <f>RANK(K28, K$27:$K$41)</f>
        <v>2</v>
      </c>
      <c r="N28" s="559"/>
      <c r="O28" s="559"/>
      <c r="P28" s="443">
        <v>19</v>
      </c>
      <c r="Q28" s="447">
        <v>2597.7777777777792</v>
      </c>
      <c r="R28" s="447">
        <v>136.72514619883049</v>
      </c>
      <c r="S28" s="436">
        <f t="shared" si="15"/>
        <v>2</v>
      </c>
      <c r="T28" s="609"/>
      <c r="U28" s="443">
        <v>19</v>
      </c>
      <c r="V28" s="447">
        <v>2673.1034482758641</v>
      </c>
      <c r="W28" s="447">
        <v>140.68965517241389</v>
      </c>
      <c r="X28" s="436">
        <f t="shared" si="16"/>
        <v>1</v>
      </c>
      <c r="Y28" s="609"/>
      <c r="Z28" s="443">
        <v>19</v>
      </c>
      <c r="AA28" s="447">
        <v>2554.5454545454572</v>
      </c>
      <c r="AB28" s="447">
        <v>134.44976076555039</v>
      </c>
      <c r="AC28" s="436">
        <f t="shared" si="18"/>
        <v>2</v>
      </c>
      <c r="AD28" s="609"/>
      <c r="AE28" s="443">
        <v>19</v>
      </c>
      <c r="AF28" s="447">
        <v>2667.6923076923094</v>
      </c>
      <c r="AG28" s="447">
        <v>140.40485829959525</v>
      </c>
      <c r="AH28" s="436">
        <f t="shared" si="20"/>
        <v>1</v>
      </c>
      <c r="AI28" s="609"/>
      <c r="AJ28" s="443">
        <v>19</v>
      </c>
      <c r="AK28" s="447">
        <v>2622.2222222222235</v>
      </c>
      <c r="AL28" s="447">
        <v>138.01169590643281</v>
      </c>
      <c r="AM28" s="436">
        <f t="shared" si="22"/>
        <v>2</v>
      </c>
      <c r="AN28" s="609"/>
      <c r="AO28" s="443">
        <v>19</v>
      </c>
      <c r="AP28" s="447">
        <v>2636.1290322580667</v>
      </c>
      <c r="AQ28" s="447">
        <v>138.74363327674035</v>
      </c>
      <c r="AR28" s="436">
        <f t="shared" si="24"/>
        <v>1</v>
      </c>
      <c r="AS28" s="609"/>
      <c r="AT28" s="436">
        <v>19</v>
      </c>
      <c r="AU28" s="437">
        <v>2595.8823529411729</v>
      </c>
      <c r="AV28" s="437">
        <v>136.62538699690384</v>
      </c>
      <c r="AW28" s="436">
        <f t="shared" si="26"/>
        <v>2</v>
      </c>
      <c r="AX28" s="605"/>
    </row>
    <row r="29" spans="2:54">
      <c r="B29" s="572"/>
      <c r="C29" s="436">
        <v>3</v>
      </c>
      <c r="D29" s="226" t="s">
        <v>393</v>
      </c>
      <c r="E29" s="182">
        <v>18</v>
      </c>
      <c r="F29" s="436">
        <v>3000</v>
      </c>
      <c r="G29" s="437">
        <v>166.7</v>
      </c>
      <c r="H29" s="609"/>
      <c r="I29" s="446">
        <f t="shared" si="14"/>
        <v>19</v>
      </c>
      <c r="J29" s="446">
        <f t="shared" si="14"/>
        <v>2471.3636205715179</v>
      </c>
      <c r="K29" s="438">
        <f t="shared" si="14"/>
        <v>130.0717695037641</v>
      </c>
      <c r="L29" s="541"/>
      <c r="M29" s="445">
        <f>RANK(K29, K$27:$K$41)</f>
        <v>3</v>
      </c>
      <c r="N29" s="559"/>
      <c r="O29" s="559"/>
      <c r="P29" s="443">
        <v>19</v>
      </c>
      <c r="Q29" s="447">
        <v>2497.8260869565215</v>
      </c>
      <c r="R29" s="447">
        <v>131.46453089244849</v>
      </c>
      <c r="S29" s="436">
        <f t="shared" si="15"/>
        <v>3</v>
      </c>
      <c r="T29" s="609"/>
      <c r="U29" s="443">
        <v>19</v>
      </c>
      <c r="V29" s="447">
        <v>2413.2000000000007</v>
      </c>
      <c r="W29" s="447">
        <v>127.01052631578951</v>
      </c>
      <c r="X29" s="436">
        <f t="shared" si="16"/>
        <v>3</v>
      </c>
      <c r="Y29" s="609"/>
      <c r="Z29" s="443">
        <v>19</v>
      </c>
      <c r="AA29" s="447">
        <v>2514.1176470588248</v>
      </c>
      <c r="AB29" s="447">
        <v>132.32198142414867</v>
      </c>
      <c r="AC29" s="436">
        <f t="shared" si="18"/>
        <v>3</v>
      </c>
      <c r="AD29" s="609"/>
      <c r="AE29" s="443">
        <v>19</v>
      </c>
      <c r="AF29" s="447">
        <v>2500.8510638297876</v>
      </c>
      <c r="AG29" s="447">
        <v>131.62374020156776</v>
      </c>
      <c r="AH29" s="436">
        <f t="shared" si="20"/>
        <v>3</v>
      </c>
      <c r="AI29" s="609"/>
      <c r="AJ29" s="443">
        <v>19</v>
      </c>
      <c r="AK29" s="447">
        <v>2410.4347826086955</v>
      </c>
      <c r="AL29" s="447">
        <v>126.86498855835239</v>
      </c>
      <c r="AM29" s="436">
        <f t="shared" si="22"/>
        <v>3</v>
      </c>
      <c r="AN29" s="609"/>
      <c r="AO29" s="443">
        <v>19</v>
      </c>
      <c r="AP29" s="447">
        <v>2452.7586206896535</v>
      </c>
      <c r="AQ29" s="447">
        <v>129.09255898366598</v>
      </c>
      <c r="AR29" s="436">
        <f t="shared" si="24"/>
        <v>3</v>
      </c>
      <c r="AS29" s="609"/>
      <c r="AT29" s="436">
        <v>19</v>
      </c>
      <c r="AU29" s="437">
        <v>2510.3571428571408</v>
      </c>
      <c r="AV29" s="437">
        <v>132.12406015037584</v>
      </c>
      <c r="AW29" s="436">
        <f t="shared" si="26"/>
        <v>3</v>
      </c>
      <c r="AX29" s="605"/>
    </row>
    <row r="30" spans="2:54">
      <c r="B30" s="572"/>
      <c r="C30" s="436">
        <v>4</v>
      </c>
      <c r="D30" s="226" t="s">
        <v>394</v>
      </c>
      <c r="E30" s="182">
        <v>19</v>
      </c>
      <c r="F30" s="436">
        <v>3000</v>
      </c>
      <c r="G30" s="437">
        <v>157.9</v>
      </c>
      <c r="H30" s="609"/>
      <c r="I30" s="446">
        <f t="shared" si="14"/>
        <v>19</v>
      </c>
      <c r="J30" s="446">
        <f t="shared" si="14"/>
        <v>2653.6837451332285</v>
      </c>
      <c r="K30" s="438">
        <f t="shared" si="14"/>
        <v>139.6675655333278</v>
      </c>
      <c r="L30" s="541"/>
      <c r="M30" s="445">
        <f>RANK(K30, K$27:$K$41)</f>
        <v>1</v>
      </c>
      <c r="N30" s="559"/>
      <c r="O30" s="559"/>
      <c r="P30" s="443">
        <v>19</v>
      </c>
      <c r="Q30" s="447">
        <v>2691.0447761194027</v>
      </c>
      <c r="R30" s="447">
        <v>141.63393558523171</v>
      </c>
      <c r="S30" s="436">
        <f t="shared" si="15"/>
        <v>1</v>
      </c>
      <c r="T30" s="609"/>
      <c r="U30" s="443">
        <v>19</v>
      </c>
      <c r="V30" s="447">
        <v>2646.7605633802823</v>
      </c>
      <c r="W30" s="447">
        <v>139.30318754633063</v>
      </c>
      <c r="X30" s="436">
        <f t="shared" si="16"/>
        <v>2</v>
      </c>
      <c r="Y30" s="609"/>
      <c r="Z30" s="443">
        <v>19</v>
      </c>
      <c r="AA30" s="447">
        <v>2668.3333333333339</v>
      </c>
      <c r="AB30" s="447">
        <v>140.43859649122811</v>
      </c>
      <c r="AC30" s="436">
        <f t="shared" si="18"/>
        <v>1</v>
      </c>
      <c r="AD30" s="609"/>
      <c r="AE30" s="443">
        <v>19</v>
      </c>
      <c r="AF30" s="447">
        <v>2594.5945945945955</v>
      </c>
      <c r="AG30" s="447">
        <v>136.55761024182081</v>
      </c>
      <c r="AH30" s="436">
        <f t="shared" si="20"/>
        <v>2</v>
      </c>
      <c r="AI30" s="609"/>
      <c r="AJ30" s="443">
        <v>19</v>
      </c>
      <c r="AK30" s="447">
        <v>2674.6874999999995</v>
      </c>
      <c r="AL30" s="447">
        <v>140.77302631578945</v>
      </c>
      <c r="AM30" s="436">
        <f t="shared" si="22"/>
        <v>1</v>
      </c>
      <c r="AN30" s="609"/>
      <c r="AO30" s="443">
        <v>19</v>
      </c>
      <c r="AP30" s="447">
        <v>2624.6511627906975</v>
      </c>
      <c r="AQ30" s="447">
        <v>138.13953488372093</v>
      </c>
      <c r="AR30" s="436">
        <f t="shared" si="24"/>
        <v>2</v>
      </c>
      <c r="AS30" s="609"/>
      <c r="AT30" s="436">
        <v>19</v>
      </c>
      <c r="AU30" s="437">
        <v>2675.7142857142849</v>
      </c>
      <c r="AV30" s="437">
        <v>140.82706766917289</v>
      </c>
      <c r="AW30" s="436">
        <f t="shared" si="26"/>
        <v>1</v>
      </c>
      <c r="AX30" s="605"/>
    </row>
    <row r="31" spans="2:54">
      <c r="B31" s="572"/>
      <c r="C31" s="436">
        <v>5</v>
      </c>
      <c r="D31" s="226" t="s">
        <v>565</v>
      </c>
      <c r="E31" s="182">
        <v>20</v>
      </c>
      <c r="F31" s="436">
        <v>2250</v>
      </c>
      <c r="G31" s="437">
        <v>112.5</v>
      </c>
      <c r="H31" s="609"/>
      <c r="I31" s="446">
        <f t="shared" si="14"/>
        <v>20</v>
      </c>
      <c r="J31" s="446">
        <f t="shared" si="14"/>
        <v>1969.8032063270841</v>
      </c>
      <c r="K31" s="438">
        <f t="shared" si="14"/>
        <v>98.490160316354192</v>
      </c>
      <c r="L31" s="541"/>
      <c r="M31" s="445">
        <f>RANK(K31, K$27:$K$41)</f>
        <v>5</v>
      </c>
      <c r="N31" s="559"/>
      <c r="O31" s="559"/>
      <c r="P31" s="443">
        <v>20</v>
      </c>
      <c r="Q31" s="447">
        <v>1960.5405405405415</v>
      </c>
      <c r="R31" s="447">
        <v>98.027027027027074</v>
      </c>
      <c r="S31" s="436">
        <f t="shared" si="15"/>
        <v>5</v>
      </c>
      <c r="T31" s="609"/>
      <c r="U31" s="443">
        <v>20</v>
      </c>
      <c r="V31" s="447">
        <v>1961.5384615384623</v>
      </c>
      <c r="W31" s="447">
        <v>98.076923076923123</v>
      </c>
      <c r="X31" s="436">
        <f t="shared" si="16"/>
        <v>5</v>
      </c>
      <c r="Y31" s="609"/>
      <c r="Z31" s="443">
        <v>20</v>
      </c>
      <c r="AA31" s="447">
        <v>1958.0487804878044</v>
      </c>
      <c r="AB31" s="447">
        <v>97.902439024390219</v>
      </c>
      <c r="AC31" s="436">
        <f t="shared" si="18"/>
        <v>5</v>
      </c>
      <c r="AD31" s="609"/>
      <c r="AE31" s="443">
        <v>20</v>
      </c>
      <c r="AF31" s="447">
        <v>1970.909090909091</v>
      </c>
      <c r="AG31" s="447">
        <v>98.545454545454547</v>
      </c>
      <c r="AH31" s="436">
        <f t="shared" si="20"/>
        <v>5</v>
      </c>
      <c r="AI31" s="609"/>
      <c r="AJ31" s="443">
        <v>20</v>
      </c>
      <c r="AK31" s="447">
        <v>1976.4705882352939</v>
      </c>
      <c r="AL31" s="447">
        <v>98.823529411764696</v>
      </c>
      <c r="AM31" s="436">
        <f t="shared" si="22"/>
        <v>5</v>
      </c>
      <c r="AN31" s="609"/>
      <c r="AO31" s="443">
        <v>20</v>
      </c>
      <c r="AP31" s="447">
        <v>1966.8292682926822</v>
      </c>
      <c r="AQ31" s="447">
        <v>98.341463414634106</v>
      </c>
      <c r="AR31" s="436">
        <f t="shared" si="24"/>
        <v>5</v>
      </c>
      <c r="AS31" s="609"/>
      <c r="AT31" s="436">
        <v>20</v>
      </c>
      <c r="AU31" s="437">
        <v>1994.2857142857135</v>
      </c>
      <c r="AV31" s="437">
        <v>99.71428571428568</v>
      </c>
      <c r="AW31" s="436">
        <f t="shared" si="26"/>
        <v>5</v>
      </c>
      <c r="AX31" s="605"/>
    </row>
    <row r="32" spans="2:54">
      <c r="B32" s="572"/>
      <c r="C32" s="436">
        <v>6</v>
      </c>
      <c r="D32" s="226"/>
      <c r="E32" s="182"/>
      <c r="F32" s="436"/>
      <c r="G32" s="437"/>
      <c r="H32" s="609"/>
      <c r="I32" s="446"/>
      <c r="J32" s="446"/>
      <c r="K32" s="438"/>
      <c r="L32" s="541"/>
      <c r="M32" s="445" t="e">
        <f>RANK(K32, K$27:$K$41)</f>
        <v>#N/A</v>
      </c>
      <c r="N32" s="559"/>
      <c r="O32" s="559"/>
      <c r="P32" s="443"/>
      <c r="Q32" s="447"/>
      <c r="R32" s="447"/>
      <c r="S32" s="436" t="e">
        <f t="shared" si="15"/>
        <v>#N/A</v>
      </c>
      <c r="T32" s="609"/>
      <c r="U32" s="443"/>
      <c r="V32" s="447"/>
      <c r="W32" s="447"/>
      <c r="X32" s="436" t="e">
        <f t="shared" si="16"/>
        <v>#N/A</v>
      </c>
      <c r="Y32" s="609"/>
      <c r="Z32" s="443"/>
      <c r="AA32" s="447"/>
      <c r="AB32" s="447"/>
      <c r="AC32" s="436" t="e">
        <f t="shared" si="18"/>
        <v>#N/A</v>
      </c>
      <c r="AD32" s="609"/>
      <c r="AE32" s="443"/>
      <c r="AF32" s="447"/>
      <c r="AG32" s="447"/>
      <c r="AH32" s="436" t="e">
        <f t="shared" si="20"/>
        <v>#N/A</v>
      </c>
      <c r="AI32" s="609"/>
      <c r="AJ32" s="443"/>
      <c r="AK32" s="447"/>
      <c r="AL32" s="447"/>
      <c r="AM32" s="436" t="e">
        <f t="shared" si="22"/>
        <v>#N/A</v>
      </c>
      <c r="AN32" s="609"/>
      <c r="AO32" s="443"/>
      <c r="AP32" s="447"/>
      <c r="AQ32" s="447"/>
      <c r="AR32" s="436" t="e">
        <f t="shared" si="24"/>
        <v>#N/A</v>
      </c>
      <c r="AS32" s="609"/>
      <c r="AT32" s="436"/>
      <c r="AU32" s="437"/>
      <c r="AV32" s="437"/>
      <c r="AW32" s="436" t="e">
        <f t="shared" si="26"/>
        <v>#N/A</v>
      </c>
      <c r="AX32" s="605"/>
    </row>
    <row r="33" spans="2:50">
      <c r="B33" s="572"/>
      <c r="C33" s="436">
        <v>7</v>
      </c>
      <c r="D33" s="226"/>
      <c r="E33" s="182"/>
      <c r="F33" s="436"/>
      <c r="G33" s="437"/>
      <c r="H33" s="609"/>
      <c r="I33" s="446"/>
      <c r="J33" s="446"/>
      <c r="K33" s="438"/>
      <c r="L33" s="541"/>
      <c r="M33" s="445" t="e">
        <f>RANK(K33, K$27:$K$41)</f>
        <v>#N/A</v>
      </c>
      <c r="N33" s="559"/>
      <c r="O33" s="559"/>
      <c r="P33" s="443"/>
      <c r="Q33" s="447"/>
      <c r="R33" s="447"/>
      <c r="S33" s="436" t="e">
        <f t="shared" si="15"/>
        <v>#N/A</v>
      </c>
      <c r="T33" s="609"/>
      <c r="U33" s="443"/>
      <c r="V33" s="447"/>
      <c r="W33" s="447"/>
      <c r="X33" s="436" t="e">
        <f t="shared" si="16"/>
        <v>#N/A</v>
      </c>
      <c r="Y33" s="609"/>
      <c r="Z33" s="443"/>
      <c r="AA33" s="447"/>
      <c r="AB33" s="447"/>
      <c r="AC33" s="436" t="e">
        <f t="shared" si="18"/>
        <v>#N/A</v>
      </c>
      <c r="AD33" s="609"/>
      <c r="AE33" s="443"/>
      <c r="AF33" s="447"/>
      <c r="AG33" s="447"/>
      <c r="AH33" s="436" t="e">
        <f t="shared" si="20"/>
        <v>#N/A</v>
      </c>
      <c r="AI33" s="609"/>
      <c r="AJ33" s="443"/>
      <c r="AK33" s="447"/>
      <c r="AL33" s="447"/>
      <c r="AM33" s="436" t="e">
        <f t="shared" si="22"/>
        <v>#N/A</v>
      </c>
      <c r="AN33" s="609"/>
      <c r="AO33" s="443"/>
      <c r="AP33" s="447"/>
      <c r="AQ33" s="447"/>
      <c r="AR33" s="436" t="e">
        <f t="shared" si="24"/>
        <v>#N/A</v>
      </c>
      <c r="AS33" s="609"/>
      <c r="AT33" s="436"/>
      <c r="AU33" s="437"/>
      <c r="AV33" s="437"/>
      <c r="AW33" s="436" t="e">
        <f t="shared" si="26"/>
        <v>#N/A</v>
      </c>
      <c r="AX33" s="605"/>
    </row>
    <row r="34" spans="2:50">
      <c r="B34" s="572"/>
      <c r="C34" s="436">
        <v>8</v>
      </c>
      <c r="D34" s="226"/>
      <c r="E34" s="182"/>
      <c r="F34" s="436"/>
      <c r="G34" s="437"/>
      <c r="H34" s="609"/>
      <c r="I34" s="446"/>
      <c r="J34" s="446"/>
      <c r="K34" s="438"/>
      <c r="L34" s="541"/>
      <c r="M34" s="445" t="e">
        <f>RANK(K34, K$27:$K$41)</f>
        <v>#N/A</v>
      </c>
      <c r="N34" s="559"/>
      <c r="O34" s="559"/>
      <c r="P34" s="443"/>
      <c r="Q34" s="447"/>
      <c r="R34" s="447"/>
      <c r="S34" s="436" t="e">
        <f t="shared" si="15"/>
        <v>#N/A</v>
      </c>
      <c r="T34" s="609"/>
      <c r="U34" s="443"/>
      <c r="V34" s="447"/>
      <c r="W34" s="447"/>
      <c r="X34" s="436" t="e">
        <f t="shared" si="16"/>
        <v>#N/A</v>
      </c>
      <c r="Y34" s="609"/>
      <c r="Z34" s="443"/>
      <c r="AA34" s="447"/>
      <c r="AB34" s="447"/>
      <c r="AC34" s="436" t="e">
        <f t="shared" si="18"/>
        <v>#N/A</v>
      </c>
      <c r="AD34" s="609"/>
      <c r="AE34" s="443"/>
      <c r="AF34" s="447"/>
      <c r="AG34" s="447"/>
      <c r="AH34" s="436" t="e">
        <f t="shared" si="20"/>
        <v>#N/A</v>
      </c>
      <c r="AI34" s="609"/>
      <c r="AJ34" s="443"/>
      <c r="AK34" s="447"/>
      <c r="AL34" s="447"/>
      <c r="AM34" s="436" t="e">
        <f t="shared" si="22"/>
        <v>#N/A</v>
      </c>
      <c r="AN34" s="609"/>
      <c r="AO34" s="443"/>
      <c r="AP34" s="447"/>
      <c r="AQ34" s="447"/>
      <c r="AR34" s="436" t="e">
        <f t="shared" si="24"/>
        <v>#N/A</v>
      </c>
      <c r="AS34" s="609"/>
      <c r="AT34" s="436"/>
      <c r="AU34" s="437"/>
      <c r="AV34" s="437"/>
      <c r="AW34" s="436" t="e">
        <f t="shared" si="26"/>
        <v>#N/A</v>
      </c>
      <c r="AX34" s="605"/>
    </row>
    <row r="35" spans="2:50">
      <c r="B35" s="572"/>
      <c r="C35" s="436">
        <v>9</v>
      </c>
      <c r="D35" s="226"/>
      <c r="E35" s="182"/>
      <c r="F35" s="436"/>
      <c r="G35" s="437"/>
      <c r="H35" s="609"/>
      <c r="I35" s="446"/>
      <c r="J35" s="446"/>
      <c r="K35" s="438"/>
      <c r="L35" s="541"/>
      <c r="M35" s="445" t="e">
        <f>RANK(K35, K$27:$K$41)</f>
        <v>#N/A</v>
      </c>
      <c r="N35" s="559"/>
      <c r="O35" s="559"/>
      <c r="P35" s="443"/>
      <c r="Q35" s="447"/>
      <c r="R35" s="447"/>
      <c r="S35" s="436" t="e">
        <f t="shared" si="15"/>
        <v>#N/A</v>
      </c>
      <c r="T35" s="609"/>
      <c r="U35" s="443"/>
      <c r="V35" s="447"/>
      <c r="W35" s="447"/>
      <c r="X35" s="436" t="e">
        <f t="shared" si="16"/>
        <v>#N/A</v>
      </c>
      <c r="Y35" s="609"/>
      <c r="Z35" s="443"/>
      <c r="AA35" s="447"/>
      <c r="AB35" s="447"/>
      <c r="AC35" s="436" t="e">
        <f t="shared" si="18"/>
        <v>#N/A</v>
      </c>
      <c r="AD35" s="609"/>
      <c r="AE35" s="443"/>
      <c r="AF35" s="447"/>
      <c r="AG35" s="447"/>
      <c r="AH35" s="436" t="e">
        <f t="shared" si="20"/>
        <v>#N/A</v>
      </c>
      <c r="AI35" s="609"/>
      <c r="AJ35" s="443"/>
      <c r="AK35" s="447"/>
      <c r="AL35" s="447"/>
      <c r="AM35" s="436" t="e">
        <f t="shared" si="22"/>
        <v>#N/A</v>
      </c>
      <c r="AN35" s="609"/>
      <c r="AO35" s="443"/>
      <c r="AP35" s="447"/>
      <c r="AQ35" s="447"/>
      <c r="AR35" s="436" t="e">
        <f t="shared" si="24"/>
        <v>#N/A</v>
      </c>
      <c r="AS35" s="609"/>
      <c r="AT35" s="436"/>
      <c r="AU35" s="437"/>
      <c r="AV35" s="437"/>
      <c r="AW35" s="436" t="e">
        <f t="shared" si="26"/>
        <v>#N/A</v>
      </c>
      <c r="AX35" s="605"/>
    </row>
    <row r="36" spans="2:50">
      <c r="B36" s="572"/>
      <c r="C36" s="436">
        <v>10</v>
      </c>
      <c r="D36" s="226"/>
      <c r="E36" s="182"/>
      <c r="F36" s="436"/>
      <c r="G36" s="437"/>
      <c r="H36" s="609"/>
      <c r="I36" s="446"/>
      <c r="J36" s="446"/>
      <c r="K36" s="438"/>
      <c r="L36" s="541"/>
      <c r="M36" s="445" t="e">
        <f>RANK(K36, K$27:$K$41)</f>
        <v>#N/A</v>
      </c>
      <c r="N36" s="559"/>
      <c r="O36" s="559"/>
      <c r="P36" s="443"/>
      <c r="Q36" s="447"/>
      <c r="R36" s="447"/>
      <c r="S36" s="436" t="e">
        <f t="shared" si="15"/>
        <v>#N/A</v>
      </c>
      <c r="T36" s="609"/>
      <c r="U36" s="443"/>
      <c r="V36" s="447"/>
      <c r="W36" s="447"/>
      <c r="X36" s="436" t="e">
        <f t="shared" si="16"/>
        <v>#N/A</v>
      </c>
      <c r="Y36" s="609"/>
      <c r="Z36" s="443"/>
      <c r="AA36" s="447"/>
      <c r="AB36" s="447"/>
      <c r="AC36" s="436" t="e">
        <f t="shared" si="18"/>
        <v>#N/A</v>
      </c>
      <c r="AD36" s="609"/>
      <c r="AE36" s="443"/>
      <c r="AF36" s="447"/>
      <c r="AG36" s="447"/>
      <c r="AH36" s="436" t="e">
        <f t="shared" si="20"/>
        <v>#N/A</v>
      </c>
      <c r="AI36" s="609"/>
      <c r="AJ36" s="443"/>
      <c r="AK36" s="447"/>
      <c r="AL36" s="447"/>
      <c r="AM36" s="436" t="e">
        <f t="shared" si="22"/>
        <v>#N/A</v>
      </c>
      <c r="AN36" s="609"/>
      <c r="AO36" s="443"/>
      <c r="AP36" s="447"/>
      <c r="AQ36" s="447"/>
      <c r="AR36" s="436" t="e">
        <f t="shared" si="24"/>
        <v>#N/A</v>
      </c>
      <c r="AS36" s="609"/>
      <c r="AT36" s="436"/>
      <c r="AU36" s="436"/>
      <c r="AV36" s="437"/>
      <c r="AW36" s="436" t="e">
        <f t="shared" si="26"/>
        <v>#N/A</v>
      </c>
      <c r="AX36" s="605"/>
    </row>
    <row r="37" spans="2:50">
      <c r="B37" s="572"/>
      <c r="C37" s="436">
        <v>11</v>
      </c>
      <c r="D37" s="226"/>
      <c r="E37" s="182"/>
      <c r="F37" s="436"/>
      <c r="G37" s="437"/>
      <c r="H37" s="609"/>
      <c r="I37" s="202"/>
      <c r="J37" s="202"/>
      <c r="K37" s="202"/>
      <c r="L37" s="541"/>
      <c r="M37" s="445" t="e">
        <f>RANK(K37, K$27:$K$41)</f>
        <v>#N/A</v>
      </c>
      <c r="N37" s="559"/>
      <c r="O37" s="559"/>
      <c r="P37" s="443"/>
      <c r="Q37" s="447"/>
      <c r="R37" s="447"/>
      <c r="S37" s="436" t="e">
        <f t="shared" si="15"/>
        <v>#N/A</v>
      </c>
      <c r="T37" s="609"/>
      <c r="U37" s="443"/>
      <c r="V37" s="447"/>
      <c r="W37" s="447"/>
      <c r="X37" s="436" t="e">
        <f t="shared" si="16"/>
        <v>#N/A</v>
      </c>
      <c r="Y37" s="609"/>
      <c r="Z37" s="443"/>
      <c r="AA37" s="447"/>
      <c r="AB37" s="447"/>
      <c r="AC37" s="436" t="e">
        <f t="shared" si="18"/>
        <v>#N/A</v>
      </c>
      <c r="AD37" s="609"/>
      <c r="AE37" s="443"/>
      <c r="AF37" s="447"/>
      <c r="AG37" s="447"/>
      <c r="AH37" s="436" t="e">
        <f t="shared" si="20"/>
        <v>#N/A</v>
      </c>
      <c r="AI37" s="609"/>
      <c r="AJ37" s="443"/>
      <c r="AK37" s="447"/>
      <c r="AL37" s="447"/>
      <c r="AM37" s="436" t="e">
        <f t="shared" si="22"/>
        <v>#N/A</v>
      </c>
      <c r="AN37" s="609"/>
      <c r="AO37" s="443"/>
      <c r="AP37" s="447"/>
      <c r="AQ37" s="447"/>
      <c r="AR37" s="436" t="e">
        <f t="shared" si="24"/>
        <v>#N/A</v>
      </c>
      <c r="AS37" s="609"/>
      <c r="AT37" s="436"/>
      <c r="AU37" s="436"/>
      <c r="AV37" s="436"/>
      <c r="AW37" s="436" t="e">
        <f t="shared" si="26"/>
        <v>#N/A</v>
      </c>
      <c r="AX37" s="605"/>
    </row>
    <row r="38" spans="2:50">
      <c r="B38" s="572"/>
      <c r="C38" s="436">
        <v>12</v>
      </c>
      <c r="D38" s="226"/>
      <c r="E38" s="182"/>
      <c r="F38" s="436"/>
      <c r="G38" s="437"/>
      <c r="H38" s="609"/>
      <c r="I38" s="202"/>
      <c r="J38" s="202"/>
      <c r="K38" s="202"/>
      <c r="L38" s="541"/>
      <c r="M38" s="445" t="e">
        <f>RANK(K38, K$27:$K$41)</f>
        <v>#N/A</v>
      </c>
      <c r="N38" s="559"/>
      <c r="O38" s="559"/>
      <c r="P38" s="443"/>
      <c r="Q38" s="447"/>
      <c r="R38" s="447"/>
      <c r="S38" s="436" t="e">
        <f t="shared" si="15"/>
        <v>#N/A</v>
      </c>
      <c r="T38" s="609"/>
      <c r="U38" s="443"/>
      <c r="V38" s="447"/>
      <c r="W38" s="447"/>
      <c r="X38" s="436" t="e">
        <f t="shared" si="16"/>
        <v>#N/A</v>
      </c>
      <c r="Y38" s="609"/>
      <c r="Z38" s="443"/>
      <c r="AA38" s="447"/>
      <c r="AB38" s="447"/>
      <c r="AC38" s="436" t="e">
        <f t="shared" si="18"/>
        <v>#N/A</v>
      </c>
      <c r="AD38" s="609"/>
      <c r="AE38" s="443"/>
      <c r="AF38" s="447"/>
      <c r="AG38" s="447"/>
      <c r="AH38" s="436" t="e">
        <f t="shared" si="20"/>
        <v>#N/A</v>
      </c>
      <c r="AI38" s="609"/>
      <c r="AJ38" s="443"/>
      <c r="AK38" s="447"/>
      <c r="AL38" s="447"/>
      <c r="AM38" s="436" t="e">
        <f t="shared" si="22"/>
        <v>#N/A</v>
      </c>
      <c r="AN38" s="609"/>
      <c r="AO38" s="443"/>
      <c r="AP38" s="447"/>
      <c r="AQ38" s="447"/>
      <c r="AR38" s="436" t="e">
        <f t="shared" si="24"/>
        <v>#N/A</v>
      </c>
      <c r="AS38" s="609"/>
      <c r="AT38" s="436"/>
      <c r="AU38" s="436"/>
      <c r="AV38" s="436"/>
      <c r="AW38" s="436" t="e">
        <f t="shared" si="26"/>
        <v>#N/A</v>
      </c>
      <c r="AX38" s="605"/>
    </row>
    <row r="39" spans="2:50">
      <c r="B39" s="572"/>
      <c r="C39" s="436">
        <v>13</v>
      </c>
      <c r="D39" s="226"/>
      <c r="E39" s="182"/>
      <c r="F39" s="436"/>
      <c r="G39" s="437"/>
      <c r="H39" s="609"/>
      <c r="I39" s="202"/>
      <c r="J39" s="202"/>
      <c r="K39" s="202"/>
      <c r="L39" s="541"/>
      <c r="M39" s="445" t="e">
        <f>RANK(K39, K$27:$K$41)</f>
        <v>#N/A</v>
      </c>
      <c r="N39" s="559"/>
      <c r="O39" s="559"/>
      <c r="P39" s="443"/>
      <c r="Q39" s="447"/>
      <c r="R39" s="447"/>
      <c r="S39" s="436" t="e">
        <f t="shared" si="15"/>
        <v>#N/A</v>
      </c>
      <c r="T39" s="609"/>
      <c r="U39" s="443"/>
      <c r="V39" s="447"/>
      <c r="W39" s="447"/>
      <c r="X39" s="436" t="e">
        <f t="shared" si="16"/>
        <v>#N/A</v>
      </c>
      <c r="Y39" s="609"/>
      <c r="Z39" s="443"/>
      <c r="AA39" s="447"/>
      <c r="AB39" s="447"/>
      <c r="AC39" s="436" t="e">
        <f t="shared" si="18"/>
        <v>#N/A</v>
      </c>
      <c r="AD39" s="609"/>
      <c r="AE39" s="443"/>
      <c r="AF39" s="447"/>
      <c r="AG39" s="447"/>
      <c r="AH39" s="436" t="e">
        <f t="shared" si="20"/>
        <v>#N/A</v>
      </c>
      <c r="AI39" s="609"/>
      <c r="AJ39" s="443"/>
      <c r="AK39" s="447"/>
      <c r="AL39" s="447"/>
      <c r="AM39" s="436" t="e">
        <f t="shared" si="22"/>
        <v>#N/A</v>
      </c>
      <c r="AN39" s="609"/>
      <c r="AO39" s="443"/>
      <c r="AP39" s="447"/>
      <c r="AQ39" s="447"/>
      <c r="AR39" s="436" t="e">
        <f t="shared" si="24"/>
        <v>#N/A</v>
      </c>
      <c r="AS39" s="609"/>
      <c r="AT39" s="436"/>
      <c r="AU39" s="436"/>
      <c r="AV39" s="436"/>
      <c r="AW39" s="436" t="e">
        <f t="shared" si="26"/>
        <v>#N/A</v>
      </c>
      <c r="AX39" s="605"/>
    </row>
    <row r="40" spans="2:50">
      <c r="B40" s="572"/>
      <c r="C40" s="436">
        <v>14</v>
      </c>
      <c r="D40" s="226"/>
      <c r="E40" s="182"/>
      <c r="F40" s="436"/>
      <c r="G40" s="437"/>
      <c r="H40" s="609"/>
      <c r="I40" s="202"/>
      <c r="J40" s="202"/>
      <c r="K40" s="202"/>
      <c r="L40" s="541"/>
      <c r="M40" s="445" t="e">
        <f>RANK(K40, K$27:$K$41)</f>
        <v>#N/A</v>
      </c>
      <c r="N40" s="559"/>
      <c r="O40" s="559"/>
      <c r="P40" s="443"/>
      <c r="Q40" s="447"/>
      <c r="R40" s="447"/>
      <c r="S40" s="436" t="e">
        <f t="shared" si="15"/>
        <v>#N/A</v>
      </c>
      <c r="T40" s="609"/>
      <c r="U40" s="443"/>
      <c r="V40" s="447"/>
      <c r="W40" s="447"/>
      <c r="X40" s="436" t="e">
        <f t="shared" si="16"/>
        <v>#N/A</v>
      </c>
      <c r="Y40" s="609"/>
      <c r="Z40" s="443"/>
      <c r="AA40" s="447"/>
      <c r="AB40" s="447"/>
      <c r="AC40" s="436" t="e">
        <f t="shared" si="18"/>
        <v>#N/A</v>
      </c>
      <c r="AD40" s="609"/>
      <c r="AE40" s="443"/>
      <c r="AF40" s="447"/>
      <c r="AG40" s="447"/>
      <c r="AH40" s="436" t="e">
        <f t="shared" si="20"/>
        <v>#N/A</v>
      </c>
      <c r="AI40" s="609"/>
      <c r="AJ40" s="443"/>
      <c r="AK40" s="447"/>
      <c r="AL40" s="447"/>
      <c r="AM40" s="436" t="e">
        <f t="shared" si="22"/>
        <v>#N/A</v>
      </c>
      <c r="AN40" s="609"/>
      <c r="AO40" s="443"/>
      <c r="AP40" s="447"/>
      <c r="AQ40" s="447"/>
      <c r="AR40" s="436" t="e">
        <f t="shared" si="24"/>
        <v>#N/A</v>
      </c>
      <c r="AS40" s="609"/>
      <c r="AT40" s="436"/>
      <c r="AU40" s="436"/>
      <c r="AV40" s="436"/>
      <c r="AW40" s="436" t="e">
        <f t="shared" si="26"/>
        <v>#N/A</v>
      </c>
      <c r="AX40" s="605"/>
    </row>
    <row r="41" spans="2:50">
      <c r="B41" s="572"/>
      <c r="C41" s="436">
        <v>15</v>
      </c>
      <c r="D41" s="226"/>
      <c r="E41" s="182"/>
      <c r="F41" s="436"/>
      <c r="G41" s="437"/>
      <c r="H41" s="610"/>
      <c r="I41" s="202"/>
      <c r="J41" s="202"/>
      <c r="K41" s="202"/>
      <c r="L41" s="542"/>
      <c r="M41" s="446" t="e">
        <f>RANK(K41, K$27:$K$41)</f>
        <v>#N/A</v>
      </c>
      <c r="N41" s="559"/>
      <c r="O41" s="559"/>
      <c r="P41" s="443"/>
      <c r="Q41" s="447"/>
      <c r="R41" s="447"/>
      <c r="S41" s="436" t="e">
        <f t="shared" si="15"/>
        <v>#N/A</v>
      </c>
      <c r="T41" s="610"/>
      <c r="U41" s="443"/>
      <c r="V41" s="447"/>
      <c r="W41" s="447"/>
      <c r="X41" s="436" t="e">
        <f t="shared" si="16"/>
        <v>#N/A</v>
      </c>
      <c r="Y41" s="610"/>
      <c r="Z41" s="443"/>
      <c r="AA41" s="447"/>
      <c r="AB41" s="447"/>
      <c r="AC41" s="436" t="e">
        <f t="shared" si="18"/>
        <v>#N/A</v>
      </c>
      <c r="AD41" s="610"/>
      <c r="AE41" s="443"/>
      <c r="AF41" s="447"/>
      <c r="AG41" s="447"/>
      <c r="AH41" s="436" t="e">
        <f t="shared" si="20"/>
        <v>#N/A</v>
      </c>
      <c r="AI41" s="610"/>
      <c r="AJ41" s="443"/>
      <c r="AK41" s="447"/>
      <c r="AL41" s="447"/>
      <c r="AM41" s="436" t="e">
        <f t="shared" si="22"/>
        <v>#N/A</v>
      </c>
      <c r="AN41" s="610"/>
      <c r="AO41" s="443"/>
      <c r="AP41" s="447"/>
      <c r="AQ41" s="447"/>
      <c r="AR41" s="436" t="e">
        <f t="shared" si="24"/>
        <v>#N/A</v>
      </c>
      <c r="AS41" s="610"/>
      <c r="AT41" s="436"/>
      <c r="AU41" s="436"/>
      <c r="AV41" s="436"/>
      <c r="AW41" s="436" t="e">
        <f t="shared" si="26"/>
        <v>#N/A</v>
      </c>
      <c r="AX41" s="605"/>
    </row>
    <row r="42" spans="2:50" ht="15.75">
      <c r="B42" s="592" t="s">
        <v>809</v>
      </c>
      <c r="C42" s="593"/>
      <c r="D42" s="593"/>
      <c r="E42" s="593"/>
      <c r="F42" s="593"/>
      <c r="G42" s="593"/>
      <c r="H42" s="593"/>
      <c r="I42" s="208"/>
      <c r="J42" s="203"/>
      <c r="K42" s="208"/>
      <c r="L42" s="208"/>
      <c r="M42" s="204"/>
      <c r="N42" s="565" t="s">
        <v>810</v>
      </c>
      <c r="O42" s="565" t="s">
        <v>811</v>
      </c>
      <c r="P42" s="571">
        <f>P22+7</f>
        <v>46400</v>
      </c>
      <c r="Q42" s="572"/>
      <c r="R42" s="572"/>
      <c r="S42" s="572"/>
      <c r="T42" s="572"/>
      <c r="U42" s="568">
        <f>P42+1</f>
        <v>46401</v>
      </c>
      <c r="V42" s="569"/>
      <c r="W42" s="569"/>
      <c r="X42" s="569"/>
      <c r="Y42" s="570"/>
      <c r="Z42" s="568">
        <f>U42+1</f>
        <v>46402</v>
      </c>
      <c r="AA42" s="569"/>
      <c r="AB42" s="569"/>
      <c r="AC42" s="569"/>
      <c r="AD42" s="570"/>
      <c r="AE42" s="568">
        <f>Z42+1</f>
        <v>46403</v>
      </c>
      <c r="AF42" s="569"/>
      <c r="AG42" s="569"/>
      <c r="AH42" s="569"/>
      <c r="AI42" s="570"/>
      <c r="AJ42" s="568">
        <f>AE42+1</f>
        <v>46404</v>
      </c>
      <c r="AK42" s="569"/>
      <c r="AL42" s="569"/>
      <c r="AM42" s="569"/>
      <c r="AN42" s="570"/>
      <c r="AO42" s="568">
        <f>AJ42+1</f>
        <v>46405</v>
      </c>
      <c r="AP42" s="569"/>
      <c r="AQ42" s="569"/>
      <c r="AR42" s="569"/>
      <c r="AS42" s="570"/>
      <c r="AT42" s="568">
        <f>AO42+1</f>
        <v>46406</v>
      </c>
      <c r="AU42" s="569"/>
      <c r="AV42" s="569"/>
      <c r="AW42" s="569"/>
      <c r="AX42" s="570"/>
    </row>
    <row r="43" spans="2:50" ht="15.75">
      <c r="B43" s="579"/>
      <c r="C43" s="579"/>
      <c r="D43" s="579"/>
      <c r="E43" s="579"/>
      <c r="F43" s="579"/>
      <c r="G43" s="579"/>
      <c r="H43" s="579"/>
      <c r="I43" s="205"/>
      <c r="J43" s="205"/>
      <c r="K43" s="205"/>
      <c r="L43" s="205"/>
      <c r="M43" s="206"/>
      <c r="N43" s="567"/>
      <c r="O43" s="567"/>
      <c r="P43" s="571" t="s">
        <v>158</v>
      </c>
      <c r="Q43" s="572"/>
      <c r="R43" s="572"/>
      <c r="S43" s="572"/>
      <c r="T43" s="572"/>
      <c r="U43" s="571" t="s">
        <v>114</v>
      </c>
      <c r="V43" s="572"/>
      <c r="W43" s="572"/>
      <c r="X43" s="572"/>
      <c r="Y43" s="572"/>
      <c r="Z43" s="571" t="s">
        <v>159</v>
      </c>
      <c r="AA43" s="572"/>
      <c r="AB43" s="572"/>
      <c r="AC43" s="572"/>
      <c r="AD43" s="572"/>
      <c r="AE43" s="571" t="s">
        <v>157</v>
      </c>
      <c r="AF43" s="572"/>
      <c r="AG43" s="572"/>
      <c r="AH43" s="572"/>
      <c r="AI43" s="572"/>
      <c r="AJ43" s="571" t="s">
        <v>160</v>
      </c>
      <c r="AK43" s="572"/>
      <c r="AL43" s="572"/>
      <c r="AM43" s="572"/>
      <c r="AN43" s="572"/>
      <c r="AO43" s="571" t="s">
        <v>115</v>
      </c>
      <c r="AP43" s="572"/>
      <c r="AQ43" s="572"/>
      <c r="AR43" s="572"/>
      <c r="AS43" s="572"/>
      <c r="AT43" s="571" t="s">
        <v>161</v>
      </c>
      <c r="AU43" s="572"/>
      <c r="AV43" s="572"/>
      <c r="AW43" s="572"/>
      <c r="AX43" s="572"/>
    </row>
    <row r="44" spans="2:50">
      <c r="B44" s="559" t="s">
        <v>154</v>
      </c>
      <c r="C44" s="559" t="s">
        <v>428</v>
      </c>
      <c r="D44" s="559"/>
      <c r="E44" s="559" t="s">
        <v>419</v>
      </c>
      <c r="F44" s="559"/>
      <c r="G44" s="559"/>
      <c r="H44" s="560" t="s">
        <v>416</v>
      </c>
      <c r="I44" s="543" t="s">
        <v>420</v>
      </c>
      <c r="J44" s="543"/>
      <c r="K44" s="543"/>
      <c r="L44" s="544" t="s">
        <v>416</v>
      </c>
      <c r="M44" s="550" t="s">
        <v>417</v>
      </c>
      <c r="N44" s="559"/>
      <c r="O44" s="559" t="s">
        <v>421</v>
      </c>
      <c r="P44" s="556" t="s">
        <v>418</v>
      </c>
      <c r="Q44" s="557"/>
      <c r="R44" s="557"/>
      <c r="S44" s="558"/>
      <c r="T44" s="559" t="s">
        <v>416</v>
      </c>
      <c r="U44" s="556" t="s">
        <v>418</v>
      </c>
      <c r="V44" s="557"/>
      <c r="W44" s="557"/>
      <c r="X44" s="558"/>
      <c r="Y44" s="559" t="s">
        <v>416</v>
      </c>
      <c r="Z44" s="556" t="s">
        <v>418</v>
      </c>
      <c r="AA44" s="557"/>
      <c r="AB44" s="557"/>
      <c r="AC44" s="558"/>
      <c r="AD44" s="559" t="s">
        <v>416</v>
      </c>
      <c r="AE44" s="556" t="s">
        <v>418</v>
      </c>
      <c r="AF44" s="557"/>
      <c r="AG44" s="557"/>
      <c r="AH44" s="558"/>
      <c r="AI44" s="559" t="s">
        <v>416</v>
      </c>
      <c r="AJ44" s="556" t="s">
        <v>418</v>
      </c>
      <c r="AK44" s="557"/>
      <c r="AL44" s="557"/>
      <c r="AM44" s="558"/>
      <c r="AN44" s="559" t="s">
        <v>416</v>
      </c>
      <c r="AO44" s="556" t="s">
        <v>418</v>
      </c>
      <c r="AP44" s="557"/>
      <c r="AQ44" s="557"/>
      <c r="AR44" s="558"/>
      <c r="AS44" s="559" t="s">
        <v>416</v>
      </c>
      <c r="AT44" s="556" t="s">
        <v>418</v>
      </c>
      <c r="AU44" s="557"/>
      <c r="AV44" s="557"/>
      <c r="AW44" s="558"/>
      <c r="AX44" s="559" t="s">
        <v>416</v>
      </c>
    </row>
    <row r="45" spans="2:50">
      <c r="B45" s="559"/>
      <c r="C45" s="559"/>
      <c r="D45" s="559"/>
      <c r="E45" s="559" t="s">
        <v>422</v>
      </c>
      <c r="F45" s="559"/>
      <c r="G45" s="559"/>
      <c r="H45" s="561"/>
      <c r="I45" s="543" t="s">
        <v>422</v>
      </c>
      <c r="J45" s="543"/>
      <c r="K45" s="543"/>
      <c r="L45" s="545"/>
      <c r="M45" s="551"/>
      <c r="N45" s="559"/>
      <c r="O45" s="559"/>
      <c r="P45" s="556" t="s">
        <v>423</v>
      </c>
      <c r="Q45" s="557"/>
      <c r="R45" s="557"/>
      <c r="S45" s="558"/>
      <c r="T45" s="559"/>
      <c r="U45" s="556" t="s">
        <v>423</v>
      </c>
      <c r="V45" s="557"/>
      <c r="W45" s="557"/>
      <c r="X45" s="558"/>
      <c r="Y45" s="559"/>
      <c r="Z45" s="556" t="s">
        <v>423</v>
      </c>
      <c r="AA45" s="557"/>
      <c r="AB45" s="557"/>
      <c r="AC45" s="558"/>
      <c r="AD45" s="559"/>
      <c r="AE45" s="556" t="s">
        <v>423</v>
      </c>
      <c r="AF45" s="557"/>
      <c r="AG45" s="557"/>
      <c r="AH45" s="558"/>
      <c r="AI45" s="559"/>
      <c r="AJ45" s="556" t="s">
        <v>423</v>
      </c>
      <c r="AK45" s="557"/>
      <c r="AL45" s="557"/>
      <c r="AM45" s="558"/>
      <c r="AN45" s="559"/>
      <c r="AO45" s="556" t="s">
        <v>423</v>
      </c>
      <c r="AP45" s="557"/>
      <c r="AQ45" s="557"/>
      <c r="AR45" s="558"/>
      <c r="AS45" s="559"/>
      <c r="AT45" s="556" t="s">
        <v>423</v>
      </c>
      <c r="AU45" s="557"/>
      <c r="AV45" s="557"/>
      <c r="AW45" s="558"/>
      <c r="AX45" s="559"/>
    </row>
    <row r="46" spans="2:50">
      <c r="B46" s="559"/>
      <c r="C46" s="559"/>
      <c r="D46" s="559"/>
      <c r="E46" s="440" t="s">
        <v>424</v>
      </c>
      <c r="F46" s="440" t="s">
        <v>425</v>
      </c>
      <c r="G46" s="440" t="s">
        <v>426</v>
      </c>
      <c r="H46" s="562"/>
      <c r="I46" s="444" t="s">
        <v>424</v>
      </c>
      <c r="J46" s="444" t="s">
        <v>425</v>
      </c>
      <c r="K46" s="444" t="s">
        <v>426</v>
      </c>
      <c r="L46" s="546"/>
      <c r="M46" s="552"/>
      <c r="N46" s="559"/>
      <c r="O46" s="559"/>
      <c r="P46" s="440" t="s">
        <v>424</v>
      </c>
      <c r="Q46" s="440" t="s">
        <v>425</v>
      </c>
      <c r="R46" s="440" t="s">
        <v>426</v>
      </c>
      <c r="S46" s="440" t="s">
        <v>417</v>
      </c>
      <c r="T46" s="559"/>
      <c r="U46" s="440" t="s">
        <v>424</v>
      </c>
      <c r="V46" s="440" t="s">
        <v>425</v>
      </c>
      <c r="W46" s="440" t="s">
        <v>426</v>
      </c>
      <c r="X46" s="440" t="s">
        <v>417</v>
      </c>
      <c r="Y46" s="559"/>
      <c r="Z46" s="440" t="s">
        <v>424</v>
      </c>
      <c r="AA46" s="440" t="s">
        <v>425</v>
      </c>
      <c r="AB46" s="440" t="s">
        <v>426</v>
      </c>
      <c r="AC46" s="440" t="s">
        <v>417</v>
      </c>
      <c r="AD46" s="559"/>
      <c r="AE46" s="440" t="s">
        <v>424</v>
      </c>
      <c r="AF46" s="440" t="s">
        <v>425</v>
      </c>
      <c r="AG46" s="440" t="s">
        <v>426</v>
      </c>
      <c r="AH46" s="440" t="s">
        <v>417</v>
      </c>
      <c r="AI46" s="559"/>
      <c r="AJ46" s="440" t="s">
        <v>424</v>
      </c>
      <c r="AK46" s="440" t="s">
        <v>425</v>
      </c>
      <c r="AL46" s="440" t="s">
        <v>426</v>
      </c>
      <c r="AM46" s="440" t="s">
        <v>417</v>
      </c>
      <c r="AN46" s="559"/>
      <c r="AO46" s="440" t="s">
        <v>424</v>
      </c>
      <c r="AP46" s="440" t="s">
        <v>425</v>
      </c>
      <c r="AQ46" s="440" t="s">
        <v>426</v>
      </c>
      <c r="AR46" s="440" t="s">
        <v>417</v>
      </c>
      <c r="AS46" s="559"/>
      <c r="AT46" s="440" t="s">
        <v>424</v>
      </c>
      <c r="AU46" s="440" t="s">
        <v>425</v>
      </c>
      <c r="AV46" s="440" t="s">
        <v>426</v>
      </c>
      <c r="AW46" s="440" t="s">
        <v>417</v>
      </c>
      <c r="AX46" s="559"/>
    </row>
    <row r="47" spans="2:50">
      <c r="B47" s="559" t="s">
        <v>451</v>
      </c>
      <c r="C47" s="436">
        <v>1</v>
      </c>
      <c r="D47" s="226" t="s">
        <v>391</v>
      </c>
      <c r="E47" s="182">
        <v>20</v>
      </c>
      <c r="F47" s="436">
        <v>2400</v>
      </c>
      <c r="G47" s="437">
        <v>120</v>
      </c>
      <c r="H47" s="608">
        <f>AVERAGE(G47:G61)</f>
        <v>144.76</v>
      </c>
      <c r="I47" s="446">
        <f t="shared" ref="I47:K51" si="28">AVERAGE(P47,U47,Z47,AE47,AJ47,AO47,AT47)</f>
        <v>19</v>
      </c>
      <c r="J47" s="446">
        <f t="shared" si="28"/>
        <v>2033.8437724479593</v>
      </c>
      <c r="K47" s="438">
        <f t="shared" si="28"/>
        <v>107.04440907620838</v>
      </c>
      <c r="L47" s="540">
        <f>IFERROR(AVERAGE(K47:K61),"-")</f>
        <v>122.65858568790588</v>
      </c>
      <c r="M47" s="445">
        <f>RANK(K47, K$47:$K$61)</f>
        <v>4</v>
      </c>
      <c r="N47" s="559"/>
      <c r="O47" s="559"/>
      <c r="P47" s="436">
        <v>19</v>
      </c>
      <c r="Q47" s="182">
        <v>2030.736842105262</v>
      </c>
      <c r="R47" s="182">
        <v>106.88088642659274</v>
      </c>
      <c r="S47" s="436">
        <f t="shared" ref="S47:S51" si="29">RANK(R47, R$47:R$61)</f>
        <v>4</v>
      </c>
      <c r="T47" s="605">
        <f>AVERAGE(R47:R61)</f>
        <v>122.41974935893089</v>
      </c>
      <c r="U47" s="436">
        <v>19</v>
      </c>
      <c r="V47" s="182">
        <v>2037.3888888888903</v>
      </c>
      <c r="W47" s="182">
        <v>107.23099415204686</v>
      </c>
      <c r="X47" s="436">
        <f t="shared" ref="X47:X51" si="30">RANK(W47, W$47:W$61)</f>
        <v>4</v>
      </c>
      <c r="Y47" s="605">
        <f>AVERAGE(W47:W61)</f>
        <v>123.38858814848211</v>
      </c>
      <c r="Z47" s="436">
        <v>19</v>
      </c>
      <c r="AA47" s="182">
        <v>2072.1509433962278</v>
      </c>
      <c r="AB47" s="182">
        <v>109.06057596822252</v>
      </c>
      <c r="AC47" s="436">
        <f t="shared" ref="AC47:AC51" si="31">RANK(AB47, AB$47:AB$61)</f>
        <v>4</v>
      </c>
      <c r="AD47" s="605">
        <f>AVERAGE(AB47:AB61)</f>
        <v>122.55924966966275</v>
      </c>
      <c r="AE47" s="436">
        <v>19</v>
      </c>
      <c r="AF47" s="182">
        <v>1984.7454545454532</v>
      </c>
      <c r="AG47" s="182">
        <v>104.46028708133964</v>
      </c>
      <c r="AH47" s="436">
        <f t="shared" ref="AH47:AH51" si="32">RANK(AG47, AG$47:AG$61)</f>
        <v>4</v>
      </c>
      <c r="AI47" s="605">
        <f>AVERAGE(AG47:AG61)</f>
        <v>123.65864335516524</v>
      </c>
      <c r="AJ47" s="436">
        <v>19</v>
      </c>
      <c r="AK47" s="182">
        <v>2048.1724137931024</v>
      </c>
      <c r="AL47" s="182">
        <v>107.79854809437381</v>
      </c>
      <c r="AM47" s="436">
        <f t="shared" ref="AM47:AM51" si="33">RANK(AL47, AL$47:AL$61)</f>
        <v>4</v>
      </c>
      <c r="AN47" s="605">
        <f>AVERAGE(AL47:AL61)</f>
        <v>123.70451154707375</v>
      </c>
      <c r="AO47" s="436">
        <v>19</v>
      </c>
      <c r="AP47" s="182">
        <v>2040.9999999999995</v>
      </c>
      <c r="AQ47" s="182">
        <v>107.42105263157892</v>
      </c>
      <c r="AR47" s="436">
        <f t="shared" ref="AR47:AR51" si="34">RANK(AQ47, AQ$47:AQ$61)</f>
        <v>4</v>
      </c>
      <c r="AS47" s="605">
        <f>AVERAGE(AQ47:AQ61)</f>
        <v>124.22854639961625</v>
      </c>
      <c r="AT47" s="436">
        <v>19</v>
      </c>
      <c r="AU47" s="182">
        <v>2022.7118644067789</v>
      </c>
      <c r="AV47" s="182">
        <v>106.45851917930415</v>
      </c>
      <c r="AW47" s="436">
        <f t="shared" ref="AW47:AW51" si="35">RANK(AV47, AV$47:AV$61)</f>
        <v>4</v>
      </c>
      <c r="AX47" s="605">
        <f>AVERAGE(AV47:AV61)</f>
        <v>118.65081133641027</v>
      </c>
    </row>
    <row r="48" spans="2:50">
      <c r="B48" s="572"/>
      <c r="C48" s="436">
        <v>2</v>
      </c>
      <c r="D48" s="226" t="s">
        <v>392</v>
      </c>
      <c r="E48" s="182">
        <v>18</v>
      </c>
      <c r="F48" s="436">
        <v>3000</v>
      </c>
      <c r="G48" s="437">
        <v>166.7</v>
      </c>
      <c r="H48" s="609"/>
      <c r="I48" s="446">
        <f t="shared" si="28"/>
        <v>18</v>
      </c>
      <c r="J48" s="446">
        <f t="shared" si="28"/>
        <v>2480.2999858836815</v>
      </c>
      <c r="K48" s="438">
        <f t="shared" si="28"/>
        <v>137.79444366020454</v>
      </c>
      <c r="L48" s="541"/>
      <c r="M48" s="445">
        <f>RANK(K48, K$47:$K$61)</f>
        <v>2</v>
      </c>
      <c r="N48" s="559"/>
      <c r="O48" s="559"/>
      <c r="P48" s="436">
        <v>18</v>
      </c>
      <c r="Q48" s="182">
        <v>2462.0869565217395</v>
      </c>
      <c r="R48" s="182">
        <v>136.78260869565219</v>
      </c>
      <c r="S48" s="436">
        <f t="shared" si="29"/>
        <v>2</v>
      </c>
      <c r="T48" s="605"/>
      <c r="U48" s="436">
        <v>18</v>
      </c>
      <c r="V48" s="182">
        <v>2439.2727272727275</v>
      </c>
      <c r="W48" s="182">
        <v>135.51515151515153</v>
      </c>
      <c r="X48" s="436">
        <f t="shared" si="30"/>
        <v>3</v>
      </c>
      <c r="Y48" s="605"/>
      <c r="Z48" s="436">
        <v>18</v>
      </c>
      <c r="AA48" s="182">
        <v>2482.4347826086955</v>
      </c>
      <c r="AB48" s="182">
        <v>137.91304347826087</v>
      </c>
      <c r="AC48" s="436">
        <f t="shared" si="31"/>
        <v>2</v>
      </c>
      <c r="AD48" s="605"/>
      <c r="AE48" s="436">
        <v>18</v>
      </c>
      <c r="AF48" s="182">
        <v>2572.0499999999993</v>
      </c>
      <c r="AG48" s="182">
        <v>142.89166666666662</v>
      </c>
      <c r="AH48" s="436">
        <f t="shared" si="32"/>
        <v>1</v>
      </c>
      <c r="AI48" s="605"/>
      <c r="AJ48" s="436">
        <v>18</v>
      </c>
      <c r="AK48" s="182">
        <v>2525.2500000000009</v>
      </c>
      <c r="AL48" s="182">
        <v>140.29166666666671</v>
      </c>
      <c r="AM48" s="436">
        <f t="shared" si="33"/>
        <v>2</v>
      </c>
      <c r="AN48" s="605"/>
      <c r="AO48" s="436">
        <v>18</v>
      </c>
      <c r="AP48" s="182">
        <v>2523.130434782609</v>
      </c>
      <c r="AQ48" s="182">
        <v>140.17391304347828</v>
      </c>
      <c r="AR48" s="436">
        <f t="shared" si="34"/>
        <v>2</v>
      </c>
      <c r="AS48" s="605"/>
      <c r="AT48" s="436">
        <v>18</v>
      </c>
      <c r="AU48" s="182">
        <v>2357.8750000000009</v>
      </c>
      <c r="AV48" s="182">
        <v>130.9930555555556</v>
      </c>
      <c r="AW48" s="436">
        <f t="shared" si="35"/>
        <v>2</v>
      </c>
      <c r="AX48" s="605"/>
    </row>
    <row r="49" spans="2:50">
      <c r="B49" s="572"/>
      <c r="C49" s="436">
        <v>3</v>
      </c>
      <c r="D49" s="226" t="s">
        <v>393</v>
      </c>
      <c r="E49" s="182">
        <v>18</v>
      </c>
      <c r="F49" s="436">
        <v>3000</v>
      </c>
      <c r="G49" s="437">
        <v>166.7</v>
      </c>
      <c r="H49" s="609"/>
      <c r="I49" s="446">
        <f t="shared" si="28"/>
        <v>19</v>
      </c>
      <c r="J49" s="446">
        <f t="shared" si="28"/>
        <v>2529.5485873531502</v>
      </c>
      <c r="K49" s="438">
        <f t="shared" si="28"/>
        <v>133.13413617648158</v>
      </c>
      <c r="L49" s="541"/>
      <c r="M49" s="445">
        <f>RANK(K49, K$47:$K$61)</f>
        <v>3</v>
      </c>
      <c r="N49" s="559"/>
      <c r="O49" s="559"/>
      <c r="P49" s="436">
        <v>19</v>
      </c>
      <c r="Q49" s="182">
        <v>2582.2222222222235</v>
      </c>
      <c r="R49" s="182">
        <v>135.90643274853809</v>
      </c>
      <c r="S49" s="436">
        <f t="shared" si="29"/>
        <v>3</v>
      </c>
      <c r="T49" s="605"/>
      <c r="U49" s="436">
        <v>19</v>
      </c>
      <c r="V49" s="182">
        <v>2592.6923076923094</v>
      </c>
      <c r="W49" s="182">
        <v>136.45748987854259</v>
      </c>
      <c r="X49" s="436">
        <f t="shared" si="30"/>
        <v>2</v>
      </c>
      <c r="Y49" s="605"/>
      <c r="Z49" s="436">
        <v>19</v>
      </c>
      <c r="AA49" s="182">
        <v>2496.4285714285697</v>
      </c>
      <c r="AB49" s="182">
        <v>131.39097744360893</v>
      </c>
      <c r="AC49" s="436">
        <f t="shared" si="31"/>
        <v>3</v>
      </c>
      <c r="AD49" s="605"/>
      <c r="AE49" s="436">
        <v>19</v>
      </c>
      <c r="AF49" s="182">
        <v>2537.3076923076937</v>
      </c>
      <c r="AG49" s="182">
        <v>133.54251012145755</v>
      </c>
      <c r="AH49" s="436">
        <f t="shared" si="32"/>
        <v>3</v>
      </c>
      <c r="AI49" s="605"/>
      <c r="AJ49" s="436">
        <v>19</v>
      </c>
      <c r="AK49" s="182">
        <v>2535.7377049180318</v>
      </c>
      <c r="AL49" s="182">
        <v>133.45987920621221</v>
      </c>
      <c r="AM49" s="436">
        <f t="shared" si="33"/>
        <v>3</v>
      </c>
      <c r="AN49" s="605"/>
      <c r="AO49" s="436">
        <v>19</v>
      </c>
      <c r="AP49" s="182">
        <v>2545.9999999999991</v>
      </c>
      <c r="AQ49" s="182">
        <v>133.99999999999994</v>
      </c>
      <c r="AR49" s="436">
        <f t="shared" si="34"/>
        <v>3</v>
      </c>
      <c r="AS49" s="605"/>
      <c r="AT49" s="436">
        <v>19</v>
      </c>
      <c r="AU49" s="182">
        <v>2416.4516129032249</v>
      </c>
      <c r="AV49" s="182">
        <v>127.18166383701184</v>
      </c>
      <c r="AW49" s="436">
        <f t="shared" si="35"/>
        <v>3</v>
      </c>
      <c r="AX49" s="605"/>
    </row>
    <row r="50" spans="2:50">
      <c r="B50" s="572"/>
      <c r="C50" s="436">
        <v>4</v>
      </c>
      <c r="D50" s="226" t="s">
        <v>394</v>
      </c>
      <c r="E50" s="182">
        <v>19</v>
      </c>
      <c r="F50" s="436">
        <v>3000</v>
      </c>
      <c r="G50" s="437">
        <v>157.9</v>
      </c>
      <c r="H50" s="609"/>
      <c r="I50" s="446">
        <f t="shared" si="28"/>
        <v>18</v>
      </c>
      <c r="J50" s="446">
        <f t="shared" si="28"/>
        <v>2529.6941961230664</v>
      </c>
      <c r="K50" s="438">
        <f t="shared" si="28"/>
        <v>140.53856645128147</v>
      </c>
      <c r="L50" s="541"/>
      <c r="M50" s="445">
        <f>RANK(K50, K$47:$K$61)</f>
        <v>1</v>
      </c>
      <c r="N50" s="559"/>
      <c r="O50" s="559"/>
      <c r="P50" s="436">
        <v>18</v>
      </c>
      <c r="Q50" s="182">
        <v>2510.3448275862065</v>
      </c>
      <c r="R50" s="182">
        <v>139.46360153256703</v>
      </c>
      <c r="S50" s="436">
        <f t="shared" si="29"/>
        <v>1</v>
      </c>
      <c r="T50" s="605"/>
      <c r="U50" s="436">
        <v>18</v>
      </c>
      <c r="V50" s="182">
        <v>2568.8888888888882</v>
      </c>
      <c r="W50" s="182">
        <v>142.71604938271602</v>
      </c>
      <c r="X50" s="436">
        <f t="shared" si="30"/>
        <v>1</v>
      </c>
      <c r="Y50" s="605"/>
      <c r="Z50" s="436">
        <v>18</v>
      </c>
      <c r="AA50" s="182">
        <v>2514.074074074073</v>
      </c>
      <c r="AB50" s="182">
        <v>139.67078189300406</v>
      </c>
      <c r="AC50" s="436">
        <f t="shared" si="31"/>
        <v>1</v>
      </c>
      <c r="AD50" s="605"/>
      <c r="AE50" s="436">
        <v>18</v>
      </c>
      <c r="AF50" s="182">
        <v>2538.0722891566256</v>
      </c>
      <c r="AG50" s="182">
        <v>141.00401606425697</v>
      </c>
      <c r="AH50" s="436">
        <f t="shared" si="32"/>
        <v>2</v>
      </c>
      <c r="AI50" s="605"/>
      <c r="AJ50" s="436">
        <v>18</v>
      </c>
      <c r="AK50" s="182">
        <v>2536.304347826087</v>
      </c>
      <c r="AL50" s="182">
        <v>140.90579710144928</v>
      </c>
      <c r="AM50" s="436">
        <f t="shared" si="33"/>
        <v>1</v>
      </c>
      <c r="AN50" s="605"/>
      <c r="AO50" s="436">
        <v>18</v>
      </c>
      <c r="AP50" s="182">
        <v>2588.6597938144337</v>
      </c>
      <c r="AQ50" s="182">
        <v>143.81443298969077</v>
      </c>
      <c r="AR50" s="436">
        <f t="shared" si="34"/>
        <v>1</v>
      </c>
      <c r="AS50" s="605"/>
      <c r="AT50" s="436">
        <v>18</v>
      </c>
      <c r="AU50" s="182">
        <v>2451.5151515151506</v>
      </c>
      <c r="AV50" s="182">
        <v>136.19528619528614</v>
      </c>
      <c r="AW50" s="436">
        <f t="shared" si="35"/>
        <v>1</v>
      </c>
      <c r="AX50" s="605"/>
    </row>
    <row r="51" spans="2:50">
      <c r="B51" s="572"/>
      <c r="C51" s="436">
        <v>5</v>
      </c>
      <c r="D51" s="226" t="s">
        <v>565</v>
      </c>
      <c r="E51" s="182">
        <v>20</v>
      </c>
      <c r="F51" s="436">
        <v>2250</v>
      </c>
      <c r="G51" s="437">
        <v>112.5</v>
      </c>
      <c r="H51" s="609"/>
      <c r="I51" s="446">
        <f t="shared" si="28"/>
        <v>20</v>
      </c>
      <c r="J51" s="446">
        <f t="shared" si="28"/>
        <v>1895.6274615070688</v>
      </c>
      <c r="K51" s="438">
        <f t="shared" si="28"/>
        <v>94.781373075353443</v>
      </c>
      <c r="L51" s="541"/>
      <c r="M51" s="445">
        <f>RANK(K51, K$47:$K$61)</f>
        <v>5</v>
      </c>
      <c r="N51" s="559"/>
      <c r="O51" s="559"/>
      <c r="P51" s="436">
        <v>20</v>
      </c>
      <c r="Q51" s="182">
        <v>1861.304347826087</v>
      </c>
      <c r="R51" s="182">
        <v>93.065217391304344</v>
      </c>
      <c r="S51" s="436">
        <f t="shared" si="29"/>
        <v>5</v>
      </c>
      <c r="T51" s="605"/>
      <c r="U51" s="436">
        <v>20</v>
      </c>
      <c r="V51" s="182">
        <v>1900.4651162790694</v>
      </c>
      <c r="W51" s="182">
        <v>95.023255813953469</v>
      </c>
      <c r="X51" s="436">
        <f t="shared" si="30"/>
        <v>5</v>
      </c>
      <c r="Y51" s="605"/>
      <c r="Z51" s="436">
        <v>20</v>
      </c>
      <c r="AA51" s="182">
        <v>1895.2173913043478</v>
      </c>
      <c r="AB51" s="182">
        <v>94.760869565217391</v>
      </c>
      <c r="AC51" s="436">
        <f t="shared" si="31"/>
        <v>5</v>
      </c>
      <c r="AD51" s="605"/>
      <c r="AE51" s="436">
        <v>20</v>
      </c>
      <c r="AF51" s="182">
        <v>1927.8947368421059</v>
      </c>
      <c r="AG51" s="182">
        <v>96.394736842105289</v>
      </c>
      <c r="AH51" s="436">
        <f t="shared" si="32"/>
        <v>5</v>
      </c>
      <c r="AI51" s="605"/>
      <c r="AJ51" s="436">
        <v>20</v>
      </c>
      <c r="AK51" s="182">
        <v>1921.3333333333335</v>
      </c>
      <c r="AL51" s="182">
        <v>96.066666666666677</v>
      </c>
      <c r="AM51" s="436">
        <f t="shared" si="33"/>
        <v>5</v>
      </c>
      <c r="AN51" s="605"/>
      <c r="AO51" s="436">
        <v>20</v>
      </c>
      <c r="AP51" s="182">
        <v>1914.6666666666667</v>
      </c>
      <c r="AQ51" s="182">
        <v>95.733333333333334</v>
      </c>
      <c r="AR51" s="436">
        <f t="shared" si="34"/>
        <v>5</v>
      </c>
      <c r="AS51" s="605"/>
      <c r="AT51" s="436">
        <v>20</v>
      </c>
      <c r="AU51" s="182">
        <v>1848.5106382978727</v>
      </c>
      <c r="AV51" s="182">
        <v>92.425531914893639</v>
      </c>
      <c r="AW51" s="436">
        <f t="shared" si="35"/>
        <v>5</v>
      </c>
      <c r="AX51" s="605"/>
    </row>
    <row r="52" spans="2:50">
      <c r="B52" s="572"/>
      <c r="C52" s="436">
        <v>6</v>
      </c>
      <c r="D52" s="226"/>
      <c r="E52" s="182"/>
      <c r="F52" s="436"/>
      <c r="G52" s="437"/>
      <c r="H52" s="609"/>
      <c r="I52" s="446"/>
      <c r="J52" s="446"/>
      <c r="K52" s="438"/>
      <c r="L52" s="541"/>
      <c r="M52" s="445" t="e">
        <f>RANK(K52, K$47:$K$61)</f>
        <v>#N/A</v>
      </c>
      <c r="N52" s="559"/>
      <c r="O52" s="559"/>
      <c r="P52" s="436"/>
      <c r="Q52" s="182"/>
      <c r="R52" s="182"/>
      <c r="S52" s="436"/>
      <c r="T52" s="605"/>
      <c r="U52" s="436"/>
      <c r="V52" s="182"/>
      <c r="W52" s="182"/>
      <c r="X52" s="436"/>
      <c r="Y52" s="605"/>
      <c r="Z52" s="436"/>
      <c r="AA52" s="182"/>
      <c r="AB52" s="182"/>
      <c r="AC52" s="436"/>
      <c r="AD52" s="605"/>
      <c r="AE52" s="436" t="s">
        <v>561</v>
      </c>
      <c r="AF52" s="182" t="s">
        <v>561</v>
      </c>
      <c r="AG52" s="182" t="s">
        <v>561</v>
      </c>
      <c r="AH52" s="436"/>
      <c r="AI52" s="605"/>
      <c r="AJ52" s="436" t="s">
        <v>561</v>
      </c>
      <c r="AK52" s="182" t="s">
        <v>561</v>
      </c>
      <c r="AL52" s="182" t="s">
        <v>561</v>
      </c>
      <c r="AM52" s="436"/>
      <c r="AN52" s="605"/>
      <c r="AO52" s="436" t="s">
        <v>561</v>
      </c>
      <c r="AP52" s="182" t="s">
        <v>561</v>
      </c>
      <c r="AQ52" s="182" t="s">
        <v>561</v>
      </c>
      <c r="AR52" s="436"/>
      <c r="AS52" s="605"/>
      <c r="AT52" s="436" t="s">
        <v>561</v>
      </c>
      <c r="AU52" s="182" t="s">
        <v>561</v>
      </c>
      <c r="AV52" s="182" t="s">
        <v>561</v>
      </c>
      <c r="AW52" s="436"/>
      <c r="AX52" s="605"/>
    </row>
    <row r="53" spans="2:50">
      <c r="B53" s="572"/>
      <c r="C53" s="436">
        <v>7</v>
      </c>
      <c r="D53" s="226"/>
      <c r="E53" s="182"/>
      <c r="F53" s="436"/>
      <c r="G53" s="437"/>
      <c r="H53" s="609"/>
      <c r="I53" s="446"/>
      <c r="J53" s="446"/>
      <c r="K53" s="438"/>
      <c r="L53" s="541"/>
      <c r="M53" s="445" t="e">
        <f>RANK(K53, K$47:$K$61)</f>
        <v>#N/A</v>
      </c>
      <c r="N53" s="559"/>
      <c r="O53" s="559"/>
      <c r="P53" s="436"/>
      <c r="Q53" s="436"/>
      <c r="R53" s="436"/>
      <c r="S53" s="436"/>
      <c r="T53" s="605"/>
      <c r="U53" s="436"/>
      <c r="V53" s="436"/>
      <c r="W53" s="436"/>
      <c r="X53" s="436"/>
      <c r="Y53" s="605"/>
      <c r="Z53" s="436"/>
      <c r="AA53" s="436"/>
      <c r="AB53" s="436"/>
      <c r="AC53" s="436"/>
      <c r="AD53" s="605"/>
      <c r="AE53" s="436"/>
      <c r="AF53" s="436"/>
      <c r="AG53" s="436"/>
      <c r="AH53" s="436"/>
      <c r="AI53" s="605"/>
      <c r="AJ53" s="436"/>
      <c r="AK53" s="436"/>
      <c r="AL53" s="436"/>
      <c r="AM53" s="436"/>
      <c r="AN53" s="605"/>
      <c r="AO53" s="436"/>
      <c r="AP53" s="436"/>
      <c r="AQ53" s="436"/>
      <c r="AR53" s="436"/>
      <c r="AS53" s="605"/>
      <c r="AT53" s="436"/>
      <c r="AU53" s="436"/>
      <c r="AV53" s="436"/>
      <c r="AW53" s="436"/>
      <c r="AX53" s="605"/>
    </row>
    <row r="54" spans="2:50">
      <c r="B54" s="572"/>
      <c r="C54" s="436">
        <v>8</v>
      </c>
      <c r="D54" s="226"/>
      <c r="E54" s="182"/>
      <c r="F54" s="436"/>
      <c r="G54" s="437"/>
      <c r="H54" s="609"/>
      <c r="I54" s="446"/>
      <c r="J54" s="446"/>
      <c r="K54" s="438"/>
      <c r="L54" s="541"/>
      <c r="M54" s="445" t="e">
        <f>RANK(K54, K$47:$K$61)</f>
        <v>#N/A</v>
      </c>
      <c r="N54" s="559"/>
      <c r="O54" s="559"/>
      <c r="P54" s="436"/>
      <c r="Q54" s="436"/>
      <c r="R54" s="436"/>
      <c r="S54" s="436"/>
      <c r="T54" s="605"/>
      <c r="U54" s="436"/>
      <c r="V54" s="436"/>
      <c r="W54" s="436"/>
      <c r="X54" s="436"/>
      <c r="Y54" s="605"/>
      <c r="Z54" s="436"/>
      <c r="AA54" s="436"/>
      <c r="AB54" s="436"/>
      <c r="AC54" s="436"/>
      <c r="AD54" s="605"/>
      <c r="AE54" s="436"/>
      <c r="AF54" s="436"/>
      <c r="AG54" s="436"/>
      <c r="AH54" s="436"/>
      <c r="AI54" s="605"/>
      <c r="AJ54" s="436"/>
      <c r="AK54" s="436"/>
      <c r="AL54" s="436"/>
      <c r="AM54" s="436"/>
      <c r="AN54" s="605"/>
      <c r="AO54" s="436"/>
      <c r="AP54" s="436"/>
      <c r="AQ54" s="436"/>
      <c r="AR54" s="436"/>
      <c r="AS54" s="605"/>
      <c r="AT54" s="436"/>
      <c r="AU54" s="436"/>
      <c r="AV54" s="436"/>
      <c r="AW54" s="436"/>
      <c r="AX54" s="605"/>
    </row>
    <row r="55" spans="2:50">
      <c r="B55" s="572"/>
      <c r="C55" s="436">
        <v>9</v>
      </c>
      <c r="D55" s="226"/>
      <c r="E55" s="182"/>
      <c r="F55" s="436"/>
      <c r="G55" s="437"/>
      <c r="H55" s="609"/>
      <c r="I55" s="446"/>
      <c r="J55" s="446"/>
      <c r="K55" s="438"/>
      <c r="L55" s="541"/>
      <c r="M55" s="445" t="e">
        <f>RANK(K55, K$47:$K$61)</f>
        <v>#N/A</v>
      </c>
      <c r="N55" s="559"/>
      <c r="O55" s="559"/>
      <c r="P55" s="436"/>
      <c r="Q55" s="436"/>
      <c r="R55" s="436"/>
      <c r="S55" s="436"/>
      <c r="T55" s="605"/>
      <c r="U55" s="436"/>
      <c r="V55" s="436"/>
      <c r="W55" s="436"/>
      <c r="X55" s="436"/>
      <c r="Y55" s="605"/>
      <c r="Z55" s="436"/>
      <c r="AA55" s="436"/>
      <c r="AB55" s="436"/>
      <c r="AC55" s="436"/>
      <c r="AD55" s="605"/>
      <c r="AE55" s="436"/>
      <c r="AF55" s="436"/>
      <c r="AG55" s="436"/>
      <c r="AH55" s="436"/>
      <c r="AI55" s="605"/>
      <c r="AJ55" s="436"/>
      <c r="AK55" s="436"/>
      <c r="AL55" s="436"/>
      <c r="AM55" s="436"/>
      <c r="AN55" s="605"/>
      <c r="AO55" s="436"/>
      <c r="AP55" s="436"/>
      <c r="AQ55" s="436"/>
      <c r="AR55" s="436"/>
      <c r="AS55" s="605"/>
      <c r="AT55" s="436"/>
      <c r="AU55" s="436"/>
      <c r="AV55" s="436"/>
      <c r="AW55" s="436"/>
      <c r="AX55" s="605"/>
    </row>
    <row r="56" spans="2:50">
      <c r="B56" s="572"/>
      <c r="C56" s="436">
        <v>10</v>
      </c>
      <c r="D56" s="226"/>
      <c r="E56" s="182"/>
      <c r="F56" s="436"/>
      <c r="G56" s="437"/>
      <c r="H56" s="609"/>
      <c r="I56" s="446"/>
      <c r="J56" s="446"/>
      <c r="K56" s="438"/>
      <c r="L56" s="541"/>
      <c r="M56" s="445" t="e">
        <f>RANK(K56, K$47:$K$61)</f>
        <v>#N/A</v>
      </c>
      <c r="N56" s="559"/>
      <c r="O56" s="559"/>
      <c r="P56" s="436"/>
      <c r="Q56" s="436"/>
      <c r="R56" s="436"/>
      <c r="S56" s="436"/>
      <c r="T56" s="605"/>
      <c r="U56" s="436"/>
      <c r="V56" s="436"/>
      <c r="W56" s="436"/>
      <c r="X56" s="436"/>
      <c r="Y56" s="605"/>
      <c r="Z56" s="436"/>
      <c r="AA56" s="436"/>
      <c r="AB56" s="436"/>
      <c r="AC56" s="436"/>
      <c r="AD56" s="605"/>
      <c r="AE56" s="436"/>
      <c r="AF56" s="436"/>
      <c r="AG56" s="436"/>
      <c r="AH56" s="436"/>
      <c r="AI56" s="605"/>
      <c r="AJ56" s="436"/>
      <c r="AK56" s="436"/>
      <c r="AL56" s="436"/>
      <c r="AM56" s="436"/>
      <c r="AN56" s="605"/>
      <c r="AO56" s="436"/>
      <c r="AP56" s="436"/>
      <c r="AQ56" s="436"/>
      <c r="AR56" s="436"/>
      <c r="AS56" s="605"/>
      <c r="AT56" s="436"/>
      <c r="AU56" s="436"/>
      <c r="AV56" s="436"/>
      <c r="AW56" s="436"/>
      <c r="AX56" s="605"/>
    </row>
    <row r="57" spans="2:50">
      <c r="B57" s="572"/>
      <c r="C57" s="436">
        <v>11</v>
      </c>
      <c r="D57" s="226"/>
      <c r="E57" s="182"/>
      <c r="F57" s="436"/>
      <c r="G57" s="437"/>
      <c r="H57" s="609"/>
      <c r="I57" s="202"/>
      <c r="J57" s="202"/>
      <c r="K57" s="202"/>
      <c r="L57" s="541"/>
      <c r="M57" s="445" t="e">
        <f>RANK(K57, K$47:$K$61)</f>
        <v>#N/A</v>
      </c>
      <c r="N57" s="559"/>
      <c r="O57" s="559"/>
      <c r="P57" s="436"/>
      <c r="Q57" s="436"/>
      <c r="R57" s="436"/>
      <c r="S57" s="436"/>
      <c r="T57" s="605"/>
      <c r="U57" s="436"/>
      <c r="V57" s="436"/>
      <c r="W57" s="436"/>
      <c r="X57" s="437"/>
      <c r="Y57" s="605"/>
      <c r="Z57" s="436"/>
      <c r="AA57" s="436"/>
      <c r="AB57" s="436"/>
      <c r="AC57" s="436"/>
      <c r="AD57" s="605"/>
      <c r="AE57" s="436"/>
      <c r="AF57" s="436"/>
      <c r="AG57" s="436"/>
      <c r="AH57" s="436"/>
      <c r="AI57" s="605"/>
      <c r="AJ57" s="436"/>
      <c r="AK57" s="436"/>
      <c r="AL57" s="436"/>
      <c r="AM57" s="436"/>
      <c r="AN57" s="605"/>
      <c r="AO57" s="436"/>
      <c r="AP57" s="436"/>
      <c r="AQ57" s="436"/>
      <c r="AR57" s="436"/>
      <c r="AS57" s="605"/>
      <c r="AT57" s="436"/>
      <c r="AU57" s="436"/>
      <c r="AV57" s="436"/>
      <c r="AW57" s="436"/>
      <c r="AX57" s="605"/>
    </row>
    <row r="58" spans="2:50">
      <c r="B58" s="572"/>
      <c r="C58" s="436">
        <v>12</v>
      </c>
      <c r="D58" s="226"/>
      <c r="E58" s="182"/>
      <c r="F58" s="436"/>
      <c r="G58" s="437"/>
      <c r="H58" s="609"/>
      <c r="I58" s="202"/>
      <c r="J58" s="202"/>
      <c r="K58" s="202"/>
      <c r="L58" s="541"/>
      <c r="M58" s="445" t="e">
        <f>RANK(K58, K$47:$K$61)</f>
        <v>#N/A</v>
      </c>
      <c r="N58" s="559"/>
      <c r="O58" s="559"/>
      <c r="P58" s="436"/>
      <c r="Q58" s="436"/>
      <c r="R58" s="436"/>
      <c r="S58" s="436"/>
      <c r="T58" s="605"/>
      <c r="U58" s="436"/>
      <c r="V58" s="436"/>
      <c r="W58" s="436"/>
      <c r="X58" s="436"/>
      <c r="Y58" s="605"/>
      <c r="Z58" s="436"/>
      <c r="AA58" s="436"/>
      <c r="AB58" s="436"/>
      <c r="AC58" s="436"/>
      <c r="AD58" s="605"/>
      <c r="AE58" s="436"/>
      <c r="AF58" s="436"/>
      <c r="AG58" s="436"/>
      <c r="AH58" s="436"/>
      <c r="AI58" s="605"/>
      <c r="AJ58" s="436"/>
      <c r="AK58" s="436"/>
      <c r="AL58" s="436"/>
      <c r="AM58" s="436"/>
      <c r="AN58" s="605"/>
      <c r="AO58" s="436"/>
      <c r="AP58" s="436"/>
      <c r="AQ58" s="436"/>
      <c r="AR58" s="436"/>
      <c r="AS58" s="605"/>
      <c r="AT58" s="436"/>
      <c r="AU58" s="436"/>
      <c r="AV58" s="436"/>
      <c r="AW58" s="436"/>
      <c r="AX58" s="605"/>
    </row>
    <row r="59" spans="2:50">
      <c r="B59" s="572"/>
      <c r="C59" s="436">
        <v>13</v>
      </c>
      <c r="D59" s="226"/>
      <c r="E59" s="182"/>
      <c r="F59" s="436"/>
      <c r="G59" s="437"/>
      <c r="H59" s="609"/>
      <c r="I59" s="202"/>
      <c r="J59" s="202"/>
      <c r="K59" s="202"/>
      <c r="L59" s="541"/>
      <c r="M59" s="445" t="e">
        <f>RANK(K59, K$47:$K$61)</f>
        <v>#N/A</v>
      </c>
      <c r="N59" s="559"/>
      <c r="O59" s="559"/>
      <c r="P59" s="436"/>
      <c r="Q59" s="436"/>
      <c r="R59" s="436"/>
      <c r="S59" s="436"/>
      <c r="T59" s="605"/>
      <c r="U59" s="436"/>
      <c r="V59" s="436"/>
      <c r="W59" s="436"/>
      <c r="X59" s="436"/>
      <c r="Y59" s="605"/>
      <c r="Z59" s="436"/>
      <c r="AA59" s="436"/>
      <c r="AB59" s="436"/>
      <c r="AC59" s="436"/>
      <c r="AD59" s="605"/>
      <c r="AE59" s="436"/>
      <c r="AF59" s="436"/>
      <c r="AG59" s="436"/>
      <c r="AH59" s="436"/>
      <c r="AI59" s="605"/>
      <c r="AJ59" s="436"/>
      <c r="AK59" s="436"/>
      <c r="AL59" s="436"/>
      <c r="AM59" s="436"/>
      <c r="AN59" s="605"/>
      <c r="AO59" s="436"/>
      <c r="AP59" s="436"/>
      <c r="AQ59" s="436"/>
      <c r="AR59" s="436"/>
      <c r="AS59" s="605"/>
      <c r="AT59" s="436"/>
      <c r="AU59" s="436"/>
      <c r="AV59" s="436"/>
      <c r="AW59" s="436"/>
      <c r="AX59" s="605"/>
    </row>
    <row r="60" spans="2:50">
      <c r="B60" s="572"/>
      <c r="C60" s="436">
        <v>14</v>
      </c>
      <c r="D60" s="226"/>
      <c r="E60" s="182"/>
      <c r="F60" s="436"/>
      <c r="G60" s="437"/>
      <c r="H60" s="609"/>
      <c r="I60" s="202"/>
      <c r="J60" s="202"/>
      <c r="K60" s="202"/>
      <c r="L60" s="541"/>
      <c r="M60" s="445" t="e">
        <f>RANK(K60, K$47:$K$61)</f>
        <v>#N/A</v>
      </c>
      <c r="N60" s="559"/>
      <c r="O60" s="559"/>
      <c r="P60" s="436"/>
      <c r="Q60" s="436"/>
      <c r="R60" s="436"/>
      <c r="S60" s="436"/>
      <c r="T60" s="605"/>
      <c r="U60" s="436"/>
      <c r="V60" s="436"/>
      <c r="W60" s="436"/>
      <c r="X60" s="436"/>
      <c r="Y60" s="605"/>
      <c r="Z60" s="436"/>
      <c r="AA60" s="436"/>
      <c r="AB60" s="436"/>
      <c r="AC60" s="436"/>
      <c r="AD60" s="605"/>
      <c r="AE60" s="436"/>
      <c r="AF60" s="436"/>
      <c r="AG60" s="436"/>
      <c r="AH60" s="436"/>
      <c r="AI60" s="605"/>
      <c r="AJ60" s="436"/>
      <c r="AK60" s="436"/>
      <c r="AL60" s="436"/>
      <c r="AM60" s="436"/>
      <c r="AN60" s="605"/>
      <c r="AO60" s="436"/>
      <c r="AP60" s="436"/>
      <c r="AQ60" s="436"/>
      <c r="AR60" s="436"/>
      <c r="AS60" s="605"/>
      <c r="AT60" s="436"/>
      <c r="AU60" s="436"/>
      <c r="AV60" s="436"/>
      <c r="AW60" s="436"/>
      <c r="AX60" s="605"/>
    </row>
    <row r="61" spans="2:50">
      <c r="B61" s="572"/>
      <c r="C61" s="436">
        <v>15</v>
      </c>
      <c r="D61" s="226"/>
      <c r="E61" s="182"/>
      <c r="F61" s="436"/>
      <c r="G61" s="437"/>
      <c r="H61" s="610"/>
      <c r="I61" s="202"/>
      <c r="J61" s="202"/>
      <c r="K61" s="202"/>
      <c r="L61" s="542"/>
      <c r="M61" s="445" t="e">
        <f>RANK(K61, K$47:$K$61)</f>
        <v>#N/A</v>
      </c>
      <c r="N61" s="559"/>
      <c r="O61" s="559"/>
      <c r="P61" s="436"/>
      <c r="Q61" s="436"/>
      <c r="R61" s="436"/>
      <c r="S61" s="436"/>
      <c r="T61" s="605"/>
      <c r="U61" s="436"/>
      <c r="V61" s="436"/>
      <c r="W61" s="436"/>
      <c r="X61" s="436"/>
      <c r="Y61" s="605"/>
      <c r="Z61" s="436"/>
      <c r="AA61" s="436"/>
      <c r="AB61" s="436"/>
      <c r="AC61" s="436"/>
      <c r="AD61" s="605"/>
      <c r="AE61" s="436"/>
      <c r="AF61" s="436"/>
      <c r="AG61" s="436"/>
      <c r="AH61" s="436"/>
      <c r="AI61" s="605"/>
      <c r="AJ61" s="436"/>
      <c r="AK61" s="436"/>
      <c r="AL61" s="436"/>
      <c r="AM61" s="436"/>
      <c r="AN61" s="605"/>
      <c r="AO61" s="436"/>
      <c r="AP61" s="436"/>
      <c r="AQ61" s="436"/>
      <c r="AR61" s="436"/>
      <c r="AS61" s="605"/>
      <c r="AT61" s="436"/>
      <c r="AU61" s="436"/>
      <c r="AV61" s="436"/>
      <c r="AW61" s="436"/>
      <c r="AX61" s="605"/>
    </row>
    <row r="62" spans="2:50" ht="15.75">
      <c r="B62" s="576" t="s">
        <v>162</v>
      </c>
      <c r="C62" s="577"/>
      <c r="D62" s="577"/>
      <c r="E62" s="577"/>
      <c r="F62" s="577"/>
      <c r="G62" s="577"/>
      <c r="H62" s="578"/>
      <c r="I62" s="208"/>
      <c r="J62" s="208"/>
      <c r="K62" s="208"/>
      <c r="L62" s="208"/>
      <c r="M62" s="207"/>
      <c r="N62" s="565" t="s">
        <v>156</v>
      </c>
      <c r="O62" s="565" t="s">
        <v>105</v>
      </c>
      <c r="P62" s="571">
        <f>P42+7</f>
        <v>46407</v>
      </c>
      <c r="Q62" s="572"/>
      <c r="R62" s="572"/>
      <c r="S62" s="572"/>
      <c r="T62" s="572"/>
      <c r="U62" s="568">
        <f>P62+1</f>
        <v>46408</v>
      </c>
      <c r="V62" s="569"/>
      <c r="W62" s="569"/>
      <c r="X62" s="569"/>
      <c r="Y62" s="570"/>
      <c r="Z62" s="568">
        <f>U62+1</f>
        <v>46409</v>
      </c>
      <c r="AA62" s="569"/>
      <c r="AB62" s="569"/>
      <c r="AC62" s="569"/>
      <c r="AD62" s="570"/>
      <c r="AE62" s="568">
        <f>Z62+1</f>
        <v>46410</v>
      </c>
      <c r="AF62" s="569"/>
      <c r="AG62" s="569"/>
      <c r="AH62" s="569"/>
      <c r="AI62" s="570"/>
      <c r="AJ62" s="568">
        <f>AE62+1</f>
        <v>46411</v>
      </c>
      <c r="AK62" s="569"/>
      <c r="AL62" s="569"/>
      <c r="AM62" s="569"/>
      <c r="AN62" s="570"/>
      <c r="AO62" s="568">
        <f>AJ62+1</f>
        <v>46412</v>
      </c>
      <c r="AP62" s="569"/>
      <c r="AQ62" s="569"/>
      <c r="AR62" s="569"/>
      <c r="AS62" s="570"/>
      <c r="AT62" s="568">
        <f>AO62+1</f>
        <v>46413</v>
      </c>
      <c r="AU62" s="569"/>
      <c r="AV62" s="569"/>
      <c r="AW62" s="569"/>
      <c r="AX62" s="570"/>
    </row>
    <row r="63" spans="2:50" ht="15.75">
      <c r="B63" s="579"/>
      <c r="C63" s="579"/>
      <c r="D63" s="579"/>
      <c r="E63" s="579"/>
      <c r="F63" s="579"/>
      <c r="G63" s="579"/>
      <c r="H63" s="579"/>
      <c r="I63" s="205"/>
      <c r="J63" s="205"/>
      <c r="K63" s="205"/>
      <c r="L63" s="205"/>
      <c r="M63" s="206"/>
      <c r="N63" s="567"/>
      <c r="O63" s="567"/>
      <c r="P63" s="571" t="s">
        <v>734</v>
      </c>
      <c r="Q63" s="572"/>
      <c r="R63" s="572"/>
      <c r="S63" s="572"/>
      <c r="T63" s="572"/>
      <c r="U63" s="571" t="s">
        <v>735</v>
      </c>
      <c r="V63" s="572"/>
      <c r="W63" s="572"/>
      <c r="X63" s="572"/>
      <c r="Y63" s="572"/>
      <c r="Z63" s="571" t="s">
        <v>736</v>
      </c>
      <c r="AA63" s="572"/>
      <c r="AB63" s="572"/>
      <c r="AC63" s="572"/>
      <c r="AD63" s="572"/>
      <c r="AE63" s="571" t="s">
        <v>737</v>
      </c>
      <c r="AF63" s="572"/>
      <c r="AG63" s="572"/>
      <c r="AH63" s="572"/>
      <c r="AI63" s="572"/>
      <c r="AJ63" s="571" t="s">
        <v>738</v>
      </c>
      <c r="AK63" s="572"/>
      <c r="AL63" s="572"/>
      <c r="AM63" s="572"/>
      <c r="AN63" s="572"/>
      <c r="AO63" s="571" t="s">
        <v>739</v>
      </c>
      <c r="AP63" s="572"/>
      <c r="AQ63" s="572"/>
      <c r="AR63" s="572"/>
      <c r="AS63" s="572"/>
      <c r="AT63" s="571" t="s">
        <v>740</v>
      </c>
      <c r="AU63" s="572"/>
      <c r="AV63" s="572"/>
      <c r="AW63" s="572"/>
      <c r="AX63" s="572"/>
    </row>
    <row r="64" spans="2:50">
      <c r="B64" s="559" t="s">
        <v>741</v>
      </c>
      <c r="C64" s="559" t="s">
        <v>742</v>
      </c>
      <c r="D64" s="559"/>
      <c r="E64" s="559" t="s">
        <v>743</v>
      </c>
      <c r="F64" s="559"/>
      <c r="G64" s="559"/>
      <c r="H64" s="560" t="s">
        <v>744</v>
      </c>
      <c r="I64" s="543" t="s">
        <v>745</v>
      </c>
      <c r="J64" s="543"/>
      <c r="K64" s="543"/>
      <c r="L64" s="544" t="s">
        <v>744</v>
      </c>
      <c r="M64" s="550" t="s">
        <v>746</v>
      </c>
      <c r="N64" s="559"/>
      <c r="O64" s="559" t="s">
        <v>747</v>
      </c>
      <c r="P64" s="556" t="s">
        <v>748</v>
      </c>
      <c r="Q64" s="557"/>
      <c r="R64" s="557"/>
      <c r="S64" s="558"/>
      <c r="T64" s="559" t="s">
        <v>744</v>
      </c>
      <c r="U64" s="556" t="s">
        <v>748</v>
      </c>
      <c r="V64" s="557"/>
      <c r="W64" s="557"/>
      <c r="X64" s="558"/>
      <c r="Y64" s="559" t="s">
        <v>744</v>
      </c>
      <c r="Z64" s="556" t="s">
        <v>748</v>
      </c>
      <c r="AA64" s="557"/>
      <c r="AB64" s="557"/>
      <c r="AC64" s="558"/>
      <c r="AD64" s="559" t="s">
        <v>744</v>
      </c>
      <c r="AE64" s="556" t="s">
        <v>748</v>
      </c>
      <c r="AF64" s="557"/>
      <c r="AG64" s="557"/>
      <c r="AH64" s="558"/>
      <c r="AI64" s="559" t="s">
        <v>744</v>
      </c>
      <c r="AJ64" s="556" t="s">
        <v>748</v>
      </c>
      <c r="AK64" s="557"/>
      <c r="AL64" s="557"/>
      <c r="AM64" s="558"/>
      <c r="AN64" s="559" t="s">
        <v>744</v>
      </c>
      <c r="AO64" s="556" t="s">
        <v>748</v>
      </c>
      <c r="AP64" s="557"/>
      <c r="AQ64" s="557"/>
      <c r="AR64" s="558"/>
      <c r="AS64" s="559" t="s">
        <v>744</v>
      </c>
      <c r="AT64" s="556" t="s">
        <v>748</v>
      </c>
      <c r="AU64" s="557"/>
      <c r="AV64" s="557"/>
      <c r="AW64" s="558"/>
      <c r="AX64" s="559" t="s">
        <v>744</v>
      </c>
    </row>
    <row r="65" spans="2:50">
      <c r="B65" s="559"/>
      <c r="C65" s="559"/>
      <c r="D65" s="559"/>
      <c r="E65" s="559" t="s">
        <v>749</v>
      </c>
      <c r="F65" s="559"/>
      <c r="G65" s="559"/>
      <c r="H65" s="561"/>
      <c r="I65" s="543" t="s">
        <v>749</v>
      </c>
      <c r="J65" s="543"/>
      <c r="K65" s="543"/>
      <c r="L65" s="545"/>
      <c r="M65" s="551"/>
      <c r="N65" s="559"/>
      <c r="O65" s="559"/>
      <c r="P65" s="556" t="s">
        <v>750</v>
      </c>
      <c r="Q65" s="557"/>
      <c r="R65" s="557"/>
      <c r="S65" s="558"/>
      <c r="T65" s="559"/>
      <c r="U65" s="556" t="s">
        <v>750</v>
      </c>
      <c r="V65" s="557"/>
      <c r="W65" s="557"/>
      <c r="X65" s="558"/>
      <c r="Y65" s="559"/>
      <c r="Z65" s="556" t="s">
        <v>750</v>
      </c>
      <c r="AA65" s="557"/>
      <c r="AB65" s="557"/>
      <c r="AC65" s="558"/>
      <c r="AD65" s="559"/>
      <c r="AE65" s="556" t="s">
        <v>750</v>
      </c>
      <c r="AF65" s="557"/>
      <c r="AG65" s="557"/>
      <c r="AH65" s="558"/>
      <c r="AI65" s="559"/>
      <c r="AJ65" s="556" t="s">
        <v>750</v>
      </c>
      <c r="AK65" s="557"/>
      <c r="AL65" s="557"/>
      <c r="AM65" s="558"/>
      <c r="AN65" s="559"/>
      <c r="AO65" s="556" t="s">
        <v>750</v>
      </c>
      <c r="AP65" s="557"/>
      <c r="AQ65" s="557"/>
      <c r="AR65" s="558"/>
      <c r="AS65" s="559"/>
      <c r="AT65" s="556" t="s">
        <v>750</v>
      </c>
      <c r="AU65" s="557"/>
      <c r="AV65" s="557"/>
      <c r="AW65" s="558"/>
      <c r="AX65" s="559"/>
    </row>
    <row r="66" spans="2:50">
      <c r="B66" s="559"/>
      <c r="C66" s="559"/>
      <c r="D66" s="559"/>
      <c r="E66" s="440" t="s">
        <v>751</v>
      </c>
      <c r="F66" s="440" t="s">
        <v>752</v>
      </c>
      <c r="G66" s="440" t="s">
        <v>753</v>
      </c>
      <c r="H66" s="562"/>
      <c r="I66" s="444" t="s">
        <v>751</v>
      </c>
      <c r="J66" s="444" t="s">
        <v>752</v>
      </c>
      <c r="K66" s="444" t="s">
        <v>753</v>
      </c>
      <c r="L66" s="546"/>
      <c r="M66" s="552"/>
      <c r="N66" s="559"/>
      <c r="O66" s="559"/>
      <c r="P66" s="440" t="s">
        <v>751</v>
      </c>
      <c r="Q66" s="440" t="s">
        <v>752</v>
      </c>
      <c r="R66" s="440" t="s">
        <v>753</v>
      </c>
      <c r="S66" s="440" t="s">
        <v>746</v>
      </c>
      <c r="T66" s="559"/>
      <c r="U66" s="440" t="s">
        <v>751</v>
      </c>
      <c r="V66" s="440" t="s">
        <v>752</v>
      </c>
      <c r="W66" s="440" t="s">
        <v>753</v>
      </c>
      <c r="X66" s="440" t="s">
        <v>746</v>
      </c>
      <c r="Y66" s="559"/>
      <c r="Z66" s="440" t="s">
        <v>751</v>
      </c>
      <c r="AA66" s="440" t="s">
        <v>752</v>
      </c>
      <c r="AB66" s="440" t="s">
        <v>753</v>
      </c>
      <c r="AC66" s="440" t="s">
        <v>746</v>
      </c>
      <c r="AD66" s="559"/>
      <c r="AE66" s="440" t="s">
        <v>751</v>
      </c>
      <c r="AF66" s="440" t="s">
        <v>752</v>
      </c>
      <c r="AG66" s="440" t="s">
        <v>753</v>
      </c>
      <c r="AH66" s="440" t="s">
        <v>746</v>
      </c>
      <c r="AI66" s="559"/>
      <c r="AJ66" s="440" t="s">
        <v>751</v>
      </c>
      <c r="AK66" s="440" t="s">
        <v>752</v>
      </c>
      <c r="AL66" s="440" t="s">
        <v>753</v>
      </c>
      <c r="AM66" s="440" t="s">
        <v>746</v>
      </c>
      <c r="AN66" s="559"/>
      <c r="AO66" s="440" t="s">
        <v>751</v>
      </c>
      <c r="AP66" s="440" t="s">
        <v>752</v>
      </c>
      <c r="AQ66" s="440" t="s">
        <v>753</v>
      </c>
      <c r="AR66" s="440" t="s">
        <v>746</v>
      </c>
      <c r="AS66" s="559"/>
      <c r="AT66" s="440" t="s">
        <v>751</v>
      </c>
      <c r="AU66" s="440" t="s">
        <v>752</v>
      </c>
      <c r="AV66" s="440" t="s">
        <v>753</v>
      </c>
      <c r="AW66" s="440" t="s">
        <v>746</v>
      </c>
      <c r="AX66" s="559"/>
    </row>
    <row r="67" spans="2:50">
      <c r="B67" s="559" t="s">
        <v>812</v>
      </c>
      <c r="C67" s="436">
        <v>1</v>
      </c>
      <c r="D67" s="226" t="s">
        <v>391</v>
      </c>
      <c r="E67" s="182">
        <v>20</v>
      </c>
      <c r="F67" s="436">
        <v>2400</v>
      </c>
      <c r="G67" s="437">
        <v>120</v>
      </c>
      <c r="H67" s="608">
        <f>AVERAGE(G67:G81)</f>
        <v>144.76</v>
      </c>
      <c r="I67" s="446">
        <f t="shared" ref="I67:K71" si="36">AVERAGE(P67,U67,Z67,AE67,AJ67,AO67,AT67)</f>
        <v>19.142857142857142</v>
      </c>
      <c r="J67" s="446">
        <f t="shared" si="36"/>
        <v>2104.9564527210778</v>
      </c>
      <c r="K67" s="438">
        <f t="shared" si="36"/>
        <v>109.98829205613649</v>
      </c>
      <c r="L67" s="540">
        <f>IFERROR(AVERAGE(K67:K81),"-")</f>
        <v>124.61853480776165</v>
      </c>
      <c r="M67" s="445">
        <f>RANK(K67, K$67:$K$81)</f>
        <v>4</v>
      </c>
      <c r="N67" s="559"/>
      <c r="O67" s="559"/>
      <c r="P67" s="443">
        <v>20</v>
      </c>
      <c r="Q67" s="447">
        <v>2125.0465116279065</v>
      </c>
      <c r="R67" s="447">
        <v>106.25232558139533</v>
      </c>
      <c r="S67" s="436">
        <f>RANK(R67, R$67:R$81)</f>
        <v>4</v>
      </c>
      <c r="T67" s="608">
        <f>AVERAGE(R67:R81)</f>
        <v>120.07764011373403</v>
      </c>
      <c r="U67" s="443">
        <v>19</v>
      </c>
      <c r="V67" s="447">
        <v>1981.3695652173913</v>
      </c>
      <c r="W67" s="447">
        <v>104.28260869565217</v>
      </c>
      <c r="X67" s="436">
        <f t="shared" ref="X67:X81" si="37">RANK(W67, W$67:W$81)</f>
        <v>5</v>
      </c>
      <c r="Y67" s="608">
        <f t="shared" ref="Y67" si="38">AVERAGE(W67:W81)</f>
        <v>121.14226324079388</v>
      </c>
      <c r="Z67" s="443">
        <v>19</v>
      </c>
      <c r="AA67" s="447">
        <v>2165.5263157894719</v>
      </c>
      <c r="AB67" s="447">
        <v>113.97506925207747</v>
      </c>
      <c r="AC67" s="436">
        <f t="shared" ref="AC67:AC81" si="39">RANK(AB67, AB$67:AB$81)</f>
        <v>4</v>
      </c>
      <c r="AD67" s="608">
        <f t="shared" ref="AD67" si="40">AVERAGE(AB67:AB81)</f>
        <v>127.01771959204223</v>
      </c>
      <c r="AE67" s="443">
        <v>19</v>
      </c>
      <c r="AF67" s="447">
        <v>2117.5945945945932</v>
      </c>
      <c r="AG67" s="447">
        <v>111.45234708392596</v>
      </c>
      <c r="AH67" s="436">
        <f t="shared" ref="AH67:AH81" si="41">RANK(AG67, AG$67:AG$81)</f>
        <v>4</v>
      </c>
      <c r="AI67" s="608">
        <f t="shared" ref="AI67" si="42">AVERAGE(AG67:AG81)</f>
        <v>126.35628780891929</v>
      </c>
      <c r="AJ67" s="443">
        <v>19</v>
      </c>
      <c r="AK67" s="447">
        <v>2081.0400000000009</v>
      </c>
      <c r="AL67" s="447">
        <v>109.52842105263163</v>
      </c>
      <c r="AM67" s="436">
        <f t="shared" ref="AM67:AM81" si="43">RANK(AL67, AL$67:AL$81)</f>
        <v>4</v>
      </c>
      <c r="AN67" s="608">
        <f t="shared" ref="AN67" si="44">AVERAGE(AL67:AL81)</f>
        <v>124.87574397532293</v>
      </c>
      <c r="AO67" s="443">
        <v>19</v>
      </c>
      <c r="AP67" s="447">
        <v>2125.5000000000009</v>
      </c>
      <c r="AQ67" s="447">
        <v>111.86842105263163</v>
      </c>
      <c r="AR67" s="436">
        <f t="shared" ref="AR67:AR81" si="45">RANK(AQ67, AQ$67:AQ$81)</f>
        <v>4</v>
      </c>
      <c r="AS67" s="608">
        <f t="shared" ref="AS67" si="46">AVERAGE(AQ67:AQ81)</f>
        <v>125.94374168595721</v>
      </c>
      <c r="AT67" s="182">
        <v>19</v>
      </c>
      <c r="AU67" s="437">
        <v>2138.6181818181803</v>
      </c>
      <c r="AV67" s="437">
        <v>112.55885167464108</v>
      </c>
      <c r="AW67" s="436">
        <f t="shared" ref="AW67:AW81" si="47">RANK(AV67, AV$67:AV$81)</f>
        <v>4</v>
      </c>
      <c r="AX67" s="605">
        <f t="shared" ref="AX67" si="48">AVERAGE(AV67:AV81)</f>
        <v>126.91634723756188</v>
      </c>
    </row>
    <row r="68" spans="2:50">
      <c r="B68" s="572"/>
      <c r="C68" s="436">
        <v>2</v>
      </c>
      <c r="D68" s="226" t="s">
        <v>392</v>
      </c>
      <c r="E68" s="182">
        <v>18</v>
      </c>
      <c r="F68" s="436">
        <v>3000</v>
      </c>
      <c r="G68" s="437">
        <v>166.7</v>
      </c>
      <c r="H68" s="609"/>
      <c r="I68" s="446">
        <f t="shared" si="36"/>
        <v>19</v>
      </c>
      <c r="J68" s="446">
        <f t="shared" si="36"/>
        <v>2546.7412512258888</v>
      </c>
      <c r="K68" s="438">
        <f t="shared" si="36"/>
        <v>134.03901322241521</v>
      </c>
      <c r="L68" s="541"/>
      <c r="M68" s="445">
        <f>RANK(K68, K$67:$K$81)</f>
        <v>3</v>
      </c>
      <c r="N68" s="559"/>
      <c r="O68" s="559"/>
      <c r="P68" s="443">
        <v>19</v>
      </c>
      <c r="Q68" s="447">
        <v>2453.0999999999995</v>
      </c>
      <c r="R68" s="447">
        <v>129.11052631578946</v>
      </c>
      <c r="S68" s="436">
        <f t="shared" ref="S68:S81" si="49">RANK(R68, R$67:R$81)</f>
        <v>3</v>
      </c>
      <c r="T68" s="609"/>
      <c r="U68" s="443">
        <v>19</v>
      </c>
      <c r="V68" s="447">
        <v>2452.8947368421032</v>
      </c>
      <c r="W68" s="447">
        <v>129.09972299168965</v>
      </c>
      <c r="X68" s="436">
        <f t="shared" si="37"/>
        <v>3</v>
      </c>
      <c r="Y68" s="609"/>
      <c r="Z68" s="443">
        <v>19</v>
      </c>
      <c r="AA68" s="447">
        <v>2634.9374999999964</v>
      </c>
      <c r="AB68" s="447">
        <v>138.68092105263139</v>
      </c>
      <c r="AC68" s="436">
        <f t="shared" si="39"/>
        <v>2</v>
      </c>
      <c r="AD68" s="609"/>
      <c r="AE68" s="443">
        <v>19</v>
      </c>
      <c r="AF68" s="447">
        <v>2597.9999999999932</v>
      </c>
      <c r="AG68" s="447">
        <v>136.73684210526281</v>
      </c>
      <c r="AH68" s="436">
        <f t="shared" si="41"/>
        <v>3</v>
      </c>
      <c r="AI68" s="609"/>
      <c r="AJ68" s="443">
        <v>19</v>
      </c>
      <c r="AK68" s="447">
        <v>2523.2999999999993</v>
      </c>
      <c r="AL68" s="447">
        <v>132.8052631578947</v>
      </c>
      <c r="AM68" s="436">
        <f t="shared" si="43"/>
        <v>3</v>
      </c>
      <c r="AN68" s="609"/>
      <c r="AO68" s="443">
        <v>19</v>
      </c>
      <c r="AP68" s="447">
        <v>2612.9999999999982</v>
      </c>
      <c r="AQ68" s="447">
        <v>137.52631578947359</v>
      </c>
      <c r="AR68" s="436">
        <f t="shared" si="45"/>
        <v>2</v>
      </c>
      <c r="AS68" s="609"/>
      <c r="AT68" s="436">
        <v>19</v>
      </c>
      <c r="AU68" s="437">
        <v>2551.9565217391305</v>
      </c>
      <c r="AV68" s="437">
        <v>134.31350114416477</v>
      </c>
      <c r="AW68" s="436">
        <f t="shared" si="47"/>
        <v>3</v>
      </c>
      <c r="AX68" s="605"/>
    </row>
    <row r="69" spans="2:50">
      <c r="B69" s="572"/>
      <c r="C69" s="436">
        <v>3</v>
      </c>
      <c r="D69" s="226" t="s">
        <v>393</v>
      </c>
      <c r="E69" s="182">
        <v>18</v>
      </c>
      <c r="F69" s="436">
        <v>3000</v>
      </c>
      <c r="G69" s="437">
        <v>166.7</v>
      </c>
      <c r="H69" s="609"/>
      <c r="I69" s="446">
        <f t="shared" si="36"/>
        <v>19</v>
      </c>
      <c r="J69" s="446">
        <f t="shared" si="36"/>
        <v>2606.0613239427685</v>
      </c>
      <c r="K69" s="438">
        <f t="shared" si="36"/>
        <v>137.16112231277731</v>
      </c>
      <c r="L69" s="541"/>
      <c r="M69" s="445">
        <f>RANK(K69, K$67:$K$81)</f>
        <v>1</v>
      </c>
      <c r="N69" s="559"/>
      <c r="O69" s="559"/>
      <c r="P69" s="443">
        <v>19</v>
      </c>
      <c r="Q69" s="447">
        <v>2468.9361702127662</v>
      </c>
      <c r="R69" s="447">
        <v>129.94400895856666</v>
      </c>
      <c r="S69" s="436">
        <f t="shared" si="49"/>
        <v>2</v>
      </c>
      <c r="T69" s="609"/>
      <c r="U69" s="443">
        <v>19</v>
      </c>
      <c r="V69" s="447">
        <v>2553.913043478261</v>
      </c>
      <c r="W69" s="447">
        <v>134.41647597254004</v>
      </c>
      <c r="X69" s="436">
        <f t="shared" si="37"/>
        <v>1</v>
      </c>
      <c r="Y69" s="609"/>
      <c r="Z69" s="443">
        <v>19</v>
      </c>
      <c r="AA69" s="447">
        <v>2650.4999999999991</v>
      </c>
      <c r="AB69" s="447">
        <v>139.49999999999994</v>
      </c>
      <c r="AC69" s="436">
        <f t="shared" si="39"/>
        <v>1</v>
      </c>
      <c r="AD69" s="609"/>
      <c r="AE69" s="443">
        <v>19</v>
      </c>
      <c r="AF69" s="447">
        <v>2641.7142857142831</v>
      </c>
      <c r="AG69" s="447">
        <v>139.03759398496226</v>
      </c>
      <c r="AH69" s="436">
        <f t="shared" si="41"/>
        <v>2</v>
      </c>
      <c r="AI69" s="609"/>
      <c r="AJ69" s="443">
        <v>19</v>
      </c>
      <c r="AK69" s="447">
        <v>2641.2000000000007</v>
      </c>
      <c r="AL69" s="447">
        <v>139.01052631578952</v>
      </c>
      <c r="AM69" s="436">
        <f t="shared" si="43"/>
        <v>2</v>
      </c>
      <c r="AN69" s="609"/>
      <c r="AO69" s="443">
        <v>19</v>
      </c>
      <c r="AP69" s="447">
        <v>2615.094339622643</v>
      </c>
      <c r="AQ69" s="447">
        <v>137.63654419066543</v>
      </c>
      <c r="AR69" s="436">
        <f t="shared" si="45"/>
        <v>1</v>
      </c>
      <c r="AS69" s="609"/>
      <c r="AT69" s="436">
        <v>19</v>
      </c>
      <c r="AU69" s="437">
        <v>2671.0714285714266</v>
      </c>
      <c r="AV69" s="437">
        <v>140.5827067669172</v>
      </c>
      <c r="AW69" s="436">
        <f t="shared" si="47"/>
        <v>2</v>
      </c>
      <c r="AX69" s="605"/>
    </row>
    <row r="70" spans="2:50">
      <c r="B70" s="572"/>
      <c r="C70" s="436">
        <v>4</v>
      </c>
      <c r="D70" s="226" t="s">
        <v>394</v>
      </c>
      <c r="E70" s="182">
        <v>19</v>
      </c>
      <c r="F70" s="436">
        <v>3000</v>
      </c>
      <c r="G70" s="437">
        <v>157.9</v>
      </c>
      <c r="H70" s="609"/>
      <c r="I70" s="446">
        <f t="shared" si="36"/>
        <v>19</v>
      </c>
      <c r="J70" s="446">
        <f t="shared" si="36"/>
        <v>2604.2866226146239</v>
      </c>
      <c r="K70" s="438">
        <f t="shared" si="36"/>
        <v>137.06771697971706</v>
      </c>
      <c r="L70" s="541"/>
      <c r="M70" s="445">
        <f>RANK(K70, K$67:$K$81)</f>
        <v>2</v>
      </c>
      <c r="N70" s="559"/>
      <c r="O70" s="559"/>
      <c r="P70" s="443">
        <v>19</v>
      </c>
      <c r="Q70" s="447">
        <v>2472.0000000000009</v>
      </c>
      <c r="R70" s="447">
        <v>130.1052631578948</v>
      </c>
      <c r="S70" s="436">
        <f t="shared" si="49"/>
        <v>1</v>
      </c>
      <c r="T70" s="609"/>
      <c r="U70" s="443">
        <v>19</v>
      </c>
      <c r="V70" s="447">
        <v>2529.428571428572</v>
      </c>
      <c r="W70" s="447">
        <v>133.12781954887222</v>
      </c>
      <c r="X70" s="436">
        <f t="shared" si="37"/>
        <v>2</v>
      </c>
      <c r="Y70" s="609"/>
      <c r="Z70" s="443">
        <v>19</v>
      </c>
      <c r="AA70" s="447">
        <v>2600.0945454545435</v>
      </c>
      <c r="AB70" s="447">
        <v>136.84708133971282</v>
      </c>
      <c r="AC70" s="436">
        <f t="shared" si="39"/>
        <v>3</v>
      </c>
      <c r="AD70" s="609"/>
      <c r="AE70" s="443">
        <v>19</v>
      </c>
      <c r="AF70" s="447">
        <v>2685.0000000000009</v>
      </c>
      <c r="AG70" s="447">
        <v>141.31578947368425</v>
      </c>
      <c r="AH70" s="436">
        <f t="shared" si="41"/>
        <v>1</v>
      </c>
      <c r="AI70" s="609"/>
      <c r="AJ70" s="443">
        <v>19</v>
      </c>
      <c r="AK70" s="447">
        <v>2643.8095238095234</v>
      </c>
      <c r="AL70" s="447">
        <v>139.14786967418544</v>
      </c>
      <c r="AM70" s="436">
        <f t="shared" si="43"/>
        <v>1</v>
      </c>
      <c r="AN70" s="609"/>
      <c r="AO70" s="443">
        <v>19</v>
      </c>
      <c r="AP70" s="447">
        <v>2597.9032258064508</v>
      </c>
      <c r="AQ70" s="447">
        <v>136.7317487266553</v>
      </c>
      <c r="AR70" s="436">
        <f t="shared" si="45"/>
        <v>3</v>
      </c>
      <c r="AS70" s="609"/>
      <c r="AT70" s="436">
        <v>19</v>
      </c>
      <c r="AU70" s="437">
        <v>2701.7704918032773</v>
      </c>
      <c r="AV70" s="437">
        <v>142.19844693701461</v>
      </c>
      <c r="AW70" s="436">
        <f t="shared" si="47"/>
        <v>1</v>
      </c>
      <c r="AX70" s="605"/>
    </row>
    <row r="71" spans="2:50">
      <c r="B71" s="572"/>
      <c r="C71" s="436">
        <v>5</v>
      </c>
      <c r="D71" s="226" t="s">
        <v>565</v>
      </c>
      <c r="E71" s="182">
        <v>20</v>
      </c>
      <c r="F71" s="436">
        <v>2250</v>
      </c>
      <c r="G71" s="437">
        <v>112.5</v>
      </c>
      <c r="H71" s="609"/>
      <c r="I71" s="446">
        <f t="shared" si="36"/>
        <v>19</v>
      </c>
      <c r="J71" s="446">
        <f t="shared" si="36"/>
        <v>1991.8940598874813</v>
      </c>
      <c r="K71" s="438">
        <f t="shared" si="36"/>
        <v>104.83652946776216</v>
      </c>
      <c r="L71" s="541"/>
      <c r="M71" s="445">
        <f>RANK(K71, K$67:$K$81)</f>
        <v>5</v>
      </c>
      <c r="N71" s="559"/>
      <c r="O71" s="559"/>
      <c r="P71" s="443">
        <v>19</v>
      </c>
      <c r="Q71" s="447">
        <v>1994.5454545454545</v>
      </c>
      <c r="R71" s="447">
        <v>104.97607655502392</v>
      </c>
      <c r="S71" s="436">
        <f t="shared" si="49"/>
        <v>5</v>
      </c>
      <c r="T71" s="609"/>
      <c r="U71" s="443">
        <v>19</v>
      </c>
      <c r="V71" s="447">
        <v>1990.9090909090908</v>
      </c>
      <c r="W71" s="447">
        <v>104.7846889952153</v>
      </c>
      <c r="X71" s="436">
        <f t="shared" si="37"/>
        <v>4</v>
      </c>
      <c r="Y71" s="609"/>
      <c r="Z71" s="443">
        <v>19</v>
      </c>
      <c r="AA71" s="447">
        <v>2015.6249999999995</v>
      </c>
      <c r="AB71" s="447">
        <v>106.08552631578945</v>
      </c>
      <c r="AC71" s="436">
        <f t="shared" si="39"/>
        <v>5</v>
      </c>
      <c r="AD71" s="609"/>
      <c r="AE71" s="443">
        <v>19</v>
      </c>
      <c r="AF71" s="447">
        <v>1961.5384615384623</v>
      </c>
      <c r="AG71" s="447">
        <v>103.23886639676118</v>
      </c>
      <c r="AH71" s="436">
        <f t="shared" si="41"/>
        <v>5</v>
      </c>
      <c r="AI71" s="609"/>
      <c r="AJ71" s="443">
        <v>19</v>
      </c>
      <c r="AK71" s="447">
        <v>1973.8461538461547</v>
      </c>
      <c r="AL71" s="447">
        <v>103.8866396761134</v>
      </c>
      <c r="AM71" s="436">
        <f t="shared" si="43"/>
        <v>5</v>
      </c>
      <c r="AN71" s="609"/>
      <c r="AO71" s="443">
        <v>19</v>
      </c>
      <c r="AP71" s="447">
        <v>2013.157894736843</v>
      </c>
      <c r="AQ71" s="447">
        <v>105.95567867036016</v>
      </c>
      <c r="AR71" s="436">
        <f t="shared" si="45"/>
        <v>5</v>
      </c>
      <c r="AS71" s="609"/>
      <c r="AT71" s="436">
        <v>19</v>
      </c>
      <c r="AU71" s="437">
        <v>1993.6363636363635</v>
      </c>
      <c r="AV71" s="437">
        <v>104.92822966507177</v>
      </c>
      <c r="AW71" s="436">
        <f t="shared" si="47"/>
        <v>5</v>
      </c>
      <c r="AX71" s="605"/>
    </row>
    <row r="72" spans="2:50">
      <c r="B72" s="572"/>
      <c r="C72" s="436">
        <v>6</v>
      </c>
      <c r="D72" s="226"/>
      <c r="E72" s="182"/>
      <c r="F72" s="436"/>
      <c r="G72" s="437"/>
      <c r="H72" s="609"/>
      <c r="I72" s="446"/>
      <c r="J72" s="446"/>
      <c r="K72" s="438"/>
      <c r="L72" s="541"/>
      <c r="M72" s="445" t="e">
        <f>RANK(K72, K$67:$K$81)</f>
        <v>#N/A</v>
      </c>
      <c r="N72" s="559"/>
      <c r="O72" s="559"/>
      <c r="P72" s="443"/>
      <c r="Q72" s="447"/>
      <c r="R72" s="447"/>
      <c r="S72" s="436" t="e">
        <f t="shared" si="49"/>
        <v>#N/A</v>
      </c>
      <c r="T72" s="609"/>
      <c r="U72" s="443"/>
      <c r="V72" s="447"/>
      <c r="W72" s="447"/>
      <c r="X72" s="436" t="e">
        <f t="shared" si="37"/>
        <v>#N/A</v>
      </c>
      <c r="Y72" s="609"/>
      <c r="Z72" s="443"/>
      <c r="AA72" s="447"/>
      <c r="AB72" s="447"/>
      <c r="AC72" s="436" t="e">
        <f t="shared" si="39"/>
        <v>#N/A</v>
      </c>
      <c r="AD72" s="609"/>
      <c r="AE72" s="443"/>
      <c r="AF72" s="447"/>
      <c r="AG72" s="447"/>
      <c r="AH72" s="436" t="e">
        <f t="shared" si="41"/>
        <v>#N/A</v>
      </c>
      <c r="AI72" s="609"/>
      <c r="AJ72" s="443"/>
      <c r="AK72" s="447"/>
      <c r="AL72" s="447"/>
      <c r="AM72" s="436" t="e">
        <f t="shared" si="43"/>
        <v>#N/A</v>
      </c>
      <c r="AN72" s="609"/>
      <c r="AO72" s="443"/>
      <c r="AP72" s="447"/>
      <c r="AQ72" s="447"/>
      <c r="AR72" s="436" t="e">
        <f t="shared" si="45"/>
        <v>#N/A</v>
      </c>
      <c r="AS72" s="609"/>
      <c r="AT72" s="436"/>
      <c r="AU72" s="437"/>
      <c r="AV72" s="437"/>
      <c r="AW72" s="436" t="e">
        <f t="shared" si="47"/>
        <v>#N/A</v>
      </c>
      <c r="AX72" s="605"/>
    </row>
    <row r="73" spans="2:50">
      <c r="B73" s="572"/>
      <c r="C73" s="436">
        <v>7</v>
      </c>
      <c r="D73" s="226"/>
      <c r="E73" s="182"/>
      <c r="F73" s="436"/>
      <c r="G73" s="437"/>
      <c r="H73" s="609"/>
      <c r="I73" s="446"/>
      <c r="J73" s="446"/>
      <c r="K73" s="438"/>
      <c r="L73" s="541"/>
      <c r="M73" s="445" t="e">
        <f>RANK(K73, K$67:$K$81)</f>
        <v>#N/A</v>
      </c>
      <c r="N73" s="559"/>
      <c r="O73" s="559"/>
      <c r="P73" s="443"/>
      <c r="Q73" s="447"/>
      <c r="R73" s="447"/>
      <c r="S73" s="436" t="e">
        <f t="shared" si="49"/>
        <v>#N/A</v>
      </c>
      <c r="T73" s="609"/>
      <c r="U73" s="443"/>
      <c r="V73" s="447"/>
      <c r="W73" s="447"/>
      <c r="X73" s="436" t="e">
        <f t="shared" si="37"/>
        <v>#N/A</v>
      </c>
      <c r="Y73" s="609"/>
      <c r="Z73" s="443"/>
      <c r="AA73" s="447"/>
      <c r="AB73" s="447"/>
      <c r="AC73" s="436" t="e">
        <f t="shared" si="39"/>
        <v>#N/A</v>
      </c>
      <c r="AD73" s="609"/>
      <c r="AE73" s="443"/>
      <c r="AF73" s="447"/>
      <c r="AG73" s="447"/>
      <c r="AH73" s="436" t="e">
        <f t="shared" si="41"/>
        <v>#N/A</v>
      </c>
      <c r="AI73" s="609"/>
      <c r="AJ73" s="443"/>
      <c r="AK73" s="447"/>
      <c r="AL73" s="447"/>
      <c r="AM73" s="436" t="e">
        <f t="shared" si="43"/>
        <v>#N/A</v>
      </c>
      <c r="AN73" s="609"/>
      <c r="AO73" s="443"/>
      <c r="AP73" s="447"/>
      <c r="AQ73" s="447"/>
      <c r="AR73" s="436" t="e">
        <f t="shared" si="45"/>
        <v>#N/A</v>
      </c>
      <c r="AS73" s="609"/>
      <c r="AT73" s="436"/>
      <c r="AU73" s="437"/>
      <c r="AV73" s="437"/>
      <c r="AW73" s="436" t="e">
        <f t="shared" si="47"/>
        <v>#N/A</v>
      </c>
      <c r="AX73" s="605"/>
    </row>
    <row r="74" spans="2:50">
      <c r="B74" s="572"/>
      <c r="C74" s="436">
        <v>8</v>
      </c>
      <c r="D74" s="226"/>
      <c r="E74" s="182"/>
      <c r="F74" s="436"/>
      <c r="G74" s="437"/>
      <c r="H74" s="609"/>
      <c r="I74" s="446"/>
      <c r="J74" s="446"/>
      <c r="K74" s="438"/>
      <c r="L74" s="541"/>
      <c r="M74" s="445" t="e">
        <f>RANK(K74, K$67:$K$81)</f>
        <v>#N/A</v>
      </c>
      <c r="N74" s="559"/>
      <c r="O74" s="559"/>
      <c r="P74" s="443"/>
      <c r="Q74" s="447"/>
      <c r="R74" s="447"/>
      <c r="S74" s="436" t="e">
        <f t="shared" si="49"/>
        <v>#N/A</v>
      </c>
      <c r="T74" s="609"/>
      <c r="U74" s="443"/>
      <c r="V74" s="447"/>
      <c r="W74" s="447"/>
      <c r="X74" s="436" t="e">
        <f t="shared" si="37"/>
        <v>#N/A</v>
      </c>
      <c r="Y74" s="609"/>
      <c r="Z74" s="443"/>
      <c r="AA74" s="447"/>
      <c r="AB74" s="447"/>
      <c r="AC74" s="436" t="e">
        <f t="shared" si="39"/>
        <v>#N/A</v>
      </c>
      <c r="AD74" s="609"/>
      <c r="AE74" s="443"/>
      <c r="AF74" s="447"/>
      <c r="AG74" s="447"/>
      <c r="AH74" s="436" t="e">
        <f t="shared" si="41"/>
        <v>#N/A</v>
      </c>
      <c r="AI74" s="609"/>
      <c r="AJ74" s="443"/>
      <c r="AK74" s="447"/>
      <c r="AL74" s="447"/>
      <c r="AM74" s="436" t="e">
        <f t="shared" si="43"/>
        <v>#N/A</v>
      </c>
      <c r="AN74" s="609"/>
      <c r="AO74" s="443"/>
      <c r="AP74" s="447"/>
      <c r="AQ74" s="447"/>
      <c r="AR74" s="436" t="e">
        <f t="shared" si="45"/>
        <v>#N/A</v>
      </c>
      <c r="AS74" s="609"/>
      <c r="AT74" s="436"/>
      <c r="AU74" s="437"/>
      <c r="AV74" s="437"/>
      <c r="AW74" s="436" t="e">
        <f t="shared" si="47"/>
        <v>#N/A</v>
      </c>
      <c r="AX74" s="605"/>
    </row>
    <row r="75" spans="2:50">
      <c r="B75" s="572"/>
      <c r="C75" s="436">
        <v>9</v>
      </c>
      <c r="D75" s="226"/>
      <c r="E75" s="182"/>
      <c r="F75" s="436"/>
      <c r="G75" s="437"/>
      <c r="H75" s="609"/>
      <c r="I75" s="446"/>
      <c r="J75" s="446"/>
      <c r="K75" s="438"/>
      <c r="L75" s="541"/>
      <c r="M75" s="445" t="e">
        <f>RANK(K75, K$67:$K$81)</f>
        <v>#N/A</v>
      </c>
      <c r="N75" s="559"/>
      <c r="O75" s="559"/>
      <c r="P75" s="443"/>
      <c r="Q75" s="447"/>
      <c r="R75" s="447"/>
      <c r="S75" s="436" t="e">
        <f t="shared" si="49"/>
        <v>#N/A</v>
      </c>
      <c r="T75" s="609"/>
      <c r="U75" s="443"/>
      <c r="V75" s="447"/>
      <c r="W75" s="447"/>
      <c r="X75" s="436" t="e">
        <f t="shared" si="37"/>
        <v>#N/A</v>
      </c>
      <c r="Y75" s="609"/>
      <c r="Z75" s="443"/>
      <c r="AA75" s="447"/>
      <c r="AB75" s="447"/>
      <c r="AC75" s="436" t="e">
        <f t="shared" si="39"/>
        <v>#N/A</v>
      </c>
      <c r="AD75" s="609"/>
      <c r="AE75" s="443"/>
      <c r="AF75" s="447"/>
      <c r="AG75" s="447"/>
      <c r="AH75" s="436" t="e">
        <f t="shared" si="41"/>
        <v>#N/A</v>
      </c>
      <c r="AI75" s="609"/>
      <c r="AJ75" s="443"/>
      <c r="AK75" s="447"/>
      <c r="AL75" s="447"/>
      <c r="AM75" s="436" t="e">
        <f t="shared" si="43"/>
        <v>#N/A</v>
      </c>
      <c r="AN75" s="609"/>
      <c r="AO75" s="443"/>
      <c r="AP75" s="447"/>
      <c r="AQ75" s="447"/>
      <c r="AR75" s="436" t="e">
        <f t="shared" si="45"/>
        <v>#N/A</v>
      </c>
      <c r="AS75" s="609"/>
      <c r="AT75" s="436"/>
      <c r="AU75" s="437"/>
      <c r="AV75" s="437"/>
      <c r="AW75" s="436" t="e">
        <f t="shared" si="47"/>
        <v>#N/A</v>
      </c>
      <c r="AX75" s="605"/>
    </row>
    <row r="76" spans="2:50">
      <c r="B76" s="572"/>
      <c r="C76" s="436">
        <v>10</v>
      </c>
      <c r="D76" s="226"/>
      <c r="E76" s="182"/>
      <c r="F76" s="436"/>
      <c r="G76" s="437"/>
      <c r="H76" s="609"/>
      <c r="I76" s="446"/>
      <c r="J76" s="446"/>
      <c r="K76" s="438"/>
      <c r="L76" s="541"/>
      <c r="M76" s="445" t="e">
        <f>RANK(K76, K$67:$K$81)</f>
        <v>#N/A</v>
      </c>
      <c r="N76" s="559"/>
      <c r="O76" s="559"/>
      <c r="P76" s="443"/>
      <c r="Q76" s="447"/>
      <c r="R76" s="447"/>
      <c r="S76" s="436" t="e">
        <f t="shared" si="49"/>
        <v>#N/A</v>
      </c>
      <c r="T76" s="609"/>
      <c r="U76" s="443"/>
      <c r="V76" s="447"/>
      <c r="W76" s="447"/>
      <c r="X76" s="436" t="e">
        <f t="shared" si="37"/>
        <v>#N/A</v>
      </c>
      <c r="Y76" s="609"/>
      <c r="Z76" s="443"/>
      <c r="AA76" s="447"/>
      <c r="AB76" s="447"/>
      <c r="AC76" s="436" t="e">
        <f t="shared" si="39"/>
        <v>#N/A</v>
      </c>
      <c r="AD76" s="609"/>
      <c r="AE76" s="443"/>
      <c r="AF76" s="447"/>
      <c r="AG76" s="447"/>
      <c r="AH76" s="436" t="e">
        <f t="shared" si="41"/>
        <v>#N/A</v>
      </c>
      <c r="AI76" s="609"/>
      <c r="AJ76" s="443"/>
      <c r="AK76" s="447"/>
      <c r="AL76" s="447"/>
      <c r="AM76" s="436" t="e">
        <f t="shared" si="43"/>
        <v>#N/A</v>
      </c>
      <c r="AN76" s="609"/>
      <c r="AO76" s="443"/>
      <c r="AP76" s="447"/>
      <c r="AQ76" s="447"/>
      <c r="AR76" s="436" t="e">
        <f t="shared" si="45"/>
        <v>#N/A</v>
      </c>
      <c r="AS76" s="609"/>
      <c r="AT76" s="436"/>
      <c r="AU76" s="436"/>
      <c r="AV76" s="437"/>
      <c r="AW76" s="436" t="e">
        <f t="shared" si="47"/>
        <v>#N/A</v>
      </c>
      <c r="AX76" s="605"/>
    </row>
    <row r="77" spans="2:50">
      <c r="B77" s="572"/>
      <c r="C77" s="436">
        <v>11</v>
      </c>
      <c r="D77" s="226"/>
      <c r="E77" s="182"/>
      <c r="F77" s="436"/>
      <c r="G77" s="437"/>
      <c r="H77" s="609"/>
      <c r="I77" s="202"/>
      <c r="J77" s="202"/>
      <c r="K77" s="202"/>
      <c r="L77" s="541"/>
      <c r="M77" s="445" t="e">
        <f>RANK(K77, K$67:$K$81)</f>
        <v>#N/A</v>
      </c>
      <c r="N77" s="559"/>
      <c r="O77" s="559"/>
      <c r="P77" s="443"/>
      <c r="Q77" s="447"/>
      <c r="R77" s="447"/>
      <c r="S77" s="436" t="e">
        <f t="shared" si="49"/>
        <v>#N/A</v>
      </c>
      <c r="T77" s="609"/>
      <c r="U77" s="443"/>
      <c r="V77" s="447"/>
      <c r="W77" s="447"/>
      <c r="X77" s="436" t="e">
        <f t="shared" si="37"/>
        <v>#N/A</v>
      </c>
      <c r="Y77" s="609"/>
      <c r="Z77" s="443"/>
      <c r="AA77" s="447"/>
      <c r="AB77" s="447"/>
      <c r="AC77" s="436" t="e">
        <f t="shared" si="39"/>
        <v>#N/A</v>
      </c>
      <c r="AD77" s="609"/>
      <c r="AE77" s="443"/>
      <c r="AF77" s="447"/>
      <c r="AG77" s="447"/>
      <c r="AH77" s="436" t="e">
        <f t="shared" si="41"/>
        <v>#N/A</v>
      </c>
      <c r="AI77" s="609"/>
      <c r="AJ77" s="443"/>
      <c r="AK77" s="447"/>
      <c r="AL77" s="447"/>
      <c r="AM77" s="436" t="e">
        <f t="shared" si="43"/>
        <v>#N/A</v>
      </c>
      <c r="AN77" s="609"/>
      <c r="AO77" s="443"/>
      <c r="AP77" s="447"/>
      <c r="AQ77" s="447"/>
      <c r="AR77" s="436" t="e">
        <f t="shared" si="45"/>
        <v>#N/A</v>
      </c>
      <c r="AS77" s="609"/>
      <c r="AT77" s="436"/>
      <c r="AU77" s="436"/>
      <c r="AV77" s="436"/>
      <c r="AW77" s="436" t="e">
        <f t="shared" si="47"/>
        <v>#N/A</v>
      </c>
      <c r="AX77" s="605"/>
    </row>
    <row r="78" spans="2:50">
      <c r="B78" s="572"/>
      <c r="C78" s="436">
        <v>12</v>
      </c>
      <c r="D78" s="226"/>
      <c r="E78" s="182"/>
      <c r="F78" s="436"/>
      <c r="G78" s="437"/>
      <c r="H78" s="609"/>
      <c r="I78" s="202"/>
      <c r="J78" s="202"/>
      <c r="K78" s="202"/>
      <c r="L78" s="541"/>
      <c r="M78" s="445" t="e">
        <f>RANK(K78, K$67:$K$81)</f>
        <v>#N/A</v>
      </c>
      <c r="N78" s="559"/>
      <c r="O78" s="559"/>
      <c r="P78" s="443"/>
      <c r="Q78" s="447"/>
      <c r="R78" s="447"/>
      <c r="S78" s="436" t="e">
        <f t="shared" si="49"/>
        <v>#N/A</v>
      </c>
      <c r="T78" s="609"/>
      <c r="U78" s="443"/>
      <c r="V78" s="447"/>
      <c r="W78" s="447"/>
      <c r="X78" s="436" t="e">
        <f t="shared" si="37"/>
        <v>#N/A</v>
      </c>
      <c r="Y78" s="609"/>
      <c r="Z78" s="443"/>
      <c r="AA78" s="447"/>
      <c r="AB78" s="447"/>
      <c r="AC78" s="436" t="e">
        <f t="shared" si="39"/>
        <v>#N/A</v>
      </c>
      <c r="AD78" s="609"/>
      <c r="AE78" s="443"/>
      <c r="AF78" s="447"/>
      <c r="AG78" s="447"/>
      <c r="AH78" s="436" t="e">
        <f t="shared" si="41"/>
        <v>#N/A</v>
      </c>
      <c r="AI78" s="609"/>
      <c r="AJ78" s="443"/>
      <c r="AK78" s="447"/>
      <c r="AL78" s="447"/>
      <c r="AM78" s="436" t="e">
        <f t="shared" si="43"/>
        <v>#N/A</v>
      </c>
      <c r="AN78" s="609"/>
      <c r="AO78" s="443"/>
      <c r="AP78" s="447"/>
      <c r="AQ78" s="447"/>
      <c r="AR78" s="436" t="e">
        <f t="shared" si="45"/>
        <v>#N/A</v>
      </c>
      <c r="AS78" s="609"/>
      <c r="AT78" s="436"/>
      <c r="AU78" s="436"/>
      <c r="AV78" s="436"/>
      <c r="AW78" s="436" t="e">
        <f t="shared" si="47"/>
        <v>#N/A</v>
      </c>
      <c r="AX78" s="605"/>
    </row>
    <row r="79" spans="2:50">
      <c r="B79" s="572"/>
      <c r="C79" s="436">
        <v>13</v>
      </c>
      <c r="D79" s="226"/>
      <c r="E79" s="182"/>
      <c r="F79" s="436"/>
      <c r="G79" s="437"/>
      <c r="H79" s="609"/>
      <c r="I79" s="202"/>
      <c r="J79" s="202"/>
      <c r="K79" s="202"/>
      <c r="L79" s="541"/>
      <c r="M79" s="445" t="e">
        <f>RANK(K79, K$67:$K$81)</f>
        <v>#N/A</v>
      </c>
      <c r="N79" s="559"/>
      <c r="O79" s="559"/>
      <c r="P79" s="443"/>
      <c r="Q79" s="447"/>
      <c r="R79" s="447"/>
      <c r="S79" s="436" t="e">
        <f t="shared" si="49"/>
        <v>#N/A</v>
      </c>
      <c r="T79" s="609"/>
      <c r="U79" s="443"/>
      <c r="V79" s="447"/>
      <c r="W79" s="447"/>
      <c r="X79" s="436" t="e">
        <f t="shared" si="37"/>
        <v>#N/A</v>
      </c>
      <c r="Y79" s="609"/>
      <c r="Z79" s="443"/>
      <c r="AA79" s="447"/>
      <c r="AB79" s="447"/>
      <c r="AC79" s="436" t="e">
        <f t="shared" si="39"/>
        <v>#N/A</v>
      </c>
      <c r="AD79" s="609"/>
      <c r="AE79" s="443"/>
      <c r="AF79" s="447"/>
      <c r="AG79" s="447"/>
      <c r="AH79" s="436" t="e">
        <f t="shared" si="41"/>
        <v>#N/A</v>
      </c>
      <c r="AI79" s="609"/>
      <c r="AJ79" s="443"/>
      <c r="AK79" s="447"/>
      <c r="AL79" s="447"/>
      <c r="AM79" s="436" t="e">
        <f t="shared" si="43"/>
        <v>#N/A</v>
      </c>
      <c r="AN79" s="609"/>
      <c r="AO79" s="443"/>
      <c r="AP79" s="447"/>
      <c r="AQ79" s="447"/>
      <c r="AR79" s="436" t="e">
        <f t="shared" si="45"/>
        <v>#N/A</v>
      </c>
      <c r="AS79" s="609"/>
      <c r="AT79" s="436"/>
      <c r="AU79" s="436"/>
      <c r="AV79" s="436"/>
      <c r="AW79" s="436" t="e">
        <f t="shared" si="47"/>
        <v>#N/A</v>
      </c>
      <c r="AX79" s="605"/>
    </row>
    <row r="80" spans="2:50">
      <c r="B80" s="572"/>
      <c r="C80" s="436">
        <v>14</v>
      </c>
      <c r="D80" s="226"/>
      <c r="E80" s="182"/>
      <c r="F80" s="436"/>
      <c r="G80" s="437"/>
      <c r="H80" s="609"/>
      <c r="I80" s="202"/>
      <c r="J80" s="202"/>
      <c r="K80" s="202"/>
      <c r="L80" s="541"/>
      <c r="M80" s="445" t="e">
        <f>RANK(K80, K$67:$K$81)</f>
        <v>#N/A</v>
      </c>
      <c r="N80" s="559"/>
      <c r="O80" s="559"/>
      <c r="P80" s="443"/>
      <c r="Q80" s="447"/>
      <c r="R80" s="447"/>
      <c r="S80" s="436" t="e">
        <f t="shared" si="49"/>
        <v>#N/A</v>
      </c>
      <c r="T80" s="609"/>
      <c r="U80" s="443"/>
      <c r="V80" s="447"/>
      <c r="W80" s="447"/>
      <c r="X80" s="436" t="e">
        <f t="shared" si="37"/>
        <v>#N/A</v>
      </c>
      <c r="Y80" s="609"/>
      <c r="Z80" s="443"/>
      <c r="AA80" s="447"/>
      <c r="AB80" s="447"/>
      <c r="AC80" s="436" t="e">
        <f t="shared" si="39"/>
        <v>#N/A</v>
      </c>
      <c r="AD80" s="609"/>
      <c r="AE80" s="443"/>
      <c r="AF80" s="447"/>
      <c r="AG80" s="447"/>
      <c r="AH80" s="436" t="e">
        <f t="shared" si="41"/>
        <v>#N/A</v>
      </c>
      <c r="AI80" s="609"/>
      <c r="AJ80" s="443"/>
      <c r="AK80" s="447"/>
      <c r="AL80" s="447"/>
      <c r="AM80" s="436" t="e">
        <f t="shared" si="43"/>
        <v>#N/A</v>
      </c>
      <c r="AN80" s="609"/>
      <c r="AO80" s="443"/>
      <c r="AP80" s="447"/>
      <c r="AQ80" s="447"/>
      <c r="AR80" s="436" t="e">
        <f t="shared" si="45"/>
        <v>#N/A</v>
      </c>
      <c r="AS80" s="609"/>
      <c r="AT80" s="436"/>
      <c r="AU80" s="436"/>
      <c r="AV80" s="436"/>
      <c r="AW80" s="436" t="e">
        <f t="shared" si="47"/>
        <v>#N/A</v>
      </c>
      <c r="AX80" s="605"/>
    </row>
    <row r="81" spans="2:50">
      <c r="B81" s="572"/>
      <c r="C81" s="436">
        <v>15</v>
      </c>
      <c r="D81" s="226"/>
      <c r="E81" s="182"/>
      <c r="F81" s="436"/>
      <c r="G81" s="437"/>
      <c r="H81" s="610"/>
      <c r="I81" s="202"/>
      <c r="J81" s="202"/>
      <c r="K81" s="202"/>
      <c r="L81" s="542"/>
      <c r="M81" s="445" t="e">
        <f>RANK(K81, K$67:$K$81)</f>
        <v>#N/A</v>
      </c>
      <c r="N81" s="559"/>
      <c r="O81" s="559"/>
      <c r="P81" s="443"/>
      <c r="Q81" s="447"/>
      <c r="R81" s="447"/>
      <c r="S81" s="436" t="e">
        <f t="shared" si="49"/>
        <v>#N/A</v>
      </c>
      <c r="T81" s="610"/>
      <c r="U81" s="443"/>
      <c r="V81" s="447"/>
      <c r="W81" s="447"/>
      <c r="X81" s="436" t="e">
        <f t="shared" si="37"/>
        <v>#N/A</v>
      </c>
      <c r="Y81" s="610"/>
      <c r="Z81" s="443"/>
      <c r="AA81" s="447"/>
      <c r="AB81" s="447"/>
      <c r="AC81" s="436" t="e">
        <f t="shared" si="39"/>
        <v>#N/A</v>
      </c>
      <c r="AD81" s="610"/>
      <c r="AE81" s="443"/>
      <c r="AF81" s="447"/>
      <c r="AG81" s="447"/>
      <c r="AH81" s="436" t="e">
        <f t="shared" si="41"/>
        <v>#N/A</v>
      </c>
      <c r="AI81" s="610"/>
      <c r="AJ81" s="443"/>
      <c r="AK81" s="447"/>
      <c r="AL81" s="447"/>
      <c r="AM81" s="436" t="e">
        <f t="shared" si="43"/>
        <v>#N/A</v>
      </c>
      <c r="AN81" s="610"/>
      <c r="AO81" s="443"/>
      <c r="AP81" s="447"/>
      <c r="AQ81" s="447"/>
      <c r="AR81" s="436" t="e">
        <f t="shared" si="45"/>
        <v>#N/A</v>
      </c>
      <c r="AS81" s="610"/>
      <c r="AT81" s="436"/>
      <c r="AU81" s="436"/>
      <c r="AV81" s="436"/>
      <c r="AW81" s="436" t="e">
        <f t="shared" si="47"/>
        <v>#N/A</v>
      </c>
      <c r="AX81" s="605"/>
    </row>
    <row r="82" spans="2:50" ht="15.75">
      <c r="B82" s="576" t="s">
        <v>649</v>
      </c>
      <c r="C82" s="577"/>
      <c r="D82" s="577"/>
      <c r="E82" s="577"/>
      <c r="F82" s="577"/>
      <c r="G82" s="577"/>
      <c r="H82" s="578"/>
      <c r="I82" s="208"/>
      <c r="J82" s="208"/>
      <c r="K82" s="208"/>
      <c r="L82" s="208"/>
      <c r="M82" s="207"/>
      <c r="N82" s="565" t="s">
        <v>650</v>
      </c>
      <c r="O82" s="565" t="s">
        <v>651</v>
      </c>
      <c r="P82" s="571">
        <f>P62+7</f>
        <v>46414</v>
      </c>
      <c r="Q82" s="572"/>
      <c r="R82" s="572"/>
      <c r="S82" s="572"/>
      <c r="T82" s="572"/>
      <c r="U82" s="568">
        <f>P82+1</f>
        <v>46415</v>
      </c>
      <c r="V82" s="569"/>
      <c r="W82" s="569"/>
      <c r="X82" s="569"/>
      <c r="Y82" s="570"/>
      <c r="Z82" s="568">
        <f>U82+1</f>
        <v>46416</v>
      </c>
      <c r="AA82" s="569"/>
      <c r="AB82" s="569"/>
      <c r="AC82" s="569"/>
      <c r="AD82" s="570"/>
      <c r="AE82" s="568">
        <f>Z82+1</f>
        <v>46417</v>
      </c>
      <c r="AF82" s="569"/>
      <c r="AG82" s="569"/>
      <c r="AH82" s="569"/>
      <c r="AI82" s="570"/>
      <c r="AJ82" s="568">
        <f>AE82+1</f>
        <v>46418</v>
      </c>
      <c r="AK82" s="569"/>
      <c r="AL82" s="569"/>
      <c r="AM82" s="569"/>
      <c r="AN82" s="570"/>
      <c r="AO82" s="568">
        <f>AJ82+1</f>
        <v>46419</v>
      </c>
      <c r="AP82" s="569"/>
      <c r="AQ82" s="569"/>
      <c r="AR82" s="569"/>
      <c r="AS82" s="570"/>
      <c r="AT82" s="568">
        <f>AO82+1</f>
        <v>46420</v>
      </c>
      <c r="AU82" s="569"/>
      <c r="AV82" s="569"/>
      <c r="AW82" s="569"/>
      <c r="AX82" s="570"/>
    </row>
    <row r="83" spans="2:50" ht="15.75">
      <c r="B83" s="579"/>
      <c r="C83" s="579"/>
      <c r="D83" s="579"/>
      <c r="E83" s="579"/>
      <c r="F83" s="579"/>
      <c r="G83" s="579"/>
      <c r="H83" s="579"/>
      <c r="I83" s="205"/>
      <c r="J83" s="205"/>
      <c r="K83" s="205"/>
      <c r="L83" s="205"/>
      <c r="M83" s="206"/>
      <c r="N83" s="567"/>
      <c r="O83" s="567"/>
      <c r="P83" s="571" t="s">
        <v>652</v>
      </c>
      <c r="Q83" s="572"/>
      <c r="R83" s="572"/>
      <c r="S83" s="572"/>
      <c r="T83" s="572"/>
      <c r="U83" s="571" t="s">
        <v>653</v>
      </c>
      <c r="V83" s="572"/>
      <c r="W83" s="572"/>
      <c r="X83" s="572"/>
      <c r="Y83" s="572"/>
      <c r="Z83" s="571" t="s">
        <v>654</v>
      </c>
      <c r="AA83" s="572"/>
      <c r="AB83" s="572"/>
      <c r="AC83" s="572"/>
      <c r="AD83" s="572"/>
      <c r="AE83" s="571" t="s">
        <v>655</v>
      </c>
      <c r="AF83" s="572"/>
      <c r="AG83" s="572"/>
      <c r="AH83" s="572"/>
      <c r="AI83" s="572"/>
      <c r="AJ83" s="571" t="s">
        <v>656</v>
      </c>
      <c r="AK83" s="572"/>
      <c r="AL83" s="572"/>
      <c r="AM83" s="572"/>
      <c r="AN83" s="572"/>
      <c r="AO83" s="571" t="s">
        <v>657</v>
      </c>
      <c r="AP83" s="572"/>
      <c r="AQ83" s="572"/>
      <c r="AR83" s="572"/>
      <c r="AS83" s="572"/>
      <c r="AT83" s="571" t="s">
        <v>658</v>
      </c>
      <c r="AU83" s="572"/>
      <c r="AV83" s="572"/>
      <c r="AW83" s="572"/>
      <c r="AX83" s="572"/>
    </row>
    <row r="84" spans="2:50">
      <c r="B84" s="559" t="s">
        <v>817</v>
      </c>
      <c r="C84" s="559" t="s">
        <v>818</v>
      </c>
      <c r="D84" s="559"/>
      <c r="E84" s="559" t="s">
        <v>819</v>
      </c>
      <c r="F84" s="559"/>
      <c r="G84" s="559"/>
      <c r="H84" s="560" t="s">
        <v>820</v>
      </c>
      <c r="I84" s="543" t="s">
        <v>821</v>
      </c>
      <c r="J84" s="543"/>
      <c r="K84" s="543"/>
      <c r="L84" s="544" t="s">
        <v>820</v>
      </c>
      <c r="M84" s="550" t="s">
        <v>839</v>
      </c>
      <c r="N84" s="559"/>
      <c r="O84" s="559" t="s">
        <v>840</v>
      </c>
      <c r="P84" s="556" t="s">
        <v>841</v>
      </c>
      <c r="Q84" s="557"/>
      <c r="R84" s="557"/>
      <c r="S84" s="558"/>
      <c r="T84" s="559" t="s">
        <v>820</v>
      </c>
      <c r="U84" s="556" t="s">
        <v>841</v>
      </c>
      <c r="V84" s="557"/>
      <c r="W84" s="557"/>
      <c r="X84" s="558"/>
      <c r="Y84" s="559" t="s">
        <v>820</v>
      </c>
      <c r="Z84" s="556" t="s">
        <v>841</v>
      </c>
      <c r="AA84" s="557"/>
      <c r="AB84" s="557"/>
      <c r="AC84" s="558"/>
      <c r="AD84" s="559" t="s">
        <v>820</v>
      </c>
      <c r="AE84" s="556" t="s">
        <v>841</v>
      </c>
      <c r="AF84" s="557"/>
      <c r="AG84" s="557"/>
      <c r="AH84" s="558"/>
      <c r="AI84" s="559" t="s">
        <v>820</v>
      </c>
      <c r="AJ84" s="556" t="s">
        <v>841</v>
      </c>
      <c r="AK84" s="557"/>
      <c r="AL84" s="557"/>
      <c r="AM84" s="558"/>
      <c r="AN84" s="559" t="s">
        <v>820</v>
      </c>
      <c r="AO84" s="556" t="s">
        <v>625</v>
      </c>
      <c r="AP84" s="557"/>
      <c r="AQ84" s="557"/>
      <c r="AR84" s="558"/>
      <c r="AS84" s="559" t="s">
        <v>623</v>
      </c>
      <c r="AT84" s="556" t="s">
        <v>625</v>
      </c>
      <c r="AU84" s="557"/>
      <c r="AV84" s="557"/>
      <c r="AW84" s="558"/>
      <c r="AX84" s="559" t="s">
        <v>623</v>
      </c>
    </row>
    <row r="85" spans="2:50">
      <c r="B85" s="559"/>
      <c r="C85" s="559"/>
      <c r="D85" s="559"/>
      <c r="E85" s="559" t="s">
        <v>842</v>
      </c>
      <c r="F85" s="559"/>
      <c r="G85" s="559"/>
      <c r="H85" s="561"/>
      <c r="I85" s="543" t="s">
        <v>842</v>
      </c>
      <c r="J85" s="543"/>
      <c r="K85" s="543"/>
      <c r="L85" s="545"/>
      <c r="M85" s="551"/>
      <c r="N85" s="559"/>
      <c r="O85" s="559"/>
      <c r="P85" s="556" t="s">
        <v>831</v>
      </c>
      <c r="Q85" s="557"/>
      <c r="R85" s="557"/>
      <c r="S85" s="558"/>
      <c r="T85" s="559"/>
      <c r="U85" s="556" t="s">
        <v>831</v>
      </c>
      <c r="V85" s="557"/>
      <c r="W85" s="557"/>
      <c r="X85" s="558"/>
      <c r="Y85" s="559"/>
      <c r="Z85" s="556" t="s">
        <v>831</v>
      </c>
      <c r="AA85" s="557"/>
      <c r="AB85" s="557"/>
      <c r="AC85" s="558"/>
      <c r="AD85" s="559"/>
      <c r="AE85" s="556" t="s">
        <v>831</v>
      </c>
      <c r="AF85" s="557"/>
      <c r="AG85" s="557"/>
      <c r="AH85" s="558"/>
      <c r="AI85" s="559"/>
      <c r="AJ85" s="556" t="s">
        <v>831</v>
      </c>
      <c r="AK85" s="557"/>
      <c r="AL85" s="557"/>
      <c r="AM85" s="558"/>
      <c r="AN85" s="559"/>
      <c r="AO85" s="556" t="s">
        <v>626</v>
      </c>
      <c r="AP85" s="557"/>
      <c r="AQ85" s="557"/>
      <c r="AR85" s="558"/>
      <c r="AS85" s="559"/>
      <c r="AT85" s="556" t="s">
        <v>626</v>
      </c>
      <c r="AU85" s="557"/>
      <c r="AV85" s="557"/>
      <c r="AW85" s="558"/>
      <c r="AX85" s="559"/>
    </row>
    <row r="86" spans="2:50">
      <c r="B86" s="559"/>
      <c r="C86" s="559"/>
      <c r="D86" s="559"/>
      <c r="E86" s="450" t="s">
        <v>838</v>
      </c>
      <c r="F86" s="450" t="s">
        <v>836</v>
      </c>
      <c r="G86" s="450" t="s">
        <v>837</v>
      </c>
      <c r="H86" s="562"/>
      <c r="I86" s="449" t="s">
        <v>838</v>
      </c>
      <c r="J86" s="449" t="s">
        <v>836</v>
      </c>
      <c r="K86" s="449" t="s">
        <v>837</v>
      </c>
      <c r="L86" s="546"/>
      <c r="M86" s="552"/>
      <c r="N86" s="559"/>
      <c r="O86" s="559"/>
      <c r="P86" s="450" t="s">
        <v>838</v>
      </c>
      <c r="Q86" s="450" t="s">
        <v>836</v>
      </c>
      <c r="R86" s="450" t="s">
        <v>837</v>
      </c>
      <c r="S86" s="450" t="s">
        <v>839</v>
      </c>
      <c r="T86" s="559"/>
      <c r="U86" s="450" t="s">
        <v>838</v>
      </c>
      <c r="V86" s="450" t="s">
        <v>836</v>
      </c>
      <c r="W86" s="450" t="s">
        <v>837</v>
      </c>
      <c r="X86" s="450" t="s">
        <v>839</v>
      </c>
      <c r="Y86" s="559"/>
      <c r="Z86" s="450" t="s">
        <v>838</v>
      </c>
      <c r="AA86" s="450" t="s">
        <v>836</v>
      </c>
      <c r="AB86" s="450" t="s">
        <v>837</v>
      </c>
      <c r="AC86" s="450" t="s">
        <v>839</v>
      </c>
      <c r="AD86" s="559"/>
      <c r="AE86" s="450" t="s">
        <v>838</v>
      </c>
      <c r="AF86" s="450" t="s">
        <v>836</v>
      </c>
      <c r="AG86" s="450" t="s">
        <v>837</v>
      </c>
      <c r="AH86" s="450" t="s">
        <v>839</v>
      </c>
      <c r="AI86" s="559"/>
      <c r="AJ86" s="450" t="s">
        <v>838</v>
      </c>
      <c r="AK86" s="450" t="s">
        <v>836</v>
      </c>
      <c r="AL86" s="450" t="s">
        <v>837</v>
      </c>
      <c r="AM86" s="450" t="s">
        <v>839</v>
      </c>
      <c r="AN86" s="559"/>
      <c r="AO86" s="389" t="s">
        <v>627</v>
      </c>
      <c r="AP86" s="389" t="s">
        <v>628</v>
      </c>
      <c r="AQ86" s="389" t="s">
        <v>629</v>
      </c>
      <c r="AR86" s="389" t="s">
        <v>624</v>
      </c>
      <c r="AS86" s="559"/>
      <c r="AT86" s="389" t="s">
        <v>627</v>
      </c>
      <c r="AU86" s="389" t="s">
        <v>628</v>
      </c>
      <c r="AV86" s="389" t="s">
        <v>629</v>
      </c>
      <c r="AW86" s="389" t="s">
        <v>624</v>
      </c>
      <c r="AX86" s="559"/>
    </row>
    <row r="87" spans="2:50">
      <c r="B87" s="559" t="s">
        <v>850</v>
      </c>
      <c r="C87" s="451">
        <v>1</v>
      </c>
      <c r="D87" s="226" t="s">
        <v>391</v>
      </c>
      <c r="E87" s="182">
        <v>20</v>
      </c>
      <c r="F87" s="451">
        <v>2200</v>
      </c>
      <c r="G87" s="453">
        <v>110</v>
      </c>
      <c r="H87" s="608">
        <f>AVERAGE(G87:G101)</f>
        <v>137.58479532163742</v>
      </c>
      <c r="I87" s="456">
        <f>AVERAGE(P87,U87,Z87,AE87,AJ87,AO87,AT87)</f>
        <v>20</v>
      </c>
      <c r="J87" s="456">
        <f>AVERAGE(Q87,V87,AA87,AF87,AK87,AP87,AU87)</f>
        <v>2122.5644549526123</v>
      </c>
      <c r="K87" s="454">
        <f>AVERAGE(R87,W87,AB87,AG87,AL87,AQ87,AV87)</f>
        <v>106.12822274763062</v>
      </c>
      <c r="L87" s="540">
        <f>IFERROR(AVERAGE(K87:K101),"-")</f>
        <v>119.96552648227539</v>
      </c>
      <c r="M87" s="455">
        <f>RANK(K87, K$87:$K$101)</f>
        <v>4</v>
      </c>
      <c r="N87" s="559"/>
      <c r="O87" s="559"/>
      <c r="P87" s="182">
        <v>20</v>
      </c>
      <c r="Q87" s="182">
        <v>2140.2531645569629</v>
      </c>
      <c r="R87" s="182">
        <v>107.01265822784815</v>
      </c>
      <c r="S87" s="451">
        <f>RANK(R87, R$87:R$101)</f>
        <v>4</v>
      </c>
      <c r="T87" s="608">
        <f>AVERAGE(R87:R101)</f>
        <v>121.54929278809973</v>
      </c>
      <c r="U87" s="182">
        <v>20</v>
      </c>
      <c r="V87" s="182">
        <v>2152.6027397260277</v>
      </c>
      <c r="W87" s="182">
        <v>107.63013698630138</v>
      </c>
      <c r="X87" s="451">
        <f t="shared" ref="X87:X101" si="50">RANK(W87, W$87:W$101)</f>
        <v>4</v>
      </c>
      <c r="Y87" s="608">
        <f t="shared" ref="Y87" si="51">AVERAGE(W87:W101)</f>
        <v>119.66969136487168</v>
      </c>
      <c r="Z87" s="182">
        <v>20</v>
      </c>
      <c r="AA87" s="182">
        <v>2101.6216216216221</v>
      </c>
      <c r="AB87" s="182">
        <v>105.08108108108111</v>
      </c>
      <c r="AC87" s="451">
        <f t="shared" ref="AC87:AC101" si="52">RANK(AB87, AB$87:AB$101)</f>
        <v>4</v>
      </c>
      <c r="AD87" s="608">
        <f t="shared" ref="AD87" si="53">AVERAGE(AB87:AB101)</f>
        <v>119.8347995810054</v>
      </c>
      <c r="AE87" s="182">
        <v>20</v>
      </c>
      <c r="AF87" s="182">
        <v>2099.1780821917814</v>
      </c>
      <c r="AG87" s="182">
        <v>104.95890410958907</v>
      </c>
      <c r="AH87" s="451">
        <f t="shared" ref="AH87:AH101" si="54">RANK(AG87, AG$87:AG$101)</f>
        <v>4</v>
      </c>
      <c r="AI87" s="608">
        <f t="shared" ref="AI87" si="55">AVERAGE(AG87:AG101)</f>
        <v>119.60628894095494</v>
      </c>
      <c r="AJ87" s="182">
        <v>20</v>
      </c>
      <c r="AK87" s="182">
        <v>2119.166666666667</v>
      </c>
      <c r="AL87" s="182">
        <v>105.95833333333334</v>
      </c>
      <c r="AM87" s="451">
        <f t="shared" ref="AM87:AM101" si="56">RANK(AL87, AL$87:AL$101)</f>
        <v>4</v>
      </c>
      <c r="AN87" s="608">
        <f t="shared" ref="AN87" si="57">AVERAGE(AL87:AL101)</f>
        <v>119.16755973644524</v>
      </c>
      <c r="AO87" s="182"/>
      <c r="AP87" s="391"/>
      <c r="AQ87" s="391"/>
      <c r="AR87" s="390" t="e">
        <f t="shared" ref="AR87:AR101" si="58">RANK(AQ87, AQ$87:AQ$101)</f>
        <v>#N/A</v>
      </c>
      <c r="AS87" s="608" t="e">
        <f t="shared" ref="AS87" si="59">AVERAGE(AQ87:AQ101)</f>
        <v>#DIV/0!</v>
      </c>
      <c r="AT87" s="182"/>
      <c r="AU87" s="391"/>
      <c r="AV87" s="391"/>
      <c r="AW87" s="390" t="e">
        <f t="shared" ref="AW87:AW101" si="60">RANK(AV87, AV$87:AV$101)</f>
        <v>#N/A</v>
      </c>
      <c r="AX87" s="605" t="e">
        <f t="shared" ref="AX87" si="61">AVERAGE(AV87:AV101)</f>
        <v>#DIV/0!</v>
      </c>
    </row>
    <row r="88" spans="2:50">
      <c r="B88" s="572"/>
      <c r="C88" s="451">
        <v>2</v>
      </c>
      <c r="D88" s="226" t="s">
        <v>392</v>
      </c>
      <c r="E88" s="182">
        <v>18</v>
      </c>
      <c r="F88" s="451">
        <v>2700</v>
      </c>
      <c r="G88" s="453">
        <v>150</v>
      </c>
      <c r="H88" s="609"/>
      <c r="I88" s="456">
        <f t="shared" ref="I88:K91" si="62">AVERAGE(P88,U88,Z88,AE88,AJ88,AO88,AT88)</f>
        <v>19</v>
      </c>
      <c r="J88" s="456">
        <f t="shared" si="62"/>
        <v>2476.0580595874731</v>
      </c>
      <c r="K88" s="454">
        <f t="shared" si="62"/>
        <v>130.31884524144593</v>
      </c>
      <c r="L88" s="541"/>
      <c r="M88" s="455">
        <f>RANK(K88, K$87:$K$101)</f>
        <v>2</v>
      </c>
      <c r="N88" s="559"/>
      <c r="O88" s="559"/>
      <c r="P88" s="182">
        <v>19</v>
      </c>
      <c r="Q88" s="182">
        <v>2514.7058823529378</v>
      </c>
      <c r="R88" s="182">
        <v>132.35294117647041</v>
      </c>
      <c r="S88" s="451">
        <f t="shared" ref="S88:S101" si="63">RANK(R88, R$87:R$101)</f>
        <v>2</v>
      </c>
      <c r="T88" s="609"/>
      <c r="U88" s="182">
        <v>19</v>
      </c>
      <c r="V88" s="182">
        <v>2420.6250000000027</v>
      </c>
      <c r="W88" s="182">
        <v>127.40131578947383</v>
      </c>
      <c r="X88" s="451">
        <f t="shared" si="50"/>
        <v>3</v>
      </c>
      <c r="Y88" s="609"/>
      <c r="Z88" s="182">
        <v>19</v>
      </c>
      <c r="AA88" s="182">
        <v>2532.7272727272757</v>
      </c>
      <c r="AB88" s="182">
        <v>133.30143540669872</v>
      </c>
      <c r="AC88" s="451">
        <f t="shared" si="52"/>
        <v>1</v>
      </c>
      <c r="AD88" s="609"/>
      <c r="AE88" s="182">
        <v>19</v>
      </c>
      <c r="AF88" s="182">
        <v>2472.8571428571445</v>
      </c>
      <c r="AG88" s="182">
        <v>130.15037593984971</v>
      </c>
      <c r="AH88" s="451">
        <f t="shared" si="54"/>
        <v>2</v>
      </c>
      <c r="AI88" s="609"/>
      <c r="AJ88" s="182">
        <v>19</v>
      </c>
      <c r="AK88" s="182">
        <v>2439.3750000000027</v>
      </c>
      <c r="AL88" s="182">
        <v>128.38815789473699</v>
      </c>
      <c r="AM88" s="451">
        <f t="shared" si="56"/>
        <v>3</v>
      </c>
      <c r="AN88" s="609"/>
      <c r="AO88" s="390"/>
      <c r="AP88" s="391"/>
      <c r="AQ88" s="391"/>
      <c r="AR88" s="390" t="e">
        <f t="shared" si="58"/>
        <v>#N/A</v>
      </c>
      <c r="AS88" s="609"/>
      <c r="AT88" s="390"/>
      <c r="AU88" s="391"/>
      <c r="AV88" s="391"/>
      <c r="AW88" s="390" t="e">
        <f t="shared" si="60"/>
        <v>#N/A</v>
      </c>
      <c r="AX88" s="605"/>
    </row>
    <row r="89" spans="2:50">
      <c r="B89" s="572"/>
      <c r="C89" s="451">
        <v>3</v>
      </c>
      <c r="D89" s="226" t="s">
        <v>393</v>
      </c>
      <c r="E89" s="182">
        <v>18</v>
      </c>
      <c r="F89" s="451">
        <v>2800</v>
      </c>
      <c r="G89" s="453">
        <v>155.55555555555554</v>
      </c>
      <c r="H89" s="609"/>
      <c r="I89" s="456">
        <f t="shared" si="62"/>
        <v>19</v>
      </c>
      <c r="J89" s="456">
        <f t="shared" si="62"/>
        <v>2488.3550719956738</v>
      </c>
      <c r="K89" s="454">
        <f t="shared" si="62"/>
        <v>130.96605642082494</v>
      </c>
      <c r="L89" s="541"/>
      <c r="M89" s="455">
        <f>RANK(K89, K$87:$K$101)</f>
        <v>1</v>
      </c>
      <c r="N89" s="559"/>
      <c r="O89" s="559"/>
      <c r="P89" s="182">
        <v>19</v>
      </c>
      <c r="Q89" s="182">
        <v>2525.2631578947385</v>
      </c>
      <c r="R89" s="182">
        <v>132.90858725761782</v>
      </c>
      <c r="S89" s="451">
        <f t="shared" si="63"/>
        <v>1</v>
      </c>
      <c r="T89" s="609"/>
      <c r="U89" s="182">
        <v>19</v>
      </c>
      <c r="V89" s="182">
        <v>2491.1538461538476</v>
      </c>
      <c r="W89" s="182">
        <v>131.11336032388672</v>
      </c>
      <c r="X89" s="451">
        <f t="shared" si="50"/>
        <v>1</v>
      </c>
      <c r="Y89" s="609"/>
      <c r="Z89" s="182">
        <v>19</v>
      </c>
      <c r="AA89" s="182">
        <v>2480.7272727272712</v>
      </c>
      <c r="AB89" s="182">
        <v>130.56459330143534</v>
      </c>
      <c r="AC89" s="451">
        <f t="shared" si="52"/>
        <v>2</v>
      </c>
      <c r="AD89" s="609"/>
      <c r="AE89" s="182">
        <v>19</v>
      </c>
      <c r="AF89" s="182">
        <v>2486.9387755102048</v>
      </c>
      <c r="AG89" s="182">
        <v>130.89151450053708</v>
      </c>
      <c r="AH89" s="451">
        <f t="shared" si="54"/>
        <v>1</v>
      </c>
      <c r="AI89" s="609"/>
      <c r="AJ89" s="182">
        <v>19</v>
      </c>
      <c r="AK89" s="182">
        <v>2457.692307692309</v>
      </c>
      <c r="AL89" s="182">
        <v>129.35222672064785</v>
      </c>
      <c r="AM89" s="451">
        <f t="shared" si="56"/>
        <v>2</v>
      </c>
      <c r="AN89" s="609"/>
      <c r="AO89" s="390"/>
      <c r="AP89" s="391"/>
      <c r="AQ89" s="391"/>
      <c r="AR89" s="390" t="e">
        <f t="shared" si="58"/>
        <v>#N/A</v>
      </c>
      <c r="AS89" s="609"/>
      <c r="AT89" s="390"/>
      <c r="AU89" s="391"/>
      <c r="AV89" s="391"/>
      <c r="AW89" s="390" t="e">
        <f t="shared" si="60"/>
        <v>#N/A</v>
      </c>
      <c r="AX89" s="605"/>
    </row>
    <row r="90" spans="2:50">
      <c r="B90" s="572"/>
      <c r="C90" s="451">
        <v>4</v>
      </c>
      <c r="D90" s="226" t="s">
        <v>394</v>
      </c>
      <c r="E90" s="182">
        <v>19</v>
      </c>
      <c r="F90" s="451">
        <v>2800</v>
      </c>
      <c r="G90" s="453">
        <v>147.36842105263159</v>
      </c>
      <c r="H90" s="609"/>
      <c r="I90" s="456">
        <f t="shared" si="62"/>
        <v>19</v>
      </c>
      <c r="J90" s="456">
        <f t="shared" si="62"/>
        <v>2464.7618992098337</v>
      </c>
      <c r="K90" s="454">
        <f t="shared" si="62"/>
        <v>129.72431048472805</v>
      </c>
      <c r="L90" s="541"/>
      <c r="M90" s="455">
        <f>RANK(K90, K$87:$K$101)</f>
        <v>3</v>
      </c>
      <c r="N90" s="559"/>
      <c r="O90" s="559"/>
      <c r="P90" s="182">
        <v>19</v>
      </c>
      <c r="Q90" s="182">
        <v>2507.1440000000011</v>
      </c>
      <c r="R90" s="182">
        <v>131.9549473684211</v>
      </c>
      <c r="S90" s="451">
        <f t="shared" si="63"/>
        <v>3</v>
      </c>
      <c r="T90" s="609"/>
      <c r="U90" s="182">
        <v>19</v>
      </c>
      <c r="V90" s="182">
        <v>2441.1000000000004</v>
      </c>
      <c r="W90" s="182">
        <v>128.47894736842107</v>
      </c>
      <c r="X90" s="451">
        <f t="shared" si="50"/>
        <v>2</v>
      </c>
      <c r="Y90" s="609"/>
      <c r="Z90" s="182">
        <v>19</v>
      </c>
      <c r="AA90" s="182">
        <v>2441.4537313432838</v>
      </c>
      <c r="AB90" s="182">
        <v>128.49756480754127</v>
      </c>
      <c r="AC90" s="451">
        <f t="shared" si="52"/>
        <v>3</v>
      </c>
      <c r="AD90" s="609"/>
      <c r="AE90" s="182">
        <v>19</v>
      </c>
      <c r="AF90" s="182">
        <v>2472.7000000000003</v>
      </c>
      <c r="AG90" s="182">
        <v>130.1421052631579</v>
      </c>
      <c r="AH90" s="451">
        <f t="shared" si="54"/>
        <v>3</v>
      </c>
      <c r="AI90" s="609"/>
      <c r="AJ90" s="182">
        <v>19</v>
      </c>
      <c r="AK90" s="182">
        <v>2461.411764705882</v>
      </c>
      <c r="AL90" s="182">
        <v>129.54798761609905</v>
      </c>
      <c r="AM90" s="451">
        <f t="shared" si="56"/>
        <v>1</v>
      </c>
      <c r="AN90" s="609"/>
      <c r="AO90" s="390"/>
      <c r="AP90" s="391"/>
      <c r="AQ90" s="391"/>
      <c r="AR90" s="390" t="e">
        <f t="shared" si="58"/>
        <v>#N/A</v>
      </c>
      <c r="AS90" s="609"/>
      <c r="AT90" s="390"/>
      <c r="AU90" s="391"/>
      <c r="AV90" s="391"/>
      <c r="AW90" s="390" t="e">
        <f t="shared" si="60"/>
        <v>#N/A</v>
      </c>
      <c r="AX90" s="605"/>
    </row>
    <row r="91" spans="2:50">
      <c r="B91" s="572"/>
      <c r="C91" s="451">
        <v>5</v>
      </c>
      <c r="D91" s="226" t="s">
        <v>565</v>
      </c>
      <c r="E91" s="182">
        <v>18</v>
      </c>
      <c r="F91" s="451">
        <v>2250</v>
      </c>
      <c r="G91" s="453">
        <v>125</v>
      </c>
      <c r="H91" s="609"/>
      <c r="I91" s="456">
        <f t="shared" si="62"/>
        <v>19</v>
      </c>
      <c r="J91" s="456">
        <f t="shared" si="62"/>
        <v>1951.1137528182003</v>
      </c>
      <c r="K91" s="454">
        <f t="shared" si="62"/>
        <v>102.69019751674742</v>
      </c>
      <c r="L91" s="541"/>
      <c r="M91" s="455">
        <f>RANK(K91, K$87:$K$101)</f>
        <v>5</v>
      </c>
      <c r="N91" s="559"/>
      <c r="O91" s="559"/>
      <c r="P91" s="182">
        <v>19</v>
      </c>
      <c r="Q91" s="182">
        <v>1966.8292682926822</v>
      </c>
      <c r="R91" s="182">
        <v>103.51732991014117</v>
      </c>
      <c r="S91" s="451">
        <f t="shared" si="63"/>
        <v>5</v>
      </c>
      <c r="T91" s="609"/>
      <c r="U91" s="182">
        <v>19</v>
      </c>
      <c r="V91" s="182">
        <v>1970.7692307692316</v>
      </c>
      <c r="W91" s="182">
        <v>103.72469635627535</v>
      </c>
      <c r="X91" s="451">
        <f t="shared" si="50"/>
        <v>5</v>
      </c>
      <c r="Y91" s="609"/>
      <c r="Z91" s="182">
        <v>19</v>
      </c>
      <c r="AA91" s="182">
        <v>1932.857142857142</v>
      </c>
      <c r="AB91" s="182">
        <v>101.72932330827064</v>
      </c>
      <c r="AC91" s="451">
        <f t="shared" si="52"/>
        <v>5</v>
      </c>
      <c r="AD91" s="609"/>
      <c r="AE91" s="182">
        <v>19</v>
      </c>
      <c r="AF91" s="182">
        <v>1935.8823529411766</v>
      </c>
      <c r="AG91" s="182">
        <v>101.88854489164088</v>
      </c>
      <c r="AH91" s="451">
        <f t="shared" si="54"/>
        <v>5</v>
      </c>
      <c r="AI91" s="609"/>
      <c r="AJ91" s="182">
        <v>19</v>
      </c>
      <c r="AK91" s="182">
        <v>1949.2307692307702</v>
      </c>
      <c r="AL91" s="182">
        <v>102.59109311740896</v>
      </c>
      <c r="AM91" s="451">
        <f t="shared" si="56"/>
        <v>5</v>
      </c>
      <c r="AN91" s="609"/>
      <c r="AO91" s="390"/>
      <c r="AP91" s="391"/>
      <c r="AQ91" s="391"/>
      <c r="AR91" s="390" t="e">
        <f t="shared" si="58"/>
        <v>#N/A</v>
      </c>
      <c r="AS91" s="609"/>
      <c r="AT91" s="390"/>
      <c r="AU91" s="391"/>
      <c r="AV91" s="391"/>
      <c r="AW91" s="390" t="e">
        <f t="shared" si="60"/>
        <v>#N/A</v>
      </c>
      <c r="AX91" s="605"/>
    </row>
    <row r="92" spans="2:50">
      <c r="B92" s="572"/>
      <c r="C92" s="451">
        <v>6</v>
      </c>
      <c r="D92" s="226"/>
      <c r="E92" s="182"/>
      <c r="F92" s="451"/>
      <c r="G92" s="453"/>
      <c r="H92" s="609"/>
      <c r="I92" s="456"/>
      <c r="J92" s="456"/>
      <c r="K92" s="454"/>
      <c r="L92" s="541"/>
      <c r="M92" s="455" t="e">
        <f>RANK(K92, K$87:$K$101)</f>
        <v>#N/A</v>
      </c>
      <c r="N92" s="559"/>
      <c r="O92" s="559"/>
      <c r="P92" s="452"/>
      <c r="Q92" s="457"/>
      <c r="R92" s="457"/>
      <c r="S92" s="451" t="e">
        <f t="shared" si="63"/>
        <v>#N/A</v>
      </c>
      <c r="T92" s="609"/>
      <c r="U92" s="452"/>
      <c r="V92" s="457"/>
      <c r="W92" s="457"/>
      <c r="X92" s="451" t="e">
        <f t="shared" si="50"/>
        <v>#N/A</v>
      </c>
      <c r="Y92" s="609"/>
      <c r="Z92" s="452"/>
      <c r="AA92" s="457"/>
      <c r="AB92" s="457"/>
      <c r="AC92" s="451" t="e">
        <f t="shared" si="52"/>
        <v>#N/A</v>
      </c>
      <c r="AD92" s="609"/>
      <c r="AE92" s="452"/>
      <c r="AF92" s="457"/>
      <c r="AG92" s="457"/>
      <c r="AH92" s="451" t="e">
        <f t="shared" si="54"/>
        <v>#N/A</v>
      </c>
      <c r="AI92" s="609"/>
      <c r="AJ92" s="452"/>
      <c r="AK92" s="457"/>
      <c r="AL92" s="457"/>
      <c r="AM92" s="451" t="e">
        <f t="shared" si="56"/>
        <v>#N/A</v>
      </c>
      <c r="AN92" s="609"/>
      <c r="AO92" s="390"/>
      <c r="AP92" s="391"/>
      <c r="AQ92" s="391"/>
      <c r="AR92" s="390" t="e">
        <f t="shared" si="58"/>
        <v>#N/A</v>
      </c>
      <c r="AS92" s="609"/>
      <c r="AT92" s="390"/>
      <c r="AU92" s="391"/>
      <c r="AV92" s="391"/>
      <c r="AW92" s="390" t="e">
        <f t="shared" si="60"/>
        <v>#N/A</v>
      </c>
      <c r="AX92" s="605"/>
    </row>
    <row r="93" spans="2:50">
      <c r="B93" s="572"/>
      <c r="C93" s="451">
        <v>7</v>
      </c>
      <c r="D93" s="226"/>
      <c r="E93" s="182"/>
      <c r="F93" s="451"/>
      <c r="G93" s="453"/>
      <c r="H93" s="609"/>
      <c r="I93" s="456"/>
      <c r="J93" s="456"/>
      <c r="K93" s="454"/>
      <c r="L93" s="541"/>
      <c r="M93" s="455" t="e">
        <f>RANK(K93, K$87:$K$101)</f>
        <v>#N/A</v>
      </c>
      <c r="N93" s="559"/>
      <c r="O93" s="559"/>
      <c r="P93" s="452"/>
      <c r="Q93" s="457"/>
      <c r="R93" s="457"/>
      <c r="S93" s="451" t="e">
        <f t="shared" si="63"/>
        <v>#N/A</v>
      </c>
      <c r="T93" s="609"/>
      <c r="U93" s="452"/>
      <c r="V93" s="457"/>
      <c r="W93" s="457"/>
      <c r="X93" s="451" t="e">
        <f t="shared" si="50"/>
        <v>#N/A</v>
      </c>
      <c r="Y93" s="609"/>
      <c r="Z93" s="452"/>
      <c r="AA93" s="457"/>
      <c r="AB93" s="457"/>
      <c r="AC93" s="451" t="e">
        <f t="shared" si="52"/>
        <v>#N/A</v>
      </c>
      <c r="AD93" s="609"/>
      <c r="AE93" s="452"/>
      <c r="AF93" s="457"/>
      <c r="AG93" s="457"/>
      <c r="AH93" s="451" t="e">
        <f t="shared" si="54"/>
        <v>#N/A</v>
      </c>
      <c r="AI93" s="609"/>
      <c r="AJ93" s="452"/>
      <c r="AK93" s="457"/>
      <c r="AL93" s="457"/>
      <c r="AM93" s="451" t="e">
        <f t="shared" si="56"/>
        <v>#N/A</v>
      </c>
      <c r="AN93" s="609"/>
      <c r="AO93" s="390"/>
      <c r="AP93" s="391"/>
      <c r="AQ93" s="391"/>
      <c r="AR93" s="390" t="e">
        <f t="shared" si="58"/>
        <v>#N/A</v>
      </c>
      <c r="AS93" s="609"/>
      <c r="AT93" s="390"/>
      <c r="AU93" s="391"/>
      <c r="AV93" s="391"/>
      <c r="AW93" s="390" t="e">
        <f t="shared" si="60"/>
        <v>#N/A</v>
      </c>
      <c r="AX93" s="605"/>
    </row>
    <row r="94" spans="2:50">
      <c r="B94" s="572"/>
      <c r="C94" s="451">
        <v>8</v>
      </c>
      <c r="D94" s="226"/>
      <c r="E94" s="182"/>
      <c r="F94" s="451"/>
      <c r="G94" s="453"/>
      <c r="H94" s="609"/>
      <c r="I94" s="456"/>
      <c r="J94" s="456"/>
      <c r="K94" s="454"/>
      <c r="L94" s="541"/>
      <c r="M94" s="455" t="e">
        <f>RANK(K94, K$87:$K$101)</f>
        <v>#N/A</v>
      </c>
      <c r="N94" s="559"/>
      <c r="O94" s="559"/>
      <c r="P94" s="452"/>
      <c r="Q94" s="457"/>
      <c r="R94" s="457"/>
      <c r="S94" s="451" t="e">
        <f t="shared" si="63"/>
        <v>#N/A</v>
      </c>
      <c r="T94" s="609"/>
      <c r="U94" s="452"/>
      <c r="V94" s="457"/>
      <c r="W94" s="457"/>
      <c r="X94" s="451" t="e">
        <f t="shared" si="50"/>
        <v>#N/A</v>
      </c>
      <c r="Y94" s="609"/>
      <c r="Z94" s="452"/>
      <c r="AA94" s="457"/>
      <c r="AB94" s="457"/>
      <c r="AC94" s="451" t="e">
        <f t="shared" si="52"/>
        <v>#N/A</v>
      </c>
      <c r="AD94" s="609"/>
      <c r="AE94" s="452"/>
      <c r="AF94" s="457"/>
      <c r="AG94" s="457"/>
      <c r="AH94" s="451" t="e">
        <f t="shared" si="54"/>
        <v>#N/A</v>
      </c>
      <c r="AI94" s="609"/>
      <c r="AJ94" s="452"/>
      <c r="AK94" s="457"/>
      <c r="AL94" s="457"/>
      <c r="AM94" s="451" t="e">
        <f t="shared" si="56"/>
        <v>#N/A</v>
      </c>
      <c r="AN94" s="609"/>
      <c r="AO94" s="390"/>
      <c r="AP94" s="391"/>
      <c r="AQ94" s="391"/>
      <c r="AR94" s="390" t="e">
        <f t="shared" si="58"/>
        <v>#N/A</v>
      </c>
      <c r="AS94" s="609"/>
      <c r="AT94" s="390"/>
      <c r="AU94" s="391"/>
      <c r="AV94" s="391"/>
      <c r="AW94" s="390" t="e">
        <f t="shared" si="60"/>
        <v>#N/A</v>
      </c>
      <c r="AX94" s="605"/>
    </row>
    <row r="95" spans="2:50">
      <c r="B95" s="572"/>
      <c r="C95" s="451">
        <v>9</v>
      </c>
      <c r="D95" s="226"/>
      <c r="E95" s="182"/>
      <c r="F95" s="451"/>
      <c r="G95" s="453"/>
      <c r="H95" s="609"/>
      <c r="I95" s="456"/>
      <c r="J95" s="456"/>
      <c r="K95" s="454"/>
      <c r="L95" s="541"/>
      <c r="M95" s="455" t="e">
        <f>RANK(K95, K$87:$K$101)</f>
        <v>#N/A</v>
      </c>
      <c r="N95" s="559"/>
      <c r="O95" s="559"/>
      <c r="P95" s="452"/>
      <c r="Q95" s="457"/>
      <c r="R95" s="457"/>
      <c r="S95" s="451" t="e">
        <f t="shared" si="63"/>
        <v>#N/A</v>
      </c>
      <c r="T95" s="609"/>
      <c r="U95" s="452"/>
      <c r="V95" s="457"/>
      <c r="W95" s="457"/>
      <c r="X95" s="451" t="e">
        <f t="shared" si="50"/>
        <v>#N/A</v>
      </c>
      <c r="Y95" s="609"/>
      <c r="Z95" s="452"/>
      <c r="AA95" s="457"/>
      <c r="AB95" s="457"/>
      <c r="AC95" s="451" t="e">
        <f t="shared" si="52"/>
        <v>#N/A</v>
      </c>
      <c r="AD95" s="609"/>
      <c r="AE95" s="452"/>
      <c r="AF95" s="457"/>
      <c r="AG95" s="457"/>
      <c r="AH95" s="451" t="e">
        <f t="shared" si="54"/>
        <v>#N/A</v>
      </c>
      <c r="AI95" s="609"/>
      <c r="AJ95" s="452"/>
      <c r="AK95" s="457"/>
      <c r="AL95" s="457"/>
      <c r="AM95" s="451" t="e">
        <f t="shared" si="56"/>
        <v>#N/A</v>
      </c>
      <c r="AN95" s="609"/>
      <c r="AO95" s="390"/>
      <c r="AP95" s="391"/>
      <c r="AQ95" s="391"/>
      <c r="AR95" s="390" t="e">
        <f t="shared" si="58"/>
        <v>#N/A</v>
      </c>
      <c r="AS95" s="609"/>
      <c r="AT95" s="390"/>
      <c r="AU95" s="391"/>
      <c r="AV95" s="391"/>
      <c r="AW95" s="390" t="e">
        <f t="shared" si="60"/>
        <v>#N/A</v>
      </c>
      <c r="AX95" s="605"/>
    </row>
    <row r="96" spans="2:50">
      <c r="B96" s="572"/>
      <c r="C96" s="451">
        <v>10</v>
      </c>
      <c r="D96" s="226"/>
      <c r="E96" s="182"/>
      <c r="F96" s="451"/>
      <c r="G96" s="453"/>
      <c r="H96" s="609"/>
      <c r="I96" s="456"/>
      <c r="J96" s="456"/>
      <c r="K96" s="454"/>
      <c r="L96" s="541"/>
      <c r="M96" s="455" t="e">
        <f>RANK(K96, K$87:$K$101)</f>
        <v>#N/A</v>
      </c>
      <c r="N96" s="559"/>
      <c r="O96" s="559"/>
      <c r="P96" s="452"/>
      <c r="Q96" s="457"/>
      <c r="R96" s="457"/>
      <c r="S96" s="451" t="e">
        <f t="shared" si="63"/>
        <v>#N/A</v>
      </c>
      <c r="T96" s="609"/>
      <c r="U96" s="452"/>
      <c r="V96" s="457"/>
      <c r="W96" s="457"/>
      <c r="X96" s="451" t="e">
        <f t="shared" si="50"/>
        <v>#N/A</v>
      </c>
      <c r="Y96" s="609"/>
      <c r="Z96" s="452"/>
      <c r="AA96" s="457"/>
      <c r="AB96" s="457"/>
      <c r="AC96" s="451" t="e">
        <f t="shared" si="52"/>
        <v>#N/A</v>
      </c>
      <c r="AD96" s="609"/>
      <c r="AE96" s="452"/>
      <c r="AF96" s="457"/>
      <c r="AG96" s="457"/>
      <c r="AH96" s="451" t="e">
        <f t="shared" si="54"/>
        <v>#N/A</v>
      </c>
      <c r="AI96" s="609"/>
      <c r="AJ96" s="452"/>
      <c r="AK96" s="457"/>
      <c r="AL96" s="457"/>
      <c r="AM96" s="451" t="e">
        <f t="shared" si="56"/>
        <v>#N/A</v>
      </c>
      <c r="AN96" s="609"/>
      <c r="AO96" s="390"/>
      <c r="AP96" s="390"/>
      <c r="AQ96" s="391"/>
      <c r="AR96" s="390" t="e">
        <f t="shared" si="58"/>
        <v>#N/A</v>
      </c>
      <c r="AS96" s="609"/>
      <c r="AT96" s="390"/>
      <c r="AU96" s="390"/>
      <c r="AV96" s="391"/>
      <c r="AW96" s="390" t="e">
        <f t="shared" si="60"/>
        <v>#N/A</v>
      </c>
      <c r="AX96" s="605"/>
    </row>
    <row r="97" spans="2:50">
      <c r="B97" s="572"/>
      <c r="C97" s="451">
        <v>11</v>
      </c>
      <c r="D97" s="226"/>
      <c r="E97" s="182"/>
      <c r="F97" s="451"/>
      <c r="G97" s="453"/>
      <c r="H97" s="609"/>
      <c r="I97" s="202"/>
      <c r="J97" s="202"/>
      <c r="K97" s="202"/>
      <c r="L97" s="541"/>
      <c r="M97" s="455" t="e">
        <f>RANK(K97, K$87:$K$101)</f>
        <v>#N/A</v>
      </c>
      <c r="N97" s="559"/>
      <c r="O97" s="559"/>
      <c r="P97" s="452"/>
      <c r="Q97" s="457"/>
      <c r="R97" s="457"/>
      <c r="S97" s="451" t="e">
        <f t="shared" si="63"/>
        <v>#N/A</v>
      </c>
      <c r="T97" s="609"/>
      <c r="U97" s="452"/>
      <c r="V97" s="457"/>
      <c r="W97" s="457"/>
      <c r="X97" s="451" t="e">
        <f t="shared" si="50"/>
        <v>#N/A</v>
      </c>
      <c r="Y97" s="609"/>
      <c r="Z97" s="452"/>
      <c r="AA97" s="457"/>
      <c r="AB97" s="457"/>
      <c r="AC97" s="451" t="e">
        <f t="shared" si="52"/>
        <v>#N/A</v>
      </c>
      <c r="AD97" s="609"/>
      <c r="AE97" s="452"/>
      <c r="AF97" s="457"/>
      <c r="AG97" s="457"/>
      <c r="AH97" s="451" t="e">
        <f t="shared" si="54"/>
        <v>#N/A</v>
      </c>
      <c r="AI97" s="609"/>
      <c r="AJ97" s="452"/>
      <c r="AK97" s="457"/>
      <c r="AL97" s="457"/>
      <c r="AM97" s="451" t="e">
        <f t="shared" si="56"/>
        <v>#N/A</v>
      </c>
      <c r="AN97" s="609"/>
      <c r="AO97" s="390"/>
      <c r="AP97" s="390"/>
      <c r="AQ97" s="390"/>
      <c r="AR97" s="390" t="e">
        <f t="shared" si="58"/>
        <v>#N/A</v>
      </c>
      <c r="AS97" s="609"/>
      <c r="AT97" s="390"/>
      <c r="AU97" s="390"/>
      <c r="AV97" s="390"/>
      <c r="AW97" s="390" t="e">
        <f t="shared" si="60"/>
        <v>#N/A</v>
      </c>
      <c r="AX97" s="605"/>
    </row>
    <row r="98" spans="2:50">
      <c r="B98" s="572"/>
      <c r="C98" s="451">
        <v>12</v>
      </c>
      <c r="D98" s="226"/>
      <c r="E98" s="182"/>
      <c r="F98" s="451"/>
      <c r="G98" s="453"/>
      <c r="H98" s="609"/>
      <c r="I98" s="202"/>
      <c r="J98" s="202"/>
      <c r="K98" s="202"/>
      <c r="L98" s="541"/>
      <c r="M98" s="455" t="e">
        <f>RANK(K98, K$87:$K$101)</f>
        <v>#N/A</v>
      </c>
      <c r="N98" s="559"/>
      <c r="O98" s="559"/>
      <c r="P98" s="452"/>
      <c r="Q98" s="457"/>
      <c r="R98" s="457"/>
      <c r="S98" s="451" t="e">
        <f t="shared" si="63"/>
        <v>#N/A</v>
      </c>
      <c r="T98" s="609"/>
      <c r="U98" s="452"/>
      <c r="V98" s="457"/>
      <c r="W98" s="457"/>
      <c r="X98" s="451" t="e">
        <f t="shared" si="50"/>
        <v>#N/A</v>
      </c>
      <c r="Y98" s="609"/>
      <c r="Z98" s="452"/>
      <c r="AA98" s="457"/>
      <c r="AB98" s="457"/>
      <c r="AC98" s="451" t="e">
        <f t="shared" si="52"/>
        <v>#N/A</v>
      </c>
      <c r="AD98" s="609"/>
      <c r="AE98" s="452"/>
      <c r="AF98" s="457"/>
      <c r="AG98" s="457"/>
      <c r="AH98" s="451" t="e">
        <f t="shared" si="54"/>
        <v>#N/A</v>
      </c>
      <c r="AI98" s="609"/>
      <c r="AJ98" s="452"/>
      <c r="AK98" s="457"/>
      <c r="AL98" s="457"/>
      <c r="AM98" s="451" t="e">
        <f t="shared" si="56"/>
        <v>#N/A</v>
      </c>
      <c r="AN98" s="609"/>
      <c r="AO98" s="390"/>
      <c r="AP98" s="390"/>
      <c r="AQ98" s="390"/>
      <c r="AR98" s="390" t="e">
        <f t="shared" si="58"/>
        <v>#N/A</v>
      </c>
      <c r="AS98" s="609"/>
      <c r="AT98" s="390"/>
      <c r="AU98" s="390"/>
      <c r="AV98" s="390"/>
      <c r="AW98" s="390" t="e">
        <f t="shared" si="60"/>
        <v>#N/A</v>
      </c>
      <c r="AX98" s="605"/>
    </row>
    <row r="99" spans="2:50">
      <c r="B99" s="572"/>
      <c r="C99" s="451">
        <v>13</v>
      </c>
      <c r="D99" s="226"/>
      <c r="E99" s="182"/>
      <c r="F99" s="451"/>
      <c r="G99" s="453"/>
      <c r="H99" s="609"/>
      <c r="I99" s="202"/>
      <c r="J99" s="202"/>
      <c r="K99" s="202"/>
      <c r="L99" s="541"/>
      <c r="M99" s="455" t="e">
        <f>RANK(K99, K$87:$K$101)</f>
        <v>#N/A</v>
      </c>
      <c r="N99" s="559"/>
      <c r="O99" s="559"/>
      <c r="P99" s="452"/>
      <c r="Q99" s="457"/>
      <c r="R99" s="457"/>
      <c r="S99" s="451" t="e">
        <f t="shared" si="63"/>
        <v>#N/A</v>
      </c>
      <c r="T99" s="609"/>
      <c r="U99" s="452"/>
      <c r="V99" s="457"/>
      <c r="W99" s="457"/>
      <c r="X99" s="451" t="e">
        <f t="shared" si="50"/>
        <v>#N/A</v>
      </c>
      <c r="Y99" s="609"/>
      <c r="Z99" s="452"/>
      <c r="AA99" s="457"/>
      <c r="AB99" s="457"/>
      <c r="AC99" s="451" t="e">
        <f t="shared" si="52"/>
        <v>#N/A</v>
      </c>
      <c r="AD99" s="609"/>
      <c r="AE99" s="452"/>
      <c r="AF99" s="457"/>
      <c r="AG99" s="457"/>
      <c r="AH99" s="451" t="e">
        <f t="shared" si="54"/>
        <v>#N/A</v>
      </c>
      <c r="AI99" s="609"/>
      <c r="AJ99" s="452"/>
      <c r="AK99" s="457"/>
      <c r="AL99" s="457"/>
      <c r="AM99" s="451" t="e">
        <f t="shared" si="56"/>
        <v>#N/A</v>
      </c>
      <c r="AN99" s="609"/>
      <c r="AO99" s="390"/>
      <c r="AP99" s="390"/>
      <c r="AQ99" s="390"/>
      <c r="AR99" s="390" t="e">
        <f t="shared" si="58"/>
        <v>#N/A</v>
      </c>
      <c r="AS99" s="609"/>
      <c r="AT99" s="390"/>
      <c r="AU99" s="390"/>
      <c r="AV99" s="390"/>
      <c r="AW99" s="390" t="e">
        <f t="shared" si="60"/>
        <v>#N/A</v>
      </c>
      <c r="AX99" s="605"/>
    </row>
    <row r="100" spans="2:50">
      <c r="B100" s="572"/>
      <c r="C100" s="451">
        <v>14</v>
      </c>
      <c r="D100" s="226"/>
      <c r="E100" s="182"/>
      <c r="F100" s="451"/>
      <c r="G100" s="453"/>
      <c r="H100" s="609"/>
      <c r="I100" s="202"/>
      <c r="J100" s="202"/>
      <c r="K100" s="202"/>
      <c r="L100" s="541"/>
      <c r="M100" s="455" t="e">
        <f>RANK(K100, K$87:$K$101)</f>
        <v>#N/A</v>
      </c>
      <c r="N100" s="559"/>
      <c r="O100" s="559"/>
      <c r="P100" s="452"/>
      <c r="Q100" s="457"/>
      <c r="R100" s="457"/>
      <c r="S100" s="451" t="e">
        <f t="shared" si="63"/>
        <v>#N/A</v>
      </c>
      <c r="T100" s="609"/>
      <c r="U100" s="452"/>
      <c r="V100" s="457"/>
      <c r="W100" s="457"/>
      <c r="X100" s="451" t="e">
        <f t="shared" si="50"/>
        <v>#N/A</v>
      </c>
      <c r="Y100" s="609"/>
      <c r="Z100" s="452"/>
      <c r="AA100" s="457"/>
      <c r="AB100" s="457"/>
      <c r="AC100" s="451" t="e">
        <f t="shared" si="52"/>
        <v>#N/A</v>
      </c>
      <c r="AD100" s="609"/>
      <c r="AE100" s="452"/>
      <c r="AF100" s="457"/>
      <c r="AG100" s="457"/>
      <c r="AH100" s="451" t="e">
        <f t="shared" si="54"/>
        <v>#N/A</v>
      </c>
      <c r="AI100" s="609"/>
      <c r="AJ100" s="452"/>
      <c r="AK100" s="457"/>
      <c r="AL100" s="457"/>
      <c r="AM100" s="451" t="e">
        <f t="shared" si="56"/>
        <v>#N/A</v>
      </c>
      <c r="AN100" s="609"/>
      <c r="AO100" s="390"/>
      <c r="AP100" s="390"/>
      <c r="AQ100" s="390"/>
      <c r="AR100" s="390" t="e">
        <f t="shared" si="58"/>
        <v>#N/A</v>
      </c>
      <c r="AS100" s="609"/>
      <c r="AT100" s="390"/>
      <c r="AU100" s="390"/>
      <c r="AV100" s="390"/>
      <c r="AW100" s="390" t="e">
        <f t="shared" si="60"/>
        <v>#N/A</v>
      </c>
      <c r="AX100" s="605"/>
    </row>
    <row r="101" spans="2:50">
      <c r="B101" s="572"/>
      <c r="C101" s="451">
        <v>15</v>
      </c>
      <c r="D101" s="226"/>
      <c r="E101" s="182"/>
      <c r="F101" s="451"/>
      <c r="G101" s="453"/>
      <c r="H101" s="610"/>
      <c r="I101" s="202"/>
      <c r="J101" s="202"/>
      <c r="K101" s="202"/>
      <c r="L101" s="542"/>
      <c r="M101" s="456" t="e">
        <f>RANK(K101, K$87:$K$101)</f>
        <v>#N/A</v>
      </c>
      <c r="N101" s="559"/>
      <c r="O101" s="559"/>
      <c r="P101" s="452"/>
      <c r="Q101" s="457"/>
      <c r="R101" s="457"/>
      <c r="S101" s="451" t="e">
        <f t="shared" si="63"/>
        <v>#N/A</v>
      </c>
      <c r="T101" s="610"/>
      <c r="U101" s="452"/>
      <c r="V101" s="457"/>
      <c r="W101" s="457"/>
      <c r="X101" s="451" t="e">
        <f t="shared" si="50"/>
        <v>#N/A</v>
      </c>
      <c r="Y101" s="610"/>
      <c r="Z101" s="452"/>
      <c r="AA101" s="457"/>
      <c r="AB101" s="457"/>
      <c r="AC101" s="451" t="e">
        <f t="shared" si="52"/>
        <v>#N/A</v>
      </c>
      <c r="AD101" s="610"/>
      <c r="AE101" s="452"/>
      <c r="AF101" s="457"/>
      <c r="AG101" s="457"/>
      <c r="AH101" s="451" t="e">
        <f t="shared" si="54"/>
        <v>#N/A</v>
      </c>
      <c r="AI101" s="610"/>
      <c r="AJ101" s="452"/>
      <c r="AK101" s="457"/>
      <c r="AL101" s="457"/>
      <c r="AM101" s="451" t="e">
        <f t="shared" si="56"/>
        <v>#N/A</v>
      </c>
      <c r="AN101" s="610"/>
      <c r="AO101" s="390"/>
      <c r="AP101" s="390"/>
      <c r="AQ101" s="390"/>
      <c r="AR101" s="390" t="e">
        <f t="shared" si="58"/>
        <v>#N/A</v>
      </c>
      <c r="AS101" s="610"/>
      <c r="AT101" s="390"/>
      <c r="AU101" s="390"/>
      <c r="AV101" s="390"/>
      <c r="AW101" s="390" t="e">
        <f t="shared" si="60"/>
        <v>#N/A</v>
      </c>
      <c r="AX101" s="605"/>
    </row>
    <row r="102" spans="2:50" ht="15.75">
      <c r="B102" s="576" t="s">
        <v>162</v>
      </c>
      <c r="C102" s="577"/>
      <c r="D102" s="577"/>
      <c r="E102" s="577"/>
      <c r="F102" s="577"/>
      <c r="G102" s="577"/>
      <c r="H102" s="578"/>
      <c r="I102" s="208"/>
      <c r="J102" s="208"/>
      <c r="K102" s="208"/>
      <c r="L102" s="208"/>
      <c r="M102" s="207"/>
      <c r="N102" s="565" t="s">
        <v>156</v>
      </c>
      <c r="O102" s="565" t="s">
        <v>105</v>
      </c>
      <c r="P102" s="571">
        <f>P82+7</f>
        <v>46421</v>
      </c>
      <c r="Q102" s="572"/>
      <c r="R102" s="572"/>
      <c r="S102" s="572"/>
      <c r="T102" s="572"/>
      <c r="U102" s="568">
        <f>P102+1</f>
        <v>46422</v>
      </c>
      <c r="V102" s="569"/>
      <c r="W102" s="569"/>
      <c r="X102" s="569"/>
      <c r="Y102" s="570"/>
      <c r="Z102" s="568">
        <f>U102+1</f>
        <v>46423</v>
      </c>
      <c r="AA102" s="569"/>
      <c r="AB102" s="569"/>
      <c r="AC102" s="569"/>
      <c r="AD102" s="570"/>
      <c r="AE102" s="568">
        <f>Z102+1</f>
        <v>46424</v>
      </c>
      <c r="AF102" s="569"/>
      <c r="AG102" s="569"/>
      <c r="AH102" s="569"/>
      <c r="AI102" s="570"/>
      <c r="AJ102" s="568">
        <f>AE102+1</f>
        <v>46425</v>
      </c>
      <c r="AK102" s="569"/>
      <c r="AL102" s="569"/>
      <c r="AM102" s="569"/>
      <c r="AN102" s="570"/>
      <c r="AO102" s="568">
        <f>AJ102+1</f>
        <v>46426</v>
      </c>
      <c r="AP102" s="569"/>
      <c r="AQ102" s="569"/>
      <c r="AR102" s="569"/>
      <c r="AS102" s="570"/>
      <c r="AT102" s="568">
        <f>AO102+1</f>
        <v>46427</v>
      </c>
      <c r="AU102" s="569"/>
      <c r="AV102" s="569"/>
      <c r="AW102" s="569"/>
      <c r="AX102" s="570"/>
    </row>
    <row r="103" spans="2:50" ht="15.75">
      <c r="B103" s="579"/>
      <c r="C103" s="579"/>
      <c r="D103" s="579"/>
      <c r="E103" s="579"/>
      <c r="F103" s="579"/>
      <c r="G103" s="579"/>
      <c r="H103" s="579"/>
      <c r="I103" s="205"/>
      <c r="J103" s="205"/>
      <c r="K103" s="205"/>
      <c r="L103" s="205"/>
      <c r="M103" s="206"/>
      <c r="N103" s="567"/>
      <c r="O103" s="567"/>
      <c r="P103" s="571" t="s">
        <v>158</v>
      </c>
      <c r="Q103" s="572"/>
      <c r="R103" s="572"/>
      <c r="S103" s="572"/>
      <c r="T103" s="572"/>
      <c r="U103" s="571" t="s">
        <v>114</v>
      </c>
      <c r="V103" s="572"/>
      <c r="W103" s="572"/>
      <c r="X103" s="572"/>
      <c r="Y103" s="572"/>
      <c r="Z103" s="571" t="s">
        <v>159</v>
      </c>
      <c r="AA103" s="572"/>
      <c r="AB103" s="572"/>
      <c r="AC103" s="572"/>
      <c r="AD103" s="572"/>
      <c r="AE103" s="571" t="s">
        <v>157</v>
      </c>
      <c r="AF103" s="572"/>
      <c r="AG103" s="572"/>
      <c r="AH103" s="572"/>
      <c r="AI103" s="572"/>
      <c r="AJ103" s="571" t="s">
        <v>160</v>
      </c>
      <c r="AK103" s="572"/>
      <c r="AL103" s="572"/>
      <c r="AM103" s="572"/>
      <c r="AN103" s="572"/>
      <c r="AO103" s="571" t="s">
        <v>115</v>
      </c>
      <c r="AP103" s="572"/>
      <c r="AQ103" s="572"/>
      <c r="AR103" s="572"/>
      <c r="AS103" s="572"/>
      <c r="AT103" s="571" t="s">
        <v>161</v>
      </c>
      <c r="AU103" s="572"/>
      <c r="AV103" s="572"/>
      <c r="AW103" s="572"/>
      <c r="AX103" s="572"/>
    </row>
    <row r="104" spans="2:50">
      <c r="B104" s="559" t="s">
        <v>703</v>
      </c>
      <c r="C104" s="559" t="s">
        <v>704</v>
      </c>
      <c r="D104" s="559"/>
      <c r="E104" s="559" t="s">
        <v>705</v>
      </c>
      <c r="F104" s="559"/>
      <c r="G104" s="559"/>
      <c r="H104" s="560" t="s">
        <v>706</v>
      </c>
      <c r="I104" s="559" t="s">
        <v>707</v>
      </c>
      <c r="J104" s="559"/>
      <c r="K104" s="559"/>
      <c r="L104" s="560" t="s">
        <v>706</v>
      </c>
      <c r="M104" s="565" t="s">
        <v>708</v>
      </c>
      <c r="N104" s="559"/>
      <c r="O104" s="559" t="s">
        <v>691</v>
      </c>
      <c r="P104" s="556" t="s">
        <v>692</v>
      </c>
      <c r="Q104" s="557"/>
      <c r="R104" s="557"/>
      <c r="S104" s="558"/>
      <c r="T104" s="559" t="s">
        <v>688</v>
      </c>
      <c r="U104" s="556" t="s">
        <v>692</v>
      </c>
      <c r="V104" s="557"/>
      <c r="W104" s="557"/>
      <c r="X104" s="558"/>
      <c r="Y104" s="559" t="s">
        <v>688</v>
      </c>
      <c r="Z104" s="556" t="s">
        <v>418</v>
      </c>
      <c r="AA104" s="557"/>
      <c r="AB104" s="557"/>
      <c r="AC104" s="558"/>
      <c r="AD104" s="559" t="s">
        <v>416</v>
      </c>
      <c r="AE104" s="556" t="s">
        <v>418</v>
      </c>
      <c r="AF104" s="557"/>
      <c r="AG104" s="557"/>
      <c r="AH104" s="558"/>
      <c r="AI104" s="559" t="s">
        <v>416</v>
      </c>
      <c r="AJ104" s="556" t="s">
        <v>418</v>
      </c>
      <c r="AK104" s="557"/>
      <c r="AL104" s="557"/>
      <c r="AM104" s="558"/>
      <c r="AN104" s="559" t="s">
        <v>416</v>
      </c>
      <c r="AO104" s="556" t="s">
        <v>418</v>
      </c>
      <c r="AP104" s="557"/>
      <c r="AQ104" s="557"/>
      <c r="AR104" s="558"/>
      <c r="AS104" s="559" t="s">
        <v>416</v>
      </c>
      <c r="AT104" s="556" t="s">
        <v>418</v>
      </c>
      <c r="AU104" s="557"/>
      <c r="AV104" s="557"/>
      <c r="AW104" s="558"/>
      <c r="AX104" s="559" t="s">
        <v>416</v>
      </c>
    </row>
    <row r="105" spans="2:50">
      <c r="B105" s="559"/>
      <c r="C105" s="559"/>
      <c r="D105" s="559"/>
      <c r="E105" s="559" t="s">
        <v>710</v>
      </c>
      <c r="F105" s="559"/>
      <c r="G105" s="559"/>
      <c r="H105" s="561"/>
      <c r="I105" s="559" t="s">
        <v>710</v>
      </c>
      <c r="J105" s="559"/>
      <c r="K105" s="559"/>
      <c r="L105" s="561"/>
      <c r="M105" s="566"/>
      <c r="N105" s="559"/>
      <c r="O105" s="559"/>
      <c r="P105" s="556" t="s">
        <v>694</v>
      </c>
      <c r="Q105" s="557"/>
      <c r="R105" s="557"/>
      <c r="S105" s="558"/>
      <c r="T105" s="559"/>
      <c r="U105" s="556" t="s">
        <v>694</v>
      </c>
      <c r="V105" s="557"/>
      <c r="W105" s="557"/>
      <c r="X105" s="558"/>
      <c r="Y105" s="559"/>
      <c r="Z105" s="556" t="s">
        <v>423</v>
      </c>
      <c r="AA105" s="557"/>
      <c r="AB105" s="557"/>
      <c r="AC105" s="558"/>
      <c r="AD105" s="559"/>
      <c r="AE105" s="556" t="s">
        <v>423</v>
      </c>
      <c r="AF105" s="557"/>
      <c r="AG105" s="557"/>
      <c r="AH105" s="558"/>
      <c r="AI105" s="559"/>
      <c r="AJ105" s="556" t="s">
        <v>423</v>
      </c>
      <c r="AK105" s="557"/>
      <c r="AL105" s="557"/>
      <c r="AM105" s="558"/>
      <c r="AN105" s="559"/>
      <c r="AO105" s="556" t="s">
        <v>423</v>
      </c>
      <c r="AP105" s="557"/>
      <c r="AQ105" s="557"/>
      <c r="AR105" s="558"/>
      <c r="AS105" s="559"/>
      <c r="AT105" s="556" t="s">
        <v>423</v>
      </c>
      <c r="AU105" s="557"/>
      <c r="AV105" s="557"/>
      <c r="AW105" s="558"/>
      <c r="AX105" s="559"/>
    </row>
    <row r="106" spans="2:50">
      <c r="B106" s="559"/>
      <c r="C106" s="559"/>
      <c r="D106" s="559"/>
      <c r="E106" s="400" t="s">
        <v>711</v>
      </c>
      <c r="F106" s="400" t="s">
        <v>712</v>
      </c>
      <c r="G106" s="400" t="s">
        <v>713</v>
      </c>
      <c r="H106" s="562"/>
      <c r="I106" s="400" t="s">
        <v>711</v>
      </c>
      <c r="J106" s="400" t="s">
        <v>712</v>
      </c>
      <c r="K106" s="400" t="s">
        <v>713</v>
      </c>
      <c r="L106" s="562"/>
      <c r="M106" s="567"/>
      <c r="N106" s="559"/>
      <c r="O106" s="559"/>
      <c r="P106" s="400" t="s">
        <v>695</v>
      </c>
      <c r="Q106" s="400" t="s">
        <v>696</v>
      </c>
      <c r="R106" s="400" t="s">
        <v>697</v>
      </c>
      <c r="S106" s="400" t="s">
        <v>690</v>
      </c>
      <c r="T106" s="559"/>
      <c r="U106" s="400" t="s">
        <v>695</v>
      </c>
      <c r="V106" s="400" t="s">
        <v>696</v>
      </c>
      <c r="W106" s="400" t="s">
        <v>697</v>
      </c>
      <c r="X106" s="400" t="s">
        <v>690</v>
      </c>
      <c r="Y106" s="559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9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9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9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9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9"/>
    </row>
    <row r="107" spans="2:50">
      <c r="B107" s="559" t="s">
        <v>136</v>
      </c>
      <c r="C107" s="431">
        <v>1</v>
      </c>
      <c r="D107" s="435"/>
      <c r="E107" s="432"/>
      <c r="F107" s="432"/>
      <c r="G107" s="432"/>
      <c r="H107" s="632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63"/>
      <c r="M107" s="432" t="e">
        <f>RANK(K107, K$107:$K$121)</f>
        <v>#DIV/0!</v>
      </c>
      <c r="N107" s="559"/>
      <c r="O107" s="559"/>
      <c r="P107" s="431"/>
      <c r="Q107" s="432"/>
      <c r="R107" s="432"/>
      <c r="S107" s="431" t="e">
        <f>RANK(R107, R$107:R$121)</f>
        <v>#N/A</v>
      </c>
      <c r="T107" s="588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88" t="e">
        <f>AVERAGE(W107:W121)</f>
        <v>#DIV/0!</v>
      </c>
      <c r="Z107" s="182"/>
      <c r="AA107" s="312"/>
      <c r="AB107" s="312"/>
      <c r="AC107" s="297" t="e">
        <f>RANK(AB107, AB$107:AB$121)</f>
        <v>#N/A</v>
      </c>
      <c r="AD107" s="608" t="e">
        <f>AVERAGE(AB107:AB121)</f>
        <v>#DIV/0!</v>
      </c>
      <c r="AE107" s="182"/>
      <c r="AF107" s="312"/>
      <c r="AG107" s="312"/>
      <c r="AH107" s="297" t="e">
        <f>RANK(AG107, AG$107:AG$121)</f>
        <v>#N/A</v>
      </c>
      <c r="AI107" s="608" t="e">
        <f>AVERAGE(AG107:AG121)</f>
        <v>#DIV/0!</v>
      </c>
      <c r="AJ107" s="182"/>
      <c r="AK107" s="312"/>
      <c r="AL107" s="312"/>
      <c r="AM107" s="297" t="e">
        <f>RANK(AL107, AL$107:AL$121)</f>
        <v>#N/A</v>
      </c>
      <c r="AN107" s="608" t="e">
        <f>AVERAGE(AL107:AL121)</f>
        <v>#DIV/0!</v>
      </c>
      <c r="AO107" s="182"/>
      <c r="AP107" s="312"/>
      <c r="AQ107" s="312"/>
      <c r="AR107" s="297" t="e">
        <f>RANK(AQ107, AQ$107:AQ$121)</f>
        <v>#N/A</v>
      </c>
      <c r="AS107" s="608" t="e">
        <f>AVERAGE(AQ107:AQ121)</f>
        <v>#DIV/0!</v>
      </c>
      <c r="AT107" s="182"/>
      <c r="AU107" s="312"/>
      <c r="AV107" s="312"/>
      <c r="AW107" s="297" t="e">
        <f>RANK(AV107, AV$107:AV$121)</f>
        <v>#N/A</v>
      </c>
      <c r="AX107" s="605" t="e">
        <f>AVERAGE(AV107:AV121)</f>
        <v>#DIV/0!</v>
      </c>
    </row>
    <row r="108" spans="2:50">
      <c r="B108" s="599"/>
      <c r="C108" s="431">
        <v>2</v>
      </c>
      <c r="D108" s="435"/>
      <c r="E108" s="432"/>
      <c r="F108" s="432"/>
      <c r="G108" s="432"/>
      <c r="H108" s="633"/>
      <c r="I108" s="432" t="e">
        <f t="shared" ref="I108:K111" si="64">AVERAGE(P108,U108,Z108,AE108,AJ108,AO108,AT108)</f>
        <v>#DIV/0!</v>
      </c>
      <c r="J108" s="432" t="e">
        <f t="shared" si="64"/>
        <v>#DIV/0!</v>
      </c>
      <c r="K108" s="433" t="e">
        <f t="shared" si="64"/>
        <v>#DIV/0!</v>
      </c>
      <c r="L108" s="564"/>
      <c r="M108" s="432" t="e">
        <f>RANK(K108, K$107:$K$121)</f>
        <v>#DIV/0!</v>
      </c>
      <c r="N108" s="559"/>
      <c r="O108" s="559"/>
      <c r="P108" s="431"/>
      <c r="Q108" s="432"/>
      <c r="R108" s="432"/>
      <c r="S108" s="431" t="e">
        <f t="shared" ref="S108:S121" si="65">RANK(R108, R$107:R$121)</f>
        <v>#N/A</v>
      </c>
      <c r="T108" s="588"/>
      <c r="U108" s="431"/>
      <c r="V108" s="432"/>
      <c r="W108" s="432"/>
      <c r="X108" s="431" t="e">
        <f t="shared" ref="X108:X121" si="66">RANK(W108, W$107:W$121)</f>
        <v>#N/A</v>
      </c>
      <c r="Y108" s="588"/>
      <c r="Z108" s="311"/>
      <c r="AA108" s="312"/>
      <c r="AB108" s="312"/>
      <c r="AC108" s="297" t="e">
        <f t="shared" ref="AC108:AC121" si="67">RANK(AB108, AB$107:AB$121)</f>
        <v>#N/A</v>
      </c>
      <c r="AD108" s="609"/>
      <c r="AE108" s="311"/>
      <c r="AF108" s="312"/>
      <c r="AG108" s="312"/>
      <c r="AH108" s="297" t="e">
        <f t="shared" ref="AH108:AH121" si="68">RANK(AG108, AG$107:AG$121)</f>
        <v>#N/A</v>
      </c>
      <c r="AI108" s="609"/>
      <c r="AJ108" s="311"/>
      <c r="AK108" s="312"/>
      <c r="AL108" s="312"/>
      <c r="AM108" s="297" t="e">
        <f t="shared" ref="AM108:AM121" si="69">RANK(AL108, AL$107:AL$121)</f>
        <v>#N/A</v>
      </c>
      <c r="AN108" s="609"/>
      <c r="AO108" s="311"/>
      <c r="AP108" s="312"/>
      <c r="AQ108" s="312"/>
      <c r="AR108" s="297" t="e">
        <f t="shared" ref="AR108:AR121" si="70">RANK(AQ108, AQ$107:AQ$121)</f>
        <v>#N/A</v>
      </c>
      <c r="AS108" s="609"/>
      <c r="AT108" s="311"/>
      <c r="AU108" s="312"/>
      <c r="AV108" s="312"/>
      <c r="AW108" s="297" t="e">
        <f t="shared" ref="AW108:AW121" si="71">RANK(AV108, AV$107:AV$121)</f>
        <v>#N/A</v>
      </c>
      <c r="AX108" s="605"/>
    </row>
    <row r="109" spans="2:50">
      <c r="B109" s="599"/>
      <c r="C109" s="431">
        <v>3</v>
      </c>
      <c r="D109" s="435"/>
      <c r="E109" s="432"/>
      <c r="F109" s="432"/>
      <c r="G109" s="432"/>
      <c r="H109" s="633"/>
      <c r="I109" s="432" t="e">
        <f t="shared" si="64"/>
        <v>#DIV/0!</v>
      </c>
      <c r="J109" s="432" t="e">
        <f t="shared" si="64"/>
        <v>#DIV/0!</v>
      </c>
      <c r="K109" s="433" t="e">
        <f t="shared" si="64"/>
        <v>#DIV/0!</v>
      </c>
      <c r="L109" s="564"/>
      <c r="M109" s="432" t="e">
        <f>RANK(K109, K$107:$K$121)</f>
        <v>#DIV/0!</v>
      </c>
      <c r="N109" s="559"/>
      <c r="O109" s="559"/>
      <c r="P109" s="431"/>
      <c r="Q109" s="432"/>
      <c r="R109" s="432"/>
      <c r="S109" s="431" t="e">
        <f t="shared" si="65"/>
        <v>#N/A</v>
      </c>
      <c r="T109" s="588"/>
      <c r="U109" s="431"/>
      <c r="V109" s="432"/>
      <c r="W109" s="432"/>
      <c r="X109" s="431" t="e">
        <f t="shared" si="66"/>
        <v>#N/A</v>
      </c>
      <c r="Y109" s="588"/>
      <c r="Z109" s="311"/>
      <c r="AA109" s="312"/>
      <c r="AB109" s="312"/>
      <c r="AC109" s="297" t="e">
        <f t="shared" si="67"/>
        <v>#N/A</v>
      </c>
      <c r="AD109" s="609"/>
      <c r="AE109" s="311"/>
      <c r="AF109" s="312"/>
      <c r="AG109" s="312"/>
      <c r="AH109" s="297" t="e">
        <f t="shared" si="68"/>
        <v>#N/A</v>
      </c>
      <c r="AI109" s="609"/>
      <c r="AJ109" s="311"/>
      <c r="AK109" s="312"/>
      <c r="AL109" s="312"/>
      <c r="AM109" s="297" t="e">
        <f t="shared" si="69"/>
        <v>#N/A</v>
      </c>
      <c r="AN109" s="609"/>
      <c r="AO109" s="311"/>
      <c r="AP109" s="312"/>
      <c r="AQ109" s="312"/>
      <c r="AR109" s="297" t="e">
        <f t="shared" si="70"/>
        <v>#N/A</v>
      </c>
      <c r="AS109" s="609"/>
      <c r="AT109" s="311"/>
      <c r="AU109" s="312"/>
      <c r="AV109" s="312"/>
      <c r="AW109" s="297" t="e">
        <f t="shared" si="71"/>
        <v>#N/A</v>
      </c>
      <c r="AX109" s="605"/>
    </row>
    <row r="110" spans="2:50">
      <c r="B110" s="599"/>
      <c r="C110" s="431">
        <v>4</v>
      </c>
      <c r="D110" s="435"/>
      <c r="E110" s="432"/>
      <c r="F110" s="432"/>
      <c r="G110" s="432"/>
      <c r="H110" s="633"/>
      <c r="I110" s="432" t="e">
        <f t="shared" si="64"/>
        <v>#DIV/0!</v>
      </c>
      <c r="J110" s="432" t="e">
        <f t="shared" si="64"/>
        <v>#DIV/0!</v>
      </c>
      <c r="K110" s="433" t="e">
        <f t="shared" si="64"/>
        <v>#DIV/0!</v>
      </c>
      <c r="L110" s="564"/>
      <c r="M110" s="432" t="e">
        <f>RANK(K110, K$107:$K$121)</f>
        <v>#DIV/0!</v>
      </c>
      <c r="N110" s="559"/>
      <c r="O110" s="559"/>
      <c r="P110" s="431"/>
      <c r="Q110" s="432"/>
      <c r="R110" s="432"/>
      <c r="S110" s="431" t="e">
        <f t="shared" si="65"/>
        <v>#N/A</v>
      </c>
      <c r="T110" s="588"/>
      <c r="U110" s="431"/>
      <c r="V110" s="432"/>
      <c r="W110" s="432"/>
      <c r="X110" s="431" t="e">
        <f t="shared" si="66"/>
        <v>#N/A</v>
      </c>
      <c r="Y110" s="588"/>
      <c r="Z110" s="311"/>
      <c r="AA110" s="312"/>
      <c r="AB110" s="312"/>
      <c r="AC110" s="297" t="e">
        <f t="shared" si="67"/>
        <v>#N/A</v>
      </c>
      <c r="AD110" s="609"/>
      <c r="AE110" s="311"/>
      <c r="AF110" s="312"/>
      <c r="AG110" s="312"/>
      <c r="AH110" s="297" t="e">
        <f t="shared" si="68"/>
        <v>#N/A</v>
      </c>
      <c r="AI110" s="609"/>
      <c r="AJ110" s="311"/>
      <c r="AK110" s="312"/>
      <c r="AL110" s="312"/>
      <c r="AM110" s="297" t="e">
        <f t="shared" si="69"/>
        <v>#N/A</v>
      </c>
      <c r="AN110" s="609"/>
      <c r="AO110" s="311"/>
      <c r="AP110" s="312"/>
      <c r="AQ110" s="312"/>
      <c r="AR110" s="297" t="e">
        <f t="shared" si="70"/>
        <v>#N/A</v>
      </c>
      <c r="AS110" s="609"/>
      <c r="AT110" s="311"/>
      <c r="AU110" s="312"/>
      <c r="AV110" s="312"/>
      <c r="AW110" s="297" t="e">
        <f t="shared" si="71"/>
        <v>#N/A</v>
      </c>
      <c r="AX110" s="605"/>
    </row>
    <row r="111" spans="2:50">
      <c r="B111" s="599"/>
      <c r="C111" s="431">
        <v>5</v>
      </c>
      <c r="D111" s="435"/>
      <c r="E111" s="432"/>
      <c r="F111" s="432"/>
      <c r="G111" s="432"/>
      <c r="H111" s="633"/>
      <c r="I111" s="432" t="e">
        <f t="shared" si="64"/>
        <v>#DIV/0!</v>
      </c>
      <c r="J111" s="432" t="e">
        <f t="shared" si="64"/>
        <v>#DIV/0!</v>
      </c>
      <c r="K111" s="433" t="e">
        <f t="shared" si="64"/>
        <v>#DIV/0!</v>
      </c>
      <c r="L111" s="564"/>
      <c r="M111" s="432" t="e">
        <f>RANK(K111, K$107:$K$121)</f>
        <v>#DIV/0!</v>
      </c>
      <c r="N111" s="559"/>
      <c r="O111" s="559"/>
      <c r="P111" s="431"/>
      <c r="Q111" s="432"/>
      <c r="R111" s="432"/>
      <c r="S111" s="431" t="e">
        <f t="shared" si="65"/>
        <v>#N/A</v>
      </c>
      <c r="T111" s="588"/>
      <c r="U111" s="431"/>
      <c r="V111" s="432"/>
      <c r="W111" s="432"/>
      <c r="X111" s="431" t="e">
        <f t="shared" si="66"/>
        <v>#N/A</v>
      </c>
      <c r="Y111" s="588"/>
      <c r="Z111" s="311"/>
      <c r="AA111" s="312"/>
      <c r="AB111" s="312"/>
      <c r="AC111" s="297" t="e">
        <f t="shared" si="67"/>
        <v>#N/A</v>
      </c>
      <c r="AD111" s="609"/>
      <c r="AE111" s="311"/>
      <c r="AF111" s="312"/>
      <c r="AG111" s="312"/>
      <c r="AH111" s="297" t="e">
        <f t="shared" si="68"/>
        <v>#N/A</v>
      </c>
      <c r="AI111" s="609"/>
      <c r="AJ111" s="311"/>
      <c r="AK111" s="312"/>
      <c r="AL111" s="312"/>
      <c r="AM111" s="297" t="e">
        <f t="shared" si="69"/>
        <v>#N/A</v>
      </c>
      <c r="AN111" s="609"/>
      <c r="AO111" s="311"/>
      <c r="AP111" s="312"/>
      <c r="AQ111" s="312"/>
      <c r="AR111" s="297" t="e">
        <f t="shared" si="70"/>
        <v>#N/A</v>
      </c>
      <c r="AS111" s="609"/>
      <c r="AT111" s="311"/>
      <c r="AU111" s="312"/>
      <c r="AV111" s="312"/>
      <c r="AW111" s="297" t="e">
        <f t="shared" si="71"/>
        <v>#N/A</v>
      </c>
      <c r="AX111" s="605"/>
    </row>
    <row r="112" spans="2:50">
      <c r="B112" s="599"/>
      <c r="C112" s="431">
        <v>6</v>
      </c>
      <c r="D112" s="435"/>
      <c r="E112" s="432"/>
      <c r="F112" s="432"/>
      <c r="G112" s="432"/>
      <c r="H112" s="633"/>
      <c r="I112" s="432"/>
      <c r="J112" s="432"/>
      <c r="K112" s="433"/>
      <c r="L112" s="564"/>
      <c r="M112" s="432" t="e">
        <f>RANK(K112, K$107:$K$121)</f>
        <v>#DIV/0!</v>
      </c>
      <c r="N112" s="559"/>
      <c r="O112" s="559"/>
      <c r="P112" s="431"/>
      <c r="Q112" s="432"/>
      <c r="R112" s="432"/>
      <c r="S112" s="431" t="e">
        <f t="shared" si="65"/>
        <v>#N/A</v>
      </c>
      <c r="T112" s="588"/>
      <c r="U112" s="431"/>
      <c r="V112" s="432"/>
      <c r="W112" s="432"/>
      <c r="X112" s="431" t="e">
        <f t="shared" si="66"/>
        <v>#N/A</v>
      </c>
      <c r="Y112" s="588"/>
      <c r="Z112" s="311"/>
      <c r="AA112" s="312"/>
      <c r="AB112" s="312"/>
      <c r="AC112" s="297" t="e">
        <f t="shared" si="67"/>
        <v>#N/A</v>
      </c>
      <c r="AD112" s="609"/>
      <c r="AE112" s="311"/>
      <c r="AF112" s="312"/>
      <c r="AG112" s="312"/>
      <c r="AH112" s="297" t="e">
        <f t="shared" si="68"/>
        <v>#N/A</v>
      </c>
      <c r="AI112" s="609"/>
      <c r="AJ112" s="311"/>
      <c r="AK112" s="312"/>
      <c r="AL112" s="312"/>
      <c r="AM112" s="297" t="e">
        <f t="shared" si="69"/>
        <v>#N/A</v>
      </c>
      <c r="AN112" s="609"/>
      <c r="AO112" s="311"/>
      <c r="AP112" s="312"/>
      <c r="AQ112" s="312"/>
      <c r="AR112" s="297" t="e">
        <f t="shared" si="70"/>
        <v>#N/A</v>
      </c>
      <c r="AS112" s="609"/>
      <c r="AT112" s="311"/>
      <c r="AU112" s="312"/>
      <c r="AV112" s="312"/>
      <c r="AW112" s="297" t="e">
        <f t="shared" si="71"/>
        <v>#N/A</v>
      </c>
      <c r="AX112" s="605"/>
    </row>
    <row r="113" spans="2:50">
      <c r="B113" s="599"/>
      <c r="C113" s="431">
        <v>7</v>
      </c>
      <c r="D113" s="435"/>
      <c r="E113" s="432"/>
      <c r="F113" s="432"/>
      <c r="G113" s="432"/>
      <c r="H113" s="633"/>
      <c r="I113" s="432"/>
      <c r="J113" s="432"/>
      <c r="K113" s="433"/>
      <c r="L113" s="564"/>
      <c r="M113" s="432" t="e">
        <f>RANK(K113, K$107:$K$121)</f>
        <v>#DIV/0!</v>
      </c>
      <c r="N113" s="559"/>
      <c r="O113" s="559"/>
      <c r="P113" s="431"/>
      <c r="Q113" s="432"/>
      <c r="R113" s="432"/>
      <c r="S113" s="431" t="e">
        <f t="shared" si="65"/>
        <v>#N/A</v>
      </c>
      <c r="T113" s="588"/>
      <c r="U113" s="431"/>
      <c r="V113" s="432"/>
      <c r="W113" s="432"/>
      <c r="X113" s="431" t="e">
        <f t="shared" si="66"/>
        <v>#N/A</v>
      </c>
      <c r="Y113" s="588"/>
      <c r="Z113" s="311"/>
      <c r="AA113" s="312"/>
      <c r="AB113" s="312"/>
      <c r="AC113" s="297" t="e">
        <f t="shared" si="67"/>
        <v>#N/A</v>
      </c>
      <c r="AD113" s="609"/>
      <c r="AE113" s="311"/>
      <c r="AF113" s="312"/>
      <c r="AG113" s="312"/>
      <c r="AH113" s="297" t="e">
        <f t="shared" si="68"/>
        <v>#N/A</v>
      </c>
      <c r="AI113" s="609"/>
      <c r="AJ113" s="311"/>
      <c r="AK113" s="312"/>
      <c r="AL113" s="312"/>
      <c r="AM113" s="297" t="e">
        <f t="shared" si="69"/>
        <v>#N/A</v>
      </c>
      <c r="AN113" s="609"/>
      <c r="AO113" s="311"/>
      <c r="AP113" s="312"/>
      <c r="AQ113" s="312"/>
      <c r="AR113" s="297" t="e">
        <f t="shared" si="70"/>
        <v>#N/A</v>
      </c>
      <c r="AS113" s="609"/>
      <c r="AT113" s="311"/>
      <c r="AU113" s="312"/>
      <c r="AV113" s="312"/>
      <c r="AW113" s="297" t="e">
        <f t="shared" si="71"/>
        <v>#N/A</v>
      </c>
      <c r="AX113" s="605"/>
    </row>
    <row r="114" spans="2:50">
      <c r="B114" s="599"/>
      <c r="C114" s="431">
        <v>8</v>
      </c>
      <c r="D114" s="435"/>
      <c r="E114" s="432" t="s">
        <v>561</v>
      </c>
      <c r="F114" s="432" t="s">
        <v>561</v>
      </c>
      <c r="G114" s="432" t="s">
        <v>561</v>
      </c>
      <c r="H114" s="633"/>
      <c r="I114" s="432"/>
      <c r="J114" s="432"/>
      <c r="K114" s="433"/>
      <c r="L114" s="564"/>
      <c r="M114" s="432" t="e">
        <f>RANK(K114, K$107:$K$121)</f>
        <v>#DIV/0!</v>
      </c>
      <c r="N114" s="559"/>
      <c r="O114" s="559"/>
      <c r="P114" s="431" t="s">
        <v>561</v>
      </c>
      <c r="Q114" s="432" t="s">
        <v>561</v>
      </c>
      <c r="R114" s="432" t="s">
        <v>561</v>
      </c>
      <c r="S114" s="431" t="e">
        <f t="shared" si="65"/>
        <v>#VALUE!</v>
      </c>
      <c r="T114" s="588"/>
      <c r="U114" s="431"/>
      <c r="V114" s="432"/>
      <c r="W114" s="432"/>
      <c r="X114" s="431" t="e">
        <f t="shared" si="66"/>
        <v>#N/A</v>
      </c>
      <c r="Y114" s="588"/>
      <c r="Z114" s="311"/>
      <c r="AA114" s="312"/>
      <c r="AB114" s="312"/>
      <c r="AC114" s="297" t="e">
        <f t="shared" si="67"/>
        <v>#N/A</v>
      </c>
      <c r="AD114" s="609"/>
      <c r="AE114" s="311"/>
      <c r="AF114" s="312"/>
      <c r="AG114" s="312"/>
      <c r="AH114" s="297" t="e">
        <f t="shared" si="68"/>
        <v>#N/A</v>
      </c>
      <c r="AI114" s="609"/>
      <c r="AJ114" s="311"/>
      <c r="AK114" s="312"/>
      <c r="AL114" s="312"/>
      <c r="AM114" s="297" t="e">
        <f t="shared" si="69"/>
        <v>#N/A</v>
      </c>
      <c r="AN114" s="609"/>
      <c r="AO114" s="311"/>
      <c r="AP114" s="312"/>
      <c r="AQ114" s="312"/>
      <c r="AR114" s="297" t="e">
        <f t="shared" si="70"/>
        <v>#N/A</v>
      </c>
      <c r="AS114" s="609"/>
      <c r="AT114" s="311"/>
      <c r="AU114" s="312"/>
      <c r="AV114" s="312"/>
      <c r="AW114" s="297" t="e">
        <f t="shared" si="71"/>
        <v>#N/A</v>
      </c>
      <c r="AX114" s="605"/>
    </row>
    <row r="115" spans="2:50">
      <c r="B115" s="599"/>
      <c r="C115" s="431">
        <v>9</v>
      </c>
      <c r="D115" s="435"/>
      <c r="E115" s="432" t="s">
        <v>561</v>
      </c>
      <c r="F115" s="432" t="s">
        <v>561</v>
      </c>
      <c r="G115" s="432" t="s">
        <v>561</v>
      </c>
      <c r="H115" s="633"/>
      <c r="I115" s="432"/>
      <c r="J115" s="432"/>
      <c r="K115" s="433"/>
      <c r="L115" s="564"/>
      <c r="M115" s="432" t="e">
        <f>RANK(K115, K$107:$K$121)</f>
        <v>#DIV/0!</v>
      </c>
      <c r="N115" s="559"/>
      <c r="O115" s="559"/>
      <c r="P115" s="431" t="s">
        <v>561</v>
      </c>
      <c r="Q115" s="432" t="s">
        <v>561</v>
      </c>
      <c r="R115" s="432" t="s">
        <v>561</v>
      </c>
      <c r="S115" s="431" t="e">
        <f t="shared" si="65"/>
        <v>#VALUE!</v>
      </c>
      <c r="T115" s="588"/>
      <c r="U115" s="431" t="s">
        <v>561</v>
      </c>
      <c r="V115" s="432" t="s">
        <v>561</v>
      </c>
      <c r="W115" s="432" t="s">
        <v>561</v>
      </c>
      <c r="X115" s="431" t="e">
        <f t="shared" si="66"/>
        <v>#VALUE!</v>
      </c>
      <c r="Y115" s="588"/>
      <c r="Z115" s="311"/>
      <c r="AA115" s="312"/>
      <c r="AB115" s="312"/>
      <c r="AC115" s="297" t="e">
        <f t="shared" si="67"/>
        <v>#N/A</v>
      </c>
      <c r="AD115" s="609"/>
      <c r="AE115" s="311"/>
      <c r="AF115" s="312"/>
      <c r="AG115" s="312"/>
      <c r="AH115" s="297" t="e">
        <f t="shared" si="68"/>
        <v>#N/A</v>
      </c>
      <c r="AI115" s="609"/>
      <c r="AJ115" s="311"/>
      <c r="AK115" s="312"/>
      <c r="AL115" s="312"/>
      <c r="AM115" s="297" t="e">
        <f t="shared" si="69"/>
        <v>#N/A</v>
      </c>
      <c r="AN115" s="609"/>
      <c r="AO115" s="311"/>
      <c r="AP115" s="312"/>
      <c r="AQ115" s="312"/>
      <c r="AR115" s="297" t="e">
        <f t="shared" si="70"/>
        <v>#N/A</v>
      </c>
      <c r="AS115" s="609"/>
      <c r="AT115" s="311"/>
      <c r="AU115" s="312"/>
      <c r="AV115" s="312"/>
      <c r="AW115" s="297" t="e">
        <f t="shared" si="71"/>
        <v>#N/A</v>
      </c>
      <c r="AX115" s="605"/>
    </row>
    <row r="116" spans="2:50">
      <c r="B116" s="599"/>
      <c r="C116" s="431">
        <v>10</v>
      </c>
      <c r="D116" s="435"/>
      <c r="E116" s="432" t="s">
        <v>561</v>
      </c>
      <c r="F116" s="432" t="s">
        <v>561</v>
      </c>
      <c r="G116" s="432" t="s">
        <v>561</v>
      </c>
      <c r="H116" s="633"/>
      <c r="I116" s="432"/>
      <c r="J116" s="432"/>
      <c r="K116" s="433"/>
      <c r="L116" s="564"/>
      <c r="M116" s="432" t="e">
        <f>RANK(K116, K$107:$K$121)</f>
        <v>#DIV/0!</v>
      </c>
      <c r="N116" s="559"/>
      <c r="O116" s="559"/>
      <c r="P116" s="431" t="s">
        <v>561</v>
      </c>
      <c r="Q116" s="432" t="s">
        <v>561</v>
      </c>
      <c r="R116" s="432" t="s">
        <v>561</v>
      </c>
      <c r="S116" s="431" t="e">
        <f t="shared" si="65"/>
        <v>#VALUE!</v>
      </c>
      <c r="T116" s="588"/>
      <c r="U116" s="431" t="s">
        <v>561</v>
      </c>
      <c r="V116" s="432" t="s">
        <v>561</v>
      </c>
      <c r="W116" s="432" t="s">
        <v>561</v>
      </c>
      <c r="X116" s="431" t="e">
        <f t="shared" si="66"/>
        <v>#VALUE!</v>
      </c>
      <c r="Y116" s="588"/>
      <c r="Z116" s="311"/>
      <c r="AA116" s="311"/>
      <c r="AB116" s="312"/>
      <c r="AC116" s="297" t="e">
        <f t="shared" si="67"/>
        <v>#N/A</v>
      </c>
      <c r="AD116" s="609"/>
      <c r="AE116" s="311"/>
      <c r="AF116" s="311"/>
      <c r="AG116" s="312"/>
      <c r="AH116" s="297" t="e">
        <f t="shared" si="68"/>
        <v>#N/A</v>
      </c>
      <c r="AI116" s="609"/>
      <c r="AJ116" s="311"/>
      <c r="AK116" s="311"/>
      <c r="AL116" s="312"/>
      <c r="AM116" s="297" t="e">
        <f t="shared" si="69"/>
        <v>#N/A</v>
      </c>
      <c r="AN116" s="609"/>
      <c r="AO116" s="311"/>
      <c r="AP116" s="311"/>
      <c r="AQ116" s="312"/>
      <c r="AR116" s="297" t="e">
        <f t="shared" si="70"/>
        <v>#N/A</v>
      </c>
      <c r="AS116" s="609"/>
      <c r="AT116" s="311"/>
      <c r="AU116" s="311"/>
      <c r="AV116" s="312"/>
      <c r="AW116" s="297" t="e">
        <f t="shared" si="71"/>
        <v>#N/A</v>
      </c>
      <c r="AX116" s="605"/>
    </row>
    <row r="117" spans="2:50">
      <c r="B117" s="599"/>
      <c r="C117" s="431">
        <v>11</v>
      </c>
      <c r="D117" s="435"/>
      <c r="E117" s="432" t="s">
        <v>561</v>
      </c>
      <c r="F117" s="432" t="s">
        <v>561</v>
      </c>
      <c r="G117" s="432" t="s">
        <v>561</v>
      </c>
      <c r="H117" s="633"/>
      <c r="I117" s="431"/>
      <c r="J117" s="431"/>
      <c r="K117" s="431"/>
      <c r="L117" s="564"/>
      <c r="M117" s="432" t="e">
        <f>RANK(K117, K$107:$K$121)</f>
        <v>#DIV/0!</v>
      </c>
      <c r="N117" s="559"/>
      <c r="O117" s="559"/>
      <c r="P117" s="431" t="s">
        <v>561</v>
      </c>
      <c r="Q117" s="432" t="s">
        <v>561</v>
      </c>
      <c r="R117" s="432" t="s">
        <v>561</v>
      </c>
      <c r="S117" s="431" t="e">
        <f t="shared" si="65"/>
        <v>#VALUE!</v>
      </c>
      <c r="T117" s="588"/>
      <c r="U117" s="431" t="s">
        <v>561</v>
      </c>
      <c r="V117" s="432" t="s">
        <v>561</v>
      </c>
      <c r="W117" s="432" t="s">
        <v>561</v>
      </c>
      <c r="X117" s="431" t="e">
        <f t="shared" si="66"/>
        <v>#VALUE!</v>
      </c>
      <c r="Y117" s="588"/>
      <c r="Z117" s="311"/>
      <c r="AA117" s="311"/>
      <c r="AB117" s="311"/>
      <c r="AC117" s="297" t="e">
        <f t="shared" si="67"/>
        <v>#N/A</v>
      </c>
      <c r="AD117" s="609"/>
      <c r="AE117" s="311"/>
      <c r="AF117" s="311"/>
      <c r="AG117" s="311"/>
      <c r="AH117" s="297" t="e">
        <f t="shared" si="68"/>
        <v>#N/A</v>
      </c>
      <c r="AI117" s="609"/>
      <c r="AJ117" s="311"/>
      <c r="AK117" s="311"/>
      <c r="AL117" s="311"/>
      <c r="AM117" s="297" t="e">
        <f t="shared" si="69"/>
        <v>#N/A</v>
      </c>
      <c r="AN117" s="609"/>
      <c r="AO117" s="311"/>
      <c r="AP117" s="311"/>
      <c r="AQ117" s="311"/>
      <c r="AR117" s="297" t="e">
        <f t="shared" si="70"/>
        <v>#N/A</v>
      </c>
      <c r="AS117" s="609"/>
      <c r="AT117" s="311"/>
      <c r="AU117" s="311"/>
      <c r="AV117" s="311"/>
      <c r="AW117" s="297" t="e">
        <f t="shared" si="71"/>
        <v>#N/A</v>
      </c>
      <c r="AX117" s="605"/>
    </row>
    <row r="118" spans="2:50">
      <c r="B118" s="599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633"/>
      <c r="I118" s="431"/>
      <c r="J118" s="431"/>
      <c r="K118" s="431"/>
      <c r="L118" s="564"/>
      <c r="M118" s="432" t="e">
        <f>RANK(K118, K$107:$K$121)</f>
        <v>#DIV/0!</v>
      </c>
      <c r="N118" s="559"/>
      <c r="O118" s="559"/>
      <c r="P118" s="431" t="s">
        <v>561</v>
      </c>
      <c r="Q118" s="432" t="s">
        <v>561</v>
      </c>
      <c r="R118" s="432" t="s">
        <v>561</v>
      </c>
      <c r="S118" s="431" t="e">
        <f t="shared" si="65"/>
        <v>#VALUE!</v>
      </c>
      <c r="T118" s="588"/>
      <c r="U118" s="431" t="s">
        <v>561</v>
      </c>
      <c r="V118" s="432" t="s">
        <v>561</v>
      </c>
      <c r="W118" s="432" t="s">
        <v>561</v>
      </c>
      <c r="X118" s="431" t="e">
        <f t="shared" si="66"/>
        <v>#VALUE!</v>
      </c>
      <c r="Y118" s="588"/>
      <c r="Z118" s="311"/>
      <c r="AA118" s="311"/>
      <c r="AB118" s="311"/>
      <c r="AC118" s="297" t="e">
        <f t="shared" si="67"/>
        <v>#N/A</v>
      </c>
      <c r="AD118" s="609"/>
      <c r="AE118" s="311"/>
      <c r="AF118" s="311"/>
      <c r="AG118" s="311"/>
      <c r="AH118" s="297" t="e">
        <f t="shared" si="68"/>
        <v>#N/A</v>
      </c>
      <c r="AI118" s="609"/>
      <c r="AJ118" s="311"/>
      <c r="AK118" s="311"/>
      <c r="AL118" s="311"/>
      <c r="AM118" s="297" t="e">
        <f t="shared" si="69"/>
        <v>#N/A</v>
      </c>
      <c r="AN118" s="609"/>
      <c r="AO118" s="311"/>
      <c r="AP118" s="311"/>
      <c r="AQ118" s="311"/>
      <c r="AR118" s="297" t="e">
        <f t="shared" si="70"/>
        <v>#N/A</v>
      </c>
      <c r="AS118" s="609"/>
      <c r="AT118" s="311"/>
      <c r="AU118" s="311"/>
      <c r="AV118" s="311"/>
      <c r="AW118" s="297" t="e">
        <f t="shared" si="71"/>
        <v>#N/A</v>
      </c>
      <c r="AX118" s="605"/>
    </row>
    <row r="119" spans="2:50">
      <c r="B119" s="599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633"/>
      <c r="I119" s="431"/>
      <c r="J119" s="431"/>
      <c r="K119" s="431"/>
      <c r="L119" s="564"/>
      <c r="M119" s="432" t="e">
        <f>RANK(K119, K$107:$K$121)</f>
        <v>#DIV/0!</v>
      </c>
      <c r="N119" s="559"/>
      <c r="O119" s="559"/>
      <c r="P119" s="431" t="s">
        <v>561</v>
      </c>
      <c r="Q119" s="432" t="s">
        <v>561</v>
      </c>
      <c r="R119" s="432" t="s">
        <v>561</v>
      </c>
      <c r="S119" s="431" t="e">
        <f t="shared" si="65"/>
        <v>#VALUE!</v>
      </c>
      <c r="T119" s="588"/>
      <c r="U119" s="431" t="s">
        <v>561</v>
      </c>
      <c r="V119" s="432" t="s">
        <v>561</v>
      </c>
      <c r="W119" s="432" t="s">
        <v>561</v>
      </c>
      <c r="X119" s="431" t="e">
        <f t="shared" si="66"/>
        <v>#VALUE!</v>
      </c>
      <c r="Y119" s="588"/>
      <c r="Z119" s="311"/>
      <c r="AA119" s="311"/>
      <c r="AB119" s="311"/>
      <c r="AC119" s="297" t="e">
        <f t="shared" si="67"/>
        <v>#N/A</v>
      </c>
      <c r="AD119" s="609"/>
      <c r="AE119" s="311"/>
      <c r="AF119" s="311"/>
      <c r="AG119" s="311"/>
      <c r="AH119" s="297" t="e">
        <f t="shared" si="68"/>
        <v>#N/A</v>
      </c>
      <c r="AI119" s="609"/>
      <c r="AJ119" s="311"/>
      <c r="AK119" s="311"/>
      <c r="AL119" s="311"/>
      <c r="AM119" s="297" t="e">
        <f t="shared" si="69"/>
        <v>#N/A</v>
      </c>
      <c r="AN119" s="609"/>
      <c r="AO119" s="311"/>
      <c r="AP119" s="311"/>
      <c r="AQ119" s="311"/>
      <c r="AR119" s="297" t="e">
        <f t="shared" si="70"/>
        <v>#N/A</v>
      </c>
      <c r="AS119" s="609"/>
      <c r="AT119" s="311"/>
      <c r="AU119" s="311"/>
      <c r="AV119" s="311"/>
      <c r="AW119" s="297" t="e">
        <f t="shared" si="71"/>
        <v>#N/A</v>
      </c>
      <c r="AX119" s="605"/>
    </row>
    <row r="120" spans="2:50">
      <c r="B120" s="599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633"/>
      <c r="I120" s="431"/>
      <c r="J120" s="431"/>
      <c r="K120" s="431"/>
      <c r="L120" s="564"/>
      <c r="M120" s="432" t="e">
        <f>RANK(K120, K$107:$K$121)</f>
        <v>#DIV/0!</v>
      </c>
      <c r="N120" s="559"/>
      <c r="O120" s="559"/>
      <c r="P120" s="431" t="s">
        <v>561</v>
      </c>
      <c r="Q120" s="432" t="s">
        <v>561</v>
      </c>
      <c r="R120" s="432" t="s">
        <v>561</v>
      </c>
      <c r="S120" s="431" t="e">
        <f t="shared" si="65"/>
        <v>#VALUE!</v>
      </c>
      <c r="T120" s="588"/>
      <c r="U120" s="431" t="s">
        <v>561</v>
      </c>
      <c r="V120" s="432" t="s">
        <v>561</v>
      </c>
      <c r="W120" s="432" t="s">
        <v>561</v>
      </c>
      <c r="X120" s="431" t="e">
        <f t="shared" si="66"/>
        <v>#VALUE!</v>
      </c>
      <c r="Y120" s="588"/>
      <c r="Z120" s="311"/>
      <c r="AA120" s="311"/>
      <c r="AB120" s="311"/>
      <c r="AC120" s="297" t="e">
        <f t="shared" si="67"/>
        <v>#N/A</v>
      </c>
      <c r="AD120" s="609"/>
      <c r="AE120" s="311"/>
      <c r="AF120" s="311"/>
      <c r="AG120" s="311"/>
      <c r="AH120" s="297" t="e">
        <f t="shared" si="68"/>
        <v>#N/A</v>
      </c>
      <c r="AI120" s="609"/>
      <c r="AJ120" s="311"/>
      <c r="AK120" s="311"/>
      <c r="AL120" s="311"/>
      <c r="AM120" s="297" t="e">
        <f t="shared" si="69"/>
        <v>#N/A</v>
      </c>
      <c r="AN120" s="609"/>
      <c r="AO120" s="311"/>
      <c r="AP120" s="311"/>
      <c r="AQ120" s="311"/>
      <c r="AR120" s="297" t="e">
        <f t="shared" si="70"/>
        <v>#N/A</v>
      </c>
      <c r="AS120" s="609"/>
      <c r="AT120" s="311"/>
      <c r="AU120" s="311"/>
      <c r="AV120" s="311"/>
      <c r="AW120" s="297" t="e">
        <f t="shared" si="71"/>
        <v>#N/A</v>
      </c>
      <c r="AX120" s="605"/>
    </row>
    <row r="121" spans="2:50">
      <c r="B121" s="599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34"/>
      <c r="I121" s="431"/>
      <c r="J121" s="431"/>
      <c r="K121" s="431"/>
      <c r="L121" s="616"/>
      <c r="M121" s="432" t="e">
        <f>RANK(K121, K$107:$K$121)</f>
        <v>#DIV/0!</v>
      </c>
      <c r="N121" s="559"/>
      <c r="O121" s="559"/>
      <c r="P121" s="431" t="s">
        <v>561</v>
      </c>
      <c r="Q121" s="432" t="s">
        <v>561</v>
      </c>
      <c r="R121" s="432" t="s">
        <v>561</v>
      </c>
      <c r="S121" s="431" t="e">
        <f t="shared" si="65"/>
        <v>#VALUE!</v>
      </c>
      <c r="T121" s="588"/>
      <c r="U121" s="431" t="s">
        <v>561</v>
      </c>
      <c r="V121" s="432" t="s">
        <v>561</v>
      </c>
      <c r="W121" s="432" t="s">
        <v>561</v>
      </c>
      <c r="X121" s="431" t="e">
        <f t="shared" si="66"/>
        <v>#VALUE!</v>
      </c>
      <c r="Y121" s="588"/>
      <c r="Z121" s="311"/>
      <c r="AA121" s="311"/>
      <c r="AB121" s="311"/>
      <c r="AC121" s="297" t="e">
        <f t="shared" si="67"/>
        <v>#N/A</v>
      </c>
      <c r="AD121" s="610"/>
      <c r="AE121" s="311"/>
      <c r="AF121" s="311"/>
      <c r="AG121" s="311"/>
      <c r="AH121" s="297" t="e">
        <f t="shared" si="68"/>
        <v>#N/A</v>
      </c>
      <c r="AI121" s="610"/>
      <c r="AJ121" s="311"/>
      <c r="AK121" s="311"/>
      <c r="AL121" s="311"/>
      <c r="AM121" s="297" t="e">
        <f t="shared" si="69"/>
        <v>#N/A</v>
      </c>
      <c r="AN121" s="610"/>
      <c r="AO121" s="311"/>
      <c r="AP121" s="311"/>
      <c r="AQ121" s="311"/>
      <c r="AR121" s="297" t="e">
        <f t="shared" si="70"/>
        <v>#N/A</v>
      </c>
      <c r="AS121" s="610"/>
      <c r="AT121" s="311"/>
      <c r="AU121" s="311"/>
      <c r="AV121" s="311"/>
      <c r="AW121" s="297" t="e">
        <f t="shared" si="71"/>
        <v>#N/A</v>
      </c>
      <c r="AX121" s="605"/>
    </row>
    <row r="123" spans="2:50" ht="15.75">
      <c r="B123" s="600" t="s">
        <v>469</v>
      </c>
      <c r="C123" s="601"/>
      <c r="D123" s="601"/>
      <c r="E123" s="601"/>
      <c r="F123" s="601"/>
      <c r="G123" s="601"/>
      <c r="H123" s="602"/>
      <c r="I123" s="301"/>
      <c r="J123" s="301"/>
      <c r="K123" s="301"/>
      <c r="L123" s="301"/>
      <c r="M123" s="302"/>
    </row>
    <row r="124" spans="2:50" ht="15.75">
      <c r="B124" s="603"/>
      <c r="C124" s="603"/>
      <c r="D124" s="603"/>
      <c r="E124" s="603"/>
      <c r="F124" s="603"/>
      <c r="G124" s="603"/>
      <c r="H124" s="603"/>
      <c r="I124" s="303"/>
      <c r="J124" s="303"/>
      <c r="K124" s="303"/>
      <c r="L124" s="303"/>
      <c r="M124" s="304"/>
    </row>
    <row r="125" spans="2:50">
      <c r="B125" s="559" t="s">
        <v>470</v>
      </c>
      <c r="C125" s="559" t="s">
        <v>471</v>
      </c>
      <c r="D125" s="559"/>
      <c r="E125" s="559" t="s">
        <v>472</v>
      </c>
      <c r="F125" s="559"/>
      <c r="G125" s="559"/>
      <c r="H125" s="560" t="s">
        <v>473</v>
      </c>
      <c r="I125" s="604" t="s">
        <v>474</v>
      </c>
      <c r="J125" s="604"/>
      <c r="K125" s="604"/>
      <c r="L125" s="623" t="s">
        <v>473</v>
      </c>
      <c r="M125" s="626" t="s">
        <v>475</v>
      </c>
    </row>
    <row r="126" spans="2:50">
      <c r="B126" s="559"/>
      <c r="C126" s="559"/>
      <c r="D126" s="559"/>
      <c r="E126" s="559" t="s">
        <v>476</v>
      </c>
      <c r="F126" s="559"/>
      <c r="G126" s="559"/>
      <c r="H126" s="561"/>
      <c r="I126" s="604" t="s">
        <v>476</v>
      </c>
      <c r="J126" s="604"/>
      <c r="K126" s="604"/>
      <c r="L126" s="624"/>
      <c r="M126" s="627"/>
    </row>
    <row r="127" spans="2:50">
      <c r="B127" s="559"/>
      <c r="C127" s="559"/>
      <c r="D127" s="559"/>
      <c r="E127" s="298" t="s">
        <v>477</v>
      </c>
      <c r="F127" s="298" t="s">
        <v>478</v>
      </c>
      <c r="G127" s="298" t="s">
        <v>479</v>
      </c>
      <c r="H127" s="562"/>
      <c r="I127" s="305" t="s">
        <v>477</v>
      </c>
      <c r="J127" s="305" t="s">
        <v>478</v>
      </c>
      <c r="K127" s="305" t="s">
        <v>479</v>
      </c>
      <c r="L127" s="625"/>
      <c r="M127" s="628"/>
    </row>
    <row r="128" spans="2:50">
      <c r="B128" s="559" t="s">
        <v>486</v>
      </c>
      <c r="C128" s="297">
        <v>1</v>
      </c>
      <c r="D128" s="226" t="s">
        <v>391</v>
      </c>
      <c r="E128" s="182">
        <v>21</v>
      </c>
      <c r="F128" s="297">
        <v>2400</v>
      </c>
      <c r="G128" s="300">
        <v>114.28571428571429</v>
      </c>
      <c r="H128" s="608">
        <f>AVERAGE(G128:G142)</f>
        <v>143.60275689223059</v>
      </c>
      <c r="I128" s="199">
        <f t="shared" ref="I128:J132" si="72">AVERAGEIF($D$7:$D$121,$D128,I$7:I$121)</f>
        <v>19.399999999999999</v>
      </c>
      <c r="J128" s="199">
        <f t="shared" si="72"/>
        <v>2117.9287914254369</v>
      </c>
      <c r="K128" s="199">
        <f>AVERAGEIF($D$7:$D$121,$D128,K$7:K$121)</f>
        <v>109.23100169013546</v>
      </c>
      <c r="L128" s="620">
        <f>AVERAGE(K128:K142)</f>
        <v>122.33833293709185</v>
      </c>
      <c r="M128" s="199">
        <f>RANK(K128, K$128:$K$142)</f>
        <v>4</v>
      </c>
    </row>
    <row r="129" spans="2:13">
      <c r="B129" s="572"/>
      <c r="C129" s="297">
        <v>2</v>
      </c>
      <c r="D129" s="226" t="s">
        <v>392</v>
      </c>
      <c r="E129" s="182">
        <v>18</v>
      </c>
      <c r="F129" s="297">
        <v>3000</v>
      </c>
      <c r="G129" s="300">
        <v>166.66666666666666</v>
      </c>
      <c r="H129" s="609"/>
      <c r="I129" s="199">
        <f t="shared" si="72"/>
        <v>18.759999999999998</v>
      </c>
      <c r="J129" s="199">
        <f t="shared" si="72"/>
        <v>2517.6164132298027</v>
      </c>
      <c r="K129" s="199">
        <f>AVERAGEIF($D$7:$D$121,$D129,K$7:K$121)</f>
        <v>134.23910110576122</v>
      </c>
      <c r="L129" s="621"/>
      <c r="M129" s="199">
        <f>RANK(K129, K$128:$K$142)</f>
        <v>2</v>
      </c>
    </row>
    <row r="130" spans="2:13">
      <c r="B130" s="572"/>
      <c r="C130" s="297">
        <v>3</v>
      </c>
      <c r="D130" s="226" t="s">
        <v>393</v>
      </c>
      <c r="E130" s="182">
        <v>18</v>
      </c>
      <c r="F130" s="297">
        <v>3000</v>
      </c>
      <c r="G130" s="300">
        <v>166.66666666666666</v>
      </c>
      <c r="H130" s="609"/>
      <c r="I130" s="199">
        <f t="shared" si="72"/>
        <v>19</v>
      </c>
      <c r="J130" s="199">
        <f t="shared" si="72"/>
        <v>2514.7951140770747</v>
      </c>
      <c r="K130" s="199">
        <f>AVERAGEIF($D$7:$D$121,$D130,K$7:K$121)</f>
        <v>132.35763758300396</v>
      </c>
      <c r="L130" s="621"/>
      <c r="M130" s="199">
        <f>RANK(K130, K$128:$K$142)</f>
        <v>3</v>
      </c>
    </row>
    <row r="131" spans="2:13">
      <c r="B131" s="572"/>
      <c r="C131" s="297">
        <v>4</v>
      </c>
      <c r="D131" s="226" t="s">
        <v>394</v>
      </c>
      <c r="E131" s="182">
        <v>19</v>
      </c>
      <c r="F131" s="297">
        <v>3000</v>
      </c>
      <c r="G131" s="300">
        <v>157.89473684210526</v>
      </c>
      <c r="H131" s="609"/>
      <c r="I131" s="199">
        <f t="shared" si="72"/>
        <v>18.759999999999998</v>
      </c>
      <c r="J131" s="199">
        <f t="shared" si="72"/>
        <v>2549.9390393945441</v>
      </c>
      <c r="K131" s="199">
        <f>AVERAGEIF($D$7:$D$121,$D131,K$7:K$121)</f>
        <v>135.97261496903724</v>
      </c>
      <c r="L131" s="621"/>
      <c r="M131" s="199">
        <f>RANK(K131, K$128:$K$142)</f>
        <v>1</v>
      </c>
    </row>
    <row r="132" spans="2:13">
      <c r="B132" s="572"/>
      <c r="C132" s="297">
        <v>5</v>
      </c>
      <c r="D132" s="226" t="s">
        <v>565</v>
      </c>
      <c r="E132" s="182">
        <v>20</v>
      </c>
      <c r="F132" s="297">
        <v>2250</v>
      </c>
      <c r="G132" s="300">
        <v>112.5</v>
      </c>
      <c r="H132" s="609"/>
      <c r="I132" s="199">
        <f t="shared" si="72"/>
        <v>19.600000000000001</v>
      </c>
      <c r="J132" s="199">
        <f t="shared" si="72"/>
        <v>1956.320841353526</v>
      </c>
      <c r="K132" s="199">
        <f>AVERAGEIF($D$7:$D$121,$D132,K$7:K$121)</f>
        <v>99.891309337521392</v>
      </c>
      <c r="L132" s="621"/>
      <c r="M132" s="199">
        <f>RANK(K132, K$128:$K$142)</f>
        <v>5</v>
      </c>
    </row>
    <row r="133" spans="2:13">
      <c r="B133" s="572"/>
      <c r="C133" s="297">
        <v>6</v>
      </c>
      <c r="D133" s="306"/>
      <c r="E133" s="182"/>
      <c r="F133" s="297"/>
      <c r="G133" s="300"/>
      <c r="H133" s="609"/>
      <c r="I133" s="199"/>
      <c r="J133" s="199"/>
      <c r="K133" s="199"/>
      <c r="L133" s="621"/>
      <c r="M133" s="199" t="e">
        <f>RANK(K133, K$128:$K$142)</f>
        <v>#N/A</v>
      </c>
    </row>
    <row r="134" spans="2:13">
      <c r="B134" s="572"/>
      <c r="C134" s="297">
        <v>7</v>
      </c>
      <c r="D134" s="226"/>
      <c r="E134" s="182"/>
      <c r="F134" s="297"/>
      <c r="G134" s="300"/>
      <c r="H134" s="609"/>
      <c r="I134" s="199"/>
      <c r="J134" s="199"/>
      <c r="K134" s="199"/>
      <c r="L134" s="621"/>
      <c r="M134" s="199" t="e">
        <f>RANK(K134, K$128:$K$142)</f>
        <v>#N/A</v>
      </c>
    </row>
    <row r="135" spans="2:13">
      <c r="B135" s="572"/>
      <c r="C135" s="297">
        <v>8</v>
      </c>
      <c r="D135" s="226"/>
      <c r="E135" s="182"/>
      <c r="F135" s="297"/>
      <c r="G135" s="300"/>
      <c r="H135" s="609"/>
      <c r="I135" s="199"/>
      <c r="J135" s="199"/>
      <c r="K135" s="199"/>
      <c r="L135" s="621"/>
      <c r="M135" s="199" t="e">
        <f>RANK(K135, K$128:$K$142)</f>
        <v>#N/A</v>
      </c>
    </row>
    <row r="136" spans="2:13">
      <c r="B136" s="572"/>
      <c r="C136" s="297">
        <v>9</v>
      </c>
      <c r="D136" s="226"/>
      <c r="E136" s="297"/>
      <c r="F136" s="297"/>
      <c r="G136" s="297"/>
      <c r="H136" s="609"/>
      <c r="I136" s="199"/>
      <c r="J136" s="199"/>
      <c r="K136" s="199"/>
      <c r="L136" s="621"/>
      <c r="M136" s="199" t="e">
        <f>RANK(K136, K$128:$K$142)</f>
        <v>#N/A</v>
      </c>
    </row>
    <row r="137" spans="2:13">
      <c r="B137" s="572"/>
      <c r="C137" s="297">
        <v>10</v>
      </c>
      <c r="D137" s="226"/>
      <c r="E137" s="297"/>
      <c r="F137" s="297"/>
      <c r="G137" s="297"/>
      <c r="H137" s="609"/>
      <c r="I137" s="199"/>
      <c r="J137" s="199"/>
      <c r="K137" s="199"/>
      <c r="L137" s="621"/>
      <c r="M137" s="199" t="e">
        <f>RANK(K137, K$128:$K$142)</f>
        <v>#N/A</v>
      </c>
    </row>
    <row r="138" spans="2:13">
      <c r="B138" s="572"/>
      <c r="C138" s="297">
        <v>11</v>
      </c>
      <c r="D138" s="226"/>
      <c r="E138" s="297"/>
      <c r="F138" s="297"/>
      <c r="G138" s="297"/>
      <c r="H138" s="609"/>
      <c r="I138" s="199"/>
      <c r="J138" s="199"/>
      <c r="K138" s="199"/>
      <c r="L138" s="621"/>
      <c r="M138" s="199" t="e">
        <f>RANK(K138, K$128:$K$142)</f>
        <v>#N/A</v>
      </c>
    </row>
    <row r="139" spans="2:13">
      <c r="B139" s="572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21"/>
      <c r="M139" s="199" t="e">
        <f>RANK(K139, K$128:$K$142)</f>
        <v>#N/A</v>
      </c>
    </row>
    <row r="140" spans="2:13">
      <c r="B140" s="572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21"/>
      <c r="M140" s="199" t="e">
        <f>RANK(K140, K$128:$K$142)</f>
        <v>#N/A</v>
      </c>
    </row>
    <row r="141" spans="2:13">
      <c r="B141" s="572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21"/>
      <c r="M141" s="199" t="e">
        <f>RANK(K141, K$128:$K$142)</f>
        <v>#N/A</v>
      </c>
    </row>
    <row r="142" spans="2:13">
      <c r="B142" s="572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22"/>
      <c r="M142" s="199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5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1" t="s">
        <v>329</v>
      </c>
      <c r="C1" s="220">
        <f>AVERAGE(L7,L27,L47,L67,L87,L107)</f>
        <v>124.77437732057501</v>
      </c>
    </row>
    <row r="2" spans="1:54" ht="15.75">
      <c r="A2" s="81"/>
      <c r="B2" s="576" t="s">
        <v>731</v>
      </c>
      <c r="C2" s="576"/>
      <c r="D2" s="576"/>
      <c r="E2" s="576"/>
      <c r="F2" s="576"/>
      <c r="G2" s="576"/>
      <c r="H2" s="576"/>
      <c r="I2" s="441"/>
      <c r="J2" s="441"/>
      <c r="K2" s="441"/>
      <c r="L2" s="441"/>
      <c r="M2" s="197"/>
      <c r="N2" s="565" t="s">
        <v>732</v>
      </c>
      <c r="O2" s="565" t="s">
        <v>733</v>
      </c>
      <c r="P2" s="617"/>
      <c r="Q2" s="618"/>
      <c r="R2" s="618"/>
      <c r="S2" s="618"/>
      <c r="T2" s="619"/>
      <c r="U2" s="571"/>
      <c r="V2" s="572"/>
      <c r="W2" s="572"/>
      <c r="X2" s="572"/>
      <c r="Y2" s="572"/>
      <c r="Z2" s="571">
        <f t="shared" ref="Z2" si="0">U2+1</f>
        <v>1</v>
      </c>
      <c r="AA2" s="572"/>
      <c r="AB2" s="572"/>
      <c r="AC2" s="572"/>
      <c r="AD2" s="572"/>
      <c r="AE2" s="571">
        <f t="shared" ref="AE2" si="1">Z2+1</f>
        <v>2</v>
      </c>
      <c r="AF2" s="572"/>
      <c r="AG2" s="572"/>
      <c r="AH2" s="572"/>
      <c r="AI2" s="572"/>
      <c r="AJ2" s="571">
        <f t="shared" ref="AJ2" si="2">AE2+1</f>
        <v>3</v>
      </c>
      <c r="AK2" s="572"/>
      <c r="AL2" s="572"/>
      <c r="AM2" s="572"/>
      <c r="AN2" s="572"/>
      <c r="AO2" s="571">
        <f t="shared" ref="AO2" si="3">AJ2+1</f>
        <v>4</v>
      </c>
      <c r="AP2" s="572"/>
      <c r="AQ2" s="572"/>
      <c r="AR2" s="572"/>
      <c r="AS2" s="572"/>
      <c r="AT2" s="571">
        <f t="shared" ref="AT2" si="4">AO2+1</f>
        <v>5</v>
      </c>
      <c r="AU2" s="572"/>
      <c r="AV2" s="572"/>
      <c r="AW2" s="572"/>
      <c r="AX2" s="572"/>
    </row>
    <row r="3" spans="1:54" ht="15.75">
      <c r="A3" s="81"/>
      <c r="B3" s="597"/>
      <c r="C3" s="597"/>
      <c r="D3" s="597"/>
      <c r="E3" s="597"/>
      <c r="F3" s="597"/>
      <c r="G3" s="597"/>
      <c r="H3" s="597"/>
      <c r="I3" s="442"/>
      <c r="J3" s="442"/>
      <c r="K3" s="442"/>
      <c r="L3" s="442"/>
      <c r="M3" s="198"/>
      <c r="N3" s="567"/>
      <c r="O3" s="567"/>
      <c r="P3" s="568" t="s">
        <v>734</v>
      </c>
      <c r="Q3" s="569"/>
      <c r="R3" s="569"/>
      <c r="S3" s="569"/>
      <c r="T3" s="570"/>
      <c r="U3" s="568" t="s">
        <v>735</v>
      </c>
      <c r="V3" s="569"/>
      <c r="W3" s="569"/>
      <c r="X3" s="569"/>
      <c r="Y3" s="570"/>
      <c r="Z3" s="568" t="s">
        <v>736</v>
      </c>
      <c r="AA3" s="569"/>
      <c r="AB3" s="569"/>
      <c r="AC3" s="569"/>
      <c r="AD3" s="570"/>
      <c r="AE3" s="568" t="s">
        <v>737</v>
      </c>
      <c r="AF3" s="569"/>
      <c r="AG3" s="569"/>
      <c r="AH3" s="569"/>
      <c r="AI3" s="570"/>
      <c r="AJ3" s="568" t="s">
        <v>738</v>
      </c>
      <c r="AK3" s="569"/>
      <c r="AL3" s="569"/>
      <c r="AM3" s="569"/>
      <c r="AN3" s="570"/>
      <c r="AO3" s="568" t="s">
        <v>739</v>
      </c>
      <c r="AP3" s="569"/>
      <c r="AQ3" s="569"/>
      <c r="AR3" s="569"/>
      <c r="AS3" s="570"/>
      <c r="AT3" s="568" t="s">
        <v>740</v>
      </c>
      <c r="AU3" s="569"/>
      <c r="AV3" s="569"/>
      <c r="AW3" s="569"/>
      <c r="AX3" s="570"/>
    </row>
    <row r="4" spans="1:54">
      <c r="A4" s="81"/>
      <c r="B4" s="559" t="s">
        <v>703</v>
      </c>
      <c r="C4" s="559" t="s">
        <v>704</v>
      </c>
      <c r="D4" s="559"/>
      <c r="E4" s="559" t="s">
        <v>705</v>
      </c>
      <c r="F4" s="559"/>
      <c r="G4" s="559"/>
      <c r="H4" s="560" t="s">
        <v>706</v>
      </c>
      <c r="I4" s="559" t="s">
        <v>707</v>
      </c>
      <c r="J4" s="559"/>
      <c r="K4" s="559"/>
      <c r="L4" s="560" t="s">
        <v>706</v>
      </c>
      <c r="M4" s="565" t="s">
        <v>708</v>
      </c>
      <c r="N4" s="559"/>
      <c r="O4" s="559" t="s">
        <v>747</v>
      </c>
      <c r="P4" s="556" t="s">
        <v>748</v>
      </c>
      <c r="Q4" s="557"/>
      <c r="R4" s="557"/>
      <c r="S4" s="558"/>
      <c r="T4" s="559" t="s">
        <v>744</v>
      </c>
      <c r="U4" s="556" t="s">
        <v>748</v>
      </c>
      <c r="V4" s="557"/>
      <c r="W4" s="557"/>
      <c r="X4" s="558"/>
      <c r="Y4" s="559" t="s">
        <v>744</v>
      </c>
      <c r="Z4" s="556" t="s">
        <v>748</v>
      </c>
      <c r="AA4" s="557"/>
      <c r="AB4" s="557"/>
      <c r="AC4" s="558"/>
      <c r="AD4" s="559" t="s">
        <v>744</v>
      </c>
      <c r="AE4" s="556" t="s">
        <v>748</v>
      </c>
      <c r="AF4" s="557"/>
      <c r="AG4" s="557"/>
      <c r="AH4" s="558"/>
      <c r="AI4" s="559" t="s">
        <v>744</v>
      </c>
      <c r="AJ4" s="556" t="s">
        <v>748</v>
      </c>
      <c r="AK4" s="557"/>
      <c r="AL4" s="557"/>
      <c r="AM4" s="558"/>
      <c r="AN4" s="559" t="s">
        <v>744</v>
      </c>
      <c r="AO4" s="556" t="s">
        <v>748</v>
      </c>
      <c r="AP4" s="557"/>
      <c r="AQ4" s="557"/>
      <c r="AR4" s="558"/>
      <c r="AS4" s="559" t="s">
        <v>744</v>
      </c>
      <c r="AT4" s="556" t="s">
        <v>748</v>
      </c>
      <c r="AU4" s="557"/>
      <c r="AV4" s="557"/>
      <c r="AW4" s="558"/>
      <c r="AX4" s="559" t="s">
        <v>744</v>
      </c>
    </row>
    <row r="5" spans="1:54">
      <c r="A5" s="81"/>
      <c r="B5" s="559"/>
      <c r="C5" s="559"/>
      <c r="D5" s="559"/>
      <c r="E5" s="559" t="s">
        <v>710</v>
      </c>
      <c r="F5" s="559"/>
      <c r="G5" s="559"/>
      <c r="H5" s="561"/>
      <c r="I5" s="559" t="s">
        <v>710</v>
      </c>
      <c r="J5" s="559"/>
      <c r="K5" s="559"/>
      <c r="L5" s="561"/>
      <c r="M5" s="566"/>
      <c r="N5" s="559"/>
      <c r="O5" s="559"/>
      <c r="P5" s="556" t="s">
        <v>750</v>
      </c>
      <c r="Q5" s="557"/>
      <c r="R5" s="557"/>
      <c r="S5" s="558"/>
      <c r="T5" s="559"/>
      <c r="U5" s="556" t="s">
        <v>750</v>
      </c>
      <c r="V5" s="557"/>
      <c r="W5" s="557"/>
      <c r="X5" s="558"/>
      <c r="Y5" s="559"/>
      <c r="Z5" s="556" t="s">
        <v>750</v>
      </c>
      <c r="AA5" s="557"/>
      <c r="AB5" s="557"/>
      <c r="AC5" s="558"/>
      <c r="AD5" s="559"/>
      <c r="AE5" s="556" t="s">
        <v>750</v>
      </c>
      <c r="AF5" s="557"/>
      <c r="AG5" s="557"/>
      <c r="AH5" s="558"/>
      <c r="AI5" s="559"/>
      <c r="AJ5" s="556" t="s">
        <v>750</v>
      </c>
      <c r="AK5" s="557"/>
      <c r="AL5" s="557"/>
      <c r="AM5" s="558"/>
      <c r="AN5" s="559"/>
      <c r="AO5" s="556" t="s">
        <v>750</v>
      </c>
      <c r="AP5" s="557"/>
      <c r="AQ5" s="557"/>
      <c r="AR5" s="558"/>
      <c r="AS5" s="559"/>
      <c r="AT5" s="556" t="s">
        <v>750</v>
      </c>
      <c r="AU5" s="557"/>
      <c r="AV5" s="557"/>
      <c r="AW5" s="558"/>
      <c r="AX5" s="559"/>
    </row>
    <row r="6" spans="1:54">
      <c r="A6" s="79"/>
      <c r="B6" s="559"/>
      <c r="C6" s="559"/>
      <c r="D6" s="559"/>
      <c r="E6" s="440" t="s">
        <v>711</v>
      </c>
      <c r="F6" s="440" t="s">
        <v>712</v>
      </c>
      <c r="G6" s="440" t="s">
        <v>713</v>
      </c>
      <c r="H6" s="562"/>
      <c r="I6" s="440" t="s">
        <v>711</v>
      </c>
      <c r="J6" s="440" t="s">
        <v>712</v>
      </c>
      <c r="K6" s="440" t="s">
        <v>713</v>
      </c>
      <c r="L6" s="562"/>
      <c r="M6" s="567"/>
      <c r="N6" s="559"/>
      <c r="O6" s="559"/>
      <c r="P6" s="440" t="s">
        <v>751</v>
      </c>
      <c r="Q6" s="440" t="s">
        <v>752</v>
      </c>
      <c r="R6" s="440" t="s">
        <v>753</v>
      </c>
      <c r="S6" s="440" t="s">
        <v>746</v>
      </c>
      <c r="T6" s="559"/>
      <c r="U6" s="440" t="s">
        <v>751</v>
      </c>
      <c r="V6" s="440" t="s">
        <v>752</v>
      </c>
      <c r="W6" s="440" t="s">
        <v>753</v>
      </c>
      <c r="X6" s="440" t="s">
        <v>746</v>
      </c>
      <c r="Y6" s="559"/>
      <c r="Z6" s="440" t="s">
        <v>751</v>
      </c>
      <c r="AA6" s="440" t="s">
        <v>752</v>
      </c>
      <c r="AB6" s="440" t="s">
        <v>753</v>
      </c>
      <c r="AC6" s="440" t="s">
        <v>746</v>
      </c>
      <c r="AD6" s="559"/>
      <c r="AE6" s="440" t="s">
        <v>751</v>
      </c>
      <c r="AF6" s="440" t="s">
        <v>752</v>
      </c>
      <c r="AG6" s="440" t="s">
        <v>753</v>
      </c>
      <c r="AH6" s="440" t="s">
        <v>746</v>
      </c>
      <c r="AI6" s="559"/>
      <c r="AJ6" s="440" t="s">
        <v>751</v>
      </c>
      <c r="AK6" s="440" t="s">
        <v>752</v>
      </c>
      <c r="AL6" s="440" t="s">
        <v>753</v>
      </c>
      <c r="AM6" s="440" t="s">
        <v>746</v>
      </c>
      <c r="AN6" s="559"/>
      <c r="AO6" s="440" t="s">
        <v>751</v>
      </c>
      <c r="AP6" s="440" t="s">
        <v>752</v>
      </c>
      <c r="AQ6" s="440" t="s">
        <v>753</v>
      </c>
      <c r="AR6" s="440" t="s">
        <v>746</v>
      </c>
      <c r="AS6" s="559"/>
      <c r="AT6" s="440" t="s">
        <v>751</v>
      </c>
      <c r="AU6" s="440" t="s">
        <v>752</v>
      </c>
      <c r="AV6" s="440" t="s">
        <v>753</v>
      </c>
      <c r="AW6" s="440" t="s">
        <v>746</v>
      </c>
      <c r="AX6" s="559"/>
    </row>
    <row r="7" spans="1:54">
      <c r="A7" s="81"/>
      <c r="B7" s="559" t="s">
        <v>136</v>
      </c>
      <c r="C7" s="443">
        <v>1</v>
      </c>
      <c r="D7" s="435" t="s">
        <v>396</v>
      </c>
      <c r="E7" s="447">
        <v>6</v>
      </c>
      <c r="F7" s="447">
        <v>1500</v>
      </c>
      <c r="G7" s="447">
        <v>250</v>
      </c>
      <c r="H7" s="563">
        <f>AVERAGE(G7:G21)</f>
        <v>140.15</v>
      </c>
      <c r="I7" s="447">
        <f>AVERAGE(P7,U7,Z7,AE7,AJ7,AO7,AT7)</f>
        <v>6.2</v>
      </c>
      <c r="J7" s="447">
        <f>AVERAGE(Q7,V7,AA7,AF7,AK7,AP7,AU7)</f>
        <v>1327.3958403099248</v>
      </c>
      <c r="K7" s="439">
        <f>AVERAGE(R7,W7,AB7,AG7,AL7,AQ7,AV7)</f>
        <v>214.91914798816205</v>
      </c>
      <c r="L7" s="563">
        <f>AVERAGE(K7:K21)</f>
        <v>124.85420167966548</v>
      </c>
      <c r="M7" s="445">
        <f>RANK(K7, K$7:$K$21)</f>
        <v>3</v>
      </c>
      <c r="N7" s="559"/>
      <c r="O7" s="559"/>
      <c r="P7" s="443"/>
      <c r="Q7" s="447"/>
      <c r="R7" s="447"/>
      <c r="S7" s="443" t="e">
        <f>RANK(R7, R$7:R$21)</f>
        <v>#N/A</v>
      </c>
      <c r="T7" s="588" t="e">
        <f>AVERAGE(R7:R21)</f>
        <v>#DIV/0!</v>
      </c>
      <c r="U7" s="443"/>
      <c r="V7" s="447"/>
      <c r="W7" s="447"/>
      <c r="X7" s="443" t="e">
        <f>RANK(W7, W$7:W$21)</f>
        <v>#N/A</v>
      </c>
      <c r="Y7" s="588" t="e">
        <f>AVERAGE(W7:W21)</f>
        <v>#DIV/0!</v>
      </c>
      <c r="Z7" s="443">
        <v>6</v>
      </c>
      <c r="AA7" s="447">
        <v>1336.3636363636365</v>
      </c>
      <c r="AB7" s="447">
        <v>222.72727272727275</v>
      </c>
      <c r="AC7" s="443">
        <f>RANK(AB7, AB$7:AB$21)</f>
        <v>3</v>
      </c>
      <c r="AD7" s="588">
        <f>AVERAGE(AB7:AB21)</f>
        <v>127.23052732293193</v>
      </c>
      <c r="AE7" s="443">
        <v>6</v>
      </c>
      <c r="AF7" s="447">
        <v>1344.9230769230767</v>
      </c>
      <c r="AG7" s="447">
        <v>224.1538461538461</v>
      </c>
      <c r="AH7" s="443">
        <f>RANK(AG7, AG$7:AG$21)</f>
        <v>3</v>
      </c>
      <c r="AI7" s="588">
        <f>AVERAGE(AG7:AG21)</f>
        <v>126.41576280305212</v>
      </c>
      <c r="AJ7" s="443">
        <v>6</v>
      </c>
      <c r="AK7" s="447">
        <v>1303.0985915492961</v>
      </c>
      <c r="AL7" s="447">
        <v>217.18309859154934</v>
      </c>
      <c r="AM7" s="443">
        <f>RANK(AL7, AL$7:AL$21)</f>
        <v>3</v>
      </c>
      <c r="AN7" s="588">
        <f>AVERAGE(AL7:AL21)</f>
        <v>126.55912284171504</v>
      </c>
      <c r="AO7" s="443">
        <v>6</v>
      </c>
      <c r="AP7" s="447">
        <v>1326.7605633802818</v>
      </c>
      <c r="AQ7" s="447">
        <v>221.12676056338032</v>
      </c>
      <c r="AR7" s="443">
        <f>RANK(AQ7, AQ$7:AQ$21)</f>
        <v>3</v>
      </c>
      <c r="AS7" s="588">
        <f>AVERAGE(AQ7:AQ21)</f>
        <v>126.93754416387848</v>
      </c>
      <c r="AT7" s="443">
        <v>7</v>
      </c>
      <c r="AU7" s="447">
        <v>1325.8333333333328</v>
      </c>
      <c r="AV7" s="447">
        <v>189.40476190476184</v>
      </c>
      <c r="AW7" s="443">
        <f>RANK(AV7, AV$7:AV$21)</f>
        <v>3</v>
      </c>
      <c r="AX7" s="588">
        <f>AVERAGE(AV7:AV21)</f>
        <v>117.12805126674991</v>
      </c>
      <c r="AZ7" s="314" t="e">
        <f>RANK(AX7, $K$7:AX$21)</f>
        <v>#N/A</v>
      </c>
      <c r="BB7" s="311" t="e">
        <f>RANK(BA7, BA$7:BA$21)</f>
        <v>#N/A</v>
      </c>
    </row>
    <row r="8" spans="1:54" ht="15" customHeight="1">
      <c r="A8" s="81"/>
      <c r="B8" s="599"/>
      <c r="C8" s="443">
        <v>2</v>
      </c>
      <c r="D8" s="435" t="s">
        <v>397</v>
      </c>
      <c r="E8" s="447">
        <v>6</v>
      </c>
      <c r="F8" s="447">
        <v>1500</v>
      </c>
      <c r="G8" s="447">
        <v>250</v>
      </c>
      <c r="H8" s="564"/>
      <c r="I8" s="447">
        <f t="shared" ref="I8:K14" si="5">AVERAGE(P8,U8,Z8,AE8,AJ8,AO8,AT8)</f>
        <v>6.2</v>
      </c>
      <c r="J8" s="447">
        <f t="shared" si="5"/>
        <v>1465.5433484481812</v>
      </c>
      <c r="K8" s="439">
        <f t="shared" si="5"/>
        <v>237.10425381848108</v>
      </c>
      <c r="L8" s="564"/>
      <c r="M8" s="445">
        <f>RANK(K8, K$7:$K$21)</f>
        <v>2</v>
      </c>
      <c r="N8" s="559"/>
      <c r="O8" s="559"/>
      <c r="P8" s="443"/>
      <c r="Q8" s="447"/>
      <c r="R8" s="447"/>
      <c r="S8" s="443" t="e">
        <f t="shared" ref="S8:S21" si="6">RANK(R8, R$7:R$21)</f>
        <v>#N/A</v>
      </c>
      <c r="T8" s="588"/>
      <c r="U8" s="443"/>
      <c r="V8" s="447"/>
      <c r="W8" s="447"/>
      <c r="X8" s="443" t="e">
        <f t="shared" ref="X8:X21" si="7">RANK(W8, W$7:W$21)</f>
        <v>#N/A</v>
      </c>
      <c r="Y8" s="588"/>
      <c r="Z8" s="443">
        <v>6</v>
      </c>
      <c r="AA8" s="447">
        <v>1457.217391304348</v>
      </c>
      <c r="AB8" s="447">
        <v>242.86956521739134</v>
      </c>
      <c r="AC8" s="443">
        <f t="shared" ref="AC8:AC21" si="8">RANK(AB8, AB$7:AB$21)</f>
        <v>2</v>
      </c>
      <c r="AD8" s="588"/>
      <c r="AE8" s="443">
        <v>6</v>
      </c>
      <c r="AF8" s="447">
        <v>1451.9999999999995</v>
      </c>
      <c r="AG8" s="447">
        <v>241.99999999999991</v>
      </c>
      <c r="AH8" s="443">
        <f t="shared" ref="AH8:AH21" si="9">RANK(AG8, AG$7:AG$21)</f>
        <v>2</v>
      </c>
      <c r="AI8" s="588"/>
      <c r="AJ8" s="443">
        <v>6</v>
      </c>
      <c r="AK8" s="447">
        <v>1452.897196261682</v>
      </c>
      <c r="AL8" s="447">
        <v>242.14953271028034</v>
      </c>
      <c r="AM8" s="443">
        <f t="shared" ref="AM8:AM21" si="10">RANK(AL8, AL$7:AL$21)</f>
        <v>1</v>
      </c>
      <c r="AN8" s="588"/>
      <c r="AO8" s="443">
        <v>6</v>
      </c>
      <c r="AP8" s="447">
        <v>1463.4782608695655</v>
      </c>
      <c r="AQ8" s="447">
        <v>243.9130434782609</v>
      </c>
      <c r="AR8" s="443">
        <f t="shared" ref="AR8:AR21" si="11">RANK(AQ8, AQ$7:AQ$21)</f>
        <v>2</v>
      </c>
      <c r="AS8" s="588"/>
      <c r="AT8" s="443">
        <v>7</v>
      </c>
      <c r="AU8" s="447">
        <v>1502.1238938053098</v>
      </c>
      <c r="AV8" s="447">
        <v>214.58912768647284</v>
      </c>
      <c r="AW8" s="443">
        <f t="shared" ref="AW8:AW21" si="12">RANK(AV8, AV$7:AV$21)</f>
        <v>1</v>
      </c>
      <c r="AX8" s="588"/>
      <c r="AZ8" s="314" t="e">
        <f>RANK(AX8, $K$7:AX$21)</f>
        <v>#N/A</v>
      </c>
      <c r="BB8" s="311" t="e">
        <f t="shared" ref="BB8:BB21" si="13">RANK(BA8, BA$7:BA$21)</f>
        <v>#N/A</v>
      </c>
    </row>
    <row r="9" spans="1:54">
      <c r="A9" s="81"/>
      <c r="B9" s="599"/>
      <c r="C9" s="443">
        <v>3</v>
      </c>
      <c r="D9" s="435" t="s">
        <v>346</v>
      </c>
      <c r="E9" s="447">
        <v>19</v>
      </c>
      <c r="F9" s="447">
        <v>1500</v>
      </c>
      <c r="G9" s="447">
        <v>78.900000000000006</v>
      </c>
      <c r="H9" s="564"/>
      <c r="I9" s="447">
        <f t="shared" si="5"/>
        <v>18.2</v>
      </c>
      <c r="J9" s="447">
        <f t="shared" si="5"/>
        <v>1247.8454219849875</v>
      </c>
      <c r="K9" s="439">
        <f t="shared" si="5"/>
        <v>68.546908345258487</v>
      </c>
      <c r="L9" s="564"/>
      <c r="M9" s="445">
        <f>RANK(K9, K$7:$K$21)</f>
        <v>6</v>
      </c>
      <c r="N9" s="559"/>
      <c r="O9" s="559"/>
      <c r="P9" s="443"/>
      <c r="Q9" s="447"/>
      <c r="R9" s="447"/>
      <c r="S9" s="443" t="e">
        <f t="shared" si="6"/>
        <v>#N/A</v>
      </c>
      <c r="T9" s="588"/>
      <c r="U9" s="443"/>
      <c r="V9" s="447"/>
      <c r="W9" s="447"/>
      <c r="X9" s="443" t="e">
        <f t="shared" si="7"/>
        <v>#N/A</v>
      </c>
      <c r="Y9" s="588"/>
      <c r="Z9" s="443">
        <v>18</v>
      </c>
      <c r="AA9" s="447">
        <v>1214.3999999999999</v>
      </c>
      <c r="AB9" s="447">
        <v>67.466666666666654</v>
      </c>
      <c r="AC9" s="443">
        <f t="shared" si="8"/>
        <v>5</v>
      </c>
      <c r="AD9" s="588"/>
      <c r="AE9" s="443">
        <v>18</v>
      </c>
      <c r="AF9" s="447">
        <v>1244.1000000000004</v>
      </c>
      <c r="AG9" s="447">
        <v>69.116666666666688</v>
      </c>
      <c r="AH9" s="443">
        <f t="shared" si="9"/>
        <v>5</v>
      </c>
      <c r="AI9" s="588"/>
      <c r="AJ9" s="443">
        <v>18</v>
      </c>
      <c r="AK9" s="447">
        <v>1226.5100917431191</v>
      </c>
      <c r="AL9" s="447">
        <v>68.139449541284392</v>
      </c>
      <c r="AM9" s="443">
        <f t="shared" si="10"/>
        <v>6</v>
      </c>
      <c r="AN9" s="588"/>
      <c r="AO9" s="443">
        <v>18</v>
      </c>
      <c r="AP9" s="447">
        <v>1224.1152000000004</v>
      </c>
      <c r="AQ9" s="447">
        <v>68.006400000000028</v>
      </c>
      <c r="AR9" s="443">
        <f t="shared" si="11"/>
        <v>5</v>
      </c>
      <c r="AS9" s="588"/>
      <c r="AT9" s="443">
        <v>19</v>
      </c>
      <c r="AU9" s="447">
        <v>1330.1018181818181</v>
      </c>
      <c r="AV9" s="447">
        <v>70.005358851674643</v>
      </c>
      <c r="AW9" s="443">
        <f t="shared" si="12"/>
        <v>5</v>
      </c>
      <c r="AX9" s="588"/>
      <c r="AZ9" s="314" t="e">
        <f>RANK(AX9, $K$7:AX$21)</f>
        <v>#N/A</v>
      </c>
      <c r="BB9" s="311" t="e">
        <f t="shared" si="13"/>
        <v>#N/A</v>
      </c>
    </row>
    <row r="10" spans="1:54">
      <c r="A10" s="81"/>
      <c r="B10" s="599"/>
      <c r="C10" s="443">
        <v>4</v>
      </c>
      <c r="D10" s="306" t="s">
        <v>813</v>
      </c>
      <c r="E10" s="447">
        <v>17</v>
      </c>
      <c r="F10" s="447">
        <v>1440</v>
      </c>
      <c r="G10" s="447">
        <v>84.7</v>
      </c>
      <c r="H10" s="564"/>
      <c r="I10" s="447">
        <f t="shared" si="5"/>
        <v>16.8</v>
      </c>
      <c r="J10" s="447">
        <f t="shared" si="5"/>
        <v>1161.9363793103453</v>
      </c>
      <c r="K10" s="439">
        <f t="shared" si="5"/>
        <v>69.269787018255585</v>
      </c>
      <c r="L10" s="564"/>
      <c r="M10" s="445">
        <f>RANK(K10, K$7:$K$21)</f>
        <v>5</v>
      </c>
      <c r="N10" s="559"/>
      <c r="O10" s="559"/>
      <c r="P10" s="443"/>
      <c r="Q10" s="447"/>
      <c r="R10" s="447"/>
      <c r="S10" s="443" t="e">
        <f t="shared" si="6"/>
        <v>#N/A</v>
      </c>
      <c r="T10" s="588"/>
      <c r="U10" s="443"/>
      <c r="V10" s="447"/>
      <c r="W10" s="447"/>
      <c r="X10" s="443" t="e">
        <f t="shared" si="7"/>
        <v>#N/A</v>
      </c>
      <c r="Y10" s="588"/>
      <c r="Z10" s="443">
        <v>17</v>
      </c>
      <c r="AA10" s="447">
        <v>1111.8750000000014</v>
      </c>
      <c r="AB10" s="447">
        <v>65.404411764705969</v>
      </c>
      <c r="AC10" s="443">
        <f t="shared" si="8"/>
        <v>6</v>
      </c>
      <c r="AD10" s="588"/>
      <c r="AE10" s="443">
        <v>17</v>
      </c>
      <c r="AF10" s="447">
        <v>1101.6000000000004</v>
      </c>
      <c r="AG10" s="447">
        <v>64.800000000000026</v>
      </c>
      <c r="AH10" s="443">
        <f t="shared" si="9"/>
        <v>6</v>
      </c>
      <c r="AI10" s="588"/>
      <c r="AJ10" s="443">
        <v>17</v>
      </c>
      <c r="AK10" s="447">
        <v>1266.2068965517251</v>
      </c>
      <c r="AL10" s="447">
        <v>74.482758620689708</v>
      </c>
      <c r="AM10" s="443">
        <f t="shared" si="10"/>
        <v>4</v>
      </c>
      <c r="AN10" s="588"/>
      <c r="AO10" s="443">
        <v>17</v>
      </c>
      <c r="AP10" s="447">
        <v>1077.999999999998</v>
      </c>
      <c r="AQ10" s="447">
        <v>63.411764705882234</v>
      </c>
      <c r="AR10" s="443">
        <f t="shared" si="11"/>
        <v>6</v>
      </c>
      <c r="AS10" s="588"/>
      <c r="AT10" s="443">
        <v>16</v>
      </c>
      <c r="AU10" s="447">
        <v>1252.0000000000011</v>
      </c>
      <c r="AV10" s="447">
        <v>78.250000000000071</v>
      </c>
      <c r="AW10" s="443">
        <f t="shared" si="12"/>
        <v>4</v>
      </c>
      <c r="AX10" s="588"/>
      <c r="AZ10" s="314" t="e">
        <f>RANK(AX10, $K$7:AX$21)</f>
        <v>#N/A</v>
      </c>
      <c r="BB10" s="311" t="e">
        <f t="shared" si="13"/>
        <v>#N/A</v>
      </c>
    </row>
    <row r="11" spans="1:54">
      <c r="A11" s="81"/>
      <c r="B11" s="599"/>
      <c r="C11" s="443">
        <v>5</v>
      </c>
      <c r="D11" s="435" t="s">
        <v>442</v>
      </c>
      <c r="E11" s="447">
        <v>6</v>
      </c>
      <c r="F11" s="447">
        <v>1500</v>
      </c>
      <c r="G11" s="447">
        <v>250</v>
      </c>
      <c r="H11" s="564"/>
      <c r="I11" s="447">
        <f t="shared" si="5"/>
        <v>6.2</v>
      </c>
      <c r="J11" s="447">
        <f t="shared" si="5"/>
        <v>1475.042600083571</v>
      </c>
      <c r="K11" s="439">
        <f t="shared" si="5"/>
        <v>238.87065312748163</v>
      </c>
      <c r="L11" s="564"/>
      <c r="M11" s="445">
        <f>RANK(K11, K$7:$K$21)</f>
        <v>1</v>
      </c>
      <c r="N11" s="559"/>
      <c r="O11" s="559"/>
      <c r="P11" s="443"/>
      <c r="Q11" s="447"/>
      <c r="R11" s="447"/>
      <c r="S11" s="443" t="e">
        <f t="shared" si="6"/>
        <v>#N/A</v>
      </c>
      <c r="T11" s="588"/>
      <c r="U11" s="443"/>
      <c r="V11" s="447"/>
      <c r="W11" s="447"/>
      <c r="X11" s="443" t="e">
        <f t="shared" si="7"/>
        <v>#N/A</v>
      </c>
      <c r="Y11" s="588"/>
      <c r="Z11" s="443">
        <v>6</v>
      </c>
      <c r="AA11" s="447">
        <v>1486.4705882352941</v>
      </c>
      <c r="AB11" s="447">
        <v>247.74509803921569</v>
      </c>
      <c r="AC11" s="443">
        <f t="shared" si="8"/>
        <v>1</v>
      </c>
      <c r="AD11" s="588"/>
      <c r="AE11" s="443">
        <v>6</v>
      </c>
      <c r="AF11" s="447">
        <v>1474.38202247191</v>
      </c>
      <c r="AG11" s="447">
        <v>245.73033707865167</v>
      </c>
      <c r="AH11" s="443">
        <f t="shared" si="9"/>
        <v>1</v>
      </c>
      <c r="AI11" s="588"/>
      <c r="AJ11" s="443">
        <v>6</v>
      </c>
      <c r="AK11" s="447">
        <v>1449.5744680851067</v>
      </c>
      <c r="AL11" s="447">
        <v>241.59574468085111</v>
      </c>
      <c r="AM11" s="443">
        <f t="shared" si="10"/>
        <v>2</v>
      </c>
      <c r="AN11" s="588"/>
      <c r="AO11" s="443">
        <v>6</v>
      </c>
      <c r="AP11" s="447">
        <v>1501.1320754716976</v>
      </c>
      <c r="AQ11" s="447">
        <v>250.18867924528294</v>
      </c>
      <c r="AR11" s="443">
        <f t="shared" si="11"/>
        <v>1</v>
      </c>
      <c r="AS11" s="588"/>
      <c r="AT11" s="443">
        <v>7</v>
      </c>
      <c r="AU11" s="447">
        <v>1463.6538461538464</v>
      </c>
      <c r="AV11" s="447">
        <v>209.09340659340663</v>
      </c>
      <c r="AW11" s="443">
        <f t="shared" si="12"/>
        <v>2</v>
      </c>
      <c r="AX11" s="588"/>
      <c r="AZ11" s="314" t="e">
        <f>RANK(AX11, $K$7:AX$21)</f>
        <v>#N/A</v>
      </c>
      <c r="BB11" s="311" t="e">
        <f t="shared" si="13"/>
        <v>#N/A</v>
      </c>
    </row>
    <row r="12" spans="1:54">
      <c r="A12" s="81"/>
      <c r="B12" s="599"/>
      <c r="C12" s="443">
        <v>6</v>
      </c>
      <c r="D12" s="435" t="s">
        <v>468</v>
      </c>
      <c r="E12" s="447">
        <v>19</v>
      </c>
      <c r="F12" s="447">
        <v>1440</v>
      </c>
      <c r="G12" s="447">
        <v>75.8</v>
      </c>
      <c r="H12" s="564"/>
      <c r="I12" s="447">
        <f t="shared" si="5"/>
        <v>18.2</v>
      </c>
      <c r="J12" s="447">
        <f t="shared" si="5"/>
        <v>1265.7998148640113</v>
      </c>
      <c r="K12" s="439">
        <f t="shared" si="5"/>
        <v>69.594444241789688</v>
      </c>
      <c r="L12" s="564"/>
      <c r="M12" s="445">
        <f>RANK(K12, K$7:$K$21)</f>
        <v>4</v>
      </c>
      <c r="N12" s="559"/>
      <c r="O12" s="559"/>
      <c r="P12" s="443"/>
      <c r="Q12" s="447"/>
      <c r="R12" s="447"/>
      <c r="S12" s="443" t="e">
        <f t="shared" si="6"/>
        <v>#N/A</v>
      </c>
      <c r="T12" s="588"/>
      <c r="U12" s="443"/>
      <c r="V12" s="447"/>
      <c r="W12" s="447"/>
      <c r="X12" s="443" t="e">
        <f t="shared" si="7"/>
        <v>#N/A</v>
      </c>
      <c r="Y12" s="588"/>
      <c r="Z12" s="443">
        <v>18</v>
      </c>
      <c r="AA12" s="447">
        <v>1282.3728813559317</v>
      </c>
      <c r="AB12" s="447">
        <v>71.242937853107321</v>
      </c>
      <c r="AC12" s="443">
        <f t="shared" si="8"/>
        <v>4</v>
      </c>
      <c r="AD12" s="588"/>
      <c r="AE12" s="443">
        <v>18</v>
      </c>
      <c r="AF12" s="447">
        <v>1280.4545454545455</v>
      </c>
      <c r="AG12" s="447">
        <v>71.13636363636364</v>
      </c>
      <c r="AH12" s="443">
        <f t="shared" si="9"/>
        <v>4</v>
      </c>
      <c r="AI12" s="588"/>
      <c r="AJ12" s="443">
        <v>18</v>
      </c>
      <c r="AK12" s="447">
        <v>1268.8888888888896</v>
      </c>
      <c r="AL12" s="447">
        <v>70.493827160493865</v>
      </c>
      <c r="AM12" s="443">
        <f t="shared" si="10"/>
        <v>5</v>
      </c>
      <c r="AN12" s="588"/>
      <c r="AO12" s="443">
        <v>18</v>
      </c>
      <c r="AP12" s="447">
        <v>1252.8000000000004</v>
      </c>
      <c r="AQ12" s="447">
        <v>69.600000000000023</v>
      </c>
      <c r="AR12" s="443">
        <f t="shared" si="11"/>
        <v>4</v>
      </c>
      <c r="AS12" s="588"/>
      <c r="AT12" s="443">
        <v>19</v>
      </c>
      <c r="AU12" s="447">
        <v>1244.4827586206889</v>
      </c>
      <c r="AV12" s="447">
        <v>65.499092558983619</v>
      </c>
      <c r="AW12" s="443">
        <f t="shared" si="12"/>
        <v>6</v>
      </c>
      <c r="AX12" s="588"/>
      <c r="AZ12" s="314" t="e">
        <f>RANK(AX12, $K$7:AX$21)</f>
        <v>#N/A</v>
      </c>
      <c r="BB12" s="311" t="e">
        <f t="shared" si="13"/>
        <v>#N/A</v>
      </c>
    </row>
    <row r="13" spans="1:54">
      <c r="A13" s="81"/>
      <c r="B13" s="599"/>
      <c r="C13" s="443">
        <v>7</v>
      </c>
      <c r="D13" s="306" t="s">
        <v>814</v>
      </c>
      <c r="E13" s="447">
        <v>21</v>
      </c>
      <c r="F13" s="447">
        <v>1385</v>
      </c>
      <c r="G13" s="447">
        <v>65.900000000000006</v>
      </c>
      <c r="H13" s="564"/>
      <c r="I13" s="447">
        <f t="shared" si="5"/>
        <v>19.8</v>
      </c>
      <c r="J13" s="447">
        <f t="shared" si="5"/>
        <v>1066.7051888125056</v>
      </c>
      <c r="K13" s="439">
        <f t="shared" si="5"/>
        <v>53.944733124835821</v>
      </c>
      <c r="L13" s="564"/>
      <c r="M13" s="445">
        <f>RANK(K13, K$7:$K$21)</f>
        <v>7</v>
      </c>
      <c r="N13" s="559"/>
      <c r="O13" s="559"/>
      <c r="P13" s="443"/>
      <c r="Q13" s="447"/>
      <c r="R13" s="447"/>
      <c r="S13" s="443" t="e">
        <f t="shared" si="6"/>
        <v>#N/A</v>
      </c>
      <c r="T13" s="588"/>
      <c r="U13" s="443"/>
      <c r="V13" s="447"/>
      <c r="W13" s="447"/>
      <c r="X13" s="443" t="e">
        <f t="shared" si="7"/>
        <v>#N/A</v>
      </c>
      <c r="Y13" s="588"/>
      <c r="Z13" s="443">
        <v>20</v>
      </c>
      <c r="AA13" s="447">
        <v>1093.1707317073187</v>
      </c>
      <c r="AB13" s="447">
        <v>54.658536585365937</v>
      </c>
      <c r="AC13" s="443">
        <f t="shared" si="8"/>
        <v>7</v>
      </c>
      <c r="AD13" s="588"/>
      <c r="AE13" s="443">
        <v>20</v>
      </c>
      <c r="AF13" s="447">
        <v>949.99999999999932</v>
      </c>
      <c r="AG13" s="447">
        <v>47.499999999999964</v>
      </c>
      <c r="AH13" s="443">
        <f t="shared" si="9"/>
        <v>7</v>
      </c>
      <c r="AI13" s="588"/>
      <c r="AJ13" s="443">
        <v>20</v>
      </c>
      <c r="AK13" s="447">
        <v>1068.5714285714282</v>
      </c>
      <c r="AL13" s="447">
        <v>53.428571428571409</v>
      </c>
      <c r="AM13" s="443">
        <f t="shared" si="10"/>
        <v>7</v>
      </c>
      <c r="AN13" s="588"/>
      <c r="AO13" s="443">
        <v>20</v>
      </c>
      <c r="AP13" s="447">
        <v>1063.7837837837828</v>
      </c>
      <c r="AQ13" s="447">
        <v>53.189189189189143</v>
      </c>
      <c r="AR13" s="443">
        <f t="shared" si="11"/>
        <v>7</v>
      </c>
      <c r="AS13" s="588"/>
      <c r="AT13" s="443">
        <v>19</v>
      </c>
      <c r="AU13" s="447">
        <v>1157.9999999999995</v>
      </c>
      <c r="AV13" s="447">
        <v>60.947368421052609</v>
      </c>
      <c r="AW13" s="443">
        <f t="shared" si="12"/>
        <v>7</v>
      </c>
      <c r="AX13" s="588"/>
      <c r="AZ13" s="314" t="e">
        <f>RANK(AX13, $K$7:AX$21)</f>
        <v>#N/A</v>
      </c>
      <c r="BB13" s="311" t="e">
        <f t="shared" si="13"/>
        <v>#N/A</v>
      </c>
    </row>
    <row r="14" spans="1:54">
      <c r="A14" s="81"/>
      <c r="B14" s="599"/>
      <c r="C14" s="443">
        <v>8</v>
      </c>
      <c r="D14" s="306" t="s">
        <v>815</v>
      </c>
      <c r="E14" s="447">
        <v>21</v>
      </c>
      <c r="F14" s="447">
        <v>1385</v>
      </c>
      <c r="G14" s="447">
        <v>65.900000000000006</v>
      </c>
      <c r="H14" s="564"/>
      <c r="I14" s="447">
        <f t="shared" si="5"/>
        <v>20</v>
      </c>
      <c r="J14" s="447">
        <f t="shared" si="5"/>
        <v>931.67371546119102</v>
      </c>
      <c r="K14" s="439">
        <f t="shared" si="5"/>
        <v>46.58368577305955</v>
      </c>
      <c r="L14" s="564"/>
      <c r="M14" s="445">
        <f>RANK(K14, K$7:$K$21)</f>
        <v>8</v>
      </c>
      <c r="N14" s="559"/>
      <c r="O14" s="559"/>
      <c r="P14" s="443"/>
      <c r="Q14" s="447"/>
      <c r="R14" s="447"/>
      <c r="S14" s="443" t="e">
        <f t="shared" si="6"/>
        <v>#N/A</v>
      </c>
      <c r="T14" s="588"/>
      <c r="U14" s="443"/>
      <c r="V14" s="447"/>
      <c r="W14" s="447"/>
      <c r="X14" s="443" t="e">
        <f t="shared" si="7"/>
        <v>#N/A</v>
      </c>
      <c r="Y14" s="588"/>
      <c r="Z14" s="443">
        <v>20</v>
      </c>
      <c r="AA14" s="447">
        <v>914.5945945945939</v>
      </c>
      <c r="AB14" s="447">
        <v>45.729729729729698</v>
      </c>
      <c r="AC14" s="443">
        <f t="shared" si="8"/>
        <v>8</v>
      </c>
      <c r="AD14" s="588"/>
      <c r="AE14" s="443">
        <v>20</v>
      </c>
      <c r="AF14" s="447">
        <v>937.77777777777555</v>
      </c>
      <c r="AG14" s="447">
        <v>46.888888888888779</v>
      </c>
      <c r="AH14" s="443">
        <f t="shared" si="9"/>
        <v>8</v>
      </c>
      <c r="AI14" s="588"/>
      <c r="AJ14" s="443">
        <v>20</v>
      </c>
      <c r="AK14" s="447">
        <v>899.99999999999909</v>
      </c>
      <c r="AL14" s="447">
        <v>44.999999999999957</v>
      </c>
      <c r="AM14" s="443">
        <f t="shared" si="10"/>
        <v>8</v>
      </c>
      <c r="AN14" s="588"/>
      <c r="AO14" s="443">
        <v>20</v>
      </c>
      <c r="AP14" s="447">
        <v>921.29032258064603</v>
      </c>
      <c r="AQ14" s="447">
        <v>46.064516129032299</v>
      </c>
      <c r="AR14" s="443">
        <f t="shared" si="11"/>
        <v>8</v>
      </c>
      <c r="AS14" s="588"/>
      <c r="AT14" s="443">
        <v>20</v>
      </c>
      <c r="AU14" s="447">
        <v>984.70588235294008</v>
      </c>
      <c r="AV14" s="447">
        <v>49.235294117647001</v>
      </c>
      <c r="AW14" s="443">
        <f t="shared" si="12"/>
        <v>8</v>
      </c>
      <c r="AX14" s="588"/>
      <c r="AZ14" s="314" t="e">
        <f>RANK(AX14, $K$7:AX$21)</f>
        <v>#N/A</v>
      </c>
      <c r="BB14" s="311" t="e">
        <f t="shared" si="13"/>
        <v>#N/A</v>
      </c>
    </row>
    <row r="15" spans="1:54">
      <c r="A15" s="81"/>
      <c r="B15" s="599"/>
      <c r="C15" s="443">
        <v>9</v>
      </c>
      <c r="D15" s="435"/>
      <c r="E15" s="447" t="s">
        <v>561</v>
      </c>
      <c r="F15" s="447" t="s">
        <v>561</v>
      </c>
      <c r="G15" s="447" t="s">
        <v>561</v>
      </c>
      <c r="H15" s="564"/>
      <c r="I15" s="447"/>
      <c r="J15" s="447"/>
      <c r="K15" s="439"/>
      <c r="L15" s="564"/>
      <c r="M15" s="445" t="e">
        <f>RANK(K15, K$7:$K$21)</f>
        <v>#N/A</v>
      </c>
      <c r="N15" s="559"/>
      <c r="O15" s="559"/>
      <c r="P15" s="443" t="s">
        <v>561</v>
      </c>
      <c r="Q15" s="447" t="s">
        <v>561</v>
      </c>
      <c r="R15" s="447" t="s">
        <v>561</v>
      </c>
      <c r="S15" s="443" t="e">
        <f t="shared" si="6"/>
        <v>#VALUE!</v>
      </c>
      <c r="T15" s="588"/>
      <c r="U15" s="443"/>
      <c r="V15" s="447"/>
      <c r="W15" s="447"/>
      <c r="X15" s="443" t="e">
        <f t="shared" si="7"/>
        <v>#N/A</v>
      </c>
      <c r="Y15" s="588"/>
      <c r="Z15" s="443"/>
      <c r="AA15" s="447"/>
      <c r="AB15" s="447"/>
      <c r="AC15" s="443" t="e">
        <f t="shared" si="8"/>
        <v>#N/A</v>
      </c>
      <c r="AD15" s="588"/>
      <c r="AE15" s="443"/>
      <c r="AF15" s="447"/>
      <c r="AG15" s="447"/>
      <c r="AH15" s="443" t="e">
        <f t="shared" si="9"/>
        <v>#N/A</v>
      </c>
      <c r="AI15" s="588"/>
      <c r="AJ15" s="443"/>
      <c r="AK15" s="447"/>
      <c r="AL15" s="447"/>
      <c r="AM15" s="443" t="e">
        <f t="shared" si="10"/>
        <v>#N/A</v>
      </c>
      <c r="AN15" s="588"/>
      <c r="AO15" s="443"/>
      <c r="AP15" s="447"/>
      <c r="AQ15" s="447"/>
      <c r="AR15" s="443" t="e">
        <f t="shared" si="11"/>
        <v>#N/A</v>
      </c>
      <c r="AS15" s="588"/>
      <c r="AT15" s="443"/>
      <c r="AU15" s="447"/>
      <c r="AV15" s="447"/>
      <c r="AW15" s="443" t="e">
        <f t="shared" si="12"/>
        <v>#N/A</v>
      </c>
      <c r="AX15" s="588"/>
      <c r="AZ15" s="314" t="e">
        <f>RANK(AX15, $K$7:AX$21)</f>
        <v>#N/A</v>
      </c>
      <c r="BB15" s="311" t="e">
        <f t="shared" si="13"/>
        <v>#N/A</v>
      </c>
    </row>
    <row r="16" spans="1:54">
      <c r="A16" s="81"/>
      <c r="B16" s="599"/>
      <c r="C16" s="443">
        <v>10</v>
      </c>
      <c r="D16" s="435"/>
      <c r="E16" s="447" t="s">
        <v>561</v>
      </c>
      <c r="F16" s="447" t="s">
        <v>561</v>
      </c>
      <c r="G16" s="447" t="s">
        <v>561</v>
      </c>
      <c r="H16" s="564"/>
      <c r="I16" s="447"/>
      <c r="J16" s="447"/>
      <c r="K16" s="439"/>
      <c r="L16" s="564"/>
      <c r="M16" s="445" t="e">
        <f>RANK(K16, K$7:$K$21)</f>
        <v>#N/A</v>
      </c>
      <c r="N16" s="559"/>
      <c r="O16" s="559"/>
      <c r="P16" s="443" t="s">
        <v>561</v>
      </c>
      <c r="Q16" s="447" t="s">
        <v>561</v>
      </c>
      <c r="R16" s="447" t="s">
        <v>561</v>
      </c>
      <c r="S16" s="443" t="e">
        <f t="shared" si="6"/>
        <v>#VALUE!</v>
      </c>
      <c r="T16" s="588"/>
      <c r="U16" s="443"/>
      <c r="V16" s="447"/>
      <c r="W16" s="447"/>
      <c r="X16" s="443" t="e">
        <f t="shared" si="7"/>
        <v>#N/A</v>
      </c>
      <c r="Y16" s="588"/>
      <c r="Z16" s="443"/>
      <c r="AA16" s="447"/>
      <c r="AB16" s="447"/>
      <c r="AC16" s="443" t="e">
        <f t="shared" si="8"/>
        <v>#N/A</v>
      </c>
      <c r="AD16" s="588"/>
      <c r="AE16" s="443"/>
      <c r="AF16" s="447"/>
      <c r="AG16" s="447"/>
      <c r="AH16" s="443" t="e">
        <f t="shared" si="9"/>
        <v>#N/A</v>
      </c>
      <c r="AI16" s="588"/>
      <c r="AJ16" s="443"/>
      <c r="AK16" s="447"/>
      <c r="AL16" s="447"/>
      <c r="AM16" s="443" t="e">
        <f t="shared" si="10"/>
        <v>#N/A</v>
      </c>
      <c r="AN16" s="588"/>
      <c r="AO16" s="443"/>
      <c r="AP16" s="447"/>
      <c r="AQ16" s="447"/>
      <c r="AR16" s="443" t="e">
        <f t="shared" si="11"/>
        <v>#N/A</v>
      </c>
      <c r="AS16" s="588"/>
      <c r="AT16" s="443"/>
      <c r="AU16" s="447"/>
      <c r="AV16" s="447"/>
      <c r="AW16" s="443" t="e">
        <f t="shared" si="12"/>
        <v>#N/A</v>
      </c>
      <c r="AX16" s="588"/>
      <c r="AZ16" s="314" t="e">
        <f>RANK(AX16, $K$7:AX$21)</f>
        <v>#N/A</v>
      </c>
      <c r="BB16" s="311" t="e">
        <f t="shared" si="13"/>
        <v>#N/A</v>
      </c>
    </row>
    <row r="17" spans="2:54">
      <c r="B17" s="599"/>
      <c r="C17" s="443">
        <v>11</v>
      </c>
      <c r="D17" s="435"/>
      <c r="E17" s="447" t="s">
        <v>561</v>
      </c>
      <c r="F17" s="447" t="s">
        <v>561</v>
      </c>
      <c r="G17" s="447" t="s">
        <v>561</v>
      </c>
      <c r="H17" s="564"/>
      <c r="I17" s="443"/>
      <c r="J17" s="443"/>
      <c r="K17" s="443"/>
      <c r="L17" s="564"/>
      <c r="M17" s="445" t="e">
        <f>RANK(K17, K$7:$K$21)</f>
        <v>#N/A</v>
      </c>
      <c r="N17" s="559"/>
      <c r="O17" s="559"/>
      <c r="P17" s="443" t="s">
        <v>561</v>
      </c>
      <c r="Q17" s="447" t="s">
        <v>561</v>
      </c>
      <c r="R17" s="447" t="s">
        <v>561</v>
      </c>
      <c r="S17" s="443" t="e">
        <f t="shared" si="6"/>
        <v>#VALUE!</v>
      </c>
      <c r="T17" s="588"/>
      <c r="U17" s="443"/>
      <c r="V17" s="447"/>
      <c r="W17" s="447"/>
      <c r="X17" s="443" t="e">
        <f t="shared" si="7"/>
        <v>#N/A</v>
      </c>
      <c r="Y17" s="588"/>
      <c r="Z17" s="443"/>
      <c r="AA17" s="447"/>
      <c r="AB17" s="447"/>
      <c r="AC17" s="443" t="e">
        <f t="shared" si="8"/>
        <v>#N/A</v>
      </c>
      <c r="AD17" s="588"/>
      <c r="AE17" s="443"/>
      <c r="AF17" s="447"/>
      <c r="AG17" s="447"/>
      <c r="AH17" s="443" t="e">
        <f t="shared" si="9"/>
        <v>#N/A</v>
      </c>
      <c r="AI17" s="588"/>
      <c r="AJ17" s="443"/>
      <c r="AK17" s="447"/>
      <c r="AL17" s="447"/>
      <c r="AM17" s="443" t="e">
        <f t="shared" si="10"/>
        <v>#N/A</v>
      </c>
      <c r="AN17" s="588"/>
      <c r="AO17" s="443"/>
      <c r="AP17" s="447"/>
      <c r="AQ17" s="447"/>
      <c r="AR17" s="443" t="e">
        <f t="shared" si="11"/>
        <v>#N/A</v>
      </c>
      <c r="AS17" s="588"/>
      <c r="AT17" s="443"/>
      <c r="AU17" s="447"/>
      <c r="AV17" s="447"/>
      <c r="AW17" s="443" t="e">
        <f t="shared" si="12"/>
        <v>#N/A</v>
      </c>
      <c r="AX17" s="588"/>
      <c r="AZ17" s="314" t="e">
        <f>RANK(AX17, $K$7:AX$21)</f>
        <v>#N/A</v>
      </c>
      <c r="BB17" s="311" t="e">
        <f t="shared" si="13"/>
        <v>#N/A</v>
      </c>
    </row>
    <row r="18" spans="2:54">
      <c r="B18" s="599"/>
      <c r="C18" s="443">
        <v>12</v>
      </c>
      <c r="D18" s="435"/>
      <c r="E18" s="447" t="s">
        <v>561</v>
      </c>
      <c r="F18" s="447" t="s">
        <v>561</v>
      </c>
      <c r="G18" s="447" t="s">
        <v>561</v>
      </c>
      <c r="H18" s="564"/>
      <c r="I18" s="443"/>
      <c r="J18" s="443"/>
      <c r="K18" s="443"/>
      <c r="L18" s="564"/>
      <c r="M18" s="445" t="e">
        <f>RANK(K18, K$7:$K$21)</f>
        <v>#N/A</v>
      </c>
      <c r="N18" s="559"/>
      <c r="O18" s="559"/>
      <c r="P18" s="443" t="s">
        <v>561</v>
      </c>
      <c r="Q18" s="447" t="s">
        <v>561</v>
      </c>
      <c r="R18" s="447" t="s">
        <v>561</v>
      </c>
      <c r="S18" s="443" t="e">
        <f t="shared" si="6"/>
        <v>#VALUE!</v>
      </c>
      <c r="T18" s="588"/>
      <c r="U18" s="443"/>
      <c r="V18" s="447"/>
      <c r="W18" s="447"/>
      <c r="X18" s="443" t="e">
        <f t="shared" si="7"/>
        <v>#N/A</v>
      </c>
      <c r="Y18" s="588"/>
      <c r="Z18" s="443"/>
      <c r="AA18" s="447"/>
      <c r="AB18" s="447"/>
      <c r="AC18" s="443" t="e">
        <f t="shared" si="8"/>
        <v>#N/A</v>
      </c>
      <c r="AD18" s="588"/>
      <c r="AE18" s="443"/>
      <c r="AF18" s="447"/>
      <c r="AG18" s="447"/>
      <c r="AH18" s="443" t="e">
        <f t="shared" si="9"/>
        <v>#N/A</v>
      </c>
      <c r="AI18" s="588"/>
      <c r="AJ18" s="443"/>
      <c r="AK18" s="447"/>
      <c r="AL18" s="447"/>
      <c r="AM18" s="443" t="e">
        <f t="shared" si="10"/>
        <v>#N/A</v>
      </c>
      <c r="AN18" s="588"/>
      <c r="AO18" s="443"/>
      <c r="AP18" s="447"/>
      <c r="AQ18" s="447"/>
      <c r="AR18" s="443" t="e">
        <f t="shared" si="11"/>
        <v>#N/A</v>
      </c>
      <c r="AS18" s="588"/>
      <c r="AT18" s="443"/>
      <c r="AU18" s="447"/>
      <c r="AV18" s="447"/>
      <c r="AW18" s="443" t="e">
        <f t="shared" si="12"/>
        <v>#N/A</v>
      </c>
      <c r="AX18" s="588"/>
      <c r="AZ18" s="314" t="e">
        <f>RANK(AX18, $K$7:AX$21)</f>
        <v>#N/A</v>
      </c>
      <c r="BB18" s="311" t="e">
        <f t="shared" si="13"/>
        <v>#N/A</v>
      </c>
    </row>
    <row r="19" spans="2:54">
      <c r="B19" s="599"/>
      <c r="C19" s="443">
        <v>13</v>
      </c>
      <c r="D19" s="435"/>
      <c r="E19" s="447" t="s">
        <v>561</v>
      </c>
      <c r="F19" s="447" t="s">
        <v>561</v>
      </c>
      <c r="G19" s="447" t="s">
        <v>561</v>
      </c>
      <c r="H19" s="564"/>
      <c r="I19" s="443"/>
      <c r="J19" s="443"/>
      <c r="K19" s="443"/>
      <c r="L19" s="564"/>
      <c r="M19" s="445" t="e">
        <f>RANK(K19, K$7:$K$21)</f>
        <v>#N/A</v>
      </c>
      <c r="N19" s="559"/>
      <c r="O19" s="559"/>
      <c r="P19" s="443" t="s">
        <v>561</v>
      </c>
      <c r="Q19" s="447" t="s">
        <v>561</v>
      </c>
      <c r="R19" s="447" t="s">
        <v>561</v>
      </c>
      <c r="S19" s="443" t="e">
        <f t="shared" si="6"/>
        <v>#VALUE!</v>
      </c>
      <c r="T19" s="588"/>
      <c r="U19" s="443"/>
      <c r="V19" s="447"/>
      <c r="W19" s="447"/>
      <c r="X19" s="443" t="e">
        <f t="shared" si="7"/>
        <v>#N/A</v>
      </c>
      <c r="Y19" s="588"/>
      <c r="Z19" s="443"/>
      <c r="AA19" s="447"/>
      <c r="AB19" s="447"/>
      <c r="AC19" s="443" t="e">
        <f t="shared" si="8"/>
        <v>#N/A</v>
      </c>
      <c r="AD19" s="588"/>
      <c r="AE19" s="443"/>
      <c r="AF19" s="447"/>
      <c r="AG19" s="447"/>
      <c r="AH19" s="443" t="e">
        <f t="shared" si="9"/>
        <v>#N/A</v>
      </c>
      <c r="AI19" s="588"/>
      <c r="AJ19" s="443"/>
      <c r="AK19" s="447"/>
      <c r="AL19" s="447"/>
      <c r="AM19" s="443" t="e">
        <f t="shared" si="10"/>
        <v>#N/A</v>
      </c>
      <c r="AN19" s="588"/>
      <c r="AO19" s="443"/>
      <c r="AP19" s="447"/>
      <c r="AQ19" s="447"/>
      <c r="AR19" s="443" t="e">
        <f t="shared" si="11"/>
        <v>#N/A</v>
      </c>
      <c r="AS19" s="588"/>
      <c r="AT19" s="443"/>
      <c r="AU19" s="447"/>
      <c r="AV19" s="447"/>
      <c r="AW19" s="443" t="e">
        <f t="shared" si="12"/>
        <v>#N/A</v>
      </c>
      <c r="AX19" s="588"/>
      <c r="AZ19" s="314" t="e">
        <f>RANK(AX19, $K$7:AX$21)</f>
        <v>#N/A</v>
      </c>
      <c r="BB19" s="311" t="e">
        <f t="shared" si="13"/>
        <v>#N/A</v>
      </c>
    </row>
    <row r="20" spans="2:54">
      <c r="B20" s="599"/>
      <c r="C20" s="443">
        <v>14</v>
      </c>
      <c r="D20" s="435"/>
      <c r="E20" s="447" t="s">
        <v>561</v>
      </c>
      <c r="F20" s="447" t="s">
        <v>561</v>
      </c>
      <c r="G20" s="447" t="s">
        <v>561</v>
      </c>
      <c r="H20" s="564"/>
      <c r="I20" s="443"/>
      <c r="J20" s="443"/>
      <c r="K20" s="443"/>
      <c r="L20" s="564"/>
      <c r="M20" s="445" t="e">
        <f>RANK(K20, K$7:$K$21)</f>
        <v>#N/A</v>
      </c>
      <c r="N20" s="559"/>
      <c r="O20" s="559"/>
      <c r="P20" s="443" t="s">
        <v>561</v>
      </c>
      <c r="Q20" s="447" t="s">
        <v>561</v>
      </c>
      <c r="R20" s="447" t="s">
        <v>561</v>
      </c>
      <c r="S20" s="443" t="e">
        <f t="shared" si="6"/>
        <v>#VALUE!</v>
      </c>
      <c r="T20" s="588"/>
      <c r="U20" s="443"/>
      <c r="V20" s="447"/>
      <c r="W20" s="447"/>
      <c r="X20" s="443" t="e">
        <f t="shared" si="7"/>
        <v>#N/A</v>
      </c>
      <c r="Y20" s="588"/>
      <c r="Z20" s="443"/>
      <c r="AA20" s="447"/>
      <c r="AB20" s="447"/>
      <c r="AC20" s="443" t="e">
        <f t="shared" si="8"/>
        <v>#N/A</v>
      </c>
      <c r="AD20" s="588"/>
      <c r="AE20" s="443"/>
      <c r="AF20" s="447"/>
      <c r="AG20" s="447"/>
      <c r="AH20" s="443" t="e">
        <f t="shared" si="9"/>
        <v>#N/A</v>
      </c>
      <c r="AI20" s="588"/>
      <c r="AJ20" s="443"/>
      <c r="AK20" s="447"/>
      <c r="AL20" s="447"/>
      <c r="AM20" s="443" t="e">
        <f t="shared" si="10"/>
        <v>#N/A</v>
      </c>
      <c r="AN20" s="588"/>
      <c r="AO20" s="443"/>
      <c r="AP20" s="447"/>
      <c r="AQ20" s="447"/>
      <c r="AR20" s="443" t="e">
        <f t="shared" si="11"/>
        <v>#N/A</v>
      </c>
      <c r="AS20" s="588"/>
      <c r="AT20" s="443"/>
      <c r="AU20" s="447"/>
      <c r="AV20" s="447"/>
      <c r="AW20" s="443" t="e">
        <f t="shared" si="12"/>
        <v>#N/A</v>
      </c>
      <c r="AX20" s="588"/>
      <c r="AZ20" s="314" t="e">
        <f>RANK(AX20, $K$7:AX$21)</f>
        <v>#N/A</v>
      </c>
      <c r="BB20" s="311" t="e">
        <f t="shared" si="13"/>
        <v>#N/A</v>
      </c>
    </row>
    <row r="21" spans="2:54">
      <c r="B21" s="599"/>
      <c r="C21" s="443">
        <v>15</v>
      </c>
      <c r="D21" s="435"/>
      <c r="E21" s="447" t="s">
        <v>561</v>
      </c>
      <c r="F21" s="447" t="s">
        <v>561</v>
      </c>
      <c r="G21" s="447" t="s">
        <v>561</v>
      </c>
      <c r="H21" s="616"/>
      <c r="I21" s="443"/>
      <c r="J21" s="443"/>
      <c r="K21" s="443"/>
      <c r="L21" s="616"/>
      <c r="M21" s="445" t="e">
        <f>RANK(K21, K$7:$K$21)</f>
        <v>#N/A</v>
      </c>
      <c r="N21" s="559"/>
      <c r="O21" s="559"/>
      <c r="P21" s="443" t="s">
        <v>561</v>
      </c>
      <c r="Q21" s="447" t="s">
        <v>561</v>
      </c>
      <c r="R21" s="447" t="s">
        <v>561</v>
      </c>
      <c r="S21" s="443" t="e">
        <f t="shared" si="6"/>
        <v>#VALUE!</v>
      </c>
      <c r="T21" s="588"/>
      <c r="U21" s="443"/>
      <c r="V21" s="447"/>
      <c r="W21" s="447"/>
      <c r="X21" s="443" t="e">
        <f t="shared" si="7"/>
        <v>#N/A</v>
      </c>
      <c r="Y21" s="588"/>
      <c r="Z21" s="443"/>
      <c r="AA21" s="447"/>
      <c r="AB21" s="447"/>
      <c r="AC21" s="443" t="e">
        <f t="shared" si="8"/>
        <v>#N/A</v>
      </c>
      <c r="AD21" s="588"/>
      <c r="AE21" s="443"/>
      <c r="AF21" s="447"/>
      <c r="AG21" s="447"/>
      <c r="AH21" s="443" t="e">
        <f t="shared" si="9"/>
        <v>#N/A</v>
      </c>
      <c r="AI21" s="588"/>
      <c r="AJ21" s="443"/>
      <c r="AK21" s="447"/>
      <c r="AL21" s="447"/>
      <c r="AM21" s="443" t="e">
        <f t="shared" si="10"/>
        <v>#N/A</v>
      </c>
      <c r="AN21" s="588"/>
      <c r="AO21" s="443"/>
      <c r="AP21" s="447"/>
      <c r="AQ21" s="447"/>
      <c r="AR21" s="443" t="e">
        <f t="shared" si="11"/>
        <v>#N/A</v>
      </c>
      <c r="AS21" s="588"/>
      <c r="AT21" s="443"/>
      <c r="AU21" s="447"/>
      <c r="AV21" s="447"/>
      <c r="AW21" s="443" t="e">
        <f t="shared" si="12"/>
        <v>#N/A</v>
      </c>
      <c r="AX21" s="588"/>
      <c r="AZ21" s="313" t="e">
        <f>RANK(AX21, $K$7:AX$21)</f>
        <v>#N/A</v>
      </c>
      <c r="BB21" s="311" t="e">
        <f t="shared" si="13"/>
        <v>#N/A</v>
      </c>
    </row>
    <row r="22" spans="2:54" ht="15.75">
      <c r="B22" s="592" t="s">
        <v>731</v>
      </c>
      <c r="C22" s="593"/>
      <c r="D22" s="593"/>
      <c r="E22" s="593"/>
      <c r="F22" s="593"/>
      <c r="G22" s="593"/>
      <c r="H22" s="593"/>
      <c r="I22" s="203"/>
      <c r="J22" s="203"/>
      <c r="K22" s="203"/>
      <c r="L22" s="203"/>
      <c r="M22" s="204"/>
      <c r="N22" s="565" t="s">
        <v>732</v>
      </c>
      <c r="O22" s="565" t="s">
        <v>733</v>
      </c>
      <c r="P22" s="571">
        <f>AT2+1</f>
        <v>6</v>
      </c>
      <c r="Q22" s="572"/>
      <c r="R22" s="572"/>
      <c r="S22" s="572"/>
      <c r="T22" s="572"/>
      <c r="U22" s="571">
        <f>P22+1</f>
        <v>7</v>
      </c>
      <c r="V22" s="572"/>
      <c r="W22" s="572"/>
      <c r="X22" s="572"/>
      <c r="Y22" s="572"/>
      <c r="Z22" s="571">
        <f>U22+1</f>
        <v>8</v>
      </c>
      <c r="AA22" s="572"/>
      <c r="AB22" s="572"/>
      <c r="AC22" s="572"/>
      <c r="AD22" s="572"/>
      <c r="AE22" s="571">
        <f>Z22+1</f>
        <v>9</v>
      </c>
      <c r="AF22" s="572"/>
      <c r="AG22" s="572"/>
      <c r="AH22" s="572"/>
      <c r="AI22" s="572"/>
      <c r="AJ22" s="571">
        <f>AE22+1</f>
        <v>10</v>
      </c>
      <c r="AK22" s="572"/>
      <c r="AL22" s="572"/>
      <c r="AM22" s="572"/>
      <c r="AN22" s="572"/>
      <c r="AO22" s="571">
        <f>AJ22+1</f>
        <v>11</v>
      </c>
      <c r="AP22" s="572"/>
      <c r="AQ22" s="572"/>
      <c r="AR22" s="572"/>
      <c r="AS22" s="572"/>
      <c r="AT22" s="571">
        <f>AO22+1</f>
        <v>12</v>
      </c>
      <c r="AU22" s="572"/>
      <c r="AV22" s="572"/>
      <c r="AW22" s="572"/>
      <c r="AX22" s="572"/>
    </row>
    <row r="23" spans="2:54" ht="15.75">
      <c r="B23" s="579"/>
      <c r="C23" s="579"/>
      <c r="D23" s="579"/>
      <c r="E23" s="579"/>
      <c r="F23" s="579"/>
      <c r="G23" s="579"/>
      <c r="H23" s="579"/>
      <c r="I23" s="205"/>
      <c r="J23" s="205"/>
      <c r="K23" s="205"/>
      <c r="L23" s="205"/>
      <c r="M23" s="206"/>
      <c r="N23" s="567"/>
      <c r="O23" s="567"/>
      <c r="P23" s="571" t="s">
        <v>734</v>
      </c>
      <c r="Q23" s="572"/>
      <c r="R23" s="572"/>
      <c r="S23" s="572"/>
      <c r="T23" s="572"/>
      <c r="U23" s="571" t="s">
        <v>735</v>
      </c>
      <c r="V23" s="572"/>
      <c r="W23" s="572"/>
      <c r="X23" s="572"/>
      <c r="Y23" s="572"/>
      <c r="Z23" s="571" t="s">
        <v>736</v>
      </c>
      <c r="AA23" s="572"/>
      <c r="AB23" s="572"/>
      <c r="AC23" s="572"/>
      <c r="AD23" s="572"/>
      <c r="AE23" s="571" t="s">
        <v>737</v>
      </c>
      <c r="AF23" s="572"/>
      <c r="AG23" s="572"/>
      <c r="AH23" s="572"/>
      <c r="AI23" s="572"/>
      <c r="AJ23" s="571" t="s">
        <v>738</v>
      </c>
      <c r="AK23" s="572"/>
      <c r="AL23" s="572"/>
      <c r="AM23" s="572"/>
      <c r="AN23" s="572"/>
      <c r="AO23" s="571" t="s">
        <v>739</v>
      </c>
      <c r="AP23" s="572"/>
      <c r="AQ23" s="572"/>
      <c r="AR23" s="572"/>
      <c r="AS23" s="572"/>
      <c r="AT23" s="571" t="s">
        <v>740</v>
      </c>
      <c r="AU23" s="572"/>
      <c r="AV23" s="572"/>
      <c r="AW23" s="572"/>
      <c r="AX23" s="572"/>
    </row>
    <row r="24" spans="2:54">
      <c r="B24" s="559" t="s">
        <v>741</v>
      </c>
      <c r="C24" s="559" t="s">
        <v>742</v>
      </c>
      <c r="D24" s="559"/>
      <c r="E24" s="559" t="s">
        <v>743</v>
      </c>
      <c r="F24" s="559"/>
      <c r="G24" s="559"/>
      <c r="H24" s="560" t="s">
        <v>744</v>
      </c>
      <c r="I24" s="543" t="s">
        <v>745</v>
      </c>
      <c r="J24" s="543"/>
      <c r="K24" s="543"/>
      <c r="L24" s="544" t="s">
        <v>744</v>
      </c>
      <c r="M24" s="550" t="s">
        <v>746</v>
      </c>
      <c r="N24" s="559"/>
      <c r="O24" s="559" t="s">
        <v>747</v>
      </c>
      <c r="P24" s="556" t="s">
        <v>748</v>
      </c>
      <c r="Q24" s="557"/>
      <c r="R24" s="557"/>
      <c r="S24" s="558"/>
      <c r="T24" s="559" t="s">
        <v>744</v>
      </c>
      <c r="U24" s="556" t="s">
        <v>748</v>
      </c>
      <c r="V24" s="557"/>
      <c r="W24" s="557"/>
      <c r="X24" s="558"/>
      <c r="Y24" s="559" t="s">
        <v>744</v>
      </c>
      <c r="Z24" s="556" t="s">
        <v>748</v>
      </c>
      <c r="AA24" s="557"/>
      <c r="AB24" s="557"/>
      <c r="AC24" s="558"/>
      <c r="AD24" s="559" t="s">
        <v>744</v>
      </c>
      <c r="AE24" s="556" t="s">
        <v>748</v>
      </c>
      <c r="AF24" s="557"/>
      <c r="AG24" s="557"/>
      <c r="AH24" s="558"/>
      <c r="AI24" s="559" t="s">
        <v>744</v>
      </c>
      <c r="AJ24" s="556" t="s">
        <v>748</v>
      </c>
      <c r="AK24" s="557"/>
      <c r="AL24" s="557"/>
      <c r="AM24" s="558"/>
      <c r="AN24" s="559" t="s">
        <v>744</v>
      </c>
      <c r="AO24" s="556" t="s">
        <v>748</v>
      </c>
      <c r="AP24" s="557"/>
      <c r="AQ24" s="557"/>
      <c r="AR24" s="558"/>
      <c r="AS24" s="559" t="s">
        <v>744</v>
      </c>
      <c r="AT24" s="556" t="s">
        <v>748</v>
      </c>
      <c r="AU24" s="557"/>
      <c r="AV24" s="557"/>
      <c r="AW24" s="558"/>
      <c r="AX24" s="559" t="s">
        <v>744</v>
      </c>
    </row>
    <row r="25" spans="2:54">
      <c r="B25" s="559"/>
      <c r="C25" s="559"/>
      <c r="D25" s="559"/>
      <c r="E25" s="559" t="s">
        <v>749</v>
      </c>
      <c r="F25" s="559"/>
      <c r="G25" s="559"/>
      <c r="H25" s="561"/>
      <c r="I25" s="543" t="s">
        <v>749</v>
      </c>
      <c r="J25" s="543"/>
      <c r="K25" s="543"/>
      <c r="L25" s="545"/>
      <c r="M25" s="551"/>
      <c r="N25" s="559"/>
      <c r="O25" s="559"/>
      <c r="P25" s="556" t="s">
        <v>750</v>
      </c>
      <c r="Q25" s="557"/>
      <c r="R25" s="557"/>
      <c r="S25" s="558"/>
      <c r="T25" s="559"/>
      <c r="U25" s="556" t="s">
        <v>750</v>
      </c>
      <c r="V25" s="557"/>
      <c r="W25" s="557"/>
      <c r="X25" s="558"/>
      <c r="Y25" s="559"/>
      <c r="Z25" s="556" t="s">
        <v>750</v>
      </c>
      <c r="AA25" s="557"/>
      <c r="AB25" s="557"/>
      <c r="AC25" s="558"/>
      <c r="AD25" s="559"/>
      <c r="AE25" s="556" t="s">
        <v>750</v>
      </c>
      <c r="AF25" s="557"/>
      <c r="AG25" s="557"/>
      <c r="AH25" s="558"/>
      <c r="AI25" s="559"/>
      <c r="AJ25" s="556" t="s">
        <v>750</v>
      </c>
      <c r="AK25" s="557"/>
      <c r="AL25" s="557"/>
      <c r="AM25" s="558"/>
      <c r="AN25" s="559"/>
      <c r="AO25" s="556" t="s">
        <v>750</v>
      </c>
      <c r="AP25" s="557"/>
      <c r="AQ25" s="557"/>
      <c r="AR25" s="558"/>
      <c r="AS25" s="559"/>
      <c r="AT25" s="556" t="s">
        <v>750</v>
      </c>
      <c r="AU25" s="557"/>
      <c r="AV25" s="557"/>
      <c r="AW25" s="558"/>
      <c r="AX25" s="559"/>
    </row>
    <row r="26" spans="2:54">
      <c r="B26" s="559"/>
      <c r="C26" s="559"/>
      <c r="D26" s="559"/>
      <c r="E26" s="440" t="s">
        <v>751</v>
      </c>
      <c r="F26" s="440" t="s">
        <v>752</v>
      </c>
      <c r="G26" s="440" t="s">
        <v>753</v>
      </c>
      <c r="H26" s="562"/>
      <c r="I26" s="444" t="s">
        <v>751</v>
      </c>
      <c r="J26" s="444" t="s">
        <v>752</v>
      </c>
      <c r="K26" s="444" t="s">
        <v>753</v>
      </c>
      <c r="L26" s="546"/>
      <c r="M26" s="552"/>
      <c r="N26" s="559"/>
      <c r="O26" s="559"/>
      <c r="P26" s="440" t="s">
        <v>751</v>
      </c>
      <c r="Q26" s="440" t="s">
        <v>752</v>
      </c>
      <c r="R26" s="440" t="s">
        <v>753</v>
      </c>
      <c r="S26" s="440" t="s">
        <v>746</v>
      </c>
      <c r="T26" s="559"/>
      <c r="U26" s="440" t="s">
        <v>751</v>
      </c>
      <c r="V26" s="440" t="s">
        <v>752</v>
      </c>
      <c r="W26" s="440" t="s">
        <v>753</v>
      </c>
      <c r="X26" s="440" t="s">
        <v>746</v>
      </c>
      <c r="Y26" s="559"/>
      <c r="Z26" s="440" t="s">
        <v>751</v>
      </c>
      <c r="AA26" s="440" t="s">
        <v>752</v>
      </c>
      <c r="AB26" s="440" t="s">
        <v>753</v>
      </c>
      <c r="AC26" s="440" t="s">
        <v>746</v>
      </c>
      <c r="AD26" s="559"/>
      <c r="AE26" s="440" t="s">
        <v>751</v>
      </c>
      <c r="AF26" s="440" t="s">
        <v>752</v>
      </c>
      <c r="AG26" s="440" t="s">
        <v>753</v>
      </c>
      <c r="AH26" s="440" t="s">
        <v>746</v>
      </c>
      <c r="AI26" s="559"/>
      <c r="AJ26" s="440" t="s">
        <v>751</v>
      </c>
      <c r="AK26" s="440" t="s">
        <v>752</v>
      </c>
      <c r="AL26" s="440" t="s">
        <v>753</v>
      </c>
      <c r="AM26" s="440" t="s">
        <v>746</v>
      </c>
      <c r="AN26" s="559"/>
      <c r="AO26" s="440" t="s">
        <v>751</v>
      </c>
      <c r="AP26" s="440" t="s">
        <v>752</v>
      </c>
      <c r="AQ26" s="440" t="s">
        <v>753</v>
      </c>
      <c r="AR26" s="440" t="s">
        <v>746</v>
      </c>
      <c r="AS26" s="559"/>
      <c r="AT26" s="440" t="s">
        <v>751</v>
      </c>
      <c r="AU26" s="440" t="s">
        <v>752</v>
      </c>
      <c r="AV26" s="440" t="s">
        <v>753</v>
      </c>
      <c r="AW26" s="440" t="s">
        <v>746</v>
      </c>
      <c r="AX26" s="559"/>
    </row>
    <row r="27" spans="2:54">
      <c r="B27" s="559" t="s">
        <v>816</v>
      </c>
      <c r="C27" s="436">
        <v>1</v>
      </c>
      <c r="D27" s="226" t="s">
        <v>396</v>
      </c>
      <c r="E27" s="182">
        <v>6</v>
      </c>
      <c r="F27" s="436">
        <v>1500</v>
      </c>
      <c r="G27" s="437">
        <v>250</v>
      </c>
      <c r="H27" s="608">
        <f>AVERAGE(G27:G41)</f>
        <v>140.15</v>
      </c>
      <c r="I27" s="446">
        <f t="shared" ref="I27:K34" si="14">AVERAGE(P27,U27,Z27,AE27,AJ27,AO27,AT27)</f>
        <v>7</v>
      </c>
      <c r="J27" s="446">
        <f t="shared" si="14"/>
        <v>1336.5721823185338</v>
      </c>
      <c r="K27" s="438">
        <f t="shared" si="14"/>
        <v>190.93888318836193</v>
      </c>
      <c r="L27" s="540">
        <f>IFERROR(AVERAGE(K27:K41),"-")</f>
        <v>116.59143202121402</v>
      </c>
      <c r="M27" s="445">
        <f>RANK(K27, K$27:$K$41)</f>
        <v>3</v>
      </c>
      <c r="N27" s="559"/>
      <c r="O27" s="559"/>
      <c r="P27" s="443">
        <v>7</v>
      </c>
      <c r="Q27" s="447">
        <v>1322.9629629629633</v>
      </c>
      <c r="R27" s="447">
        <v>188.99470899470904</v>
      </c>
      <c r="S27" s="436">
        <f t="shared" ref="S27:S41" si="15">RANK(R27, R$27:R$41)</f>
        <v>3</v>
      </c>
      <c r="T27" s="573">
        <f>AVERAGE(R27:R41)</f>
        <v>116.92181328614303</v>
      </c>
      <c r="U27" s="443">
        <v>7</v>
      </c>
      <c r="V27" s="447">
        <v>1347</v>
      </c>
      <c r="W27" s="447">
        <v>192.42857142857142</v>
      </c>
      <c r="X27" s="436">
        <f t="shared" ref="X27:X41" si="16">RANK(W27, W$27:W$41)</f>
        <v>3</v>
      </c>
      <c r="Y27" s="573">
        <f t="shared" ref="Y27" si="17">AVERAGE(W27:W41)</f>
        <v>117.84420400159475</v>
      </c>
      <c r="Z27" s="443">
        <v>7</v>
      </c>
      <c r="AA27" s="447">
        <v>1348.7999999999997</v>
      </c>
      <c r="AB27" s="447">
        <v>192.68571428571425</v>
      </c>
      <c r="AC27" s="436">
        <f t="shared" ref="AC27:AC41" si="18">RANK(AB27, AB$27:AB$41)</f>
        <v>3</v>
      </c>
      <c r="AD27" s="573">
        <f t="shared" ref="AD27" si="19">AVERAGE(AB27:AB41)</f>
        <v>115.75281471117019</v>
      </c>
      <c r="AE27" s="443">
        <v>7</v>
      </c>
      <c r="AF27" s="447">
        <v>1348.4745762711866</v>
      </c>
      <c r="AG27" s="447">
        <v>192.63922518159808</v>
      </c>
      <c r="AH27" s="436">
        <f t="shared" ref="AH27:AH41" si="20">RANK(AG27, AG$27:AG$41)</f>
        <v>3</v>
      </c>
      <c r="AI27" s="573">
        <f t="shared" ref="AI27" si="21">AVERAGE(AG27:AG41)</f>
        <v>116.30165403325491</v>
      </c>
      <c r="AJ27" s="443">
        <v>7</v>
      </c>
      <c r="AK27" s="447">
        <v>1329.5238095238099</v>
      </c>
      <c r="AL27" s="447">
        <v>189.93197278911569</v>
      </c>
      <c r="AM27" s="436">
        <f t="shared" ref="AM27:AM41" si="22">RANK(AL27, AL$27:AL$41)</f>
        <v>3</v>
      </c>
      <c r="AN27" s="573">
        <f t="shared" ref="AN27" si="23">AVERAGE(AL27:AL41)</f>
        <v>117.71048468241145</v>
      </c>
      <c r="AO27" s="443">
        <v>7</v>
      </c>
      <c r="AP27" s="447">
        <v>1324.0540540540539</v>
      </c>
      <c r="AQ27" s="447">
        <v>189.15057915057915</v>
      </c>
      <c r="AR27" s="436">
        <f t="shared" ref="AR27:AR41" si="24">RANK(AQ27, AQ$27:AQ$41)</f>
        <v>3</v>
      </c>
      <c r="AS27" s="573">
        <f t="shared" ref="AS27" si="25">AVERAGE(AQ27:AQ41)</f>
        <v>113.96521301345152</v>
      </c>
      <c r="AT27" s="182">
        <v>7</v>
      </c>
      <c r="AU27" s="182">
        <v>1335.1898734177216</v>
      </c>
      <c r="AV27" s="437">
        <v>190.74141048824595</v>
      </c>
      <c r="AW27" s="436">
        <f t="shared" ref="AW27:AW41" si="26">RANK(AV27, AV$27:AV$41)</f>
        <v>3</v>
      </c>
      <c r="AX27" s="605">
        <f t="shared" ref="AX27" si="27">AVERAGE(AV27:AV41)</f>
        <v>117.64384042047226</v>
      </c>
    </row>
    <row r="28" spans="2:54">
      <c r="B28" s="572"/>
      <c r="C28" s="436">
        <v>2</v>
      </c>
      <c r="D28" s="226" t="s">
        <v>397</v>
      </c>
      <c r="E28" s="182">
        <v>6</v>
      </c>
      <c r="F28" s="436">
        <v>1500</v>
      </c>
      <c r="G28" s="437">
        <v>250</v>
      </c>
      <c r="H28" s="609"/>
      <c r="I28" s="446">
        <f t="shared" si="14"/>
        <v>7</v>
      </c>
      <c r="J28" s="446">
        <f t="shared" si="14"/>
        <v>1481.4685707457124</v>
      </c>
      <c r="K28" s="438">
        <f t="shared" si="14"/>
        <v>211.63836724938747</v>
      </c>
      <c r="L28" s="541"/>
      <c r="M28" s="445">
        <f>RANK(K28, K$27:$K$41)</f>
        <v>2</v>
      </c>
      <c r="N28" s="559"/>
      <c r="O28" s="559"/>
      <c r="P28" s="443">
        <v>7</v>
      </c>
      <c r="Q28" s="447">
        <v>1458.4615384615386</v>
      </c>
      <c r="R28" s="447">
        <v>208.35164835164838</v>
      </c>
      <c r="S28" s="436">
        <f t="shared" si="15"/>
        <v>2</v>
      </c>
      <c r="T28" s="574"/>
      <c r="U28" s="443">
        <v>7</v>
      </c>
      <c r="V28" s="447">
        <v>1486.7213114754093</v>
      </c>
      <c r="W28" s="447">
        <v>212.38875878220134</v>
      </c>
      <c r="X28" s="436">
        <f t="shared" si="16"/>
        <v>2</v>
      </c>
      <c r="Y28" s="574"/>
      <c r="Z28" s="443">
        <v>7</v>
      </c>
      <c r="AA28" s="447">
        <v>1475.294117647059</v>
      </c>
      <c r="AB28" s="447">
        <v>210.75630252100842</v>
      </c>
      <c r="AC28" s="436">
        <f t="shared" si="18"/>
        <v>2</v>
      </c>
      <c r="AD28" s="574"/>
      <c r="AE28" s="443">
        <v>7</v>
      </c>
      <c r="AF28" s="447">
        <v>1507.5789473684213</v>
      </c>
      <c r="AG28" s="447">
        <v>215.36842105263162</v>
      </c>
      <c r="AH28" s="436">
        <f t="shared" si="20"/>
        <v>1</v>
      </c>
      <c r="AI28" s="574"/>
      <c r="AJ28" s="443">
        <v>7</v>
      </c>
      <c r="AK28" s="447">
        <v>1482.1153846153841</v>
      </c>
      <c r="AL28" s="447">
        <v>211.73076923076914</v>
      </c>
      <c r="AM28" s="436">
        <f t="shared" si="22"/>
        <v>1</v>
      </c>
      <c r="AN28" s="574"/>
      <c r="AO28" s="443">
        <v>7</v>
      </c>
      <c r="AP28" s="447">
        <v>1457.5000000000002</v>
      </c>
      <c r="AQ28" s="447">
        <v>208.21428571428575</v>
      </c>
      <c r="AR28" s="436">
        <f t="shared" si="24"/>
        <v>2</v>
      </c>
      <c r="AS28" s="574"/>
      <c r="AT28" s="436">
        <v>7</v>
      </c>
      <c r="AU28" s="182">
        <v>1502.6086956521742</v>
      </c>
      <c r="AV28" s="437">
        <v>214.65838509316774</v>
      </c>
      <c r="AW28" s="436">
        <f t="shared" si="26"/>
        <v>1</v>
      </c>
      <c r="AX28" s="605"/>
    </row>
    <row r="29" spans="2:54">
      <c r="B29" s="572"/>
      <c r="C29" s="436">
        <v>3</v>
      </c>
      <c r="D29" s="226" t="s">
        <v>346</v>
      </c>
      <c r="E29" s="182">
        <v>19</v>
      </c>
      <c r="F29" s="436">
        <v>1500</v>
      </c>
      <c r="G29" s="437">
        <v>78.900000000000006</v>
      </c>
      <c r="H29" s="609"/>
      <c r="I29" s="446">
        <f t="shared" si="14"/>
        <v>18.428571428571427</v>
      </c>
      <c r="J29" s="446">
        <f t="shared" si="14"/>
        <v>1280.8036808492118</v>
      </c>
      <c r="K29" s="438">
        <f t="shared" si="14"/>
        <v>69.438332601782804</v>
      </c>
      <c r="L29" s="541"/>
      <c r="M29" s="445">
        <f>RANK(K29, K$27:$K$41)</f>
        <v>5</v>
      </c>
      <c r="N29" s="559"/>
      <c r="O29" s="559"/>
      <c r="P29" s="443">
        <v>18</v>
      </c>
      <c r="Q29" s="447">
        <v>1286.6129032258059</v>
      </c>
      <c r="R29" s="447">
        <v>71.478494623655877</v>
      </c>
      <c r="S29" s="436">
        <f t="shared" si="15"/>
        <v>5</v>
      </c>
      <c r="T29" s="574"/>
      <c r="U29" s="443">
        <v>19</v>
      </c>
      <c r="V29" s="447">
        <v>1261.860465116278</v>
      </c>
      <c r="W29" s="447">
        <v>66.413708690330424</v>
      </c>
      <c r="X29" s="436">
        <f t="shared" si="16"/>
        <v>6</v>
      </c>
      <c r="Y29" s="574"/>
      <c r="Z29" s="443">
        <v>18</v>
      </c>
      <c r="AA29" s="447">
        <v>1182.7272727272727</v>
      </c>
      <c r="AB29" s="447">
        <v>65.707070707070713</v>
      </c>
      <c r="AC29" s="436">
        <f t="shared" si="18"/>
        <v>4</v>
      </c>
      <c r="AD29" s="574"/>
      <c r="AE29" s="443">
        <v>18</v>
      </c>
      <c r="AF29" s="447">
        <v>1221.9642857142849</v>
      </c>
      <c r="AG29" s="447">
        <v>67.886904761904717</v>
      </c>
      <c r="AH29" s="436">
        <f t="shared" si="20"/>
        <v>4</v>
      </c>
      <c r="AI29" s="574"/>
      <c r="AJ29" s="443">
        <v>19</v>
      </c>
      <c r="AK29" s="447">
        <v>1514.5454545454563</v>
      </c>
      <c r="AL29" s="447">
        <v>79.712918660287173</v>
      </c>
      <c r="AM29" s="436">
        <f t="shared" si="22"/>
        <v>4</v>
      </c>
      <c r="AN29" s="574"/>
      <c r="AO29" s="443">
        <v>19</v>
      </c>
      <c r="AP29" s="447">
        <v>1335.1153846153843</v>
      </c>
      <c r="AQ29" s="447">
        <v>70.269230769230759</v>
      </c>
      <c r="AR29" s="436">
        <f t="shared" si="24"/>
        <v>4</v>
      </c>
      <c r="AS29" s="574"/>
      <c r="AT29" s="436">
        <v>18</v>
      </c>
      <c r="AU29" s="182">
        <v>1162.799999999999</v>
      </c>
      <c r="AV29" s="437">
        <v>64.599999999999952</v>
      </c>
      <c r="AW29" s="436">
        <f t="shared" si="26"/>
        <v>6</v>
      </c>
      <c r="AX29" s="605"/>
    </row>
    <row r="30" spans="2:54">
      <c r="B30" s="572"/>
      <c r="C30" s="436">
        <v>4</v>
      </c>
      <c r="D30" s="226" t="s">
        <v>398</v>
      </c>
      <c r="E30" s="182">
        <v>17</v>
      </c>
      <c r="F30" s="436">
        <v>1440</v>
      </c>
      <c r="G30" s="437">
        <v>84.7</v>
      </c>
      <c r="H30" s="609"/>
      <c r="I30" s="446">
        <f t="shared" si="14"/>
        <v>16.714285714285715</v>
      </c>
      <c r="J30" s="446">
        <f t="shared" si="14"/>
        <v>1190.6396591450825</v>
      </c>
      <c r="K30" s="438">
        <f t="shared" si="14"/>
        <v>71.350710640207197</v>
      </c>
      <c r="L30" s="541"/>
      <c r="M30" s="445">
        <f>RANK(K30, K$27:$K$41)</f>
        <v>4</v>
      </c>
      <c r="N30" s="559"/>
      <c r="O30" s="559"/>
      <c r="P30" s="443">
        <v>16</v>
      </c>
      <c r="Q30" s="447">
        <v>1248.3870967741948</v>
      </c>
      <c r="R30" s="447">
        <v>78.024193548387174</v>
      </c>
      <c r="S30" s="436">
        <f t="shared" si="15"/>
        <v>4</v>
      </c>
      <c r="T30" s="574"/>
      <c r="U30" s="443">
        <v>17</v>
      </c>
      <c r="V30" s="447">
        <v>1293.103448275863</v>
      </c>
      <c r="W30" s="447">
        <v>76.064908722109593</v>
      </c>
      <c r="X30" s="436">
        <f t="shared" si="16"/>
        <v>4</v>
      </c>
      <c r="Y30" s="574"/>
      <c r="Z30" s="443">
        <v>17</v>
      </c>
      <c r="AA30" s="447">
        <v>1093.1250000000014</v>
      </c>
      <c r="AB30" s="447">
        <v>64.301470588235375</v>
      </c>
      <c r="AC30" s="436">
        <f t="shared" si="18"/>
        <v>6</v>
      </c>
      <c r="AD30" s="574"/>
      <c r="AE30" s="443">
        <v>17</v>
      </c>
      <c r="AF30" s="447">
        <v>1104.0000000000005</v>
      </c>
      <c r="AG30" s="447">
        <v>64.94117647058826</v>
      </c>
      <c r="AH30" s="436">
        <f t="shared" si="20"/>
        <v>6</v>
      </c>
      <c r="AI30" s="574"/>
      <c r="AJ30" s="443">
        <v>17</v>
      </c>
      <c r="AK30" s="447">
        <v>1270.3448275862077</v>
      </c>
      <c r="AL30" s="447">
        <v>74.726166328600456</v>
      </c>
      <c r="AM30" s="436">
        <f t="shared" si="22"/>
        <v>5</v>
      </c>
      <c r="AN30" s="574"/>
      <c r="AO30" s="443">
        <v>17</v>
      </c>
      <c r="AP30" s="447">
        <v>1073.7931034482765</v>
      </c>
      <c r="AQ30" s="447">
        <v>63.164300202839797</v>
      </c>
      <c r="AR30" s="436">
        <f t="shared" si="24"/>
        <v>6</v>
      </c>
      <c r="AS30" s="574"/>
      <c r="AT30" s="436">
        <v>16</v>
      </c>
      <c r="AU30" s="182">
        <v>1251.7241379310353</v>
      </c>
      <c r="AV30" s="437">
        <v>78.232758620689708</v>
      </c>
      <c r="AW30" s="436">
        <f t="shared" si="26"/>
        <v>4</v>
      </c>
      <c r="AX30" s="605"/>
    </row>
    <row r="31" spans="2:54">
      <c r="B31" s="572"/>
      <c r="C31" s="436">
        <v>5</v>
      </c>
      <c r="D31" s="226" t="s">
        <v>442</v>
      </c>
      <c r="E31" s="182">
        <v>6</v>
      </c>
      <c r="F31" s="436">
        <v>1500</v>
      </c>
      <c r="G31" s="437">
        <v>250</v>
      </c>
      <c r="H31" s="609"/>
      <c r="I31" s="446">
        <f t="shared" si="14"/>
        <v>7</v>
      </c>
      <c r="J31" s="446">
        <f t="shared" si="14"/>
        <v>1492.2850016376037</v>
      </c>
      <c r="K31" s="438">
        <f t="shared" si="14"/>
        <v>213.18357166251479</v>
      </c>
      <c r="L31" s="541"/>
      <c r="M31" s="445">
        <f>RANK(K31, K$27:$K$41)</f>
        <v>1</v>
      </c>
      <c r="N31" s="559"/>
      <c r="O31" s="559"/>
      <c r="P31" s="443">
        <v>7</v>
      </c>
      <c r="Q31" s="447">
        <v>1479.056603773585</v>
      </c>
      <c r="R31" s="447">
        <v>211.29380053908358</v>
      </c>
      <c r="S31" s="436">
        <f t="shared" si="15"/>
        <v>1</v>
      </c>
      <c r="T31" s="574"/>
      <c r="U31" s="443">
        <v>7</v>
      </c>
      <c r="V31" s="447">
        <v>1507.4285714285716</v>
      </c>
      <c r="W31" s="447">
        <v>215.34693877551021</v>
      </c>
      <c r="X31" s="436">
        <f t="shared" si="16"/>
        <v>1</v>
      </c>
      <c r="Y31" s="574"/>
      <c r="Z31" s="443">
        <v>7</v>
      </c>
      <c r="AA31" s="447">
        <v>1507.0588235294117</v>
      </c>
      <c r="AB31" s="447">
        <v>215.29411764705881</v>
      </c>
      <c r="AC31" s="436">
        <f t="shared" si="18"/>
        <v>1</v>
      </c>
      <c r="AD31" s="574"/>
      <c r="AE31" s="443">
        <v>7</v>
      </c>
      <c r="AF31" s="447">
        <v>1497.1764705882358</v>
      </c>
      <c r="AG31" s="447">
        <v>213.88235294117655</v>
      </c>
      <c r="AH31" s="436">
        <f t="shared" si="20"/>
        <v>2</v>
      </c>
      <c r="AI31" s="574"/>
      <c r="AJ31" s="443">
        <v>7</v>
      </c>
      <c r="AK31" s="447">
        <v>1469.6629213483141</v>
      </c>
      <c r="AL31" s="447">
        <v>209.95184590690201</v>
      </c>
      <c r="AM31" s="436">
        <f t="shared" si="22"/>
        <v>2</v>
      </c>
      <c r="AN31" s="574"/>
      <c r="AO31" s="443">
        <v>7</v>
      </c>
      <c r="AP31" s="447">
        <v>1491.666666666667</v>
      </c>
      <c r="AQ31" s="447">
        <v>213.09523809523813</v>
      </c>
      <c r="AR31" s="436">
        <f t="shared" si="24"/>
        <v>1</v>
      </c>
      <c r="AS31" s="574"/>
      <c r="AT31" s="436">
        <v>7</v>
      </c>
      <c r="AU31" s="182">
        <v>1493.9449541284407</v>
      </c>
      <c r="AV31" s="437">
        <v>213.42070773263438</v>
      </c>
      <c r="AW31" s="436">
        <f t="shared" si="26"/>
        <v>2</v>
      </c>
      <c r="AX31" s="605"/>
    </row>
    <row r="32" spans="2:54">
      <c r="B32" s="572"/>
      <c r="C32" s="436">
        <v>6</v>
      </c>
      <c r="D32" s="226" t="s">
        <v>468</v>
      </c>
      <c r="E32" s="182">
        <v>19</v>
      </c>
      <c r="F32" s="436">
        <v>1440</v>
      </c>
      <c r="G32" s="437">
        <v>75.8</v>
      </c>
      <c r="H32" s="609"/>
      <c r="I32" s="446">
        <f t="shared" si="14"/>
        <v>19</v>
      </c>
      <c r="J32" s="446">
        <f t="shared" si="14"/>
        <v>1276.3988072682655</v>
      </c>
      <c r="K32" s="438">
        <f t="shared" si="14"/>
        <v>67.178884593066599</v>
      </c>
      <c r="L32" s="541"/>
      <c r="M32" s="445">
        <f>RANK(K32, K$27:$K$41)</f>
        <v>6</v>
      </c>
      <c r="N32" s="559"/>
      <c r="O32" s="559"/>
      <c r="P32" s="443">
        <v>19</v>
      </c>
      <c r="Q32" s="447">
        <v>1273.9285714285722</v>
      </c>
      <c r="R32" s="447">
        <v>67.04887218045117</v>
      </c>
      <c r="S32" s="436">
        <f t="shared" si="15"/>
        <v>6</v>
      </c>
      <c r="T32" s="574"/>
      <c r="U32" s="443">
        <v>19</v>
      </c>
      <c r="V32" s="447">
        <v>1289.9999999999993</v>
      </c>
      <c r="W32" s="447">
        <v>67.894736842105232</v>
      </c>
      <c r="X32" s="436">
        <f t="shared" si="16"/>
        <v>5</v>
      </c>
      <c r="Y32" s="574"/>
      <c r="Z32" s="443">
        <v>19</v>
      </c>
      <c r="AA32" s="447">
        <v>1246.5517241379303</v>
      </c>
      <c r="AB32" s="447">
        <v>65.607985480943697</v>
      </c>
      <c r="AC32" s="436">
        <f t="shared" si="18"/>
        <v>5</v>
      </c>
      <c r="AD32" s="574"/>
      <c r="AE32" s="443">
        <v>19</v>
      </c>
      <c r="AF32" s="447">
        <v>1256.9999999999995</v>
      </c>
      <c r="AG32" s="447">
        <v>66.157894736842081</v>
      </c>
      <c r="AH32" s="436">
        <f t="shared" si="20"/>
        <v>5</v>
      </c>
      <c r="AI32" s="574"/>
      <c r="AJ32" s="443">
        <v>19</v>
      </c>
      <c r="AK32" s="447">
        <v>1294.2857142857147</v>
      </c>
      <c r="AL32" s="447">
        <v>68.120300751879725</v>
      </c>
      <c r="AM32" s="436">
        <f t="shared" si="22"/>
        <v>6</v>
      </c>
      <c r="AN32" s="574"/>
      <c r="AO32" s="443">
        <v>19</v>
      </c>
      <c r="AP32" s="447">
        <v>1285.3333333333333</v>
      </c>
      <c r="AQ32" s="447">
        <v>67.649122807017534</v>
      </c>
      <c r="AR32" s="436">
        <f t="shared" si="24"/>
        <v>5</v>
      </c>
      <c r="AS32" s="574"/>
      <c r="AT32" s="436">
        <v>19</v>
      </c>
      <c r="AU32" s="182">
        <v>1287.6923076923085</v>
      </c>
      <c r="AV32" s="437">
        <v>67.773279352226766</v>
      </c>
      <c r="AW32" s="436">
        <f t="shared" si="26"/>
        <v>5</v>
      </c>
      <c r="AX32" s="605"/>
    </row>
    <row r="33" spans="2:50">
      <c r="B33" s="572"/>
      <c r="C33" s="436">
        <v>7</v>
      </c>
      <c r="D33" s="226" t="s">
        <v>488</v>
      </c>
      <c r="E33" s="182">
        <v>21</v>
      </c>
      <c r="F33" s="436">
        <v>1385</v>
      </c>
      <c r="G33" s="437">
        <v>65.900000000000006</v>
      </c>
      <c r="H33" s="609"/>
      <c r="I33" s="446">
        <f t="shared" si="14"/>
        <v>19</v>
      </c>
      <c r="J33" s="446">
        <f t="shared" si="14"/>
        <v>1131.3613152322823</v>
      </c>
      <c r="K33" s="438">
        <f t="shared" si="14"/>
        <v>59.545332380646435</v>
      </c>
      <c r="L33" s="541"/>
      <c r="M33" s="445">
        <f>RANK(K33, K$27:$K$41)</f>
        <v>7</v>
      </c>
      <c r="N33" s="559"/>
      <c r="O33" s="559"/>
      <c r="P33" s="443">
        <v>19</v>
      </c>
      <c r="Q33" s="447">
        <v>1152.972972972972</v>
      </c>
      <c r="R33" s="447">
        <v>60.682788051209052</v>
      </c>
      <c r="S33" s="436">
        <f t="shared" si="15"/>
        <v>7</v>
      </c>
      <c r="T33" s="574"/>
      <c r="U33" s="443">
        <v>19</v>
      </c>
      <c r="V33" s="447">
        <v>1166.6666666666656</v>
      </c>
      <c r="W33" s="447">
        <v>61.403508771929772</v>
      </c>
      <c r="X33" s="436">
        <f t="shared" si="16"/>
        <v>7</v>
      </c>
      <c r="Y33" s="574"/>
      <c r="Z33" s="443">
        <v>19</v>
      </c>
      <c r="AA33" s="447">
        <v>1169.9999999999995</v>
      </c>
      <c r="AB33" s="447">
        <v>61.578947368421026</v>
      </c>
      <c r="AC33" s="436">
        <f t="shared" si="18"/>
        <v>7</v>
      </c>
      <c r="AD33" s="574"/>
      <c r="AE33" s="443">
        <v>19</v>
      </c>
      <c r="AF33" s="447">
        <v>1167.0967741935494</v>
      </c>
      <c r="AG33" s="447">
        <v>61.426146010186812</v>
      </c>
      <c r="AH33" s="436">
        <f t="shared" si="20"/>
        <v>7</v>
      </c>
      <c r="AI33" s="574"/>
      <c r="AJ33" s="443">
        <v>19</v>
      </c>
      <c r="AK33" s="447">
        <v>1123.3333333333323</v>
      </c>
      <c r="AL33" s="447">
        <v>59.122807017543806</v>
      </c>
      <c r="AM33" s="436">
        <f t="shared" si="22"/>
        <v>7</v>
      </c>
      <c r="AN33" s="574"/>
      <c r="AO33" s="443">
        <v>19</v>
      </c>
      <c r="AP33" s="447">
        <v>979.99999999999932</v>
      </c>
      <c r="AQ33" s="447">
        <v>51.578947368421019</v>
      </c>
      <c r="AR33" s="436">
        <f t="shared" si="24"/>
        <v>7</v>
      </c>
      <c r="AS33" s="574"/>
      <c r="AT33" s="436">
        <v>19</v>
      </c>
      <c r="AU33" s="182">
        <v>1159.4594594594585</v>
      </c>
      <c r="AV33" s="437">
        <v>61.024182076813602</v>
      </c>
      <c r="AW33" s="436">
        <f t="shared" si="26"/>
        <v>7</v>
      </c>
      <c r="AX33" s="605"/>
    </row>
    <row r="34" spans="2:50">
      <c r="B34" s="572"/>
      <c r="C34" s="436">
        <v>8</v>
      </c>
      <c r="D34" s="226" t="s">
        <v>566</v>
      </c>
      <c r="E34" s="182">
        <v>21</v>
      </c>
      <c r="F34" s="436">
        <v>1385</v>
      </c>
      <c r="G34" s="437">
        <v>65.900000000000006</v>
      </c>
      <c r="H34" s="609"/>
      <c r="I34" s="446">
        <f t="shared" si="14"/>
        <v>20</v>
      </c>
      <c r="J34" s="446">
        <f t="shared" si="14"/>
        <v>989.14747707489721</v>
      </c>
      <c r="K34" s="438">
        <f t="shared" si="14"/>
        <v>49.457373853744862</v>
      </c>
      <c r="L34" s="541"/>
      <c r="M34" s="445">
        <f>RANK(K34, K$27:$K$41)</f>
        <v>8</v>
      </c>
      <c r="N34" s="559"/>
      <c r="O34" s="559"/>
      <c r="P34" s="443">
        <v>20</v>
      </c>
      <c r="Q34" s="447">
        <v>990.00000000000102</v>
      </c>
      <c r="R34" s="447">
        <v>49.50000000000005</v>
      </c>
      <c r="S34" s="436">
        <f t="shared" si="15"/>
        <v>8</v>
      </c>
      <c r="T34" s="574"/>
      <c r="U34" s="443">
        <v>20</v>
      </c>
      <c r="V34" s="447">
        <v>1016.250000000001</v>
      </c>
      <c r="W34" s="447">
        <v>50.81250000000005</v>
      </c>
      <c r="X34" s="436">
        <f t="shared" si="16"/>
        <v>8</v>
      </c>
      <c r="Y34" s="574"/>
      <c r="Z34" s="443">
        <v>20</v>
      </c>
      <c r="AA34" s="447">
        <v>1001.8181818181828</v>
      </c>
      <c r="AB34" s="447">
        <v>50.090909090909136</v>
      </c>
      <c r="AC34" s="436">
        <f t="shared" si="18"/>
        <v>8</v>
      </c>
      <c r="AD34" s="574"/>
      <c r="AE34" s="443">
        <v>20</v>
      </c>
      <c r="AF34" s="447">
        <v>962.22222222222274</v>
      </c>
      <c r="AG34" s="447">
        <v>48.111111111111136</v>
      </c>
      <c r="AH34" s="436">
        <f t="shared" si="20"/>
        <v>8</v>
      </c>
      <c r="AI34" s="574"/>
      <c r="AJ34" s="443">
        <v>20</v>
      </c>
      <c r="AK34" s="447">
        <v>967.74193548387177</v>
      </c>
      <c r="AL34" s="447">
        <v>48.387096774193587</v>
      </c>
      <c r="AM34" s="436">
        <f t="shared" si="22"/>
        <v>8</v>
      </c>
      <c r="AN34" s="574"/>
      <c r="AO34" s="443">
        <v>20</v>
      </c>
      <c r="AP34" s="447">
        <v>972.00000000000023</v>
      </c>
      <c r="AQ34" s="447">
        <v>48.600000000000009</v>
      </c>
      <c r="AR34" s="436">
        <f t="shared" si="24"/>
        <v>8</v>
      </c>
      <c r="AS34" s="574"/>
      <c r="AT34" s="436">
        <v>20</v>
      </c>
      <c r="AU34" s="182">
        <v>1014.000000000001</v>
      </c>
      <c r="AV34" s="437">
        <v>50.700000000000053</v>
      </c>
      <c r="AW34" s="436">
        <f t="shared" si="26"/>
        <v>8</v>
      </c>
      <c r="AX34" s="605"/>
    </row>
    <row r="35" spans="2:50">
      <c r="B35" s="572"/>
      <c r="C35" s="436">
        <v>9</v>
      </c>
      <c r="D35" s="226"/>
      <c r="E35" s="182"/>
      <c r="F35" s="436"/>
      <c r="G35" s="437"/>
      <c r="H35" s="609"/>
      <c r="I35" s="446"/>
      <c r="J35" s="446"/>
      <c r="K35" s="438"/>
      <c r="L35" s="541"/>
      <c r="M35" s="445" t="e">
        <f>RANK(K35, K$27:$K$41)</f>
        <v>#N/A</v>
      </c>
      <c r="N35" s="559"/>
      <c r="O35" s="559"/>
      <c r="P35" s="443"/>
      <c r="Q35" s="447"/>
      <c r="R35" s="447"/>
      <c r="S35" s="436" t="e">
        <f t="shared" si="15"/>
        <v>#N/A</v>
      </c>
      <c r="T35" s="574"/>
      <c r="U35" s="443"/>
      <c r="V35" s="447"/>
      <c r="W35" s="447"/>
      <c r="X35" s="436" t="e">
        <f t="shared" si="16"/>
        <v>#N/A</v>
      </c>
      <c r="Y35" s="574"/>
      <c r="Z35" s="443"/>
      <c r="AA35" s="447"/>
      <c r="AB35" s="447"/>
      <c r="AC35" s="436" t="e">
        <f t="shared" si="18"/>
        <v>#N/A</v>
      </c>
      <c r="AD35" s="574"/>
      <c r="AE35" s="443"/>
      <c r="AF35" s="447"/>
      <c r="AG35" s="447"/>
      <c r="AH35" s="436" t="e">
        <f t="shared" si="20"/>
        <v>#N/A</v>
      </c>
      <c r="AI35" s="574"/>
      <c r="AJ35" s="443"/>
      <c r="AK35" s="447"/>
      <c r="AL35" s="447"/>
      <c r="AM35" s="436" t="e">
        <f t="shared" si="22"/>
        <v>#N/A</v>
      </c>
      <c r="AN35" s="574"/>
      <c r="AO35" s="443"/>
      <c r="AP35" s="447"/>
      <c r="AQ35" s="447"/>
      <c r="AR35" s="436" t="e">
        <f t="shared" si="24"/>
        <v>#N/A</v>
      </c>
      <c r="AS35" s="574"/>
      <c r="AT35" s="436"/>
      <c r="AU35" s="182"/>
      <c r="AV35" s="437"/>
      <c r="AW35" s="436" t="e">
        <f t="shared" si="26"/>
        <v>#N/A</v>
      </c>
      <c r="AX35" s="605"/>
    </row>
    <row r="36" spans="2:50">
      <c r="B36" s="572"/>
      <c r="C36" s="436">
        <v>10</v>
      </c>
      <c r="D36" s="226"/>
      <c r="E36" s="182"/>
      <c r="F36" s="436"/>
      <c r="G36" s="437"/>
      <c r="H36" s="609"/>
      <c r="I36" s="446"/>
      <c r="J36" s="446"/>
      <c r="K36" s="438"/>
      <c r="L36" s="541"/>
      <c r="M36" s="445" t="e">
        <f>RANK(K36, K$27:$K$41)</f>
        <v>#N/A</v>
      </c>
      <c r="N36" s="559"/>
      <c r="O36" s="559"/>
      <c r="P36" s="443"/>
      <c r="Q36" s="447"/>
      <c r="R36" s="447"/>
      <c r="S36" s="436" t="e">
        <f t="shared" si="15"/>
        <v>#N/A</v>
      </c>
      <c r="T36" s="574"/>
      <c r="U36" s="443"/>
      <c r="V36" s="447"/>
      <c r="W36" s="447"/>
      <c r="X36" s="436" t="e">
        <f t="shared" si="16"/>
        <v>#N/A</v>
      </c>
      <c r="Y36" s="574"/>
      <c r="Z36" s="443"/>
      <c r="AA36" s="447"/>
      <c r="AB36" s="447"/>
      <c r="AC36" s="436" t="e">
        <f t="shared" si="18"/>
        <v>#N/A</v>
      </c>
      <c r="AD36" s="574"/>
      <c r="AE36" s="443"/>
      <c r="AF36" s="447"/>
      <c r="AG36" s="447"/>
      <c r="AH36" s="436" t="e">
        <f t="shared" si="20"/>
        <v>#N/A</v>
      </c>
      <c r="AI36" s="574"/>
      <c r="AJ36" s="443"/>
      <c r="AK36" s="447"/>
      <c r="AL36" s="447"/>
      <c r="AM36" s="436" t="e">
        <f t="shared" si="22"/>
        <v>#N/A</v>
      </c>
      <c r="AN36" s="574"/>
      <c r="AO36" s="443"/>
      <c r="AP36" s="447"/>
      <c r="AQ36" s="447"/>
      <c r="AR36" s="436" t="e">
        <f t="shared" si="24"/>
        <v>#N/A</v>
      </c>
      <c r="AS36" s="574"/>
      <c r="AT36" s="436"/>
      <c r="AU36" s="182"/>
      <c r="AV36" s="437"/>
      <c r="AW36" s="436" t="e">
        <f t="shared" si="26"/>
        <v>#N/A</v>
      </c>
      <c r="AX36" s="605"/>
    </row>
    <row r="37" spans="2:50">
      <c r="B37" s="572"/>
      <c r="C37" s="436">
        <v>11</v>
      </c>
      <c r="D37" s="226"/>
      <c r="E37" s="182"/>
      <c r="F37" s="436"/>
      <c r="G37" s="437"/>
      <c r="H37" s="609"/>
      <c r="I37" s="446"/>
      <c r="J37" s="446"/>
      <c r="K37" s="438"/>
      <c r="L37" s="541"/>
      <c r="M37" s="445" t="e">
        <f>RANK(K37, K$27:$K$41)</f>
        <v>#N/A</v>
      </c>
      <c r="N37" s="559"/>
      <c r="O37" s="559"/>
      <c r="P37" s="443"/>
      <c r="Q37" s="447"/>
      <c r="R37" s="447"/>
      <c r="S37" s="436" t="e">
        <f t="shared" si="15"/>
        <v>#N/A</v>
      </c>
      <c r="T37" s="574"/>
      <c r="U37" s="443"/>
      <c r="V37" s="447"/>
      <c r="W37" s="447"/>
      <c r="X37" s="436" t="e">
        <f t="shared" si="16"/>
        <v>#N/A</v>
      </c>
      <c r="Y37" s="574"/>
      <c r="Z37" s="443"/>
      <c r="AA37" s="447"/>
      <c r="AB37" s="447"/>
      <c r="AC37" s="436" t="e">
        <f t="shared" si="18"/>
        <v>#N/A</v>
      </c>
      <c r="AD37" s="574"/>
      <c r="AE37" s="443"/>
      <c r="AF37" s="447"/>
      <c r="AG37" s="447"/>
      <c r="AH37" s="436" t="e">
        <f t="shared" si="20"/>
        <v>#N/A</v>
      </c>
      <c r="AI37" s="574"/>
      <c r="AJ37" s="443"/>
      <c r="AK37" s="447"/>
      <c r="AL37" s="447"/>
      <c r="AM37" s="436" t="e">
        <f t="shared" si="22"/>
        <v>#N/A</v>
      </c>
      <c r="AN37" s="574"/>
      <c r="AO37" s="443"/>
      <c r="AP37" s="447"/>
      <c r="AQ37" s="447"/>
      <c r="AR37" s="436" t="e">
        <f t="shared" si="24"/>
        <v>#N/A</v>
      </c>
      <c r="AS37" s="574"/>
      <c r="AT37" s="436"/>
      <c r="AU37" s="182"/>
      <c r="AV37" s="437"/>
      <c r="AW37" s="436" t="e">
        <f t="shared" si="26"/>
        <v>#N/A</v>
      </c>
      <c r="AX37" s="605"/>
    </row>
    <row r="38" spans="2:50">
      <c r="B38" s="572"/>
      <c r="C38" s="436">
        <v>12</v>
      </c>
      <c r="D38" s="226"/>
      <c r="E38" s="182"/>
      <c r="F38" s="436"/>
      <c r="G38" s="437"/>
      <c r="H38" s="609"/>
      <c r="I38" s="446"/>
      <c r="J38" s="446"/>
      <c r="K38" s="438"/>
      <c r="L38" s="541"/>
      <c r="M38" s="445" t="e">
        <f>RANK(K38, K$27:$K$41)</f>
        <v>#N/A</v>
      </c>
      <c r="N38" s="559"/>
      <c r="O38" s="559"/>
      <c r="P38" s="443"/>
      <c r="Q38" s="447"/>
      <c r="R38" s="447"/>
      <c r="S38" s="436" t="e">
        <f t="shared" si="15"/>
        <v>#N/A</v>
      </c>
      <c r="T38" s="574"/>
      <c r="U38" s="443"/>
      <c r="V38" s="447"/>
      <c r="W38" s="447"/>
      <c r="X38" s="436" t="e">
        <f t="shared" si="16"/>
        <v>#N/A</v>
      </c>
      <c r="Y38" s="574"/>
      <c r="Z38" s="443"/>
      <c r="AA38" s="447"/>
      <c r="AB38" s="447"/>
      <c r="AC38" s="436" t="e">
        <f t="shared" si="18"/>
        <v>#N/A</v>
      </c>
      <c r="AD38" s="574"/>
      <c r="AE38" s="443"/>
      <c r="AF38" s="447"/>
      <c r="AG38" s="447"/>
      <c r="AH38" s="436" t="e">
        <f t="shared" si="20"/>
        <v>#N/A</v>
      </c>
      <c r="AI38" s="574"/>
      <c r="AJ38" s="443"/>
      <c r="AK38" s="447"/>
      <c r="AL38" s="447"/>
      <c r="AM38" s="436" t="e">
        <f t="shared" si="22"/>
        <v>#N/A</v>
      </c>
      <c r="AN38" s="574"/>
      <c r="AO38" s="443"/>
      <c r="AP38" s="447"/>
      <c r="AQ38" s="447"/>
      <c r="AR38" s="436" t="e">
        <f t="shared" si="24"/>
        <v>#N/A</v>
      </c>
      <c r="AS38" s="574"/>
      <c r="AT38" s="436"/>
      <c r="AU38" s="182"/>
      <c r="AV38" s="437"/>
      <c r="AW38" s="436" t="e">
        <f t="shared" si="26"/>
        <v>#N/A</v>
      </c>
      <c r="AX38" s="605"/>
    </row>
    <row r="39" spans="2:50">
      <c r="B39" s="572"/>
      <c r="C39" s="436">
        <v>13</v>
      </c>
      <c r="D39" s="226"/>
      <c r="E39" s="182"/>
      <c r="F39" s="436"/>
      <c r="G39" s="437"/>
      <c r="H39" s="609"/>
      <c r="I39" s="446"/>
      <c r="J39" s="446"/>
      <c r="K39" s="438"/>
      <c r="L39" s="541"/>
      <c r="M39" s="445" t="e">
        <f>RANK(K39, K$27:$K$41)</f>
        <v>#N/A</v>
      </c>
      <c r="N39" s="559"/>
      <c r="O39" s="559"/>
      <c r="P39" s="443"/>
      <c r="Q39" s="447"/>
      <c r="R39" s="447"/>
      <c r="S39" s="436" t="e">
        <f t="shared" si="15"/>
        <v>#N/A</v>
      </c>
      <c r="T39" s="574"/>
      <c r="U39" s="443"/>
      <c r="V39" s="447"/>
      <c r="W39" s="447"/>
      <c r="X39" s="436" t="e">
        <f t="shared" si="16"/>
        <v>#N/A</v>
      </c>
      <c r="Y39" s="574"/>
      <c r="Z39" s="443"/>
      <c r="AA39" s="447"/>
      <c r="AB39" s="447"/>
      <c r="AC39" s="436" t="e">
        <f t="shared" si="18"/>
        <v>#N/A</v>
      </c>
      <c r="AD39" s="574"/>
      <c r="AE39" s="443"/>
      <c r="AF39" s="447"/>
      <c r="AG39" s="447"/>
      <c r="AH39" s="436" t="e">
        <f t="shared" si="20"/>
        <v>#N/A</v>
      </c>
      <c r="AI39" s="574"/>
      <c r="AJ39" s="443"/>
      <c r="AK39" s="447"/>
      <c r="AL39" s="447"/>
      <c r="AM39" s="436" t="e">
        <f t="shared" si="22"/>
        <v>#N/A</v>
      </c>
      <c r="AN39" s="574"/>
      <c r="AO39" s="443"/>
      <c r="AP39" s="447"/>
      <c r="AQ39" s="447"/>
      <c r="AR39" s="436" t="e">
        <f t="shared" si="24"/>
        <v>#N/A</v>
      </c>
      <c r="AS39" s="574"/>
      <c r="AT39" s="436"/>
      <c r="AU39" s="182"/>
      <c r="AV39" s="437"/>
      <c r="AW39" s="436" t="e">
        <f t="shared" si="26"/>
        <v>#N/A</v>
      </c>
      <c r="AX39" s="605"/>
    </row>
    <row r="40" spans="2:50">
      <c r="B40" s="572"/>
      <c r="C40" s="436">
        <v>14</v>
      </c>
      <c r="D40" s="226"/>
      <c r="E40" s="182"/>
      <c r="F40" s="436"/>
      <c r="G40" s="437"/>
      <c r="H40" s="609"/>
      <c r="I40" s="446"/>
      <c r="J40" s="446"/>
      <c r="K40" s="438"/>
      <c r="L40" s="541"/>
      <c r="M40" s="445" t="e">
        <f>RANK(K40, K$27:$K$41)</f>
        <v>#N/A</v>
      </c>
      <c r="N40" s="559"/>
      <c r="O40" s="559"/>
      <c r="P40" s="443"/>
      <c r="Q40" s="447"/>
      <c r="R40" s="447"/>
      <c r="S40" s="436" t="e">
        <f t="shared" si="15"/>
        <v>#N/A</v>
      </c>
      <c r="T40" s="574"/>
      <c r="U40" s="443"/>
      <c r="V40" s="447"/>
      <c r="W40" s="447"/>
      <c r="X40" s="436" t="e">
        <f t="shared" si="16"/>
        <v>#N/A</v>
      </c>
      <c r="Y40" s="574"/>
      <c r="Z40" s="443"/>
      <c r="AA40" s="447"/>
      <c r="AB40" s="447"/>
      <c r="AC40" s="436" t="e">
        <f t="shared" si="18"/>
        <v>#N/A</v>
      </c>
      <c r="AD40" s="574"/>
      <c r="AE40" s="443"/>
      <c r="AF40" s="447"/>
      <c r="AG40" s="447"/>
      <c r="AH40" s="436" t="e">
        <f t="shared" si="20"/>
        <v>#N/A</v>
      </c>
      <c r="AI40" s="574"/>
      <c r="AJ40" s="443"/>
      <c r="AK40" s="447"/>
      <c r="AL40" s="447"/>
      <c r="AM40" s="436" t="e">
        <f t="shared" si="22"/>
        <v>#N/A</v>
      </c>
      <c r="AN40" s="574"/>
      <c r="AO40" s="443"/>
      <c r="AP40" s="447"/>
      <c r="AQ40" s="447"/>
      <c r="AR40" s="436" t="e">
        <f t="shared" si="24"/>
        <v>#N/A</v>
      </c>
      <c r="AS40" s="574"/>
      <c r="AT40" s="436"/>
      <c r="AU40" s="182"/>
      <c r="AV40" s="437"/>
      <c r="AW40" s="436" t="e">
        <f t="shared" si="26"/>
        <v>#N/A</v>
      </c>
      <c r="AX40" s="605"/>
    </row>
    <row r="41" spans="2:50">
      <c r="B41" s="572"/>
      <c r="C41" s="436">
        <v>15</v>
      </c>
      <c r="D41" s="226"/>
      <c r="E41" s="182"/>
      <c r="F41" s="436"/>
      <c r="G41" s="437"/>
      <c r="H41" s="610"/>
      <c r="I41" s="446"/>
      <c r="J41" s="446"/>
      <c r="K41" s="438"/>
      <c r="L41" s="542"/>
      <c r="M41" s="446" t="e">
        <f>RANK(K41, K$27:$K$41)</f>
        <v>#N/A</v>
      </c>
      <c r="N41" s="559"/>
      <c r="O41" s="559"/>
      <c r="P41" s="443"/>
      <c r="Q41" s="447"/>
      <c r="R41" s="447"/>
      <c r="S41" s="436" t="e">
        <f t="shared" si="15"/>
        <v>#N/A</v>
      </c>
      <c r="T41" s="575"/>
      <c r="U41" s="443"/>
      <c r="V41" s="447"/>
      <c r="W41" s="447"/>
      <c r="X41" s="436" t="e">
        <f t="shared" si="16"/>
        <v>#N/A</v>
      </c>
      <c r="Y41" s="575"/>
      <c r="Z41" s="443"/>
      <c r="AA41" s="447"/>
      <c r="AB41" s="447"/>
      <c r="AC41" s="436" t="e">
        <f t="shared" si="18"/>
        <v>#N/A</v>
      </c>
      <c r="AD41" s="575"/>
      <c r="AE41" s="443"/>
      <c r="AF41" s="447"/>
      <c r="AG41" s="447"/>
      <c r="AH41" s="436" t="e">
        <f t="shared" si="20"/>
        <v>#N/A</v>
      </c>
      <c r="AI41" s="575"/>
      <c r="AJ41" s="443"/>
      <c r="AK41" s="447"/>
      <c r="AL41" s="447"/>
      <c r="AM41" s="436" t="e">
        <f t="shared" si="22"/>
        <v>#N/A</v>
      </c>
      <c r="AN41" s="575"/>
      <c r="AO41" s="443"/>
      <c r="AP41" s="447"/>
      <c r="AQ41" s="447"/>
      <c r="AR41" s="436" t="e">
        <f t="shared" si="24"/>
        <v>#N/A</v>
      </c>
      <c r="AS41" s="575"/>
      <c r="AT41" s="436"/>
      <c r="AU41" s="182"/>
      <c r="AV41" s="437"/>
      <c r="AW41" s="436" t="e">
        <f t="shared" si="26"/>
        <v>#N/A</v>
      </c>
      <c r="AX41" s="605"/>
    </row>
    <row r="42" spans="2:50" ht="15.75">
      <c r="B42" s="592" t="s">
        <v>731</v>
      </c>
      <c r="C42" s="593"/>
      <c r="D42" s="593"/>
      <c r="E42" s="593"/>
      <c r="F42" s="593"/>
      <c r="G42" s="593"/>
      <c r="H42" s="593"/>
      <c r="I42" s="208"/>
      <c r="J42" s="203"/>
      <c r="K42" s="208"/>
      <c r="L42" s="208"/>
      <c r="M42" s="204"/>
      <c r="N42" s="565" t="s">
        <v>732</v>
      </c>
      <c r="O42" s="565" t="s">
        <v>733</v>
      </c>
      <c r="P42" s="571">
        <f>P22+7</f>
        <v>13</v>
      </c>
      <c r="Q42" s="572"/>
      <c r="R42" s="572"/>
      <c r="S42" s="572"/>
      <c r="T42" s="572"/>
      <c r="U42" s="568">
        <f>P42+1</f>
        <v>14</v>
      </c>
      <c r="V42" s="569"/>
      <c r="W42" s="569"/>
      <c r="X42" s="569"/>
      <c r="Y42" s="570"/>
      <c r="Z42" s="568">
        <f>U42+1</f>
        <v>15</v>
      </c>
      <c r="AA42" s="569"/>
      <c r="AB42" s="569"/>
      <c r="AC42" s="569"/>
      <c r="AD42" s="570"/>
      <c r="AE42" s="568">
        <f>Z42+1</f>
        <v>16</v>
      </c>
      <c r="AF42" s="569"/>
      <c r="AG42" s="569"/>
      <c r="AH42" s="569"/>
      <c r="AI42" s="570"/>
      <c r="AJ42" s="568">
        <f>AE42+1</f>
        <v>17</v>
      </c>
      <c r="AK42" s="569"/>
      <c r="AL42" s="569"/>
      <c r="AM42" s="569"/>
      <c r="AN42" s="570"/>
      <c r="AO42" s="568">
        <f>AJ42+1</f>
        <v>18</v>
      </c>
      <c r="AP42" s="569"/>
      <c r="AQ42" s="569"/>
      <c r="AR42" s="569"/>
      <c r="AS42" s="570"/>
      <c r="AT42" s="568">
        <f>AO42+1</f>
        <v>19</v>
      </c>
      <c r="AU42" s="569"/>
      <c r="AV42" s="569"/>
      <c r="AW42" s="569"/>
      <c r="AX42" s="570"/>
    </row>
    <row r="43" spans="2:50" ht="15.75">
      <c r="B43" s="579"/>
      <c r="C43" s="579"/>
      <c r="D43" s="579"/>
      <c r="E43" s="579"/>
      <c r="F43" s="579"/>
      <c r="G43" s="579"/>
      <c r="H43" s="579"/>
      <c r="I43" s="205"/>
      <c r="J43" s="205"/>
      <c r="K43" s="205"/>
      <c r="L43" s="205"/>
      <c r="M43" s="206"/>
      <c r="N43" s="567"/>
      <c r="O43" s="567"/>
      <c r="P43" s="571" t="s">
        <v>734</v>
      </c>
      <c r="Q43" s="572"/>
      <c r="R43" s="572"/>
      <c r="S43" s="572"/>
      <c r="T43" s="572"/>
      <c r="U43" s="571" t="s">
        <v>735</v>
      </c>
      <c r="V43" s="572"/>
      <c r="W43" s="572"/>
      <c r="X43" s="572"/>
      <c r="Y43" s="572"/>
      <c r="Z43" s="571" t="s">
        <v>736</v>
      </c>
      <c r="AA43" s="572"/>
      <c r="AB43" s="572"/>
      <c r="AC43" s="572"/>
      <c r="AD43" s="572"/>
      <c r="AE43" s="571" t="s">
        <v>737</v>
      </c>
      <c r="AF43" s="572"/>
      <c r="AG43" s="572"/>
      <c r="AH43" s="572"/>
      <c r="AI43" s="572"/>
      <c r="AJ43" s="571" t="s">
        <v>738</v>
      </c>
      <c r="AK43" s="572"/>
      <c r="AL43" s="572"/>
      <c r="AM43" s="572"/>
      <c r="AN43" s="572"/>
      <c r="AO43" s="571" t="s">
        <v>739</v>
      </c>
      <c r="AP43" s="572"/>
      <c r="AQ43" s="572"/>
      <c r="AR43" s="572"/>
      <c r="AS43" s="572"/>
      <c r="AT43" s="571" t="s">
        <v>740</v>
      </c>
      <c r="AU43" s="572"/>
      <c r="AV43" s="572"/>
      <c r="AW43" s="572"/>
      <c r="AX43" s="572"/>
    </row>
    <row r="44" spans="2:50">
      <c r="B44" s="559" t="s">
        <v>741</v>
      </c>
      <c r="C44" s="559" t="s">
        <v>742</v>
      </c>
      <c r="D44" s="559"/>
      <c r="E44" s="559" t="s">
        <v>743</v>
      </c>
      <c r="F44" s="559"/>
      <c r="G44" s="559"/>
      <c r="H44" s="560" t="s">
        <v>744</v>
      </c>
      <c r="I44" s="543" t="s">
        <v>745</v>
      </c>
      <c r="J44" s="543"/>
      <c r="K44" s="543"/>
      <c r="L44" s="544" t="s">
        <v>744</v>
      </c>
      <c r="M44" s="550" t="s">
        <v>746</v>
      </c>
      <c r="N44" s="559"/>
      <c r="O44" s="559" t="s">
        <v>747</v>
      </c>
      <c r="P44" s="556" t="s">
        <v>748</v>
      </c>
      <c r="Q44" s="557"/>
      <c r="R44" s="557"/>
      <c r="S44" s="558"/>
      <c r="T44" s="559" t="s">
        <v>744</v>
      </c>
      <c r="U44" s="556" t="s">
        <v>748</v>
      </c>
      <c r="V44" s="557"/>
      <c r="W44" s="557"/>
      <c r="X44" s="558"/>
      <c r="Y44" s="559" t="s">
        <v>744</v>
      </c>
      <c r="Z44" s="556" t="s">
        <v>748</v>
      </c>
      <c r="AA44" s="557"/>
      <c r="AB44" s="557"/>
      <c r="AC44" s="558"/>
      <c r="AD44" s="559" t="s">
        <v>744</v>
      </c>
      <c r="AE44" s="556" t="s">
        <v>748</v>
      </c>
      <c r="AF44" s="557"/>
      <c r="AG44" s="557"/>
      <c r="AH44" s="558"/>
      <c r="AI44" s="559" t="s">
        <v>744</v>
      </c>
      <c r="AJ44" s="556" t="s">
        <v>748</v>
      </c>
      <c r="AK44" s="557"/>
      <c r="AL44" s="557"/>
      <c r="AM44" s="558"/>
      <c r="AN44" s="559" t="s">
        <v>744</v>
      </c>
      <c r="AO44" s="556" t="s">
        <v>748</v>
      </c>
      <c r="AP44" s="557"/>
      <c r="AQ44" s="557"/>
      <c r="AR44" s="558"/>
      <c r="AS44" s="559" t="s">
        <v>744</v>
      </c>
      <c r="AT44" s="556" t="s">
        <v>748</v>
      </c>
      <c r="AU44" s="557"/>
      <c r="AV44" s="557"/>
      <c r="AW44" s="558"/>
      <c r="AX44" s="559" t="s">
        <v>744</v>
      </c>
    </row>
    <row r="45" spans="2:50">
      <c r="B45" s="559"/>
      <c r="C45" s="559"/>
      <c r="D45" s="559"/>
      <c r="E45" s="559" t="s">
        <v>749</v>
      </c>
      <c r="F45" s="559"/>
      <c r="G45" s="559"/>
      <c r="H45" s="561"/>
      <c r="I45" s="543" t="s">
        <v>749</v>
      </c>
      <c r="J45" s="543"/>
      <c r="K45" s="543"/>
      <c r="L45" s="545"/>
      <c r="M45" s="551"/>
      <c r="N45" s="559"/>
      <c r="O45" s="559"/>
      <c r="P45" s="556" t="s">
        <v>750</v>
      </c>
      <c r="Q45" s="557"/>
      <c r="R45" s="557"/>
      <c r="S45" s="558"/>
      <c r="T45" s="559"/>
      <c r="U45" s="556" t="s">
        <v>750</v>
      </c>
      <c r="V45" s="557"/>
      <c r="W45" s="557"/>
      <c r="X45" s="558"/>
      <c r="Y45" s="559"/>
      <c r="Z45" s="556" t="s">
        <v>750</v>
      </c>
      <c r="AA45" s="557"/>
      <c r="AB45" s="557"/>
      <c r="AC45" s="558"/>
      <c r="AD45" s="559"/>
      <c r="AE45" s="556" t="s">
        <v>750</v>
      </c>
      <c r="AF45" s="557"/>
      <c r="AG45" s="557"/>
      <c r="AH45" s="558"/>
      <c r="AI45" s="559"/>
      <c r="AJ45" s="556" t="s">
        <v>750</v>
      </c>
      <c r="AK45" s="557"/>
      <c r="AL45" s="557"/>
      <c r="AM45" s="558"/>
      <c r="AN45" s="559"/>
      <c r="AO45" s="556" t="s">
        <v>750</v>
      </c>
      <c r="AP45" s="557"/>
      <c r="AQ45" s="557"/>
      <c r="AR45" s="558"/>
      <c r="AS45" s="559"/>
      <c r="AT45" s="556" t="s">
        <v>750</v>
      </c>
      <c r="AU45" s="557"/>
      <c r="AV45" s="557"/>
      <c r="AW45" s="558"/>
      <c r="AX45" s="559"/>
    </row>
    <row r="46" spans="2:50">
      <c r="B46" s="559"/>
      <c r="C46" s="559"/>
      <c r="D46" s="559"/>
      <c r="E46" s="440" t="s">
        <v>751</v>
      </c>
      <c r="F46" s="440" t="s">
        <v>752</v>
      </c>
      <c r="G46" s="440" t="s">
        <v>753</v>
      </c>
      <c r="H46" s="562"/>
      <c r="I46" s="444" t="s">
        <v>751</v>
      </c>
      <c r="J46" s="444" t="s">
        <v>752</v>
      </c>
      <c r="K46" s="444" t="s">
        <v>753</v>
      </c>
      <c r="L46" s="546"/>
      <c r="M46" s="552"/>
      <c r="N46" s="559"/>
      <c r="O46" s="559"/>
      <c r="P46" s="440" t="s">
        <v>751</v>
      </c>
      <c r="Q46" s="440" t="s">
        <v>752</v>
      </c>
      <c r="R46" s="440" t="s">
        <v>753</v>
      </c>
      <c r="S46" s="440" t="s">
        <v>746</v>
      </c>
      <c r="T46" s="559"/>
      <c r="U46" s="440" t="s">
        <v>751</v>
      </c>
      <c r="V46" s="440" t="s">
        <v>752</v>
      </c>
      <c r="W46" s="440" t="s">
        <v>753</v>
      </c>
      <c r="X46" s="440" t="s">
        <v>746</v>
      </c>
      <c r="Y46" s="559"/>
      <c r="Z46" s="440" t="s">
        <v>751</v>
      </c>
      <c r="AA46" s="440" t="s">
        <v>752</v>
      </c>
      <c r="AB46" s="440" t="s">
        <v>753</v>
      </c>
      <c r="AC46" s="440" t="s">
        <v>746</v>
      </c>
      <c r="AD46" s="559"/>
      <c r="AE46" s="440" t="s">
        <v>751</v>
      </c>
      <c r="AF46" s="440" t="s">
        <v>752</v>
      </c>
      <c r="AG46" s="440" t="s">
        <v>753</v>
      </c>
      <c r="AH46" s="440" t="s">
        <v>746</v>
      </c>
      <c r="AI46" s="559"/>
      <c r="AJ46" s="440" t="s">
        <v>751</v>
      </c>
      <c r="AK46" s="440" t="s">
        <v>752</v>
      </c>
      <c r="AL46" s="440" t="s">
        <v>753</v>
      </c>
      <c r="AM46" s="440" t="s">
        <v>746</v>
      </c>
      <c r="AN46" s="559"/>
      <c r="AO46" s="440" t="s">
        <v>751</v>
      </c>
      <c r="AP46" s="440" t="s">
        <v>752</v>
      </c>
      <c r="AQ46" s="440" t="s">
        <v>753</v>
      </c>
      <c r="AR46" s="440" t="s">
        <v>746</v>
      </c>
      <c r="AS46" s="559"/>
      <c r="AT46" s="440" t="s">
        <v>751</v>
      </c>
      <c r="AU46" s="440" t="s">
        <v>752</v>
      </c>
      <c r="AV46" s="440" t="s">
        <v>753</v>
      </c>
      <c r="AW46" s="440" t="s">
        <v>746</v>
      </c>
      <c r="AX46" s="559"/>
    </row>
    <row r="47" spans="2:50">
      <c r="B47" s="559" t="s">
        <v>816</v>
      </c>
      <c r="C47" s="436">
        <v>1</v>
      </c>
      <c r="D47" s="226" t="s">
        <v>396</v>
      </c>
      <c r="E47" s="182">
        <v>6</v>
      </c>
      <c r="F47" s="436">
        <v>1500</v>
      </c>
      <c r="G47" s="437">
        <v>250</v>
      </c>
      <c r="H47" s="608">
        <f>AVERAGE(G47:G61)</f>
        <v>140.15</v>
      </c>
      <c r="I47" s="446">
        <f t="shared" ref="I47:K54" si="28">AVERAGE(P47,U47,Z47,AE47,AJ47,AO47,AT47)</f>
        <v>7</v>
      </c>
      <c r="J47" s="446">
        <f t="shared" si="28"/>
        <v>1276.1944312330068</v>
      </c>
      <c r="K47" s="438">
        <f t="shared" si="28"/>
        <v>182.3134901761438</v>
      </c>
      <c r="L47" s="540">
        <f>IFERROR(AVERAGE(K47:K61),"-")</f>
        <v>110.53388961677851</v>
      </c>
      <c r="M47" s="445">
        <f>RANK(K47, K$47:$K$61)</f>
        <v>3</v>
      </c>
      <c r="N47" s="559"/>
      <c r="O47" s="559"/>
      <c r="P47" s="436">
        <v>7</v>
      </c>
      <c r="Q47" s="182">
        <v>1285.2631578947367</v>
      </c>
      <c r="R47" s="182">
        <v>183.60902255639095</v>
      </c>
      <c r="S47" s="436">
        <f>RANK(R47, R$47:R$61)</f>
        <v>3</v>
      </c>
      <c r="T47" s="605">
        <f>AVERAGE(R47:R61)</f>
        <v>109.51817433300589</v>
      </c>
      <c r="U47" s="436">
        <v>7</v>
      </c>
      <c r="V47" s="182">
        <v>1282.0253164556962</v>
      </c>
      <c r="W47" s="182">
        <v>183.14647377938516</v>
      </c>
      <c r="X47" s="436">
        <f>RANK(W47, W$47:W$61)</f>
        <v>3</v>
      </c>
      <c r="Y47" s="605">
        <f>AVERAGE(W47:W61)</f>
        <v>112.48843245194223</v>
      </c>
      <c r="Z47" s="436">
        <v>7</v>
      </c>
      <c r="AA47" s="182">
        <v>1263.0379746835442</v>
      </c>
      <c r="AB47" s="182">
        <v>180.43399638336345</v>
      </c>
      <c r="AC47" s="436">
        <f>RANK(AB47, AB$47:AB$61)</f>
        <v>3</v>
      </c>
      <c r="AD47" s="605">
        <f>AVERAGE(AB47:AB61)</f>
        <v>110.63869280633425</v>
      </c>
      <c r="AE47" s="436">
        <v>7</v>
      </c>
      <c r="AF47" s="182">
        <v>1260.9374999999998</v>
      </c>
      <c r="AG47" s="182">
        <v>180.13392857142853</v>
      </c>
      <c r="AH47" s="436">
        <f>RANK(AG47, AG$47:AG$61)</f>
        <v>3</v>
      </c>
      <c r="AI47" s="605">
        <f>AVERAGE(AG47:AG61)</f>
        <v>109.3253372470369</v>
      </c>
      <c r="AJ47" s="436">
        <v>7</v>
      </c>
      <c r="AK47" s="182">
        <v>1265.8333333333328</v>
      </c>
      <c r="AL47" s="182">
        <v>180.83333333333326</v>
      </c>
      <c r="AM47" s="436">
        <f>RANK(AL47, AL$47:AL$61)</f>
        <v>3</v>
      </c>
      <c r="AN47" s="605">
        <f>AVERAGE(AL47:AL61)</f>
        <v>112.02182596052309</v>
      </c>
      <c r="AO47" s="436">
        <v>7</v>
      </c>
      <c r="AP47" s="182">
        <v>1268.5714285714284</v>
      </c>
      <c r="AQ47" s="182">
        <v>181.22448979591834</v>
      </c>
      <c r="AR47" s="436">
        <f>RANK(AQ47, AQ$47:AQ$61)</f>
        <v>3</v>
      </c>
      <c r="AS47" s="605">
        <f>AVERAGE(AQ47:AQ61)</f>
        <v>108.72077991910872</v>
      </c>
      <c r="AT47" s="436">
        <v>7</v>
      </c>
      <c r="AU47" s="182">
        <v>1307.6923076923076</v>
      </c>
      <c r="AV47" s="182">
        <v>186.8131868131868</v>
      </c>
      <c r="AW47" s="436">
        <f>RANK(AV47, AV$47:AV$61)</f>
        <v>3</v>
      </c>
      <c r="AX47" s="605">
        <f>AVERAGE(AV47:AV61)</f>
        <v>111.02398459949863</v>
      </c>
    </row>
    <row r="48" spans="2:50">
      <c r="B48" s="572"/>
      <c r="C48" s="436">
        <v>2</v>
      </c>
      <c r="D48" s="226" t="s">
        <v>397</v>
      </c>
      <c r="E48" s="182">
        <v>6</v>
      </c>
      <c r="F48" s="436">
        <v>1500</v>
      </c>
      <c r="G48" s="437">
        <v>250</v>
      </c>
      <c r="H48" s="609"/>
      <c r="I48" s="446">
        <f t="shared" si="28"/>
        <v>7</v>
      </c>
      <c r="J48" s="446">
        <f t="shared" si="28"/>
        <v>1413.6705039927313</v>
      </c>
      <c r="K48" s="438">
        <f t="shared" si="28"/>
        <v>201.95292914181874</v>
      </c>
      <c r="L48" s="541"/>
      <c r="M48" s="445">
        <f>RANK(K48, K$47:$K$61)</f>
        <v>1</v>
      </c>
      <c r="N48" s="559"/>
      <c r="O48" s="559"/>
      <c r="P48" s="436">
        <v>7</v>
      </c>
      <c r="Q48" s="182">
        <v>1401.8644067796613</v>
      </c>
      <c r="R48" s="182">
        <v>200.2663438256659</v>
      </c>
      <c r="S48" s="436">
        <f t="shared" ref="S48:S54" si="29">RANK(R48, R$47:R$61)</f>
        <v>1</v>
      </c>
      <c r="T48" s="605"/>
      <c r="U48" s="436">
        <v>7</v>
      </c>
      <c r="V48" s="182">
        <v>1412.7731092436977</v>
      </c>
      <c r="W48" s="182">
        <v>201.82472989195682</v>
      </c>
      <c r="X48" s="436">
        <f t="shared" ref="X48:X54" si="30">RANK(W48, W$47:W$61)</f>
        <v>2</v>
      </c>
      <c r="Y48" s="605"/>
      <c r="Z48" s="436">
        <v>7</v>
      </c>
      <c r="AA48" s="182">
        <v>1396.1739130434785</v>
      </c>
      <c r="AB48" s="182">
        <v>199.45341614906835</v>
      </c>
      <c r="AC48" s="436">
        <f t="shared" ref="AC48:AC54" si="31">RANK(AB48, AB$47:AB$61)</f>
        <v>2</v>
      </c>
      <c r="AD48" s="605"/>
      <c r="AE48" s="436">
        <v>7</v>
      </c>
      <c r="AF48" s="182">
        <v>1416.1224489795923</v>
      </c>
      <c r="AG48" s="182">
        <v>202.3032069970846</v>
      </c>
      <c r="AH48" s="436">
        <f t="shared" ref="AH48:AH54" si="32">RANK(AG48, AG$47:AG$61)</f>
        <v>1</v>
      </c>
      <c r="AI48" s="605"/>
      <c r="AJ48" s="436">
        <v>7</v>
      </c>
      <c r="AK48" s="182">
        <v>1430.0970873786414</v>
      </c>
      <c r="AL48" s="182">
        <v>204.29958391123449</v>
      </c>
      <c r="AM48" s="436">
        <f t="shared" ref="AM48:AM54" si="33">RANK(AL48, AL$47:AL$61)</f>
        <v>1</v>
      </c>
      <c r="AN48" s="605"/>
      <c r="AO48" s="436">
        <v>7</v>
      </c>
      <c r="AP48" s="182">
        <v>1405.5652173913045</v>
      </c>
      <c r="AQ48" s="182">
        <v>200.79503105590064</v>
      </c>
      <c r="AR48" s="436">
        <f t="shared" ref="AR48:AR54" si="34">RANK(AQ48, AQ$47:AQ$61)</f>
        <v>1</v>
      </c>
      <c r="AS48" s="605"/>
      <c r="AT48" s="436">
        <v>7</v>
      </c>
      <c r="AU48" s="182">
        <v>1433.0973451327434</v>
      </c>
      <c r="AV48" s="182">
        <v>204.72819216182049</v>
      </c>
      <c r="AW48" s="436">
        <f t="shared" ref="AW48:AW54" si="35">RANK(AV48, AV$47:AV$61)</f>
        <v>1</v>
      </c>
      <c r="AX48" s="605"/>
    </row>
    <row r="49" spans="2:50">
      <c r="B49" s="572"/>
      <c r="C49" s="436">
        <v>3</v>
      </c>
      <c r="D49" s="226" t="s">
        <v>346</v>
      </c>
      <c r="E49" s="182">
        <v>19</v>
      </c>
      <c r="F49" s="436">
        <v>1500</v>
      </c>
      <c r="G49" s="437">
        <v>78.900000000000006</v>
      </c>
      <c r="H49" s="609"/>
      <c r="I49" s="446">
        <f t="shared" si="28"/>
        <v>18.857142857142858</v>
      </c>
      <c r="J49" s="446">
        <f t="shared" si="28"/>
        <v>1213.4944805539094</v>
      </c>
      <c r="K49" s="438">
        <f t="shared" si="28"/>
        <v>64.366250856220802</v>
      </c>
      <c r="L49" s="541"/>
      <c r="M49" s="445">
        <f>RANK(K49, K$47:$K$61)</f>
        <v>6</v>
      </c>
      <c r="N49" s="559"/>
      <c r="O49" s="559"/>
      <c r="P49" s="436">
        <v>19</v>
      </c>
      <c r="Q49" s="182">
        <v>1180.3764705882395</v>
      </c>
      <c r="R49" s="182">
        <v>62.125077399381027</v>
      </c>
      <c r="S49" s="436">
        <f t="shared" si="29"/>
        <v>6</v>
      </c>
      <c r="T49" s="605"/>
      <c r="U49" s="436">
        <v>18</v>
      </c>
      <c r="V49" s="182">
        <v>1192.5000000000043</v>
      </c>
      <c r="W49" s="182">
        <v>66.250000000000242</v>
      </c>
      <c r="X49" s="436">
        <f t="shared" si="30"/>
        <v>6</v>
      </c>
      <c r="Y49" s="605"/>
      <c r="Z49" s="436">
        <v>19</v>
      </c>
      <c r="AA49" s="182">
        <v>1220.6399999999967</v>
      </c>
      <c r="AB49" s="182">
        <v>64.244210526315612</v>
      </c>
      <c r="AC49" s="436">
        <f t="shared" si="31"/>
        <v>5</v>
      </c>
      <c r="AD49" s="605"/>
      <c r="AE49" s="436">
        <v>19</v>
      </c>
      <c r="AF49" s="182">
        <v>1226.608695652174</v>
      </c>
      <c r="AG49" s="182">
        <v>64.558352402745996</v>
      </c>
      <c r="AH49" s="436">
        <f t="shared" si="32"/>
        <v>5</v>
      </c>
      <c r="AI49" s="605"/>
      <c r="AJ49" s="436">
        <v>19</v>
      </c>
      <c r="AK49" s="182">
        <v>1243.5918367346942</v>
      </c>
      <c r="AL49" s="182">
        <v>65.452201933404965</v>
      </c>
      <c r="AM49" s="436">
        <f t="shared" si="33"/>
        <v>5</v>
      </c>
      <c r="AN49" s="605"/>
      <c r="AO49" s="436">
        <v>19</v>
      </c>
      <c r="AP49" s="182">
        <v>1224.4285714285725</v>
      </c>
      <c r="AQ49" s="182">
        <v>64.443609022556444</v>
      </c>
      <c r="AR49" s="436">
        <f t="shared" si="34"/>
        <v>5</v>
      </c>
      <c r="AS49" s="605"/>
      <c r="AT49" s="436">
        <v>19</v>
      </c>
      <c r="AU49" s="182">
        <v>1206.3157894736851</v>
      </c>
      <c r="AV49" s="182">
        <v>63.49030470914132</v>
      </c>
      <c r="AW49" s="436">
        <f t="shared" si="35"/>
        <v>5</v>
      </c>
      <c r="AX49" s="605"/>
    </row>
    <row r="50" spans="2:50">
      <c r="B50" s="572"/>
      <c r="C50" s="436">
        <v>4</v>
      </c>
      <c r="D50" s="226" t="s">
        <v>398</v>
      </c>
      <c r="E50" s="182">
        <v>17</v>
      </c>
      <c r="F50" s="436">
        <v>1440</v>
      </c>
      <c r="G50" s="437">
        <v>84.7</v>
      </c>
      <c r="H50" s="609"/>
      <c r="I50" s="446">
        <f t="shared" si="28"/>
        <v>16.142857142857142</v>
      </c>
      <c r="J50" s="446">
        <f t="shared" si="28"/>
        <v>1095.5642179452425</v>
      </c>
      <c r="K50" s="438">
        <f t="shared" si="28"/>
        <v>67.917585668043301</v>
      </c>
      <c r="L50" s="541"/>
      <c r="M50" s="445">
        <f>RANK(K50, K$47:$K$61)</f>
        <v>4</v>
      </c>
      <c r="N50" s="559"/>
      <c r="O50" s="559"/>
      <c r="P50" s="436">
        <v>17</v>
      </c>
      <c r="Q50" s="182">
        <v>1057.0588235294131</v>
      </c>
      <c r="R50" s="182">
        <v>62.179930795847831</v>
      </c>
      <c r="S50" s="436">
        <f t="shared" si="29"/>
        <v>5</v>
      </c>
      <c r="T50" s="605"/>
      <c r="U50" s="436">
        <v>16</v>
      </c>
      <c r="V50" s="182">
        <v>1188.3870967741948</v>
      </c>
      <c r="W50" s="182">
        <v>74.274193548387174</v>
      </c>
      <c r="X50" s="436">
        <f t="shared" si="30"/>
        <v>4</v>
      </c>
      <c r="Y50" s="605"/>
      <c r="Z50" s="436">
        <v>16</v>
      </c>
      <c r="AA50" s="182">
        <v>1019.999999999999</v>
      </c>
      <c r="AB50" s="182">
        <v>63.749999999999936</v>
      </c>
      <c r="AC50" s="436">
        <f t="shared" si="31"/>
        <v>6</v>
      </c>
      <c r="AD50" s="605"/>
      <c r="AE50" s="436">
        <v>16</v>
      </c>
      <c r="AF50" s="182">
        <v>1063.2000000000003</v>
      </c>
      <c r="AG50" s="182">
        <v>66.450000000000017</v>
      </c>
      <c r="AH50" s="436">
        <f t="shared" si="32"/>
        <v>4</v>
      </c>
      <c r="AI50" s="605"/>
      <c r="AJ50" s="436">
        <v>16</v>
      </c>
      <c r="AK50" s="182">
        <v>1178.7096774193558</v>
      </c>
      <c r="AL50" s="182">
        <v>73.669354838709737</v>
      </c>
      <c r="AM50" s="436">
        <f t="shared" si="33"/>
        <v>4</v>
      </c>
      <c r="AN50" s="605"/>
      <c r="AO50" s="436">
        <v>16</v>
      </c>
      <c r="AP50" s="182">
        <v>1018.0645161290306</v>
      </c>
      <c r="AQ50" s="182">
        <v>63.629032258064413</v>
      </c>
      <c r="AR50" s="436">
        <f t="shared" si="34"/>
        <v>6</v>
      </c>
      <c r="AS50" s="605"/>
      <c r="AT50" s="436">
        <v>16</v>
      </c>
      <c r="AU50" s="182">
        <v>1143.5294117647045</v>
      </c>
      <c r="AV50" s="182">
        <v>71.470588235294031</v>
      </c>
      <c r="AW50" s="436">
        <f t="shared" si="35"/>
        <v>4</v>
      </c>
      <c r="AX50" s="605"/>
    </row>
    <row r="51" spans="2:50">
      <c r="B51" s="572"/>
      <c r="C51" s="436">
        <v>5</v>
      </c>
      <c r="D51" s="226" t="s">
        <v>442</v>
      </c>
      <c r="E51" s="182">
        <v>6</v>
      </c>
      <c r="F51" s="436">
        <v>1500</v>
      </c>
      <c r="G51" s="437">
        <v>250</v>
      </c>
      <c r="H51" s="609"/>
      <c r="I51" s="446">
        <f t="shared" si="28"/>
        <v>7</v>
      </c>
      <c r="J51" s="446">
        <f t="shared" si="28"/>
        <v>1405.6893292910693</v>
      </c>
      <c r="K51" s="438">
        <f t="shared" si="28"/>
        <v>200.81276132729562</v>
      </c>
      <c r="L51" s="541"/>
      <c r="M51" s="445">
        <f>RANK(K51, K$47:$K$61)</f>
        <v>2</v>
      </c>
      <c r="N51" s="559"/>
      <c r="O51" s="559"/>
      <c r="P51" s="436">
        <v>7</v>
      </c>
      <c r="Q51" s="182">
        <v>1395.700934579439</v>
      </c>
      <c r="R51" s="182">
        <v>199.38584779706272</v>
      </c>
      <c r="S51" s="436">
        <f>RANK(R51, R$47:R$61)</f>
        <v>2</v>
      </c>
      <c r="T51" s="605"/>
      <c r="U51" s="436">
        <v>7</v>
      </c>
      <c r="V51" s="182">
        <v>1421.5384615384612</v>
      </c>
      <c r="W51" s="182">
        <v>203.07692307692304</v>
      </c>
      <c r="X51" s="436">
        <f>RANK(W51, W$47:W$61)</f>
        <v>1</v>
      </c>
      <c r="Y51" s="605"/>
      <c r="Z51" s="436">
        <v>7</v>
      </c>
      <c r="AA51" s="182">
        <v>1422.4528301886787</v>
      </c>
      <c r="AB51" s="182">
        <v>203.20754716981125</v>
      </c>
      <c r="AC51" s="436">
        <f>RANK(AB51, AB$47:AB$61)</f>
        <v>1</v>
      </c>
      <c r="AD51" s="605"/>
      <c r="AE51" s="436">
        <v>7</v>
      </c>
      <c r="AF51" s="182">
        <v>1406.0869565217397</v>
      </c>
      <c r="AG51" s="182">
        <v>200.8695652173914</v>
      </c>
      <c r="AH51" s="436">
        <f>RANK(AG51, AG$47:AG$61)</f>
        <v>2</v>
      </c>
      <c r="AI51" s="605"/>
      <c r="AJ51" s="436">
        <v>7</v>
      </c>
      <c r="AK51" s="182">
        <v>1413.7500000000005</v>
      </c>
      <c r="AL51" s="182">
        <v>201.96428571428578</v>
      </c>
      <c r="AM51" s="436">
        <f>RANK(AL51, AL$47:AL$61)</f>
        <v>2</v>
      </c>
      <c r="AN51" s="605"/>
      <c r="AO51" s="436">
        <v>7</v>
      </c>
      <c r="AP51" s="182">
        <v>1386.7826086956525</v>
      </c>
      <c r="AQ51" s="182">
        <v>198.11180124223606</v>
      </c>
      <c r="AR51" s="436">
        <f>RANK(AQ51, AQ$47:AQ$61)</f>
        <v>2</v>
      </c>
      <c r="AS51" s="605"/>
      <c r="AT51" s="436">
        <v>7</v>
      </c>
      <c r="AU51" s="182">
        <v>1393.5135135135135</v>
      </c>
      <c r="AV51" s="182">
        <v>199.07335907335909</v>
      </c>
      <c r="AW51" s="436">
        <f>RANK(AV51, AV$47:AV$61)</f>
        <v>2</v>
      </c>
      <c r="AX51" s="605"/>
    </row>
    <row r="52" spans="2:50">
      <c r="B52" s="572"/>
      <c r="C52" s="436">
        <v>6</v>
      </c>
      <c r="D52" s="226" t="s">
        <v>468</v>
      </c>
      <c r="E52" s="182">
        <v>19</v>
      </c>
      <c r="F52" s="436">
        <v>1440</v>
      </c>
      <c r="G52" s="437">
        <v>75.8</v>
      </c>
      <c r="H52" s="609"/>
      <c r="I52" s="446">
        <f t="shared" si="28"/>
        <v>18.571428571428573</v>
      </c>
      <c r="J52" s="446">
        <f t="shared" si="28"/>
        <v>1208.9267801895098</v>
      </c>
      <c r="K52" s="438">
        <f t="shared" si="28"/>
        <v>65.139154547065473</v>
      </c>
      <c r="L52" s="541"/>
      <c r="M52" s="445">
        <f>RANK(K52, K$47:$K$61)</f>
        <v>5</v>
      </c>
      <c r="N52" s="559"/>
      <c r="O52" s="559"/>
      <c r="P52" s="436">
        <v>18</v>
      </c>
      <c r="Q52" s="182">
        <v>1209.8461538461534</v>
      </c>
      <c r="R52" s="182">
        <v>67.213675213675188</v>
      </c>
      <c r="S52" s="436">
        <f t="shared" si="29"/>
        <v>4</v>
      </c>
      <c r="T52" s="605"/>
      <c r="U52" s="436">
        <v>18</v>
      </c>
      <c r="V52" s="182">
        <v>1198.9285714285722</v>
      </c>
      <c r="W52" s="182">
        <v>66.607142857142904</v>
      </c>
      <c r="X52" s="436">
        <f t="shared" si="30"/>
        <v>5</v>
      </c>
      <c r="Y52" s="605"/>
      <c r="Z52" s="436">
        <v>18</v>
      </c>
      <c r="AA52" s="182">
        <v>1209.5869565217392</v>
      </c>
      <c r="AB52" s="182">
        <v>67.199275362318843</v>
      </c>
      <c r="AC52" s="436">
        <f t="shared" si="31"/>
        <v>4</v>
      </c>
      <c r="AD52" s="605"/>
      <c r="AE52" s="436">
        <v>19</v>
      </c>
      <c r="AF52" s="182">
        <v>1208.1081081081072</v>
      </c>
      <c r="AG52" s="182">
        <v>63.58463726884775</v>
      </c>
      <c r="AH52" s="436">
        <f t="shared" si="32"/>
        <v>6</v>
      </c>
      <c r="AI52" s="605"/>
      <c r="AJ52" s="436">
        <v>19</v>
      </c>
      <c r="AK52" s="182">
        <v>1216.8000000000002</v>
      </c>
      <c r="AL52" s="182">
        <v>64.042105263157907</v>
      </c>
      <c r="AM52" s="436">
        <f t="shared" si="33"/>
        <v>6</v>
      </c>
      <c r="AN52" s="605"/>
      <c r="AO52" s="436">
        <v>19</v>
      </c>
      <c r="AP52" s="182">
        <v>1224.8780487804875</v>
      </c>
      <c r="AQ52" s="182">
        <v>64.467265725288811</v>
      </c>
      <c r="AR52" s="436">
        <f t="shared" si="34"/>
        <v>4</v>
      </c>
      <c r="AS52" s="605"/>
      <c r="AT52" s="436">
        <v>19</v>
      </c>
      <c r="AU52" s="182">
        <v>1194.33962264151</v>
      </c>
      <c r="AV52" s="182">
        <v>62.859980139026845</v>
      </c>
      <c r="AW52" s="436">
        <f t="shared" si="35"/>
        <v>6</v>
      </c>
      <c r="AX52" s="605"/>
    </row>
    <row r="53" spans="2:50">
      <c r="B53" s="572"/>
      <c r="C53" s="436">
        <v>7</v>
      </c>
      <c r="D53" s="226" t="s">
        <v>488</v>
      </c>
      <c r="E53" s="182">
        <v>21</v>
      </c>
      <c r="F53" s="436">
        <v>1385</v>
      </c>
      <c r="G53" s="437">
        <v>65.900000000000006</v>
      </c>
      <c r="H53" s="609"/>
      <c r="I53" s="446">
        <f t="shared" si="28"/>
        <v>19.142857142857142</v>
      </c>
      <c r="J53" s="446">
        <f t="shared" si="28"/>
        <v>1051.7489076970501</v>
      </c>
      <c r="K53" s="438">
        <f t="shared" si="28"/>
        <v>54.949784219908047</v>
      </c>
      <c r="L53" s="541"/>
      <c r="M53" s="445">
        <f>RANK(K53, K$47:$K$61)</f>
        <v>7</v>
      </c>
      <c r="N53" s="559"/>
      <c r="O53" s="559"/>
      <c r="P53" s="436">
        <v>20</v>
      </c>
      <c r="Q53" s="182">
        <v>1078.421052631578</v>
      </c>
      <c r="R53" s="182">
        <v>53.921052631578902</v>
      </c>
      <c r="S53" s="436">
        <f t="shared" si="29"/>
        <v>7</v>
      </c>
      <c r="T53" s="605"/>
      <c r="U53" s="436">
        <v>19</v>
      </c>
      <c r="V53" s="182">
        <v>1094.1176470588223</v>
      </c>
      <c r="W53" s="182">
        <v>57.585139318885382</v>
      </c>
      <c r="X53" s="436">
        <f t="shared" si="30"/>
        <v>7</v>
      </c>
      <c r="Y53" s="605"/>
      <c r="Z53" s="436">
        <v>19</v>
      </c>
      <c r="AA53" s="182">
        <v>1113.5294117647045</v>
      </c>
      <c r="AB53" s="182">
        <v>58.606811145510761</v>
      </c>
      <c r="AC53" s="436">
        <f t="shared" si="31"/>
        <v>7</v>
      </c>
      <c r="AD53" s="605"/>
      <c r="AE53" s="436">
        <v>19</v>
      </c>
      <c r="AF53" s="182">
        <v>952.50000000000102</v>
      </c>
      <c r="AG53" s="182">
        <v>50.131578947368475</v>
      </c>
      <c r="AH53" s="436">
        <f t="shared" si="32"/>
        <v>7</v>
      </c>
      <c r="AI53" s="605"/>
      <c r="AJ53" s="436">
        <v>19</v>
      </c>
      <c r="AK53" s="182">
        <v>1136.2500000000014</v>
      </c>
      <c r="AL53" s="182">
        <v>59.802631578947441</v>
      </c>
      <c r="AM53" s="436">
        <f t="shared" si="33"/>
        <v>7</v>
      </c>
      <c r="AN53" s="605"/>
      <c r="AO53" s="436">
        <v>19</v>
      </c>
      <c r="AP53" s="182">
        <v>949.09090909091003</v>
      </c>
      <c r="AQ53" s="182">
        <v>49.952153110047895</v>
      </c>
      <c r="AR53" s="436">
        <f t="shared" si="34"/>
        <v>7</v>
      </c>
      <c r="AS53" s="605"/>
      <c r="AT53" s="436">
        <v>19</v>
      </c>
      <c r="AU53" s="182">
        <v>1038.3333333333326</v>
      </c>
      <c r="AV53" s="182">
        <v>54.649122807017505</v>
      </c>
      <c r="AW53" s="436">
        <f t="shared" si="35"/>
        <v>7</v>
      </c>
      <c r="AX53" s="605"/>
    </row>
    <row r="54" spans="2:50">
      <c r="B54" s="572"/>
      <c r="C54" s="436">
        <v>8</v>
      </c>
      <c r="D54" s="226" t="s">
        <v>566</v>
      </c>
      <c r="E54" s="182">
        <v>21</v>
      </c>
      <c r="F54" s="436">
        <v>1385</v>
      </c>
      <c r="G54" s="437">
        <v>65.900000000000006</v>
      </c>
      <c r="H54" s="609"/>
      <c r="I54" s="446">
        <f t="shared" si="28"/>
        <v>20</v>
      </c>
      <c r="J54" s="446">
        <f t="shared" si="28"/>
        <v>936.38321995464878</v>
      </c>
      <c r="K54" s="438">
        <f t="shared" si="28"/>
        <v>46.819160997732446</v>
      </c>
      <c r="L54" s="541"/>
      <c r="M54" s="445">
        <f>RANK(K54, K$47:$K$61)</f>
        <v>8</v>
      </c>
      <c r="N54" s="559"/>
      <c r="O54" s="559"/>
      <c r="P54" s="436">
        <v>20</v>
      </c>
      <c r="Q54" s="182">
        <v>948.88888888888937</v>
      </c>
      <c r="R54" s="182">
        <v>47.444444444444471</v>
      </c>
      <c r="S54" s="436">
        <f t="shared" si="29"/>
        <v>8</v>
      </c>
      <c r="T54" s="605"/>
      <c r="U54" s="436">
        <v>20</v>
      </c>
      <c r="V54" s="182">
        <v>942.85714285714357</v>
      </c>
      <c r="W54" s="182">
        <v>47.142857142857181</v>
      </c>
      <c r="X54" s="436">
        <f t="shared" si="30"/>
        <v>8</v>
      </c>
      <c r="Y54" s="605"/>
      <c r="Z54" s="436">
        <v>20</v>
      </c>
      <c r="AA54" s="182">
        <v>964.28571428571502</v>
      </c>
      <c r="AB54" s="182">
        <v>48.214285714285751</v>
      </c>
      <c r="AC54" s="436">
        <f t="shared" si="31"/>
        <v>8</v>
      </c>
      <c r="AD54" s="605"/>
      <c r="AE54" s="436">
        <v>20</v>
      </c>
      <c r="AF54" s="182">
        <v>931.4285714285711</v>
      </c>
      <c r="AG54" s="182">
        <v>46.571428571428555</v>
      </c>
      <c r="AH54" s="436">
        <f t="shared" si="32"/>
        <v>8</v>
      </c>
      <c r="AI54" s="605"/>
      <c r="AJ54" s="436">
        <v>20</v>
      </c>
      <c r="AK54" s="182">
        <v>922.22222222222274</v>
      </c>
      <c r="AL54" s="182">
        <v>46.111111111111136</v>
      </c>
      <c r="AM54" s="436">
        <f t="shared" si="33"/>
        <v>8</v>
      </c>
      <c r="AN54" s="605"/>
      <c r="AO54" s="436">
        <v>20</v>
      </c>
      <c r="AP54" s="182">
        <v>942.85714285714243</v>
      </c>
      <c r="AQ54" s="182">
        <v>47.142857142857125</v>
      </c>
      <c r="AR54" s="436">
        <f t="shared" si="34"/>
        <v>8</v>
      </c>
      <c r="AS54" s="605"/>
      <c r="AT54" s="436">
        <v>20</v>
      </c>
      <c r="AU54" s="182">
        <v>902.14285714285779</v>
      </c>
      <c r="AV54" s="182">
        <v>45.10714285714289</v>
      </c>
      <c r="AW54" s="436">
        <f t="shared" si="35"/>
        <v>8</v>
      </c>
      <c r="AX54" s="605"/>
    </row>
    <row r="55" spans="2:50">
      <c r="B55" s="572"/>
      <c r="C55" s="436">
        <v>9</v>
      </c>
      <c r="D55" s="226"/>
      <c r="E55" s="182"/>
      <c r="F55" s="436"/>
      <c r="G55" s="437"/>
      <c r="H55" s="609"/>
      <c r="I55" s="446"/>
      <c r="J55" s="446"/>
      <c r="K55" s="438"/>
      <c r="L55" s="541"/>
      <c r="M55" s="445" t="e">
        <f>RANK(K55, K$47:$K$61)</f>
        <v>#N/A</v>
      </c>
      <c r="N55" s="559"/>
      <c r="O55" s="559"/>
      <c r="P55" s="436"/>
      <c r="Q55" s="436"/>
      <c r="R55" s="436"/>
      <c r="S55" s="436"/>
      <c r="T55" s="605"/>
      <c r="U55" s="436"/>
      <c r="V55" s="436"/>
      <c r="W55" s="436"/>
      <c r="X55" s="436"/>
      <c r="Y55" s="605"/>
      <c r="Z55" s="436"/>
      <c r="AA55" s="436"/>
      <c r="AB55" s="436"/>
      <c r="AC55" s="436"/>
      <c r="AD55" s="605"/>
      <c r="AE55" s="436"/>
      <c r="AF55" s="436"/>
      <c r="AG55" s="436"/>
      <c r="AH55" s="436"/>
      <c r="AI55" s="605"/>
      <c r="AJ55" s="436"/>
      <c r="AK55" s="436"/>
      <c r="AL55" s="436"/>
      <c r="AM55" s="436"/>
      <c r="AN55" s="605"/>
      <c r="AO55" s="436"/>
      <c r="AP55" s="436"/>
      <c r="AQ55" s="436"/>
      <c r="AR55" s="436"/>
      <c r="AS55" s="605"/>
      <c r="AT55" s="436"/>
      <c r="AU55" s="436"/>
      <c r="AV55" s="436"/>
      <c r="AW55" s="436"/>
      <c r="AX55" s="605"/>
    </row>
    <row r="56" spans="2:50">
      <c r="B56" s="572"/>
      <c r="C56" s="436">
        <v>10</v>
      </c>
      <c r="D56" s="226"/>
      <c r="E56" s="182"/>
      <c r="F56" s="436"/>
      <c r="G56" s="437"/>
      <c r="H56" s="609"/>
      <c r="I56" s="446"/>
      <c r="J56" s="446"/>
      <c r="K56" s="438"/>
      <c r="L56" s="541"/>
      <c r="M56" s="445" t="e">
        <f>RANK(K56, K$47:$K$61)</f>
        <v>#N/A</v>
      </c>
      <c r="N56" s="559"/>
      <c r="O56" s="559"/>
      <c r="P56" s="436"/>
      <c r="Q56" s="436"/>
      <c r="R56" s="436"/>
      <c r="S56" s="436"/>
      <c r="T56" s="605"/>
      <c r="U56" s="436"/>
      <c r="V56" s="436"/>
      <c r="W56" s="436"/>
      <c r="X56" s="436"/>
      <c r="Y56" s="605"/>
      <c r="Z56" s="436"/>
      <c r="AA56" s="436"/>
      <c r="AB56" s="436"/>
      <c r="AC56" s="436"/>
      <c r="AD56" s="605"/>
      <c r="AE56" s="436"/>
      <c r="AF56" s="436"/>
      <c r="AG56" s="436"/>
      <c r="AH56" s="436"/>
      <c r="AI56" s="605"/>
      <c r="AJ56" s="436"/>
      <c r="AK56" s="436"/>
      <c r="AL56" s="436"/>
      <c r="AM56" s="436"/>
      <c r="AN56" s="605"/>
      <c r="AO56" s="436"/>
      <c r="AP56" s="436"/>
      <c r="AQ56" s="436"/>
      <c r="AR56" s="436"/>
      <c r="AS56" s="605"/>
      <c r="AT56" s="436"/>
      <c r="AU56" s="436"/>
      <c r="AV56" s="436"/>
      <c r="AW56" s="436"/>
      <c r="AX56" s="605"/>
    </row>
    <row r="57" spans="2:50">
      <c r="B57" s="572"/>
      <c r="C57" s="436">
        <v>11</v>
      </c>
      <c r="D57" s="226"/>
      <c r="E57" s="182"/>
      <c r="F57" s="436"/>
      <c r="G57" s="437"/>
      <c r="H57" s="609"/>
      <c r="I57" s="446"/>
      <c r="J57" s="446"/>
      <c r="K57" s="438"/>
      <c r="L57" s="541"/>
      <c r="M57" s="445" t="e">
        <f>RANK(K57, K$47:$K$61)</f>
        <v>#N/A</v>
      </c>
      <c r="N57" s="559"/>
      <c r="O57" s="559"/>
      <c r="P57" s="436"/>
      <c r="Q57" s="436"/>
      <c r="R57" s="436"/>
      <c r="S57" s="436"/>
      <c r="T57" s="605"/>
      <c r="U57" s="436"/>
      <c r="V57" s="436"/>
      <c r="W57" s="436"/>
      <c r="X57" s="436"/>
      <c r="Y57" s="605"/>
      <c r="Z57" s="436"/>
      <c r="AA57" s="436"/>
      <c r="AB57" s="436"/>
      <c r="AC57" s="436"/>
      <c r="AD57" s="605"/>
      <c r="AE57" s="436"/>
      <c r="AF57" s="436"/>
      <c r="AG57" s="436"/>
      <c r="AH57" s="436"/>
      <c r="AI57" s="605"/>
      <c r="AJ57" s="436"/>
      <c r="AK57" s="436"/>
      <c r="AL57" s="436"/>
      <c r="AM57" s="436"/>
      <c r="AN57" s="605"/>
      <c r="AO57" s="436"/>
      <c r="AP57" s="436"/>
      <c r="AQ57" s="436"/>
      <c r="AR57" s="436"/>
      <c r="AS57" s="605"/>
      <c r="AT57" s="436"/>
      <c r="AU57" s="436"/>
      <c r="AV57" s="436"/>
      <c r="AW57" s="436"/>
      <c r="AX57" s="605"/>
    </row>
    <row r="58" spans="2:50">
      <c r="B58" s="572"/>
      <c r="C58" s="436">
        <v>12</v>
      </c>
      <c r="D58" s="226"/>
      <c r="E58" s="182"/>
      <c r="F58" s="436"/>
      <c r="G58" s="437"/>
      <c r="H58" s="609"/>
      <c r="I58" s="446"/>
      <c r="J58" s="446"/>
      <c r="K58" s="438"/>
      <c r="L58" s="541"/>
      <c r="M58" s="445" t="e">
        <f>RANK(K58, K$47:$K$61)</f>
        <v>#N/A</v>
      </c>
      <c r="N58" s="559"/>
      <c r="O58" s="559"/>
      <c r="P58" s="436"/>
      <c r="Q58" s="436"/>
      <c r="R58" s="436"/>
      <c r="S58" s="436"/>
      <c r="T58" s="605"/>
      <c r="U58" s="436"/>
      <c r="V58" s="436"/>
      <c r="W58" s="436"/>
      <c r="X58" s="436"/>
      <c r="Y58" s="605"/>
      <c r="Z58" s="436"/>
      <c r="AA58" s="436"/>
      <c r="AB58" s="436"/>
      <c r="AC58" s="436"/>
      <c r="AD58" s="605"/>
      <c r="AE58" s="436"/>
      <c r="AF58" s="436"/>
      <c r="AG58" s="436"/>
      <c r="AH58" s="436"/>
      <c r="AI58" s="605"/>
      <c r="AJ58" s="436"/>
      <c r="AK58" s="436"/>
      <c r="AL58" s="436"/>
      <c r="AM58" s="436"/>
      <c r="AN58" s="605"/>
      <c r="AO58" s="436"/>
      <c r="AP58" s="436"/>
      <c r="AQ58" s="436"/>
      <c r="AR58" s="436"/>
      <c r="AS58" s="605"/>
      <c r="AT58" s="436"/>
      <c r="AU58" s="436"/>
      <c r="AV58" s="436"/>
      <c r="AW58" s="436"/>
      <c r="AX58" s="605"/>
    </row>
    <row r="59" spans="2:50">
      <c r="B59" s="572"/>
      <c r="C59" s="436">
        <v>13</v>
      </c>
      <c r="D59" s="226"/>
      <c r="E59" s="182"/>
      <c r="F59" s="436"/>
      <c r="G59" s="437"/>
      <c r="H59" s="609"/>
      <c r="I59" s="446"/>
      <c r="J59" s="446"/>
      <c r="K59" s="438"/>
      <c r="L59" s="541"/>
      <c r="M59" s="445" t="e">
        <f>RANK(K59, K$47:$K$61)</f>
        <v>#N/A</v>
      </c>
      <c r="N59" s="559"/>
      <c r="O59" s="559"/>
      <c r="P59" s="436"/>
      <c r="Q59" s="436"/>
      <c r="R59" s="436"/>
      <c r="S59" s="436"/>
      <c r="T59" s="605"/>
      <c r="U59" s="436"/>
      <c r="V59" s="436"/>
      <c r="W59" s="436"/>
      <c r="X59" s="436"/>
      <c r="Y59" s="605"/>
      <c r="Z59" s="436"/>
      <c r="AA59" s="436"/>
      <c r="AB59" s="436"/>
      <c r="AC59" s="436"/>
      <c r="AD59" s="605"/>
      <c r="AE59" s="436"/>
      <c r="AF59" s="436"/>
      <c r="AG59" s="436"/>
      <c r="AH59" s="436"/>
      <c r="AI59" s="605"/>
      <c r="AJ59" s="436"/>
      <c r="AK59" s="436"/>
      <c r="AL59" s="436"/>
      <c r="AM59" s="436"/>
      <c r="AN59" s="605"/>
      <c r="AO59" s="436"/>
      <c r="AP59" s="436"/>
      <c r="AQ59" s="436"/>
      <c r="AR59" s="436"/>
      <c r="AS59" s="605"/>
      <c r="AT59" s="436"/>
      <c r="AU59" s="436"/>
      <c r="AV59" s="436"/>
      <c r="AW59" s="436"/>
      <c r="AX59" s="605"/>
    </row>
    <row r="60" spans="2:50">
      <c r="B60" s="572"/>
      <c r="C60" s="436">
        <v>14</v>
      </c>
      <c r="D60" s="226"/>
      <c r="E60" s="182"/>
      <c r="F60" s="436"/>
      <c r="G60" s="437"/>
      <c r="H60" s="609"/>
      <c r="I60" s="446"/>
      <c r="J60" s="446"/>
      <c r="K60" s="438"/>
      <c r="L60" s="541"/>
      <c r="M60" s="445" t="e">
        <f>RANK(K60, K$47:$K$61)</f>
        <v>#N/A</v>
      </c>
      <c r="N60" s="559"/>
      <c r="O60" s="559"/>
      <c r="P60" s="436"/>
      <c r="Q60" s="436"/>
      <c r="R60" s="436"/>
      <c r="S60" s="436"/>
      <c r="T60" s="605"/>
      <c r="U60" s="436"/>
      <c r="V60" s="436"/>
      <c r="W60" s="436"/>
      <c r="X60" s="436"/>
      <c r="Y60" s="605"/>
      <c r="Z60" s="436"/>
      <c r="AA60" s="436"/>
      <c r="AB60" s="436"/>
      <c r="AC60" s="436"/>
      <c r="AD60" s="605"/>
      <c r="AE60" s="436"/>
      <c r="AF60" s="436"/>
      <c r="AG60" s="436"/>
      <c r="AH60" s="436"/>
      <c r="AI60" s="605"/>
      <c r="AJ60" s="436"/>
      <c r="AK60" s="436"/>
      <c r="AL60" s="436"/>
      <c r="AM60" s="436"/>
      <c r="AN60" s="605"/>
      <c r="AO60" s="436"/>
      <c r="AP60" s="436"/>
      <c r="AQ60" s="436"/>
      <c r="AR60" s="436"/>
      <c r="AS60" s="605"/>
      <c r="AT60" s="436"/>
      <c r="AU60" s="436"/>
      <c r="AV60" s="436"/>
      <c r="AW60" s="436"/>
      <c r="AX60" s="605"/>
    </row>
    <row r="61" spans="2:50">
      <c r="B61" s="572"/>
      <c r="C61" s="436">
        <v>15</v>
      </c>
      <c r="D61" s="226"/>
      <c r="E61" s="182"/>
      <c r="F61" s="436"/>
      <c r="G61" s="437"/>
      <c r="H61" s="610"/>
      <c r="I61" s="446"/>
      <c r="J61" s="446"/>
      <c r="K61" s="438"/>
      <c r="L61" s="542"/>
      <c r="M61" s="445" t="e">
        <f>RANK(K61, K$47:$K$61)</f>
        <v>#N/A</v>
      </c>
      <c r="N61" s="559"/>
      <c r="O61" s="559"/>
      <c r="P61" s="436"/>
      <c r="Q61" s="436"/>
      <c r="R61" s="436"/>
      <c r="S61" s="436"/>
      <c r="T61" s="605"/>
      <c r="U61" s="436"/>
      <c r="V61" s="436"/>
      <c r="W61" s="436"/>
      <c r="X61" s="436"/>
      <c r="Y61" s="605"/>
      <c r="Z61" s="436"/>
      <c r="AA61" s="436"/>
      <c r="AB61" s="436"/>
      <c r="AC61" s="436"/>
      <c r="AD61" s="605"/>
      <c r="AE61" s="436"/>
      <c r="AF61" s="436"/>
      <c r="AG61" s="436"/>
      <c r="AH61" s="436"/>
      <c r="AI61" s="605"/>
      <c r="AJ61" s="436"/>
      <c r="AK61" s="436"/>
      <c r="AL61" s="436"/>
      <c r="AM61" s="436"/>
      <c r="AN61" s="605"/>
      <c r="AO61" s="436"/>
      <c r="AP61" s="436"/>
      <c r="AQ61" s="436"/>
      <c r="AR61" s="436"/>
      <c r="AS61" s="605"/>
      <c r="AT61" s="436"/>
      <c r="AU61" s="436"/>
      <c r="AV61" s="436"/>
      <c r="AW61" s="436"/>
      <c r="AX61" s="605"/>
    </row>
    <row r="62" spans="2:50" ht="15.75">
      <c r="B62" s="576" t="s">
        <v>731</v>
      </c>
      <c r="C62" s="577"/>
      <c r="D62" s="577"/>
      <c r="E62" s="577"/>
      <c r="F62" s="577"/>
      <c r="G62" s="577"/>
      <c r="H62" s="578"/>
      <c r="I62" s="208"/>
      <c r="J62" s="208"/>
      <c r="K62" s="208"/>
      <c r="L62" s="208"/>
      <c r="M62" s="207"/>
      <c r="N62" s="565" t="s">
        <v>732</v>
      </c>
      <c r="O62" s="565" t="s">
        <v>733</v>
      </c>
      <c r="P62" s="571">
        <f>P42+7</f>
        <v>20</v>
      </c>
      <c r="Q62" s="572"/>
      <c r="R62" s="572"/>
      <c r="S62" s="572"/>
      <c r="T62" s="572"/>
      <c r="U62" s="568">
        <f>P62+1</f>
        <v>21</v>
      </c>
      <c r="V62" s="569"/>
      <c r="W62" s="569"/>
      <c r="X62" s="569"/>
      <c r="Y62" s="570"/>
      <c r="Z62" s="568">
        <f>U62+1</f>
        <v>22</v>
      </c>
      <c r="AA62" s="569"/>
      <c r="AB62" s="569"/>
      <c r="AC62" s="569"/>
      <c r="AD62" s="570"/>
      <c r="AE62" s="568">
        <f>Z62+1</f>
        <v>23</v>
      </c>
      <c r="AF62" s="569"/>
      <c r="AG62" s="569"/>
      <c r="AH62" s="569"/>
      <c r="AI62" s="570"/>
      <c r="AJ62" s="568">
        <f>AE62+1</f>
        <v>24</v>
      </c>
      <c r="AK62" s="569"/>
      <c r="AL62" s="569"/>
      <c r="AM62" s="569"/>
      <c r="AN62" s="570"/>
      <c r="AO62" s="568">
        <f>AJ62+1</f>
        <v>25</v>
      </c>
      <c r="AP62" s="569"/>
      <c r="AQ62" s="569"/>
      <c r="AR62" s="569"/>
      <c r="AS62" s="570"/>
      <c r="AT62" s="568">
        <f>AO62+1</f>
        <v>26</v>
      </c>
      <c r="AU62" s="569"/>
      <c r="AV62" s="569"/>
      <c r="AW62" s="569"/>
      <c r="AX62" s="570"/>
    </row>
    <row r="63" spans="2:50" ht="15.75">
      <c r="B63" s="579"/>
      <c r="C63" s="579"/>
      <c r="D63" s="579"/>
      <c r="E63" s="579"/>
      <c r="F63" s="579"/>
      <c r="G63" s="579"/>
      <c r="H63" s="579"/>
      <c r="I63" s="205"/>
      <c r="J63" s="205"/>
      <c r="K63" s="205"/>
      <c r="L63" s="205"/>
      <c r="M63" s="206"/>
      <c r="N63" s="567"/>
      <c r="O63" s="567"/>
      <c r="P63" s="571" t="s">
        <v>734</v>
      </c>
      <c r="Q63" s="572"/>
      <c r="R63" s="572"/>
      <c r="S63" s="572"/>
      <c r="T63" s="572"/>
      <c r="U63" s="571" t="s">
        <v>735</v>
      </c>
      <c r="V63" s="572"/>
      <c r="W63" s="572"/>
      <c r="X63" s="572"/>
      <c r="Y63" s="572"/>
      <c r="Z63" s="571" t="s">
        <v>736</v>
      </c>
      <c r="AA63" s="572"/>
      <c r="AB63" s="572"/>
      <c r="AC63" s="572"/>
      <c r="AD63" s="572"/>
      <c r="AE63" s="571" t="s">
        <v>737</v>
      </c>
      <c r="AF63" s="572"/>
      <c r="AG63" s="572"/>
      <c r="AH63" s="572"/>
      <c r="AI63" s="572"/>
      <c r="AJ63" s="571" t="s">
        <v>738</v>
      </c>
      <c r="AK63" s="572"/>
      <c r="AL63" s="572"/>
      <c r="AM63" s="572"/>
      <c r="AN63" s="572"/>
      <c r="AO63" s="571" t="s">
        <v>739</v>
      </c>
      <c r="AP63" s="572"/>
      <c r="AQ63" s="572"/>
      <c r="AR63" s="572"/>
      <c r="AS63" s="572"/>
      <c r="AT63" s="571" t="s">
        <v>740</v>
      </c>
      <c r="AU63" s="572"/>
      <c r="AV63" s="572"/>
      <c r="AW63" s="572"/>
      <c r="AX63" s="572"/>
    </row>
    <row r="64" spans="2:50">
      <c r="B64" s="559" t="s">
        <v>741</v>
      </c>
      <c r="C64" s="559" t="s">
        <v>742</v>
      </c>
      <c r="D64" s="559"/>
      <c r="E64" s="559" t="s">
        <v>743</v>
      </c>
      <c r="F64" s="559"/>
      <c r="G64" s="559"/>
      <c r="H64" s="560" t="s">
        <v>744</v>
      </c>
      <c r="I64" s="543" t="s">
        <v>745</v>
      </c>
      <c r="J64" s="543"/>
      <c r="K64" s="543"/>
      <c r="L64" s="544" t="s">
        <v>744</v>
      </c>
      <c r="M64" s="550" t="s">
        <v>746</v>
      </c>
      <c r="N64" s="559"/>
      <c r="O64" s="559" t="s">
        <v>747</v>
      </c>
      <c r="P64" s="556" t="s">
        <v>748</v>
      </c>
      <c r="Q64" s="557"/>
      <c r="R64" s="557"/>
      <c r="S64" s="558"/>
      <c r="T64" s="559" t="s">
        <v>744</v>
      </c>
      <c r="U64" s="556" t="s">
        <v>748</v>
      </c>
      <c r="V64" s="557"/>
      <c r="W64" s="557"/>
      <c r="X64" s="558"/>
      <c r="Y64" s="559" t="s">
        <v>744</v>
      </c>
      <c r="Z64" s="556" t="s">
        <v>748</v>
      </c>
      <c r="AA64" s="557"/>
      <c r="AB64" s="557"/>
      <c r="AC64" s="558"/>
      <c r="AD64" s="559" t="s">
        <v>744</v>
      </c>
      <c r="AE64" s="556" t="s">
        <v>748</v>
      </c>
      <c r="AF64" s="557"/>
      <c r="AG64" s="557"/>
      <c r="AH64" s="558"/>
      <c r="AI64" s="559" t="s">
        <v>744</v>
      </c>
      <c r="AJ64" s="556" t="s">
        <v>748</v>
      </c>
      <c r="AK64" s="557"/>
      <c r="AL64" s="557"/>
      <c r="AM64" s="558"/>
      <c r="AN64" s="559" t="s">
        <v>744</v>
      </c>
      <c r="AO64" s="556" t="s">
        <v>748</v>
      </c>
      <c r="AP64" s="557"/>
      <c r="AQ64" s="557"/>
      <c r="AR64" s="558"/>
      <c r="AS64" s="559" t="s">
        <v>744</v>
      </c>
      <c r="AT64" s="556" t="s">
        <v>748</v>
      </c>
      <c r="AU64" s="557"/>
      <c r="AV64" s="557"/>
      <c r="AW64" s="558"/>
      <c r="AX64" s="559" t="s">
        <v>744</v>
      </c>
    </row>
    <row r="65" spans="2:50">
      <c r="B65" s="559"/>
      <c r="C65" s="559"/>
      <c r="D65" s="559"/>
      <c r="E65" s="559" t="s">
        <v>749</v>
      </c>
      <c r="F65" s="559"/>
      <c r="G65" s="559"/>
      <c r="H65" s="561"/>
      <c r="I65" s="543" t="s">
        <v>749</v>
      </c>
      <c r="J65" s="543"/>
      <c r="K65" s="543"/>
      <c r="L65" s="545"/>
      <c r="M65" s="551"/>
      <c r="N65" s="559"/>
      <c r="O65" s="559"/>
      <c r="P65" s="556" t="s">
        <v>750</v>
      </c>
      <c r="Q65" s="557"/>
      <c r="R65" s="557"/>
      <c r="S65" s="558"/>
      <c r="T65" s="559"/>
      <c r="U65" s="556" t="s">
        <v>750</v>
      </c>
      <c r="V65" s="557"/>
      <c r="W65" s="557"/>
      <c r="X65" s="558"/>
      <c r="Y65" s="559"/>
      <c r="Z65" s="556" t="s">
        <v>750</v>
      </c>
      <c r="AA65" s="557"/>
      <c r="AB65" s="557"/>
      <c r="AC65" s="558"/>
      <c r="AD65" s="559"/>
      <c r="AE65" s="556" t="s">
        <v>750</v>
      </c>
      <c r="AF65" s="557"/>
      <c r="AG65" s="557"/>
      <c r="AH65" s="558"/>
      <c r="AI65" s="559"/>
      <c r="AJ65" s="556" t="s">
        <v>750</v>
      </c>
      <c r="AK65" s="557"/>
      <c r="AL65" s="557"/>
      <c r="AM65" s="558"/>
      <c r="AN65" s="559"/>
      <c r="AO65" s="556" t="s">
        <v>750</v>
      </c>
      <c r="AP65" s="557"/>
      <c r="AQ65" s="557"/>
      <c r="AR65" s="558"/>
      <c r="AS65" s="559"/>
      <c r="AT65" s="556" t="s">
        <v>750</v>
      </c>
      <c r="AU65" s="557"/>
      <c r="AV65" s="557"/>
      <c r="AW65" s="558"/>
      <c r="AX65" s="559"/>
    </row>
    <row r="66" spans="2:50">
      <c r="B66" s="559"/>
      <c r="C66" s="559"/>
      <c r="D66" s="559"/>
      <c r="E66" s="440" t="s">
        <v>751</v>
      </c>
      <c r="F66" s="440" t="s">
        <v>752</v>
      </c>
      <c r="G66" s="440" t="s">
        <v>753</v>
      </c>
      <c r="H66" s="562"/>
      <c r="I66" s="444" t="s">
        <v>751</v>
      </c>
      <c r="J66" s="444" t="s">
        <v>752</v>
      </c>
      <c r="K66" s="444" t="s">
        <v>753</v>
      </c>
      <c r="L66" s="546"/>
      <c r="M66" s="552"/>
      <c r="N66" s="559"/>
      <c r="O66" s="559"/>
      <c r="P66" s="440" t="s">
        <v>751</v>
      </c>
      <c r="Q66" s="440" t="s">
        <v>752</v>
      </c>
      <c r="R66" s="440" t="s">
        <v>753</v>
      </c>
      <c r="S66" s="440" t="s">
        <v>746</v>
      </c>
      <c r="T66" s="559"/>
      <c r="U66" s="440" t="s">
        <v>751</v>
      </c>
      <c r="V66" s="440" t="s">
        <v>752</v>
      </c>
      <c r="W66" s="440" t="s">
        <v>753</v>
      </c>
      <c r="X66" s="440" t="s">
        <v>746</v>
      </c>
      <c r="Y66" s="559"/>
      <c r="Z66" s="440" t="s">
        <v>751</v>
      </c>
      <c r="AA66" s="440" t="s">
        <v>752</v>
      </c>
      <c r="AB66" s="440" t="s">
        <v>753</v>
      </c>
      <c r="AC66" s="440" t="s">
        <v>746</v>
      </c>
      <c r="AD66" s="559"/>
      <c r="AE66" s="440" t="s">
        <v>751</v>
      </c>
      <c r="AF66" s="440" t="s">
        <v>752</v>
      </c>
      <c r="AG66" s="440" t="s">
        <v>753</v>
      </c>
      <c r="AH66" s="440" t="s">
        <v>746</v>
      </c>
      <c r="AI66" s="559"/>
      <c r="AJ66" s="440" t="s">
        <v>751</v>
      </c>
      <c r="AK66" s="440" t="s">
        <v>752</v>
      </c>
      <c r="AL66" s="440" t="s">
        <v>753</v>
      </c>
      <c r="AM66" s="440" t="s">
        <v>746</v>
      </c>
      <c r="AN66" s="559"/>
      <c r="AO66" s="440" t="s">
        <v>751</v>
      </c>
      <c r="AP66" s="440" t="s">
        <v>752</v>
      </c>
      <c r="AQ66" s="440" t="s">
        <v>753</v>
      </c>
      <c r="AR66" s="440" t="s">
        <v>746</v>
      </c>
      <c r="AS66" s="559"/>
      <c r="AT66" s="440" t="s">
        <v>751</v>
      </c>
      <c r="AU66" s="440" t="s">
        <v>752</v>
      </c>
      <c r="AV66" s="440" t="s">
        <v>753</v>
      </c>
      <c r="AW66" s="440" t="s">
        <v>746</v>
      </c>
      <c r="AX66" s="559"/>
    </row>
    <row r="67" spans="2:50">
      <c r="B67" s="559" t="s">
        <v>816</v>
      </c>
      <c r="C67" s="436">
        <v>1</v>
      </c>
      <c r="D67" s="226" t="s">
        <v>396</v>
      </c>
      <c r="E67" s="182">
        <v>6</v>
      </c>
      <c r="F67" s="436">
        <v>1500</v>
      </c>
      <c r="G67" s="437">
        <v>250</v>
      </c>
      <c r="H67" s="608">
        <f>AVERAGE(G67:G81)</f>
        <v>150.75714285714284</v>
      </c>
      <c r="I67" s="446">
        <f t="shared" ref="I67:K73" si="36">AVERAGE(P67,U67,Z67,AE67,AJ67,AO67,AT67)</f>
        <v>6.8571428571428568</v>
      </c>
      <c r="J67" s="446">
        <f t="shared" si="36"/>
        <v>1323.844698353827</v>
      </c>
      <c r="K67" s="438">
        <f t="shared" si="36"/>
        <v>193.62407255394805</v>
      </c>
      <c r="L67" s="540">
        <f>IFERROR(AVERAGE(K67:K81),"-")</f>
        <v>127.09567507383242</v>
      </c>
      <c r="M67" s="445">
        <f>RANK(K67, K$67:$K$81)</f>
        <v>3</v>
      </c>
      <c r="N67" s="559"/>
      <c r="O67" s="559"/>
      <c r="P67" s="443">
        <v>6</v>
      </c>
      <c r="Q67" s="447">
        <v>1323.9999999999998</v>
      </c>
      <c r="R67" s="447">
        <v>220.66666666666663</v>
      </c>
      <c r="S67" s="436">
        <f>RANK(R67, R$67:R$81)</f>
        <v>3</v>
      </c>
      <c r="T67" s="573">
        <f>AVERAGE(R67:R81)</f>
        <v>138.92292602846564</v>
      </c>
      <c r="U67" s="443">
        <v>7</v>
      </c>
      <c r="V67" s="447">
        <v>1346.153846153846</v>
      </c>
      <c r="W67" s="447">
        <v>192.30769230769229</v>
      </c>
      <c r="X67" s="436">
        <f t="shared" ref="X67:X81" si="37">RANK(W67, W$67:W$81)</f>
        <v>3</v>
      </c>
      <c r="Y67" s="573">
        <f t="shared" ref="Y67" si="38">AVERAGE(W67:W81)</f>
        <v>125.40772636748567</v>
      </c>
      <c r="Z67" s="443">
        <v>7</v>
      </c>
      <c r="AA67" s="447">
        <v>1312.4050632911392</v>
      </c>
      <c r="AB67" s="447">
        <v>187.48643761301989</v>
      </c>
      <c r="AC67" s="436">
        <f t="shared" ref="AC67:AC81" si="39">RANK(AB67, AB$67:AB$81)</f>
        <v>3</v>
      </c>
      <c r="AD67" s="573">
        <f t="shared" ref="AD67" si="40">AVERAGE(AB67:AB81)</f>
        <v>135.79073126596526</v>
      </c>
      <c r="AE67" s="443">
        <v>7</v>
      </c>
      <c r="AF67" s="447">
        <v>1341.8181818181815</v>
      </c>
      <c r="AG67" s="447">
        <v>191.68831168831164</v>
      </c>
      <c r="AH67" s="436">
        <f t="shared" ref="AH67:AH81" si="41">RANK(AG67, AG$67:AG$81)</f>
        <v>3</v>
      </c>
      <c r="AI67" s="573">
        <f t="shared" ref="AI67" si="42">AVERAGE(AG67:AG81)</f>
        <v>133.05399706628401</v>
      </c>
      <c r="AJ67" s="443">
        <v>7</v>
      </c>
      <c r="AK67" s="447">
        <v>1309.6874999999998</v>
      </c>
      <c r="AL67" s="447">
        <v>187.09821428571425</v>
      </c>
      <c r="AM67" s="436">
        <f t="shared" ref="AM67:AM81" si="43">RANK(AL67, AL$67:AL$81)</f>
        <v>3</v>
      </c>
      <c r="AN67" s="573">
        <f t="shared" ref="AN67" si="44">AVERAGE(AL67:AL81)</f>
        <v>131.91815981345658</v>
      </c>
      <c r="AO67" s="443">
        <v>7</v>
      </c>
      <c r="AP67" s="447">
        <v>1327.0588235294117</v>
      </c>
      <c r="AQ67" s="447">
        <v>189.57983193277309</v>
      </c>
      <c r="AR67" s="436">
        <f t="shared" ref="AR67:AR81" si="45">RANK(AQ67, AQ$67:AQ$81)</f>
        <v>3</v>
      </c>
      <c r="AS67" s="573">
        <f t="shared" ref="AS67" si="46">AVERAGE(AQ67:AQ81)</f>
        <v>134.02655489322876</v>
      </c>
      <c r="AT67" s="182">
        <v>7</v>
      </c>
      <c r="AU67" s="182">
        <v>1305.7894736842104</v>
      </c>
      <c r="AV67" s="437">
        <v>186.54135338345864</v>
      </c>
      <c r="AW67" s="436">
        <f t="shared" ref="AW67:AW81" si="47">RANK(AV67, AV$67:AV$81)</f>
        <v>3</v>
      </c>
      <c r="AX67" s="605">
        <f t="shared" ref="AX67" si="48">AVERAGE(AV67:AV81)</f>
        <v>135.8292062418175</v>
      </c>
    </row>
    <row r="68" spans="2:50">
      <c r="B68" s="572"/>
      <c r="C68" s="436">
        <v>2</v>
      </c>
      <c r="D68" s="226" t="s">
        <v>397</v>
      </c>
      <c r="E68" s="182">
        <v>6</v>
      </c>
      <c r="F68" s="436">
        <v>1500</v>
      </c>
      <c r="G68" s="437">
        <v>250</v>
      </c>
      <c r="H68" s="609"/>
      <c r="I68" s="446">
        <f t="shared" si="36"/>
        <v>6.8571428571428568</v>
      </c>
      <c r="J68" s="446">
        <f t="shared" si="36"/>
        <v>1471.5054422703886</v>
      </c>
      <c r="K68" s="438">
        <f t="shared" si="36"/>
        <v>215.14035472667362</v>
      </c>
      <c r="L68" s="541"/>
      <c r="M68" s="445">
        <f>RANK(K68, K$67:$K$81)</f>
        <v>2</v>
      </c>
      <c r="N68" s="559"/>
      <c r="O68" s="559"/>
      <c r="P68" s="443">
        <v>6</v>
      </c>
      <c r="Q68" s="447">
        <v>1448.0357142857144</v>
      </c>
      <c r="R68" s="447">
        <v>241.33928571428575</v>
      </c>
      <c r="S68" s="436">
        <f t="shared" ref="S68:S81" si="49">RANK(R68, R$67:R$81)</f>
        <v>2</v>
      </c>
      <c r="T68" s="574"/>
      <c r="U68" s="443">
        <v>7</v>
      </c>
      <c r="V68" s="447">
        <v>1471.3274336283187</v>
      </c>
      <c r="W68" s="447">
        <v>210.1896333754741</v>
      </c>
      <c r="X68" s="436">
        <f t="shared" si="37"/>
        <v>2</v>
      </c>
      <c r="Y68" s="574"/>
      <c r="Z68" s="443">
        <v>7</v>
      </c>
      <c r="AA68" s="447">
        <v>1509.1891891891892</v>
      </c>
      <c r="AB68" s="447">
        <v>215.59845559845559</v>
      </c>
      <c r="AC68" s="436">
        <f t="shared" si="39"/>
        <v>1</v>
      </c>
      <c r="AD68" s="574"/>
      <c r="AE68" s="443">
        <v>7</v>
      </c>
      <c r="AF68" s="447">
        <v>1454.6666666666665</v>
      </c>
      <c r="AG68" s="447">
        <v>207.8095238095238</v>
      </c>
      <c r="AH68" s="436">
        <f t="shared" si="41"/>
        <v>2</v>
      </c>
      <c r="AI68" s="574"/>
      <c r="AJ68" s="443">
        <v>7</v>
      </c>
      <c r="AK68" s="447">
        <v>1465.714285714286</v>
      </c>
      <c r="AL68" s="447">
        <v>209.38775510204087</v>
      </c>
      <c r="AM68" s="436">
        <f t="shared" si="43"/>
        <v>1</v>
      </c>
      <c r="AN68" s="574"/>
      <c r="AO68" s="443">
        <v>7</v>
      </c>
      <c r="AP68" s="447">
        <v>1490.8571428571424</v>
      </c>
      <c r="AQ68" s="447">
        <v>212.97959183673464</v>
      </c>
      <c r="AR68" s="436">
        <f t="shared" si="45"/>
        <v>2</v>
      </c>
      <c r="AS68" s="574"/>
      <c r="AT68" s="436">
        <v>7</v>
      </c>
      <c r="AU68" s="182">
        <v>1460.7476635514017</v>
      </c>
      <c r="AV68" s="437">
        <v>208.67823765020026</v>
      </c>
      <c r="AW68" s="436">
        <f t="shared" si="47"/>
        <v>1</v>
      </c>
      <c r="AX68" s="605"/>
    </row>
    <row r="69" spans="2:50">
      <c r="B69" s="572"/>
      <c r="C69" s="436">
        <v>3</v>
      </c>
      <c r="D69" s="226" t="s">
        <v>346</v>
      </c>
      <c r="E69" s="182">
        <v>19</v>
      </c>
      <c r="F69" s="436">
        <v>1500</v>
      </c>
      <c r="G69" s="437">
        <v>78.900000000000006</v>
      </c>
      <c r="H69" s="609"/>
      <c r="I69" s="446">
        <f t="shared" si="36"/>
        <v>18.428571428571427</v>
      </c>
      <c r="J69" s="446">
        <f t="shared" si="36"/>
        <v>1330.0888863143275</v>
      </c>
      <c r="K69" s="438">
        <f t="shared" si="36"/>
        <v>72.285126933920452</v>
      </c>
      <c r="L69" s="541"/>
      <c r="M69" s="445">
        <f>RANK(K69, K$67:$K$81)</f>
        <v>4</v>
      </c>
      <c r="N69" s="559"/>
      <c r="O69" s="559"/>
      <c r="P69" s="443">
        <v>19</v>
      </c>
      <c r="Q69" s="447">
        <v>1319.0000000000048</v>
      </c>
      <c r="R69" s="447">
        <v>69.421052631579201</v>
      </c>
      <c r="S69" s="436">
        <f t="shared" si="49"/>
        <v>5</v>
      </c>
      <c r="T69" s="574"/>
      <c r="U69" s="443">
        <v>20</v>
      </c>
      <c r="V69" s="447">
        <v>1332.7515789473687</v>
      </c>
      <c r="W69" s="447">
        <v>66.637578947368439</v>
      </c>
      <c r="X69" s="436">
        <f t="shared" si="37"/>
        <v>5</v>
      </c>
      <c r="Y69" s="574"/>
      <c r="Z69" s="443">
        <v>18</v>
      </c>
      <c r="AA69" s="447">
        <v>1315.1814432989695</v>
      </c>
      <c r="AB69" s="447">
        <v>73.065635738831645</v>
      </c>
      <c r="AC69" s="436">
        <f t="shared" si="39"/>
        <v>5</v>
      </c>
      <c r="AD69" s="574"/>
      <c r="AE69" s="443">
        <v>18</v>
      </c>
      <c r="AF69" s="447">
        <v>1311.1404255319151</v>
      </c>
      <c r="AG69" s="447">
        <v>72.841134751773055</v>
      </c>
      <c r="AH69" s="436">
        <f t="shared" si="41"/>
        <v>4</v>
      </c>
      <c r="AI69" s="574"/>
      <c r="AJ69" s="443">
        <v>18</v>
      </c>
      <c r="AK69" s="447">
        <v>1338.7009900990104</v>
      </c>
      <c r="AL69" s="447">
        <v>74.372277227722805</v>
      </c>
      <c r="AM69" s="436">
        <f t="shared" si="43"/>
        <v>4</v>
      </c>
      <c r="AN69" s="574"/>
      <c r="AO69" s="443">
        <v>18</v>
      </c>
      <c r="AP69" s="447">
        <v>1332.0333333333331</v>
      </c>
      <c r="AQ69" s="447">
        <v>74.001851851851839</v>
      </c>
      <c r="AR69" s="436">
        <f t="shared" si="45"/>
        <v>4</v>
      </c>
      <c r="AS69" s="574"/>
      <c r="AT69" s="436">
        <v>18</v>
      </c>
      <c r="AU69" s="182">
        <v>1361.8144329896909</v>
      </c>
      <c r="AV69" s="437">
        <v>75.656357388316167</v>
      </c>
      <c r="AW69" s="436">
        <f t="shared" si="47"/>
        <v>4</v>
      </c>
      <c r="AX69" s="605"/>
    </row>
    <row r="70" spans="2:50">
      <c r="B70" s="572"/>
      <c r="C70" s="436">
        <v>4</v>
      </c>
      <c r="D70" s="226" t="s">
        <v>398</v>
      </c>
      <c r="E70" s="182">
        <v>17</v>
      </c>
      <c r="F70" s="436">
        <v>1440</v>
      </c>
      <c r="G70" s="437">
        <v>84.7</v>
      </c>
      <c r="H70" s="609"/>
      <c r="I70" s="446">
        <f t="shared" si="36"/>
        <v>17</v>
      </c>
      <c r="J70" s="446">
        <f t="shared" si="36"/>
        <v>1134.6102062564785</v>
      </c>
      <c r="K70" s="438">
        <f t="shared" si="36"/>
        <v>66.741776838616389</v>
      </c>
      <c r="L70" s="541"/>
      <c r="M70" s="445">
        <f>RANK(K70, K$67:$K$81)</f>
        <v>6</v>
      </c>
      <c r="N70" s="559"/>
      <c r="O70" s="559"/>
      <c r="P70" s="443">
        <v>17</v>
      </c>
      <c r="Q70" s="447">
        <v>1087.2727272727257</v>
      </c>
      <c r="R70" s="447">
        <v>63.957219251336802</v>
      </c>
      <c r="S70" s="436">
        <f t="shared" si="49"/>
        <v>6</v>
      </c>
      <c r="T70" s="574"/>
      <c r="U70" s="443">
        <v>17</v>
      </c>
      <c r="V70" s="447">
        <v>1106.8965517241356</v>
      </c>
      <c r="W70" s="447">
        <v>65.111561866125626</v>
      </c>
      <c r="X70" s="436">
        <f t="shared" si="37"/>
        <v>6</v>
      </c>
      <c r="Y70" s="574"/>
      <c r="Z70" s="443">
        <v>17</v>
      </c>
      <c r="AA70" s="447">
        <v>1268.2758620689631</v>
      </c>
      <c r="AB70" s="447">
        <v>74.60446247464489</v>
      </c>
      <c r="AC70" s="436">
        <f t="shared" si="39"/>
        <v>4</v>
      </c>
      <c r="AD70" s="574"/>
      <c r="AE70" s="443">
        <v>17</v>
      </c>
      <c r="AF70" s="447">
        <v>1075.3846153846162</v>
      </c>
      <c r="AG70" s="447">
        <v>63.257918552036244</v>
      </c>
      <c r="AH70" s="436">
        <f t="shared" si="41"/>
        <v>5</v>
      </c>
      <c r="AI70" s="574"/>
      <c r="AJ70" s="443">
        <v>17</v>
      </c>
      <c r="AK70" s="447">
        <v>1068.3870967741946</v>
      </c>
      <c r="AL70" s="447">
        <v>62.846299810246741</v>
      </c>
      <c r="AM70" s="436">
        <f t="shared" si="43"/>
        <v>5</v>
      </c>
      <c r="AN70" s="574"/>
      <c r="AO70" s="443">
        <v>17</v>
      </c>
      <c r="AP70" s="447">
        <v>1091.5384615384587</v>
      </c>
      <c r="AQ70" s="447">
        <v>64.208144796379926</v>
      </c>
      <c r="AR70" s="436">
        <f t="shared" si="45"/>
        <v>5</v>
      </c>
      <c r="AS70" s="574"/>
      <c r="AT70" s="436">
        <v>17</v>
      </c>
      <c r="AU70" s="182">
        <v>1244.5161290322562</v>
      </c>
      <c r="AV70" s="437">
        <v>73.206831119544489</v>
      </c>
      <c r="AW70" s="436">
        <f t="shared" si="47"/>
        <v>5</v>
      </c>
      <c r="AX70" s="605"/>
    </row>
    <row r="71" spans="2:50">
      <c r="B71" s="572"/>
      <c r="C71" s="436">
        <v>5</v>
      </c>
      <c r="D71" s="226" t="s">
        <v>442</v>
      </c>
      <c r="E71" s="182">
        <v>6</v>
      </c>
      <c r="F71" s="436">
        <v>1500</v>
      </c>
      <c r="G71" s="437">
        <v>250</v>
      </c>
      <c r="H71" s="609"/>
      <c r="I71" s="446">
        <f t="shared" si="36"/>
        <v>6.8571428571428568</v>
      </c>
      <c r="J71" s="446">
        <f t="shared" si="36"/>
        <v>1479.2715891362216</v>
      </c>
      <c r="K71" s="438">
        <f t="shared" si="36"/>
        <v>216.3915092293139</v>
      </c>
      <c r="L71" s="541"/>
      <c r="M71" s="445">
        <f>RANK(K71, K$67:$K$81)</f>
        <v>1</v>
      </c>
      <c r="N71" s="559"/>
      <c r="O71" s="559"/>
      <c r="P71" s="443">
        <v>6</v>
      </c>
      <c r="Q71" s="447">
        <v>1489.6969696969707</v>
      </c>
      <c r="R71" s="447">
        <v>248.28282828282843</v>
      </c>
      <c r="S71" s="436">
        <f t="shared" si="49"/>
        <v>1</v>
      </c>
      <c r="T71" s="574"/>
      <c r="U71" s="443">
        <v>7</v>
      </c>
      <c r="V71" s="447">
        <v>1473.7864077669899</v>
      </c>
      <c r="W71" s="447">
        <v>210.54091539528426</v>
      </c>
      <c r="X71" s="436">
        <f t="shared" si="37"/>
        <v>1</v>
      </c>
      <c r="Y71" s="574"/>
      <c r="Z71" s="443">
        <v>7</v>
      </c>
      <c r="AA71" s="447">
        <v>1497.5257731958768</v>
      </c>
      <c r="AB71" s="447">
        <v>213.93225331369669</v>
      </c>
      <c r="AC71" s="436">
        <f t="shared" si="39"/>
        <v>2</v>
      </c>
      <c r="AD71" s="574"/>
      <c r="AE71" s="443">
        <v>7</v>
      </c>
      <c r="AF71" s="447">
        <v>1494.4000000000005</v>
      </c>
      <c r="AG71" s="447">
        <v>213.48571428571435</v>
      </c>
      <c r="AH71" s="436">
        <f t="shared" si="41"/>
        <v>1</v>
      </c>
      <c r="AI71" s="574"/>
      <c r="AJ71" s="443">
        <v>7</v>
      </c>
      <c r="AK71" s="447">
        <v>1455.9036144578315</v>
      </c>
      <c r="AL71" s="447">
        <v>207.98623063683308</v>
      </c>
      <c r="AM71" s="436">
        <f t="shared" si="43"/>
        <v>2</v>
      </c>
      <c r="AN71" s="574"/>
      <c r="AO71" s="443">
        <v>7</v>
      </c>
      <c r="AP71" s="447">
        <v>1501.212121212121</v>
      </c>
      <c r="AQ71" s="447">
        <v>214.45887445887442</v>
      </c>
      <c r="AR71" s="436">
        <f t="shared" si="45"/>
        <v>1</v>
      </c>
      <c r="AS71" s="574"/>
      <c r="AT71" s="436">
        <v>7</v>
      </c>
      <c r="AU71" s="182">
        <v>1442.3762376237617</v>
      </c>
      <c r="AV71" s="437">
        <v>206.05374823196595</v>
      </c>
      <c r="AW71" s="436">
        <f t="shared" si="47"/>
        <v>2</v>
      </c>
      <c r="AX71" s="605"/>
    </row>
    <row r="72" spans="2:50">
      <c r="B72" s="572"/>
      <c r="C72" s="436">
        <v>6</v>
      </c>
      <c r="D72" s="226" t="s">
        <v>468</v>
      </c>
      <c r="E72" s="182">
        <v>19</v>
      </c>
      <c r="F72" s="436">
        <v>1440</v>
      </c>
      <c r="G72" s="437">
        <v>75.8</v>
      </c>
      <c r="H72" s="609"/>
      <c r="I72" s="446">
        <f t="shared" si="36"/>
        <v>18</v>
      </c>
      <c r="J72" s="446">
        <f t="shared" si="36"/>
        <v>1273.1818181818185</v>
      </c>
      <c r="K72" s="438">
        <f t="shared" si="36"/>
        <v>70.732323232323239</v>
      </c>
      <c r="L72" s="541"/>
      <c r="M72" s="445">
        <f>RANK(K72, K$67:$K$81)</f>
        <v>5</v>
      </c>
      <c r="N72" s="559"/>
      <c r="O72" s="559"/>
      <c r="P72" s="443">
        <v>18</v>
      </c>
      <c r="Q72" s="447">
        <v>1255.0000000000002</v>
      </c>
      <c r="R72" s="447">
        <v>69.722222222222229</v>
      </c>
      <c r="S72" s="436">
        <f t="shared" si="49"/>
        <v>4</v>
      </c>
      <c r="T72" s="574"/>
      <c r="U72" s="443">
        <v>18</v>
      </c>
      <c r="V72" s="447">
        <v>1291.3636363636365</v>
      </c>
      <c r="W72" s="447">
        <v>71.742424242424249</v>
      </c>
      <c r="X72" s="436">
        <f t="shared" si="37"/>
        <v>4</v>
      </c>
      <c r="Y72" s="574"/>
      <c r="Z72" s="443"/>
      <c r="AA72" s="447"/>
      <c r="AB72" s="447"/>
      <c r="AC72" s="436" t="e">
        <f t="shared" si="39"/>
        <v>#N/A</v>
      </c>
      <c r="AD72" s="574"/>
      <c r="AE72" s="443"/>
      <c r="AF72" s="447"/>
      <c r="AG72" s="447"/>
      <c r="AH72" s="436" t="e">
        <f t="shared" si="41"/>
        <v>#N/A</v>
      </c>
      <c r="AI72" s="574"/>
      <c r="AJ72" s="443"/>
      <c r="AK72" s="447"/>
      <c r="AL72" s="447"/>
      <c r="AM72" s="436" t="e">
        <f t="shared" si="43"/>
        <v>#N/A</v>
      </c>
      <c r="AN72" s="574"/>
      <c r="AO72" s="443"/>
      <c r="AP72" s="447"/>
      <c r="AQ72" s="447"/>
      <c r="AR72" s="436" t="e">
        <f t="shared" si="45"/>
        <v>#N/A</v>
      </c>
      <c r="AS72" s="574"/>
      <c r="AT72" s="436"/>
      <c r="AU72" s="182"/>
      <c r="AV72" s="437"/>
      <c r="AW72" s="436" t="e">
        <f t="shared" si="47"/>
        <v>#N/A</v>
      </c>
      <c r="AX72" s="605"/>
    </row>
    <row r="73" spans="2:50">
      <c r="B73" s="572"/>
      <c r="C73" s="436">
        <v>7</v>
      </c>
      <c r="D73" s="226" t="s">
        <v>488</v>
      </c>
      <c r="E73" s="182">
        <v>21</v>
      </c>
      <c r="F73" s="436">
        <v>1385</v>
      </c>
      <c r="G73" s="437">
        <v>65.900000000000006</v>
      </c>
      <c r="H73" s="609"/>
      <c r="I73" s="446">
        <f t="shared" si="36"/>
        <v>19.428571428571427</v>
      </c>
      <c r="J73" s="446">
        <f t="shared" si="36"/>
        <v>1059.3665392944524</v>
      </c>
      <c r="K73" s="438">
        <f t="shared" si="36"/>
        <v>54.754562002031271</v>
      </c>
      <c r="L73" s="541"/>
      <c r="M73" s="445">
        <f>RANK(K73, K$67:$K$81)</f>
        <v>7</v>
      </c>
      <c r="N73" s="559"/>
      <c r="O73" s="559"/>
      <c r="P73" s="443">
        <v>19</v>
      </c>
      <c r="Q73" s="447">
        <v>1122.3529411764719</v>
      </c>
      <c r="R73" s="447">
        <v>59.071207430340621</v>
      </c>
      <c r="S73" s="436">
        <f t="shared" si="49"/>
        <v>7</v>
      </c>
      <c r="T73" s="574"/>
      <c r="U73" s="443">
        <v>19</v>
      </c>
      <c r="V73" s="447">
        <v>1165.1612903225816</v>
      </c>
      <c r="W73" s="447">
        <v>61.324278438030611</v>
      </c>
      <c r="X73" s="436">
        <f t="shared" si="37"/>
        <v>7</v>
      </c>
      <c r="Y73" s="574"/>
      <c r="Z73" s="443">
        <v>20</v>
      </c>
      <c r="AA73" s="447">
        <v>1001.1428571428562</v>
      </c>
      <c r="AB73" s="447">
        <v>50.057142857142807</v>
      </c>
      <c r="AC73" s="436">
        <f t="shared" si="39"/>
        <v>6</v>
      </c>
      <c r="AD73" s="574"/>
      <c r="AE73" s="443">
        <v>20</v>
      </c>
      <c r="AF73" s="447">
        <v>984.82758620689731</v>
      </c>
      <c r="AG73" s="447">
        <v>49.241379310344868</v>
      </c>
      <c r="AH73" s="436">
        <f t="shared" si="41"/>
        <v>6</v>
      </c>
      <c r="AI73" s="574"/>
      <c r="AJ73" s="443">
        <v>20</v>
      </c>
      <c r="AK73" s="447">
        <v>996.3636363636374</v>
      </c>
      <c r="AL73" s="447">
        <v>49.81818181818187</v>
      </c>
      <c r="AM73" s="436">
        <f t="shared" si="43"/>
        <v>6</v>
      </c>
      <c r="AN73" s="574"/>
      <c r="AO73" s="443">
        <v>20</v>
      </c>
      <c r="AP73" s="447">
        <v>978.62068965517324</v>
      </c>
      <c r="AQ73" s="447">
        <v>48.931034482758662</v>
      </c>
      <c r="AR73" s="436">
        <f t="shared" si="45"/>
        <v>6</v>
      </c>
      <c r="AS73" s="574"/>
      <c r="AT73" s="436">
        <v>18</v>
      </c>
      <c r="AU73" s="182">
        <v>1167.0967741935494</v>
      </c>
      <c r="AV73" s="437">
        <v>64.838709677419416</v>
      </c>
      <c r="AW73" s="436">
        <f t="shared" si="47"/>
        <v>6</v>
      </c>
      <c r="AX73" s="605"/>
    </row>
    <row r="74" spans="2:50">
      <c r="B74" s="572"/>
      <c r="C74" s="436">
        <v>8</v>
      </c>
      <c r="D74" s="226"/>
      <c r="E74" s="182"/>
      <c r="F74" s="436"/>
      <c r="G74" s="437"/>
      <c r="H74" s="609"/>
      <c r="I74" s="446"/>
      <c r="J74" s="446"/>
      <c r="K74" s="438"/>
      <c r="L74" s="541"/>
      <c r="M74" s="445" t="e">
        <f>RANK(K74, K$67:$K$81)</f>
        <v>#N/A</v>
      </c>
      <c r="N74" s="559"/>
      <c r="O74" s="559"/>
      <c r="P74" s="443"/>
      <c r="Q74" s="447"/>
      <c r="R74" s="447"/>
      <c r="S74" s="436" t="e">
        <f t="shared" si="49"/>
        <v>#N/A</v>
      </c>
      <c r="T74" s="574"/>
      <c r="U74" s="443"/>
      <c r="V74" s="447"/>
      <c r="W74" s="447"/>
      <c r="X74" s="436" t="e">
        <f t="shared" si="37"/>
        <v>#N/A</v>
      </c>
      <c r="Y74" s="574"/>
      <c r="Z74" s="443"/>
      <c r="AA74" s="447"/>
      <c r="AB74" s="447"/>
      <c r="AC74" s="436" t="e">
        <f t="shared" si="39"/>
        <v>#N/A</v>
      </c>
      <c r="AD74" s="574"/>
      <c r="AE74" s="443"/>
      <c r="AF74" s="447"/>
      <c r="AG74" s="447"/>
      <c r="AH74" s="436" t="e">
        <f t="shared" si="41"/>
        <v>#N/A</v>
      </c>
      <c r="AI74" s="574"/>
      <c r="AJ74" s="443"/>
      <c r="AK74" s="447"/>
      <c r="AL74" s="447"/>
      <c r="AM74" s="436" t="e">
        <f t="shared" si="43"/>
        <v>#N/A</v>
      </c>
      <c r="AN74" s="574"/>
      <c r="AO74" s="443"/>
      <c r="AP74" s="447"/>
      <c r="AQ74" s="447"/>
      <c r="AR74" s="436" t="e">
        <f t="shared" si="45"/>
        <v>#N/A</v>
      </c>
      <c r="AS74" s="574"/>
      <c r="AT74" s="436"/>
      <c r="AU74" s="182"/>
      <c r="AV74" s="437"/>
      <c r="AW74" s="436" t="e">
        <f t="shared" si="47"/>
        <v>#N/A</v>
      </c>
      <c r="AX74" s="605"/>
    </row>
    <row r="75" spans="2:50">
      <c r="B75" s="572"/>
      <c r="C75" s="436">
        <v>9</v>
      </c>
      <c r="D75" s="226"/>
      <c r="E75" s="182"/>
      <c r="F75" s="436"/>
      <c r="G75" s="437"/>
      <c r="H75" s="609"/>
      <c r="I75" s="446"/>
      <c r="J75" s="446"/>
      <c r="K75" s="438"/>
      <c r="L75" s="541"/>
      <c r="M75" s="445" t="e">
        <f>RANK(K75, K$67:$K$81)</f>
        <v>#N/A</v>
      </c>
      <c r="N75" s="559"/>
      <c r="O75" s="559"/>
      <c r="P75" s="443"/>
      <c r="Q75" s="447"/>
      <c r="R75" s="447"/>
      <c r="S75" s="436" t="e">
        <f t="shared" si="49"/>
        <v>#N/A</v>
      </c>
      <c r="T75" s="574"/>
      <c r="U75" s="443"/>
      <c r="V75" s="447"/>
      <c r="W75" s="447"/>
      <c r="X75" s="436" t="e">
        <f t="shared" si="37"/>
        <v>#N/A</v>
      </c>
      <c r="Y75" s="574"/>
      <c r="Z75" s="443"/>
      <c r="AA75" s="447"/>
      <c r="AB75" s="447"/>
      <c r="AC75" s="436" t="e">
        <f t="shared" si="39"/>
        <v>#N/A</v>
      </c>
      <c r="AD75" s="574"/>
      <c r="AE75" s="443"/>
      <c r="AF75" s="447"/>
      <c r="AG75" s="447"/>
      <c r="AH75" s="436" t="e">
        <f t="shared" si="41"/>
        <v>#N/A</v>
      </c>
      <c r="AI75" s="574"/>
      <c r="AJ75" s="443"/>
      <c r="AK75" s="447"/>
      <c r="AL75" s="447"/>
      <c r="AM75" s="436" t="e">
        <f t="shared" si="43"/>
        <v>#N/A</v>
      </c>
      <c r="AN75" s="574"/>
      <c r="AO75" s="443"/>
      <c r="AP75" s="447"/>
      <c r="AQ75" s="447"/>
      <c r="AR75" s="436" t="e">
        <f t="shared" si="45"/>
        <v>#N/A</v>
      </c>
      <c r="AS75" s="574"/>
      <c r="AT75" s="436"/>
      <c r="AU75" s="182"/>
      <c r="AV75" s="437"/>
      <c r="AW75" s="436" t="e">
        <f t="shared" si="47"/>
        <v>#N/A</v>
      </c>
      <c r="AX75" s="605"/>
    </row>
    <row r="76" spans="2:50">
      <c r="B76" s="572"/>
      <c r="C76" s="436">
        <v>10</v>
      </c>
      <c r="D76" s="226"/>
      <c r="E76" s="182"/>
      <c r="F76" s="436"/>
      <c r="G76" s="437"/>
      <c r="H76" s="609"/>
      <c r="I76" s="446"/>
      <c r="J76" s="446"/>
      <c r="K76" s="438"/>
      <c r="L76" s="541"/>
      <c r="M76" s="445" t="e">
        <f>RANK(K76, K$67:$K$81)</f>
        <v>#N/A</v>
      </c>
      <c r="N76" s="559"/>
      <c r="O76" s="559"/>
      <c r="P76" s="443"/>
      <c r="Q76" s="447"/>
      <c r="R76" s="447"/>
      <c r="S76" s="436" t="e">
        <f t="shared" si="49"/>
        <v>#N/A</v>
      </c>
      <c r="T76" s="574"/>
      <c r="U76" s="443"/>
      <c r="V76" s="447"/>
      <c r="W76" s="447"/>
      <c r="X76" s="436" t="e">
        <f t="shared" si="37"/>
        <v>#N/A</v>
      </c>
      <c r="Y76" s="574"/>
      <c r="Z76" s="443"/>
      <c r="AA76" s="447"/>
      <c r="AB76" s="447"/>
      <c r="AC76" s="436" t="e">
        <f t="shared" si="39"/>
        <v>#N/A</v>
      </c>
      <c r="AD76" s="574"/>
      <c r="AE76" s="443"/>
      <c r="AF76" s="447"/>
      <c r="AG76" s="447"/>
      <c r="AH76" s="436" t="e">
        <f t="shared" si="41"/>
        <v>#N/A</v>
      </c>
      <c r="AI76" s="574"/>
      <c r="AJ76" s="443"/>
      <c r="AK76" s="447"/>
      <c r="AL76" s="447"/>
      <c r="AM76" s="436" t="e">
        <f t="shared" si="43"/>
        <v>#N/A</v>
      </c>
      <c r="AN76" s="574"/>
      <c r="AO76" s="443"/>
      <c r="AP76" s="447"/>
      <c r="AQ76" s="447"/>
      <c r="AR76" s="436" t="e">
        <f t="shared" si="45"/>
        <v>#N/A</v>
      </c>
      <c r="AS76" s="574"/>
      <c r="AT76" s="436"/>
      <c r="AU76" s="182"/>
      <c r="AV76" s="437"/>
      <c r="AW76" s="436" t="e">
        <f t="shared" si="47"/>
        <v>#N/A</v>
      </c>
      <c r="AX76" s="605"/>
    </row>
    <row r="77" spans="2:50">
      <c r="B77" s="572"/>
      <c r="C77" s="436">
        <v>11</v>
      </c>
      <c r="D77" s="226"/>
      <c r="E77" s="182"/>
      <c r="F77" s="436"/>
      <c r="G77" s="437"/>
      <c r="H77" s="609"/>
      <c r="I77" s="446"/>
      <c r="J77" s="446"/>
      <c r="K77" s="438"/>
      <c r="L77" s="541"/>
      <c r="M77" s="445" t="e">
        <f>RANK(K77, K$67:$K$81)</f>
        <v>#N/A</v>
      </c>
      <c r="N77" s="559"/>
      <c r="O77" s="559"/>
      <c r="P77" s="443"/>
      <c r="Q77" s="447"/>
      <c r="R77" s="447"/>
      <c r="S77" s="436" t="e">
        <f t="shared" si="49"/>
        <v>#N/A</v>
      </c>
      <c r="T77" s="574"/>
      <c r="U77" s="443"/>
      <c r="V77" s="447"/>
      <c r="W77" s="447"/>
      <c r="X77" s="436" t="e">
        <f t="shared" si="37"/>
        <v>#N/A</v>
      </c>
      <c r="Y77" s="574"/>
      <c r="Z77" s="443"/>
      <c r="AA77" s="447"/>
      <c r="AB77" s="447"/>
      <c r="AC77" s="436" t="e">
        <f t="shared" si="39"/>
        <v>#N/A</v>
      </c>
      <c r="AD77" s="574"/>
      <c r="AE77" s="443"/>
      <c r="AF77" s="447"/>
      <c r="AG77" s="447"/>
      <c r="AH77" s="436" t="e">
        <f t="shared" si="41"/>
        <v>#N/A</v>
      </c>
      <c r="AI77" s="574"/>
      <c r="AJ77" s="443"/>
      <c r="AK77" s="447"/>
      <c r="AL77" s="447"/>
      <c r="AM77" s="436" t="e">
        <f t="shared" si="43"/>
        <v>#N/A</v>
      </c>
      <c r="AN77" s="574"/>
      <c r="AO77" s="443"/>
      <c r="AP77" s="447"/>
      <c r="AQ77" s="447"/>
      <c r="AR77" s="436" t="e">
        <f t="shared" si="45"/>
        <v>#N/A</v>
      </c>
      <c r="AS77" s="574"/>
      <c r="AT77" s="436"/>
      <c r="AU77" s="182"/>
      <c r="AV77" s="437"/>
      <c r="AW77" s="436" t="e">
        <f t="shared" si="47"/>
        <v>#N/A</v>
      </c>
      <c r="AX77" s="605"/>
    </row>
    <row r="78" spans="2:50">
      <c r="B78" s="572"/>
      <c r="C78" s="436">
        <v>12</v>
      </c>
      <c r="D78" s="226"/>
      <c r="E78" s="182"/>
      <c r="F78" s="436"/>
      <c r="G78" s="437"/>
      <c r="H78" s="609"/>
      <c r="I78" s="446"/>
      <c r="J78" s="446"/>
      <c r="K78" s="438"/>
      <c r="L78" s="541"/>
      <c r="M78" s="445" t="e">
        <f>RANK(K78, K$67:$K$81)</f>
        <v>#N/A</v>
      </c>
      <c r="N78" s="559"/>
      <c r="O78" s="559"/>
      <c r="P78" s="443"/>
      <c r="Q78" s="447"/>
      <c r="R78" s="447"/>
      <c r="S78" s="436" t="e">
        <f t="shared" si="49"/>
        <v>#N/A</v>
      </c>
      <c r="T78" s="574"/>
      <c r="U78" s="443"/>
      <c r="V78" s="447"/>
      <c r="W78" s="447"/>
      <c r="X78" s="436" t="e">
        <f t="shared" si="37"/>
        <v>#N/A</v>
      </c>
      <c r="Y78" s="574"/>
      <c r="Z78" s="443"/>
      <c r="AA78" s="447"/>
      <c r="AB78" s="447"/>
      <c r="AC78" s="436" t="e">
        <f t="shared" si="39"/>
        <v>#N/A</v>
      </c>
      <c r="AD78" s="574"/>
      <c r="AE78" s="443"/>
      <c r="AF78" s="447"/>
      <c r="AG78" s="447"/>
      <c r="AH78" s="436" t="e">
        <f t="shared" si="41"/>
        <v>#N/A</v>
      </c>
      <c r="AI78" s="574"/>
      <c r="AJ78" s="443"/>
      <c r="AK78" s="447"/>
      <c r="AL78" s="447"/>
      <c r="AM78" s="436" t="e">
        <f t="shared" si="43"/>
        <v>#N/A</v>
      </c>
      <c r="AN78" s="574"/>
      <c r="AO78" s="443"/>
      <c r="AP78" s="447"/>
      <c r="AQ78" s="447"/>
      <c r="AR78" s="436" t="e">
        <f t="shared" si="45"/>
        <v>#N/A</v>
      </c>
      <c r="AS78" s="574"/>
      <c r="AT78" s="436"/>
      <c r="AU78" s="182"/>
      <c r="AV78" s="437"/>
      <c r="AW78" s="436" t="e">
        <f t="shared" si="47"/>
        <v>#N/A</v>
      </c>
      <c r="AX78" s="605"/>
    </row>
    <row r="79" spans="2:50">
      <c r="B79" s="572"/>
      <c r="C79" s="436">
        <v>13</v>
      </c>
      <c r="D79" s="226"/>
      <c r="E79" s="182"/>
      <c r="F79" s="436"/>
      <c r="G79" s="437"/>
      <c r="H79" s="609"/>
      <c r="I79" s="446"/>
      <c r="J79" s="446"/>
      <c r="K79" s="438"/>
      <c r="L79" s="541"/>
      <c r="M79" s="445" t="e">
        <f>RANK(K79, K$67:$K$81)</f>
        <v>#N/A</v>
      </c>
      <c r="N79" s="559"/>
      <c r="O79" s="559"/>
      <c r="P79" s="443"/>
      <c r="Q79" s="447"/>
      <c r="R79" s="447"/>
      <c r="S79" s="436" t="e">
        <f t="shared" si="49"/>
        <v>#N/A</v>
      </c>
      <c r="T79" s="574"/>
      <c r="U79" s="443"/>
      <c r="V79" s="447"/>
      <c r="W79" s="447"/>
      <c r="X79" s="436" t="e">
        <f t="shared" si="37"/>
        <v>#N/A</v>
      </c>
      <c r="Y79" s="574"/>
      <c r="Z79" s="443"/>
      <c r="AA79" s="447"/>
      <c r="AB79" s="447"/>
      <c r="AC79" s="436" t="e">
        <f t="shared" si="39"/>
        <v>#N/A</v>
      </c>
      <c r="AD79" s="574"/>
      <c r="AE79" s="443"/>
      <c r="AF79" s="447"/>
      <c r="AG79" s="447"/>
      <c r="AH79" s="436" t="e">
        <f t="shared" si="41"/>
        <v>#N/A</v>
      </c>
      <c r="AI79" s="574"/>
      <c r="AJ79" s="443"/>
      <c r="AK79" s="447"/>
      <c r="AL79" s="447"/>
      <c r="AM79" s="436" t="e">
        <f t="shared" si="43"/>
        <v>#N/A</v>
      </c>
      <c r="AN79" s="574"/>
      <c r="AO79" s="443"/>
      <c r="AP79" s="447"/>
      <c r="AQ79" s="447"/>
      <c r="AR79" s="436" t="e">
        <f t="shared" si="45"/>
        <v>#N/A</v>
      </c>
      <c r="AS79" s="574"/>
      <c r="AT79" s="436"/>
      <c r="AU79" s="182"/>
      <c r="AV79" s="437"/>
      <c r="AW79" s="436" t="e">
        <f t="shared" si="47"/>
        <v>#N/A</v>
      </c>
      <c r="AX79" s="605"/>
    </row>
    <row r="80" spans="2:50">
      <c r="B80" s="572"/>
      <c r="C80" s="436">
        <v>14</v>
      </c>
      <c r="D80" s="226"/>
      <c r="E80" s="182"/>
      <c r="F80" s="436"/>
      <c r="G80" s="437"/>
      <c r="H80" s="609"/>
      <c r="I80" s="446"/>
      <c r="J80" s="446"/>
      <c r="K80" s="438"/>
      <c r="L80" s="541"/>
      <c r="M80" s="445" t="e">
        <f>RANK(K80, K$67:$K$81)</f>
        <v>#N/A</v>
      </c>
      <c r="N80" s="559"/>
      <c r="O80" s="559"/>
      <c r="P80" s="443"/>
      <c r="Q80" s="447"/>
      <c r="R80" s="447"/>
      <c r="S80" s="436" t="e">
        <f t="shared" si="49"/>
        <v>#N/A</v>
      </c>
      <c r="T80" s="574"/>
      <c r="U80" s="443"/>
      <c r="V80" s="447"/>
      <c r="W80" s="447"/>
      <c r="X80" s="436" t="e">
        <f t="shared" si="37"/>
        <v>#N/A</v>
      </c>
      <c r="Y80" s="574"/>
      <c r="Z80" s="443"/>
      <c r="AA80" s="447"/>
      <c r="AB80" s="447"/>
      <c r="AC80" s="436" t="e">
        <f t="shared" si="39"/>
        <v>#N/A</v>
      </c>
      <c r="AD80" s="574"/>
      <c r="AE80" s="443"/>
      <c r="AF80" s="447"/>
      <c r="AG80" s="447"/>
      <c r="AH80" s="436" t="e">
        <f t="shared" si="41"/>
        <v>#N/A</v>
      </c>
      <c r="AI80" s="574"/>
      <c r="AJ80" s="443"/>
      <c r="AK80" s="447"/>
      <c r="AL80" s="447"/>
      <c r="AM80" s="436" t="e">
        <f t="shared" si="43"/>
        <v>#N/A</v>
      </c>
      <c r="AN80" s="574"/>
      <c r="AO80" s="443"/>
      <c r="AP80" s="447"/>
      <c r="AQ80" s="447"/>
      <c r="AR80" s="436" t="e">
        <f t="shared" si="45"/>
        <v>#N/A</v>
      </c>
      <c r="AS80" s="574"/>
      <c r="AT80" s="436"/>
      <c r="AU80" s="182"/>
      <c r="AV80" s="437"/>
      <c r="AW80" s="436" t="e">
        <f t="shared" si="47"/>
        <v>#N/A</v>
      </c>
      <c r="AX80" s="605"/>
    </row>
    <row r="81" spans="2:50">
      <c r="B81" s="572"/>
      <c r="C81" s="436">
        <v>15</v>
      </c>
      <c r="D81" s="226"/>
      <c r="E81" s="182"/>
      <c r="F81" s="436"/>
      <c r="G81" s="437"/>
      <c r="H81" s="610"/>
      <c r="I81" s="446"/>
      <c r="J81" s="446"/>
      <c r="K81" s="438"/>
      <c r="L81" s="542"/>
      <c r="M81" s="445" t="e">
        <f>RANK(K81, K$67:$K$81)</f>
        <v>#N/A</v>
      </c>
      <c r="N81" s="559"/>
      <c r="O81" s="559"/>
      <c r="P81" s="443"/>
      <c r="Q81" s="447"/>
      <c r="R81" s="447"/>
      <c r="S81" s="436" t="e">
        <f t="shared" si="49"/>
        <v>#N/A</v>
      </c>
      <c r="T81" s="575"/>
      <c r="U81" s="443"/>
      <c r="V81" s="447"/>
      <c r="W81" s="447"/>
      <c r="X81" s="436" t="e">
        <f t="shared" si="37"/>
        <v>#N/A</v>
      </c>
      <c r="Y81" s="575"/>
      <c r="Z81" s="443"/>
      <c r="AA81" s="447"/>
      <c r="AB81" s="447"/>
      <c r="AC81" s="436" t="e">
        <f t="shared" si="39"/>
        <v>#N/A</v>
      </c>
      <c r="AD81" s="575"/>
      <c r="AE81" s="443"/>
      <c r="AF81" s="447"/>
      <c r="AG81" s="447"/>
      <c r="AH81" s="436" t="e">
        <f t="shared" si="41"/>
        <v>#N/A</v>
      </c>
      <c r="AI81" s="575"/>
      <c r="AJ81" s="443"/>
      <c r="AK81" s="447"/>
      <c r="AL81" s="447"/>
      <c r="AM81" s="436" t="e">
        <f t="shared" si="43"/>
        <v>#N/A</v>
      </c>
      <c r="AN81" s="575"/>
      <c r="AO81" s="443"/>
      <c r="AP81" s="447"/>
      <c r="AQ81" s="447"/>
      <c r="AR81" s="436" t="e">
        <f t="shared" si="45"/>
        <v>#N/A</v>
      </c>
      <c r="AS81" s="575"/>
      <c r="AT81" s="436"/>
      <c r="AU81" s="182"/>
      <c r="AV81" s="437"/>
      <c r="AW81" s="436" t="e">
        <f t="shared" si="47"/>
        <v>#N/A</v>
      </c>
      <c r="AX81" s="605"/>
    </row>
    <row r="82" spans="2:50" ht="15.75">
      <c r="B82" s="576" t="s">
        <v>649</v>
      </c>
      <c r="C82" s="577"/>
      <c r="D82" s="577"/>
      <c r="E82" s="577"/>
      <c r="F82" s="577"/>
      <c r="G82" s="577"/>
      <c r="H82" s="578"/>
      <c r="I82" s="208"/>
      <c r="J82" s="208"/>
      <c r="K82" s="208"/>
      <c r="L82" s="208"/>
      <c r="M82" s="207"/>
      <c r="N82" s="565" t="s">
        <v>650</v>
      </c>
      <c r="O82" s="565" t="s">
        <v>651</v>
      </c>
      <c r="P82" s="571">
        <f>P62+7</f>
        <v>27</v>
      </c>
      <c r="Q82" s="572"/>
      <c r="R82" s="572"/>
      <c r="S82" s="572"/>
      <c r="T82" s="572"/>
      <c r="U82" s="568">
        <f>P82+1</f>
        <v>28</v>
      </c>
      <c r="V82" s="569"/>
      <c r="W82" s="569"/>
      <c r="X82" s="569"/>
      <c r="Y82" s="570"/>
      <c r="Z82" s="568">
        <f>U82+1</f>
        <v>29</v>
      </c>
      <c r="AA82" s="569"/>
      <c r="AB82" s="569"/>
      <c r="AC82" s="569"/>
      <c r="AD82" s="570"/>
      <c r="AE82" s="568">
        <f>Z82+1</f>
        <v>30</v>
      </c>
      <c r="AF82" s="569"/>
      <c r="AG82" s="569"/>
      <c r="AH82" s="569"/>
      <c r="AI82" s="570"/>
      <c r="AJ82" s="568">
        <f>AE82+1</f>
        <v>31</v>
      </c>
      <c r="AK82" s="569"/>
      <c r="AL82" s="569"/>
      <c r="AM82" s="569"/>
      <c r="AN82" s="570"/>
      <c r="AO82" s="568">
        <f>AJ82+1</f>
        <v>32</v>
      </c>
      <c r="AP82" s="569"/>
      <c r="AQ82" s="569"/>
      <c r="AR82" s="569"/>
      <c r="AS82" s="570"/>
      <c r="AT82" s="568">
        <f>AO82+1</f>
        <v>33</v>
      </c>
      <c r="AU82" s="569"/>
      <c r="AV82" s="569"/>
      <c r="AW82" s="569"/>
      <c r="AX82" s="570"/>
    </row>
    <row r="83" spans="2:50" ht="15.75">
      <c r="B83" s="579"/>
      <c r="C83" s="579"/>
      <c r="D83" s="579"/>
      <c r="E83" s="579"/>
      <c r="F83" s="579"/>
      <c r="G83" s="579"/>
      <c r="H83" s="579"/>
      <c r="I83" s="205"/>
      <c r="J83" s="205"/>
      <c r="K83" s="205"/>
      <c r="L83" s="205"/>
      <c r="M83" s="206"/>
      <c r="N83" s="567"/>
      <c r="O83" s="567"/>
      <c r="P83" s="571" t="s">
        <v>652</v>
      </c>
      <c r="Q83" s="572"/>
      <c r="R83" s="572"/>
      <c r="S83" s="572"/>
      <c r="T83" s="572"/>
      <c r="U83" s="571" t="s">
        <v>653</v>
      </c>
      <c r="V83" s="572"/>
      <c r="W83" s="572"/>
      <c r="X83" s="572"/>
      <c r="Y83" s="572"/>
      <c r="Z83" s="571" t="s">
        <v>654</v>
      </c>
      <c r="AA83" s="572"/>
      <c r="AB83" s="572"/>
      <c r="AC83" s="572"/>
      <c r="AD83" s="572"/>
      <c r="AE83" s="571" t="s">
        <v>655</v>
      </c>
      <c r="AF83" s="572"/>
      <c r="AG83" s="572"/>
      <c r="AH83" s="572"/>
      <c r="AI83" s="572"/>
      <c r="AJ83" s="571" t="s">
        <v>656</v>
      </c>
      <c r="AK83" s="572"/>
      <c r="AL83" s="572"/>
      <c r="AM83" s="572"/>
      <c r="AN83" s="572"/>
      <c r="AO83" s="571" t="s">
        <v>657</v>
      </c>
      <c r="AP83" s="572"/>
      <c r="AQ83" s="572"/>
      <c r="AR83" s="572"/>
      <c r="AS83" s="572"/>
      <c r="AT83" s="571" t="s">
        <v>658</v>
      </c>
      <c r="AU83" s="572"/>
      <c r="AV83" s="572"/>
      <c r="AW83" s="572"/>
      <c r="AX83" s="572"/>
    </row>
    <row r="84" spans="2:50">
      <c r="B84" s="559" t="s">
        <v>817</v>
      </c>
      <c r="C84" s="559" t="s">
        <v>818</v>
      </c>
      <c r="D84" s="559"/>
      <c r="E84" s="559" t="s">
        <v>819</v>
      </c>
      <c r="F84" s="559"/>
      <c r="G84" s="559"/>
      <c r="H84" s="560" t="s">
        <v>820</v>
      </c>
      <c r="I84" s="543" t="s">
        <v>821</v>
      </c>
      <c r="J84" s="543"/>
      <c r="K84" s="543"/>
      <c r="L84" s="544" t="s">
        <v>820</v>
      </c>
      <c r="M84" s="550" t="s">
        <v>839</v>
      </c>
      <c r="N84" s="559"/>
      <c r="O84" s="559" t="s">
        <v>840</v>
      </c>
      <c r="P84" s="556" t="s">
        <v>841</v>
      </c>
      <c r="Q84" s="557"/>
      <c r="R84" s="557"/>
      <c r="S84" s="558"/>
      <c r="T84" s="559" t="s">
        <v>820</v>
      </c>
      <c r="U84" s="556" t="s">
        <v>841</v>
      </c>
      <c r="V84" s="557"/>
      <c r="W84" s="557"/>
      <c r="X84" s="558"/>
      <c r="Y84" s="559" t="s">
        <v>820</v>
      </c>
      <c r="Z84" s="556" t="s">
        <v>841</v>
      </c>
      <c r="AA84" s="557"/>
      <c r="AB84" s="557"/>
      <c r="AC84" s="558"/>
      <c r="AD84" s="559" t="s">
        <v>820</v>
      </c>
      <c r="AE84" s="556" t="s">
        <v>841</v>
      </c>
      <c r="AF84" s="557"/>
      <c r="AG84" s="557"/>
      <c r="AH84" s="558"/>
      <c r="AI84" s="559" t="s">
        <v>820</v>
      </c>
      <c r="AJ84" s="556" t="s">
        <v>841</v>
      </c>
      <c r="AK84" s="557"/>
      <c r="AL84" s="557"/>
      <c r="AM84" s="558"/>
      <c r="AN84" s="559" t="s">
        <v>820</v>
      </c>
      <c r="AO84" s="556" t="s">
        <v>625</v>
      </c>
      <c r="AP84" s="557"/>
      <c r="AQ84" s="557"/>
      <c r="AR84" s="558"/>
      <c r="AS84" s="559" t="s">
        <v>623</v>
      </c>
      <c r="AT84" s="556" t="s">
        <v>625</v>
      </c>
      <c r="AU84" s="557"/>
      <c r="AV84" s="557"/>
      <c r="AW84" s="558"/>
      <c r="AX84" s="559" t="s">
        <v>623</v>
      </c>
    </row>
    <row r="85" spans="2:50">
      <c r="B85" s="559"/>
      <c r="C85" s="559"/>
      <c r="D85" s="559"/>
      <c r="E85" s="559" t="s">
        <v>842</v>
      </c>
      <c r="F85" s="559"/>
      <c r="G85" s="559"/>
      <c r="H85" s="561"/>
      <c r="I85" s="543" t="s">
        <v>842</v>
      </c>
      <c r="J85" s="543"/>
      <c r="K85" s="543"/>
      <c r="L85" s="545"/>
      <c r="M85" s="551"/>
      <c r="N85" s="559"/>
      <c r="O85" s="559"/>
      <c r="P85" s="556" t="s">
        <v>831</v>
      </c>
      <c r="Q85" s="557"/>
      <c r="R85" s="557"/>
      <c r="S85" s="558"/>
      <c r="T85" s="559"/>
      <c r="U85" s="556" t="s">
        <v>831</v>
      </c>
      <c r="V85" s="557"/>
      <c r="W85" s="557"/>
      <c r="X85" s="558"/>
      <c r="Y85" s="559"/>
      <c r="Z85" s="556" t="s">
        <v>831</v>
      </c>
      <c r="AA85" s="557"/>
      <c r="AB85" s="557"/>
      <c r="AC85" s="558"/>
      <c r="AD85" s="559"/>
      <c r="AE85" s="556" t="s">
        <v>831</v>
      </c>
      <c r="AF85" s="557"/>
      <c r="AG85" s="557"/>
      <c r="AH85" s="558"/>
      <c r="AI85" s="559"/>
      <c r="AJ85" s="556" t="s">
        <v>831</v>
      </c>
      <c r="AK85" s="557"/>
      <c r="AL85" s="557"/>
      <c r="AM85" s="558"/>
      <c r="AN85" s="559"/>
      <c r="AO85" s="556" t="s">
        <v>626</v>
      </c>
      <c r="AP85" s="557"/>
      <c r="AQ85" s="557"/>
      <c r="AR85" s="558"/>
      <c r="AS85" s="559"/>
      <c r="AT85" s="556" t="s">
        <v>626</v>
      </c>
      <c r="AU85" s="557"/>
      <c r="AV85" s="557"/>
      <c r="AW85" s="558"/>
      <c r="AX85" s="559"/>
    </row>
    <row r="86" spans="2:50">
      <c r="B86" s="559"/>
      <c r="C86" s="559"/>
      <c r="D86" s="559"/>
      <c r="E86" s="450" t="s">
        <v>838</v>
      </c>
      <c r="F86" s="450" t="s">
        <v>836</v>
      </c>
      <c r="G86" s="450" t="s">
        <v>837</v>
      </c>
      <c r="H86" s="562"/>
      <c r="I86" s="449" t="s">
        <v>838</v>
      </c>
      <c r="J86" s="449" t="s">
        <v>836</v>
      </c>
      <c r="K86" s="449" t="s">
        <v>837</v>
      </c>
      <c r="L86" s="546"/>
      <c r="M86" s="552"/>
      <c r="N86" s="559"/>
      <c r="O86" s="559"/>
      <c r="P86" s="450" t="s">
        <v>838</v>
      </c>
      <c r="Q86" s="450" t="s">
        <v>836</v>
      </c>
      <c r="R86" s="450" t="s">
        <v>837</v>
      </c>
      <c r="S86" s="450" t="s">
        <v>839</v>
      </c>
      <c r="T86" s="559"/>
      <c r="U86" s="450" t="s">
        <v>838</v>
      </c>
      <c r="V86" s="450" t="s">
        <v>836</v>
      </c>
      <c r="W86" s="450" t="s">
        <v>837</v>
      </c>
      <c r="X86" s="450" t="s">
        <v>839</v>
      </c>
      <c r="Y86" s="559"/>
      <c r="Z86" s="450" t="s">
        <v>838</v>
      </c>
      <c r="AA86" s="450" t="s">
        <v>836</v>
      </c>
      <c r="AB86" s="450" t="s">
        <v>837</v>
      </c>
      <c r="AC86" s="450" t="s">
        <v>839</v>
      </c>
      <c r="AD86" s="559"/>
      <c r="AE86" s="450" t="s">
        <v>838</v>
      </c>
      <c r="AF86" s="450" t="s">
        <v>836</v>
      </c>
      <c r="AG86" s="450" t="s">
        <v>837</v>
      </c>
      <c r="AH86" s="450" t="s">
        <v>839</v>
      </c>
      <c r="AI86" s="559"/>
      <c r="AJ86" s="450" t="s">
        <v>838</v>
      </c>
      <c r="AK86" s="450" t="s">
        <v>836</v>
      </c>
      <c r="AL86" s="450" t="s">
        <v>837</v>
      </c>
      <c r="AM86" s="450" t="s">
        <v>839</v>
      </c>
      <c r="AN86" s="559"/>
      <c r="AO86" s="389" t="s">
        <v>627</v>
      </c>
      <c r="AP86" s="389" t="s">
        <v>628</v>
      </c>
      <c r="AQ86" s="389" t="s">
        <v>629</v>
      </c>
      <c r="AR86" s="389" t="s">
        <v>624</v>
      </c>
      <c r="AS86" s="559"/>
      <c r="AT86" s="389" t="s">
        <v>627</v>
      </c>
      <c r="AU86" s="389" t="s">
        <v>628</v>
      </c>
      <c r="AV86" s="389" t="s">
        <v>629</v>
      </c>
      <c r="AW86" s="389" t="s">
        <v>624</v>
      </c>
      <c r="AX86" s="559"/>
    </row>
    <row r="87" spans="2:50">
      <c r="B87" s="559" t="s">
        <v>851</v>
      </c>
      <c r="C87" s="451">
        <v>1</v>
      </c>
      <c r="D87" s="226" t="s">
        <v>396</v>
      </c>
      <c r="E87" s="182">
        <v>6</v>
      </c>
      <c r="F87" s="451">
        <v>1500</v>
      </c>
      <c r="G87" s="453">
        <v>250</v>
      </c>
      <c r="H87" s="608">
        <f>AVERAGE(G87:G101)</f>
        <v>176.1142857142857</v>
      </c>
      <c r="I87" s="456">
        <f>AVERAGE(P87,U87,Z87,AE87,AJ87,AO87,AT87)</f>
        <v>7</v>
      </c>
      <c r="J87" s="456">
        <f>AVERAGE(Q87,V87,AA87,AF87,AK87,AP87,AU87)</f>
        <v>1335.8653152178795</v>
      </c>
      <c r="K87" s="454">
        <f>AVERAGE(R87,W87,AB87,AG87,AL87,AQ87,AV87)</f>
        <v>190.8379021739828</v>
      </c>
      <c r="L87" s="540">
        <f>IFERROR(AVERAGE(K87:K101),"-")</f>
        <v>144.79668821138463</v>
      </c>
      <c r="M87" s="455">
        <f>RANK(K87, K$87:$K$101)</f>
        <v>4</v>
      </c>
      <c r="N87" s="559"/>
      <c r="O87" s="559"/>
      <c r="P87" s="182">
        <v>7</v>
      </c>
      <c r="Q87" s="182">
        <v>1340.0000000000005</v>
      </c>
      <c r="R87" s="182">
        <v>191.4285714285715</v>
      </c>
      <c r="S87" s="451">
        <f>RANK(R87, R$87:R$101)</f>
        <v>4</v>
      </c>
      <c r="T87" s="573">
        <f>AVERAGE(R87:R101)</f>
        <v>146.76710038638842</v>
      </c>
      <c r="U87" s="182">
        <v>7</v>
      </c>
      <c r="V87" s="182">
        <v>1327.714285714286</v>
      </c>
      <c r="W87" s="182">
        <v>189.67346938775515</v>
      </c>
      <c r="X87" s="451">
        <f t="shared" ref="X87:X101" si="50">RANK(W87, W$87:W$101)</f>
        <v>4</v>
      </c>
      <c r="Y87" s="573">
        <f t="shared" ref="Y87" si="51">AVERAGE(W87:W101)</f>
        <v>144.53950943448976</v>
      </c>
      <c r="Z87" s="182">
        <v>7</v>
      </c>
      <c r="AA87" s="182">
        <v>1322.5352112676057</v>
      </c>
      <c r="AB87" s="182">
        <v>188.93360160965796</v>
      </c>
      <c r="AC87" s="451">
        <f t="shared" ref="AC87:AC101" si="52">RANK(AB87, AB$87:AB$101)</f>
        <v>4</v>
      </c>
      <c r="AD87" s="573">
        <f t="shared" ref="AD87" si="53">AVERAGE(AB87:AB101)</f>
        <v>144.6215389909629</v>
      </c>
      <c r="AE87" s="182">
        <v>7</v>
      </c>
      <c r="AF87" s="182">
        <v>1341.7241379310346</v>
      </c>
      <c r="AG87" s="182">
        <v>191.67487684729068</v>
      </c>
      <c r="AH87" s="451">
        <f t="shared" ref="AH87:AH101" si="54">RANK(AG87, AG$87:AG$101)</f>
        <v>4</v>
      </c>
      <c r="AI87" s="573">
        <f t="shared" ref="AI87" si="55">AVERAGE(AG87:AG101)</f>
        <v>142.35256796296051</v>
      </c>
      <c r="AJ87" s="182">
        <v>7</v>
      </c>
      <c r="AK87" s="182">
        <v>1347.3529411764707</v>
      </c>
      <c r="AL87" s="182">
        <v>192.47899159663868</v>
      </c>
      <c r="AM87" s="451">
        <f t="shared" ref="AM87:AM101" si="56">RANK(AL87, AL$87:AL$101)</f>
        <v>4</v>
      </c>
      <c r="AN87" s="573">
        <f t="shared" ref="AN87" si="57">AVERAGE(AL87:AL101)</f>
        <v>145.70272428212155</v>
      </c>
      <c r="AO87" s="182"/>
      <c r="AP87" s="182"/>
      <c r="AQ87" s="391"/>
      <c r="AR87" s="390" t="e">
        <f t="shared" ref="AR87:AR101" si="58">RANK(AQ87, AQ$87:AQ$101)</f>
        <v>#N/A</v>
      </c>
      <c r="AS87" s="573" t="e">
        <f t="shared" ref="AS87" si="59">AVERAGE(AQ87:AQ101)</f>
        <v>#DIV/0!</v>
      </c>
      <c r="AT87" s="182"/>
      <c r="AU87" s="182"/>
      <c r="AV87" s="391"/>
      <c r="AW87" s="390" t="e">
        <f t="shared" ref="AW87:AW101" si="60">RANK(AV87, AV$87:AV$101)</f>
        <v>#N/A</v>
      </c>
      <c r="AX87" s="605" t="e">
        <f t="shared" ref="AX87" si="61">AVERAGE(AV87:AV101)</f>
        <v>#DIV/0!</v>
      </c>
    </row>
    <row r="88" spans="2:50">
      <c r="B88" s="572"/>
      <c r="C88" s="451">
        <v>2</v>
      </c>
      <c r="D88" s="226" t="s">
        <v>397</v>
      </c>
      <c r="E88" s="182">
        <v>6</v>
      </c>
      <c r="F88" s="451">
        <v>1500</v>
      </c>
      <c r="G88" s="453">
        <v>250</v>
      </c>
      <c r="H88" s="609"/>
      <c r="I88" s="456">
        <f t="shared" ref="I88:K93" si="62">AVERAGE(P88,U88,Z88,AE88,AJ88,AO88,AT88)</f>
        <v>7</v>
      </c>
      <c r="J88" s="456">
        <f t="shared" si="62"/>
        <v>1479.5518100677384</v>
      </c>
      <c r="K88" s="454">
        <f t="shared" si="62"/>
        <v>211.36454429539123</v>
      </c>
      <c r="L88" s="541"/>
      <c r="M88" s="455">
        <f>RANK(K88, K$87:$K$101)</f>
        <v>2</v>
      </c>
      <c r="N88" s="559"/>
      <c r="O88" s="559"/>
      <c r="P88" s="182">
        <v>7</v>
      </c>
      <c r="Q88" s="182">
        <v>1493.6538461538471</v>
      </c>
      <c r="R88" s="182">
        <v>213.37912087912102</v>
      </c>
      <c r="S88" s="451">
        <f t="shared" ref="S88:S101" si="63">RANK(R88, R$87:R$101)</f>
        <v>3</v>
      </c>
      <c r="T88" s="574"/>
      <c r="U88" s="182">
        <v>7</v>
      </c>
      <c r="V88" s="182">
        <v>1463.669724770642</v>
      </c>
      <c r="W88" s="182">
        <v>209.09567496723457</v>
      </c>
      <c r="X88" s="451">
        <f t="shared" si="50"/>
        <v>3</v>
      </c>
      <c r="Y88" s="574"/>
      <c r="Z88" s="182">
        <v>7</v>
      </c>
      <c r="AA88" s="182">
        <v>1506.8571428571424</v>
      </c>
      <c r="AB88" s="182">
        <v>215.26530612244892</v>
      </c>
      <c r="AC88" s="451">
        <f t="shared" si="52"/>
        <v>1</v>
      </c>
      <c r="AD88" s="574"/>
      <c r="AE88" s="182">
        <v>7</v>
      </c>
      <c r="AF88" s="182">
        <v>1480.8510638297876</v>
      </c>
      <c r="AG88" s="182">
        <v>211.55015197568395</v>
      </c>
      <c r="AH88" s="451">
        <f t="shared" si="54"/>
        <v>1</v>
      </c>
      <c r="AI88" s="574"/>
      <c r="AJ88" s="182">
        <v>7</v>
      </c>
      <c r="AK88" s="182">
        <v>1452.727272727273</v>
      </c>
      <c r="AL88" s="182">
        <v>207.53246753246756</v>
      </c>
      <c r="AM88" s="451">
        <f t="shared" si="56"/>
        <v>2</v>
      </c>
      <c r="AN88" s="574"/>
      <c r="AO88" s="390"/>
      <c r="AP88" s="182"/>
      <c r="AQ88" s="391"/>
      <c r="AR88" s="390" t="e">
        <f t="shared" si="58"/>
        <v>#N/A</v>
      </c>
      <c r="AS88" s="574"/>
      <c r="AT88" s="390"/>
      <c r="AU88" s="182"/>
      <c r="AV88" s="391"/>
      <c r="AW88" s="390" t="e">
        <f t="shared" si="60"/>
        <v>#N/A</v>
      </c>
      <c r="AX88" s="605"/>
    </row>
    <row r="89" spans="2:50">
      <c r="B89" s="572"/>
      <c r="C89" s="451">
        <v>3</v>
      </c>
      <c r="D89" s="226" t="s">
        <v>346</v>
      </c>
      <c r="E89" s="182">
        <v>19</v>
      </c>
      <c r="F89" s="451">
        <v>1500</v>
      </c>
      <c r="G89" s="453">
        <v>78.900000000000006</v>
      </c>
      <c r="H89" s="609"/>
      <c r="I89" s="456">
        <f t="shared" si="62"/>
        <v>18.8</v>
      </c>
      <c r="J89" s="456">
        <f t="shared" si="62"/>
        <v>1301.3046164176583</v>
      </c>
      <c r="K89" s="454">
        <f t="shared" si="62"/>
        <v>69.275871229189221</v>
      </c>
      <c r="L89" s="541"/>
      <c r="M89" s="455">
        <f>RANK(K89, K$87:$K$101)</f>
        <v>5</v>
      </c>
      <c r="N89" s="559"/>
      <c r="O89" s="559"/>
      <c r="P89" s="182">
        <v>19</v>
      </c>
      <c r="Q89" s="182">
        <v>1324.9999999999959</v>
      </c>
      <c r="R89" s="182">
        <v>69.736842105262937</v>
      </c>
      <c r="S89" s="451">
        <f t="shared" si="63"/>
        <v>6</v>
      </c>
      <c r="T89" s="574"/>
      <c r="U89" s="182">
        <v>19</v>
      </c>
      <c r="V89" s="182">
        <v>1288.9999999999959</v>
      </c>
      <c r="W89" s="182">
        <v>67.842105263157677</v>
      </c>
      <c r="X89" s="451">
        <f t="shared" si="50"/>
        <v>6</v>
      </c>
      <c r="Y89" s="574"/>
      <c r="Z89" s="182">
        <v>19</v>
      </c>
      <c r="AA89" s="182">
        <v>1269.9130434782567</v>
      </c>
      <c r="AB89" s="182">
        <v>66.837528604118774</v>
      </c>
      <c r="AC89" s="451">
        <f t="shared" si="52"/>
        <v>5</v>
      </c>
      <c r="AD89" s="574"/>
      <c r="AE89" s="182">
        <v>19</v>
      </c>
      <c r="AF89" s="182">
        <v>1278.285714285719</v>
      </c>
      <c r="AG89" s="182">
        <v>67.278195488722048</v>
      </c>
      <c r="AH89" s="451">
        <f t="shared" si="54"/>
        <v>5</v>
      </c>
      <c r="AI89" s="574"/>
      <c r="AJ89" s="182">
        <v>18</v>
      </c>
      <c r="AK89" s="182">
        <v>1344.3243243243244</v>
      </c>
      <c r="AL89" s="182">
        <v>74.684684684684683</v>
      </c>
      <c r="AM89" s="451">
        <f t="shared" si="56"/>
        <v>5</v>
      </c>
      <c r="AN89" s="574"/>
      <c r="AO89" s="390"/>
      <c r="AP89" s="182"/>
      <c r="AQ89" s="391"/>
      <c r="AR89" s="390" t="e">
        <f t="shared" si="58"/>
        <v>#N/A</v>
      </c>
      <c r="AS89" s="574"/>
      <c r="AT89" s="390"/>
      <c r="AU89" s="182"/>
      <c r="AV89" s="391"/>
      <c r="AW89" s="390" t="e">
        <f t="shared" si="60"/>
        <v>#N/A</v>
      </c>
      <c r="AX89" s="605"/>
    </row>
    <row r="90" spans="2:50">
      <c r="B90" s="572"/>
      <c r="C90" s="451">
        <v>4</v>
      </c>
      <c r="D90" s="226" t="s">
        <v>398</v>
      </c>
      <c r="E90" s="182">
        <v>17</v>
      </c>
      <c r="F90" s="451">
        <v>1440</v>
      </c>
      <c r="G90" s="453">
        <v>84.7</v>
      </c>
      <c r="H90" s="609"/>
      <c r="I90" s="456">
        <f t="shared" si="62"/>
        <v>17</v>
      </c>
      <c r="J90" s="456">
        <f t="shared" si="62"/>
        <v>1174.759510567296</v>
      </c>
      <c r="K90" s="454">
        <f t="shared" si="62"/>
        <v>69.103500621605647</v>
      </c>
      <c r="L90" s="541"/>
      <c r="M90" s="455">
        <f>RANK(K90, K$87:$K$101)</f>
        <v>6</v>
      </c>
      <c r="N90" s="559"/>
      <c r="O90" s="559"/>
      <c r="P90" s="182">
        <v>17</v>
      </c>
      <c r="Q90" s="182">
        <v>1254.0000000000011</v>
      </c>
      <c r="R90" s="182">
        <v>73.764705882353013</v>
      </c>
      <c r="S90" s="451">
        <f t="shared" si="63"/>
        <v>5</v>
      </c>
      <c r="T90" s="574"/>
      <c r="U90" s="182">
        <v>17</v>
      </c>
      <c r="V90" s="182">
        <v>1193.7931034482669</v>
      </c>
      <c r="W90" s="182">
        <v>70.223123732250997</v>
      </c>
      <c r="X90" s="451">
        <f t="shared" si="50"/>
        <v>5</v>
      </c>
      <c r="Y90" s="574"/>
      <c r="Z90" s="182">
        <v>17</v>
      </c>
      <c r="AA90" s="182">
        <v>1081.9354838709687</v>
      </c>
      <c r="AB90" s="182">
        <v>63.643263757115804</v>
      </c>
      <c r="AC90" s="451">
        <f t="shared" si="52"/>
        <v>6</v>
      </c>
      <c r="AD90" s="574"/>
      <c r="AE90" s="182">
        <v>17</v>
      </c>
      <c r="AF90" s="182">
        <v>1082.0000000000009</v>
      </c>
      <c r="AG90" s="182">
        <v>63.647058823529463</v>
      </c>
      <c r="AH90" s="451">
        <f t="shared" si="54"/>
        <v>6</v>
      </c>
      <c r="AI90" s="574"/>
      <c r="AJ90" s="182">
        <v>17</v>
      </c>
      <c r="AK90" s="182">
        <v>1262.0689655172423</v>
      </c>
      <c r="AL90" s="182">
        <v>74.23935091277896</v>
      </c>
      <c r="AM90" s="451">
        <f t="shared" si="56"/>
        <v>6</v>
      </c>
      <c r="AN90" s="574"/>
      <c r="AO90" s="390"/>
      <c r="AP90" s="182"/>
      <c r="AQ90" s="391"/>
      <c r="AR90" s="390" t="e">
        <f t="shared" si="58"/>
        <v>#N/A</v>
      </c>
      <c r="AS90" s="574"/>
      <c r="AT90" s="390"/>
      <c r="AU90" s="182"/>
      <c r="AV90" s="391"/>
      <c r="AW90" s="390" t="e">
        <f t="shared" si="60"/>
        <v>#N/A</v>
      </c>
      <c r="AX90" s="605"/>
    </row>
    <row r="91" spans="2:50">
      <c r="B91" s="572"/>
      <c r="C91" s="451">
        <v>5</v>
      </c>
      <c r="D91" s="226" t="s">
        <v>442</v>
      </c>
      <c r="E91" s="182">
        <v>6</v>
      </c>
      <c r="F91" s="451">
        <v>1500</v>
      </c>
      <c r="G91" s="453">
        <v>250</v>
      </c>
      <c r="H91" s="609"/>
      <c r="I91" s="456">
        <f t="shared" si="62"/>
        <v>7</v>
      </c>
      <c r="J91" s="456">
        <f t="shared" si="62"/>
        <v>1491.6309506941432</v>
      </c>
      <c r="K91" s="454">
        <f t="shared" si="62"/>
        <v>213.09013581344902</v>
      </c>
      <c r="L91" s="541"/>
      <c r="M91" s="455">
        <f>RANK(K91, K$87:$K$101)</f>
        <v>1</v>
      </c>
      <c r="N91" s="559"/>
      <c r="O91" s="559"/>
      <c r="P91" s="182">
        <v>7</v>
      </c>
      <c r="Q91" s="182">
        <v>1496.0439560439554</v>
      </c>
      <c r="R91" s="182">
        <v>213.72056514913649</v>
      </c>
      <c r="S91" s="451">
        <f t="shared" si="63"/>
        <v>2</v>
      </c>
      <c r="T91" s="574"/>
      <c r="U91" s="182">
        <v>7</v>
      </c>
      <c r="V91" s="182">
        <v>1500.0000000000005</v>
      </c>
      <c r="W91" s="182">
        <v>214.28571428571436</v>
      </c>
      <c r="X91" s="451">
        <f t="shared" si="50"/>
        <v>1</v>
      </c>
      <c r="Y91" s="574"/>
      <c r="Z91" s="182">
        <v>7</v>
      </c>
      <c r="AA91" s="182">
        <v>1493.5483870967746</v>
      </c>
      <c r="AB91" s="182">
        <v>213.36405529953922</v>
      </c>
      <c r="AC91" s="451">
        <f t="shared" si="52"/>
        <v>3</v>
      </c>
      <c r="AD91" s="574"/>
      <c r="AE91" s="182">
        <v>7</v>
      </c>
      <c r="AF91" s="182">
        <v>1469.268292682927</v>
      </c>
      <c r="AG91" s="182">
        <v>209.8954703832753</v>
      </c>
      <c r="AH91" s="451">
        <f t="shared" si="54"/>
        <v>2</v>
      </c>
      <c r="AI91" s="574"/>
      <c r="AJ91" s="182">
        <v>7</v>
      </c>
      <c r="AK91" s="182">
        <v>1499.2941176470586</v>
      </c>
      <c r="AL91" s="182">
        <v>214.18487394957978</v>
      </c>
      <c r="AM91" s="451">
        <f t="shared" si="56"/>
        <v>1</v>
      </c>
      <c r="AN91" s="574"/>
      <c r="AO91" s="390"/>
      <c r="AP91" s="182"/>
      <c r="AQ91" s="391"/>
      <c r="AR91" s="390" t="e">
        <f t="shared" si="58"/>
        <v>#N/A</v>
      </c>
      <c r="AS91" s="574"/>
      <c r="AT91" s="390"/>
      <c r="AU91" s="182"/>
      <c r="AV91" s="391"/>
      <c r="AW91" s="390" t="e">
        <f t="shared" si="60"/>
        <v>#N/A</v>
      </c>
      <c r="AX91" s="605"/>
    </row>
    <row r="92" spans="2:50">
      <c r="B92" s="572"/>
      <c r="C92" s="451">
        <v>6</v>
      </c>
      <c r="D92" s="226" t="s">
        <v>852</v>
      </c>
      <c r="E92" s="182">
        <v>6</v>
      </c>
      <c r="F92" s="451">
        <v>1500</v>
      </c>
      <c r="G92" s="453">
        <v>250</v>
      </c>
      <c r="H92" s="609"/>
      <c r="I92" s="456">
        <f t="shared" si="62"/>
        <v>6</v>
      </c>
      <c r="J92" s="456">
        <f t="shared" si="62"/>
        <v>1259.2805004227671</v>
      </c>
      <c r="K92" s="454">
        <f t="shared" si="62"/>
        <v>209.88008340379452</v>
      </c>
      <c r="L92" s="541"/>
      <c r="M92" s="455">
        <f>RANK(K92, K$87:$K$101)</f>
        <v>3</v>
      </c>
      <c r="N92" s="559"/>
      <c r="O92" s="559"/>
      <c r="P92" s="182">
        <v>6</v>
      </c>
      <c r="Q92" s="182">
        <v>1296.1643835616437</v>
      </c>
      <c r="R92" s="182">
        <v>216.02739726027394</v>
      </c>
      <c r="S92" s="451">
        <f t="shared" si="63"/>
        <v>1</v>
      </c>
      <c r="T92" s="574"/>
      <c r="U92" s="182">
        <v>6</v>
      </c>
      <c r="V92" s="182">
        <v>1269.7674418604647</v>
      </c>
      <c r="W92" s="182">
        <v>211.62790697674413</v>
      </c>
      <c r="X92" s="451">
        <f t="shared" si="50"/>
        <v>2</v>
      </c>
      <c r="Y92" s="574"/>
      <c r="Z92" s="182">
        <v>6</v>
      </c>
      <c r="AA92" s="182">
        <v>1286.8421052631584</v>
      </c>
      <c r="AB92" s="182">
        <v>214.47368421052639</v>
      </c>
      <c r="AC92" s="451">
        <f t="shared" si="52"/>
        <v>2</v>
      </c>
      <c r="AD92" s="574"/>
      <c r="AE92" s="182">
        <v>6</v>
      </c>
      <c r="AF92" s="182">
        <v>1207.1999999999985</v>
      </c>
      <c r="AG92" s="182">
        <v>201.19999999999973</v>
      </c>
      <c r="AH92" s="451">
        <f t="shared" si="54"/>
        <v>3</v>
      </c>
      <c r="AI92" s="574"/>
      <c r="AJ92" s="182">
        <v>6</v>
      </c>
      <c r="AK92" s="182">
        <v>1236.4285714285704</v>
      </c>
      <c r="AL92" s="182">
        <v>206.07142857142841</v>
      </c>
      <c r="AM92" s="451">
        <f t="shared" si="56"/>
        <v>3</v>
      </c>
      <c r="AN92" s="574"/>
      <c r="AO92" s="390"/>
      <c r="AP92" s="182"/>
      <c r="AQ92" s="391"/>
      <c r="AR92" s="390" t="e">
        <f t="shared" si="58"/>
        <v>#N/A</v>
      </c>
      <c r="AS92" s="574"/>
      <c r="AT92" s="390"/>
      <c r="AU92" s="182"/>
      <c r="AV92" s="391"/>
      <c r="AW92" s="390" t="e">
        <f t="shared" si="60"/>
        <v>#N/A</v>
      </c>
      <c r="AX92" s="605"/>
    </row>
    <row r="93" spans="2:50">
      <c r="B93" s="572"/>
      <c r="C93" s="451">
        <v>7</v>
      </c>
      <c r="D93" s="226" t="s">
        <v>488</v>
      </c>
      <c r="E93" s="182">
        <v>20</v>
      </c>
      <c r="F93" s="451">
        <v>1385</v>
      </c>
      <c r="G93" s="453">
        <v>69.2</v>
      </c>
      <c r="H93" s="609"/>
      <c r="I93" s="456">
        <f t="shared" si="62"/>
        <v>20</v>
      </c>
      <c r="J93" s="456">
        <f t="shared" si="62"/>
        <v>1000.4955988455991</v>
      </c>
      <c r="K93" s="454">
        <f t="shared" si="62"/>
        <v>50.024779942279949</v>
      </c>
      <c r="L93" s="541"/>
      <c r="M93" s="455">
        <f>RANK(K93, K$87:$K$101)</f>
        <v>7</v>
      </c>
      <c r="N93" s="559"/>
      <c r="O93" s="559"/>
      <c r="P93" s="182">
        <v>20</v>
      </c>
      <c r="Q93" s="182">
        <v>986.25000000000102</v>
      </c>
      <c r="R93" s="182">
        <v>49.31250000000005</v>
      </c>
      <c r="S93" s="451">
        <f t="shared" si="63"/>
        <v>7</v>
      </c>
      <c r="T93" s="574"/>
      <c r="U93" s="182">
        <v>20</v>
      </c>
      <c r="V93" s="182">
        <v>980.57142857142765</v>
      </c>
      <c r="W93" s="182">
        <v>49.028571428571382</v>
      </c>
      <c r="X93" s="451">
        <f t="shared" si="50"/>
        <v>7</v>
      </c>
      <c r="Y93" s="574"/>
      <c r="Z93" s="182">
        <v>20</v>
      </c>
      <c r="AA93" s="182">
        <v>996.66666666666583</v>
      </c>
      <c r="AB93" s="182">
        <v>49.833333333333293</v>
      </c>
      <c r="AC93" s="451">
        <f t="shared" si="52"/>
        <v>7</v>
      </c>
      <c r="AD93" s="574"/>
      <c r="AE93" s="182">
        <v>20</v>
      </c>
      <c r="AF93" s="182">
        <v>1024.444444444445</v>
      </c>
      <c r="AG93" s="182">
        <v>51.22222222222225</v>
      </c>
      <c r="AH93" s="451">
        <f t="shared" si="54"/>
        <v>7</v>
      </c>
      <c r="AI93" s="574"/>
      <c r="AJ93" s="182">
        <v>20</v>
      </c>
      <c r="AK93" s="182">
        <v>1014.5454545454556</v>
      </c>
      <c r="AL93" s="182">
        <v>50.727272727272783</v>
      </c>
      <c r="AM93" s="451">
        <f t="shared" si="56"/>
        <v>7</v>
      </c>
      <c r="AN93" s="574"/>
      <c r="AO93" s="390"/>
      <c r="AP93" s="182"/>
      <c r="AQ93" s="391"/>
      <c r="AR93" s="390" t="e">
        <f t="shared" si="58"/>
        <v>#N/A</v>
      </c>
      <c r="AS93" s="574"/>
      <c r="AT93" s="390"/>
      <c r="AU93" s="182"/>
      <c r="AV93" s="391"/>
      <c r="AW93" s="390" t="e">
        <f t="shared" si="60"/>
        <v>#N/A</v>
      </c>
      <c r="AX93" s="605"/>
    </row>
    <row r="94" spans="2:50">
      <c r="B94" s="572"/>
      <c r="C94" s="451">
        <v>8</v>
      </c>
      <c r="D94" s="226"/>
      <c r="E94" s="182"/>
      <c r="F94" s="451"/>
      <c r="G94" s="453"/>
      <c r="H94" s="609"/>
      <c r="I94" s="456"/>
      <c r="J94" s="456"/>
      <c r="K94" s="454"/>
      <c r="L94" s="541"/>
      <c r="M94" s="455" t="e">
        <f>RANK(K94, K$87:$K$101)</f>
        <v>#N/A</v>
      </c>
      <c r="N94" s="559"/>
      <c r="O94" s="559"/>
      <c r="P94" s="452"/>
      <c r="Q94" s="457"/>
      <c r="R94" s="457"/>
      <c r="S94" s="451" t="e">
        <f t="shared" si="63"/>
        <v>#N/A</v>
      </c>
      <c r="T94" s="574"/>
      <c r="U94" s="452"/>
      <c r="V94" s="457"/>
      <c r="W94" s="457"/>
      <c r="X94" s="451" t="e">
        <f t="shared" si="50"/>
        <v>#N/A</v>
      </c>
      <c r="Y94" s="574"/>
      <c r="Z94" s="452"/>
      <c r="AA94" s="457"/>
      <c r="AB94" s="457"/>
      <c r="AC94" s="451" t="e">
        <f t="shared" si="52"/>
        <v>#N/A</v>
      </c>
      <c r="AD94" s="574"/>
      <c r="AE94" s="452"/>
      <c r="AF94" s="457"/>
      <c r="AG94" s="457"/>
      <c r="AH94" s="451" t="e">
        <f t="shared" si="54"/>
        <v>#N/A</v>
      </c>
      <c r="AI94" s="574"/>
      <c r="AJ94" s="452"/>
      <c r="AK94" s="457"/>
      <c r="AL94" s="457"/>
      <c r="AM94" s="451" t="e">
        <f t="shared" si="56"/>
        <v>#N/A</v>
      </c>
      <c r="AN94" s="574"/>
      <c r="AO94" s="390"/>
      <c r="AP94" s="182"/>
      <c r="AQ94" s="391"/>
      <c r="AR94" s="390" t="e">
        <f t="shared" si="58"/>
        <v>#N/A</v>
      </c>
      <c r="AS94" s="574"/>
      <c r="AT94" s="390"/>
      <c r="AU94" s="182"/>
      <c r="AV94" s="391"/>
      <c r="AW94" s="390" t="e">
        <f t="shared" si="60"/>
        <v>#N/A</v>
      </c>
      <c r="AX94" s="605"/>
    </row>
    <row r="95" spans="2:50">
      <c r="B95" s="572"/>
      <c r="C95" s="451">
        <v>9</v>
      </c>
      <c r="D95" s="226"/>
      <c r="E95" s="182"/>
      <c r="F95" s="451"/>
      <c r="G95" s="453"/>
      <c r="H95" s="609"/>
      <c r="I95" s="456"/>
      <c r="J95" s="456"/>
      <c r="K95" s="454"/>
      <c r="L95" s="541"/>
      <c r="M95" s="455" t="e">
        <f>RANK(K95, K$87:$K$101)</f>
        <v>#N/A</v>
      </c>
      <c r="N95" s="559"/>
      <c r="O95" s="559"/>
      <c r="P95" s="452"/>
      <c r="Q95" s="457"/>
      <c r="R95" s="457"/>
      <c r="S95" s="451" t="e">
        <f t="shared" si="63"/>
        <v>#N/A</v>
      </c>
      <c r="T95" s="574"/>
      <c r="U95" s="452"/>
      <c r="V95" s="457"/>
      <c r="W95" s="457"/>
      <c r="X95" s="451" t="e">
        <f t="shared" si="50"/>
        <v>#N/A</v>
      </c>
      <c r="Y95" s="574"/>
      <c r="Z95" s="452"/>
      <c r="AA95" s="457"/>
      <c r="AB95" s="457"/>
      <c r="AC95" s="451" t="e">
        <f t="shared" si="52"/>
        <v>#N/A</v>
      </c>
      <c r="AD95" s="574"/>
      <c r="AE95" s="452"/>
      <c r="AF95" s="457"/>
      <c r="AG95" s="457"/>
      <c r="AH95" s="451" t="e">
        <f t="shared" si="54"/>
        <v>#N/A</v>
      </c>
      <c r="AI95" s="574"/>
      <c r="AJ95" s="452"/>
      <c r="AK95" s="457"/>
      <c r="AL95" s="457"/>
      <c r="AM95" s="451" t="e">
        <f t="shared" si="56"/>
        <v>#N/A</v>
      </c>
      <c r="AN95" s="574"/>
      <c r="AO95" s="390"/>
      <c r="AP95" s="182"/>
      <c r="AQ95" s="391"/>
      <c r="AR95" s="390" t="e">
        <f t="shared" si="58"/>
        <v>#N/A</v>
      </c>
      <c r="AS95" s="574"/>
      <c r="AT95" s="390"/>
      <c r="AU95" s="182"/>
      <c r="AV95" s="391"/>
      <c r="AW95" s="390" t="e">
        <f t="shared" si="60"/>
        <v>#N/A</v>
      </c>
      <c r="AX95" s="605"/>
    </row>
    <row r="96" spans="2:50">
      <c r="B96" s="572"/>
      <c r="C96" s="451">
        <v>10</v>
      </c>
      <c r="D96" s="226"/>
      <c r="E96" s="182"/>
      <c r="F96" s="451"/>
      <c r="G96" s="453"/>
      <c r="H96" s="609"/>
      <c r="I96" s="456"/>
      <c r="J96" s="456"/>
      <c r="K96" s="454"/>
      <c r="L96" s="541"/>
      <c r="M96" s="455" t="e">
        <f>RANK(K96, K$87:$K$101)</f>
        <v>#N/A</v>
      </c>
      <c r="N96" s="559"/>
      <c r="O96" s="559"/>
      <c r="P96" s="452"/>
      <c r="Q96" s="457"/>
      <c r="R96" s="457"/>
      <c r="S96" s="451" t="e">
        <f t="shared" si="63"/>
        <v>#N/A</v>
      </c>
      <c r="T96" s="574"/>
      <c r="U96" s="452"/>
      <c r="V96" s="457"/>
      <c r="W96" s="457"/>
      <c r="X96" s="451" t="e">
        <f t="shared" si="50"/>
        <v>#N/A</v>
      </c>
      <c r="Y96" s="574"/>
      <c r="Z96" s="452"/>
      <c r="AA96" s="457"/>
      <c r="AB96" s="457"/>
      <c r="AC96" s="451" t="e">
        <f t="shared" si="52"/>
        <v>#N/A</v>
      </c>
      <c r="AD96" s="574"/>
      <c r="AE96" s="452"/>
      <c r="AF96" s="457"/>
      <c r="AG96" s="457"/>
      <c r="AH96" s="451" t="e">
        <f t="shared" si="54"/>
        <v>#N/A</v>
      </c>
      <c r="AI96" s="574"/>
      <c r="AJ96" s="452"/>
      <c r="AK96" s="457"/>
      <c r="AL96" s="457"/>
      <c r="AM96" s="451" t="e">
        <f t="shared" si="56"/>
        <v>#N/A</v>
      </c>
      <c r="AN96" s="574"/>
      <c r="AO96" s="390"/>
      <c r="AP96" s="182"/>
      <c r="AQ96" s="391"/>
      <c r="AR96" s="390" t="e">
        <f t="shared" si="58"/>
        <v>#N/A</v>
      </c>
      <c r="AS96" s="574"/>
      <c r="AT96" s="390"/>
      <c r="AU96" s="182"/>
      <c r="AV96" s="391"/>
      <c r="AW96" s="390" t="e">
        <f t="shared" si="60"/>
        <v>#N/A</v>
      </c>
      <c r="AX96" s="605"/>
    </row>
    <row r="97" spans="2:50">
      <c r="B97" s="572"/>
      <c r="C97" s="451">
        <v>11</v>
      </c>
      <c r="D97" s="226"/>
      <c r="E97" s="182"/>
      <c r="F97" s="451"/>
      <c r="G97" s="453"/>
      <c r="H97" s="609"/>
      <c r="I97" s="456"/>
      <c r="J97" s="456"/>
      <c r="K97" s="454"/>
      <c r="L97" s="541"/>
      <c r="M97" s="455" t="e">
        <f>RANK(K97, K$87:$K$101)</f>
        <v>#N/A</v>
      </c>
      <c r="N97" s="559"/>
      <c r="O97" s="559"/>
      <c r="P97" s="452"/>
      <c r="Q97" s="457"/>
      <c r="R97" s="457"/>
      <c r="S97" s="451" t="e">
        <f t="shared" si="63"/>
        <v>#N/A</v>
      </c>
      <c r="T97" s="574"/>
      <c r="U97" s="452"/>
      <c r="V97" s="457"/>
      <c r="W97" s="457"/>
      <c r="X97" s="451" t="e">
        <f t="shared" si="50"/>
        <v>#N/A</v>
      </c>
      <c r="Y97" s="574"/>
      <c r="Z97" s="452"/>
      <c r="AA97" s="457"/>
      <c r="AB97" s="457"/>
      <c r="AC97" s="451" t="e">
        <f t="shared" si="52"/>
        <v>#N/A</v>
      </c>
      <c r="AD97" s="574"/>
      <c r="AE97" s="452"/>
      <c r="AF97" s="457"/>
      <c r="AG97" s="457"/>
      <c r="AH97" s="451" t="e">
        <f t="shared" si="54"/>
        <v>#N/A</v>
      </c>
      <c r="AI97" s="574"/>
      <c r="AJ97" s="452"/>
      <c r="AK97" s="457"/>
      <c r="AL97" s="457"/>
      <c r="AM97" s="451" t="e">
        <f t="shared" si="56"/>
        <v>#N/A</v>
      </c>
      <c r="AN97" s="574"/>
      <c r="AO97" s="390"/>
      <c r="AP97" s="182"/>
      <c r="AQ97" s="391"/>
      <c r="AR97" s="390" t="e">
        <f t="shared" si="58"/>
        <v>#N/A</v>
      </c>
      <c r="AS97" s="574"/>
      <c r="AT97" s="390"/>
      <c r="AU97" s="182"/>
      <c r="AV97" s="391"/>
      <c r="AW97" s="390" t="e">
        <f t="shared" si="60"/>
        <v>#N/A</v>
      </c>
      <c r="AX97" s="605"/>
    </row>
    <row r="98" spans="2:50">
      <c r="B98" s="572"/>
      <c r="C98" s="451">
        <v>12</v>
      </c>
      <c r="D98" s="226"/>
      <c r="E98" s="182"/>
      <c r="F98" s="451"/>
      <c r="G98" s="453"/>
      <c r="H98" s="609"/>
      <c r="I98" s="456"/>
      <c r="J98" s="456"/>
      <c r="K98" s="454"/>
      <c r="L98" s="541"/>
      <c r="M98" s="455" t="e">
        <f>RANK(K98, K$87:$K$101)</f>
        <v>#N/A</v>
      </c>
      <c r="N98" s="559"/>
      <c r="O98" s="559"/>
      <c r="P98" s="452"/>
      <c r="Q98" s="457"/>
      <c r="R98" s="457"/>
      <c r="S98" s="451" t="e">
        <f t="shared" si="63"/>
        <v>#N/A</v>
      </c>
      <c r="T98" s="574"/>
      <c r="U98" s="452"/>
      <c r="V98" s="457"/>
      <c r="W98" s="457"/>
      <c r="X98" s="451" t="e">
        <f t="shared" si="50"/>
        <v>#N/A</v>
      </c>
      <c r="Y98" s="574"/>
      <c r="Z98" s="452"/>
      <c r="AA98" s="457"/>
      <c r="AB98" s="457"/>
      <c r="AC98" s="451" t="e">
        <f t="shared" si="52"/>
        <v>#N/A</v>
      </c>
      <c r="AD98" s="574"/>
      <c r="AE98" s="452"/>
      <c r="AF98" s="457"/>
      <c r="AG98" s="457"/>
      <c r="AH98" s="451" t="e">
        <f t="shared" si="54"/>
        <v>#N/A</v>
      </c>
      <c r="AI98" s="574"/>
      <c r="AJ98" s="452"/>
      <c r="AK98" s="457"/>
      <c r="AL98" s="457"/>
      <c r="AM98" s="451" t="e">
        <f t="shared" si="56"/>
        <v>#N/A</v>
      </c>
      <c r="AN98" s="574"/>
      <c r="AO98" s="390"/>
      <c r="AP98" s="182"/>
      <c r="AQ98" s="391"/>
      <c r="AR98" s="390" t="e">
        <f t="shared" si="58"/>
        <v>#N/A</v>
      </c>
      <c r="AS98" s="574"/>
      <c r="AT98" s="390"/>
      <c r="AU98" s="182"/>
      <c r="AV98" s="391"/>
      <c r="AW98" s="390" t="e">
        <f t="shared" si="60"/>
        <v>#N/A</v>
      </c>
      <c r="AX98" s="605"/>
    </row>
    <row r="99" spans="2:50">
      <c r="B99" s="572"/>
      <c r="C99" s="451">
        <v>13</v>
      </c>
      <c r="D99" s="226"/>
      <c r="E99" s="182"/>
      <c r="F99" s="451"/>
      <c r="G99" s="453"/>
      <c r="H99" s="609"/>
      <c r="I99" s="456"/>
      <c r="J99" s="456"/>
      <c r="K99" s="454"/>
      <c r="L99" s="541"/>
      <c r="M99" s="455" t="e">
        <f>RANK(K99, K$87:$K$101)</f>
        <v>#N/A</v>
      </c>
      <c r="N99" s="559"/>
      <c r="O99" s="559"/>
      <c r="P99" s="452"/>
      <c r="Q99" s="457"/>
      <c r="R99" s="457"/>
      <c r="S99" s="451" t="e">
        <f t="shared" si="63"/>
        <v>#N/A</v>
      </c>
      <c r="T99" s="574"/>
      <c r="U99" s="452"/>
      <c r="V99" s="457"/>
      <c r="W99" s="457"/>
      <c r="X99" s="451" t="e">
        <f t="shared" si="50"/>
        <v>#N/A</v>
      </c>
      <c r="Y99" s="574"/>
      <c r="Z99" s="452"/>
      <c r="AA99" s="457"/>
      <c r="AB99" s="457"/>
      <c r="AC99" s="451" t="e">
        <f t="shared" si="52"/>
        <v>#N/A</v>
      </c>
      <c r="AD99" s="574"/>
      <c r="AE99" s="452"/>
      <c r="AF99" s="457"/>
      <c r="AG99" s="457"/>
      <c r="AH99" s="451" t="e">
        <f t="shared" si="54"/>
        <v>#N/A</v>
      </c>
      <c r="AI99" s="574"/>
      <c r="AJ99" s="452"/>
      <c r="AK99" s="457"/>
      <c r="AL99" s="457"/>
      <c r="AM99" s="451" t="e">
        <f t="shared" si="56"/>
        <v>#N/A</v>
      </c>
      <c r="AN99" s="574"/>
      <c r="AO99" s="390"/>
      <c r="AP99" s="182"/>
      <c r="AQ99" s="391"/>
      <c r="AR99" s="390" t="e">
        <f t="shared" si="58"/>
        <v>#N/A</v>
      </c>
      <c r="AS99" s="574"/>
      <c r="AT99" s="390"/>
      <c r="AU99" s="182"/>
      <c r="AV99" s="391"/>
      <c r="AW99" s="390" t="e">
        <f t="shared" si="60"/>
        <v>#N/A</v>
      </c>
      <c r="AX99" s="605"/>
    </row>
    <row r="100" spans="2:50">
      <c r="B100" s="572"/>
      <c r="C100" s="451">
        <v>14</v>
      </c>
      <c r="D100" s="226"/>
      <c r="E100" s="182"/>
      <c r="F100" s="451"/>
      <c r="G100" s="453"/>
      <c r="H100" s="609"/>
      <c r="I100" s="456"/>
      <c r="J100" s="456"/>
      <c r="K100" s="454"/>
      <c r="L100" s="541"/>
      <c r="M100" s="455" t="e">
        <f>RANK(K100, K$87:$K$101)</f>
        <v>#N/A</v>
      </c>
      <c r="N100" s="559"/>
      <c r="O100" s="559"/>
      <c r="P100" s="452"/>
      <c r="Q100" s="457"/>
      <c r="R100" s="457"/>
      <c r="S100" s="451" t="e">
        <f t="shared" si="63"/>
        <v>#N/A</v>
      </c>
      <c r="T100" s="574"/>
      <c r="U100" s="452"/>
      <c r="V100" s="457"/>
      <c r="W100" s="457"/>
      <c r="X100" s="451" t="e">
        <f t="shared" si="50"/>
        <v>#N/A</v>
      </c>
      <c r="Y100" s="574"/>
      <c r="Z100" s="452"/>
      <c r="AA100" s="457"/>
      <c r="AB100" s="457"/>
      <c r="AC100" s="451" t="e">
        <f t="shared" si="52"/>
        <v>#N/A</v>
      </c>
      <c r="AD100" s="574"/>
      <c r="AE100" s="452"/>
      <c r="AF100" s="457"/>
      <c r="AG100" s="457"/>
      <c r="AH100" s="451" t="e">
        <f t="shared" si="54"/>
        <v>#N/A</v>
      </c>
      <c r="AI100" s="574"/>
      <c r="AJ100" s="452"/>
      <c r="AK100" s="457"/>
      <c r="AL100" s="457"/>
      <c r="AM100" s="451" t="e">
        <f t="shared" si="56"/>
        <v>#N/A</v>
      </c>
      <c r="AN100" s="574"/>
      <c r="AO100" s="390"/>
      <c r="AP100" s="182"/>
      <c r="AQ100" s="391"/>
      <c r="AR100" s="390" t="e">
        <f t="shared" si="58"/>
        <v>#N/A</v>
      </c>
      <c r="AS100" s="574"/>
      <c r="AT100" s="390"/>
      <c r="AU100" s="182"/>
      <c r="AV100" s="391"/>
      <c r="AW100" s="390" t="e">
        <f t="shared" si="60"/>
        <v>#N/A</v>
      </c>
      <c r="AX100" s="605"/>
    </row>
    <row r="101" spans="2:50">
      <c r="B101" s="572"/>
      <c r="C101" s="451">
        <v>15</v>
      </c>
      <c r="D101" s="226"/>
      <c r="E101" s="182"/>
      <c r="F101" s="451"/>
      <c r="G101" s="453"/>
      <c r="H101" s="610"/>
      <c r="I101" s="456"/>
      <c r="J101" s="456"/>
      <c r="K101" s="454"/>
      <c r="L101" s="542"/>
      <c r="M101" s="456" t="e">
        <f>RANK(K101, K$87:$K$101)</f>
        <v>#N/A</v>
      </c>
      <c r="N101" s="559"/>
      <c r="O101" s="559"/>
      <c r="P101" s="452"/>
      <c r="Q101" s="457"/>
      <c r="R101" s="457"/>
      <c r="S101" s="451" t="e">
        <f t="shared" si="63"/>
        <v>#N/A</v>
      </c>
      <c r="T101" s="575"/>
      <c r="U101" s="452"/>
      <c r="V101" s="457"/>
      <c r="W101" s="457"/>
      <c r="X101" s="451" t="e">
        <f t="shared" si="50"/>
        <v>#N/A</v>
      </c>
      <c r="Y101" s="575"/>
      <c r="Z101" s="452"/>
      <c r="AA101" s="457"/>
      <c r="AB101" s="457"/>
      <c r="AC101" s="451" t="e">
        <f t="shared" si="52"/>
        <v>#N/A</v>
      </c>
      <c r="AD101" s="575"/>
      <c r="AE101" s="452"/>
      <c r="AF101" s="457"/>
      <c r="AG101" s="457"/>
      <c r="AH101" s="451" t="e">
        <f t="shared" si="54"/>
        <v>#N/A</v>
      </c>
      <c r="AI101" s="575"/>
      <c r="AJ101" s="452"/>
      <c r="AK101" s="457"/>
      <c r="AL101" s="457"/>
      <c r="AM101" s="451" t="e">
        <f t="shared" si="56"/>
        <v>#N/A</v>
      </c>
      <c r="AN101" s="575"/>
      <c r="AO101" s="390"/>
      <c r="AP101" s="182"/>
      <c r="AQ101" s="391"/>
      <c r="AR101" s="390" t="e">
        <f t="shared" si="58"/>
        <v>#N/A</v>
      </c>
      <c r="AS101" s="575"/>
      <c r="AT101" s="390"/>
      <c r="AU101" s="182"/>
      <c r="AV101" s="391"/>
      <c r="AW101" s="390" t="e">
        <f t="shared" si="60"/>
        <v>#N/A</v>
      </c>
      <c r="AX101" s="605"/>
    </row>
    <row r="102" spans="2:50" ht="15.75">
      <c r="B102" s="576" t="s">
        <v>162</v>
      </c>
      <c r="C102" s="577"/>
      <c r="D102" s="577"/>
      <c r="E102" s="577"/>
      <c r="F102" s="577"/>
      <c r="G102" s="577"/>
      <c r="H102" s="578"/>
      <c r="I102" s="208"/>
      <c r="J102" s="208"/>
      <c r="K102" s="208"/>
      <c r="L102" s="208"/>
      <c r="M102" s="207"/>
      <c r="N102" s="565" t="s">
        <v>156</v>
      </c>
      <c r="O102" s="565" t="s">
        <v>105</v>
      </c>
      <c r="P102" s="571">
        <f>P82+7</f>
        <v>34</v>
      </c>
      <c r="Q102" s="572"/>
      <c r="R102" s="572"/>
      <c r="S102" s="572"/>
      <c r="T102" s="572"/>
      <c r="U102" s="568">
        <f>P102+1</f>
        <v>35</v>
      </c>
      <c r="V102" s="569"/>
      <c r="W102" s="569"/>
      <c r="X102" s="569"/>
      <c r="Y102" s="570"/>
      <c r="Z102" s="568">
        <f>U102+1</f>
        <v>36</v>
      </c>
      <c r="AA102" s="569"/>
      <c r="AB102" s="569"/>
      <c r="AC102" s="569"/>
      <c r="AD102" s="570"/>
      <c r="AE102" s="568">
        <f>Z102+1</f>
        <v>37</v>
      </c>
      <c r="AF102" s="569"/>
      <c r="AG102" s="569"/>
      <c r="AH102" s="569"/>
      <c r="AI102" s="570"/>
      <c r="AJ102" s="568">
        <f>AE102+1</f>
        <v>38</v>
      </c>
      <c r="AK102" s="569"/>
      <c r="AL102" s="569"/>
      <c r="AM102" s="569"/>
      <c r="AN102" s="570"/>
      <c r="AO102" s="568">
        <f>AJ102+1</f>
        <v>39</v>
      </c>
      <c r="AP102" s="569"/>
      <c r="AQ102" s="569"/>
      <c r="AR102" s="569"/>
      <c r="AS102" s="570"/>
      <c r="AT102" s="568">
        <f>AO102+1</f>
        <v>40</v>
      </c>
      <c r="AU102" s="569"/>
      <c r="AV102" s="569"/>
      <c r="AW102" s="569"/>
      <c r="AX102" s="570"/>
    </row>
    <row r="103" spans="2:50" ht="15.75">
      <c r="B103" s="579"/>
      <c r="C103" s="579"/>
      <c r="D103" s="579"/>
      <c r="E103" s="579"/>
      <c r="F103" s="579"/>
      <c r="G103" s="579"/>
      <c r="H103" s="579"/>
      <c r="I103" s="205"/>
      <c r="J103" s="205"/>
      <c r="K103" s="205"/>
      <c r="L103" s="205"/>
      <c r="M103" s="206"/>
      <c r="N103" s="567"/>
      <c r="O103" s="567"/>
      <c r="P103" s="571" t="s">
        <v>158</v>
      </c>
      <c r="Q103" s="572"/>
      <c r="R103" s="572"/>
      <c r="S103" s="572"/>
      <c r="T103" s="572"/>
      <c r="U103" s="571" t="s">
        <v>114</v>
      </c>
      <c r="V103" s="572"/>
      <c r="W103" s="572"/>
      <c r="X103" s="572"/>
      <c r="Y103" s="572"/>
      <c r="Z103" s="571" t="s">
        <v>159</v>
      </c>
      <c r="AA103" s="572"/>
      <c r="AB103" s="572"/>
      <c r="AC103" s="572"/>
      <c r="AD103" s="572"/>
      <c r="AE103" s="571" t="s">
        <v>157</v>
      </c>
      <c r="AF103" s="572"/>
      <c r="AG103" s="572"/>
      <c r="AH103" s="572"/>
      <c r="AI103" s="572"/>
      <c r="AJ103" s="571" t="s">
        <v>160</v>
      </c>
      <c r="AK103" s="572"/>
      <c r="AL103" s="572"/>
      <c r="AM103" s="572"/>
      <c r="AN103" s="572"/>
      <c r="AO103" s="571" t="s">
        <v>115</v>
      </c>
      <c r="AP103" s="572"/>
      <c r="AQ103" s="572"/>
      <c r="AR103" s="572"/>
      <c r="AS103" s="572"/>
      <c r="AT103" s="571" t="s">
        <v>161</v>
      </c>
      <c r="AU103" s="572"/>
      <c r="AV103" s="572"/>
      <c r="AW103" s="572"/>
      <c r="AX103" s="572"/>
    </row>
    <row r="104" spans="2:50">
      <c r="B104" s="559" t="s">
        <v>703</v>
      </c>
      <c r="C104" s="559" t="s">
        <v>704</v>
      </c>
      <c r="D104" s="559"/>
      <c r="E104" s="559" t="s">
        <v>705</v>
      </c>
      <c r="F104" s="559"/>
      <c r="G104" s="559"/>
      <c r="H104" s="560" t="s">
        <v>706</v>
      </c>
      <c r="I104" s="559" t="s">
        <v>707</v>
      </c>
      <c r="J104" s="559"/>
      <c r="K104" s="559"/>
      <c r="L104" s="560" t="s">
        <v>706</v>
      </c>
      <c r="M104" s="565" t="s">
        <v>708</v>
      </c>
      <c r="N104" s="559"/>
      <c r="O104" s="559" t="s">
        <v>691</v>
      </c>
      <c r="P104" s="556" t="s">
        <v>692</v>
      </c>
      <c r="Q104" s="557"/>
      <c r="R104" s="557"/>
      <c r="S104" s="558"/>
      <c r="T104" s="559" t="s">
        <v>688</v>
      </c>
      <c r="U104" s="556" t="s">
        <v>692</v>
      </c>
      <c r="V104" s="557"/>
      <c r="W104" s="557"/>
      <c r="X104" s="558"/>
      <c r="Y104" s="559" t="s">
        <v>688</v>
      </c>
      <c r="Z104" s="556" t="s">
        <v>418</v>
      </c>
      <c r="AA104" s="557"/>
      <c r="AB104" s="557"/>
      <c r="AC104" s="558"/>
      <c r="AD104" s="559" t="s">
        <v>416</v>
      </c>
      <c r="AE104" s="556" t="s">
        <v>418</v>
      </c>
      <c r="AF104" s="557"/>
      <c r="AG104" s="557"/>
      <c r="AH104" s="558"/>
      <c r="AI104" s="559" t="s">
        <v>416</v>
      </c>
      <c r="AJ104" s="556" t="s">
        <v>418</v>
      </c>
      <c r="AK104" s="557"/>
      <c r="AL104" s="557"/>
      <c r="AM104" s="558"/>
      <c r="AN104" s="559" t="s">
        <v>416</v>
      </c>
      <c r="AO104" s="556" t="s">
        <v>418</v>
      </c>
      <c r="AP104" s="557"/>
      <c r="AQ104" s="557"/>
      <c r="AR104" s="558"/>
      <c r="AS104" s="559" t="s">
        <v>416</v>
      </c>
      <c r="AT104" s="556" t="s">
        <v>418</v>
      </c>
      <c r="AU104" s="557"/>
      <c r="AV104" s="557"/>
      <c r="AW104" s="558"/>
      <c r="AX104" s="559" t="s">
        <v>416</v>
      </c>
    </row>
    <row r="105" spans="2:50">
      <c r="B105" s="559"/>
      <c r="C105" s="559"/>
      <c r="D105" s="559"/>
      <c r="E105" s="559" t="s">
        <v>710</v>
      </c>
      <c r="F105" s="559"/>
      <c r="G105" s="559"/>
      <c r="H105" s="561"/>
      <c r="I105" s="559" t="s">
        <v>710</v>
      </c>
      <c r="J105" s="559"/>
      <c r="K105" s="559"/>
      <c r="L105" s="561"/>
      <c r="M105" s="566"/>
      <c r="N105" s="559"/>
      <c r="O105" s="559"/>
      <c r="P105" s="556" t="s">
        <v>694</v>
      </c>
      <c r="Q105" s="557"/>
      <c r="R105" s="557"/>
      <c r="S105" s="558"/>
      <c r="T105" s="559"/>
      <c r="U105" s="556" t="s">
        <v>694</v>
      </c>
      <c r="V105" s="557"/>
      <c r="W105" s="557"/>
      <c r="X105" s="558"/>
      <c r="Y105" s="559"/>
      <c r="Z105" s="556" t="s">
        <v>423</v>
      </c>
      <c r="AA105" s="557"/>
      <c r="AB105" s="557"/>
      <c r="AC105" s="558"/>
      <c r="AD105" s="559"/>
      <c r="AE105" s="556" t="s">
        <v>423</v>
      </c>
      <c r="AF105" s="557"/>
      <c r="AG105" s="557"/>
      <c r="AH105" s="558"/>
      <c r="AI105" s="559"/>
      <c r="AJ105" s="556" t="s">
        <v>423</v>
      </c>
      <c r="AK105" s="557"/>
      <c r="AL105" s="557"/>
      <c r="AM105" s="558"/>
      <c r="AN105" s="559"/>
      <c r="AO105" s="556" t="s">
        <v>423</v>
      </c>
      <c r="AP105" s="557"/>
      <c r="AQ105" s="557"/>
      <c r="AR105" s="558"/>
      <c r="AS105" s="559"/>
      <c r="AT105" s="556" t="s">
        <v>423</v>
      </c>
      <c r="AU105" s="557"/>
      <c r="AV105" s="557"/>
      <c r="AW105" s="558"/>
      <c r="AX105" s="559"/>
    </row>
    <row r="106" spans="2:50">
      <c r="B106" s="559"/>
      <c r="C106" s="559"/>
      <c r="D106" s="559"/>
      <c r="E106" s="400" t="s">
        <v>711</v>
      </c>
      <c r="F106" s="400" t="s">
        <v>712</v>
      </c>
      <c r="G106" s="400" t="s">
        <v>713</v>
      </c>
      <c r="H106" s="562"/>
      <c r="I106" s="400" t="s">
        <v>711</v>
      </c>
      <c r="J106" s="400" t="s">
        <v>712</v>
      </c>
      <c r="K106" s="400" t="s">
        <v>713</v>
      </c>
      <c r="L106" s="562"/>
      <c r="M106" s="567"/>
      <c r="N106" s="559"/>
      <c r="O106" s="559"/>
      <c r="P106" s="400" t="s">
        <v>695</v>
      </c>
      <c r="Q106" s="400" t="s">
        <v>696</v>
      </c>
      <c r="R106" s="400" t="s">
        <v>697</v>
      </c>
      <c r="S106" s="400" t="s">
        <v>690</v>
      </c>
      <c r="T106" s="559"/>
      <c r="U106" s="400" t="s">
        <v>695</v>
      </c>
      <c r="V106" s="400" t="s">
        <v>696</v>
      </c>
      <c r="W106" s="400" t="s">
        <v>697</v>
      </c>
      <c r="X106" s="400" t="s">
        <v>690</v>
      </c>
      <c r="Y106" s="559"/>
      <c r="Z106" s="298" t="s">
        <v>424</v>
      </c>
      <c r="AA106" s="298" t="s">
        <v>425</v>
      </c>
      <c r="AB106" s="298" t="s">
        <v>426</v>
      </c>
      <c r="AC106" s="298" t="s">
        <v>417</v>
      </c>
      <c r="AD106" s="559"/>
      <c r="AE106" s="298" t="s">
        <v>424</v>
      </c>
      <c r="AF106" s="298" t="s">
        <v>425</v>
      </c>
      <c r="AG106" s="298" t="s">
        <v>426</v>
      </c>
      <c r="AH106" s="298" t="s">
        <v>417</v>
      </c>
      <c r="AI106" s="559"/>
      <c r="AJ106" s="298" t="s">
        <v>424</v>
      </c>
      <c r="AK106" s="298" t="s">
        <v>425</v>
      </c>
      <c r="AL106" s="298" t="s">
        <v>426</v>
      </c>
      <c r="AM106" s="298" t="s">
        <v>417</v>
      </c>
      <c r="AN106" s="559"/>
      <c r="AO106" s="298" t="s">
        <v>424</v>
      </c>
      <c r="AP106" s="298" t="s">
        <v>425</v>
      </c>
      <c r="AQ106" s="298" t="s">
        <v>426</v>
      </c>
      <c r="AR106" s="298" t="s">
        <v>417</v>
      </c>
      <c r="AS106" s="559"/>
      <c r="AT106" s="298" t="s">
        <v>424</v>
      </c>
      <c r="AU106" s="298" t="s">
        <v>425</v>
      </c>
      <c r="AV106" s="298" t="s">
        <v>426</v>
      </c>
      <c r="AW106" s="298" t="s">
        <v>417</v>
      </c>
      <c r="AX106" s="559"/>
    </row>
    <row r="107" spans="2:50">
      <c r="B107" s="559" t="s">
        <v>136</v>
      </c>
      <c r="C107" s="431">
        <v>1</v>
      </c>
      <c r="D107" s="435"/>
      <c r="E107" s="432"/>
      <c r="F107" s="432"/>
      <c r="G107" s="432"/>
      <c r="H107" s="563" t="e">
        <f>AVERAGE(G107:G121)</f>
        <v>#DIV/0!</v>
      </c>
      <c r="I107" s="432" t="e">
        <f>AVERAGE(P107,U107,Z107,AE107,AJ107,AO107,AT107)</f>
        <v>#DIV/0!</v>
      </c>
      <c r="J107" s="432" t="e">
        <f>AVERAGE(Q107,V107,AA107,AF107,AK107,AP107,AU107)</f>
        <v>#DIV/0!</v>
      </c>
      <c r="K107" s="433" t="e">
        <f>AVERAGE(R107,W107,AB107,AG107,AL107,AQ107,AV107)</f>
        <v>#DIV/0!</v>
      </c>
      <c r="L107" s="563"/>
      <c r="M107" s="432" t="e">
        <f>RANK(K107, K$107:$K$121)</f>
        <v>#DIV/0!</v>
      </c>
      <c r="N107" s="559"/>
      <c r="O107" s="559"/>
      <c r="P107" s="431"/>
      <c r="Q107" s="432"/>
      <c r="R107" s="432"/>
      <c r="S107" s="431" t="e">
        <f>RANK(R107, R$107:R$121)</f>
        <v>#N/A</v>
      </c>
      <c r="T107" s="588" t="e">
        <f>AVERAGE(R107:R121)</f>
        <v>#DIV/0!</v>
      </c>
      <c r="U107" s="431"/>
      <c r="V107" s="432"/>
      <c r="W107" s="432"/>
      <c r="X107" s="431" t="e">
        <f>RANK(W107, W$107:W$121)</f>
        <v>#N/A</v>
      </c>
      <c r="Y107" s="588" t="e">
        <f>AVERAGE(W107:W121)</f>
        <v>#DIV/0!</v>
      </c>
      <c r="Z107" s="182"/>
      <c r="AA107" s="182"/>
      <c r="AB107" s="312"/>
      <c r="AC107" s="308" t="e">
        <f>RANK(AB107, AB$107:AB$121)</f>
        <v>#N/A</v>
      </c>
      <c r="AD107" s="573" t="e">
        <f>AVERAGE(AB107:AB121)</f>
        <v>#DIV/0!</v>
      </c>
      <c r="AE107" s="182"/>
      <c r="AF107" s="182"/>
      <c r="AG107" s="312"/>
      <c r="AH107" s="308" t="e">
        <f>RANK(AG107, AG$107:AG$121)</f>
        <v>#N/A</v>
      </c>
      <c r="AI107" s="573" t="e">
        <f>AVERAGE(AG107:AG121)</f>
        <v>#DIV/0!</v>
      </c>
      <c r="AJ107" s="182"/>
      <c r="AK107" s="182"/>
      <c r="AL107" s="312"/>
      <c r="AM107" s="308" t="e">
        <f>RANK(AL107, AL$107:AL$121)</f>
        <v>#N/A</v>
      </c>
      <c r="AN107" s="573" t="e">
        <f>AVERAGE(AL107:AL121)</f>
        <v>#DIV/0!</v>
      </c>
      <c r="AO107" s="182"/>
      <c r="AP107" s="182"/>
      <c r="AQ107" s="312"/>
      <c r="AR107" s="308" t="e">
        <f>RANK(AQ107, AQ$107:AQ$121)</f>
        <v>#N/A</v>
      </c>
      <c r="AS107" s="573" t="e">
        <f>AVERAGE(AQ107:AQ121)</f>
        <v>#DIV/0!</v>
      </c>
      <c r="AT107" s="182"/>
      <c r="AU107" s="182"/>
      <c r="AV107" s="312"/>
      <c r="AW107" s="308" t="e">
        <f>RANK(AV107, AV$107:AV$121)</f>
        <v>#N/A</v>
      </c>
      <c r="AX107" s="573" t="e">
        <f>AVERAGE(AV107:AV121)</f>
        <v>#DIV/0!</v>
      </c>
    </row>
    <row r="108" spans="2:50">
      <c r="B108" s="599"/>
      <c r="C108" s="431">
        <v>2</v>
      </c>
      <c r="D108" s="435"/>
      <c r="E108" s="432"/>
      <c r="F108" s="432"/>
      <c r="G108" s="432"/>
      <c r="H108" s="564"/>
      <c r="I108" s="432" t="e">
        <f t="shared" ref="I108:K114" si="64">AVERAGE(P108,U108,Z108,AE108,AJ108,AO108,AT108)</f>
        <v>#DIV/0!</v>
      </c>
      <c r="J108" s="432" t="e">
        <f t="shared" si="64"/>
        <v>#DIV/0!</v>
      </c>
      <c r="K108" s="433" t="e">
        <f t="shared" si="64"/>
        <v>#DIV/0!</v>
      </c>
      <c r="L108" s="564"/>
      <c r="M108" s="432" t="e">
        <f>RANK(K108, K$107:$K$121)</f>
        <v>#DIV/0!</v>
      </c>
      <c r="N108" s="559"/>
      <c r="O108" s="559"/>
      <c r="P108" s="431"/>
      <c r="Q108" s="432"/>
      <c r="R108" s="432"/>
      <c r="S108" s="431" t="e">
        <f t="shared" ref="S108:S121" si="65">RANK(R108, R$107:R$121)</f>
        <v>#N/A</v>
      </c>
      <c r="T108" s="588"/>
      <c r="U108" s="431"/>
      <c r="V108" s="432"/>
      <c r="W108" s="432"/>
      <c r="X108" s="431" t="e">
        <f t="shared" ref="X108:X121" si="66">RANK(W108, W$107:W$121)</f>
        <v>#N/A</v>
      </c>
      <c r="Y108" s="588"/>
      <c r="Z108" s="311"/>
      <c r="AA108" s="182"/>
      <c r="AB108" s="312"/>
      <c r="AC108" s="308" t="e">
        <f t="shared" ref="AC108:AC113" si="67">RANK(AB108, AB$107:AB$121)</f>
        <v>#N/A</v>
      </c>
      <c r="AD108" s="574"/>
      <c r="AE108" s="311"/>
      <c r="AF108" s="182"/>
      <c r="AG108" s="312"/>
      <c r="AH108" s="308" t="e">
        <f t="shared" ref="AH108:AH113" si="68">RANK(AG108, AG$107:AG$121)</f>
        <v>#N/A</v>
      </c>
      <c r="AI108" s="574"/>
      <c r="AJ108" s="311"/>
      <c r="AK108" s="182"/>
      <c r="AL108" s="312"/>
      <c r="AM108" s="308" t="e">
        <f t="shared" ref="AM108:AM113" si="69">RANK(AL108, AL$107:AL$121)</f>
        <v>#N/A</v>
      </c>
      <c r="AN108" s="574"/>
      <c r="AO108" s="311"/>
      <c r="AP108" s="182"/>
      <c r="AQ108" s="312"/>
      <c r="AR108" s="308" t="e">
        <f t="shared" ref="AR108:AR113" si="70">RANK(AQ108, AQ$107:AQ$121)</f>
        <v>#N/A</v>
      </c>
      <c r="AS108" s="574"/>
      <c r="AT108" s="311"/>
      <c r="AU108" s="182"/>
      <c r="AV108" s="312"/>
      <c r="AW108" s="308" t="e">
        <f t="shared" ref="AW108:AW113" si="71">RANK(AV108, AV$107:AV$121)</f>
        <v>#N/A</v>
      </c>
      <c r="AX108" s="574"/>
    </row>
    <row r="109" spans="2:50">
      <c r="B109" s="599"/>
      <c r="C109" s="431">
        <v>3</v>
      </c>
      <c r="D109" s="435"/>
      <c r="E109" s="432"/>
      <c r="F109" s="432"/>
      <c r="G109" s="432"/>
      <c r="H109" s="564"/>
      <c r="I109" s="432" t="e">
        <f t="shared" si="64"/>
        <v>#DIV/0!</v>
      </c>
      <c r="J109" s="432" t="e">
        <f t="shared" si="64"/>
        <v>#DIV/0!</v>
      </c>
      <c r="K109" s="433" t="e">
        <f t="shared" si="64"/>
        <v>#DIV/0!</v>
      </c>
      <c r="L109" s="564"/>
      <c r="M109" s="432" t="e">
        <f>RANK(K109, K$107:$K$121)</f>
        <v>#DIV/0!</v>
      </c>
      <c r="N109" s="559"/>
      <c r="O109" s="559"/>
      <c r="P109" s="431"/>
      <c r="Q109" s="432"/>
      <c r="R109" s="432"/>
      <c r="S109" s="431" t="e">
        <f t="shared" si="65"/>
        <v>#N/A</v>
      </c>
      <c r="T109" s="588"/>
      <c r="U109" s="431"/>
      <c r="V109" s="432"/>
      <c r="W109" s="432"/>
      <c r="X109" s="431" t="e">
        <f t="shared" si="66"/>
        <v>#N/A</v>
      </c>
      <c r="Y109" s="588"/>
      <c r="Z109" s="311"/>
      <c r="AA109" s="182"/>
      <c r="AB109" s="312"/>
      <c r="AC109" s="308" t="e">
        <f t="shared" si="67"/>
        <v>#N/A</v>
      </c>
      <c r="AD109" s="574"/>
      <c r="AE109" s="311"/>
      <c r="AF109" s="182"/>
      <c r="AG109" s="312"/>
      <c r="AH109" s="308" t="e">
        <f t="shared" si="68"/>
        <v>#N/A</v>
      </c>
      <c r="AI109" s="574"/>
      <c r="AJ109" s="311"/>
      <c r="AK109" s="182"/>
      <c r="AL109" s="312"/>
      <c r="AM109" s="308" t="e">
        <f t="shared" si="69"/>
        <v>#N/A</v>
      </c>
      <c r="AN109" s="574"/>
      <c r="AO109" s="311"/>
      <c r="AP109" s="182"/>
      <c r="AQ109" s="312"/>
      <c r="AR109" s="308" t="e">
        <f t="shared" si="70"/>
        <v>#N/A</v>
      </c>
      <c r="AS109" s="574"/>
      <c r="AT109" s="311"/>
      <c r="AU109" s="182"/>
      <c r="AV109" s="312"/>
      <c r="AW109" s="308" t="e">
        <f t="shared" si="71"/>
        <v>#N/A</v>
      </c>
      <c r="AX109" s="574"/>
    </row>
    <row r="110" spans="2:50">
      <c r="B110" s="599"/>
      <c r="C110" s="431">
        <v>4</v>
      </c>
      <c r="D110" s="306"/>
      <c r="E110" s="432"/>
      <c r="F110" s="432"/>
      <c r="G110" s="432"/>
      <c r="H110" s="564"/>
      <c r="I110" s="432" t="e">
        <f t="shared" si="64"/>
        <v>#DIV/0!</v>
      </c>
      <c r="J110" s="432" t="e">
        <f t="shared" si="64"/>
        <v>#DIV/0!</v>
      </c>
      <c r="K110" s="433" t="e">
        <f t="shared" si="64"/>
        <v>#DIV/0!</v>
      </c>
      <c r="L110" s="564"/>
      <c r="M110" s="432" t="e">
        <f>RANK(K110, K$107:$K$121)</f>
        <v>#DIV/0!</v>
      </c>
      <c r="N110" s="559"/>
      <c r="O110" s="559"/>
      <c r="P110" s="431"/>
      <c r="Q110" s="432"/>
      <c r="R110" s="432"/>
      <c r="S110" s="431" t="e">
        <f t="shared" si="65"/>
        <v>#N/A</v>
      </c>
      <c r="T110" s="588"/>
      <c r="U110" s="431"/>
      <c r="V110" s="432"/>
      <c r="W110" s="432"/>
      <c r="X110" s="431" t="e">
        <f t="shared" si="66"/>
        <v>#N/A</v>
      </c>
      <c r="Y110" s="588"/>
      <c r="Z110" s="311"/>
      <c r="AA110" s="182"/>
      <c r="AB110" s="312"/>
      <c r="AC110" s="308" t="e">
        <f t="shared" si="67"/>
        <v>#N/A</v>
      </c>
      <c r="AD110" s="574"/>
      <c r="AE110" s="311"/>
      <c r="AF110" s="182"/>
      <c r="AG110" s="312"/>
      <c r="AH110" s="308" t="e">
        <f t="shared" si="68"/>
        <v>#N/A</v>
      </c>
      <c r="AI110" s="574"/>
      <c r="AJ110" s="311"/>
      <c r="AK110" s="182"/>
      <c r="AL110" s="312"/>
      <c r="AM110" s="308" t="e">
        <f t="shared" si="69"/>
        <v>#N/A</v>
      </c>
      <c r="AN110" s="574"/>
      <c r="AO110" s="311"/>
      <c r="AP110" s="182"/>
      <c r="AQ110" s="312"/>
      <c r="AR110" s="308" t="e">
        <f t="shared" si="70"/>
        <v>#N/A</v>
      </c>
      <c r="AS110" s="574"/>
      <c r="AT110" s="311"/>
      <c r="AU110" s="182"/>
      <c r="AV110" s="312"/>
      <c r="AW110" s="308" t="e">
        <f t="shared" si="71"/>
        <v>#N/A</v>
      </c>
      <c r="AX110" s="574"/>
    </row>
    <row r="111" spans="2:50">
      <c r="B111" s="599"/>
      <c r="C111" s="431">
        <v>5</v>
      </c>
      <c r="D111" s="435"/>
      <c r="E111" s="432"/>
      <c r="F111" s="432"/>
      <c r="G111" s="432"/>
      <c r="H111" s="564"/>
      <c r="I111" s="432" t="e">
        <f t="shared" si="64"/>
        <v>#DIV/0!</v>
      </c>
      <c r="J111" s="432" t="e">
        <f t="shared" si="64"/>
        <v>#DIV/0!</v>
      </c>
      <c r="K111" s="433" t="e">
        <f t="shared" si="64"/>
        <v>#DIV/0!</v>
      </c>
      <c r="L111" s="564"/>
      <c r="M111" s="432" t="e">
        <f>RANK(K111, K$107:$K$121)</f>
        <v>#DIV/0!</v>
      </c>
      <c r="N111" s="559"/>
      <c r="O111" s="559"/>
      <c r="P111" s="431"/>
      <c r="Q111" s="432"/>
      <c r="R111" s="432"/>
      <c r="S111" s="431" t="e">
        <f t="shared" si="65"/>
        <v>#N/A</v>
      </c>
      <c r="T111" s="588"/>
      <c r="U111" s="431"/>
      <c r="V111" s="432"/>
      <c r="W111" s="432"/>
      <c r="X111" s="431" t="e">
        <f t="shared" si="66"/>
        <v>#N/A</v>
      </c>
      <c r="Y111" s="588"/>
      <c r="Z111" s="311"/>
      <c r="AA111" s="182"/>
      <c r="AB111" s="312"/>
      <c r="AC111" s="308" t="e">
        <f t="shared" si="67"/>
        <v>#N/A</v>
      </c>
      <c r="AD111" s="574"/>
      <c r="AE111" s="311"/>
      <c r="AF111" s="182"/>
      <c r="AG111" s="312"/>
      <c r="AH111" s="308" t="e">
        <f t="shared" si="68"/>
        <v>#N/A</v>
      </c>
      <c r="AI111" s="574"/>
      <c r="AJ111" s="311"/>
      <c r="AK111" s="182"/>
      <c r="AL111" s="312"/>
      <c r="AM111" s="308" t="e">
        <f t="shared" si="69"/>
        <v>#N/A</v>
      </c>
      <c r="AN111" s="574"/>
      <c r="AO111" s="311"/>
      <c r="AP111" s="182"/>
      <c r="AQ111" s="312"/>
      <c r="AR111" s="308" t="e">
        <f t="shared" si="70"/>
        <v>#N/A</v>
      </c>
      <c r="AS111" s="574"/>
      <c r="AT111" s="311"/>
      <c r="AU111" s="182"/>
      <c r="AV111" s="312"/>
      <c r="AW111" s="308" t="e">
        <f t="shared" si="71"/>
        <v>#N/A</v>
      </c>
      <c r="AX111" s="574"/>
    </row>
    <row r="112" spans="2:50">
      <c r="B112" s="599"/>
      <c r="C112" s="431">
        <v>6</v>
      </c>
      <c r="D112" s="435"/>
      <c r="E112" s="432"/>
      <c r="F112" s="432"/>
      <c r="G112" s="432"/>
      <c r="H112" s="564"/>
      <c r="I112" s="432" t="e">
        <f t="shared" si="64"/>
        <v>#DIV/0!</v>
      </c>
      <c r="J112" s="432" t="e">
        <f t="shared" si="64"/>
        <v>#DIV/0!</v>
      </c>
      <c r="K112" s="433" t="e">
        <f t="shared" si="64"/>
        <v>#DIV/0!</v>
      </c>
      <c r="L112" s="564"/>
      <c r="M112" s="432" t="e">
        <f>RANK(K112, K$107:$K$121)</f>
        <v>#DIV/0!</v>
      </c>
      <c r="N112" s="559"/>
      <c r="O112" s="559"/>
      <c r="P112" s="431"/>
      <c r="Q112" s="432"/>
      <c r="R112" s="432"/>
      <c r="S112" s="431" t="e">
        <f t="shared" si="65"/>
        <v>#N/A</v>
      </c>
      <c r="T112" s="588"/>
      <c r="U112" s="431"/>
      <c r="V112" s="432"/>
      <c r="W112" s="432"/>
      <c r="X112" s="431" t="e">
        <f t="shared" si="66"/>
        <v>#N/A</v>
      </c>
      <c r="Y112" s="588"/>
      <c r="Z112" s="311"/>
      <c r="AA112" s="182"/>
      <c r="AB112" s="312"/>
      <c r="AC112" s="308" t="e">
        <f t="shared" si="67"/>
        <v>#N/A</v>
      </c>
      <c r="AD112" s="574"/>
      <c r="AE112" s="311"/>
      <c r="AF112" s="182"/>
      <c r="AG112" s="312"/>
      <c r="AH112" s="308" t="e">
        <f t="shared" si="68"/>
        <v>#N/A</v>
      </c>
      <c r="AI112" s="574"/>
      <c r="AJ112" s="311"/>
      <c r="AK112" s="182"/>
      <c r="AL112" s="312"/>
      <c r="AM112" s="308" t="e">
        <f t="shared" si="69"/>
        <v>#N/A</v>
      </c>
      <c r="AN112" s="574"/>
      <c r="AO112" s="311"/>
      <c r="AP112" s="182"/>
      <c r="AQ112" s="312"/>
      <c r="AR112" s="308" t="e">
        <f t="shared" si="70"/>
        <v>#N/A</v>
      </c>
      <c r="AS112" s="574"/>
      <c r="AT112" s="311"/>
      <c r="AU112" s="182"/>
      <c r="AV112" s="312"/>
      <c r="AW112" s="308" t="e">
        <f t="shared" si="71"/>
        <v>#N/A</v>
      </c>
      <c r="AX112" s="574"/>
    </row>
    <row r="113" spans="2:50">
      <c r="B113" s="599"/>
      <c r="C113" s="431">
        <v>7</v>
      </c>
      <c r="D113" s="306"/>
      <c r="E113" s="432"/>
      <c r="F113" s="432"/>
      <c r="G113" s="432"/>
      <c r="H113" s="564"/>
      <c r="I113" s="432" t="e">
        <f t="shared" si="64"/>
        <v>#DIV/0!</v>
      </c>
      <c r="J113" s="432" t="e">
        <f t="shared" si="64"/>
        <v>#DIV/0!</v>
      </c>
      <c r="K113" s="433" t="e">
        <f t="shared" si="64"/>
        <v>#DIV/0!</v>
      </c>
      <c r="L113" s="564"/>
      <c r="M113" s="432" t="e">
        <f>RANK(K113, K$107:$K$121)</f>
        <v>#DIV/0!</v>
      </c>
      <c r="N113" s="559"/>
      <c r="O113" s="559"/>
      <c r="P113" s="431"/>
      <c r="Q113" s="432"/>
      <c r="R113" s="432"/>
      <c r="S113" s="431" t="e">
        <f t="shared" si="65"/>
        <v>#N/A</v>
      </c>
      <c r="T113" s="588"/>
      <c r="U113" s="431"/>
      <c r="V113" s="432"/>
      <c r="W113" s="432"/>
      <c r="X113" s="431" t="e">
        <f t="shared" si="66"/>
        <v>#N/A</v>
      </c>
      <c r="Y113" s="588"/>
      <c r="Z113" s="311"/>
      <c r="AA113" s="182"/>
      <c r="AB113" s="312"/>
      <c r="AC113" s="308" t="e">
        <f t="shared" si="67"/>
        <v>#N/A</v>
      </c>
      <c r="AD113" s="574"/>
      <c r="AE113" s="311"/>
      <c r="AF113" s="182"/>
      <c r="AG113" s="312"/>
      <c r="AH113" s="308" t="e">
        <f t="shared" si="68"/>
        <v>#N/A</v>
      </c>
      <c r="AI113" s="574"/>
      <c r="AJ113" s="311"/>
      <c r="AK113" s="182"/>
      <c r="AL113" s="312"/>
      <c r="AM113" s="308" t="e">
        <f t="shared" si="69"/>
        <v>#N/A</v>
      </c>
      <c r="AN113" s="574"/>
      <c r="AO113" s="311"/>
      <c r="AP113" s="182"/>
      <c r="AQ113" s="312"/>
      <c r="AR113" s="308" t="e">
        <f t="shared" si="70"/>
        <v>#N/A</v>
      </c>
      <c r="AS113" s="574"/>
      <c r="AT113" s="311"/>
      <c r="AU113" s="182"/>
      <c r="AV113" s="312"/>
      <c r="AW113" s="308" t="e">
        <f t="shared" si="71"/>
        <v>#N/A</v>
      </c>
      <c r="AX113" s="574"/>
    </row>
    <row r="114" spans="2:50">
      <c r="B114" s="599"/>
      <c r="C114" s="431">
        <v>8</v>
      </c>
      <c r="D114" s="306"/>
      <c r="E114" s="432"/>
      <c r="F114" s="432"/>
      <c r="G114" s="432"/>
      <c r="H114" s="564"/>
      <c r="I114" s="432" t="e">
        <f t="shared" si="64"/>
        <v>#DIV/0!</v>
      </c>
      <c r="J114" s="432" t="e">
        <f t="shared" si="64"/>
        <v>#DIV/0!</v>
      </c>
      <c r="K114" s="433" t="e">
        <f t="shared" si="64"/>
        <v>#DIV/0!</v>
      </c>
      <c r="L114" s="564"/>
      <c r="M114" s="432" t="e">
        <f>RANK(K114, K$107:$K$121)</f>
        <v>#DIV/0!</v>
      </c>
      <c r="N114" s="559"/>
      <c r="O114" s="559"/>
      <c r="P114" s="431"/>
      <c r="Q114" s="432"/>
      <c r="R114" s="432"/>
      <c r="S114" s="431" t="e">
        <f t="shared" si="65"/>
        <v>#N/A</v>
      </c>
      <c r="T114" s="588"/>
      <c r="U114" s="431"/>
      <c r="V114" s="432"/>
      <c r="W114" s="432"/>
      <c r="X114" s="431" t="e">
        <f t="shared" si="66"/>
        <v>#N/A</v>
      </c>
      <c r="Y114" s="588"/>
      <c r="Z114" s="311"/>
      <c r="AA114" s="182"/>
      <c r="AB114" s="312"/>
      <c r="AC114" s="307" t="e">
        <f t="shared" ref="AC114:AC121" si="72">RANK(AB114, AB$107:AB$121)</f>
        <v>#N/A</v>
      </c>
      <c r="AD114" s="574"/>
      <c r="AE114" s="311"/>
      <c r="AF114" s="182"/>
      <c r="AG114" s="312"/>
      <c r="AH114" s="307" t="e">
        <f t="shared" ref="AH114:AH121" si="73">RANK(AG114, AG$107:AG$121)</f>
        <v>#N/A</v>
      </c>
      <c r="AI114" s="574"/>
      <c r="AJ114" s="311"/>
      <c r="AK114" s="182"/>
      <c r="AL114" s="312"/>
      <c r="AM114" s="307" t="e">
        <f t="shared" ref="AM114:AM121" si="74">RANK(AL114, AL$107:AL$121)</f>
        <v>#N/A</v>
      </c>
      <c r="AN114" s="574"/>
      <c r="AO114" s="311"/>
      <c r="AP114" s="182"/>
      <c r="AQ114" s="312"/>
      <c r="AR114" s="307" t="e">
        <f t="shared" ref="AR114:AR121" si="75">RANK(AQ114, AQ$107:AQ$121)</f>
        <v>#N/A</v>
      </c>
      <c r="AS114" s="574"/>
      <c r="AT114" s="311"/>
      <c r="AU114" s="182"/>
      <c r="AV114" s="312"/>
      <c r="AW114" s="307" t="e">
        <f t="shared" ref="AW114:AW121" si="76">RANK(AV114, AV$107:AV$121)</f>
        <v>#N/A</v>
      </c>
      <c r="AX114" s="574"/>
    </row>
    <row r="115" spans="2:50">
      <c r="B115" s="599"/>
      <c r="C115" s="431">
        <v>9</v>
      </c>
      <c r="D115" s="435"/>
      <c r="E115" s="432"/>
      <c r="F115" s="432"/>
      <c r="G115" s="432"/>
      <c r="H115" s="564"/>
      <c r="I115" s="432"/>
      <c r="J115" s="432"/>
      <c r="K115" s="433"/>
      <c r="L115" s="564"/>
      <c r="M115" s="432" t="e">
        <f>RANK(K115, K$107:$K$121)</f>
        <v>#DIV/0!</v>
      </c>
      <c r="N115" s="559"/>
      <c r="O115" s="559"/>
      <c r="P115" s="431"/>
      <c r="Q115" s="432"/>
      <c r="R115" s="432"/>
      <c r="S115" s="431" t="e">
        <f t="shared" si="65"/>
        <v>#N/A</v>
      </c>
      <c r="T115" s="588"/>
      <c r="U115" s="431"/>
      <c r="V115" s="432"/>
      <c r="W115" s="432"/>
      <c r="X115" s="431" t="e">
        <f t="shared" si="66"/>
        <v>#N/A</v>
      </c>
      <c r="Y115" s="588"/>
      <c r="Z115" s="311"/>
      <c r="AA115" s="182"/>
      <c r="AB115" s="312"/>
      <c r="AC115" s="307" t="e">
        <f t="shared" si="72"/>
        <v>#N/A</v>
      </c>
      <c r="AD115" s="574"/>
      <c r="AE115" s="311"/>
      <c r="AF115" s="182"/>
      <c r="AG115" s="312"/>
      <c r="AH115" s="307" t="e">
        <f t="shared" si="73"/>
        <v>#N/A</v>
      </c>
      <c r="AI115" s="574"/>
      <c r="AJ115" s="311"/>
      <c r="AK115" s="182"/>
      <c r="AL115" s="312"/>
      <c r="AM115" s="307" t="e">
        <f t="shared" si="74"/>
        <v>#N/A</v>
      </c>
      <c r="AN115" s="574"/>
      <c r="AO115" s="311"/>
      <c r="AP115" s="182"/>
      <c r="AQ115" s="312"/>
      <c r="AR115" s="307" t="e">
        <f t="shared" si="75"/>
        <v>#N/A</v>
      </c>
      <c r="AS115" s="574"/>
      <c r="AT115" s="311"/>
      <c r="AU115" s="182"/>
      <c r="AV115" s="312"/>
      <c r="AW115" s="307" t="e">
        <f t="shared" si="76"/>
        <v>#N/A</v>
      </c>
      <c r="AX115" s="574"/>
    </row>
    <row r="116" spans="2:50">
      <c r="B116" s="599"/>
      <c r="C116" s="431">
        <v>10</v>
      </c>
      <c r="D116" s="435"/>
      <c r="E116" s="432"/>
      <c r="F116" s="432"/>
      <c r="G116" s="432"/>
      <c r="H116" s="564"/>
      <c r="I116" s="432"/>
      <c r="J116" s="432"/>
      <c r="K116" s="433"/>
      <c r="L116" s="564"/>
      <c r="M116" s="432" t="e">
        <f>RANK(K116, K$107:$K$121)</f>
        <v>#DIV/0!</v>
      </c>
      <c r="N116" s="559"/>
      <c r="O116" s="559"/>
      <c r="P116" s="431"/>
      <c r="Q116" s="432"/>
      <c r="R116" s="432"/>
      <c r="S116" s="431" t="e">
        <f t="shared" si="65"/>
        <v>#N/A</v>
      </c>
      <c r="T116" s="588"/>
      <c r="U116" s="431"/>
      <c r="V116" s="432"/>
      <c r="W116" s="432"/>
      <c r="X116" s="431" t="e">
        <f t="shared" si="66"/>
        <v>#N/A</v>
      </c>
      <c r="Y116" s="588"/>
      <c r="Z116" s="311"/>
      <c r="AA116" s="182"/>
      <c r="AB116" s="312"/>
      <c r="AC116" s="307" t="e">
        <f t="shared" si="72"/>
        <v>#N/A</v>
      </c>
      <c r="AD116" s="574"/>
      <c r="AE116" s="311"/>
      <c r="AF116" s="182"/>
      <c r="AG116" s="312"/>
      <c r="AH116" s="307" t="e">
        <f t="shared" si="73"/>
        <v>#N/A</v>
      </c>
      <c r="AI116" s="574"/>
      <c r="AJ116" s="311"/>
      <c r="AK116" s="182"/>
      <c r="AL116" s="312"/>
      <c r="AM116" s="307" t="e">
        <f t="shared" si="74"/>
        <v>#N/A</v>
      </c>
      <c r="AN116" s="574"/>
      <c r="AO116" s="311"/>
      <c r="AP116" s="182"/>
      <c r="AQ116" s="312"/>
      <c r="AR116" s="307" t="e">
        <f t="shared" si="75"/>
        <v>#N/A</v>
      </c>
      <c r="AS116" s="574"/>
      <c r="AT116" s="311"/>
      <c r="AU116" s="182"/>
      <c r="AV116" s="312"/>
      <c r="AW116" s="307" t="e">
        <f t="shared" si="76"/>
        <v>#N/A</v>
      </c>
      <c r="AX116" s="574"/>
    </row>
    <row r="117" spans="2:50">
      <c r="B117" s="599"/>
      <c r="C117" s="431">
        <v>11</v>
      </c>
      <c r="D117" s="435"/>
      <c r="E117" s="432" t="s">
        <v>561</v>
      </c>
      <c r="F117" s="432" t="s">
        <v>561</v>
      </c>
      <c r="G117" s="432" t="s">
        <v>561</v>
      </c>
      <c r="H117" s="564"/>
      <c r="I117" s="431"/>
      <c r="J117" s="431"/>
      <c r="K117" s="431"/>
      <c r="L117" s="564"/>
      <c r="M117" s="432" t="e">
        <f>RANK(K117, K$107:$K$121)</f>
        <v>#DIV/0!</v>
      </c>
      <c r="N117" s="559"/>
      <c r="O117" s="559"/>
      <c r="P117" s="431" t="s">
        <v>561</v>
      </c>
      <c r="Q117" s="432" t="s">
        <v>561</v>
      </c>
      <c r="R117" s="432" t="s">
        <v>561</v>
      </c>
      <c r="S117" s="431" t="e">
        <f t="shared" si="65"/>
        <v>#VALUE!</v>
      </c>
      <c r="T117" s="588"/>
      <c r="U117" s="431"/>
      <c r="V117" s="432"/>
      <c r="W117" s="432"/>
      <c r="X117" s="431" t="e">
        <f t="shared" si="66"/>
        <v>#N/A</v>
      </c>
      <c r="Y117" s="588"/>
      <c r="Z117" s="311"/>
      <c r="AA117" s="182"/>
      <c r="AB117" s="312"/>
      <c r="AC117" s="307" t="e">
        <f t="shared" si="72"/>
        <v>#N/A</v>
      </c>
      <c r="AD117" s="574"/>
      <c r="AE117" s="311"/>
      <c r="AF117" s="182"/>
      <c r="AG117" s="312"/>
      <c r="AH117" s="307" t="e">
        <f t="shared" si="73"/>
        <v>#N/A</v>
      </c>
      <c r="AI117" s="574"/>
      <c r="AJ117" s="311"/>
      <c r="AK117" s="182"/>
      <c r="AL117" s="312"/>
      <c r="AM117" s="307" t="e">
        <f t="shared" si="74"/>
        <v>#N/A</v>
      </c>
      <c r="AN117" s="574"/>
      <c r="AO117" s="311"/>
      <c r="AP117" s="182"/>
      <c r="AQ117" s="312"/>
      <c r="AR117" s="307" t="e">
        <f t="shared" si="75"/>
        <v>#N/A</v>
      </c>
      <c r="AS117" s="574"/>
      <c r="AT117" s="311"/>
      <c r="AU117" s="182"/>
      <c r="AV117" s="312"/>
      <c r="AW117" s="307" t="e">
        <f t="shared" si="76"/>
        <v>#N/A</v>
      </c>
      <c r="AX117" s="574"/>
    </row>
    <row r="118" spans="2:50">
      <c r="B118" s="599"/>
      <c r="C118" s="431">
        <v>12</v>
      </c>
      <c r="D118" s="435"/>
      <c r="E118" s="432" t="s">
        <v>561</v>
      </c>
      <c r="F118" s="432" t="s">
        <v>561</v>
      </c>
      <c r="G118" s="432" t="s">
        <v>561</v>
      </c>
      <c r="H118" s="564"/>
      <c r="I118" s="431"/>
      <c r="J118" s="431"/>
      <c r="K118" s="431"/>
      <c r="L118" s="564"/>
      <c r="M118" s="432" t="e">
        <f>RANK(K118, K$107:$K$121)</f>
        <v>#DIV/0!</v>
      </c>
      <c r="N118" s="559"/>
      <c r="O118" s="559"/>
      <c r="P118" s="431" t="s">
        <v>561</v>
      </c>
      <c r="Q118" s="432" t="s">
        <v>561</v>
      </c>
      <c r="R118" s="432" t="s">
        <v>561</v>
      </c>
      <c r="S118" s="431" t="e">
        <f t="shared" si="65"/>
        <v>#VALUE!</v>
      </c>
      <c r="T118" s="588"/>
      <c r="U118" s="431" t="s">
        <v>561</v>
      </c>
      <c r="V118" s="432" t="s">
        <v>561</v>
      </c>
      <c r="W118" s="432" t="s">
        <v>561</v>
      </c>
      <c r="X118" s="431" t="e">
        <f t="shared" si="66"/>
        <v>#VALUE!</v>
      </c>
      <c r="Y118" s="588"/>
      <c r="Z118" s="311"/>
      <c r="AA118" s="182"/>
      <c r="AB118" s="312"/>
      <c r="AC118" s="307" t="e">
        <f t="shared" si="72"/>
        <v>#N/A</v>
      </c>
      <c r="AD118" s="574"/>
      <c r="AE118" s="311"/>
      <c r="AF118" s="182"/>
      <c r="AG118" s="312"/>
      <c r="AH118" s="307" t="e">
        <f t="shared" si="73"/>
        <v>#N/A</v>
      </c>
      <c r="AI118" s="574"/>
      <c r="AJ118" s="311"/>
      <c r="AK118" s="182"/>
      <c r="AL118" s="312"/>
      <c r="AM118" s="307" t="e">
        <f t="shared" si="74"/>
        <v>#N/A</v>
      </c>
      <c r="AN118" s="574"/>
      <c r="AO118" s="311"/>
      <c r="AP118" s="182"/>
      <c r="AQ118" s="312"/>
      <c r="AR118" s="307" t="e">
        <f t="shared" si="75"/>
        <v>#N/A</v>
      </c>
      <c r="AS118" s="574"/>
      <c r="AT118" s="311"/>
      <c r="AU118" s="182"/>
      <c r="AV118" s="312"/>
      <c r="AW118" s="307" t="e">
        <f t="shared" si="76"/>
        <v>#N/A</v>
      </c>
      <c r="AX118" s="574"/>
    </row>
    <row r="119" spans="2:50">
      <c r="B119" s="599"/>
      <c r="C119" s="431">
        <v>13</v>
      </c>
      <c r="D119" s="435"/>
      <c r="E119" s="432" t="s">
        <v>561</v>
      </c>
      <c r="F119" s="432" t="s">
        <v>561</v>
      </c>
      <c r="G119" s="432" t="s">
        <v>561</v>
      </c>
      <c r="H119" s="564"/>
      <c r="I119" s="431"/>
      <c r="J119" s="431"/>
      <c r="K119" s="431"/>
      <c r="L119" s="564"/>
      <c r="M119" s="432" t="e">
        <f>RANK(K119, K$107:$K$121)</f>
        <v>#DIV/0!</v>
      </c>
      <c r="N119" s="559"/>
      <c r="O119" s="559"/>
      <c r="P119" s="431" t="s">
        <v>561</v>
      </c>
      <c r="Q119" s="432" t="s">
        <v>561</v>
      </c>
      <c r="R119" s="432" t="s">
        <v>561</v>
      </c>
      <c r="S119" s="431" t="e">
        <f t="shared" si="65"/>
        <v>#VALUE!</v>
      </c>
      <c r="T119" s="588"/>
      <c r="U119" s="431" t="s">
        <v>561</v>
      </c>
      <c r="V119" s="432" t="s">
        <v>561</v>
      </c>
      <c r="W119" s="432" t="s">
        <v>561</v>
      </c>
      <c r="X119" s="431" t="e">
        <f t="shared" si="66"/>
        <v>#VALUE!</v>
      </c>
      <c r="Y119" s="588"/>
      <c r="Z119" s="311"/>
      <c r="AA119" s="182"/>
      <c r="AB119" s="312"/>
      <c r="AC119" s="307" t="e">
        <f t="shared" si="72"/>
        <v>#N/A</v>
      </c>
      <c r="AD119" s="574"/>
      <c r="AE119" s="311"/>
      <c r="AF119" s="182"/>
      <c r="AG119" s="312"/>
      <c r="AH119" s="307" t="e">
        <f t="shared" si="73"/>
        <v>#N/A</v>
      </c>
      <c r="AI119" s="574"/>
      <c r="AJ119" s="311"/>
      <c r="AK119" s="182"/>
      <c r="AL119" s="312"/>
      <c r="AM119" s="307" t="e">
        <f t="shared" si="74"/>
        <v>#N/A</v>
      </c>
      <c r="AN119" s="574"/>
      <c r="AO119" s="311"/>
      <c r="AP119" s="182"/>
      <c r="AQ119" s="312"/>
      <c r="AR119" s="307" t="e">
        <f t="shared" si="75"/>
        <v>#N/A</v>
      </c>
      <c r="AS119" s="574"/>
      <c r="AT119" s="311"/>
      <c r="AU119" s="182"/>
      <c r="AV119" s="312"/>
      <c r="AW119" s="307" t="e">
        <f t="shared" si="76"/>
        <v>#N/A</v>
      </c>
      <c r="AX119" s="574"/>
    </row>
    <row r="120" spans="2:50">
      <c r="B120" s="599"/>
      <c r="C120" s="431">
        <v>14</v>
      </c>
      <c r="D120" s="435"/>
      <c r="E120" s="432" t="s">
        <v>561</v>
      </c>
      <c r="F120" s="432" t="s">
        <v>561</v>
      </c>
      <c r="G120" s="432" t="s">
        <v>561</v>
      </c>
      <c r="H120" s="564"/>
      <c r="I120" s="431"/>
      <c r="J120" s="431"/>
      <c r="K120" s="431"/>
      <c r="L120" s="564"/>
      <c r="M120" s="432" t="e">
        <f>RANK(K120, K$107:$K$121)</f>
        <v>#DIV/0!</v>
      </c>
      <c r="N120" s="559"/>
      <c r="O120" s="559"/>
      <c r="P120" s="431" t="s">
        <v>561</v>
      </c>
      <c r="Q120" s="432" t="s">
        <v>561</v>
      </c>
      <c r="R120" s="432" t="s">
        <v>561</v>
      </c>
      <c r="S120" s="431" t="e">
        <f t="shared" si="65"/>
        <v>#VALUE!</v>
      </c>
      <c r="T120" s="588"/>
      <c r="U120" s="431" t="s">
        <v>561</v>
      </c>
      <c r="V120" s="432" t="s">
        <v>561</v>
      </c>
      <c r="W120" s="432" t="s">
        <v>561</v>
      </c>
      <c r="X120" s="431" t="e">
        <f t="shared" si="66"/>
        <v>#VALUE!</v>
      </c>
      <c r="Y120" s="588"/>
      <c r="Z120" s="311"/>
      <c r="AA120" s="182"/>
      <c r="AB120" s="312"/>
      <c r="AC120" s="307" t="e">
        <f t="shared" si="72"/>
        <v>#N/A</v>
      </c>
      <c r="AD120" s="574"/>
      <c r="AE120" s="311"/>
      <c r="AF120" s="182"/>
      <c r="AG120" s="312"/>
      <c r="AH120" s="307" t="e">
        <f t="shared" si="73"/>
        <v>#N/A</v>
      </c>
      <c r="AI120" s="574"/>
      <c r="AJ120" s="311"/>
      <c r="AK120" s="182"/>
      <c r="AL120" s="312"/>
      <c r="AM120" s="307" t="e">
        <f t="shared" si="74"/>
        <v>#N/A</v>
      </c>
      <c r="AN120" s="574"/>
      <c r="AO120" s="311"/>
      <c r="AP120" s="182"/>
      <c r="AQ120" s="312"/>
      <c r="AR120" s="307" t="e">
        <f t="shared" si="75"/>
        <v>#N/A</v>
      </c>
      <c r="AS120" s="574"/>
      <c r="AT120" s="311"/>
      <c r="AU120" s="182"/>
      <c r="AV120" s="312"/>
      <c r="AW120" s="307" t="e">
        <f t="shared" si="76"/>
        <v>#N/A</v>
      </c>
      <c r="AX120" s="574"/>
    </row>
    <row r="121" spans="2:50">
      <c r="B121" s="599"/>
      <c r="C121" s="431">
        <v>15</v>
      </c>
      <c r="D121" s="435"/>
      <c r="E121" s="432" t="s">
        <v>561</v>
      </c>
      <c r="F121" s="432" t="s">
        <v>561</v>
      </c>
      <c r="G121" s="432" t="s">
        <v>561</v>
      </c>
      <c r="H121" s="616"/>
      <c r="I121" s="431"/>
      <c r="J121" s="431"/>
      <c r="K121" s="431"/>
      <c r="L121" s="616"/>
      <c r="M121" s="432" t="e">
        <f>RANK(K121, K$107:$K$121)</f>
        <v>#DIV/0!</v>
      </c>
      <c r="N121" s="559"/>
      <c r="O121" s="559"/>
      <c r="P121" s="431" t="s">
        <v>561</v>
      </c>
      <c r="Q121" s="432" t="s">
        <v>561</v>
      </c>
      <c r="R121" s="432" t="s">
        <v>561</v>
      </c>
      <c r="S121" s="431" t="e">
        <f t="shared" si="65"/>
        <v>#VALUE!</v>
      </c>
      <c r="T121" s="588"/>
      <c r="U121" s="431" t="s">
        <v>561</v>
      </c>
      <c r="V121" s="432" t="s">
        <v>561</v>
      </c>
      <c r="W121" s="432" t="s">
        <v>561</v>
      </c>
      <c r="X121" s="431" t="e">
        <f t="shared" si="66"/>
        <v>#VALUE!</v>
      </c>
      <c r="Y121" s="588"/>
      <c r="Z121" s="311"/>
      <c r="AA121" s="182"/>
      <c r="AB121" s="312"/>
      <c r="AC121" s="307" t="e">
        <f t="shared" si="72"/>
        <v>#N/A</v>
      </c>
      <c r="AD121" s="575"/>
      <c r="AE121" s="311"/>
      <c r="AF121" s="182"/>
      <c r="AG121" s="312"/>
      <c r="AH121" s="307" t="e">
        <f t="shared" si="73"/>
        <v>#N/A</v>
      </c>
      <c r="AI121" s="575"/>
      <c r="AJ121" s="311"/>
      <c r="AK121" s="182"/>
      <c r="AL121" s="312"/>
      <c r="AM121" s="307" t="e">
        <f t="shared" si="74"/>
        <v>#N/A</v>
      </c>
      <c r="AN121" s="575"/>
      <c r="AO121" s="311"/>
      <c r="AP121" s="182"/>
      <c r="AQ121" s="312"/>
      <c r="AR121" s="307" t="e">
        <f t="shared" si="75"/>
        <v>#N/A</v>
      </c>
      <c r="AS121" s="575"/>
      <c r="AT121" s="311"/>
      <c r="AU121" s="182"/>
      <c r="AV121" s="312"/>
      <c r="AW121" s="307" t="e">
        <f t="shared" si="76"/>
        <v>#N/A</v>
      </c>
      <c r="AX121" s="575"/>
    </row>
    <row r="123" spans="2:50" ht="15.75">
      <c r="B123" s="600" t="s">
        <v>469</v>
      </c>
      <c r="C123" s="601"/>
      <c r="D123" s="601"/>
      <c r="E123" s="601"/>
      <c r="F123" s="601"/>
      <c r="G123" s="601"/>
      <c r="H123" s="602"/>
      <c r="I123" s="301"/>
      <c r="J123" s="301"/>
      <c r="K123" s="301"/>
      <c r="L123" s="301"/>
      <c r="M123" s="302"/>
    </row>
    <row r="124" spans="2:50" ht="15.75">
      <c r="B124" s="603"/>
      <c r="C124" s="603"/>
      <c r="D124" s="603"/>
      <c r="E124" s="603"/>
      <c r="F124" s="603"/>
      <c r="G124" s="603"/>
      <c r="H124" s="603"/>
      <c r="I124" s="303"/>
      <c r="J124" s="303"/>
      <c r="K124" s="303"/>
      <c r="L124" s="303"/>
      <c r="M124" s="304"/>
    </row>
    <row r="125" spans="2:50">
      <c r="B125" s="559" t="s">
        <v>470</v>
      </c>
      <c r="C125" s="559" t="s">
        <v>471</v>
      </c>
      <c r="D125" s="559"/>
      <c r="E125" s="559" t="s">
        <v>472</v>
      </c>
      <c r="F125" s="559"/>
      <c r="G125" s="559"/>
      <c r="H125" s="560" t="s">
        <v>473</v>
      </c>
      <c r="I125" s="604" t="s">
        <v>474</v>
      </c>
      <c r="J125" s="604"/>
      <c r="K125" s="604"/>
      <c r="L125" s="623" t="s">
        <v>473</v>
      </c>
      <c r="M125" s="626" t="s">
        <v>475</v>
      </c>
    </row>
    <row r="126" spans="2:50">
      <c r="B126" s="559"/>
      <c r="C126" s="559"/>
      <c r="D126" s="559"/>
      <c r="E126" s="559" t="s">
        <v>476</v>
      </c>
      <c r="F126" s="559"/>
      <c r="G126" s="559"/>
      <c r="H126" s="561"/>
      <c r="I126" s="604" t="s">
        <v>476</v>
      </c>
      <c r="J126" s="604"/>
      <c r="K126" s="604"/>
      <c r="L126" s="624"/>
      <c r="M126" s="627"/>
    </row>
    <row r="127" spans="2:50">
      <c r="B127" s="559"/>
      <c r="C127" s="559"/>
      <c r="D127" s="559"/>
      <c r="E127" s="298" t="s">
        <v>477</v>
      </c>
      <c r="F127" s="298" t="s">
        <v>478</v>
      </c>
      <c r="G127" s="298" t="s">
        <v>479</v>
      </c>
      <c r="H127" s="562"/>
      <c r="I127" s="305" t="s">
        <v>477</v>
      </c>
      <c r="J127" s="305" t="s">
        <v>478</v>
      </c>
      <c r="K127" s="305" t="s">
        <v>479</v>
      </c>
      <c r="L127" s="625"/>
      <c r="M127" s="628"/>
    </row>
    <row r="128" spans="2:50">
      <c r="B128" s="559" t="s">
        <v>487</v>
      </c>
      <c r="C128" s="297">
        <v>1</v>
      </c>
      <c r="D128" s="226" t="s">
        <v>396</v>
      </c>
      <c r="E128" s="182">
        <v>7</v>
      </c>
      <c r="F128" s="297">
        <v>1500</v>
      </c>
      <c r="G128" s="300">
        <v>214.28571428571428</v>
      </c>
      <c r="H128" s="608">
        <f>AVERAGE(G128:G142)</f>
        <v>123.60609243697479</v>
      </c>
      <c r="I128" s="199">
        <f t="shared" ref="I128:J135" si="77">AVERAGEIF($D$7:$D$121,$D128,I$7:I$121)</f>
        <v>6.8114285714285714</v>
      </c>
      <c r="J128" s="199">
        <f t="shared" si="77"/>
        <v>1319.9744934866344</v>
      </c>
      <c r="K128" s="199">
        <f t="shared" ref="K128:K135" si="78">AVERAGEIF($D$7:$D$121,$D128,K$7:K$121)</f>
        <v>194.52669921611974</v>
      </c>
      <c r="L128" s="620">
        <f>AVERAGE(K128:K142)</f>
        <v>116.81509987176437</v>
      </c>
      <c r="M128" s="199">
        <f>RANK(K128, K$128:$K$142)</f>
        <v>3</v>
      </c>
    </row>
    <row r="129" spans="2:13">
      <c r="B129" s="572"/>
      <c r="C129" s="297">
        <v>2</v>
      </c>
      <c r="D129" s="226" t="s">
        <v>397</v>
      </c>
      <c r="E129" s="182">
        <v>7</v>
      </c>
      <c r="F129" s="297">
        <v>1500</v>
      </c>
      <c r="G129" s="300">
        <v>214.28571428571428</v>
      </c>
      <c r="H129" s="609"/>
      <c r="I129" s="199">
        <f t="shared" si="77"/>
        <v>6.8114285714285714</v>
      </c>
      <c r="J129" s="199">
        <f t="shared" si="77"/>
        <v>1462.3479351049505</v>
      </c>
      <c r="K129" s="199">
        <f t="shared" si="78"/>
        <v>215.44008984635042</v>
      </c>
      <c r="L129" s="621"/>
      <c r="M129" s="199">
        <f>RANK(K129, K$128:$K$142)</f>
        <v>2</v>
      </c>
    </row>
    <row r="130" spans="2:13">
      <c r="B130" s="572"/>
      <c r="C130" s="297">
        <v>3</v>
      </c>
      <c r="D130" s="226" t="s">
        <v>346</v>
      </c>
      <c r="E130" s="182">
        <v>20</v>
      </c>
      <c r="F130" s="297">
        <v>1500</v>
      </c>
      <c r="G130" s="300">
        <v>75</v>
      </c>
      <c r="H130" s="609"/>
      <c r="I130" s="199">
        <f t="shared" si="77"/>
        <v>18.542857142857141</v>
      </c>
      <c r="J130" s="199">
        <f t="shared" si="77"/>
        <v>1274.7074172240189</v>
      </c>
      <c r="K130" s="199">
        <f t="shared" si="78"/>
        <v>68.782497993274347</v>
      </c>
      <c r="L130" s="621"/>
      <c r="M130" s="199">
        <f>RANK(K130, K$128:$K$142)</f>
        <v>5</v>
      </c>
    </row>
    <row r="131" spans="2:13">
      <c r="B131" s="572"/>
      <c r="C131" s="297">
        <v>4</v>
      </c>
      <c r="D131" s="226" t="s">
        <v>398</v>
      </c>
      <c r="E131" s="182">
        <v>17</v>
      </c>
      <c r="F131" s="297">
        <v>1440</v>
      </c>
      <c r="G131" s="300">
        <v>84.705882352941174</v>
      </c>
      <c r="H131" s="609"/>
      <c r="I131" s="199">
        <f t="shared" si="77"/>
        <v>16.731428571428573</v>
      </c>
      <c r="J131" s="199">
        <f t="shared" si="77"/>
        <v>1151.501994644889</v>
      </c>
      <c r="K131" s="199">
        <f t="shared" si="78"/>
        <v>68.876672157345624</v>
      </c>
      <c r="L131" s="621"/>
      <c r="M131" s="199">
        <f>RANK(K131, K$128:$K$142)</f>
        <v>4</v>
      </c>
    </row>
    <row r="132" spans="2:13">
      <c r="B132" s="572"/>
      <c r="C132" s="297">
        <v>5</v>
      </c>
      <c r="D132" s="226" t="s">
        <v>442</v>
      </c>
      <c r="E132" s="182">
        <v>7</v>
      </c>
      <c r="F132" s="297">
        <v>1500</v>
      </c>
      <c r="G132" s="300">
        <v>214.28571428571428</v>
      </c>
      <c r="H132" s="609"/>
      <c r="I132" s="199">
        <f t="shared" si="77"/>
        <v>6.8114285714285714</v>
      </c>
      <c r="J132" s="199">
        <f t="shared" si="77"/>
        <v>1468.7838941685218</v>
      </c>
      <c r="K132" s="199">
        <f t="shared" si="78"/>
        <v>216.469726232011</v>
      </c>
      <c r="L132" s="621"/>
      <c r="M132" s="199">
        <f>RANK(K132, K$128:$K$142)</f>
        <v>1</v>
      </c>
    </row>
    <row r="133" spans="2:13">
      <c r="B133" s="572"/>
      <c r="C133" s="297">
        <v>6</v>
      </c>
      <c r="D133" s="306" t="s">
        <v>468</v>
      </c>
      <c r="E133" s="182">
        <v>20</v>
      </c>
      <c r="F133" s="297">
        <v>1440</v>
      </c>
      <c r="G133" s="300">
        <v>72</v>
      </c>
      <c r="H133" s="609"/>
      <c r="I133" s="199">
        <f t="shared" si="77"/>
        <v>18.442857142857143</v>
      </c>
      <c r="J133" s="199">
        <f t="shared" si="77"/>
        <v>1256.0768051259013</v>
      </c>
      <c r="K133" s="199">
        <f t="shared" si="78"/>
        <v>68.16120165356125</v>
      </c>
      <c r="L133" s="621"/>
      <c r="M133" s="199">
        <f>RANK(K133, K$128:$K$142)</f>
        <v>6</v>
      </c>
    </row>
    <row r="134" spans="2:13">
      <c r="B134" s="572"/>
      <c r="C134" s="297">
        <v>7</v>
      </c>
      <c r="D134" s="226" t="s">
        <v>488</v>
      </c>
      <c r="E134" s="182">
        <v>21</v>
      </c>
      <c r="F134" s="297">
        <v>1200</v>
      </c>
      <c r="G134" s="300">
        <v>57.142857142857146</v>
      </c>
      <c r="H134" s="609"/>
      <c r="I134" s="388">
        <f t="shared" si="77"/>
        <v>19.474285714285713</v>
      </c>
      <c r="J134" s="388">
        <f t="shared" si="77"/>
        <v>1061.9355099763779</v>
      </c>
      <c r="K134" s="388">
        <f t="shared" si="78"/>
        <v>54.643838333940302</v>
      </c>
      <c r="L134" s="621"/>
      <c r="M134" s="199">
        <f>RANK(K134, K$128:$K$142)</f>
        <v>7</v>
      </c>
    </row>
    <row r="135" spans="2:13">
      <c r="B135" s="572"/>
      <c r="C135" s="297">
        <v>8</v>
      </c>
      <c r="D135" s="226" t="s">
        <v>566</v>
      </c>
      <c r="E135" s="182">
        <v>21</v>
      </c>
      <c r="F135" s="297">
        <v>1200</v>
      </c>
      <c r="G135" s="300">
        <v>57.142857142857146</v>
      </c>
      <c r="H135" s="609"/>
      <c r="I135" s="388">
        <f t="shared" si="77"/>
        <v>20</v>
      </c>
      <c r="J135" s="388">
        <f t="shared" si="77"/>
        <v>952.40147083024567</v>
      </c>
      <c r="K135" s="388">
        <f t="shared" si="78"/>
        <v>47.620073541512284</v>
      </c>
      <c r="L135" s="621"/>
      <c r="M135" s="199">
        <f>RANK(K135, K$128:$K$142)</f>
        <v>8</v>
      </c>
    </row>
    <row r="136" spans="2:13">
      <c r="B136" s="572"/>
      <c r="C136" s="297">
        <v>9</v>
      </c>
      <c r="D136" s="226"/>
      <c r="E136" s="297"/>
      <c r="F136" s="297"/>
      <c r="G136" s="297"/>
      <c r="H136" s="609"/>
      <c r="I136" s="199"/>
      <c r="J136" s="199"/>
      <c r="K136" s="199"/>
      <c r="L136" s="621"/>
      <c r="M136" s="199" t="e">
        <f>RANK(K136, K$128:$K$142)</f>
        <v>#N/A</v>
      </c>
    </row>
    <row r="137" spans="2:13">
      <c r="B137" s="572"/>
      <c r="C137" s="297">
        <v>10</v>
      </c>
      <c r="D137" s="226"/>
      <c r="E137" s="297"/>
      <c r="F137" s="297"/>
      <c r="G137" s="297"/>
      <c r="H137" s="609"/>
      <c r="I137" s="199"/>
      <c r="J137" s="199"/>
      <c r="K137" s="199"/>
      <c r="L137" s="621"/>
      <c r="M137" s="199" t="e">
        <f>RANK(K137, K$128:$K$142)</f>
        <v>#N/A</v>
      </c>
    </row>
    <row r="138" spans="2:13">
      <c r="B138" s="572"/>
      <c r="C138" s="297">
        <v>11</v>
      </c>
      <c r="D138" s="226"/>
      <c r="E138" s="297"/>
      <c r="F138" s="297"/>
      <c r="G138" s="297"/>
      <c r="H138" s="609"/>
      <c r="I138" s="199"/>
      <c r="J138" s="199"/>
      <c r="K138" s="199"/>
      <c r="L138" s="621"/>
      <c r="M138" s="199" t="e">
        <f>RANK(K138, K$128:$K$142)</f>
        <v>#N/A</v>
      </c>
    </row>
    <row r="139" spans="2:13">
      <c r="B139" s="572"/>
      <c r="C139" s="297">
        <v>12</v>
      </c>
      <c r="D139" s="226"/>
      <c r="E139" s="297"/>
      <c r="F139" s="297"/>
      <c r="G139" s="297"/>
      <c r="H139" s="609"/>
      <c r="I139" s="199"/>
      <c r="J139" s="199"/>
      <c r="K139" s="199"/>
      <c r="L139" s="621"/>
      <c r="M139" s="199" t="e">
        <f>RANK(K139, K$128:$K$142)</f>
        <v>#N/A</v>
      </c>
    </row>
    <row r="140" spans="2:13">
      <c r="B140" s="572"/>
      <c r="C140" s="297">
        <v>13</v>
      </c>
      <c r="D140" s="226"/>
      <c r="E140" s="297"/>
      <c r="F140" s="297"/>
      <c r="G140" s="297"/>
      <c r="H140" s="609"/>
      <c r="I140" s="199"/>
      <c r="J140" s="199"/>
      <c r="K140" s="199"/>
      <c r="L140" s="621"/>
      <c r="M140" s="199" t="e">
        <f>RANK(K140, K$128:$K$142)</f>
        <v>#N/A</v>
      </c>
    </row>
    <row r="141" spans="2:13">
      <c r="B141" s="572"/>
      <c r="C141" s="297">
        <v>14</v>
      </c>
      <c r="D141" s="226"/>
      <c r="E141" s="297"/>
      <c r="F141" s="297"/>
      <c r="G141" s="297"/>
      <c r="H141" s="609"/>
      <c r="I141" s="199"/>
      <c r="J141" s="199"/>
      <c r="K141" s="199"/>
      <c r="L141" s="621"/>
      <c r="M141" s="199" t="e">
        <f>RANK(K141, K$128:$K$142)</f>
        <v>#N/A</v>
      </c>
    </row>
    <row r="142" spans="2:13">
      <c r="B142" s="572"/>
      <c r="C142" s="297">
        <v>15</v>
      </c>
      <c r="D142" s="226"/>
      <c r="E142" s="297"/>
      <c r="F142" s="297"/>
      <c r="G142" s="297"/>
      <c r="H142" s="610"/>
      <c r="I142" s="199"/>
      <c r="J142" s="199"/>
      <c r="K142" s="199"/>
      <c r="L142" s="622"/>
      <c r="M142" s="199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D25" sqref="D25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3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3" ht="15.75" customHeight="1">
      <c r="A3" s="662" t="s">
        <v>204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152"/>
    </row>
    <row r="4" spans="1:13" s="12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131"/>
    </row>
    <row r="5" spans="1:13" s="154" customFormat="1" ht="16.350000000000001" customHeight="1">
      <c r="A5" s="658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58"/>
      <c r="B6" s="167" t="s">
        <v>205</v>
      </c>
      <c r="C6" s="167" t="s">
        <v>151</v>
      </c>
      <c r="D6" s="157" t="s">
        <v>206</v>
      </c>
      <c r="E6" s="157" t="s">
        <v>153</v>
      </c>
      <c r="F6" s="158" t="s">
        <v>133</v>
      </c>
      <c r="G6" s="159" t="s">
        <v>131</v>
      </c>
      <c r="H6" s="160" t="s">
        <v>207</v>
      </c>
      <c r="I6" s="159" t="s">
        <v>208</v>
      </c>
      <c r="J6" s="159" t="s">
        <v>137</v>
      </c>
      <c r="K6" s="155"/>
      <c r="L6" s="155"/>
      <c r="M6" s="131"/>
    </row>
    <row r="7" spans="1:13" s="154" customFormat="1" ht="15.75" customHeight="1">
      <c r="A7" s="659" t="s">
        <v>714</v>
      </c>
      <c r="B7" s="660"/>
      <c r="C7" s="403" t="s">
        <v>715</v>
      </c>
      <c r="D7" s="659" t="s">
        <v>12</v>
      </c>
      <c r="E7" s="661"/>
      <c r="F7" s="660"/>
      <c r="G7" s="403" t="s">
        <v>716</v>
      </c>
      <c r="H7" s="403" t="s">
        <v>717</v>
      </c>
      <c r="I7" s="403" t="s">
        <v>718</v>
      </c>
      <c r="J7" s="222" t="s">
        <v>719</v>
      </c>
      <c r="K7" s="659" t="s">
        <v>720</v>
      </c>
      <c r="L7" s="660"/>
      <c r="M7" s="153"/>
    </row>
    <row r="8" spans="1:13" ht="15.75" customHeight="1">
      <c r="A8" s="639">
        <v>1</v>
      </c>
      <c r="B8" s="644" t="s">
        <v>150</v>
      </c>
      <c r="C8" s="404">
        <v>1</v>
      </c>
      <c r="D8" s="461" t="s">
        <v>359</v>
      </c>
      <c r="E8" s="462"/>
      <c r="F8" s="463"/>
      <c r="G8" s="464">
        <v>3</v>
      </c>
      <c r="H8" s="464">
        <v>3217.8534346500287</v>
      </c>
      <c r="I8" s="464">
        <v>1072.6178115500097</v>
      </c>
      <c r="J8" s="241" t="s">
        <v>853</v>
      </c>
      <c r="K8" s="647"/>
      <c r="L8" s="648"/>
      <c r="M8" s="131"/>
    </row>
    <row r="9" spans="1:13" ht="15.75" customHeight="1">
      <c r="A9" s="640"/>
      <c r="B9" s="645"/>
      <c r="C9" s="404">
        <v>2</v>
      </c>
      <c r="D9" s="461" t="s">
        <v>356</v>
      </c>
      <c r="E9" s="462"/>
      <c r="F9" s="463"/>
      <c r="G9" s="464">
        <v>3</v>
      </c>
      <c r="H9" s="464">
        <v>3205.0775085500545</v>
      </c>
      <c r="I9" s="464">
        <v>1068.3591695166847</v>
      </c>
      <c r="J9" s="241" t="s">
        <v>853</v>
      </c>
      <c r="K9" s="647"/>
      <c r="L9" s="648"/>
      <c r="M9" s="131"/>
    </row>
    <row r="10" spans="1:13" ht="15.75" customHeight="1">
      <c r="A10" s="640"/>
      <c r="B10" s="645"/>
      <c r="C10" s="404">
        <v>3</v>
      </c>
      <c r="D10" s="461" t="s">
        <v>357</v>
      </c>
      <c r="E10" s="462"/>
      <c r="F10" s="463"/>
      <c r="G10" s="464">
        <v>3</v>
      </c>
      <c r="H10" s="464">
        <v>3080.3745686364373</v>
      </c>
      <c r="I10" s="464">
        <v>1026.7915228788124</v>
      </c>
      <c r="J10" s="465" t="s">
        <v>854</v>
      </c>
      <c r="K10" s="664" t="s">
        <v>855</v>
      </c>
      <c r="L10" s="648"/>
      <c r="M10" s="131"/>
    </row>
    <row r="11" spans="1:13" ht="15.75" customHeight="1">
      <c r="A11" s="640"/>
      <c r="B11" s="645"/>
      <c r="C11" s="404">
        <v>4</v>
      </c>
      <c r="D11" s="461" t="s">
        <v>362</v>
      </c>
      <c r="E11" s="462"/>
      <c r="F11" s="463"/>
      <c r="G11" s="464">
        <v>3</v>
      </c>
      <c r="H11" s="464">
        <v>3048.6312570786786</v>
      </c>
      <c r="I11" s="464">
        <v>1016.2104190262264</v>
      </c>
      <c r="J11" s="466" t="s">
        <v>620</v>
      </c>
      <c r="K11" s="664" t="s">
        <v>856</v>
      </c>
      <c r="L11" s="648"/>
      <c r="M11" s="131"/>
    </row>
    <row r="12" spans="1:13" ht="15.75" customHeight="1">
      <c r="A12" s="640"/>
      <c r="B12" s="645"/>
      <c r="C12" s="404">
        <v>5</v>
      </c>
      <c r="D12" s="461" t="s">
        <v>466</v>
      </c>
      <c r="E12" s="462"/>
      <c r="F12" s="463"/>
      <c r="G12" s="464">
        <v>3</v>
      </c>
      <c r="H12" s="464">
        <v>2851.1279803326256</v>
      </c>
      <c r="I12" s="464">
        <v>950.37599344420846</v>
      </c>
      <c r="J12" s="465" t="s">
        <v>619</v>
      </c>
      <c r="K12" s="664" t="s">
        <v>725</v>
      </c>
      <c r="L12" s="648"/>
      <c r="M12" s="131"/>
    </row>
    <row r="13" spans="1:13" ht="15.75" customHeight="1">
      <c r="A13" s="640"/>
      <c r="B13" s="645"/>
      <c r="C13" s="165" t="s">
        <v>722</v>
      </c>
      <c r="D13" s="461" t="s">
        <v>560</v>
      </c>
      <c r="E13" s="462"/>
      <c r="F13" s="463"/>
      <c r="G13" s="464">
        <v>9.7142857142857135</v>
      </c>
      <c r="H13" s="464">
        <v>1493.4085263451755</v>
      </c>
      <c r="I13" s="464">
        <v>165.10591905989546</v>
      </c>
      <c r="J13" s="241" t="s">
        <v>721</v>
      </c>
      <c r="K13" s="647"/>
      <c r="L13" s="648"/>
      <c r="M13" s="131"/>
    </row>
    <row r="14" spans="1:13" ht="15.75" customHeight="1">
      <c r="A14" s="640"/>
      <c r="B14" s="645"/>
      <c r="C14" s="165" t="s">
        <v>723</v>
      </c>
      <c r="D14" s="461" t="s">
        <v>630</v>
      </c>
      <c r="E14" s="462"/>
      <c r="F14" s="463"/>
      <c r="G14" s="464">
        <v>4</v>
      </c>
      <c r="H14" s="464">
        <v>2209.2021471861503</v>
      </c>
      <c r="I14" s="464">
        <v>552.30053679653759</v>
      </c>
      <c r="J14" s="241" t="s">
        <v>721</v>
      </c>
      <c r="K14" s="647"/>
      <c r="L14" s="648"/>
      <c r="M14" s="131"/>
    </row>
    <row r="15" spans="1:13" ht="15.75" customHeight="1">
      <c r="A15" s="640"/>
      <c r="B15" s="645"/>
      <c r="C15" s="165" t="s">
        <v>724</v>
      </c>
      <c r="D15" s="461" t="s">
        <v>367</v>
      </c>
      <c r="E15" s="462"/>
      <c r="F15" s="463"/>
      <c r="G15" s="464">
        <v>4</v>
      </c>
      <c r="H15" s="464">
        <v>2278.9567346938748</v>
      </c>
      <c r="I15" s="464">
        <v>569.73918367346869</v>
      </c>
      <c r="J15" s="466" t="s">
        <v>620</v>
      </c>
      <c r="K15" s="665" t="s">
        <v>857</v>
      </c>
      <c r="L15" s="648"/>
      <c r="M15" s="131"/>
    </row>
    <row r="16" spans="1:13" ht="15.75" customHeight="1">
      <c r="A16" s="640"/>
      <c r="B16" s="645"/>
      <c r="C16" s="165" t="s">
        <v>726</v>
      </c>
      <c r="D16" s="461" t="s">
        <v>365</v>
      </c>
      <c r="E16" s="462"/>
      <c r="F16" s="463"/>
      <c r="G16" s="464">
        <v>4</v>
      </c>
      <c r="H16" s="464">
        <v>2811.2973556523566</v>
      </c>
      <c r="I16" s="464">
        <v>702.82433891308915</v>
      </c>
      <c r="J16" s="466" t="s">
        <v>620</v>
      </c>
      <c r="K16" s="666" t="s">
        <v>725</v>
      </c>
      <c r="L16" s="667"/>
      <c r="M16" s="152"/>
    </row>
    <row r="17" spans="1:13" ht="15.75" customHeight="1">
      <c r="A17" s="641"/>
      <c r="B17" s="646"/>
      <c r="C17" s="165" t="s">
        <v>727</v>
      </c>
      <c r="D17" s="461" t="s">
        <v>364</v>
      </c>
      <c r="E17" s="462"/>
      <c r="F17" s="463"/>
      <c r="G17" s="464">
        <v>4</v>
      </c>
      <c r="H17" s="464">
        <v>2821.665395899865</v>
      </c>
      <c r="I17" s="464">
        <v>705.41634897496624</v>
      </c>
      <c r="J17" s="466" t="s">
        <v>620</v>
      </c>
      <c r="K17" s="668"/>
      <c r="L17" s="669"/>
      <c r="M17" s="152"/>
    </row>
    <row r="18" spans="1:13" s="162" customFormat="1" ht="15.75" customHeight="1">
      <c r="A18" s="635" t="s">
        <v>714</v>
      </c>
      <c r="B18" s="636"/>
      <c r="C18" s="402" t="s">
        <v>715</v>
      </c>
      <c r="D18" s="637" t="s">
        <v>12</v>
      </c>
      <c r="E18" s="638"/>
      <c r="F18" s="638"/>
      <c r="G18" s="458" t="s">
        <v>46</v>
      </c>
      <c r="H18" s="458" t="s">
        <v>432</v>
      </c>
      <c r="I18" s="458" t="s">
        <v>433</v>
      </c>
      <c r="J18" s="222" t="s">
        <v>434</v>
      </c>
      <c r="K18" s="637" t="s">
        <v>51</v>
      </c>
      <c r="L18" s="638"/>
      <c r="M18" s="155"/>
    </row>
    <row r="19" spans="1:13" ht="15.75" customHeight="1">
      <c r="A19" s="639">
        <v>2</v>
      </c>
      <c r="B19" s="644" t="s">
        <v>151</v>
      </c>
      <c r="C19" s="404">
        <v>1</v>
      </c>
      <c r="D19" s="467" t="s">
        <v>490</v>
      </c>
      <c r="E19" s="462"/>
      <c r="F19" s="463"/>
      <c r="G19" s="464">
        <v>5</v>
      </c>
      <c r="H19" s="464">
        <v>1516.4221715569124</v>
      </c>
      <c r="I19" s="464">
        <v>303.28443431138248</v>
      </c>
      <c r="J19" s="241" t="s">
        <v>858</v>
      </c>
      <c r="K19" s="647"/>
      <c r="L19" s="648"/>
      <c r="M19" s="152"/>
    </row>
    <row r="20" spans="1:13" ht="15.75" customHeight="1">
      <c r="A20" s="640"/>
      <c r="B20" s="645"/>
      <c r="C20" s="404">
        <v>2</v>
      </c>
      <c r="D20" s="467" t="s">
        <v>556</v>
      </c>
      <c r="E20" s="462"/>
      <c r="F20" s="463"/>
      <c r="G20" s="464">
        <v>6</v>
      </c>
      <c r="H20" s="464">
        <v>1521.1982585287342</v>
      </c>
      <c r="I20" s="464">
        <v>253.53304308812235</v>
      </c>
      <c r="J20" s="241" t="s">
        <v>721</v>
      </c>
      <c r="K20" s="651"/>
      <c r="L20" s="648"/>
      <c r="M20" s="152"/>
    </row>
    <row r="21" spans="1:13" ht="15.75" customHeight="1">
      <c r="A21" s="640"/>
      <c r="B21" s="645"/>
      <c r="C21" s="404">
        <v>3</v>
      </c>
      <c r="D21" s="467" t="s">
        <v>368</v>
      </c>
      <c r="E21" s="462"/>
      <c r="F21" s="463"/>
      <c r="G21" s="464">
        <v>10</v>
      </c>
      <c r="H21" s="464">
        <v>1460.5725714285713</v>
      </c>
      <c r="I21" s="464">
        <v>146.05725714285711</v>
      </c>
      <c r="J21" s="465" t="s">
        <v>619</v>
      </c>
      <c r="K21" s="652" t="s">
        <v>725</v>
      </c>
      <c r="L21" s="653"/>
      <c r="M21" s="152"/>
    </row>
    <row r="22" spans="1:13" ht="15.75" customHeight="1">
      <c r="A22" s="640"/>
      <c r="B22" s="645"/>
      <c r="C22" s="404">
        <v>4</v>
      </c>
      <c r="D22" s="467" t="s">
        <v>369</v>
      </c>
      <c r="E22" s="462"/>
      <c r="F22" s="463"/>
      <c r="G22" s="464">
        <v>12.445714285714285</v>
      </c>
      <c r="H22" s="464">
        <v>1800.4342857142863</v>
      </c>
      <c r="I22" s="464">
        <v>145.33710884353746</v>
      </c>
      <c r="J22" s="466" t="s">
        <v>620</v>
      </c>
      <c r="K22" s="654"/>
      <c r="L22" s="655"/>
      <c r="M22" s="152"/>
    </row>
    <row r="23" spans="1:13" ht="15.75" customHeight="1">
      <c r="A23" s="640"/>
      <c r="B23" s="645"/>
      <c r="C23" s="404">
        <v>5</v>
      </c>
      <c r="D23" s="467" t="s">
        <v>370</v>
      </c>
      <c r="E23" s="462"/>
      <c r="F23" s="463"/>
      <c r="G23" s="464">
        <v>12.445714285714285</v>
      </c>
      <c r="H23" s="464">
        <v>1772.2241360544219</v>
      </c>
      <c r="I23" s="464">
        <v>142.95849659863947</v>
      </c>
      <c r="J23" s="466" t="s">
        <v>620</v>
      </c>
      <c r="K23" s="656"/>
      <c r="L23" s="657"/>
      <c r="M23" s="152"/>
    </row>
    <row r="24" spans="1:13" ht="15.75" customHeight="1">
      <c r="A24" s="640"/>
      <c r="B24" s="645"/>
      <c r="C24" s="165" t="s">
        <v>722</v>
      </c>
      <c r="D24" s="467" t="s">
        <v>558</v>
      </c>
      <c r="E24" s="462"/>
      <c r="F24" s="463"/>
      <c r="G24" s="464">
        <v>10.879999999999999</v>
      </c>
      <c r="H24" s="464">
        <v>1019.1771428571435</v>
      </c>
      <c r="I24" s="464">
        <v>95.022534798534863</v>
      </c>
      <c r="J24" s="241" t="s">
        <v>721</v>
      </c>
      <c r="K24" s="647"/>
      <c r="L24" s="648"/>
      <c r="M24" s="152"/>
    </row>
    <row r="25" spans="1:13" ht="15.75" customHeight="1">
      <c r="A25" s="640"/>
      <c r="B25" s="645"/>
      <c r="C25" s="165" t="s">
        <v>723</v>
      </c>
      <c r="D25" s="398"/>
      <c r="E25" s="393"/>
      <c r="F25" s="394"/>
      <c r="G25" s="396"/>
      <c r="H25" s="396"/>
      <c r="I25" s="396"/>
      <c r="J25" s="397"/>
      <c r="K25" s="649"/>
      <c r="L25" s="650"/>
      <c r="M25" s="152"/>
    </row>
    <row r="26" spans="1:13" ht="15.75" customHeight="1">
      <c r="A26" s="640"/>
      <c r="B26" s="645"/>
      <c r="C26" s="165" t="s">
        <v>724</v>
      </c>
      <c r="D26" s="392"/>
      <c r="E26" s="393"/>
      <c r="F26" s="394"/>
      <c r="G26" s="396"/>
      <c r="H26" s="396"/>
      <c r="I26" s="396"/>
      <c r="J26" s="397"/>
      <c r="K26" s="649"/>
      <c r="L26" s="650"/>
      <c r="M26" s="152"/>
    </row>
    <row r="27" spans="1:13" ht="15.75" customHeight="1">
      <c r="A27" s="640"/>
      <c r="B27" s="645"/>
      <c r="C27" s="165" t="s">
        <v>726</v>
      </c>
      <c r="D27" s="392"/>
      <c r="E27" s="393"/>
      <c r="F27" s="394"/>
      <c r="G27" s="395"/>
      <c r="H27" s="396"/>
      <c r="I27" s="396"/>
      <c r="J27" s="405"/>
      <c r="K27" s="642"/>
      <c r="L27" s="643"/>
      <c r="M27" s="152"/>
    </row>
    <row r="28" spans="1:13" ht="15.75" customHeight="1">
      <c r="A28" s="641"/>
      <c r="B28" s="646"/>
      <c r="C28" s="165" t="s">
        <v>727</v>
      </c>
      <c r="D28" s="392"/>
      <c r="E28" s="393"/>
      <c r="F28" s="394"/>
      <c r="G28" s="395"/>
      <c r="H28" s="396"/>
      <c r="I28" s="396"/>
      <c r="J28" s="405"/>
      <c r="K28" s="642"/>
      <c r="L28" s="643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A8:A17"/>
    <mergeCell ref="B8:B17"/>
    <mergeCell ref="K8:L8"/>
    <mergeCell ref="K9:L9"/>
    <mergeCell ref="K10:L10"/>
    <mergeCell ref="K15:L15"/>
    <mergeCell ref="K13:L13"/>
    <mergeCell ref="K14:L14"/>
    <mergeCell ref="K11:L11"/>
    <mergeCell ref="K12:L12"/>
    <mergeCell ref="K16:L17"/>
    <mergeCell ref="A1:L2"/>
    <mergeCell ref="A5:A6"/>
    <mergeCell ref="A7:B7"/>
    <mergeCell ref="D7:F7"/>
    <mergeCell ref="K7:L7"/>
    <mergeCell ref="A3:L4"/>
    <mergeCell ref="A18:B18"/>
    <mergeCell ref="D18:F18"/>
    <mergeCell ref="K18:L18"/>
    <mergeCell ref="A19:A28"/>
    <mergeCell ref="K28:L28"/>
    <mergeCell ref="B19:B28"/>
    <mergeCell ref="K27:L27"/>
    <mergeCell ref="K19:L19"/>
    <mergeCell ref="K26:L26"/>
    <mergeCell ref="K20:L20"/>
    <mergeCell ref="K24:L24"/>
    <mergeCell ref="K25:L25"/>
    <mergeCell ref="K21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D8" sqref="D8:L20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3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3" ht="15.75" customHeight="1">
      <c r="A3" s="662" t="s">
        <v>204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152"/>
    </row>
    <row r="4" spans="1:13" s="12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131"/>
    </row>
    <row r="5" spans="1:13" s="154" customFormat="1" ht="16.350000000000001" customHeight="1">
      <c r="A5" s="658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58"/>
      <c r="B6" s="157" t="s">
        <v>205</v>
      </c>
      <c r="C6" s="157" t="s">
        <v>151</v>
      </c>
      <c r="D6" s="167" t="s">
        <v>206</v>
      </c>
      <c r="E6" s="167" t="s">
        <v>153</v>
      </c>
      <c r="F6" s="158" t="s">
        <v>133</v>
      </c>
      <c r="G6" s="159" t="s">
        <v>131</v>
      </c>
      <c r="H6" s="160" t="s">
        <v>207</v>
      </c>
      <c r="I6" s="159" t="s">
        <v>208</v>
      </c>
      <c r="J6" s="159" t="s">
        <v>137</v>
      </c>
      <c r="K6" s="155"/>
      <c r="L6" s="155"/>
      <c r="M6" s="131"/>
    </row>
    <row r="7" spans="1:13" s="154" customFormat="1" ht="15.75" customHeight="1">
      <c r="A7" s="670" t="s">
        <v>714</v>
      </c>
      <c r="B7" s="670"/>
      <c r="C7" s="403" t="s">
        <v>715</v>
      </c>
      <c r="D7" s="670" t="s">
        <v>12</v>
      </c>
      <c r="E7" s="648"/>
      <c r="F7" s="648"/>
      <c r="G7" s="403" t="s">
        <v>716</v>
      </c>
      <c r="H7" s="403" t="s">
        <v>717</v>
      </c>
      <c r="I7" s="403" t="s">
        <v>728</v>
      </c>
      <c r="J7" s="222" t="s">
        <v>729</v>
      </c>
      <c r="K7" s="670" t="s">
        <v>720</v>
      </c>
      <c r="L7" s="648"/>
      <c r="M7" s="153"/>
    </row>
    <row r="8" spans="1:13" ht="15.75" customHeight="1">
      <c r="A8" s="658">
        <v>3</v>
      </c>
      <c r="B8" s="670" t="s">
        <v>152</v>
      </c>
      <c r="C8" s="404">
        <v>1</v>
      </c>
      <c r="D8" s="467" t="s">
        <v>400</v>
      </c>
      <c r="E8" s="462"/>
      <c r="F8" s="463"/>
      <c r="G8" s="464">
        <v>4.9714285714285715</v>
      </c>
      <c r="H8" s="464">
        <v>2147.8522406573184</v>
      </c>
      <c r="I8" s="464">
        <v>432.71176087277644</v>
      </c>
      <c r="J8" s="465" t="s">
        <v>859</v>
      </c>
      <c r="K8" s="671" t="s">
        <v>860</v>
      </c>
      <c r="L8" s="672"/>
      <c r="M8" s="131"/>
    </row>
    <row r="9" spans="1:13" ht="15.75" customHeight="1">
      <c r="A9" s="658"/>
      <c r="B9" s="670"/>
      <c r="C9" s="404">
        <v>2</v>
      </c>
      <c r="D9" s="467" t="s">
        <v>452</v>
      </c>
      <c r="E9" s="462"/>
      <c r="F9" s="463"/>
      <c r="G9" s="464">
        <v>4.9714285714285715</v>
      </c>
      <c r="H9" s="464">
        <v>2141.9529141648964</v>
      </c>
      <c r="I9" s="464">
        <v>431.44431417626294</v>
      </c>
      <c r="J9" s="466" t="s">
        <v>861</v>
      </c>
      <c r="K9" s="673"/>
      <c r="L9" s="674"/>
      <c r="M9" s="131"/>
    </row>
    <row r="10" spans="1:13" ht="15.75" customHeight="1">
      <c r="A10" s="658"/>
      <c r="B10" s="670"/>
      <c r="C10" s="404">
        <v>3</v>
      </c>
      <c r="D10" s="467" t="s">
        <v>785</v>
      </c>
      <c r="E10" s="462"/>
      <c r="F10" s="463"/>
      <c r="G10" s="464">
        <v>4.9642857142857144</v>
      </c>
      <c r="H10" s="464">
        <v>2104.1695404886714</v>
      </c>
      <c r="I10" s="464">
        <v>424.64446710394543</v>
      </c>
      <c r="J10" s="241" t="s">
        <v>853</v>
      </c>
      <c r="K10" s="673"/>
      <c r="L10" s="674"/>
      <c r="M10" s="131"/>
    </row>
    <row r="11" spans="1:13" ht="15.75" customHeight="1">
      <c r="A11" s="658"/>
      <c r="B11" s="670"/>
      <c r="C11" s="404">
        <v>4</v>
      </c>
      <c r="D11" s="467" t="s">
        <v>617</v>
      </c>
      <c r="E11" s="462"/>
      <c r="F11" s="463"/>
      <c r="G11" s="464">
        <v>4.7714285714285714</v>
      </c>
      <c r="H11" s="464">
        <v>1815.7871099488771</v>
      </c>
      <c r="I11" s="464">
        <v>383.44103920589271</v>
      </c>
      <c r="J11" s="241" t="s">
        <v>853</v>
      </c>
      <c r="K11" s="675"/>
      <c r="L11" s="676"/>
      <c r="M11" s="131"/>
    </row>
    <row r="12" spans="1:13" ht="15.75" customHeight="1">
      <c r="A12" s="658"/>
      <c r="B12" s="670"/>
      <c r="C12" s="404">
        <v>5</v>
      </c>
      <c r="D12" s="467" t="s">
        <v>600</v>
      </c>
      <c r="E12" s="462"/>
      <c r="F12" s="463"/>
      <c r="G12" s="464">
        <v>6.9142857142857137</v>
      </c>
      <c r="H12" s="464">
        <v>1849.1597779594135</v>
      </c>
      <c r="I12" s="464">
        <v>267.95679276667857</v>
      </c>
      <c r="J12" s="241" t="s">
        <v>853</v>
      </c>
      <c r="K12" s="647"/>
      <c r="L12" s="648"/>
      <c r="M12" s="131"/>
    </row>
    <row r="13" spans="1:13" ht="15.75" customHeight="1">
      <c r="A13" s="658"/>
      <c r="B13" s="670"/>
      <c r="C13" s="165" t="s">
        <v>722</v>
      </c>
      <c r="D13" s="467" t="s">
        <v>399</v>
      </c>
      <c r="E13" s="462"/>
      <c r="F13" s="463"/>
      <c r="G13" s="464">
        <v>13.154285714285715</v>
      </c>
      <c r="H13" s="464">
        <v>1242.2122236684149</v>
      </c>
      <c r="I13" s="464">
        <v>94.516480328163681</v>
      </c>
      <c r="J13" s="241" t="s">
        <v>853</v>
      </c>
      <c r="K13" s="647"/>
      <c r="L13" s="648"/>
      <c r="M13" s="131"/>
    </row>
    <row r="14" spans="1:13" ht="15.75" customHeight="1">
      <c r="A14" s="658"/>
      <c r="B14" s="670"/>
      <c r="C14" s="165" t="s">
        <v>723</v>
      </c>
      <c r="D14" s="467" t="s">
        <v>401</v>
      </c>
      <c r="E14" s="462"/>
      <c r="F14" s="463"/>
      <c r="G14" s="464">
        <v>13.8</v>
      </c>
      <c r="H14" s="464">
        <v>2057.4596327621457</v>
      </c>
      <c r="I14" s="464">
        <v>149.13974068730516</v>
      </c>
      <c r="J14" s="241" t="s">
        <v>853</v>
      </c>
      <c r="K14" s="651"/>
      <c r="L14" s="648"/>
      <c r="M14" s="131"/>
    </row>
    <row r="15" spans="1:13" ht="15.75" customHeight="1">
      <c r="A15" s="658"/>
      <c r="B15" s="670"/>
      <c r="C15" s="165" t="s">
        <v>724</v>
      </c>
      <c r="D15" s="467" t="s">
        <v>402</v>
      </c>
      <c r="E15" s="462"/>
      <c r="F15" s="463"/>
      <c r="G15" s="464">
        <v>12.8</v>
      </c>
      <c r="H15" s="464">
        <v>2056.6621099942399</v>
      </c>
      <c r="I15" s="464">
        <v>160.7454816039419</v>
      </c>
      <c r="J15" s="466" t="s">
        <v>861</v>
      </c>
      <c r="K15" s="666" t="s">
        <v>862</v>
      </c>
      <c r="L15" s="653"/>
      <c r="M15" s="131"/>
    </row>
    <row r="16" spans="1:13" ht="15.75" customHeight="1">
      <c r="A16" s="658"/>
      <c r="B16" s="670"/>
      <c r="C16" s="165" t="s">
        <v>726</v>
      </c>
      <c r="D16" s="467" t="s">
        <v>404</v>
      </c>
      <c r="E16" s="462"/>
      <c r="F16" s="463"/>
      <c r="G16" s="464">
        <v>12.4</v>
      </c>
      <c r="H16" s="464">
        <v>2139.8728901734939</v>
      </c>
      <c r="I16" s="464">
        <v>172.77766787534119</v>
      </c>
      <c r="J16" s="465" t="s">
        <v>859</v>
      </c>
      <c r="K16" s="654"/>
      <c r="L16" s="655"/>
      <c r="M16" s="152"/>
    </row>
    <row r="17" spans="1:13" ht="15.75" customHeight="1">
      <c r="A17" s="658"/>
      <c r="B17" s="670"/>
      <c r="C17" s="165" t="s">
        <v>727</v>
      </c>
      <c r="D17" s="467" t="s">
        <v>405</v>
      </c>
      <c r="E17" s="462"/>
      <c r="F17" s="463"/>
      <c r="G17" s="464">
        <v>10.8</v>
      </c>
      <c r="H17" s="464">
        <v>2057.8633521854999</v>
      </c>
      <c r="I17" s="464">
        <v>190.70992688242058</v>
      </c>
      <c r="J17" s="466" t="s">
        <v>861</v>
      </c>
      <c r="K17" s="656"/>
      <c r="L17" s="657"/>
      <c r="M17" s="152"/>
    </row>
    <row r="18" spans="1:13" s="162" customFormat="1" ht="15.75" customHeight="1">
      <c r="A18" s="637" t="s">
        <v>714</v>
      </c>
      <c r="B18" s="637"/>
      <c r="C18" s="402" t="s">
        <v>715</v>
      </c>
      <c r="D18" s="637" t="s">
        <v>12</v>
      </c>
      <c r="E18" s="638"/>
      <c r="F18" s="638"/>
      <c r="G18" s="458" t="s">
        <v>863</v>
      </c>
      <c r="H18" s="458" t="s">
        <v>864</v>
      </c>
      <c r="I18" s="458" t="s">
        <v>865</v>
      </c>
      <c r="J18" s="222" t="s">
        <v>866</v>
      </c>
      <c r="K18" s="637" t="s">
        <v>867</v>
      </c>
      <c r="L18" s="638"/>
      <c r="M18" s="155"/>
    </row>
    <row r="19" spans="1:13" ht="15.75" customHeight="1">
      <c r="A19" s="658">
        <v>4</v>
      </c>
      <c r="B19" s="670" t="s">
        <v>153</v>
      </c>
      <c r="C19" s="404">
        <v>1</v>
      </c>
      <c r="D19" s="468" t="s">
        <v>868</v>
      </c>
      <c r="E19" s="462"/>
      <c r="F19" s="463"/>
      <c r="G19" s="464">
        <v>11.857142857142858</v>
      </c>
      <c r="H19" s="464">
        <v>1486.7206221095823</v>
      </c>
      <c r="I19" s="464">
        <v>127.84718107224278</v>
      </c>
      <c r="J19" s="241" t="s">
        <v>853</v>
      </c>
      <c r="K19" s="679" t="s">
        <v>869</v>
      </c>
      <c r="L19" s="678"/>
      <c r="M19" s="152"/>
    </row>
    <row r="20" spans="1:13" ht="15.75" customHeight="1">
      <c r="A20" s="658"/>
      <c r="B20" s="670"/>
      <c r="C20" s="404">
        <v>2</v>
      </c>
      <c r="D20" s="468" t="s">
        <v>787</v>
      </c>
      <c r="E20" s="462"/>
      <c r="F20" s="463"/>
      <c r="G20" s="464">
        <v>12.821428571428571</v>
      </c>
      <c r="H20" s="464">
        <v>1475.4709290709295</v>
      </c>
      <c r="I20" s="464">
        <v>115.18874154691464</v>
      </c>
      <c r="J20" s="241" t="s">
        <v>853</v>
      </c>
      <c r="K20" s="677"/>
      <c r="L20" s="678"/>
      <c r="M20" s="152"/>
    </row>
    <row r="21" spans="1:13" ht="15.75" customHeight="1">
      <c r="A21" s="658"/>
      <c r="B21" s="670"/>
      <c r="C21" s="404">
        <v>3</v>
      </c>
      <c r="D21" s="677"/>
      <c r="E21" s="678"/>
      <c r="F21" s="678"/>
      <c r="G21" s="243"/>
      <c r="H21" s="243"/>
      <c r="I21" s="243"/>
      <c r="J21" s="242"/>
      <c r="K21" s="680"/>
      <c r="L21" s="681"/>
      <c r="M21" s="152"/>
    </row>
    <row r="22" spans="1:13" ht="15.75" customHeight="1">
      <c r="A22" s="658"/>
      <c r="B22" s="670"/>
      <c r="C22" s="404">
        <v>4</v>
      </c>
      <c r="D22" s="677"/>
      <c r="E22" s="678"/>
      <c r="F22" s="678"/>
      <c r="G22" s="406"/>
      <c r="H22" s="406"/>
      <c r="I22" s="406"/>
      <c r="J22" s="406"/>
      <c r="K22" s="677"/>
      <c r="L22" s="678"/>
      <c r="M22" s="152"/>
    </row>
    <row r="23" spans="1:13" ht="15.75" customHeight="1">
      <c r="A23" s="658"/>
      <c r="B23" s="670"/>
      <c r="C23" s="404">
        <v>5</v>
      </c>
      <c r="D23" s="677"/>
      <c r="E23" s="678"/>
      <c r="F23" s="678"/>
      <c r="G23" s="406"/>
      <c r="H23" s="406"/>
      <c r="I23" s="406"/>
      <c r="J23" s="406"/>
      <c r="K23" s="677"/>
      <c r="L23" s="678"/>
      <c r="M23" s="152"/>
    </row>
    <row r="24" spans="1:13" ht="15.75" customHeight="1">
      <c r="A24" s="658"/>
      <c r="B24" s="670"/>
      <c r="C24" s="165" t="s">
        <v>722</v>
      </c>
      <c r="D24" s="682"/>
      <c r="E24" s="683"/>
      <c r="F24" s="684"/>
      <c r="G24" s="243"/>
      <c r="H24" s="243"/>
      <c r="I24" s="243"/>
      <c r="J24" s="242"/>
      <c r="K24" s="685"/>
      <c r="L24" s="678"/>
      <c r="M24" s="152"/>
    </row>
    <row r="25" spans="1:13" ht="15.75" customHeight="1">
      <c r="A25" s="658"/>
      <c r="B25" s="670"/>
      <c r="C25" s="165" t="s">
        <v>723</v>
      </c>
      <c r="D25" s="677"/>
      <c r="E25" s="678"/>
      <c r="F25" s="678"/>
      <c r="G25" s="406"/>
      <c r="H25" s="406"/>
      <c r="I25" s="406"/>
      <c r="J25" s="406"/>
      <c r="K25" s="677"/>
      <c r="L25" s="678"/>
      <c r="M25" s="152"/>
    </row>
    <row r="26" spans="1:13" ht="15.75" customHeight="1">
      <c r="A26" s="658"/>
      <c r="B26" s="670"/>
      <c r="C26" s="165" t="s">
        <v>724</v>
      </c>
      <c r="D26" s="677"/>
      <c r="E26" s="678"/>
      <c r="F26" s="678"/>
      <c r="G26" s="406"/>
      <c r="H26" s="406"/>
      <c r="I26" s="406"/>
      <c r="J26" s="406"/>
      <c r="K26" s="677"/>
      <c r="L26" s="678"/>
      <c r="M26" s="152"/>
    </row>
    <row r="27" spans="1:13" ht="15.75" customHeight="1">
      <c r="A27" s="658"/>
      <c r="B27" s="670"/>
      <c r="C27" s="165" t="s">
        <v>726</v>
      </c>
      <c r="D27" s="677"/>
      <c r="E27" s="678"/>
      <c r="F27" s="678"/>
      <c r="G27" s="406"/>
      <c r="H27" s="406"/>
      <c r="I27" s="406"/>
      <c r="J27" s="406"/>
      <c r="K27" s="677"/>
      <c r="L27" s="678"/>
      <c r="M27" s="152"/>
    </row>
    <row r="28" spans="1:13" ht="15.75" customHeight="1">
      <c r="A28" s="658"/>
      <c r="B28" s="670"/>
      <c r="C28" s="165" t="s">
        <v>727</v>
      </c>
      <c r="D28" s="677"/>
      <c r="E28" s="678"/>
      <c r="F28" s="678"/>
      <c r="G28" s="406"/>
      <c r="H28" s="406"/>
      <c r="I28" s="406"/>
      <c r="J28" s="406"/>
      <c r="K28" s="677"/>
      <c r="L28" s="67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6">
    <mergeCell ref="A1:L2"/>
    <mergeCell ref="K24:L24"/>
    <mergeCell ref="K14:L14"/>
    <mergeCell ref="K12:L12"/>
    <mergeCell ref="A3:L4"/>
    <mergeCell ref="A19:A28"/>
    <mergeCell ref="A5:A6"/>
    <mergeCell ref="A7:B7"/>
    <mergeCell ref="D25:F25"/>
    <mergeCell ref="K25:L25"/>
    <mergeCell ref="D26:F26"/>
    <mergeCell ref="K26:L26"/>
    <mergeCell ref="B19:B28"/>
    <mergeCell ref="D27:F27"/>
    <mergeCell ref="K27:L27"/>
    <mergeCell ref="D28:F28"/>
    <mergeCell ref="D7:F7"/>
    <mergeCell ref="K7:L7"/>
    <mergeCell ref="K28:L28"/>
    <mergeCell ref="K21:L21"/>
    <mergeCell ref="D22:F22"/>
    <mergeCell ref="D24:F24"/>
    <mergeCell ref="A18:B18"/>
    <mergeCell ref="D18:F18"/>
    <mergeCell ref="K18:L18"/>
    <mergeCell ref="K22:L22"/>
    <mergeCell ref="D23:F23"/>
    <mergeCell ref="K23:L23"/>
    <mergeCell ref="K20:L20"/>
    <mergeCell ref="D21:F21"/>
    <mergeCell ref="K19:L19"/>
    <mergeCell ref="A8:A17"/>
    <mergeCell ref="B8:B17"/>
    <mergeCell ref="K13:L13"/>
    <mergeCell ref="K8:L11"/>
    <mergeCell ref="K15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8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8" ht="15.75" customHeight="1">
      <c r="A3" s="662" t="s">
        <v>204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152"/>
    </row>
    <row r="4" spans="1:18" s="12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131"/>
    </row>
    <row r="5" spans="1:18" s="154" customFormat="1" ht="16.350000000000001" customHeight="1">
      <c r="A5" s="658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658"/>
      <c r="B6" s="157" t="s">
        <v>205</v>
      </c>
      <c r="C6" s="157" t="s">
        <v>151</v>
      </c>
      <c r="D6" s="157" t="s">
        <v>206</v>
      </c>
      <c r="E6" s="157" t="s">
        <v>153</v>
      </c>
      <c r="F6" s="168" t="s">
        <v>133</v>
      </c>
      <c r="G6" s="169" t="s">
        <v>131</v>
      </c>
      <c r="H6" s="160" t="s">
        <v>207</v>
      </c>
      <c r="I6" s="159" t="s">
        <v>208</v>
      </c>
      <c r="J6" s="159" t="s">
        <v>137</v>
      </c>
      <c r="K6" s="155"/>
      <c r="L6" s="155"/>
      <c r="M6" s="131"/>
    </row>
    <row r="7" spans="1:18" s="154" customFormat="1" ht="15.75" customHeight="1">
      <c r="A7" s="670" t="s">
        <v>185</v>
      </c>
      <c r="B7" s="670"/>
      <c r="C7" s="403" t="s">
        <v>47</v>
      </c>
      <c r="D7" s="670" t="s">
        <v>12</v>
      </c>
      <c r="E7" s="648"/>
      <c r="F7" s="648"/>
      <c r="G7" s="403" t="s">
        <v>46</v>
      </c>
      <c r="H7" s="403" t="s">
        <v>432</v>
      </c>
      <c r="I7" s="403" t="s">
        <v>433</v>
      </c>
      <c r="J7" s="222" t="s">
        <v>434</v>
      </c>
      <c r="K7" s="670" t="s">
        <v>51</v>
      </c>
      <c r="L7" s="648"/>
      <c r="M7" s="153"/>
    </row>
    <row r="8" spans="1:18" ht="15.75" customHeight="1">
      <c r="A8" s="658">
        <v>5</v>
      </c>
      <c r="B8" s="670" t="s">
        <v>133</v>
      </c>
      <c r="C8" s="404">
        <v>1</v>
      </c>
      <c r="D8" s="467" t="s">
        <v>371</v>
      </c>
      <c r="E8" s="462"/>
      <c r="F8" s="463"/>
      <c r="G8" s="464">
        <v>6</v>
      </c>
      <c r="H8" s="464">
        <v>1391.4097854092463</v>
      </c>
      <c r="I8" s="464">
        <v>231.90163090154107</v>
      </c>
      <c r="J8" s="241" t="s">
        <v>853</v>
      </c>
      <c r="K8" s="647"/>
      <c r="L8" s="648"/>
      <c r="M8" s="131"/>
      <c r="P8" s="253"/>
      <c r="Q8" s="253"/>
      <c r="R8" s="253"/>
    </row>
    <row r="9" spans="1:18" ht="15.75" customHeight="1">
      <c r="A9" s="658"/>
      <c r="B9" s="670"/>
      <c r="C9" s="404">
        <v>2</v>
      </c>
      <c r="D9" s="467" t="s">
        <v>395</v>
      </c>
      <c r="E9" s="462"/>
      <c r="F9" s="463"/>
      <c r="G9" s="464">
        <v>6.9599999999999991</v>
      </c>
      <c r="H9" s="464">
        <v>1468.6825289568148</v>
      </c>
      <c r="I9" s="464">
        <v>211.23627964689189</v>
      </c>
      <c r="J9" s="241" t="s">
        <v>853</v>
      </c>
      <c r="K9" s="651"/>
      <c r="L9" s="648"/>
      <c r="M9" s="131"/>
      <c r="P9" s="253"/>
      <c r="Q9" s="253"/>
      <c r="R9" s="253"/>
    </row>
    <row r="10" spans="1:18" ht="15.75" customHeight="1">
      <c r="A10" s="658"/>
      <c r="B10" s="670"/>
      <c r="C10" s="404">
        <v>3</v>
      </c>
      <c r="D10" s="467" t="s">
        <v>379</v>
      </c>
      <c r="E10" s="462"/>
      <c r="F10" s="463"/>
      <c r="G10" s="464">
        <v>15.371428571428572</v>
      </c>
      <c r="H10" s="464">
        <v>1338.718388999022</v>
      </c>
      <c r="I10" s="464">
        <v>87.215509774477439</v>
      </c>
      <c r="J10" s="241" t="s">
        <v>853</v>
      </c>
      <c r="K10" s="651"/>
      <c r="L10" s="648"/>
      <c r="M10" s="131"/>
      <c r="P10" s="253"/>
      <c r="Q10" s="253"/>
      <c r="R10" s="253"/>
    </row>
    <row r="11" spans="1:18" ht="15.75" customHeight="1">
      <c r="A11" s="658"/>
      <c r="B11" s="670"/>
      <c r="C11" s="404">
        <v>4</v>
      </c>
      <c r="D11" s="467" t="s">
        <v>381</v>
      </c>
      <c r="E11" s="462"/>
      <c r="F11" s="463"/>
      <c r="G11" s="464">
        <v>15.588571428571427</v>
      </c>
      <c r="H11" s="464">
        <v>1271.9009946702486</v>
      </c>
      <c r="I11" s="464">
        <v>81.673574868509348</v>
      </c>
      <c r="J11" s="465" t="s">
        <v>859</v>
      </c>
      <c r="K11" s="652" t="s">
        <v>870</v>
      </c>
      <c r="L11" s="653"/>
      <c r="M11" s="131"/>
      <c r="P11" s="253"/>
      <c r="Q11" s="253"/>
      <c r="R11" s="253"/>
    </row>
    <row r="12" spans="1:18" ht="15.75" customHeight="1">
      <c r="A12" s="658"/>
      <c r="B12" s="670"/>
      <c r="C12" s="404">
        <v>5</v>
      </c>
      <c r="D12" s="467" t="s">
        <v>342</v>
      </c>
      <c r="E12" s="462"/>
      <c r="F12" s="463"/>
      <c r="G12" s="464">
        <v>16.428571428571427</v>
      </c>
      <c r="H12" s="464">
        <v>1324.3856579439437</v>
      </c>
      <c r="I12" s="464">
        <v>80.691290342808145</v>
      </c>
      <c r="J12" s="465" t="s">
        <v>859</v>
      </c>
      <c r="K12" s="656"/>
      <c r="L12" s="657"/>
      <c r="M12" s="131"/>
      <c r="P12" s="253"/>
      <c r="Q12" s="253"/>
      <c r="R12" s="253"/>
    </row>
    <row r="13" spans="1:18" ht="15.75" customHeight="1">
      <c r="A13" s="658"/>
      <c r="B13" s="670"/>
      <c r="C13" s="165" t="s">
        <v>437</v>
      </c>
      <c r="D13" s="467" t="s">
        <v>602</v>
      </c>
      <c r="E13" s="462"/>
      <c r="F13" s="463"/>
      <c r="G13" s="464">
        <v>19.96</v>
      </c>
      <c r="H13" s="464">
        <v>1100.7004516968195</v>
      </c>
      <c r="I13" s="464">
        <v>55.15355805394853</v>
      </c>
      <c r="J13" s="241" t="s">
        <v>853</v>
      </c>
      <c r="K13" s="647"/>
      <c r="L13" s="648"/>
      <c r="M13" s="131"/>
      <c r="P13" s="253"/>
      <c r="Q13" s="253"/>
      <c r="R13" s="253"/>
    </row>
    <row r="14" spans="1:18" ht="15.75" customHeight="1">
      <c r="A14" s="658"/>
      <c r="B14" s="670"/>
      <c r="C14" s="165" t="s">
        <v>438</v>
      </c>
      <c r="D14" s="467" t="s">
        <v>789</v>
      </c>
      <c r="E14" s="462"/>
      <c r="F14" s="463"/>
      <c r="G14" s="464">
        <v>20.035714285714285</v>
      </c>
      <c r="H14" s="464">
        <v>1151.6600484981545</v>
      </c>
      <c r="I14" s="464">
        <v>57.487150969571502</v>
      </c>
      <c r="J14" s="241" t="s">
        <v>853</v>
      </c>
      <c r="K14" s="647" t="s">
        <v>871</v>
      </c>
      <c r="L14" s="648"/>
      <c r="M14" s="131"/>
      <c r="P14" s="253"/>
      <c r="Q14" s="253"/>
      <c r="R14" s="253"/>
    </row>
    <row r="15" spans="1:18" ht="15.75" customHeight="1">
      <c r="A15" s="658"/>
      <c r="B15" s="670"/>
      <c r="C15" s="165" t="s">
        <v>439</v>
      </c>
      <c r="D15" s="467" t="s">
        <v>660</v>
      </c>
      <c r="E15" s="462"/>
      <c r="F15" s="463"/>
      <c r="G15" s="464">
        <v>18.834285714285716</v>
      </c>
      <c r="H15" s="464">
        <v>1106.4390289222679</v>
      </c>
      <c r="I15" s="464">
        <v>58.774494608565838</v>
      </c>
      <c r="J15" s="465" t="s">
        <v>859</v>
      </c>
      <c r="K15" s="647" t="s">
        <v>862</v>
      </c>
      <c r="L15" s="648"/>
      <c r="M15" s="131"/>
      <c r="P15" s="253"/>
      <c r="Q15" s="253"/>
      <c r="R15" s="253"/>
    </row>
    <row r="16" spans="1:18" ht="15.75" customHeight="1">
      <c r="A16" s="658"/>
      <c r="B16" s="670"/>
      <c r="C16" s="165" t="s">
        <v>440</v>
      </c>
      <c r="D16" s="467" t="s">
        <v>791</v>
      </c>
      <c r="E16" s="462"/>
      <c r="F16" s="463"/>
      <c r="G16" s="464">
        <v>19.928571428571431</v>
      </c>
      <c r="H16" s="464">
        <v>1254.3882775999296</v>
      </c>
      <c r="I16" s="464">
        <v>62.956963222101734</v>
      </c>
      <c r="J16" s="241" t="s">
        <v>853</v>
      </c>
      <c r="K16" s="651" t="s">
        <v>872</v>
      </c>
      <c r="L16" s="648"/>
      <c r="M16" s="152"/>
      <c r="P16" s="253"/>
      <c r="Q16" s="253"/>
      <c r="R16" s="253"/>
    </row>
    <row r="17" spans="1:18" ht="15.75" customHeight="1">
      <c r="A17" s="658"/>
      <c r="B17" s="670"/>
      <c r="C17" s="165" t="s">
        <v>441</v>
      </c>
      <c r="D17" s="468" t="s">
        <v>453</v>
      </c>
      <c r="E17" s="462"/>
      <c r="F17" s="463"/>
      <c r="G17" s="464">
        <v>17.04</v>
      </c>
      <c r="H17" s="464">
        <v>1089.8668239123374</v>
      </c>
      <c r="I17" s="464">
        <v>63.967889735272891</v>
      </c>
      <c r="J17" s="466" t="s">
        <v>861</v>
      </c>
      <c r="K17" s="664" t="s">
        <v>873</v>
      </c>
      <c r="L17" s="648"/>
      <c r="M17" s="152"/>
      <c r="P17" s="253"/>
      <c r="Q17" s="253"/>
      <c r="R17" s="253"/>
    </row>
    <row r="18" spans="1:18" s="162" customFormat="1" ht="15.75" customHeight="1">
      <c r="A18" s="637" t="s">
        <v>185</v>
      </c>
      <c r="B18" s="637"/>
      <c r="C18" s="402" t="s">
        <v>47</v>
      </c>
      <c r="D18" s="637" t="s">
        <v>12</v>
      </c>
      <c r="E18" s="638"/>
      <c r="F18" s="638"/>
      <c r="G18" s="458" t="s">
        <v>863</v>
      </c>
      <c r="H18" s="458" t="s">
        <v>864</v>
      </c>
      <c r="I18" s="458" t="s">
        <v>865</v>
      </c>
      <c r="J18" s="222" t="s">
        <v>866</v>
      </c>
      <c r="K18" s="637" t="s">
        <v>867</v>
      </c>
      <c r="L18" s="638"/>
      <c r="M18" s="155"/>
    </row>
    <row r="19" spans="1:18" ht="15.75" customHeight="1">
      <c r="A19" s="658">
        <v>6</v>
      </c>
      <c r="B19" s="670" t="s">
        <v>131</v>
      </c>
      <c r="C19" s="404">
        <v>1</v>
      </c>
      <c r="D19" s="467" t="s">
        <v>564</v>
      </c>
      <c r="E19" s="462"/>
      <c r="F19" s="463"/>
      <c r="G19" s="464">
        <v>15.679999999999998</v>
      </c>
      <c r="H19" s="464">
        <v>1269.5360599084224</v>
      </c>
      <c r="I19" s="464">
        <v>81.021688758687915</v>
      </c>
      <c r="J19" s="465" t="s">
        <v>859</v>
      </c>
      <c r="K19" s="671" t="s">
        <v>862</v>
      </c>
      <c r="L19" s="672"/>
      <c r="M19" s="152"/>
      <c r="P19" s="253"/>
      <c r="Q19" s="253"/>
      <c r="R19" s="253"/>
    </row>
    <row r="20" spans="1:18" ht="15.75" customHeight="1">
      <c r="A20" s="658"/>
      <c r="B20" s="670"/>
      <c r="C20" s="404">
        <v>2</v>
      </c>
      <c r="D20" s="467" t="s">
        <v>385</v>
      </c>
      <c r="E20" s="462"/>
      <c r="F20" s="463"/>
      <c r="G20" s="464">
        <v>17</v>
      </c>
      <c r="H20" s="464">
        <v>1266.2069108815608</v>
      </c>
      <c r="I20" s="464">
        <v>74.482759463621221</v>
      </c>
      <c r="J20" s="465" t="s">
        <v>859</v>
      </c>
      <c r="K20" s="673"/>
      <c r="L20" s="674"/>
      <c r="M20" s="152"/>
      <c r="P20" s="253"/>
      <c r="Q20" s="253"/>
      <c r="R20" s="253"/>
    </row>
    <row r="21" spans="1:18" ht="15.75" customHeight="1">
      <c r="A21" s="658"/>
      <c r="B21" s="670"/>
      <c r="C21" s="404">
        <v>3</v>
      </c>
      <c r="D21" s="467" t="s">
        <v>383</v>
      </c>
      <c r="E21" s="462"/>
      <c r="F21" s="463"/>
      <c r="G21" s="464">
        <v>18</v>
      </c>
      <c r="H21" s="464">
        <v>1263.5656150329633</v>
      </c>
      <c r="I21" s="464">
        <v>70.198089724053517</v>
      </c>
      <c r="J21" s="465" t="s">
        <v>859</v>
      </c>
      <c r="K21" s="673"/>
      <c r="L21" s="674"/>
      <c r="M21" s="152"/>
      <c r="P21" s="253"/>
      <c r="Q21" s="253"/>
      <c r="R21" s="253"/>
    </row>
    <row r="22" spans="1:18" ht="15.75" customHeight="1">
      <c r="A22" s="658"/>
      <c r="B22" s="670"/>
      <c r="C22" s="404">
        <v>4</v>
      </c>
      <c r="D22" s="467" t="s">
        <v>489</v>
      </c>
      <c r="E22" s="462"/>
      <c r="F22" s="463"/>
      <c r="G22" s="464">
        <v>17.36</v>
      </c>
      <c r="H22" s="464">
        <v>1215.0203862882402</v>
      </c>
      <c r="I22" s="464">
        <v>70.028610651193006</v>
      </c>
      <c r="J22" s="241" t="s">
        <v>853</v>
      </c>
      <c r="K22" s="673"/>
      <c r="L22" s="674"/>
      <c r="M22" s="152"/>
      <c r="P22" s="253"/>
      <c r="Q22" s="253"/>
      <c r="R22" s="253"/>
    </row>
    <row r="23" spans="1:18" ht="15.75" customHeight="1">
      <c r="A23" s="658"/>
      <c r="B23" s="670"/>
      <c r="C23" s="404">
        <v>5</v>
      </c>
      <c r="D23" s="467" t="s">
        <v>605</v>
      </c>
      <c r="E23" s="462"/>
      <c r="F23" s="463"/>
      <c r="G23" s="464">
        <v>16.2</v>
      </c>
      <c r="H23" s="464">
        <v>1128.9557743147066</v>
      </c>
      <c r="I23" s="464">
        <v>69.766220336271886</v>
      </c>
      <c r="J23" s="465" t="s">
        <v>859</v>
      </c>
      <c r="K23" s="675"/>
      <c r="L23" s="676"/>
      <c r="M23" s="152"/>
      <c r="P23" s="253"/>
      <c r="Q23" s="253"/>
      <c r="R23" s="253"/>
    </row>
    <row r="24" spans="1:18" ht="15.75" customHeight="1">
      <c r="A24" s="658"/>
      <c r="B24" s="670"/>
      <c r="C24" s="165" t="s">
        <v>437</v>
      </c>
      <c r="D24" s="467" t="s">
        <v>793</v>
      </c>
      <c r="E24" s="462"/>
      <c r="F24" s="463"/>
      <c r="G24" s="464">
        <v>18.899999999999999</v>
      </c>
      <c r="H24" s="464">
        <v>1147.0240907333123</v>
      </c>
      <c r="I24" s="464">
        <v>60.701351475521022</v>
      </c>
      <c r="J24" s="241" t="s">
        <v>853</v>
      </c>
      <c r="K24" s="666" t="s">
        <v>874</v>
      </c>
      <c r="L24" s="653"/>
      <c r="M24" s="152"/>
      <c r="P24" s="253"/>
      <c r="Q24" s="253"/>
      <c r="R24" s="253"/>
    </row>
    <row r="25" spans="1:18" ht="15.75" customHeight="1">
      <c r="A25" s="658"/>
      <c r="B25" s="670"/>
      <c r="C25" s="165" t="s">
        <v>438</v>
      </c>
      <c r="D25" s="467" t="s">
        <v>492</v>
      </c>
      <c r="E25" s="462"/>
      <c r="F25" s="463"/>
      <c r="G25" s="464">
        <v>19.525714285714287</v>
      </c>
      <c r="H25" s="464">
        <v>1202.1089541604215</v>
      </c>
      <c r="I25" s="464">
        <v>61.606991934276969</v>
      </c>
      <c r="J25" s="241" t="s">
        <v>853</v>
      </c>
      <c r="K25" s="654"/>
      <c r="L25" s="655"/>
      <c r="M25" s="152"/>
      <c r="P25" s="253"/>
      <c r="Q25" s="253"/>
      <c r="R25" s="253"/>
    </row>
    <row r="26" spans="1:18" ht="15.75" customHeight="1">
      <c r="A26" s="658"/>
      <c r="B26" s="670"/>
      <c r="C26" s="165" t="s">
        <v>439</v>
      </c>
      <c r="D26" s="467" t="s">
        <v>388</v>
      </c>
      <c r="E26" s="462"/>
      <c r="F26" s="463"/>
      <c r="G26" s="464">
        <v>19.171428571428571</v>
      </c>
      <c r="H26" s="464">
        <v>1201.1950999886933</v>
      </c>
      <c r="I26" s="464">
        <v>62.667937436771503</v>
      </c>
      <c r="J26" s="241" t="s">
        <v>853</v>
      </c>
      <c r="K26" s="654"/>
      <c r="L26" s="655"/>
      <c r="M26" s="152"/>
      <c r="P26" s="253"/>
      <c r="Q26" s="253"/>
      <c r="R26" s="253"/>
    </row>
    <row r="27" spans="1:18" ht="15.75" customHeight="1">
      <c r="A27" s="658"/>
      <c r="B27" s="670"/>
      <c r="C27" s="165" t="s">
        <v>440</v>
      </c>
      <c r="D27" s="467" t="s">
        <v>387</v>
      </c>
      <c r="E27" s="462"/>
      <c r="F27" s="463"/>
      <c r="G27" s="464">
        <v>18.188571428571429</v>
      </c>
      <c r="H27" s="464">
        <v>1142.0877708207656</v>
      </c>
      <c r="I27" s="464">
        <v>62.819145759362002</v>
      </c>
      <c r="J27" s="241" t="s">
        <v>853</v>
      </c>
      <c r="K27" s="656"/>
      <c r="L27" s="657"/>
      <c r="M27" s="152"/>
      <c r="P27" s="253"/>
      <c r="Q27" s="253"/>
      <c r="R27" s="253"/>
    </row>
    <row r="28" spans="1:18" ht="15.75" customHeight="1">
      <c r="A28" s="658"/>
      <c r="B28" s="670"/>
      <c r="C28" s="165" t="s">
        <v>441</v>
      </c>
      <c r="D28" s="468" t="s">
        <v>875</v>
      </c>
      <c r="E28" s="462"/>
      <c r="F28" s="463"/>
      <c r="G28" s="464">
        <v>18.028571428571428</v>
      </c>
      <c r="H28" s="464">
        <v>1171.045239361355</v>
      </c>
      <c r="I28" s="464">
        <v>64.954746030221614</v>
      </c>
      <c r="J28" s="466" t="s">
        <v>861</v>
      </c>
      <c r="K28" s="664" t="s">
        <v>876</v>
      </c>
      <c r="L28" s="648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5">
    <mergeCell ref="K18:L18"/>
    <mergeCell ref="K13:L13"/>
    <mergeCell ref="K14:L14"/>
    <mergeCell ref="K11:L12"/>
    <mergeCell ref="K8:L8"/>
    <mergeCell ref="K9:L9"/>
    <mergeCell ref="K15:L15"/>
    <mergeCell ref="K10:L10"/>
    <mergeCell ref="K16:L16"/>
    <mergeCell ref="K19:L23"/>
    <mergeCell ref="K24:L27"/>
    <mergeCell ref="A1:L2"/>
    <mergeCell ref="A3:L4"/>
    <mergeCell ref="A5:A6"/>
    <mergeCell ref="A7:B7"/>
    <mergeCell ref="D7:F7"/>
    <mergeCell ref="K7:L7"/>
    <mergeCell ref="A19:A28"/>
    <mergeCell ref="B19:B28"/>
    <mergeCell ref="K28:L28"/>
    <mergeCell ref="A8:A17"/>
    <mergeCell ref="B8:B17"/>
    <mergeCell ref="A18:B18"/>
    <mergeCell ref="D18:F18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3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3" ht="15.75" customHeight="1">
      <c r="A3" s="662" t="s">
        <v>204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152"/>
    </row>
    <row r="4" spans="1:13" s="121" customFormat="1" ht="15.75" customHeight="1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131"/>
    </row>
    <row r="5" spans="1:13" s="154" customFormat="1" ht="16.350000000000001" customHeight="1">
      <c r="A5" s="63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641"/>
      <c r="B6" s="157" t="s">
        <v>205</v>
      </c>
      <c r="C6" s="157" t="s">
        <v>151</v>
      </c>
      <c r="D6" s="157" t="s">
        <v>206</v>
      </c>
      <c r="E6" s="157" t="s">
        <v>153</v>
      </c>
      <c r="F6" s="158" t="s">
        <v>133</v>
      </c>
      <c r="G6" s="159" t="s">
        <v>131</v>
      </c>
      <c r="H6" s="167" t="s">
        <v>207</v>
      </c>
      <c r="I6" s="169" t="s">
        <v>208</v>
      </c>
      <c r="J6" s="159" t="s">
        <v>137</v>
      </c>
      <c r="K6" s="155"/>
      <c r="L6" s="155"/>
      <c r="M6" s="131"/>
    </row>
    <row r="7" spans="1:13" s="154" customFormat="1" ht="15.75" customHeight="1">
      <c r="A7" s="659" t="s">
        <v>714</v>
      </c>
      <c r="B7" s="660"/>
      <c r="C7" s="403" t="s">
        <v>715</v>
      </c>
      <c r="D7" s="659" t="s">
        <v>12</v>
      </c>
      <c r="E7" s="661"/>
      <c r="F7" s="660"/>
      <c r="G7" s="403" t="s">
        <v>716</v>
      </c>
      <c r="H7" s="403" t="s">
        <v>717</v>
      </c>
      <c r="I7" s="403" t="s">
        <v>718</v>
      </c>
      <c r="J7" s="222" t="s">
        <v>729</v>
      </c>
      <c r="K7" s="659" t="s">
        <v>720</v>
      </c>
      <c r="L7" s="660"/>
      <c r="M7" s="153"/>
    </row>
    <row r="8" spans="1:13" ht="15.75" customHeight="1">
      <c r="A8" s="639">
        <v>7</v>
      </c>
      <c r="B8" s="644" t="s">
        <v>135</v>
      </c>
      <c r="C8" s="404">
        <v>1</v>
      </c>
      <c r="D8" s="467" t="s">
        <v>557</v>
      </c>
      <c r="E8" s="462"/>
      <c r="F8" s="463"/>
      <c r="G8" s="464">
        <v>12.742857142857144</v>
      </c>
      <c r="H8" s="464">
        <v>1187.8152755251085</v>
      </c>
      <c r="I8" s="464">
        <v>93.373685432630623</v>
      </c>
      <c r="J8" s="241" t="s">
        <v>853</v>
      </c>
      <c r="K8" s="686"/>
      <c r="L8" s="687"/>
      <c r="M8" s="131"/>
    </row>
    <row r="9" spans="1:13" ht="15.75" customHeight="1">
      <c r="A9" s="640"/>
      <c r="B9" s="645"/>
      <c r="C9" s="404">
        <v>2</v>
      </c>
      <c r="D9" s="468" t="s">
        <v>795</v>
      </c>
      <c r="E9" s="462"/>
      <c r="F9" s="463"/>
      <c r="G9" s="464">
        <v>18</v>
      </c>
      <c r="H9" s="464">
        <v>1382.0213983958811</v>
      </c>
      <c r="I9" s="464">
        <v>76.778966577548957</v>
      </c>
      <c r="J9" s="465" t="s">
        <v>859</v>
      </c>
      <c r="K9" s="688" t="s">
        <v>877</v>
      </c>
      <c r="L9" s="689"/>
      <c r="M9" s="131"/>
    </row>
    <row r="10" spans="1:13" ht="15.75" customHeight="1">
      <c r="A10" s="640"/>
      <c r="B10" s="645"/>
      <c r="C10" s="404">
        <v>3</v>
      </c>
      <c r="D10" s="467" t="s">
        <v>664</v>
      </c>
      <c r="E10" s="462"/>
      <c r="F10" s="463"/>
      <c r="G10" s="464">
        <v>17.600000000000001</v>
      </c>
      <c r="H10" s="464">
        <v>1321.6626535465289</v>
      </c>
      <c r="I10" s="464">
        <v>75.169660649656237</v>
      </c>
      <c r="J10" s="241" t="s">
        <v>853</v>
      </c>
      <c r="K10" s="688"/>
      <c r="L10" s="689"/>
      <c r="M10" s="131"/>
    </row>
    <row r="11" spans="1:13" ht="15.75" customHeight="1">
      <c r="A11" s="640"/>
      <c r="B11" s="645"/>
      <c r="C11" s="404">
        <v>4</v>
      </c>
      <c r="D11" s="467" t="s">
        <v>611</v>
      </c>
      <c r="E11" s="462"/>
      <c r="F11" s="463"/>
      <c r="G11" s="464">
        <v>17.8</v>
      </c>
      <c r="H11" s="464">
        <v>1318.0042198645685</v>
      </c>
      <c r="I11" s="464">
        <v>74.095527056240229</v>
      </c>
      <c r="J11" s="465" t="s">
        <v>859</v>
      </c>
      <c r="K11" s="652" t="s">
        <v>862</v>
      </c>
      <c r="L11" s="653"/>
      <c r="M11" s="131"/>
    </row>
    <row r="12" spans="1:13" ht="15.75" customHeight="1">
      <c r="A12" s="640"/>
      <c r="B12" s="645"/>
      <c r="C12" s="404">
        <v>5</v>
      </c>
      <c r="D12" s="467" t="s">
        <v>598</v>
      </c>
      <c r="E12" s="462"/>
      <c r="F12" s="463"/>
      <c r="G12" s="464">
        <v>17.177142857142858</v>
      </c>
      <c r="H12" s="464">
        <v>1245.222414301312</v>
      </c>
      <c r="I12" s="464">
        <v>72.750162946477573</v>
      </c>
      <c r="J12" s="466" t="s">
        <v>861</v>
      </c>
      <c r="K12" s="656"/>
      <c r="L12" s="657"/>
      <c r="M12" s="131"/>
    </row>
    <row r="13" spans="1:13" ht="15.75" customHeight="1">
      <c r="A13" s="640"/>
      <c r="B13" s="645"/>
      <c r="C13" s="165" t="s">
        <v>722</v>
      </c>
      <c r="D13" s="468" t="s">
        <v>796</v>
      </c>
      <c r="E13" s="462"/>
      <c r="F13" s="463"/>
      <c r="G13" s="464">
        <v>19</v>
      </c>
      <c r="H13" s="464">
        <v>1080.7976773050977</v>
      </c>
      <c r="I13" s="464">
        <v>57.021005117780334</v>
      </c>
      <c r="J13" s="241" t="s">
        <v>853</v>
      </c>
      <c r="K13" s="690" t="s">
        <v>878</v>
      </c>
      <c r="L13" s="689"/>
      <c r="M13" s="131"/>
    </row>
    <row r="14" spans="1:13" ht="15.75" customHeight="1">
      <c r="A14" s="640"/>
      <c r="B14" s="645"/>
      <c r="C14" s="165" t="s">
        <v>723</v>
      </c>
      <c r="D14" s="467"/>
      <c r="E14" s="462"/>
      <c r="F14" s="463"/>
      <c r="G14" s="464"/>
      <c r="H14" s="464"/>
      <c r="I14" s="464"/>
      <c r="J14" s="241" t="s">
        <v>853</v>
      </c>
      <c r="K14" s="690"/>
      <c r="L14" s="689"/>
      <c r="M14" s="131"/>
    </row>
    <row r="15" spans="1:13" ht="15.75" customHeight="1">
      <c r="A15" s="640"/>
      <c r="B15" s="645"/>
      <c r="C15" s="165" t="s">
        <v>724</v>
      </c>
      <c r="D15" s="467"/>
      <c r="E15" s="462"/>
      <c r="F15" s="463"/>
      <c r="G15" s="464"/>
      <c r="H15" s="464"/>
      <c r="I15" s="464"/>
      <c r="J15" s="241" t="s">
        <v>853</v>
      </c>
      <c r="K15" s="690"/>
      <c r="L15" s="689"/>
      <c r="M15" s="131"/>
    </row>
    <row r="16" spans="1:13" ht="15.75" customHeight="1">
      <c r="A16" s="640"/>
      <c r="B16" s="645"/>
      <c r="C16" s="165" t="s">
        <v>726</v>
      </c>
      <c r="D16" s="467"/>
      <c r="E16" s="462"/>
      <c r="F16" s="463"/>
      <c r="G16" s="464"/>
      <c r="H16" s="464"/>
      <c r="I16" s="464"/>
      <c r="J16" s="241" t="s">
        <v>853</v>
      </c>
      <c r="K16" s="690"/>
      <c r="L16" s="689"/>
      <c r="M16" s="152"/>
    </row>
    <row r="17" spans="1:13" ht="15.75" customHeight="1">
      <c r="A17" s="641"/>
      <c r="B17" s="646"/>
      <c r="C17" s="165" t="s">
        <v>727</v>
      </c>
      <c r="D17" s="467"/>
      <c r="E17" s="462"/>
      <c r="F17" s="463"/>
      <c r="G17" s="459"/>
      <c r="H17" s="459"/>
      <c r="I17" s="459"/>
      <c r="J17" s="459"/>
      <c r="K17" s="690"/>
      <c r="L17" s="689"/>
      <c r="M17" s="152"/>
    </row>
    <row r="18" spans="1:13" s="162" customFormat="1" ht="15.75" customHeight="1">
      <c r="A18" s="635" t="s">
        <v>714</v>
      </c>
      <c r="B18" s="636"/>
      <c r="C18" s="402" t="s">
        <v>715</v>
      </c>
      <c r="D18" s="635" t="s">
        <v>12</v>
      </c>
      <c r="E18" s="691"/>
      <c r="F18" s="636"/>
      <c r="G18" s="458" t="s">
        <v>863</v>
      </c>
      <c r="H18" s="458" t="s">
        <v>864</v>
      </c>
      <c r="I18" s="458" t="s">
        <v>865</v>
      </c>
      <c r="J18" s="222" t="s">
        <v>866</v>
      </c>
      <c r="K18" s="635" t="s">
        <v>867</v>
      </c>
      <c r="L18" s="636"/>
      <c r="M18" s="155"/>
    </row>
    <row r="19" spans="1:13" ht="15.75" customHeight="1">
      <c r="A19" s="639">
        <v>8</v>
      </c>
      <c r="B19" s="644" t="s">
        <v>136</v>
      </c>
      <c r="C19" s="404">
        <v>1</v>
      </c>
      <c r="D19" s="467" t="s">
        <v>394</v>
      </c>
      <c r="E19" s="462"/>
      <c r="F19" s="463"/>
      <c r="G19" s="464">
        <v>18.759999999999998</v>
      </c>
      <c r="H19" s="464">
        <v>2549.9390393945441</v>
      </c>
      <c r="I19" s="464">
        <v>135.97261496903724</v>
      </c>
      <c r="J19" s="465" t="s">
        <v>859</v>
      </c>
      <c r="K19" s="694" t="s">
        <v>879</v>
      </c>
      <c r="L19" s="672"/>
      <c r="M19" s="152"/>
    </row>
    <row r="20" spans="1:13" ht="15.75" customHeight="1">
      <c r="A20" s="640"/>
      <c r="B20" s="645"/>
      <c r="C20" s="404">
        <v>2</v>
      </c>
      <c r="D20" s="467" t="s">
        <v>392</v>
      </c>
      <c r="E20" s="462"/>
      <c r="F20" s="463"/>
      <c r="G20" s="464">
        <v>18.759999999999998</v>
      </c>
      <c r="H20" s="464">
        <v>2517.6164132298027</v>
      </c>
      <c r="I20" s="464">
        <v>134.23910110576122</v>
      </c>
      <c r="J20" s="241" t="s">
        <v>853</v>
      </c>
      <c r="K20" s="673"/>
      <c r="L20" s="674"/>
      <c r="M20" s="152"/>
    </row>
    <row r="21" spans="1:13" ht="15.75" customHeight="1">
      <c r="A21" s="640"/>
      <c r="B21" s="645"/>
      <c r="C21" s="404">
        <v>3</v>
      </c>
      <c r="D21" s="467" t="s">
        <v>393</v>
      </c>
      <c r="E21" s="462"/>
      <c r="F21" s="463"/>
      <c r="G21" s="464">
        <v>19</v>
      </c>
      <c r="H21" s="464">
        <v>2514.7951140770747</v>
      </c>
      <c r="I21" s="464">
        <v>132.35763758300396</v>
      </c>
      <c r="J21" s="466" t="s">
        <v>861</v>
      </c>
      <c r="K21" s="675"/>
      <c r="L21" s="676"/>
      <c r="M21" s="152"/>
    </row>
    <row r="22" spans="1:13" ht="15.75" customHeight="1">
      <c r="A22" s="640"/>
      <c r="B22" s="645"/>
      <c r="C22" s="404">
        <v>4</v>
      </c>
      <c r="D22" s="467" t="s">
        <v>391</v>
      </c>
      <c r="E22" s="462"/>
      <c r="F22" s="463"/>
      <c r="G22" s="464">
        <v>19.399999999999999</v>
      </c>
      <c r="H22" s="464">
        <v>2117.9287914254369</v>
      </c>
      <c r="I22" s="464">
        <v>109.23100169013546</v>
      </c>
      <c r="J22" s="241" t="s">
        <v>853</v>
      </c>
      <c r="K22" s="695"/>
      <c r="L22" s="696"/>
      <c r="M22" s="152"/>
    </row>
    <row r="23" spans="1:13" ht="15.75" customHeight="1">
      <c r="A23" s="640"/>
      <c r="B23" s="645"/>
      <c r="C23" s="404">
        <v>5</v>
      </c>
      <c r="D23" s="467" t="s">
        <v>565</v>
      </c>
      <c r="E23" s="462"/>
      <c r="F23" s="463"/>
      <c r="G23" s="464">
        <v>19.600000000000001</v>
      </c>
      <c r="H23" s="464">
        <v>1956.320841353526</v>
      </c>
      <c r="I23" s="464">
        <v>99.891309337521392</v>
      </c>
      <c r="J23" s="241" t="s">
        <v>853</v>
      </c>
      <c r="K23" s="695"/>
      <c r="L23" s="696"/>
      <c r="M23" s="152"/>
    </row>
    <row r="24" spans="1:13" ht="15.75" customHeight="1">
      <c r="A24" s="640"/>
      <c r="B24" s="645"/>
      <c r="C24" s="165" t="s">
        <v>722</v>
      </c>
      <c r="D24" s="392"/>
      <c r="E24" s="393"/>
      <c r="F24" s="394"/>
      <c r="G24" s="240"/>
      <c r="H24" s="240"/>
      <c r="I24" s="240"/>
      <c r="J24" s="242"/>
      <c r="K24" s="682"/>
      <c r="L24" s="684"/>
      <c r="M24" s="152"/>
    </row>
    <row r="25" spans="1:13" ht="15.75" customHeight="1">
      <c r="A25" s="640"/>
      <c r="B25" s="645"/>
      <c r="C25" s="165" t="s">
        <v>723</v>
      </c>
      <c r="D25" s="392"/>
      <c r="E25" s="393"/>
      <c r="F25" s="394"/>
      <c r="G25" s="240"/>
      <c r="H25" s="240"/>
      <c r="I25" s="240"/>
      <c r="J25" s="242"/>
      <c r="K25" s="692"/>
      <c r="L25" s="693"/>
      <c r="M25" s="152"/>
    </row>
    <row r="26" spans="1:13" ht="15.75" customHeight="1">
      <c r="A26" s="640"/>
      <c r="B26" s="645"/>
      <c r="C26" s="165" t="s">
        <v>724</v>
      </c>
      <c r="D26" s="392"/>
      <c r="E26" s="393"/>
      <c r="F26" s="394"/>
      <c r="G26" s="240"/>
      <c r="H26" s="240"/>
      <c r="I26" s="240"/>
      <c r="J26" s="242"/>
      <c r="K26" s="692"/>
      <c r="L26" s="693"/>
      <c r="M26" s="152"/>
    </row>
    <row r="27" spans="1:13" ht="15.75" customHeight="1">
      <c r="A27" s="640"/>
      <c r="B27" s="645"/>
      <c r="C27" s="165" t="s">
        <v>726</v>
      </c>
      <c r="D27" s="392"/>
      <c r="E27" s="393"/>
      <c r="F27" s="394"/>
      <c r="G27" s="406"/>
      <c r="H27" s="406"/>
      <c r="I27" s="406"/>
      <c r="J27" s="406"/>
      <c r="K27" s="692"/>
      <c r="L27" s="693"/>
      <c r="M27" s="152"/>
    </row>
    <row r="28" spans="1:13" ht="15.75" customHeight="1">
      <c r="A28" s="641"/>
      <c r="B28" s="646"/>
      <c r="C28" s="165" t="s">
        <v>727</v>
      </c>
      <c r="D28" s="392"/>
      <c r="E28" s="393"/>
      <c r="F28" s="394"/>
      <c r="G28" s="406"/>
      <c r="H28" s="406"/>
      <c r="I28" s="406"/>
      <c r="J28" s="406"/>
      <c r="K28" s="692"/>
      <c r="L28" s="693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K14:L14"/>
    <mergeCell ref="K19:L21"/>
    <mergeCell ref="K22:L22"/>
    <mergeCell ref="K23:L23"/>
    <mergeCell ref="K27:L27"/>
    <mergeCell ref="K26:L26"/>
    <mergeCell ref="A18:B18"/>
    <mergeCell ref="D18:F18"/>
    <mergeCell ref="K18:L18"/>
    <mergeCell ref="A19:A28"/>
    <mergeCell ref="B19:B28"/>
    <mergeCell ref="K28:L28"/>
    <mergeCell ref="K24:L24"/>
    <mergeCell ref="K25:L25"/>
    <mergeCell ref="A1:L2"/>
    <mergeCell ref="K8:L8"/>
    <mergeCell ref="K9:L9"/>
    <mergeCell ref="K16:L16"/>
    <mergeCell ref="A3:L4"/>
    <mergeCell ref="A5:A6"/>
    <mergeCell ref="A7:B7"/>
    <mergeCell ref="D7:F7"/>
    <mergeCell ref="K7:L7"/>
    <mergeCell ref="A8:A17"/>
    <mergeCell ref="B8:B17"/>
    <mergeCell ref="K10:L10"/>
    <mergeCell ref="K17:L17"/>
    <mergeCell ref="K11:L12"/>
    <mergeCell ref="K13:L13"/>
    <mergeCell ref="K15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N18" sqref="N1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120"/>
    </row>
    <row r="2" spans="1:13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</row>
    <row r="3" spans="1:13" ht="15.75" customHeight="1">
      <c r="A3" s="662" t="s">
        <v>204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152"/>
    </row>
    <row r="4" spans="1:13" s="121" customFormat="1" ht="15.75" customHeight="1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131"/>
    </row>
    <row r="5" spans="1:13" s="154" customFormat="1" ht="16.350000000000001" customHeight="1">
      <c r="A5" s="63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641"/>
      <c r="B6" s="157" t="s">
        <v>205</v>
      </c>
      <c r="C6" s="157" t="s">
        <v>151</v>
      </c>
      <c r="D6" s="157" t="s">
        <v>206</v>
      </c>
      <c r="E6" s="157" t="s">
        <v>153</v>
      </c>
      <c r="F6" s="158" t="s">
        <v>133</v>
      </c>
      <c r="G6" s="159" t="s">
        <v>131</v>
      </c>
      <c r="H6" s="160" t="s">
        <v>207</v>
      </c>
      <c r="I6" s="159" t="s">
        <v>208</v>
      </c>
      <c r="J6" s="169" t="s">
        <v>137</v>
      </c>
      <c r="K6" s="155"/>
      <c r="L6" s="155"/>
      <c r="M6" s="131"/>
    </row>
    <row r="7" spans="1:13" s="154" customFormat="1" ht="15.75" customHeight="1">
      <c r="A7" s="659" t="s">
        <v>714</v>
      </c>
      <c r="B7" s="660"/>
      <c r="C7" s="403" t="s">
        <v>715</v>
      </c>
      <c r="D7" s="659" t="s">
        <v>12</v>
      </c>
      <c r="E7" s="661"/>
      <c r="F7" s="660"/>
      <c r="G7" s="403" t="s">
        <v>716</v>
      </c>
      <c r="H7" s="403" t="s">
        <v>717</v>
      </c>
      <c r="I7" s="403" t="s">
        <v>718</v>
      </c>
      <c r="J7" s="222" t="s">
        <v>729</v>
      </c>
      <c r="K7" s="659" t="s">
        <v>720</v>
      </c>
      <c r="L7" s="660"/>
      <c r="M7" s="153"/>
    </row>
    <row r="8" spans="1:13" ht="15.75" customHeight="1">
      <c r="A8" s="639">
        <v>9</v>
      </c>
      <c r="B8" s="644" t="s">
        <v>137</v>
      </c>
      <c r="C8" s="404">
        <v>1</v>
      </c>
      <c r="D8" s="467" t="s">
        <v>442</v>
      </c>
      <c r="E8" s="462"/>
      <c r="F8" s="463"/>
      <c r="G8" s="464">
        <v>6.8114285714285714</v>
      </c>
      <c r="H8" s="464">
        <v>1468.7838941685218</v>
      </c>
      <c r="I8" s="464">
        <v>216.469726232011</v>
      </c>
      <c r="J8" s="465" t="s">
        <v>859</v>
      </c>
      <c r="K8" s="671" t="s">
        <v>880</v>
      </c>
      <c r="L8" s="672"/>
      <c r="M8" s="131"/>
    </row>
    <row r="9" spans="1:13" ht="15.75" customHeight="1">
      <c r="A9" s="640"/>
      <c r="B9" s="645"/>
      <c r="C9" s="404">
        <v>2</v>
      </c>
      <c r="D9" s="467" t="s">
        <v>397</v>
      </c>
      <c r="E9" s="462"/>
      <c r="F9" s="463"/>
      <c r="G9" s="464">
        <v>6.8114285714285714</v>
      </c>
      <c r="H9" s="464">
        <v>1462.3479351049505</v>
      </c>
      <c r="I9" s="464">
        <v>215.44008984635042</v>
      </c>
      <c r="J9" s="466" t="s">
        <v>861</v>
      </c>
      <c r="K9" s="675"/>
      <c r="L9" s="676"/>
      <c r="M9" s="131"/>
    </row>
    <row r="10" spans="1:13" ht="15.75" customHeight="1">
      <c r="A10" s="640"/>
      <c r="B10" s="645"/>
      <c r="C10" s="404">
        <v>3</v>
      </c>
      <c r="D10" s="467" t="s">
        <v>852</v>
      </c>
      <c r="E10" s="462"/>
      <c r="F10" s="463"/>
      <c r="G10" s="464">
        <v>6</v>
      </c>
      <c r="H10" s="464">
        <v>1259.2805004227671</v>
      </c>
      <c r="I10" s="464">
        <v>209.88008340379452</v>
      </c>
      <c r="J10" s="241" t="s">
        <v>853</v>
      </c>
      <c r="K10" s="690"/>
      <c r="L10" s="689"/>
      <c r="M10" s="131"/>
    </row>
    <row r="11" spans="1:13" ht="15.75" customHeight="1">
      <c r="A11" s="640"/>
      <c r="B11" s="645"/>
      <c r="C11" s="404">
        <v>4</v>
      </c>
      <c r="D11" s="468" t="s">
        <v>396</v>
      </c>
      <c r="E11" s="462"/>
      <c r="F11" s="463"/>
      <c r="G11" s="464">
        <v>6.8114285714285714</v>
      </c>
      <c r="H11" s="464">
        <v>1319.9744934866344</v>
      </c>
      <c r="I11" s="464">
        <v>194.52669921611974</v>
      </c>
      <c r="J11" s="466" t="s">
        <v>861</v>
      </c>
      <c r="K11" s="688" t="s">
        <v>881</v>
      </c>
      <c r="L11" s="689"/>
      <c r="M11" s="131"/>
    </row>
    <row r="12" spans="1:13" ht="15.75" customHeight="1">
      <c r="A12" s="640"/>
      <c r="B12" s="645"/>
      <c r="C12" s="404">
        <v>5</v>
      </c>
      <c r="D12" s="467" t="s">
        <v>398</v>
      </c>
      <c r="E12" s="462"/>
      <c r="F12" s="463"/>
      <c r="G12" s="464">
        <v>16.731428571428573</v>
      </c>
      <c r="H12" s="464">
        <v>1151.501994644889</v>
      </c>
      <c r="I12" s="464">
        <v>68.876672157345624</v>
      </c>
      <c r="J12" s="241" t="s">
        <v>853</v>
      </c>
      <c r="K12" s="690"/>
      <c r="L12" s="689"/>
      <c r="M12" s="131"/>
    </row>
    <row r="13" spans="1:13" ht="15.75" customHeight="1">
      <c r="A13" s="640"/>
      <c r="B13" s="645"/>
      <c r="C13" s="165" t="s">
        <v>722</v>
      </c>
      <c r="D13" s="467" t="s">
        <v>488</v>
      </c>
      <c r="E13" s="462"/>
      <c r="F13" s="463"/>
      <c r="G13" s="464">
        <v>19.474285714285713</v>
      </c>
      <c r="H13" s="464">
        <v>1061.9355099763779</v>
      </c>
      <c r="I13" s="464">
        <v>54.643838333940302</v>
      </c>
      <c r="J13" s="241" t="s">
        <v>853</v>
      </c>
      <c r="K13" s="686"/>
      <c r="L13" s="687"/>
      <c r="M13" s="131"/>
    </row>
    <row r="14" spans="1:13" ht="15.75" customHeight="1">
      <c r="A14" s="640"/>
      <c r="B14" s="645"/>
      <c r="C14" s="165" t="s">
        <v>723</v>
      </c>
      <c r="D14" s="467" t="s">
        <v>346</v>
      </c>
      <c r="E14" s="462"/>
      <c r="F14" s="463"/>
      <c r="G14" s="464">
        <v>18.542857142857141</v>
      </c>
      <c r="H14" s="464">
        <v>1274.7074172240189</v>
      </c>
      <c r="I14" s="464">
        <v>68.782497993274347</v>
      </c>
      <c r="J14" s="241" t="s">
        <v>853</v>
      </c>
      <c r="K14" s="690"/>
      <c r="L14" s="689"/>
      <c r="M14" s="131"/>
    </row>
    <row r="15" spans="1:13" ht="15.75" customHeight="1">
      <c r="A15" s="640"/>
      <c r="B15" s="645"/>
      <c r="C15" s="165" t="s">
        <v>724</v>
      </c>
      <c r="D15" s="392"/>
      <c r="E15" s="393"/>
      <c r="F15" s="394"/>
      <c r="G15" s="240"/>
      <c r="H15" s="240"/>
      <c r="I15" s="240"/>
      <c r="J15" s="241"/>
      <c r="K15" s="698"/>
      <c r="L15" s="699"/>
      <c r="M15" s="131"/>
    </row>
    <row r="16" spans="1:13" ht="15.75" customHeight="1">
      <c r="A16" s="640"/>
      <c r="B16" s="645"/>
      <c r="C16" s="165" t="s">
        <v>726</v>
      </c>
      <c r="D16" s="392"/>
      <c r="E16" s="393"/>
      <c r="F16" s="394"/>
      <c r="G16" s="240"/>
      <c r="H16" s="240"/>
      <c r="I16" s="240"/>
      <c r="J16" s="241"/>
      <c r="K16" s="697"/>
      <c r="L16" s="684"/>
      <c r="M16" s="152"/>
    </row>
    <row r="17" spans="1:13" ht="15.75" customHeight="1">
      <c r="A17" s="641"/>
      <c r="B17" s="646"/>
      <c r="C17" s="165" t="s">
        <v>727</v>
      </c>
      <c r="D17" s="392"/>
      <c r="E17" s="393"/>
      <c r="F17" s="394"/>
      <c r="G17" s="406"/>
      <c r="H17" s="406"/>
      <c r="I17" s="406"/>
      <c r="J17" s="406"/>
      <c r="K17" s="692"/>
      <c r="L17" s="693"/>
      <c r="M17" s="152"/>
    </row>
    <row r="18" spans="1:13" s="162" customFormat="1" ht="15.75" customHeight="1">
      <c r="A18" s="635" t="s">
        <v>186</v>
      </c>
      <c r="B18" s="636"/>
      <c r="C18" s="268" t="s">
        <v>436</v>
      </c>
      <c r="D18" s="635" t="s">
        <v>12</v>
      </c>
      <c r="E18" s="691"/>
      <c r="F18" s="636"/>
      <c r="G18" s="268" t="s">
        <v>431</v>
      </c>
      <c r="H18" s="268" t="s">
        <v>432</v>
      </c>
      <c r="I18" s="268" t="s">
        <v>433</v>
      </c>
      <c r="J18" s="222" t="s">
        <v>434</v>
      </c>
      <c r="K18" s="635" t="s">
        <v>435</v>
      </c>
      <c r="L18" s="636"/>
      <c r="M18" s="155"/>
    </row>
    <row r="19" spans="1:13" ht="15.75" customHeight="1">
      <c r="A19" s="639"/>
      <c r="B19" s="644"/>
      <c r="C19" s="267">
        <v>1</v>
      </c>
      <c r="D19" s="682"/>
      <c r="E19" s="683"/>
      <c r="F19" s="684"/>
      <c r="G19" s="266"/>
      <c r="H19" s="266"/>
      <c r="I19" s="266"/>
      <c r="J19" s="266"/>
      <c r="K19" s="682"/>
      <c r="L19" s="684"/>
      <c r="M19" s="152"/>
    </row>
    <row r="20" spans="1:13" ht="15.75" customHeight="1">
      <c r="A20" s="640"/>
      <c r="B20" s="645"/>
      <c r="C20" s="267">
        <v>2</v>
      </c>
      <c r="D20" s="692"/>
      <c r="E20" s="700"/>
      <c r="F20" s="693"/>
      <c r="G20" s="266"/>
      <c r="H20" s="266"/>
      <c r="I20" s="266"/>
      <c r="J20" s="266"/>
      <c r="K20" s="692"/>
      <c r="L20" s="693"/>
      <c r="M20" s="152"/>
    </row>
    <row r="21" spans="1:13" ht="15.75" customHeight="1">
      <c r="A21" s="640"/>
      <c r="B21" s="645"/>
      <c r="C21" s="267">
        <v>3</v>
      </c>
      <c r="D21" s="692"/>
      <c r="E21" s="700"/>
      <c r="F21" s="693"/>
      <c r="G21" s="266"/>
      <c r="H21" s="266"/>
      <c r="I21" s="266"/>
      <c r="J21" s="266"/>
      <c r="K21" s="692"/>
      <c r="L21" s="693"/>
      <c r="M21" s="152"/>
    </row>
    <row r="22" spans="1:13" ht="15.75" customHeight="1">
      <c r="A22" s="640"/>
      <c r="B22" s="645"/>
      <c r="C22" s="267">
        <v>4</v>
      </c>
      <c r="D22" s="692"/>
      <c r="E22" s="700"/>
      <c r="F22" s="693"/>
      <c r="G22" s="266"/>
      <c r="H22" s="266"/>
      <c r="I22" s="266"/>
      <c r="J22" s="266"/>
      <c r="K22" s="692"/>
      <c r="L22" s="693"/>
      <c r="M22" s="152"/>
    </row>
    <row r="23" spans="1:13" ht="15.75" customHeight="1">
      <c r="A23" s="640"/>
      <c r="B23" s="645"/>
      <c r="C23" s="267">
        <v>5</v>
      </c>
      <c r="D23" s="692"/>
      <c r="E23" s="700"/>
      <c r="F23" s="693"/>
      <c r="G23" s="266"/>
      <c r="H23" s="266"/>
      <c r="I23" s="266"/>
      <c r="J23" s="266"/>
      <c r="K23" s="692"/>
      <c r="L23" s="693"/>
      <c r="M23" s="152"/>
    </row>
    <row r="24" spans="1:13" ht="15.75" customHeight="1">
      <c r="A24" s="640"/>
      <c r="B24" s="645"/>
      <c r="C24" s="165" t="s">
        <v>437</v>
      </c>
      <c r="D24" s="682"/>
      <c r="E24" s="683"/>
      <c r="F24" s="684"/>
      <c r="G24" s="266"/>
      <c r="H24" s="266"/>
      <c r="I24" s="266"/>
      <c r="J24" s="266"/>
      <c r="K24" s="682"/>
      <c r="L24" s="684"/>
      <c r="M24" s="152"/>
    </row>
    <row r="25" spans="1:13" ht="15.75" customHeight="1">
      <c r="A25" s="640"/>
      <c r="B25" s="645"/>
      <c r="C25" s="165" t="s">
        <v>438</v>
      </c>
      <c r="D25" s="692"/>
      <c r="E25" s="700"/>
      <c r="F25" s="693"/>
      <c r="G25" s="266"/>
      <c r="H25" s="266"/>
      <c r="I25" s="266"/>
      <c r="J25" s="266"/>
      <c r="K25" s="692"/>
      <c r="L25" s="693"/>
      <c r="M25" s="152"/>
    </row>
    <row r="26" spans="1:13" ht="15.75" customHeight="1">
      <c r="A26" s="640"/>
      <c r="B26" s="645"/>
      <c r="C26" s="165" t="s">
        <v>439</v>
      </c>
      <c r="D26" s="692"/>
      <c r="E26" s="700"/>
      <c r="F26" s="693"/>
      <c r="G26" s="266"/>
      <c r="H26" s="266"/>
      <c r="I26" s="266"/>
      <c r="J26" s="266"/>
      <c r="K26" s="692"/>
      <c r="L26" s="693"/>
      <c r="M26" s="152"/>
    </row>
    <row r="27" spans="1:13" ht="15.75" customHeight="1">
      <c r="A27" s="640"/>
      <c r="B27" s="645"/>
      <c r="C27" s="165" t="s">
        <v>440</v>
      </c>
      <c r="D27" s="692"/>
      <c r="E27" s="700"/>
      <c r="F27" s="693"/>
      <c r="G27" s="266"/>
      <c r="H27" s="266"/>
      <c r="I27" s="266"/>
      <c r="J27" s="266"/>
      <c r="K27" s="692"/>
      <c r="L27" s="693"/>
      <c r="M27" s="152"/>
    </row>
    <row r="28" spans="1:13" ht="15.75" customHeight="1">
      <c r="A28" s="641"/>
      <c r="B28" s="646"/>
      <c r="C28" s="165" t="s">
        <v>441</v>
      </c>
      <c r="D28" s="692"/>
      <c r="E28" s="700"/>
      <c r="F28" s="693"/>
      <c r="G28" s="266"/>
      <c r="H28" s="266"/>
      <c r="I28" s="266"/>
      <c r="J28" s="266"/>
      <c r="K28" s="692"/>
      <c r="L28" s="693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2">
    <mergeCell ref="D28:F28"/>
    <mergeCell ref="K28:L28"/>
    <mergeCell ref="K21:L21"/>
    <mergeCell ref="D22:F22"/>
    <mergeCell ref="K22:L22"/>
    <mergeCell ref="D23:F23"/>
    <mergeCell ref="K23:L23"/>
    <mergeCell ref="D24:F24"/>
    <mergeCell ref="D27:F27"/>
    <mergeCell ref="K27:L2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A8:A17"/>
    <mergeCell ref="B8:B17"/>
    <mergeCell ref="K11:L11"/>
    <mergeCell ref="K12:L12"/>
    <mergeCell ref="K16:L16"/>
    <mergeCell ref="K17:L17"/>
    <mergeCell ref="K13:L13"/>
    <mergeCell ref="K14:L14"/>
    <mergeCell ref="K15:L15"/>
    <mergeCell ref="K8:L9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03" t="s">
        <v>233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</row>
    <row r="2" spans="1:14" s="184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</row>
    <row r="3" spans="1:14" ht="15.75" customHeight="1">
      <c r="A3" s="704" t="s">
        <v>234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185"/>
    </row>
    <row r="4" spans="1:14" s="184" customFormat="1" ht="15.75" customHeight="1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  <c r="N4" s="186"/>
    </row>
    <row r="5" spans="1:14" ht="15.75" customHeight="1">
      <c r="A5" s="187" t="s">
        <v>235</v>
      </c>
      <c r="B5" s="188">
        <v>212376150</v>
      </c>
    </row>
    <row r="6" spans="1:14" ht="15.75" customHeight="1">
      <c r="A6" s="705" t="s">
        <v>236</v>
      </c>
      <c r="B6" s="706" t="s">
        <v>10</v>
      </c>
      <c r="C6" s="706"/>
      <c r="D6" s="707"/>
      <c r="E6" s="705" t="s">
        <v>236</v>
      </c>
      <c r="F6" s="709">
        <v>1</v>
      </c>
      <c r="G6" s="709"/>
      <c r="H6" s="709">
        <v>2</v>
      </c>
      <c r="I6" s="709"/>
      <c r="J6" s="709">
        <v>3</v>
      </c>
      <c r="K6" s="709"/>
      <c r="L6" s="709">
        <v>4</v>
      </c>
      <c r="M6" s="709"/>
    </row>
    <row r="7" spans="1:14" ht="31.35" customHeight="1">
      <c r="A7" s="705"/>
      <c r="B7" s="706"/>
      <c r="C7" s="706"/>
      <c r="D7" s="708"/>
      <c r="E7" s="705"/>
      <c r="F7" s="701" t="s">
        <v>247</v>
      </c>
      <c r="G7" s="701"/>
      <c r="H7" s="701" t="s">
        <v>237</v>
      </c>
      <c r="I7" s="701"/>
      <c r="J7" s="701" t="s">
        <v>238</v>
      </c>
      <c r="K7" s="701"/>
      <c r="L7" s="701" t="s">
        <v>239</v>
      </c>
      <c r="M7" s="701"/>
    </row>
    <row r="8" spans="1:14" ht="15.75" customHeight="1">
      <c r="A8" s="705"/>
      <c r="B8" s="216" t="s">
        <v>11</v>
      </c>
      <c r="C8" s="216" t="s">
        <v>240</v>
      </c>
      <c r="D8" s="708"/>
      <c r="E8" s="705"/>
      <c r="F8" s="216" t="s">
        <v>11</v>
      </c>
      <c r="G8" s="216" t="s">
        <v>240</v>
      </c>
      <c r="H8" s="216" t="s">
        <v>11</v>
      </c>
      <c r="I8" s="216" t="s">
        <v>240</v>
      </c>
      <c r="J8" s="216" t="s">
        <v>11</v>
      </c>
      <c r="K8" s="216" t="s">
        <v>240</v>
      </c>
      <c r="L8" s="216" t="s">
        <v>11</v>
      </c>
      <c r="M8" s="216" t="s">
        <v>240</v>
      </c>
    </row>
    <row r="9" spans="1:14" s="194" customFormat="1" ht="19.350000000000001" customHeight="1">
      <c r="A9" s="189" t="s">
        <v>241</v>
      </c>
      <c r="B9" s="190">
        <v>47927.00699999994</v>
      </c>
      <c r="C9" s="191">
        <f>B9/$B$5</f>
        <v>2.256703824793883E-4</v>
      </c>
      <c r="D9" s="708"/>
      <c r="E9" s="189" t="s">
        <v>241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242</v>
      </c>
      <c r="B10" s="196">
        <v>69974.579191980054</v>
      </c>
      <c r="C10" s="191">
        <f>B10/$B$5</f>
        <v>3.2948416849999424E-4</v>
      </c>
      <c r="D10" s="708"/>
      <c r="E10" s="195" t="s">
        <v>242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08"/>
      <c r="E11" s="705" t="s">
        <v>236</v>
      </c>
      <c r="F11" s="709">
        <v>5</v>
      </c>
      <c r="G11" s="709"/>
      <c r="H11" s="709">
        <v>6</v>
      </c>
      <c r="I11" s="709"/>
      <c r="J11" s="709">
        <v>7</v>
      </c>
      <c r="K11" s="709"/>
      <c r="L11" s="710">
        <v>8</v>
      </c>
      <c r="M11" s="710"/>
    </row>
    <row r="12" spans="1:14" ht="31.35" customHeight="1">
      <c r="D12" s="708"/>
      <c r="E12" s="705"/>
      <c r="F12" s="701" t="s">
        <v>243</v>
      </c>
      <c r="G12" s="701"/>
      <c r="H12" s="701" t="s">
        <v>244</v>
      </c>
      <c r="I12" s="701"/>
      <c r="J12" s="701" t="s">
        <v>245</v>
      </c>
      <c r="K12" s="701"/>
      <c r="L12" s="702" t="s">
        <v>246</v>
      </c>
      <c r="M12" s="702"/>
    </row>
    <row r="13" spans="1:14" ht="15.75" customHeight="1">
      <c r="D13" s="708"/>
      <c r="E13" s="705"/>
      <c r="F13" s="216" t="s">
        <v>11</v>
      </c>
      <c r="G13" s="216" t="s">
        <v>240</v>
      </c>
      <c r="H13" s="216" t="s">
        <v>11</v>
      </c>
      <c r="I13" s="216" t="s">
        <v>240</v>
      </c>
      <c r="J13" s="216" t="s">
        <v>11</v>
      </c>
      <c r="K13" s="216" t="s">
        <v>240</v>
      </c>
      <c r="L13" s="216" t="s">
        <v>11</v>
      </c>
      <c r="M13" s="216" t="s">
        <v>240</v>
      </c>
    </row>
    <row r="14" spans="1:14" s="194" customFormat="1" ht="19.350000000000001" customHeight="1">
      <c r="D14" s="708"/>
      <c r="E14" s="189" t="s">
        <v>241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708"/>
      <c r="E15" s="195" t="s">
        <v>242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M15"/>
  <sheetViews>
    <sheetView zoomScale="110" zoomScaleNormal="110" zoomScaleSheetLayoutView="115" workbookViewId="0">
      <selection activeCell="K20" sqref="K20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3" ht="15.75" customHeight="1">
      <c r="A1" s="703" t="s">
        <v>233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</row>
    <row r="2" spans="1:13" s="184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</row>
    <row r="3" spans="1:13" ht="15.75" customHeight="1">
      <c r="A3" s="704" t="s">
        <v>882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</row>
    <row r="4" spans="1:13" ht="15.75" customHeight="1" thickBot="1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</row>
    <row r="5" spans="1:13" ht="15.75" customHeight="1">
      <c r="A5" s="407" t="s">
        <v>665</v>
      </c>
      <c r="B5" s="408">
        <v>204598724</v>
      </c>
      <c r="C5" s="409"/>
      <c r="E5" s="721" t="s">
        <v>666</v>
      </c>
      <c r="F5" s="721"/>
      <c r="G5" s="721"/>
      <c r="H5" s="721"/>
      <c r="I5" s="721"/>
      <c r="J5" s="721"/>
      <c r="K5" s="721"/>
      <c r="L5" s="721"/>
      <c r="M5" s="722"/>
    </row>
    <row r="6" spans="1:13" ht="15.75" customHeight="1">
      <c r="A6" s="719" t="s">
        <v>667</v>
      </c>
      <c r="B6" s="706" t="s">
        <v>10</v>
      </c>
      <c r="C6" s="706"/>
      <c r="D6" s="708"/>
      <c r="E6" s="705" t="s">
        <v>667</v>
      </c>
      <c r="F6" s="709">
        <v>1</v>
      </c>
      <c r="G6" s="709"/>
      <c r="H6" s="709">
        <v>2</v>
      </c>
      <c r="I6" s="709"/>
      <c r="J6" s="709">
        <v>3</v>
      </c>
      <c r="K6" s="709"/>
      <c r="L6" s="709">
        <v>4</v>
      </c>
      <c r="M6" s="724"/>
    </row>
    <row r="7" spans="1:13" ht="15.75" customHeight="1">
      <c r="A7" s="719"/>
      <c r="B7" s="706"/>
      <c r="C7" s="706"/>
      <c r="D7" s="708"/>
      <c r="E7" s="705"/>
      <c r="F7" s="701" t="s">
        <v>668</v>
      </c>
      <c r="G7" s="701"/>
      <c r="H7" s="701" t="s">
        <v>669</v>
      </c>
      <c r="I7" s="701"/>
      <c r="J7" s="701" t="s">
        <v>670</v>
      </c>
      <c r="K7" s="701"/>
      <c r="L7" s="701" t="s">
        <v>671</v>
      </c>
      <c r="M7" s="723"/>
    </row>
    <row r="8" spans="1:13" ht="15.75" customHeight="1">
      <c r="A8" s="719"/>
      <c r="B8" s="399" t="s">
        <v>11</v>
      </c>
      <c r="C8" s="399" t="s">
        <v>672</v>
      </c>
      <c r="D8" s="708"/>
      <c r="E8" s="705"/>
      <c r="F8" s="399" t="s">
        <v>11</v>
      </c>
      <c r="G8" s="399" t="s">
        <v>672</v>
      </c>
      <c r="H8" s="399" t="s">
        <v>11</v>
      </c>
      <c r="I8" s="399" t="s">
        <v>672</v>
      </c>
      <c r="J8" s="399" t="s">
        <v>11</v>
      </c>
      <c r="K8" s="399" t="s">
        <v>672</v>
      </c>
      <c r="L8" s="399" t="s">
        <v>11</v>
      </c>
      <c r="M8" s="410" t="s">
        <v>672</v>
      </c>
    </row>
    <row r="9" spans="1:13" ht="15.75" customHeight="1">
      <c r="A9" s="411" t="s">
        <v>673</v>
      </c>
      <c r="B9" s="412">
        <v>502130.49099999998</v>
      </c>
      <c r="C9" s="191">
        <f>B9/$B$5</f>
        <v>2.4542210292572498E-3</v>
      </c>
      <c r="D9" s="708"/>
      <c r="E9" s="189" t="s">
        <v>673</v>
      </c>
      <c r="F9" s="413">
        <v>7905.7939999999999</v>
      </c>
      <c r="G9" s="193">
        <f>F9/$B9</f>
        <v>1.5744500964790048E-2</v>
      </c>
      <c r="H9" s="413">
        <v>5263.0239999999994</v>
      </c>
      <c r="I9" s="193">
        <f>H9/$B9</f>
        <v>1.0481386998663659E-2</v>
      </c>
      <c r="J9" s="413">
        <v>7892.3750000000009</v>
      </c>
      <c r="K9" s="193">
        <f>J9/$B9</f>
        <v>1.5717776835822546E-2</v>
      </c>
      <c r="L9" s="413">
        <v>25461.569000000003</v>
      </c>
      <c r="M9" s="414">
        <f>L9/$B9</f>
        <v>5.0707076061628775E-2</v>
      </c>
    </row>
    <row r="10" spans="1:13" ht="15.75" customHeight="1">
      <c r="A10" s="415" t="s">
        <v>674</v>
      </c>
      <c r="B10" s="416">
        <v>453775.93712824926</v>
      </c>
      <c r="C10" s="191">
        <f>B10/$B$5</f>
        <v>2.2178825373722726E-3</v>
      </c>
      <c r="D10" s="708"/>
      <c r="E10" s="195" t="s">
        <v>674</v>
      </c>
      <c r="F10" s="413">
        <v>4931.9325599999775</v>
      </c>
      <c r="G10" s="193">
        <f>F10/$B10</f>
        <v>1.0868651588737904E-2</v>
      </c>
      <c r="H10" s="413">
        <v>0</v>
      </c>
      <c r="I10" s="193">
        <f>H10/$B10</f>
        <v>0</v>
      </c>
      <c r="J10" s="413">
        <v>9850.0558999999448</v>
      </c>
      <c r="K10" s="193">
        <f>J10/$B10</f>
        <v>2.1706871374310124E-2</v>
      </c>
      <c r="L10" s="413">
        <v>65939.606659999903</v>
      </c>
      <c r="M10" s="414">
        <f>L10/$B10</f>
        <v>0.14531314083620878</v>
      </c>
    </row>
    <row r="11" spans="1:13" ht="15.75" customHeight="1">
      <c r="A11" s="417"/>
      <c r="B11" s="185"/>
      <c r="C11" s="185"/>
      <c r="D11" s="708"/>
      <c r="E11" s="705" t="s">
        <v>667</v>
      </c>
      <c r="F11" s="711">
        <v>5</v>
      </c>
      <c r="G11" s="712"/>
      <c r="H11" s="711">
        <v>6</v>
      </c>
      <c r="I11" s="712"/>
      <c r="J11" s="711">
        <v>7</v>
      </c>
      <c r="K11" s="712"/>
      <c r="L11" s="713">
        <v>8</v>
      </c>
      <c r="M11" s="714"/>
    </row>
    <row r="12" spans="1:13" ht="15.75" customHeight="1">
      <c r="A12" s="417"/>
      <c r="B12" s="185"/>
      <c r="C12" s="185"/>
      <c r="D12" s="708"/>
      <c r="E12" s="705"/>
      <c r="F12" s="715" t="s">
        <v>675</v>
      </c>
      <c r="G12" s="716"/>
      <c r="H12" s="715" t="s">
        <v>676</v>
      </c>
      <c r="I12" s="716"/>
      <c r="J12" s="715" t="s">
        <v>677</v>
      </c>
      <c r="K12" s="716"/>
      <c r="L12" s="717" t="s">
        <v>678</v>
      </c>
      <c r="M12" s="718"/>
    </row>
    <row r="13" spans="1:13" ht="15.75" customHeight="1">
      <c r="A13" s="417"/>
      <c r="B13" s="185"/>
      <c r="C13" s="185"/>
      <c r="D13" s="708"/>
      <c r="E13" s="705"/>
      <c r="F13" s="399" t="s">
        <v>11</v>
      </c>
      <c r="G13" s="399" t="s">
        <v>672</v>
      </c>
      <c r="H13" s="399" t="s">
        <v>11</v>
      </c>
      <c r="I13" s="399" t="s">
        <v>672</v>
      </c>
      <c r="J13" s="399" t="s">
        <v>11</v>
      </c>
      <c r="K13" s="399" t="s">
        <v>672</v>
      </c>
      <c r="L13" s="399" t="s">
        <v>11</v>
      </c>
      <c r="M13" s="410" t="s">
        <v>672</v>
      </c>
    </row>
    <row r="14" spans="1:13" ht="15.75" customHeight="1">
      <c r="A14" s="418"/>
      <c r="B14" s="419"/>
      <c r="C14" s="419"/>
      <c r="D14" s="708"/>
      <c r="E14" s="189" t="s">
        <v>673</v>
      </c>
      <c r="F14" s="413">
        <v>8550.4119999999984</v>
      </c>
      <c r="G14" s="193">
        <f>F14/$B9</f>
        <v>1.7028266861412324E-2</v>
      </c>
      <c r="H14" s="413">
        <v>3228.0000000000009</v>
      </c>
      <c r="I14" s="193">
        <f>H14/$B9</f>
        <v>6.4286078178032828E-3</v>
      </c>
      <c r="J14" s="413">
        <v>0</v>
      </c>
      <c r="K14" s="193">
        <f>J14/$B9</f>
        <v>0</v>
      </c>
      <c r="L14" s="413">
        <v>0</v>
      </c>
      <c r="M14" s="414">
        <f>L14/$B9</f>
        <v>0</v>
      </c>
    </row>
    <row r="15" spans="1:13" ht="15.75" customHeight="1" thickBot="1">
      <c r="A15" s="420"/>
      <c r="B15" s="421"/>
      <c r="C15" s="421"/>
      <c r="D15" s="720"/>
      <c r="E15" s="422" t="s">
        <v>674</v>
      </c>
      <c r="F15" s="423">
        <v>16660.732110000081</v>
      </c>
      <c r="G15" s="424">
        <f>F15/$B10</f>
        <v>3.6715768172809284E-2</v>
      </c>
      <c r="H15" s="423">
        <v>11781.031560000029</v>
      </c>
      <c r="I15" s="424">
        <f>H15/$B10</f>
        <v>2.5962221872224116E-2</v>
      </c>
      <c r="J15" s="423">
        <v>0</v>
      </c>
      <c r="K15" s="424">
        <f>J15/$B10</f>
        <v>0</v>
      </c>
      <c r="L15" s="423">
        <v>0</v>
      </c>
      <c r="M15" s="425">
        <f>L15/$B10</f>
        <v>0</v>
      </c>
    </row>
  </sheetData>
  <mergeCells count="24">
    <mergeCell ref="E5:M5"/>
    <mergeCell ref="F7:G7"/>
    <mergeCell ref="H7:I7"/>
    <mergeCell ref="J7:K7"/>
    <mergeCell ref="L7:M7"/>
    <mergeCell ref="H6:I6"/>
    <mergeCell ref="J6:K6"/>
    <mergeCell ref="L6:M6"/>
    <mergeCell ref="E11:E13"/>
    <mergeCell ref="F11:G11"/>
    <mergeCell ref="H11:I11"/>
    <mergeCell ref="A1:M2"/>
    <mergeCell ref="J11:K11"/>
    <mergeCell ref="L11:M11"/>
    <mergeCell ref="F12:G12"/>
    <mergeCell ref="H12:I12"/>
    <mergeCell ref="J12:K12"/>
    <mergeCell ref="L12:M12"/>
    <mergeCell ref="A3:M4"/>
    <mergeCell ref="A6:A8"/>
    <mergeCell ref="B6:C7"/>
    <mergeCell ref="D6:D15"/>
    <mergeCell ref="E6:E8"/>
    <mergeCell ref="F6:G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662" t="s">
        <v>209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152"/>
    </row>
    <row r="4" spans="1:17" s="12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131"/>
    </row>
    <row r="5" spans="1:17" ht="15.75" customHeight="1">
      <c r="A5" s="531" t="s">
        <v>189</v>
      </c>
      <c r="B5" s="755">
        <v>1</v>
      </c>
      <c r="C5" s="755"/>
      <c r="D5" s="755">
        <v>2</v>
      </c>
      <c r="E5" s="755"/>
      <c r="F5" s="755">
        <v>3</v>
      </c>
      <c r="G5" s="755"/>
      <c r="H5" s="751">
        <v>4</v>
      </c>
      <c r="I5" s="751"/>
      <c r="J5" s="751">
        <v>5</v>
      </c>
      <c r="K5" s="751"/>
      <c r="L5" s="751">
        <v>6</v>
      </c>
      <c r="M5" s="751"/>
      <c r="N5" s="751">
        <v>7</v>
      </c>
      <c r="O5" s="751"/>
      <c r="P5" s="751">
        <v>8</v>
      </c>
      <c r="Q5" s="751"/>
    </row>
    <row r="6" spans="1:17" ht="15.75" customHeight="1">
      <c r="A6" s="531"/>
      <c r="B6" s="756" t="s">
        <v>318</v>
      </c>
      <c r="C6" s="756"/>
      <c r="D6" s="756" t="s">
        <v>210</v>
      </c>
      <c r="E6" s="756"/>
      <c r="F6" s="756" t="s">
        <v>163</v>
      </c>
      <c r="G6" s="756"/>
      <c r="H6" s="531" t="s">
        <v>491</v>
      </c>
      <c r="I6" s="531"/>
      <c r="J6" s="531" t="s">
        <v>187</v>
      </c>
      <c r="K6" s="531"/>
      <c r="L6" s="531" t="s">
        <v>164</v>
      </c>
      <c r="M6" s="531"/>
      <c r="N6" s="531" t="s">
        <v>188</v>
      </c>
      <c r="O6" s="531"/>
      <c r="P6" s="754" t="s">
        <v>213</v>
      </c>
      <c r="Q6" s="531"/>
    </row>
    <row r="8" spans="1:17" s="154" customFormat="1" ht="15.75" customHeight="1">
      <c r="A8" s="744" t="s">
        <v>883</v>
      </c>
      <c r="B8" s="745"/>
      <c r="C8" s="472" t="s">
        <v>884</v>
      </c>
      <c r="D8" s="746" t="s">
        <v>12</v>
      </c>
      <c r="E8" s="747"/>
      <c r="F8" s="748"/>
      <c r="G8" s="470" t="s">
        <v>885</v>
      </c>
      <c r="H8" s="471"/>
      <c r="I8" s="472"/>
      <c r="J8" s="170" t="s">
        <v>886</v>
      </c>
      <c r="K8" s="170" t="s">
        <v>887</v>
      </c>
      <c r="L8" s="170" t="s">
        <v>888</v>
      </c>
      <c r="M8" s="170" t="s">
        <v>11</v>
      </c>
      <c r="N8" s="323" t="s">
        <v>889</v>
      </c>
      <c r="O8" s="749" t="s">
        <v>890</v>
      </c>
      <c r="P8" s="750"/>
    </row>
    <row r="9" spans="1:17" ht="15.75" customHeight="1">
      <c r="A9" s="639">
        <v>1</v>
      </c>
      <c r="B9" s="731" t="s">
        <v>891</v>
      </c>
      <c r="C9" s="171">
        <v>1</v>
      </c>
      <c r="D9" s="485">
        <v>0</v>
      </c>
      <c r="E9" s="734"/>
      <c r="F9" s="735"/>
      <c r="G9" s="485">
        <v>0</v>
      </c>
      <c r="H9" s="734"/>
      <c r="I9" s="735"/>
      <c r="J9" s="4">
        <v>0</v>
      </c>
      <c r="K9" s="14">
        <v>0</v>
      </c>
      <c r="L9" s="4">
        <v>0</v>
      </c>
      <c r="M9" s="16">
        <v>0</v>
      </c>
      <c r="N9" s="172"/>
      <c r="O9" s="742"/>
      <c r="P9" s="743"/>
    </row>
    <row r="10" spans="1:17" ht="15.75" customHeight="1">
      <c r="A10" s="640"/>
      <c r="B10" s="732"/>
      <c r="C10" s="171">
        <v>2</v>
      </c>
      <c r="D10" s="485">
        <v>0</v>
      </c>
      <c r="E10" s="734"/>
      <c r="F10" s="735"/>
      <c r="G10" s="485">
        <v>0</v>
      </c>
      <c r="H10" s="734"/>
      <c r="I10" s="735"/>
      <c r="J10" s="4">
        <v>0</v>
      </c>
      <c r="K10" s="14">
        <v>0</v>
      </c>
      <c r="L10" s="4">
        <v>0</v>
      </c>
      <c r="M10" s="16">
        <v>0</v>
      </c>
      <c r="N10" s="172"/>
      <c r="O10" s="742"/>
      <c r="P10" s="743"/>
    </row>
    <row r="11" spans="1:17" ht="15.75" customHeight="1">
      <c r="A11" s="640"/>
      <c r="B11" s="732"/>
      <c r="C11" s="171">
        <v>3</v>
      </c>
      <c r="D11" s="485">
        <v>0</v>
      </c>
      <c r="E11" s="734"/>
      <c r="F11" s="735"/>
      <c r="G11" s="485">
        <v>0</v>
      </c>
      <c r="H11" s="734"/>
      <c r="I11" s="735"/>
      <c r="J11" s="4">
        <v>0</v>
      </c>
      <c r="K11" s="14">
        <v>0</v>
      </c>
      <c r="L11" s="4">
        <v>0</v>
      </c>
      <c r="M11" s="16">
        <v>0</v>
      </c>
      <c r="N11" s="172"/>
      <c r="O11" s="742"/>
      <c r="P11" s="743"/>
    </row>
    <row r="12" spans="1:17" ht="15.75" customHeight="1">
      <c r="A12" s="640"/>
      <c r="B12" s="732"/>
      <c r="C12" s="171">
        <v>4</v>
      </c>
      <c r="D12" s="485">
        <v>0</v>
      </c>
      <c r="E12" s="734"/>
      <c r="F12" s="735"/>
      <c r="G12" s="485">
        <v>0</v>
      </c>
      <c r="H12" s="734"/>
      <c r="I12" s="735"/>
      <c r="J12" s="4">
        <v>0</v>
      </c>
      <c r="K12" s="14">
        <v>0</v>
      </c>
      <c r="L12" s="4">
        <v>0</v>
      </c>
      <c r="M12" s="16">
        <v>0</v>
      </c>
      <c r="N12" s="172"/>
      <c r="O12" s="742"/>
      <c r="P12" s="743"/>
    </row>
    <row r="13" spans="1:17" ht="15.75" customHeight="1" thickBot="1">
      <c r="A13" s="640"/>
      <c r="B13" s="732"/>
      <c r="C13" s="173">
        <v>5</v>
      </c>
      <c r="D13" s="739">
        <v>0</v>
      </c>
      <c r="E13" s="740"/>
      <c r="F13" s="741"/>
      <c r="G13" s="739">
        <v>0</v>
      </c>
      <c r="H13" s="740"/>
      <c r="I13" s="741"/>
      <c r="J13" s="4">
        <v>0</v>
      </c>
      <c r="K13" s="14">
        <v>0</v>
      </c>
      <c r="L13" s="4">
        <v>0</v>
      </c>
      <c r="M13" s="16">
        <v>0</v>
      </c>
      <c r="N13" s="174"/>
      <c r="O13" s="752"/>
      <c r="P13" s="753"/>
    </row>
    <row r="14" spans="1:17" ht="15.75" customHeight="1" thickTop="1" thickBot="1">
      <c r="A14" s="641"/>
      <c r="B14" s="733"/>
      <c r="C14" s="725"/>
      <c r="D14" s="726"/>
      <c r="E14" s="726"/>
      <c r="F14" s="726"/>
      <c r="G14" s="726"/>
      <c r="H14" s="726"/>
      <c r="I14" s="727"/>
      <c r="J14" s="321" t="s">
        <v>892</v>
      </c>
      <c r="K14" s="246">
        <v>0</v>
      </c>
      <c r="L14" s="321" t="s">
        <v>893</v>
      </c>
      <c r="M14" s="248">
        <v>0</v>
      </c>
      <c r="N14" s="728"/>
      <c r="O14" s="729"/>
      <c r="P14" s="730"/>
    </row>
    <row r="15" spans="1:17" ht="15.75" customHeight="1" thickTop="1"/>
    <row r="16" spans="1:17" ht="15.75" customHeight="1">
      <c r="A16" s="744" t="s">
        <v>883</v>
      </c>
      <c r="B16" s="745"/>
      <c r="C16" s="472" t="s">
        <v>884</v>
      </c>
      <c r="D16" s="746" t="s">
        <v>12</v>
      </c>
      <c r="E16" s="747"/>
      <c r="F16" s="748"/>
      <c r="G16" s="470" t="s">
        <v>885</v>
      </c>
      <c r="H16" s="471"/>
      <c r="I16" s="472"/>
      <c r="J16" s="170" t="s">
        <v>886</v>
      </c>
      <c r="K16" s="170" t="s">
        <v>887</v>
      </c>
      <c r="L16" s="170" t="s">
        <v>888</v>
      </c>
      <c r="M16" s="170" t="s">
        <v>11</v>
      </c>
      <c r="N16" s="323" t="s">
        <v>889</v>
      </c>
      <c r="O16" s="749" t="s">
        <v>890</v>
      </c>
      <c r="P16" s="750"/>
    </row>
    <row r="17" spans="1:16" ht="15.75" customHeight="1">
      <c r="A17" s="639">
        <v>2</v>
      </c>
      <c r="B17" s="731" t="s">
        <v>894</v>
      </c>
      <c r="C17" s="171">
        <v>1</v>
      </c>
      <c r="D17" s="485" t="s">
        <v>602</v>
      </c>
      <c r="E17" s="734"/>
      <c r="F17" s="735"/>
      <c r="G17" s="485" t="s">
        <v>606</v>
      </c>
      <c r="H17" s="734"/>
      <c r="I17" s="735"/>
      <c r="J17" s="324">
        <v>462.04</v>
      </c>
      <c r="K17" s="14">
        <v>2.4727992087042537E-2</v>
      </c>
      <c r="L17" s="4">
        <v>0.4</v>
      </c>
      <c r="M17" s="294">
        <v>184.81600000000003</v>
      </c>
      <c r="N17" s="172"/>
      <c r="O17" s="742" t="s">
        <v>495</v>
      </c>
      <c r="P17" s="743"/>
    </row>
    <row r="18" spans="1:16" ht="15.75" customHeight="1">
      <c r="A18" s="640"/>
      <c r="B18" s="732"/>
      <c r="C18" s="171">
        <v>2</v>
      </c>
      <c r="D18" s="485" t="s">
        <v>605</v>
      </c>
      <c r="E18" s="734"/>
      <c r="F18" s="735"/>
      <c r="G18" s="485" t="s">
        <v>680</v>
      </c>
      <c r="H18" s="734"/>
      <c r="I18" s="735"/>
      <c r="J18" s="324">
        <v>140.43</v>
      </c>
      <c r="K18" s="14">
        <v>3.312523888393426E-2</v>
      </c>
      <c r="L18" s="4">
        <v>1.3</v>
      </c>
      <c r="M18" s="294">
        <v>182.55900000000003</v>
      </c>
      <c r="N18" s="172"/>
      <c r="O18" s="742" t="s">
        <v>495</v>
      </c>
      <c r="P18" s="743"/>
    </row>
    <row r="19" spans="1:16" ht="15.75" customHeight="1">
      <c r="A19" s="640"/>
      <c r="B19" s="732"/>
      <c r="C19" s="171">
        <v>3</v>
      </c>
      <c r="D19" s="485" t="s">
        <v>789</v>
      </c>
      <c r="E19" s="734"/>
      <c r="F19" s="735"/>
      <c r="G19" s="485" t="s">
        <v>895</v>
      </c>
      <c r="H19" s="734"/>
      <c r="I19" s="735"/>
      <c r="J19" s="324">
        <v>298.2</v>
      </c>
      <c r="K19" s="14">
        <v>0.19697964543663826</v>
      </c>
      <c r="L19" s="4">
        <v>0.60000000000000009</v>
      </c>
      <c r="M19" s="294">
        <v>178.92000000000002</v>
      </c>
      <c r="N19" s="172"/>
      <c r="O19" s="742" t="s">
        <v>495</v>
      </c>
      <c r="P19" s="743"/>
    </row>
    <row r="20" spans="1:16" ht="15.75" customHeight="1">
      <c r="A20" s="640"/>
      <c r="B20" s="732"/>
      <c r="C20" s="171">
        <v>4</v>
      </c>
      <c r="D20" s="485" t="s">
        <v>349</v>
      </c>
      <c r="E20" s="734"/>
      <c r="F20" s="735"/>
      <c r="G20" s="485" t="s">
        <v>592</v>
      </c>
      <c r="H20" s="734"/>
      <c r="I20" s="735"/>
      <c r="J20" s="324">
        <v>169.36</v>
      </c>
      <c r="K20" s="14">
        <v>1.4713022496211398E-2</v>
      </c>
      <c r="L20" s="4">
        <v>1</v>
      </c>
      <c r="M20" s="294">
        <v>169.36</v>
      </c>
      <c r="N20" s="172"/>
      <c r="O20" s="742" t="s">
        <v>495</v>
      </c>
      <c r="P20" s="743"/>
    </row>
    <row r="21" spans="1:16" ht="15.75" customHeight="1" thickBot="1">
      <c r="A21" s="640"/>
      <c r="B21" s="732"/>
      <c r="C21" s="173">
        <v>5</v>
      </c>
      <c r="D21" s="485" t="s">
        <v>375</v>
      </c>
      <c r="E21" s="734"/>
      <c r="F21" s="735"/>
      <c r="G21" s="485" t="s">
        <v>896</v>
      </c>
      <c r="H21" s="734"/>
      <c r="I21" s="735"/>
      <c r="J21" s="324">
        <v>418.41</v>
      </c>
      <c r="K21" s="14">
        <v>4.4135495972635989E-2</v>
      </c>
      <c r="L21" s="4">
        <v>0.4</v>
      </c>
      <c r="M21" s="294">
        <v>167.36400000000003</v>
      </c>
      <c r="N21" s="174"/>
      <c r="O21" s="742" t="s">
        <v>495</v>
      </c>
      <c r="P21" s="743"/>
    </row>
    <row r="22" spans="1:16" ht="15.75" customHeight="1" thickTop="1" thickBot="1">
      <c r="A22" s="641"/>
      <c r="B22" s="733"/>
      <c r="C22" s="736"/>
      <c r="D22" s="737"/>
      <c r="E22" s="737"/>
      <c r="F22" s="737"/>
      <c r="G22" s="737"/>
      <c r="H22" s="737"/>
      <c r="I22" s="738"/>
      <c r="J22" s="321" t="s">
        <v>892</v>
      </c>
      <c r="K22" s="246">
        <v>1.7585448719544103E-3</v>
      </c>
      <c r="L22" s="321" t="s">
        <v>893</v>
      </c>
      <c r="M22" s="248">
        <v>883.01900000000012</v>
      </c>
      <c r="N22" s="728"/>
      <c r="O22" s="729"/>
      <c r="P22" s="730"/>
    </row>
    <row r="23" spans="1:16" ht="15.75" customHeight="1" thickTop="1"/>
    <row r="24" spans="1:16" ht="15.75" customHeight="1">
      <c r="A24" s="744" t="s">
        <v>883</v>
      </c>
      <c r="B24" s="745"/>
      <c r="C24" s="472" t="s">
        <v>884</v>
      </c>
      <c r="D24" s="746" t="s">
        <v>12</v>
      </c>
      <c r="E24" s="747"/>
      <c r="F24" s="748"/>
      <c r="G24" s="470" t="s">
        <v>885</v>
      </c>
      <c r="H24" s="471"/>
      <c r="I24" s="472"/>
      <c r="J24" s="170" t="s">
        <v>886</v>
      </c>
      <c r="K24" s="170" t="s">
        <v>887</v>
      </c>
      <c r="L24" s="170" t="s">
        <v>888</v>
      </c>
      <c r="M24" s="170" t="s">
        <v>11</v>
      </c>
      <c r="N24" s="323" t="s">
        <v>889</v>
      </c>
      <c r="O24" s="749" t="s">
        <v>890</v>
      </c>
      <c r="P24" s="750"/>
    </row>
    <row r="25" spans="1:16" ht="15.75" customHeight="1">
      <c r="A25" s="639">
        <v>3</v>
      </c>
      <c r="B25" s="731" t="s">
        <v>897</v>
      </c>
      <c r="C25" s="171">
        <v>1</v>
      </c>
      <c r="D25" s="485" t="s">
        <v>563</v>
      </c>
      <c r="E25" s="734"/>
      <c r="F25" s="735"/>
      <c r="G25" s="485" t="s">
        <v>567</v>
      </c>
      <c r="H25" s="734"/>
      <c r="I25" s="735"/>
      <c r="J25" s="324">
        <v>103.97</v>
      </c>
      <c r="K25" s="14">
        <v>1.7694509497788186E-2</v>
      </c>
      <c r="L25" s="4">
        <v>1.7</v>
      </c>
      <c r="M25" s="294">
        <v>176.749</v>
      </c>
      <c r="N25" s="172"/>
      <c r="O25" s="742" t="s">
        <v>898</v>
      </c>
      <c r="P25" s="743"/>
    </row>
    <row r="26" spans="1:16" ht="15.75" customHeight="1">
      <c r="A26" s="640"/>
      <c r="B26" s="732"/>
      <c r="C26" s="171">
        <v>2</v>
      </c>
      <c r="D26" s="485" t="s">
        <v>611</v>
      </c>
      <c r="E26" s="734"/>
      <c r="F26" s="735"/>
      <c r="G26" s="485" t="s">
        <v>612</v>
      </c>
      <c r="H26" s="734"/>
      <c r="I26" s="735"/>
      <c r="J26" s="324">
        <v>151.08000000000001</v>
      </c>
      <c r="K26" s="14">
        <v>1.4112334180073386E-2</v>
      </c>
      <c r="L26" s="4">
        <v>1.1000000000000001</v>
      </c>
      <c r="M26" s="294">
        <v>166.18800000000002</v>
      </c>
      <c r="N26" s="172"/>
      <c r="O26" s="742" t="s">
        <v>898</v>
      </c>
      <c r="P26" s="743"/>
    </row>
    <row r="27" spans="1:16" ht="15.75" customHeight="1">
      <c r="A27" s="640"/>
      <c r="B27" s="732"/>
      <c r="C27" s="171">
        <v>3</v>
      </c>
      <c r="D27" s="485" t="s">
        <v>346</v>
      </c>
      <c r="E27" s="734"/>
      <c r="F27" s="735"/>
      <c r="G27" s="485" t="s">
        <v>412</v>
      </c>
      <c r="H27" s="734"/>
      <c r="I27" s="735"/>
      <c r="J27" s="324">
        <v>127.48</v>
      </c>
      <c r="K27" s="14">
        <v>1.083839124924965E-2</v>
      </c>
      <c r="L27" s="4">
        <v>1.3</v>
      </c>
      <c r="M27" s="294">
        <v>165.72400000000002</v>
      </c>
      <c r="N27" s="172"/>
      <c r="O27" s="742" t="s">
        <v>898</v>
      </c>
      <c r="P27" s="743"/>
    </row>
    <row r="28" spans="1:16" ht="15.75" customHeight="1">
      <c r="A28" s="640"/>
      <c r="B28" s="732"/>
      <c r="C28" s="171">
        <v>4</v>
      </c>
      <c r="D28" s="485" t="s">
        <v>899</v>
      </c>
      <c r="E28" s="734"/>
      <c r="F28" s="735"/>
      <c r="G28" s="485" t="s">
        <v>900</v>
      </c>
      <c r="H28" s="734"/>
      <c r="I28" s="735"/>
      <c r="J28" s="324">
        <v>109.96</v>
      </c>
      <c r="K28" s="14">
        <v>5.7471264367816091E-2</v>
      </c>
      <c r="L28" s="4">
        <v>1.5</v>
      </c>
      <c r="M28" s="294">
        <v>164.94</v>
      </c>
      <c r="N28" s="172"/>
      <c r="O28" s="742" t="s">
        <v>898</v>
      </c>
      <c r="P28" s="743"/>
    </row>
    <row r="29" spans="1:16" ht="15.75" customHeight="1" thickBot="1">
      <c r="A29" s="640"/>
      <c r="B29" s="732"/>
      <c r="C29" s="173">
        <v>5</v>
      </c>
      <c r="D29" s="739" t="s">
        <v>349</v>
      </c>
      <c r="E29" s="740"/>
      <c r="F29" s="741"/>
      <c r="G29" s="739" t="s">
        <v>610</v>
      </c>
      <c r="H29" s="740"/>
      <c r="I29" s="741"/>
      <c r="J29" s="324">
        <v>75.14</v>
      </c>
      <c r="K29" s="14">
        <v>3.0257186081694407E-2</v>
      </c>
      <c r="L29" s="4">
        <v>2</v>
      </c>
      <c r="M29" s="294">
        <v>150.28</v>
      </c>
      <c r="N29" s="174"/>
      <c r="O29" s="742" t="s">
        <v>898</v>
      </c>
      <c r="P29" s="743"/>
    </row>
    <row r="30" spans="1:16" ht="15.75" customHeight="1" thickTop="1" thickBot="1">
      <c r="A30" s="641"/>
      <c r="B30" s="733"/>
      <c r="C30" s="725"/>
      <c r="D30" s="726"/>
      <c r="E30" s="726"/>
      <c r="F30" s="726"/>
      <c r="G30" s="726"/>
      <c r="H30" s="726"/>
      <c r="I30" s="727"/>
      <c r="J30" s="321" t="s">
        <v>892</v>
      </c>
      <c r="K30" s="246">
        <v>1.6407707055574924E-3</v>
      </c>
      <c r="L30" s="321" t="s">
        <v>893</v>
      </c>
      <c r="M30" s="248">
        <v>823.88100000000009</v>
      </c>
      <c r="N30" s="728"/>
      <c r="O30" s="729"/>
      <c r="P30" s="730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s="120" customFormat="1" ht="15.75" customHeight="1">
      <c r="A3" s="662" t="s">
        <v>209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152"/>
    </row>
    <row r="4" spans="1:17" s="12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131"/>
    </row>
    <row r="5" spans="1:17" s="120" customFormat="1" ht="15.75" customHeight="1">
      <c r="A5" s="531" t="s">
        <v>189</v>
      </c>
      <c r="B5" s="751">
        <v>1</v>
      </c>
      <c r="C5" s="751"/>
      <c r="D5" s="751">
        <v>2</v>
      </c>
      <c r="E5" s="751"/>
      <c r="F5" s="751">
        <v>3</v>
      </c>
      <c r="G5" s="751"/>
      <c r="H5" s="755">
        <v>4</v>
      </c>
      <c r="I5" s="755"/>
      <c r="J5" s="755">
        <v>5</v>
      </c>
      <c r="K5" s="755"/>
      <c r="L5" s="755">
        <v>6</v>
      </c>
      <c r="M5" s="755"/>
      <c r="N5" s="755">
        <v>7</v>
      </c>
      <c r="O5" s="755"/>
      <c r="P5" s="751">
        <v>8</v>
      </c>
      <c r="Q5" s="751"/>
    </row>
    <row r="6" spans="1:17" s="120" customFormat="1" ht="15.75" customHeight="1">
      <c r="A6" s="531"/>
      <c r="B6" s="531" t="s">
        <v>319</v>
      </c>
      <c r="C6" s="531"/>
      <c r="D6" s="531" t="s">
        <v>210</v>
      </c>
      <c r="E6" s="531"/>
      <c r="F6" s="531" t="s">
        <v>163</v>
      </c>
      <c r="G6" s="531"/>
      <c r="H6" s="756" t="s">
        <v>491</v>
      </c>
      <c r="I6" s="756"/>
      <c r="J6" s="756" t="s">
        <v>187</v>
      </c>
      <c r="K6" s="756"/>
      <c r="L6" s="756" t="s">
        <v>164</v>
      </c>
      <c r="M6" s="756"/>
      <c r="N6" s="756" t="s">
        <v>188</v>
      </c>
      <c r="O6" s="756"/>
      <c r="P6" s="754" t="s">
        <v>213</v>
      </c>
      <c r="Q6" s="531"/>
    </row>
    <row r="7" spans="1:17" s="120" customFormat="1" ht="15.75" customHeight="1">
      <c r="B7" s="175"/>
      <c r="C7" s="161"/>
    </row>
    <row r="8" spans="1:17" s="110" customFormat="1" ht="15.75" customHeight="1">
      <c r="A8" s="757" t="s">
        <v>883</v>
      </c>
      <c r="B8" s="758"/>
      <c r="C8" s="117" t="s">
        <v>884</v>
      </c>
      <c r="D8" s="759" t="s">
        <v>12</v>
      </c>
      <c r="E8" s="760"/>
      <c r="F8" s="761"/>
      <c r="G8" s="115" t="s">
        <v>885</v>
      </c>
      <c r="H8" s="116"/>
      <c r="I8" s="117"/>
      <c r="J8" s="114" t="s">
        <v>886</v>
      </c>
      <c r="K8" s="114" t="s">
        <v>887</v>
      </c>
      <c r="L8" s="114" t="s">
        <v>888</v>
      </c>
      <c r="M8" s="118" t="s">
        <v>11</v>
      </c>
      <c r="N8" s="323" t="s">
        <v>889</v>
      </c>
      <c r="O8" s="762" t="s">
        <v>890</v>
      </c>
      <c r="P8" s="763"/>
    </row>
    <row r="9" spans="1:17" ht="15.75" customHeight="1">
      <c r="A9" s="758">
        <v>4</v>
      </c>
      <c r="B9" s="765" t="s">
        <v>491</v>
      </c>
      <c r="C9" s="112">
        <v>1</v>
      </c>
      <c r="D9" s="485" t="s">
        <v>346</v>
      </c>
      <c r="E9" s="734"/>
      <c r="F9" s="735"/>
      <c r="G9" s="485" t="s">
        <v>412</v>
      </c>
      <c r="H9" s="734"/>
      <c r="I9" s="735"/>
      <c r="J9" s="324">
        <v>127.48</v>
      </c>
      <c r="K9" s="14">
        <v>1.0260845347073094E-2</v>
      </c>
      <c r="L9" s="4">
        <v>1.4</v>
      </c>
      <c r="M9" s="294">
        <v>178.47200000000001</v>
      </c>
      <c r="N9" s="4"/>
      <c r="O9" s="742" t="s">
        <v>901</v>
      </c>
      <c r="P9" s="771"/>
      <c r="Q9" s="265"/>
    </row>
    <row r="10" spans="1:17" ht="15.75" customHeight="1">
      <c r="A10" s="758"/>
      <c r="B10" s="765"/>
      <c r="C10" s="112">
        <v>2</v>
      </c>
      <c r="D10" s="485" t="s">
        <v>372</v>
      </c>
      <c r="E10" s="734"/>
      <c r="F10" s="735"/>
      <c r="G10" s="485" t="s">
        <v>553</v>
      </c>
      <c r="H10" s="734"/>
      <c r="I10" s="735"/>
      <c r="J10" s="324">
        <v>432.07</v>
      </c>
      <c r="K10" s="14">
        <v>8.291873963515755E-3</v>
      </c>
      <c r="L10" s="4">
        <v>0.4</v>
      </c>
      <c r="M10" s="294">
        <v>172.828</v>
      </c>
      <c r="N10" s="4"/>
      <c r="O10" s="742" t="s">
        <v>901</v>
      </c>
      <c r="P10" s="771"/>
      <c r="Q10" s="265"/>
    </row>
    <row r="11" spans="1:17" ht="15.75" customHeight="1">
      <c r="A11" s="758"/>
      <c r="B11" s="765"/>
      <c r="C11" s="112">
        <v>3</v>
      </c>
      <c r="D11" s="485" t="s">
        <v>664</v>
      </c>
      <c r="E11" s="734"/>
      <c r="F11" s="735"/>
      <c r="G11" s="485" t="s">
        <v>902</v>
      </c>
      <c r="H11" s="734"/>
      <c r="I11" s="735"/>
      <c r="J11" s="324">
        <v>240.51</v>
      </c>
      <c r="K11" s="14">
        <v>9.4492440604751638E-3</v>
      </c>
      <c r="L11" s="4">
        <v>0.70000000000000007</v>
      </c>
      <c r="M11" s="294">
        <v>168.357</v>
      </c>
      <c r="N11" s="4"/>
      <c r="O11" s="742" t="s">
        <v>901</v>
      </c>
      <c r="P11" s="771"/>
      <c r="Q11" s="265"/>
    </row>
    <row r="12" spans="1:17" ht="15.75" customHeight="1">
      <c r="A12" s="758"/>
      <c r="B12" s="765"/>
      <c r="C12" s="112">
        <v>4</v>
      </c>
      <c r="D12" s="485" t="s">
        <v>611</v>
      </c>
      <c r="E12" s="734"/>
      <c r="F12" s="735"/>
      <c r="G12" s="485" t="s">
        <v>612</v>
      </c>
      <c r="H12" s="734"/>
      <c r="I12" s="735"/>
      <c r="J12" s="324">
        <v>151.08000000000001</v>
      </c>
      <c r="K12" s="14">
        <v>1.2003360941063497E-2</v>
      </c>
      <c r="L12" s="4">
        <v>1.1000000000000001</v>
      </c>
      <c r="M12" s="294">
        <v>166.18800000000002</v>
      </c>
      <c r="N12" s="4"/>
      <c r="O12" s="742" t="s">
        <v>901</v>
      </c>
      <c r="P12" s="771"/>
      <c r="Q12" s="265"/>
    </row>
    <row r="13" spans="1:17" ht="15.75" customHeight="1" thickBot="1">
      <c r="A13" s="758"/>
      <c r="B13" s="765"/>
      <c r="C13" s="113">
        <v>5</v>
      </c>
      <c r="D13" s="485" t="s">
        <v>664</v>
      </c>
      <c r="E13" s="734"/>
      <c r="F13" s="735"/>
      <c r="G13" s="485" t="s">
        <v>903</v>
      </c>
      <c r="H13" s="734"/>
      <c r="I13" s="735"/>
      <c r="J13" s="324">
        <v>320.63</v>
      </c>
      <c r="K13" s="14">
        <v>2.2175899232713885E-2</v>
      </c>
      <c r="L13" s="4">
        <v>0.5</v>
      </c>
      <c r="M13" s="294">
        <v>160.315</v>
      </c>
      <c r="N13" s="27"/>
      <c r="O13" s="742" t="s">
        <v>901</v>
      </c>
      <c r="P13" s="771"/>
      <c r="Q13" s="265"/>
    </row>
    <row r="14" spans="1:17" ht="15.75" customHeight="1" thickTop="1" thickBot="1">
      <c r="A14" s="758"/>
      <c r="B14" s="765"/>
      <c r="C14" s="773"/>
      <c r="D14" s="773"/>
      <c r="E14" s="773"/>
      <c r="F14" s="773"/>
      <c r="G14" s="773"/>
      <c r="H14" s="773"/>
      <c r="I14" s="773"/>
      <c r="J14" s="247" t="s">
        <v>892</v>
      </c>
      <c r="K14" s="246">
        <v>1.6851396502826595E-3</v>
      </c>
      <c r="L14" s="247" t="s">
        <v>893</v>
      </c>
      <c r="M14" s="248">
        <v>846.16000000000008</v>
      </c>
      <c r="N14" s="772"/>
      <c r="O14" s="772"/>
      <c r="P14" s="772"/>
      <c r="Q14" s="265"/>
    </row>
    <row r="15" spans="1:17" ht="15.75" customHeight="1" thickTop="1">
      <c r="A15" s="469"/>
      <c r="D15" s="469"/>
      <c r="E15" s="469"/>
      <c r="F15" s="469"/>
      <c r="G15" s="469"/>
      <c r="H15" s="469"/>
      <c r="I15" s="469"/>
      <c r="J15" s="469"/>
      <c r="K15" s="469"/>
      <c r="L15" s="469"/>
      <c r="M15" s="469"/>
      <c r="N15" s="469"/>
      <c r="O15" s="469"/>
      <c r="P15" s="469"/>
      <c r="Q15" s="265"/>
    </row>
    <row r="16" spans="1:17" ht="15.75" customHeight="1">
      <c r="A16" s="757" t="s">
        <v>883</v>
      </c>
      <c r="B16" s="758"/>
      <c r="C16" s="117" t="s">
        <v>884</v>
      </c>
      <c r="D16" s="759" t="s">
        <v>12</v>
      </c>
      <c r="E16" s="760"/>
      <c r="F16" s="761"/>
      <c r="G16" s="115" t="s">
        <v>885</v>
      </c>
      <c r="H16" s="116"/>
      <c r="I16" s="117"/>
      <c r="J16" s="114" t="s">
        <v>886</v>
      </c>
      <c r="K16" s="114" t="s">
        <v>887</v>
      </c>
      <c r="L16" s="114" t="s">
        <v>888</v>
      </c>
      <c r="M16" s="118" t="s">
        <v>11</v>
      </c>
      <c r="N16" s="323" t="s">
        <v>889</v>
      </c>
      <c r="O16" s="762" t="s">
        <v>890</v>
      </c>
      <c r="P16" s="763"/>
      <c r="Q16" s="265"/>
    </row>
    <row r="17" spans="1:17" ht="15.75" customHeight="1">
      <c r="A17" s="758">
        <v>5</v>
      </c>
      <c r="B17" s="764" t="s">
        <v>211</v>
      </c>
      <c r="C17" s="112">
        <v>1</v>
      </c>
      <c r="D17" s="485" t="s">
        <v>498</v>
      </c>
      <c r="E17" s="734"/>
      <c r="F17" s="735"/>
      <c r="G17" s="485" t="s">
        <v>904</v>
      </c>
      <c r="H17" s="734"/>
      <c r="I17" s="735"/>
      <c r="J17" s="324">
        <v>300.93</v>
      </c>
      <c r="K17" s="14">
        <v>3.4090909090909095E-2</v>
      </c>
      <c r="L17" s="4">
        <v>0.60000000000000009</v>
      </c>
      <c r="M17" s="294">
        <v>180.55800000000002</v>
      </c>
      <c r="N17" s="4"/>
      <c r="O17" s="742" t="s">
        <v>511</v>
      </c>
      <c r="P17" s="771"/>
      <c r="Q17" s="265"/>
    </row>
    <row r="18" spans="1:17" ht="15.75" customHeight="1">
      <c r="A18" s="758"/>
      <c r="B18" s="765"/>
      <c r="C18" s="112">
        <v>2</v>
      </c>
      <c r="D18" s="485" t="s">
        <v>388</v>
      </c>
      <c r="E18" s="734"/>
      <c r="F18" s="735"/>
      <c r="G18" s="485" t="s">
        <v>411</v>
      </c>
      <c r="H18" s="734"/>
      <c r="I18" s="735"/>
      <c r="J18" s="324">
        <v>420.33</v>
      </c>
      <c r="K18" s="14">
        <v>6.3211125158027818E-3</v>
      </c>
      <c r="L18" s="4">
        <v>0.4</v>
      </c>
      <c r="M18" s="294">
        <v>168.13200000000001</v>
      </c>
      <c r="N18" s="4"/>
      <c r="O18" s="742" t="s">
        <v>511</v>
      </c>
      <c r="P18" s="771"/>
      <c r="Q18" s="265"/>
    </row>
    <row r="19" spans="1:17" ht="15.75" customHeight="1">
      <c r="A19" s="758"/>
      <c r="B19" s="765"/>
      <c r="C19" s="112">
        <v>3</v>
      </c>
      <c r="D19" s="485" t="s">
        <v>349</v>
      </c>
      <c r="E19" s="734"/>
      <c r="F19" s="735"/>
      <c r="G19" s="485" t="s">
        <v>905</v>
      </c>
      <c r="H19" s="734"/>
      <c r="I19" s="735"/>
      <c r="J19" s="324">
        <v>136.88999999999999</v>
      </c>
      <c r="K19" s="14">
        <v>2.0987827060305022E-2</v>
      </c>
      <c r="L19" s="4">
        <v>1.2</v>
      </c>
      <c r="M19" s="294">
        <v>164.26799999999997</v>
      </c>
      <c r="N19" s="4"/>
      <c r="O19" s="742" t="s">
        <v>511</v>
      </c>
      <c r="P19" s="771"/>
      <c r="Q19" s="265"/>
    </row>
    <row r="20" spans="1:17" ht="15.75" customHeight="1">
      <c r="A20" s="758"/>
      <c r="B20" s="765"/>
      <c r="C20" s="112">
        <v>4</v>
      </c>
      <c r="D20" s="485" t="s">
        <v>342</v>
      </c>
      <c r="E20" s="734"/>
      <c r="F20" s="735"/>
      <c r="G20" s="485" t="s">
        <v>593</v>
      </c>
      <c r="H20" s="734"/>
      <c r="I20" s="735"/>
      <c r="J20" s="324">
        <v>272.74</v>
      </c>
      <c r="K20" s="14">
        <v>1.1013215859030839E-2</v>
      </c>
      <c r="L20" s="4">
        <v>0.60000000000000009</v>
      </c>
      <c r="M20" s="294">
        <v>163.64400000000003</v>
      </c>
      <c r="N20" s="4"/>
      <c r="O20" s="742" t="s">
        <v>511</v>
      </c>
      <c r="P20" s="771"/>
      <c r="Q20" s="265"/>
    </row>
    <row r="21" spans="1:17" ht="15.75" customHeight="1" thickBot="1">
      <c r="A21" s="758"/>
      <c r="B21" s="765"/>
      <c r="C21" s="113">
        <v>5</v>
      </c>
      <c r="D21" s="485" t="s">
        <v>791</v>
      </c>
      <c r="E21" s="734"/>
      <c r="F21" s="735"/>
      <c r="G21" s="485" t="s">
        <v>906</v>
      </c>
      <c r="H21" s="734"/>
      <c r="I21" s="735"/>
      <c r="J21" s="324">
        <v>261.2</v>
      </c>
      <c r="K21" s="14">
        <v>8.0645161290322578E-3</v>
      </c>
      <c r="L21" s="4">
        <v>0.6</v>
      </c>
      <c r="M21" s="294">
        <v>156.72</v>
      </c>
      <c r="N21" s="4"/>
      <c r="O21" s="742" t="s">
        <v>511</v>
      </c>
      <c r="P21" s="771"/>
      <c r="Q21" s="265"/>
    </row>
    <row r="22" spans="1:17" ht="15.75" customHeight="1" thickTop="1" thickBot="1">
      <c r="A22" s="758"/>
      <c r="B22" s="765"/>
      <c r="C22" s="766"/>
      <c r="D22" s="766"/>
      <c r="E22" s="766"/>
      <c r="F22" s="766"/>
      <c r="G22" s="766"/>
      <c r="H22" s="766"/>
      <c r="I22" s="767"/>
      <c r="J22" s="119" t="s">
        <v>892</v>
      </c>
      <c r="K22" s="246">
        <v>1.6595725910617926E-3</v>
      </c>
      <c r="L22" s="119" t="s">
        <v>893</v>
      </c>
      <c r="M22" s="248">
        <v>833.32200000000012</v>
      </c>
      <c r="N22" s="768"/>
      <c r="O22" s="769"/>
      <c r="P22" s="770"/>
      <c r="Q22" s="265"/>
    </row>
    <row r="23" spans="1:17" ht="15.75" customHeight="1" thickTop="1">
      <c r="A23" s="469"/>
      <c r="D23" s="469"/>
      <c r="E23" s="469"/>
      <c r="F23" s="469"/>
      <c r="G23" s="469"/>
      <c r="H23" s="469"/>
      <c r="I23" s="469"/>
      <c r="J23" s="469"/>
      <c r="K23" s="469"/>
      <c r="L23" s="469"/>
      <c r="M23" s="469"/>
      <c r="N23" s="469"/>
      <c r="O23" s="469"/>
      <c r="P23" s="469"/>
      <c r="Q23" s="265"/>
    </row>
    <row r="24" spans="1:17" ht="15.75" customHeight="1">
      <c r="A24" s="757" t="s">
        <v>883</v>
      </c>
      <c r="B24" s="758"/>
      <c r="C24" s="117" t="s">
        <v>884</v>
      </c>
      <c r="D24" s="759" t="s">
        <v>12</v>
      </c>
      <c r="E24" s="760"/>
      <c r="F24" s="761"/>
      <c r="G24" s="115" t="s">
        <v>885</v>
      </c>
      <c r="H24" s="116"/>
      <c r="I24" s="117"/>
      <c r="J24" s="114" t="s">
        <v>886</v>
      </c>
      <c r="K24" s="114" t="s">
        <v>887</v>
      </c>
      <c r="L24" s="114" t="s">
        <v>888</v>
      </c>
      <c r="M24" s="118" t="s">
        <v>11</v>
      </c>
      <c r="N24" s="323" t="s">
        <v>889</v>
      </c>
      <c r="O24" s="762" t="s">
        <v>890</v>
      </c>
      <c r="P24" s="763"/>
      <c r="Q24" s="265"/>
    </row>
    <row r="25" spans="1:17" ht="15.75" customHeight="1">
      <c r="A25" s="758">
        <v>6</v>
      </c>
      <c r="B25" s="764" t="s">
        <v>212</v>
      </c>
      <c r="C25" s="112">
        <v>1</v>
      </c>
      <c r="D25" s="485" t="s">
        <v>557</v>
      </c>
      <c r="E25" s="734"/>
      <c r="F25" s="735"/>
      <c r="G25" s="485" t="s">
        <v>443</v>
      </c>
      <c r="H25" s="734"/>
      <c r="I25" s="735"/>
      <c r="J25" s="324">
        <v>13.45</v>
      </c>
      <c r="K25" s="14">
        <v>1.3864818024263431E-2</v>
      </c>
      <c r="L25" s="4">
        <v>16</v>
      </c>
      <c r="M25" s="294">
        <v>215.2</v>
      </c>
      <c r="N25" s="4"/>
      <c r="O25" s="742" t="s">
        <v>499</v>
      </c>
      <c r="P25" s="743"/>
      <c r="Q25" s="265"/>
    </row>
    <row r="26" spans="1:17" ht="15.75" customHeight="1">
      <c r="A26" s="758"/>
      <c r="B26" s="765"/>
      <c r="C26" s="112">
        <v>2</v>
      </c>
      <c r="D26" s="485" t="s">
        <v>346</v>
      </c>
      <c r="E26" s="734"/>
      <c r="F26" s="735"/>
      <c r="G26" s="485" t="s">
        <v>345</v>
      </c>
      <c r="H26" s="734"/>
      <c r="I26" s="735"/>
      <c r="J26" s="324">
        <v>758.19</v>
      </c>
      <c r="K26" s="14">
        <v>1.4742739200943536E-2</v>
      </c>
      <c r="L26" s="4">
        <v>0.2</v>
      </c>
      <c r="M26" s="294">
        <v>151.63800000000001</v>
      </c>
      <c r="N26" s="4"/>
      <c r="O26" s="742" t="s">
        <v>907</v>
      </c>
      <c r="P26" s="771"/>
      <c r="Q26" s="265"/>
    </row>
    <row r="27" spans="1:17" ht="15.75" customHeight="1">
      <c r="A27" s="758"/>
      <c r="B27" s="765"/>
      <c r="C27" s="112">
        <v>3</v>
      </c>
      <c r="D27" s="485" t="s">
        <v>789</v>
      </c>
      <c r="E27" s="734"/>
      <c r="F27" s="735"/>
      <c r="G27" s="485" t="s">
        <v>351</v>
      </c>
      <c r="H27" s="734"/>
      <c r="I27" s="735"/>
      <c r="J27" s="324">
        <v>487.6</v>
      </c>
      <c r="K27" s="14">
        <v>5.1836748799115318E-3</v>
      </c>
      <c r="L27" s="4">
        <v>0.3</v>
      </c>
      <c r="M27" s="294">
        <v>146.28</v>
      </c>
      <c r="N27" s="4"/>
      <c r="O27" s="742" t="s">
        <v>908</v>
      </c>
      <c r="P27" s="743"/>
      <c r="Q27" s="265"/>
    </row>
    <row r="28" spans="1:17" ht="15.75" customHeight="1">
      <c r="A28" s="758"/>
      <c r="B28" s="765"/>
      <c r="C28" s="112">
        <v>4</v>
      </c>
      <c r="D28" s="485" t="s">
        <v>414</v>
      </c>
      <c r="E28" s="734"/>
      <c r="F28" s="735"/>
      <c r="G28" s="485" t="s">
        <v>415</v>
      </c>
      <c r="H28" s="734"/>
      <c r="I28" s="735"/>
      <c r="J28" s="324">
        <v>444.88</v>
      </c>
      <c r="K28" s="14">
        <v>1.5432098765432098E-2</v>
      </c>
      <c r="L28" s="4">
        <v>0.3</v>
      </c>
      <c r="M28" s="294">
        <v>133.464</v>
      </c>
      <c r="N28" s="4"/>
      <c r="O28" s="742" t="s">
        <v>909</v>
      </c>
      <c r="P28" s="771"/>
      <c r="Q28" s="265"/>
    </row>
    <row r="29" spans="1:17" ht="15.75" customHeight="1" thickBot="1">
      <c r="A29" s="758"/>
      <c r="B29" s="765"/>
      <c r="C29" s="113">
        <v>5</v>
      </c>
      <c r="D29" s="485">
        <v>0</v>
      </c>
      <c r="E29" s="734"/>
      <c r="F29" s="735"/>
      <c r="G29" s="485">
        <v>0</v>
      </c>
      <c r="H29" s="734"/>
      <c r="I29" s="735"/>
      <c r="J29" s="324">
        <v>0</v>
      </c>
      <c r="K29" s="14">
        <v>0</v>
      </c>
      <c r="L29" s="4">
        <v>0</v>
      </c>
      <c r="M29" s="294">
        <v>0</v>
      </c>
      <c r="N29" s="4"/>
      <c r="O29" s="742"/>
      <c r="P29" s="771"/>
      <c r="Q29" s="265"/>
    </row>
    <row r="30" spans="1:17" ht="15.75" customHeight="1" thickTop="1" thickBot="1">
      <c r="A30" s="758"/>
      <c r="B30" s="765"/>
      <c r="C30" s="766"/>
      <c r="D30" s="766"/>
      <c r="E30" s="766"/>
      <c r="F30" s="766"/>
      <c r="G30" s="766"/>
      <c r="H30" s="766"/>
      <c r="I30" s="767"/>
      <c r="J30" s="119" t="s">
        <v>892</v>
      </c>
      <c r="K30" s="246">
        <v>1.2876772304990336E-3</v>
      </c>
      <c r="L30" s="119" t="s">
        <v>893</v>
      </c>
      <c r="M30" s="248">
        <v>646.58199999999988</v>
      </c>
      <c r="N30" s="768"/>
      <c r="O30" s="769"/>
      <c r="P30" s="770"/>
      <c r="Q30" s="265"/>
    </row>
    <row r="31" spans="1:17" ht="15.75" customHeight="1" thickTop="1">
      <c r="A31" s="469"/>
      <c r="D31" s="469"/>
      <c r="E31" s="469"/>
      <c r="F31" s="469"/>
      <c r="G31" s="469"/>
      <c r="H31" s="469"/>
      <c r="I31" s="469"/>
      <c r="J31" s="469"/>
      <c r="K31" s="469"/>
      <c r="L31" s="469"/>
      <c r="M31" s="469"/>
      <c r="N31" s="469"/>
      <c r="O31" s="469"/>
      <c r="P31" s="469"/>
      <c r="Q31" s="265"/>
    </row>
    <row r="32" spans="1:17" ht="15.75" customHeight="1">
      <c r="A32" s="757" t="s">
        <v>883</v>
      </c>
      <c r="B32" s="758"/>
      <c r="C32" s="117" t="s">
        <v>884</v>
      </c>
      <c r="D32" s="759" t="s">
        <v>12</v>
      </c>
      <c r="E32" s="760"/>
      <c r="F32" s="761"/>
      <c r="G32" s="115" t="s">
        <v>885</v>
      </c>
      <c r="H32" s="116"/>
      <c r="I32" s="117"/>
      <c r="J32" s="114" t="s">
        <v>886</v>
      </c>
      <c r="K32" s="114" t="s">
        <v>887</v>
      </c>
      <c r="L32" s="114" t="s">
        <v>888</v>
      </c>
      <c r="M32" s="118" t="s">
        <v>11</v>
      </c>
      <c r="N32" s="118" t="s">
        <v>13</v>
      </c>
      <c r="O32" s="762" t="s">
        <v>890</v>
      </c>
      <c r="P32" s="763"/>
      <c r="Q32" s="265"/>
    </row>
    <row r="33" spans="1:17" ht="15.75" customHeight="1">
      <c r="A33" s="758">
        <v>7</v>
      </c>
      <c r="B33" s="764" t="s">
        <v>910</v>
      </c>
      <c r="C33" s="112">
        <v>1</v>
      </c>
      <c r="D33" s="485" t="s">
        <v>790</v>
      </c>
      <c r="E33" s="734"/>
      <c r="F33" s="735"/>
      <c r="G33" s="485" t="s">
        <v>911</v>
      </c>
      <c r="H33" s="734"/>
      <c r="I33" s="735"/>
      <c r="J33" s="4">
        <v>651.53</v>
      </c>
      <c r="K33" s="14">
        <v>5.3316272126252935E-3</v>
      </c>
      <c r="L33" s="4">
        <v>0.2</v>
      </c>
      <c r="M33" s="294">
        <v>130.30600000000001</v>
      </c>
      <c r="N33" s="4"/>
      <c r="O33" s="742" t="s">
        <v>912</v>
      </c>
      <c r="P33" s="771"/>
      <c r="Q33" s="265"/>
    </row>
    <row r="34" spans="1:17" ht="15.75" customHeight="1">
      <c r="A34" s="758"/>
      <c r="B34" s="765"/>
      <c r="C34" s="112">
        <v>2</v>
      </c>
      <c r="D34" s="485" t="s">
        <v>382</v>
      </c>
      <c r="E34" s="734"/>
      <c r="F34" s="735"/>
      <c r="G34" s="485" t="s">
        <v>604</v>
      </c>
      <c r="H34" s="734"/>
      <c r="I34" s="735"/>
      <c r="J34" s="4">
        <v>631.87</v>
      </c>
      <c r="K34" s="14">
        <v>7.9840319361277459E-2</v>
      </c>
      <c r="L34" s="4">
        <v>0.2</v>
      </c>
      <c r="M34" s="294">
        <v>126.37400000000001</v>
      </c>
      <c r="N34" s="4"/>
      <c r="O34" s="742" t="s">
        <v>913</v>
      </c>
      <c r="P34" s="771"/>
      <c r="Q34" s="265"/>
    </row>
    <row r="35" spans="1:17" ht="15.75" customHeight="1">
      <c r="A35" s="758"/>
      <c r="B35" s="765"/>
      <c r="C35" s="112">
        <v>3</v>
      </c>
      <c r="D35" s="485">
        <v>0</v>
      </c>
      <c r="E35" s="734"/>
      <c r="F35" s="735"/>
      <c r="G35" s="485">
        <v>0</v>
      </c>
      <c r="H35" s="734"/>
      <c r="I35" s="735"/>
      <c r="J35" s="4">
        <v>0</v>
      </c>
      <c r="K35" s="14">
        <v>0</v>
      </c>
      <c r="L35" s="4">
        <v>0</v>
      </c>
      <c r="M35" s="294">
        <v>0</v>
      </c>
      <c r="N35" s="4"/>
      <c r="O35" s="742"/>
      <c r="P35" s="771"/>
      <c r="Q35" s="265"/>
    </row>
    <row r="36" spans="1:17" ht="15.75" customHeight="1">
      <c r="A36" s="758"/>
      <c r="B36" s="765"/>
      <c r="C36" s="112">
        <v>4</v>
      </c>
      <c r="D36" s="485">
        <v>0</v>
      </c>
      <c r="E36" s="734"/>
      <c r="F36" s="735"/>
      <c r="G36" s="485">
        <v>0</v>
      </c>
      <c r="H36" s="734"/>
      <c r="I36" s="735"/>
      <c r="J36" s="4">
        <v>0</v>
      </c>
      <c r="K36" s="14">
        <v>0</v>
      </c>
      <c r="L36" s="4">
        <v>0</v>
      </c>
      <c r="M36" s="294">
        <v>0</v>
      </c>
      <c r="N36" s="4"/>
      <c r="O36" s="742"/>
      <c r="P36" s="771"/>
      <c r="Q36" s="265"/>
    </row>
    <row r="37" spans="1:17" ht="15.75" customHeight="1" thickBot="1">
      <c r="A37" s="758"/>
      <c r="B37" s="765"/>
      <c r="C37" s="113">
        <v>5</v>
      </c>
      <c r="D37" s="485">
        <v>0</v>
      </c>
      <c r="E37" s="734"/>
      <c r="F37" s="735"/>
      <c r="G37" s="485">
        <v>0</v>
      </c>
      <c r="H37" s="734"/>
      <c r="I37" s="735"/>
      <c r="J37" s="4">
        <v>0</v>
      </c>
      <c r="K37" s="14">
        <v>0</v>
      </c>
      <c r="L37" s="4">
        <v>0</v>
      </c>
      <c r="M37" s="294">
        <v>0</v>
      </c>
      <c r="N37" s="4"/>
      <c r="O37" s="742"/>
      <c r="P37" s="771"/>
      <c r="Q37" s="265"/>
    </row>
    <row r="38" spans="1:17" ht="15.75" customHeight="1" thickTop="1" thickBot="1">
      <c r="A38" s="758"/>
      <c r="B38" s="765"/>
      <c r="C38" s="766"/>
      <c r="D38" s="766"/>
      <c r="E38" s="766"/>
      <c r="F38" s="766"/>
      <c r="G38" s="766"/>
      <c r="H38" s="766"/>
      <c r="I38" s="767"/>
      <c r="J38" s="119" t="s">
        <v>892</v>
      </c>
      <c r="K38" s="246">
        <v>5.1118186328182969E-4</v>
      </c>
      <c r="L38" s="119" t="s">
        <v>893</v>
      </c>
      <c r="M38" s="248">
        <v>256.68</v>
      </c>
      <c r="N38" s="768"/>
      <c r="O38" s="769"/>
      <c r="P38" s="770"/>
      <c r="Q38" s="265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26" customWidth="1"/>
    <col min="3" max="3" width="4" style="327" customWidth="1"/>
    <col min="4" max="17" width="9.5703125" style="183" customWidth="1"/>
    <col min="18" max="16384" width="12.5703125" style="183"/>
  </cols>
  <sheetData>
    <row r="1" spans="1:23" ht="15.75" customHeight="1">
      <c r="A1" s="703" t="s">
        <v>501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23" s="184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  <c r="R2" s="183"/>
      <c r="S2" s="183"/>
      <c r="T2" s="183"/>
      <c r="U2" s="183"/>
      <c r="V2" s="183"/>
      <c r="W2" s="183"/>
    </row>
    <row r="3" spans="1:23" ht="15.75" customHeight="1">
      <c r="A3" s="704" t="s">
        <v>502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185"/>
    </row>
    <row r="4" spans="1:23" s="184" customFormat="1" ht="15.75" customHeight="1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  <c r="N4" s="186"/>
      <c r="R4" s="183"/>
      <c r="S4" s="183"/>
      <c r="T4" s="183"/>
      <c r="U4" s="183"/>
      <c r="V4" s="183"/>
      <c r="W4" s="183"/>
    </row>
    <row r="5" spans="1:23" ht="15.75" customHeight="1">
      <c r="A5" s="706" t="s">
        <v>493</v>
      </c>
      <c r="B5" s="775">
        <v>1</v>
      </c>
      <c r="C5" s="775"/>
      <c r="D5" s="775">
        <v>2</v>
      </c>
      <c r="E5" s="775"/>
      <c r="F5" s="775">
        <v>3</v>
      </c>
      <c r="G5" s="775"/>
      <c r="H5" s="709">
        <v>4</v>
      </c>
      <c r="I5" s="709"/>
      <c r="J5" s="709">
        <v>5</v>
      </c>
      <c r="K5" s="709"/>
      <c r="L5" s="709">
        <v>6</v>
      </c>
      <c r="M5" s="709"/>
      <c r="N5" s="709">
        <v>7</v>
      </c>
      <c r="O5" s="709"/>
      <c r="P5" s="709">
        <v>8</v>
      </c>
      <c r="Q5" s="709"/>
    </row>
    <row r="6" spans="1:23" ht="15.75" customHeight="1">
      <c r="A6" s="706"/>
      <c r="B6" s="776" t="s">
        <v>503</v>
      </c>
      <c r="C6" s="776"/>
      <c r="D6" s="776" t="s">
        <v>504</v>
      </c>
      <c r="E6" s="776"/>
      <c r="F6" s="776" t="s">
        <v>505</v>
      </c>
      <c r="G6" s="776"/>
      <c r="H6" s="774" t="s">
        <v>506</v>
      </c>
      <c r="I6" s="706"/>
      <c r="J6" s="706" t="s">
        <v>507</v>
      </c>
      <c r="K6" s="706"/>
      <c r="L6" s="706" t="s">
        <v>508</v>
      </c>
      <c r="M6" s="706"/>
      <c r="N6" s="706" t="s">
        <v>509</v>
      </c>
      <c r="O6" s="706"/>
      <c r="P6" s="774" t="s">
        <v>510</v>
      </c>
      <c r="Q6" s="706"/>
    </row>
    <row r="8" spans="1:23" s="325" customFormat="1" ht="15.75" customHeight="1">
      <c r="A8" s="744" t="s">
        <v>883</v>
      </c>
      <c r="B8" s="745"/>
      <c r="C8" s="472" t="s">
        <v>884</v>
      </c>
      <c r="D8" s="746" t="s">
        <v>12</v>
      </c>
      <c r="E8" s="747"/>
      <c r="F8" s="748"/>
      <c r="G8" s="470" t="s">
        <v>885</v>
      </c>
      <c r="H8" s="471"/>
      <c r="I8" s="472"/>
      <c r="J8" s="170" t="s">
        <v>886</v>
      </c>
      <c r="K8" s="323" t="s">
        <v>914</v>
      </c>
      <c r="L8" s="170" t="s">
        <v>888</v>
      </c>
      <c r="M8" s="170" t="s">
        <v>11</v>
      </c>
      <c r="N8" s="323" t="s">
        <v>889</v>
      </c>
      <c r="O8" s="749" t="s">
        <v>890</v>
      </c>
      <c r="P8" s="750"/>
      <c r="R8" s="183"/>
      <c r="S8" s="183"/>
      <c r="T8" s="183"/>
      <c r="U8" s="183"/>
      <c r="V8" s="183"/>
      <c r="W8" s="183"/>
    </row>
    <row r="9" spans="1:23" ht="15.75" customHeight="1">
      <c r="A9" s="639">
        <v>1</v>
      </c>
      <c r="B9" s="731" t="s">
        <v>891</v>
      </c>
      <c r="C9" s="171">
        <v>1</v>
      </c>
      <c r="D9" s="485">
        <v>0</v>
      </c>
      <c r="E9" s="734"/>
      <c r="F9" s="735"/>
      <c r="G9" s="485">
        <v>0</v>
      </c>
      <c r="H9" s="734"/>
      <c r="I9" s="735"/>
      <c r="J9" s="4">
        <v>0</v>
      </c>
      <c r="K9" s="14">
        <v>0</v>
      </c>
      <c r="L9" s="324">
        <v>0</v>
      </c>
      <c r="M9" s="16">
        <v>0</v>
      </c>
      <c r="N9" s="172"/>
      <c r="O9" s="742"/>
      <c r="P9" s="743"/>
    </row>
    <row r="10" spans="1:23" ht="15.75" customHeight="1">
      <c r="A10" s="640"/>
      <c r="B10" s="732"/>
      <c r="C10" s="171">
        <v>2</v>
      </c>
      <c r="D10" s="485">
        <v>0</v>
      </c>
      <c r="E10" s="734"/>
      <c r="F10" s="735"/>
      <c r="G10" s="485">
        <v>0</v>
      </c>
      <c r="H10" s="734"/>
      <c r="I10" s="735"/>
      <c r="J10" s="4">
        <v>0</v>
      </c>
      <c r="K10" s="14">
        <v>0</v>
      </c>
      <c r="L10" s="324">
        <v>0</v>
      </c>
      <c r="M10" s="16">
        <v>0</v>
      </c>
      <c r="N10" s="172"/>
      <c r="O10" s="742"/>
      <c r="P10" s="743"/>
    </row>
    <row r="11" spans="1:23" ht="15.75" customHeight="1">
      <c r="A11" s="640"/>
      <c r="B11" s="732"/>
      <c r="C11" s="171">
        <v>3</v>
      </c>
      <c r="D11" s="485">
        <v>0</v>
      </c>
      <c r="E11" s="734"/>
      <c r="F11" s="735"/>
      <c r="G11" s="485">
        <v>0</v>
      </c>
      <c r="H11" s="734"/>
      <c r="I11" s="735"/>
      <c r="J11" s="4">
        <v>0</v>
      </c>
      <c r="K11" s="14">
        <v>0</v>
      </c>
      <c r="L11" s="324">
        <v>0</v>
      </c>
      <c r="M11" s="16">
        <v>0</v>
      </c>
      <c r="N11" s="172"/>
      <c r="O11" s="742"/>
      <c r="P11" s="743"/>
    </row>
    <row r="12" spans="1:23" ht="15.75" customHeight="1">
      <c r="A12" s="640"/>
      <c r="B12" s="732"/>
      <c r="C12" s="171">
        <v>4</v>
      </c>
      <c r="D12" s="485">
        <v>0</v>
      </c>
      <c r="E12" s="734"/>
      <c r="F12" s="735"/>
      <c r="G12" s="485">
        <v>0</v>
      </c>
      <c r="H12" s="734"/>
      <c r="I12" s="735"/>
      <c r="J12" s="4">
        <v>0</v>
      </c>
      <c r="K12" s="14">
        <v>0</v>
      </c>
      <c r="L12" s="324">
        <v>0</v>
      </c>
      <c r="M12" s="16">
        <v>0</v>
      </c>
      <c r="N12" s="172"/>
      <c r="O12" s="742"/>
      <c r="P12" s="743"/>
    </row>
    <row r="13" spans="1:23" ht="15.75" customHeight="1" thickBot="1">
      <c r="A13" s="640"/>
      <c r="B13" s="732"/>
      <c r="C13" s="173">
        <v>5</v>
      </c>
      <c r="D13" s="739">
        <v>0</v>
      </c>
      <c r="E13" s="740"/>
      <c r="F13" s="741"/>
      <c r="G13" s="739">
        <v>0</v>
      </c>
      <c r="H13" s="740"/>
      <c r="I13" s="741"/>
      <c r="J13" s="4">
        <v>0</v>
      </c>
      <c r="K13" s="14">
        <v>0</v>
      </c>
      <c r="L13" s="324">
        <v>0</v>
      </c>
      <c r="M13" s="16">
        <v>0</v>
      </c>
      <c r="N13" s="174"/>
      <c r="O13" s="752"/>
      <c r="P13" s="753"/>
    </row>
    <row r="14" spans="1:23" ht="15.75" customHeight="1" thickTop="1" thickBot="1">
      <c r="A14" s="641"/>
      <c r="B14" s="733"/>
      <c r="C14" s="725"/>
      <c r="D14" s="726"/>
      <c r="E14" s="726"/>
      <c r="F14" s="726"/>
      <c r="G14" s="726"/>
      <c r="H14" s="726"/>
      <c r="I14" s="727"/>
      <c r="J14" s="321" t="s">
        <v>892</v>
      </c>
      <c r="K14" s="246">
        <v>0</v>
      </c>
      <c r="L14" s="321" t="s">
        <v>893</v>
      </c>
      <c r="M14" s="248">
        <v>0</v>
      </c>
      <c r="N14" s="728"/>
      <c r="O14" s="729"/>
      <c r="P14" s="730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744" t="s">
        <v>883</v>
      </c>
      <c r="B16" s="745"/>
      <c r="C16" s="472" t="s">
        <v>884</v>
      </c>
      <c r="D16" s="746" t="s">
        <v>12</v>
      </c>
      <c r="E16" s="747"/>
      <c r="F16" s="748"/>
      <c r="G16" s="470" t="s">
        <v>885</v>
      </c>
      <c r="H16" s="471"/>
      <c r="I16" s="472"/>
      <c r="J16" s="170" t="s">
        <v>886</v>
      </c>
      <c r="K16" s="323" t="s">
        <v>914</v>
      </c>
      <c r="L16" s="170" t="s">
        <v>888</v>
      </c>
      <c r="M16" s="170" t="s">
        <v>11</v>
      </c>
      <c r="N16" s="323" t="s">
        <v>889</v>
      </c>
      <c r="O16" s="749" t="s">
        <v>890</v>
      </c>
      <c r="P16" s="750"/>
    </row>
    <row r="17" spans="1:16" ht="15.75" customHeight="1">
      <c r="A17" s="639">
        <v>2</v>
      </c>
      <c r="B17" s="731" t="s">
        <v>894</v>
      </c>
      <c r="C17" s="171">
        <v>1</v>
      </c>
      <c r="D17" s="485" t="s">
        <v>899</v>
      </c>
      <c r="E17" s="734"/>
      <c r="F17" s="735"/>
      <c r="G17" s="485" t="s">
        <v>900</v>
      </c>
      <c r="H17" s="734"/>
      <c r="I17" s="735"/>
      <c r="J17" s="324">
        <v>109.96</v>
      </c>
      <c r="K17" s="14">
        <v>8.3690987124463476E-2</v>
      </c>
      <c r="L17" s="324">
        <v>2.339999999999999</v>
      </c>
      <c r="M17" s="294">
        <v>257.30639999999983</v>
      </c>
      <c r="N17" s="172"/>
      <c r="O17" s="742" t="s">
        <v>495</v>
      </c>
      <c r="P17" s="743"/>
    </row>
    <row r="18" spans="1:16" ht="15.75" customHeight="1">
      <c r="A18" s="640"/>
      <c r="B18" s="732"/>
      <c r="C18" s="171">
        <v>2</v>
      </c>
      <c r="D18" s="485" t="s">
        <v>382</v>
      </c>
      <c r="E18" s="734"/>
      <c r="F18" s="735"/>
      <c r="G18" s="485" t="s">
        <v>604</v>
      </c>
      <c r="H18" s="734"/>
      <c r="I18" s="735"/>
      <c r="J18" s="324">
        <v>631.87</v>
      </c>
      <c r="K18" s="14">
        <v>0.11111111111111104</v>
      </c>
      <c r="L18" s="324">
        <v>0.30999999999999978</v>
      </c>
      <c r="M18" s="294">
        <v>195.87969999999984</v>
      </c>
      <c r="N18" s="172"/>
      <c r="O18" s="742" t="s">
        <v>495</v>
      </c>
      <c r="P18" s="743"/>
    </row>
    <row r="19" spans="1:16" ht="15.75" customHeight="1">
      <c r="A19" s="640"/>
      <c r="B19" s="732"/>
      <c r="C19" s="171">
        <v>3</v>
      </c>
      <c r="D19" s="485" t="s">
        <v>661</v>
      </c>
      <c r="E19" s="734"/>
      <c r="F19" s="735"/>
      <c r="G19" s="485" t="s">
        <v>681</v>
      </c>
      <c r="H19" s="734"/>
      <c r="I19" s="735"/>
      <c r="J19" s="324">
        <v>730.4</v>
      </c>
      <c r="K19" s="14">
        <v>0.25240847784200388</v>
      </c>
      <c r="L19" s="324">
        <v>0.26200000000000001</v>
      </c>
      <c r="M19" s="294">
        <v>191.3648</v>
      </c>
      <c r="N19" s="172"/>
      <c r="O19" s="742" t="s">
        <v>495</v>
      </c>
      <c r="P19" s="743"/>
    </row>
    <row r="20" spans="1:16" ht="15.75" customHeight="1">
      <c r="A20" s="640"/>
      <c r="B20" s="732"/>
      <c r="C20" s="171">
        <v>4</v>
      </c>
      <c r="D20" s="485" t="s">
        <v>375</v>
      </c>
      <c r="E20" s="734"/>
      <c r="F20" s="735"/>
      <c r="G20" s="485" t="s">
        <v>896</v>
      </c>
      <c r="H20" s="734"/>
      <c r="I20" s="735"/>
      <c r="J20" s="324">
        <v>418.41</v>
      </c>
      <c r="K20" s="14">
        <v>4.4806108097247339E-2</v>
      </c>
      <c r="L20" s="324">
        <v>0.44600000000000006</v>
      </c>
      <c r="M20" s="294">
        <v>186.61086</v>
      </c>
      <c r="N20" s="172"/>
      <c r="O20" s="742" t="s">
        <v>495</v>
      </c>
      <c r="P20" s="743"/>
    </row>
    <row r="21" spans="1:16" ht="15.75" customHeight="1" thickBot="1">
      <c r="A21" s="640"/>
      <c r="B21" s="732"/>
      <c r="C21" s="173">
        <v>5</v>
      </c>
      <c r="D21" s="485" t="s">
        <v>340</v>
      </c>
      <c r="E21" s="734"/>
      <c r="F21" s="735"/>
      <c r="G21" s="485" t="s">
        <v>607</v>
      </c>
      <c r="H21" s="734"/>
      <c r="I21" s="735"/>
      <c r="J21" s="324">
        <v>846.44</v>
      </c>
      <c r="K21" s="14">
        <v>5.6763285024154668E-2</v>
      </c>
      <c r="L21" s="324">
        <v>0.18800000000000025</v>
      </c>
      <c r="M21" s="294">
        <v>159.13072000000022</v>
      </c>
      <c r="N21" s="174"/>
      <c r="O21" s="752" t="s">
        <v>495</v>
      </c>
      <c r="P21" s="753"/>
    </row>
    <row r="22" spans="1:16" ht="15.75" customHeight="1" thickTop="1" thickBot="1">
      <c r="A22" s="641"/>
      <c r="B22" s="733"/>
      <c r="C22" s="736"/>
      <c r="D22" s="737"/>
      <c r="E22" s="737"/>
      <c r="F22" s="737"/>
      <c r="G22" s="737"/>
      <c r="H22" s="737"/>
      <c r="I22" s="738"/>
      <c r="J22" s="321" t="s">
        <v>892</v>
      </c>
      <c r="K22" s="246">
        <v>2.1823380196559798E-3</v>
      </c>
      <c r="L22" s="321" t="s">
        <v>893</v>
      </c>
      <c r="M22" s="248">
        <v>990.29247999999995</v>
      </c>
      <c r="N22" s="728"/>
      <c r="O22" s="729"/>
      <c r="P22" s="730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744" t="s">
        <v>883</v>
      </c>
      <c r="B24" s="745"/>
      <c r="C24" s="472" t="s">
        <v>884</v>
      </c>
      <c r="D24" s="746" t="s">
        <v>12</v>
      </c>
      <c r="E24" s="747"/>
      <c r="F24" s="748"/>
      <c r="G24" s="470" t="s">
        <v>885</v>
      </c>
      <c r="H24" s="471"/>
      <c r="I24" s="472"/>
      <c r="J24" s="170" t="s">
        <v>886</v>
      </c>
      <c r="K24" s="323" t="s">
        <v>914</v>
      </c>
      <c r="L24" s="170" t="s">
        <v>888</v>
      </c>
      <c r="M24" s="170" t="s">
        <v>11</v>
      </c>
      <c r="N24" s="323" t="s">
        <v>889</v>
      </c>
      <c r="O24" s="749" t="s">
        <v>890</v>
      </c>
      <c r="P24" s="750"/>
    </row>
    <row r="25" spans="1:16" ht="15.75" customHeight="1">
      <c r="A25" s="639">
        <v>3</v>
      </c>
      <c r="B25" s="731" t="s">
        <v>897</v>
      </c>
      <c r="C25" s="171">
        <v>1</v>
      </c>
      <c r="D25" s="485" t="s">
        <v>563</v>
      </c>
      <c r="E25" s="734"/>
      <c r="F25" s="735"/>
      <c r="G25" s="485" t="s">
        <v>567</v>
      </c>
      <c r="H25" s="734"/>
      <c r="I25" s="735"/>
      <c r="J25" s="324">
        <v>103.97</v>
      </c>
      <c r="K25" s="14">
        <v>2.3469761120694089E-2</v>
      </c>
      <c r="L25" s="324">
        <v>2.244999999999993</v>
      </c>
      <c r="M25" s="294">
        <v>233.4126499999993</v>
      </c>
      <c r="N25" s="172"/>
      <c r="O25" s="742" t="s">
        <v>915</v>
      </c>
      <c r="P25" s="743"/>
    </row>
    <row r="26" spans="1:16" ht="15.75" customHeight="1">
      <c r="A26" s="640"/>
      <c r="B26" s="732"/>
      <c r="C26" s="171">
        <v>2</v>
      </c>
      <c r="D26" s="485" t="s">
        <v>349</v>
      </c>
      <c r="E26" s="734"/>
      <c r="F26" s="735"/>
      <c r="G26" s="485" t="s">
        <v>610</v>
      </c>
      <c r="H26" s="734"/>
      <c r="I26" s="735"/>
      <c r="J26" s="324">
        <v>75.14</v>
      </c>
      <c r="K26" s="14">
        <v>2.8609010194015051E-2</v>
      </c>
      <c r="L26" s="324">
        <v>2.1749999999999945</v>
      </c>
      <c r="M26" s="294">
        <v>163.42949999999959</v>
      </c>
      <c r="N26" s="172"/>
      <c r="O26" s="742" t="s">
        <v>915</v>
      </c>
      <c r="P26" s="743"/>
    </row>
    <row r="27" spans="1:16" ht="15.75" customHeight="1">
      <c r="A27" s="640"/>
      <c r="B27" s="732"/>
      <c r="C27" s="171">
        <v>3</v>
      </c>
      <c r="D27" s="485" t="s">
        <v>598</v>
      </c>
      <c r="E27" s="734"/>
      <c r="F27" s="735"/>
      <c r="G27" s="485" t="s">
        <v>597</v>
      </c>
      <c r="H27" s="734"/>
      <c r="I27" s="735"/>
      <c r="J27" s="324">
        <v>73.930000000000007</v>
      </c>
      <c r="K27" s="14">
        <v>2.2044088176352741E-2</v>
      </c>
      <c r="L27" s="324">
        <v>2.0900000000000034</v>
      </c>
      <c r="M27" s="294">
        <v>154.51370000000026</v>
      </c>
      <c r="N27" s="172"/>
      <c r="O27" s="742" t="s">
        <v>915</v>
      </c>
      <c r="P27" s="743"/>
    </row>
    <row r="28" spans="1:16" ht="15.75" customHeight="1">
      <c r="A28" s="640"/>
      <c r="B28" s="732"/>
      <c r="C28" s="171">
        <v>4</v>
      </c>
      <c r="D28" s="485" t="s">
        <v>659</v>
      </c>
      <c r="E28" s="734"/>
      <c r="F28" s="735"/>
      <c r="G28" s="485" t="s">
        <v>916</v>
      </c>
      <c r="H28" s="734"/>
      <c r="I28" s="735"/>
      <c r="J28" s="324">
        <v>50.54</v>
      </c>
      <c r="K28" s="14">
        <v>2.39234449760766E-2</v>
      </c>
      <c r="L28" s="324">
        <v>3.0000000000000058</v>
      </c>
      <c r="M28" s="294">
        <v>151.62000000000029</v>
      </c>
      <c r="N28" s="172"/>
      <c r="O28" s="742" t="s">
        <v>915</v>
      </c>
      <c r="P28" s="743"/>
    </row>
    <row r="29" spans="1:16" ht="15.75" customHeight="1" thickBot="1">
      <c r="A29" s="640"/>
      <c r="B29" s="732"/>
      <c r="C29" s="173">
        <v>5</v>
      </c>
      <c r="D29" s="739" t="s">
        <v>379</v>
      </c>
      <c r="E29" s="740"/>
      <c r="F29" s="741"/>
      <c r="G29" s="739" t="s">
        <v>917</v>
      </c>
      <c r="H29" s="740"/>
      <c r="I29" s="741"/>
      <c r="J29" s="324">
        <v>66.989999999999995</v>
      </c>
      <c r="K29" s="14">
        <v>1.5833847419288435E-2</v>
      </c>
      <c r="L29" s="324">
        <v>1.9249999999999914</v>
      </c>
      <c r="M29" s="294">
        <v>128.9557499999994</v>
      </c>
      <c r="N29" s="174"/>
      <c r="O29" s="752" t="s">
        <v>915</v>
      </c>
      <c r="P29" s="753"/>
    </row>
    <row r="30" spans="1:16" ht="15.75" customHeight="1" thickTop="1" thickBot="1">
      <c r="A30" s="641"/>
      <c r="B30" s="733"/>
      <c r="C30" s="725"/>
      <c r="D30" s="726"/>
      <c r="E30" s="726"/>
      <c r="F30" s="726"/>
      <c r="G30" s="726"/>
      <c r="H30" s="726"/>
      <c r="I30" s="727"/>
      <c r="J30" s="321" t="s">
        <v>892</v>
      </c>
      <c r="K30" s="246">
        <v>1.8333532740077241E-3</v>
      </c>
      <c r="L30" s="321" t="s">
        <v>893</v>
      </c>
      <c r="M30" s="248">
        <v>831.93159999999898</v>
      </c>
      <c r="N30" s="728"/>
      <c r="O30" s="729"/>
      <c r="P30" s="730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29" customWidth="1"/>
    <col min="2" max="2" width="11.42578125" style="330" customWidth="1"/>
    <col min="3" max="3" width="4" style="331" customWidth="1"/>
    <col min="4" max="17" width="9.5703125" style="329" customWidth="1"/>
    <col min="18" max="16384" width="12.5703125" style="329"/>
  </cols>
  <sheetData>
    <row r="1" spans="1:23" s="183" customFormat="1" ht="15.75" customHeight="1">
      <c r="A1" s="703" t="s">
        <v>501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23" s="184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23" s="183" customFormat="1" ht="15.75" customHeight="1">
      <c r="A3" s="704" t="s">
        <v>502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185"/>
    </row>
    <row r="4" spans="1:23" s="184" customFormat="1" ht="15.75" customHeight="1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  <c r="N4" s="186"/>
    </row>
    <row r="5" spans="1:23" s="183" customFormat="1" ht="15.75" customHeight="1">
      <c r="A5" s="706" t="s">
        <v>493</v>
      </c>
      <c r="B5" s="709">
        <v>1</v>
      </c>
      <c r="C5" s="709"/>
      <c r="D5" s="709">
        <v>2</v>
      </c>
      <c r="E5" s="709"/>
      <c r="F5" s="709">
        <v>3</v>
      </c>
      <c r="G5" s="709"/>
      <c r="H5" s="775">
        <v>4</v>
      </c>
      <c r="I5" s="775"/>
      <c r="J5" s="775">
        <v>5</v>
      </c>
      <c r="K5" s="775"/>
      <c r="L5" s="775">
        <v>6</v>
      </c>
      <c r="M5" s="775"/>
      <c r="N5" s="775">
        <v>7</v>
      </c>
      <c r="O5" s="775"/>
      <c r="P5" s="709">
        <v>8</v>
      </c>
      <c r="Q5" s="709"/>
    </row>
    <row r="6" spans="1:23" s="183" customFormat="1" ht="15.75" customHeight="1">
      <c r="A6" s="706"/>
      <c r="B6" s="706" t="s">
        <v>503</v>
      </c>
      <c r="C6" s="706"/>
      <c r="D6" s="706" t="s">
        <v>504</v>
      </c>
      <c r="E6" s="706"/>
      <c r="F6" s="706" t="s">
        <v>505</v>
      </c>
      <c r="G6" s="706"/>
      <c r="H6" s="777" t="s">
        <v>506</v>
      </c>
      <c r="I6" s="776"/>
      <c r="J6" s="776" t="s">
        <v>507</v>
      </c>
      <c r="K6" s="776"/>
      <c r="L6" s="776" t="s">
        <v>508</v>
      </c>
      <c r="M6" s="776"/>
      <c r="N6" s="776" t="s">
        <v>509</v>
      </c>
      <c r="O6" s="776"/>
      <c r="P6" s="774" t="s">
        <v>510</v>
      </c>
      <c r="Q6" s="706"/>
    </row>
    <row r="7" spans="1:23" s="183" customFormat="1" ht="15.75" customHeight="1">
      <c r="B7" s="326"/>
      <c r="C7" s="327"/>
    </row>
    <row r="8" spans="1:23" s="328" customFormat="1" ht="15.75" customHeight="1">
      <c r="A8" s="757" t="s">
        <v>883</v>
      </c>
      <c r="B8" s="758"/>
      <c r="C8" s="117" t="s">
        <v>884</v>
      </c>
      <c r="D8" s="759" t="s">
        <v>12</v>
      </c>
      <c r="E8" s="760"/>
      <c r="F8" s="761"/>
      <c r="G8" s="115" t="s">
        <v>885</v>
      </c>
      <c r="H8" s="116"/>
      <c r="I8" s="117"/>
      <c r="J8" s="114" t="s">
        <v>886</v>
      </c>
      <c r="K8" s="114" t="s">
        <v>914</v>
      </c>
      <c r="L8" s="114" t="s">
        <v>888</v>
      </c>
      <c r="M8" s="118" t="s">
        <v>11</v>
      </c>
      <c r="N8" s="323" t="s">
        <v>889</v>
      </c>
      <c r="O8" s="762" t="s">
        <v>890</v>
      </c>
      <c r="P8" s="763"/>
      <c r="R8" s="183"/>
      <c r="S8" s="183"/>
      <c r="T8" s="183"/>
      <c r="U8" s="183"/>
      <c r="V8" s="183"/>
      <c r="W8" s="183"/>
    </row>
    <row r="9" spans="1:23" ht="15.75" customHeight="1">
      <c r="A9" s="758">
        <v>4</v>
      </c>
      <c r="B9" s="765" t="s">
        <v>491</v>
      </c>
      <c r="C9" s="112">
        <v>1</v>
      </c>
      <c r="D9" s="485" t="s">
        <v>662</v>
      </c>
      <c r="E9" s="734"/>
      <c r="F9" s="735"/>
      <c r="G9" s="485" t="s">
        <v>921</v>
      </c>
      <c r="H9" s="734"/>
      <c r="I9" s="735"/>
      <c r="J9" s="324">
        <v>705</v>
      </c>
      <c r="K9" s="14">
        <v>7.8291814946620832E-3</v>
      </c>
      <c r="L9" s="324">
        <v>0.27500000000000568</v>
      </c>
      <c r="M9" s="294">
        <v>193.87500000000401</v>
      </c>
      <c r="N9" s="4"/>
      <c r="O9" s="742" t="s">
        <v>454</v>
      </c>
      <c r="P9" s="771"/>
      <c r="R9" s="183"/>
      <c r="S9" s="183"/>
      <c r="T9" s="183"/>
      <c r="U9" s="183"/>
      <c r="V9" s="183"/>
      <c r="W9" s="183"/>
    </row>
    <row r="10" spans="1:23" ht="15.75" customHeight="1">
      <c r="A10" s="758"/>
      <c r="B10" s="765"/>
      <c r="C10" s="112">
        <v>2</v>
      </c>
      <c r="D10" s="485" t="s">
        <v>589</v>
      </c>
      <c r="E10" s="734"/>
      <c r="F10" s="735"/>
      <c r="G10" s="485" t="s">
        <v>599</v>
      </c>
      <c r="H10" s="734"/>
      <c r="I10" s="735"/>
      <c r="J10" s="324">
        <v>72.13</v>
      </c>
      <c r="K10" s="14">
        <v>1.2363500896411975E-2</v>
      </c>
      <c r="L10" s="324">
        <v>2.6549999999999896</v>
      </c>
      <c r="M10" s="294">
        <v>191.50514999999928</v>
      </c>
      <c r="N10" s="4"/>
      <c r="O10" s="742" t="s">
        <v>454</v>
      </c>
      <c r="P10" s="771"/>
      <c r="R10" s="183"/>
      <c r="S10" s="183"/>
      <c r="T10" s="183"/>
      <c r="U10" s="183"/>
      <c r="V10" s="183"/>
      <c r="W10" s="183"/>
    </row>
    <row r="11" spans="1:23" ht="15.75" customHeight="1">
      <c r="A11" s="758"/>
      <c r="B11" s="765"/>
      <c r="C11" s="112">
        <v>3</v>
      </c>
      <c r="D11" s="485" t="s">
        <v>372</v>
      </c>
      <c r="E11" s="734"/>
      <c r="F11" s="735"/>
      <c r="G11" s="485" t="s">
        <v>553</v>
      </c>
      <c r="H11" s="734"/>
      <c r="I11" s="735"/>
      <c r="J11" s="324">
        <v>432.07</v>
      </c>
      <c r="K11" s="14">
        <v>7.3839662447256933E-3</v>
      </c>
      <c r="L11" s="324">
        <v>0.41999999999999743</v>
      </c>
      <c r="M11" s="294">
        <v>181.46939999999893</v>
      </c>
      <c r="N11" s="4"/>
      <c r="O11" s="742" t="s">
        <v>454</v>
      </c>
      <c r="P11" s="771"/>
      <c r="R11" s="183"/>
      <c r="S11" s="183"/>
      <c r="T11" s="183"/>
      <c r="U11" s="183"/>
      <c r="V11" s="183"/>
      <c r="W11" s="183"/>
    </row>
    <row r="12" spans="1:23" ht="15.75" customHeight="1">
      <c r="A12" s="758"/>
      <c r="B12" s="765"/>
      <c r="C12" s="112">
        <v>4</v>
      </c>
      <c r="D12" s="485" t="s">
        <v>563</v>
      </c>
      <c r="E12" s="734"/>
      <c r="F12" s="735"/>
      <c r="G12" s="485" t="s">
        <v>567</v>
      </c>
      <c r="H12" s="734"/>
      <c r="I12" s="735"/>
      <c r="J12" s="324">
        <v>103.97</v>
      </c>
      <c r="K12" s="14">
        <v>1.7292966174755321E-2</v>
      </c>
      <c r="L12" s="324">
        <v>1.705000000000001</v>
      </c>
      <c r="M12" s="294">
        <v>177.2688500000001</v>
      </c>
      <c r="N12" s="4"/>
      <c r="O12" s="742" t="s">
        <v>454</v>
      </c>
      <c r="P12" s="771"/>
      <c r="R12" s="183"/>
      <c r="S12" s="183"/>
      <c r="T12" s="183"/>
      <c r="U12" s="183"/>
      <c r="V12" s="183"/>
      <c r="W12" s="183"/>
    </row>
    <row r="13" spans="1:23" ht="15.75" customHeight="1" thickBot="1">
      <c r="A13" s="758"/>
      <c r="B13" s="765"/>
      <c r="C13" s="113">
        <v>5</v>
      </c>
      <c r="D13" s="485" t="s">
        <v>588</v>
      </c>
      <c r="E13" s="734"/>
      <c r="F13" s="735"/>
      <c r="G13" s="485" t="s">
        <v>613</v>
      </c>
      <c r="H13" s="734"/>
      <c r="I13" s="735"/>
      <c r="J13" s="324">
        <v>71.38</v>
      </c>
      <c r="K13" s="14">
        <v>9.1304027685738098E-3</v>
      </c>
      <c r="L13" s="324">
        <v>2.4800000000000182</v>
      </c>
      <c r="M13" s="294">
        <v>177.02240000000128</v>
      </c>
      <c r="N13" s="4"/>
      <c r="O13" s="742" t="s">
        <v>454</v>
      </c>
      <c r="P13" s="771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758"/>
      <c r="B14" s="765"/>
      <c r="C14" s="773"/>
      <c r="D14" s="773"/>
      <c r="E14" s="773"/>
      <c r="F14" s="773"/>
      <c r="G14" s="773"/>
      <c r="H14" s="773"/>
      <c r="I14" s="773"/>
      <c r="J14" s="247" t="s">
        <v>892</v>
      </c>
      <c r="K14" s="246">
        <v>2.0299463339319038E-3</v>
      </c>
      <c r="L14" s="247" t="s">
        <v>893</v>
      </c>
      <c r="M14" s="248">
        <v>921.14080000000365</v>
      </c>
      <c r="N14" s="772"/>
      <c r="O14" s="772"/>
      <c r="P14" s="772"/>
      <c r="R14" s="183"/>
      <c r="S14" s="183"/>
      <c r="T14" s="183"/>
      <c r="U14" s="183"/>
      <c r="V14" s="183"/>
      <c r="W14" s="183"/>
    </row>
    <row r="15" spans="1:23" ht="15.75" customHeight="1" thickTop="1">
      <c r="A15" s="469"/>
      <c r="B15" s="111"/>
      <c r="C15" s="109"/>
      <c r="D15" s="469"/>
      <c r="E15" s="469"/>
      <c r="F15" s="469"/>
      <c r="G15" s="469"/>
      <c r="H15" s="469"/>
      <c r="I15" s="469"/>
      <c r="J15" s="469"/>
      <c r="K15" s="469"/>
      <c r="L15" s="469"/>
      <c r="M15" s="469"/>
      <c r="N15" s="469"/>
      <c r="O15" s="469"/>
      <c r="P15" s="469"/>
      <c r="R15" s="183"/>
      <c r="S15" s="183"/>
      <c r="T15" s="183"/>
      <c r="U15" s="183"/>
      <c r="V15" s="183"/>
      <c r="W15" s="183"/>
    </row>
    <row r="16" spans="1:23" ht="15.75" customHeight="1">
      <c r="A16" s="757" t="s">
        <v>883</v>
      </c>
      <c r="B16" s="758"/>
      <c r="C16" s="117" t="s">
        <v>884</v>
      </c>
      <c r="D16" s="759" t="s">
        <v>12</v>
      </c>
      <c r="E16" s="760"/>
      <c r="F16" s="761"/>
      <c r="G16" s="115" t="s">
        <v>885</v>
      </c>
      <c r="H16" s="116"/>
      <c r="I16" s="117"/>
      <c r="J16" s="114" t="s">
        <v>886</v>
      </c>
      <c r="K16" s="114" t="s">
        <v>914</v>
      </c>
      <c r="L16" s="114" t="s">
        <v>888</v>
      </c>
      <c r="M16" s="118" t="s">
        <v>11</v>
      </c>
      <c r="N16" s="323" t="s">
        <v>889</v>
      </c>
      <c r="O16" s="762" t="s">
        <v>890</v>
      </c>
      <c r="P16" s="763"/>
      <c r="R16" s="183"/>
      <c r="S16" s="183"/>
      <c r="T16" s="183"/>
      <c r="U16" s="183"/>
      <c r="V16" s="183"/>
      <c r="W16" s="183"/>
    </row>
    <row r="17" spans="1:23" ht="15.75" customHeight="1">
      <c r="A17" s="758">
        <v>5</v>
      </c>
      <c r="B17" s="764" t="s">
        <v>211</v>
      </c>
      <c r="C17" s="112">
        <v>1</v>
      </c>
      <c r="D17" s="485" t="s">
        <v>789</v>
      </c>
      <c r="E17" s="734"/>
      <c r="F17" s="735"/>
      <c r="G17" s="485" t="s">
        <v>351</v>
      </c>
      <c r="H17" s="734"/>
      <c r="I17" s="735"/>
      <c r="J17" s="324">
        <v>487.6</v>
      </c>
      <c r="K17" s="14">
        <v>3.7981551817688479E-3</v>
      </c>
      <c r="L17" s="324">
        <v>0.47599999999999909</v>
      </c>
      <c r="M17" s="294">
        <v>232.09759999999957</v>
      </c>
      <c r="N17" s="4"/>
      <c r="O17" s="742" t="s">
        <v>511</v>
      </c>
      <c r="P17" s="743"/>
      <c r="R17" s="183"/>
      <c r="S17" s="183"/>
      <c r="T17" s="183"/>
      <c r="U17" s="183"/>
      <c r="V17" s="183"/>
      <c r="W17" s="183"/>
    </row>
    <row r="18" spans="1:23" ht="15.75" customHeight="1">
      <c r="A18" s="758"/>
      <c r="B18" s="765"/>
      <c r="C18" s="112">
        <v>2</v>
      </c>
      <c r="D18" s="485" t="s">
        <v>388</v>
      </c>
      <c r="E18" s="734"/>
      <c r="F18" s="735"/>
      <c r="G18" s="485" t="s">
        <v>411</v>
      </c>
      <c r="H18" s="734"/>
      <c r="I18" s="735"/>
      <c r="J18" s="324">
        <v>420.33</v>
      </c>
      <c r="K18" s="14">
        <v>7.0493454179253231E-3</v>
      </c>
      <c r="L18" s="324">
        <v>0.48999999999998922</v>
      </c>
      <c r="M18" s="294">
        <v>205.96169999999546</v>
      </c>
      <c r="N18" s="4"/>
      <c r="O18" s="742" t="s">
        <v>511</v>
      </c>
      <c r="P18" s="771"/>
      <c r="R18" s="183"/>
      <c r="S18" s="183"/>
      <c r="T18" s="183"/>
      <c r="U18" s="183"/>
      <c r="V18" s="183"/>
      <c r="W18" s="183"/>
    </row>
    <row r="19" spans="1:23" ht="15.75" customHeight="1">
      <c r="A19" s="758"/>
      <c r="B19" s="765"/>
      <c r="C19" s="112">
        <v>3</v>
      </c>
      <c r="D19" s="485" t="s">
        <v>455</v>
      </c>
      <c r="E19" s="734"/>
      <c r="F19" s="735"/>
      <c r="G19" s="485" t="s">
        <v>554</v>
      </c>
      <c r="H19" s="734"/>
      <c r="I19" s="735"/>
      <c r="J19" s="324">
        <v>919.94</v>
      </c>
      <c r="K19" s="14">
        <v>8.9588377723970922E-2</v>
      </c>
      <c r="L19" s="324">
        <v>0.22199999999999998</v>
      </c>
      <c r="M19" s="294">
        <v>204.22667999999999</v>
      </c>
      <c r="N19" s="4"/>
      <c r="O19" s="742" t="s">
        <v>918</v>
      </c>
      <c r="P19" s="771"/>
      <c r="R19" s="183"/>
      <c r="S19" s="183"/>
      <c r="T19" s="183"/>
      <c r="U19" s="183"/>
      <c r="V19" s="183"/>
      <c r="W19" s="183"/>
    </row>
    <row r="20" spans="1:23" ht="15.75" customHeight="1">
      <c r="A20" s="758"/>
      <c r="B20" s="765"/>
      <c r="C20" s="112">
        <v>4</v>
      </c>
      <c r="D20" s="485" t="s">
        <v>353</v>
      </c>
      <c r="E20" s="734"/>
      <c r="F20" s="735"/>
      <c r="G20" s="485" t="s">
        <v>922</v>
      </c>
      <c r="H20" s="734"/>
      <c r="I20" s="735"/>
      <c r="J20" s="324">
        <v>581.91999999999996</v>
      </c>
      <c r="K20" s="14">
        <v>2.3988542785535277E-2</v>
      </c>
      <c r="L20" s="324">
        <v>0.33500000000000013</v>
      </c>
      <c r="M20" s="294">
        <v>194.94320000000005</v>
      </c>
      <c r="N20" s="4"/>
      <c r="O20" s="742" t="s">
        <v>918</v>
      </c>
      <c r="P20" s="771"/>
      <c r="R20" s="183"/>
      <c r="S20" s="183"/>
      <c r="T20" s="183"/>
      <c r="U20" s="183"/>
      <c r="V20" s="183"/>
      <c r="W20" s="183"/>
    </row>
    <row r="21" spans="1:23" ht="15.75" customHeight="1" thickBot="1">
      <c r="A21" s="758"/>
      <c r="B21" s="765"/>
      <c r="C21" s="113">
        <v>5</v>
      </c>
      <c r="D21" s="485" t="s">
        <v>372</v>
      </c>
      <c r="E21" s="734"/>
      <c r="F21" s="735"/>
      <c r="G21" s="485" t="s">
        <v>553</v>
      </c>
      <c r="H21" s="734"/>
      <c r="I21" s="735"/>
      <c r="J21" s="324">
        <v>432.07</v>
      </c>
      <c r="K21" s="14">
        <v>9.8765432098765083E-3</v>
      </c>
      <c r="L21" s="324">
        <v>0.39999999999999858</v>
      </c>
      <c r="M21" s="294">
        <v>172.82799999999938</v>
      </c>
      <c r="N21" s="4"/>
      <c r="O21" s="742" t="s">
        <v>511</v>
      </c>
      <c r="P21" s="771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758"/>
      <c r="B22" s="765"/>
      <c r="C22" s="766"/>
      <c r="D22" s="766"/>
      <c r="E22" s="766"/>
      <c r="F22" s="766"/>
      <c r="G22" s="766"/>
      <c r="H22" s="766"/>
      <c r="I22" s="767"/>
      <c r="J22" s="119" t="s">
        <v>892</v>
      </c>
      <c r="K22" s="246">
        <v>2.225894097408971E-3</v>
      </c>
      <c r="L22" s="119" t="s">
        <v>893</v>
      </c>
      <c r="M22" s="248">
        <v>1010.0571799999944</v>
      </c>
      <c r="N22" s="768"/>
      <c r="O22" s="769"/>
      <c r="P22" s="770"/>
      <c r="R22" s="183"/>
      <c r="S22" s="183"/>
      <c r="T22" s="183"/>
      <c r="U22" s="183"/>
      <c r="V22" s="183"/>
      <c r="W22" s="183"/>
    </row>
    <row r="23" spans="1:23" ht="15.75" customHeight="1" thickTop="1">
      <c r="A23" s="469"/>
      <c r="B23" s="111"/>
      <c r="C23" s="109"/>
      <c r="D23" s="469"/>
      <c r="E23" s="469"/>
      <c r="F23" s="469"/>
      <c r="G23" s="469"/>
      <c r="H23" s="469"/>
      <c r="I23" s="469"/>
      <c r="J23" s="469"/>
      <c r="K23" s="469"/>
      <c r="L23" s="469"/>
      <c r="M23" s="469"/>
      <c r="N23" s="469"/>
      <c r="O23" s="469"/>
      <c r="P23" s="469"/>
      <c r="R23" s="183"/>
      <c r="S23" s="183"/>
      <c r="T23" s="183"/>
      <c r="U23" s="183"/>
      <c r="V23" s="183"/>
      <c r="W23" s="183"/>
    </row>
    <row r="24" spans="1:23" ht="15.75" customHeight="1">
      <c r="A24" s="757" t="s">
        <v>883</v>
      </c>
      <c r="B24" s="758"/>
      <c r="C24" s="117" t="s">
        <v>884</v>
      </c>
      <c r="D24" s="759" t="s">
        <v>12</v>
      </c>
      <c r="E24" s="760"/>
      <c r="F24" s="761"/>
      <c r="G24" s="115" t="s">
        <v>885</v>
      </c>
      <c r="H24" s="116"/>
      <c r="I24" s="117"/>
      <c r="J24" s="114" t="s">
        <v>886</v>
      </c>
      <c r="K24" s="114" t="s">
        <v>914</v>
      </c>
      <c r="L24" s="114" t="s">
        <v>888</v>
      </c>
      <c r="M24" s="118" t="s">
        <v>11</v>
      </c>
      <c r="N24" s="323" t="s">
        <v>889</v>
      </c>
      <c r="O24" s="762" t="s">
        <v>890</v>
      </c>
      <c r="P24" s="763"/>
      <c r="R24" s="183"/>
      <c r="S24" s="183"/>
      <c r="T24" s="183"/>
      <c r="U24" s="183"/>
      <c r="V24" s="183"/>
      <c r="W24" s="183"/>
    </row>
    <row r="25" spans="1:23" ht="15.75" customHeight="1">
      <c r="A25" s="758">
        <v>6</v>
      </c>
      <c r="B25" s="764" t="s">
        <v>212</v>
      </c>
      <c r="C25" s="112">
        <v>1</v>
      </c>
      <c r="D25" s="485" t="s">
        <v>378</v>
      </c>
      <c r="E25" s="734"/>
      <c r="F25" s="735"/>
      <c r="G25" s="485" t="s">
        <v>410</v>
      </c>
      <c r="H25" s="734"/>
      <c r="I25" s="735"/>
      <c r="J25" s="324">
        <v>930.36</v>
      </c>
      <c r="K25" s="14">
        <v>3.200371057513908E-2</v>
      </c>
      <c r="L25" s="324">
        <v>0.27599999999999947</v>
      </c>
      <c r="M25" s="294">
        <v>256.77935999999949</v>
      </c>
      <c r="N25" s="4"/>
      <c r="O25" s="742" t="s">
        <v>923</v>
      </c>
      <c r="P25" s="771"/>
      <c r="R25" s="183"/>
      <c r="S25" s="183"/>
      <c r="T25" s="183"/>
      <c r="U25" s="183"/>
      <c r="V25" s="183"/>
      <c r="W25" s="183"/>
    </row>
    <row r="26" spans="1:23" ht="15.75" customHeight="1">
      <c r="A26" s="758"/>
      <c r="B26" s="765"/>
      <c r="C26" s="112">
        <v>2</v>
      </c>
      <c r="D26" s="485" t="s">
        <v>789</v>
      </c>
      <c r="E26" s="734"/>
      <c r="F26" s="735"/>
      <c r="G26" s="485" t="s">
        <v>351</v>
      </c>
      <c r="H26" s="734"/>
      <c r="I26" s="735"/>
      <c r="J26" s="324">
        <v>487.6</v>
      </c>
      <c r="K26" s="14">
        <v>6.5486296386126795E-3</v>
      </c>
      <c r="L26" s="324">
        <v>0.48600000000000138</v>
      </c>
      <c r="M26" s="294">
        <v>236.97360000000069</v>
      </c>
      <c r="N26" s="4"/>
      <c r="O26" s="742" t="s">
        <v>909</v>
      </c>
      <c r="P26" s="771"/>
      <c r="R26" s="183"/>
      <c r="S26" s="183"/>
      <c r="T26" s="183"/>
      <c r="U26" s="183"/>
      <c r="V26" s="183"/>
      <c r="W26" s="183"/>
    </row>
    <row r="27" spans="1:23" ht="15.75" customHeight="1">
      <c r="A27" s="758"/>
      <c r="B27" s="765"/>
      <c r="C27" s="112">
        <v>3</v>
      </c>
      <c r="D27" s="485" t="s">
        <v>414</v>
      </c>
      <c r="E27" s="734"/>
      <c r="F27" s="735"/>
      <c r="G27" s="485" t="s">
        <v>415</v>
      </c>
      <c r="H27" s="734"/>
      <c r="I27" s="735"/>
      <c r="J27" s="324">
        <v>444.88</v>
      </c>
      <c r="K27" s="14">
        <v>2.4865591397849367E-2</v>
      </c>
      <c r="L27" s="324">
        <v>0.44399999999999834</v>
      </c>
      <c r="M27" s="294">
        <v>197.52671999999927</v>
      </c>
      <c r="N27" s="4"/>
      <c r="O27" s="742" t="s">
        <v>908</v>
      </c>
      <c r="P27" s="771"/>
      <c r="R27" s="183"/>
      <c r="S27" s="183"/>
      <c r="T27" s="183"/>
      <c r="U27" s="183"/>
      <c r="V27" s="183"/>
      <c r="W27" s="183"/>
    </row>
    <row r="28" spans="1:23" ht="15.75" customHeight="1">
      <c r="A28" s="758"/>
      <c r="B28" s="765"/>
      <c r="C28" s="112">
        <v>4</v>
      </c>
      <c r="D28" s="485" t="s">
        <v>346</v>
      </c>
      <c r="E28" s="734"/>
      <c r="F28" s="735"/>
      <c r="G28" s="485" t="s">
        <v>345</v>
      </c>
      <c r="H28" s="734"/>
      <c r="I28" s="735"/>
      <c r="J28" s="324">
        <v>758.19</v>
      </c>
      <c r="K28" s="14">
        <v>1.7249004865103883E-2</v>
      </c>
      <c r="L28" s="324">
        <v>0.23399999999999926</v>
      </c>
      <c r="M28" s="294">
        <v>177.41645999999949</v>
      </c>
      <c r="N28" s="4"/>
      <c r="O28" s="742" t="s">
        <v>919</v>
      </c>
      <c r="P28" s="771"/>
      <c r="R28" s="183"/>
      <c r="S28" s="183"/>
      <c r="T28" s="183"/>
      <c r="U28" s="183"/>
      <c r="V28" s="183"/>
      <c r="W28" s="183"/>
    </row>
    <row r="29" spans="1:23" ht="15.75" customHeight="1" thickBot="1">
      <c r="A29" s="758"/>
      <c r="B29" s="765"/>
      <c r="C29" s="113">
        <v>5</v>
      </c>
      <c r="D29" s="485" t="s">
        <v>615</v>
      </c>
      <c r="E29" s="734"/>
      <c r="F29" s="735"/>
      <c r="G29" s="485" t="s">
        <v>924</v>
      </c>
      <c r="H29" s="734"/>
      <c r="I29" s="735"/>
      <c r="J29" s="324">
        <v>63.92</v>
      </c>
      <c r="K29" s="14">
        <v>1.7911751856706012E-2</v>
      </c>
      <c r="L29" s="324">
        <v>2.0500000000000029</v>
      </c>
      <c r="M29" s="294">
        <v>131.03600000000017</v>
      </c>
      <c r="N29" s="4"/>
      <c r="O29" s="742" t="s">
        <v>925</v>
      </c>
      <c r="P29" s="771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758"/>
      <c r="B30" s="765"/>
      <c r="C30" s="766"/>
      <c r="D30" s="766"/>
      <c r="E30" s="766"/>
      <c r="F30" s="766"/>
      <c r="G30" s="766"/>
      <c r="H30" s="766"/>
      <c r="I30" s="767"/>
      <c r="J30" s="119" t="s">
        <v>892</v>
      </c>
      <c r="K30" s="246">
        <v>2.2031404889533575E-3</v>
      </c>
      <c r="L30" s="119" t="s">
        <v>893</v>
      </c>
      <c r="M30" s="248">
        <v>999.73213999999905</v>
      </c>
      <c r="N30" s="768"/>
      <c r="O30" s="769"/>
      <c r="P30" s="770"/>
      <c r="R30" s="183"/>
      <c r="S30" s="183"/>
      <c r="T30" s="183"/>
      <c r="U30" s="183"/>
      <c r="V30" s="183"/>
      <c r="W30" s="183"/>
    </row>
    <row r="31" spans="1:23" ht="15.75" customHeight="1" thickTop="1">
      <c r="A31" s="469"/>
      <c r="B31" s="111"/>
      <c r="C31" s="109"/>
      <c r="D31" s="469"/>
      <c r="E31" s="469"/>
      <c r="F31" s="469"/>
      <c r="G31" s="469"/>
      <c r="H31" s="469"/>
      <c r="I31" s="469"/>
      <c r="J31" s="469"/>
      <c r="K31" s="469"/>
      <c r="L31" s="469"/>
      <c r="M31" s="469"/>
      <c r="N31" s="469"/>
      <c r="O31" s="469"/>
      <c r="P31" s="469"/>
      <c r="R31" s="183"/>
      <c r="S31" s="183"/>
      <c r="T31" s="183"/>
      <c r="U31" s="183"/>
      <c r="V31" s="183"/>
      <c r="W31" s="183"/>
    </row>
    <row r="32" spans="1:23" ht="15.75" customHeight="1">
      <c r="A32" s="757" t="s">
        <v>883</v>
      </c>
      <c r="B32" s="758"/>
      <c r="C32" s="117" t="s">
        <v>884</v>
      </c>
      <c r="D32" s="759" t="s">
        <v>12</v>
      </c>
      <c r="E32" s="760"/>
      <c r="F32" s="761"/>
      <c r="G32" s="115" t="s">
        <v>885</v>
      </c>
      <c r="H32" s="116"/>
      <c r="I32" s="117"/>
      <c r="J32" s="114" t="s">
        <v>886</v>
      </c>
      <c r="K32" s="114" t="s">
        <v>914</v>
      </c>
      <c r="L32" s="114" t="s">
        <v>888</v>
      </c>
      <c r="M32" s="118" t="s">
        <v>11</v>
      </c>
      <c r="N32" s="118" t="s">
        <v>13</v>
      </c>
      <c r="O32" s="762" t="s">
        <v>890</v>
      </c>
      <c r="P32" s="763"/>
      <c r="R32" s="183"/>
      <c r="S32" s="183"/>
      <c r="T32" s="183"/>
      <c r="U32" s="183"/>
      <c r="V32" s="183"/>
      <c r="W32" s="183"/>
    </row>
    <row r="33" spans="1:23" ht="15.75" customHeight="1">
      <c r="A33" s="758">
        <v>7</v>
      </c>
      <c r="B33" s="764" t="s">
        <v>910</v>
      </c>
      <c r="C33" s="112">
        <v>1</v>
      </c>
      <c r="D33" s="485" t="s">
        <v>790</v>
      </c>
      <c r="E33" s="734"/>
      <c r="F33" s="735"/>
      <c r="G33" s="485" t="s">
        <v>911</v>
      </c>
      <c r="H33" s="734"/>
      <c r="I33" s="735"/>
      <c r="J33" s="324">
        <v>651.53</v>
      </c>
      <c r="K33" s="14">
        <v>4.6284280647114814E-3</v>
      </c>
      <c r="L33" s="324">
        <v>0.4280000000000001</v>
      </c>
      <c r="M33" s="294">
        <v>278.85484000000008</v>
      </c>
      <c r="N33" s="4"/>
      <c r="O33" s="742" t="s">
        <v>912</v>
      </c>
      <c r="P33" s="771"/>
      <c r="R33" s="183"/>
      <c r="S33" s="183"/>
      <c r="T33" s="183"/>
      <c r="U33" s="183"/>
      <c r="V33" s="183"/>
      <c r="W33" s="183"/>
    </row>
    <row r="34" spans="1:23" ht="15.75" customHeight="1">
      <c r="A34" s="758"/>
      <c r="B34" s="765"/>
      <c r="C34" s="112">
        <v>2</v>
      </c>
      <c r="D34" s="485" t="s">
        <v>340</v>
      </c>
      <c r="E34" s="734"/>
      <c r="F34" s="735"/>
      <c r="G34" s="485" t="s">
        <v>607</v>
      </c>
      <c r="H34" s="734"/>
      <c r="I34" s="735"/>
      <c r="J34" s="324">
        <v>846.44</v>
      </c>
      <c r="K34" s="14">
        <v>6.3829787234042451E-2</v>
      </c>
      <c r="L34" s="324">
        <v>0.26999999999999957</v>
      </c>
      <c r="M34" s="294">
        <v>228.53879999999967</v>
      </c>
      <c r="N34" s="4"/>
      <c r="O34" s="742" t="s">
        <v>912</v>
      </c>
      <c r="P34" s="771"/>
      <c r="R34" s="183"/>
      <c r="S34" s="183"/>
      <c r="T34" s="183"/>
      <c r="U34" s="183"/>
      <c r="V34" s="183"/>
      <c r="W34" s="183"/>
    </row>
    <row r="35" spans="1:23" ht="15.75" customHeight="1">
      <c r="A35" s="758"/>
      <c r="B35" s="765"/>
      <c r="C35" s="112">
        <v>3</v>
      </c>
      <c r="D35" s="485" t="s">
        <v>790</v>
      </c>
      <c r="E35" s="734"/>
      <c r="F35" s="735"/>
      <c r="G35" s="485" t="s">
        <v>911</v>
      </c>
      <c r="H35" s="734"/>
      <c r="I35" s="735"/>
      <c r="J35" s="324">
        <v>651.53</v>
      </c>
      <c r="K35" s="14">
        <v>4.9959335424655969E-3</v>
      </c>
      <c r="L35" s="324">
        <v>0.34400000000001113</v>
      </c>
      <c r="M35" s="294">
        <v>224.12632000000721</v>
      </c>
      <c r="N35" s="4"/>
      <c r="O35" s="742" t="s">
        <v>912</v>
      </c>
      <c r="P35" s="771"/>
      <c r="R35" s="183"/>
      <c r="S35" s="183"/>
      <c r="T35" s="183"/>
      <c r="U35" s="183"/>
      <c r="V35" s="183"/>
      <c r="W35" s="183"/>
    </row>
    <row r="36" spans="1:23" ht="15.75" customHeight="1">
      <c r="A36" s="758"/>
      <c r="B36" s="765"/>
      <c r="C36" s="112">
        <v>4</v>
      </c>
      <c r="D36" s="485" t="s">
        <v>926</v>
      </c>
      <c r="E36" s="734"/>
      <c r="F36" s="735"/>
      <c r="G36" s="485" t="s">
        <v>927</v>
      </c>
      <c r="H36" s="734"/>
      <c r="I36" s="735"/>
      <c r="J36" s="324">
        <v>2485</v>
      </c>
      <c r="K36" s="14">
        <v>1.1029411764705951E-2</v>
      </c>
      <c r="L36" s="324">
        <v>8.4000000000000519E-2</v>
      </c>
      <c r="M36" s="294">
        <v>208.74000000000129</v>
      </c>
      <c r="N36" s="4"/>
      <c r="O36" s="742" t="s">
        <v>920</v>
      </c>
      <c r="P36" s="771"/>
      <c r="R36" s="183"/>
      <c r="S36" s="183"/>
      <c r="T36" s="183"/>
      <c r="U36" s="183"/>
      <c r="V36" s="183"/>
      <c r="W36" s="183"/>
    </row>
    <row r="37" spans="1:23" ht="15.75" customHeight="1" thickBot="1">
      <c r="A37" s="758"/>
      <c r="B37" s="765"/>
      <c r="C37" s="113">
        <v>5</v>
      </c>
      <c r="D37" s="485" t="s">
        <v>594</v>
      </c>
      <c r="E37" s="734"/>
      <c r="F37" s="735"/>
      <c r="G37" s="485" t="s">
        <v>595</v>
      </c>
      <c r="H37" s="734"/>
      <c r="I37" s="735"/>
      <c r="J37" s="324">
        <v>1760</v>
      </c>
      <c r="K37" s="14">
        <v>3.1592520954223186E-2</v>
      </c>
      <c r="L37" s="324">
        <v>9.8000000000000309E-2</v>
      </c>
      <c r="M37" s="294">
        <v>172.48000000000053</v>
      </c>
      <c r="N37" s="4"/>
      <c r="O37" s="742" t="s">
        <v>920</v>
      </c>
      <c r="P37" s="771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758"/>
      <c r="B38" s="765"/>
      <c r="C38" s="766"/>
      <c r="D38" s="766"/>
      <c r="E38" s="766"/>
      <c r="F38" s="766"/>
      <c r="G38" s="766"/>
      <c r="H38" s="766"/>
      <c r="I38" s="767"/>
      <c r="J38" s="119" t="s">
        <v>892</v>
      </c>
      <c r="K38" s="246">
        <v>2.4521793002997391E-3</v>
      </c>
      <c r="L38" s="119" t="s">
        <v>893</v>
      </c>
      <c r="M38" s="248">
        <v>1112.7399600000088</v>
      </c>
      <c r="N38" s="768"/>
      <c r="O38" s="769"/>
      <c r="P38" s="770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30" sqref="L30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512" t="s">
        <v>203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21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662" t="s">
        <v>214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</row>
    <row r="4" spans="1:17" s="121" customFormat="1" ht="15.75" customHeight="1">
      <c r="A4" s="783"/>
      <c r="B4" s="783"/>
      <c r="C4" s="783"/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783"/>
      <c r="O4" s="783"/>
      <c r="P4" s="783"/>
      <c r="Q4" s="783"/>
    </row>
    <row r="5" spans="1:17" ht="15.75" customHeight="1">
      <c r="A5" s="531" t="s">
        <v>189</v>
      </c>
      <c r="B5" s="751">
        <v>1</v>
      </c>
      <c r="C5" s="751"/>
      <c r="D5" s="751">
        <v>2</v>
      </c>
      <c r="E5" s="751"/>
      <c r="F5" s="751">
        <v>3</v>
      </c>
      <c r="G5" s="751"/>
      <c r="H5" s="751">
        <v>4</v>
      </c>
      <c r="I5" s="751"/>
      <c r="J5" s="751">
        <v>5</v>
      </c>
      <c r="K5" s="751"/>
      <c r="L5" s="751">
        <v>6</v>
      </c>
      <c r="M5" s="751"/>
      <c r="N5" s="751">
        <v>7</v>
      </c>
      <c r="O5" s="751"/>
      <c r="P5" s="755">
        <v>8</v>
      </c>
      <c r="Q5" s="755"/>
    </row>
    <row r="6" spans="1:17" ht="15.75" customHeight="1">
      <c r="A6" s="531"/>
      <c r="B6" s="531" t="s">
        <v>320</v>
      </c>
      <c r="C6" s="531"/>
      <c r="D6" s="531" t="s">
        <v>215</v>
      </c>
      <c r="E6" s="531"/>
      <c r="F6" s="531" t="s">
        <v>163</v>
      </c>
      <c r="G6" s="531"/>
      <c r="H6" s="531" t="s">
        <v>491</v>
      </c>
      <c r="I6" s="531"/>
      <c r="J6" s="531" t="s">
        <v>187</v>
      </c>
      <c r="K6" s="531"/>
      <c r="L6" s="531" t="s">
        <v>164</v>
      </c>
      <c r="M6" s="531"/>
      <c r="N6" s="531" t="s">
        <v>188</v>
      </c>
      <c r="O6" s="531"/>
      <c r="P6" s="756" t="s">
        <v>216</v>
      </c>
      <c r="Q6" s="756"/>
    </row>
    <row r="8" spans="1:17" s="154" customFormat="1" ht="15.75" customHeight="1">
      <c r="A8" s="163" t="s">
        <v>191</v>
      </c>
      <c r="B8" s="180" t="s">
        <v>18</v>
      </c>
      <c r="C8" s="781" t="s">
        <v>12</v>
      </c>
      <c r="D8" s="781"/>
      <c r="E8" s="781"/>
      <c r="F8" s="781" t="s">
        <v>53</v>
      </c>
      <c r="G8" s="781"/>
      <c r="H8" s="781"/>
      <c r="I8" s="180" t="s">
        <v>54</v>
      </c>
      <c r="J8" s="181" t="s">
        <v>19</v>
      </c>
      <c r="K8" s="180" t="s">
        <v>57</v>
      </c>
      <c r="L8" s="180" t="s">
        <v>2</v>
      </c>
      <c r="M8" s="784" t="s">
        <v>50</v>
      </c>
      <c r="N8" s="785"/>
      <c r="O8" s="785"/>
      <c r="P8" s="785"/>
      <c r="Q8" s="785"/>
    </row>
    <row r="9" spans="1:17" ht="15.75" customHeight="1">
      <c r="A9" s="781" t="s">
        <v>190</v>
      </c>
      <c r="B9" s="156">
        <v>1</v>
      </c>
      <c r="C9" s="679"/>
      <c r="D9" s="678"/>
      <c r="E9" s="678"/>
      <c r="F9" s="679"/>
      <c r="G9" s="678"/>
      <c r="H9" s="678"/>
      <c r="I9" s="164"/>
      <c r="J9" s="178"/>
      <c r="K9" s="178"/>
      <c r="L9" s="179">
        <f>K9-J9</f>
        <v>0</v>
      </c>
      <c r="M9" s="679"/>
      <c r="N9" s="679"/>
      <c r="O9" s="679"/>
      <c r="P9" s="679"/>
      <c r="Q9" s="679"/>
    </row>
    <row r="10" spans="1:17" ht="15.75" customHeight="1">
      <c r="A10" s="782"/>
      <c r="B10" s="156">
        <v>2</v>
      </c>
      <c r="C10" s="679"/>
      <c r="D10" s="678"/>
      <c r="E10" s="678"/>
      <c r="F10" s="679"/>
      <c r="G10" s="678"/>
      <c r="H10" s="678"/>
      <c r="I10" s="164"/>
      <c r="J10" s="178"/>
      <c r="K10" s="178"/>
      <c r="L10" s="179">
        <f>K10-J10</f>
        <v>0</v>
      </c>
      <c r="M10" s="679"/>
      <c r="N10" s="679"/>
      <c r="O10" s="679"/>
      <c r="P10" s="679"/>
      <c r="Q10" s="679"/>
    </row>
    <row r="11" spans="1:17" ht="15.75" customHeight="1">
      <c r="A11" s="782"/>
      <c r="B11" s="156">
        <v>3</v>
      </c>
      <c r="C11" s="679"/>
      <c r="D11" s="678"/>
      <c r="E11" s="678"/>
      <c r="F11" s="679"/>
      <c r="G11" s="678"/>
      <c r="H11" s="678"/>
      <c r="I11" s="164"/>
      <c r="J11" s="178"/>
      <c r="K11" s="178"/>
      <c r="L11" s="179">
        <f>K11-J11</f>
        <v>0</v>
      </c>
      <c r="M11" s="679"/>
      <c r="N11" s="679"/>
      <c r="O11" s="679"/>
      <c r="P11" s="679"/>
      <c r="Q11" s="679"/>
    </row>
    <row r="12" spans="1:17" ht="15.75" customHeight="1">
      <c r="A12" s="782"/>
      <c r="B12" s="156">
        <v>4</v>
      </c>
      <c r="C12" s="679"/>
      <c r="D12" s="678"/>
      <c r="E12" s="678"/>
      <c r="F12" s="679"/>
      <c r="G12" s="678"/>
      <c r="H12" s="678"/>
      <c r="I12" s="164"/>
      <c r="J12" s="178"/>
      <c r="K12" s="178"/>
      <c r="L12" s="179">
        <f>K12-J12</f>
        <v>0</v>
      </c>
      <c r="M12" s="679"/>
      <c r="N12" s="679"/>
      <c r="O12" s="679"/>
      <c r="P12" s="679"/>
      <c r="Q12" s="679"/>
    </row>
    <row r="13" spans="1:17" ht="15.75" customHeight="1">
      <c r="A13" s="782"/>
      <c r="B13" s="156">
        <v>5</v>
      </c>
      <c r="C13" s="679"/>
      <c r="D13" s="678"/>
      <c r="E13" s="678"/>
      <c r="F13" s="679"/>
      <c r="G13" s="678"/>
      <c r="H13" s="678"/>
      <c r="I13" s="164"/>
      <c r="J13" s="178"/>
      <c r="K13" s="178"/>
      <c r="L13" s="179">
        <f>K13-J13</f>
        <v>0</v>
      </c>
      <c r="M13" s="679"/>
      <c r="N13" s="679"/>
      <c r="O13" s="679"/>
      <c r="P13" s="679"/>
      <c r="Q13" s="679"/>
    </row>
    <row r="14" spans="1:17" ht="15.75" customHeight="1">
      <c r="A14" s="779"/>
      <c r="B14" s="779"/>
      <c r="C14" s="779"/>
      <c r="D14" s="779"/>
      <c r="E14" s="779"/>
      <c r="F14" s="779"/>
      <c r="G14" s="779"/>
      <c r="H14" s="779"/>
      <c r="I14" s="779"/>
      <c r="J14" s="779"/>
      <c r="K14" s="779"/>
      <c r="L14" s="779"/>
      <c r="M14" s="779"/>
      <c r="N14" s="779"/>
      <c r="O14" s="780"/>
    </row>
    <row r="15" spans="1:17" s="154" customFormat="1" ht="15.75" customHeight="1">
      <c r="A15" s="163" t="s">
        <v>191</v>
      </c>
      <c r="B15" s="163" t="s">
        <v>18</v>
      </c>
      <c r="C15" s="778" t="s">
        <v>12</v>
      </c>
      <c r="D15" s="778"/>
      <c r="E15" s="778"/>
      <c r="F15" s="778" t="s">
        <v>53</v>
      </c>
      <c r="G15" s="778"/>
      <c r="H15" s="778"/>
      <c r="I15" s="163" t="s">
        <v>54</v>
      </c>
      <c r="J15" s="177" t="s">
        <v>19</v>
      </c>
      <c r="K15" s="163" t="s">
        <v>57</v>
      </c>
      <c r="L15" s="163" t="s">
        <v>2</v>
      </c>
      <c r="M15" s="778" t="s">
        <v>50</v>
      </c>
      <c r="N15" s="778"/>
      <c r="O15" s="778"/>
      <c r="P15" s="778"/>
      <c r="Q15" s="778"/>
    </row>
    <row r="16" spans="1:17" ht="15.75" customHeight="1">
      <c r="A16" s="778" t="s">
        <v>192</v>
      </c>
      <c r="B16" s="156">
        <v>1</v>
      </c>
      <c r="C16" s="679"/>
      <c r="D16" s="678"/>
      <c r="E16" s="678"/>
      <c r="F16" s="679"/>
      <c r="G16" s="678"/>
      <c r="H16" s="678"/>
      <c r="I16" s="164"/>
      <c r="J16" s="178"/>
      <c r="K16" s="178"/>
      <c r="L16" s="179">
        <f>K16-J16</f>
        <v>0</v>
      </c>
      <c r="M16" s="679"/>
      <c r="N16" s="679"/>
      <c r="O16" s="679"/>
      <c r="P16" s="679"/>
      <c r="Q16" s="679"/>
    </row>
    <row r="17" spans="1:17" ht="15.75" customHeight="1">
      <c r="A17" s="778"/>
      <c r="B17" s="156">
        <v>2</v>
      </c>
      <c r="C17" s="679"/>
      <c r="D17" s="678"/>
      <c r="E17" s="678"/>
      <c r="F17" s="679"/>
      <c r="G17" s="678"/>
      <c r="H17" s="678"/>
      <c r="I17" s="164"/>
      <c r="J17" s="178"/>
      <c r="K17" s="178"/>
      <c r="L17" s="179">
        <f>K17-J17</f>
        <v>0</v>
      </c>
      <c r="M17" s="679"/>
      <c r="N17" s="679"/>
      <c r="O17" s="679"/>
      <c r="P17" s="679"/>
      <c r="Q17" s="679"/>
    </row>
    <row r="18" spans="1:17" ht="15.75" customHeight="1">
      <c r="A18" s="778"/>
      <c r="B18" s="156">
        <v>3</v>
      </c>
      <c r="C18" s="679"/>
      <c r="D18" s="678"/>
      <c r="E18" s="678"/>
      <c r="F18" s="679"/>
      <c r="G18" s="678"/>
      <c r="H18" s="678"/>
      <c r="I18" s="164"/>
      <c r="J18" s="178"/>
      <c r="K18" s="178"/>
      <c r="L18" s="179">
        <f>K18-J18</f>
        <v>0</v>
      </c>
      <c r="M18" s="679"/>
      <c r="N18" s="679"/>
      <c r="O18" s="679"/>
      <c r="P18" s="679"/>
      <c r="Q18" s="679"/>
    </row>
    <row r="19" spans="1:17" ht="15.75" customHeight="1">
      <c r="A19" s="778"/>
      <c r="B19" s="156">
        <v>4</v>
      </c>
      <c r="C19" s="679"/>
      <c r="D19" s="678"/>
      <c r="E19" s="678"/>
      <c r="F19" s="679"/>
      <c r="G19" s="678"/>
      <c r="H19" s="678"/>
      <c r="I19" s="164"/>
      <c r="J19" s="178"/>
      <c r="K19" s="178"/>
      <c r="L19" s="179">
        <f>K19-J19</f>
        <v>0</v>
      </c>
      <c r="M19" s="679"/>
      <c r="N19" s="679"/>
      <c r="O19" s="679"/>
      <c r="P19" s="679"/>
      <c r="Q19" s="679"/>
    </row>
    <row r="20" spans="1:17" ht="15.75" customHeight="1">
      <c r="A20" s="778"/>
      <c r="B20" s="156">
        <v>5</v>
      </c>
      <c r="C20" s="679"/>
      <c r="D20" s="678"/>
      <c r="E20" s="678"/>
      <c r="F20" s="679"/>
      <c r="G20" s="678"/>
      <c r="H20" s="678"/>
      <c r="I20" s="164"/>
      <c r="J20" s="178"/>
      <c r="K20" s="178"/>
      <c r="L20" s="179">
        <f>K20-J20</f>
        <v>0</v>
      </c>
      <c r="M20" s="679"/>
      <c r="N20" s="679"/>
      <c r="O20" s="679"/>
      <c r="P20" s="679"/>
      <c r="Q20" s="67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27" sqref="B27"/>
    </sheetView>
  </sheetViews>
  <sheetFormatPr defaultColWidth="8.85546875" defaultRowHeight="14.25"/>
  <cols>
    <col min="1" max="1" width="8.85546875" style="332"/>
    <col min="2" max="2" width="12.42578125" style="332" customWidth="1"/>
    <col min="3" max="3" width="8.85546875" style="332"/>
    <col min="4" max="4" width="11.5703125" style="332" customWidth="1"/>
    <col min="5" max="5" width="39.28515625" style="332" bestFit="1" customWidth="1"/>
    <col min="6" max="6" width="11.42578125" style="332" bestFit="1" customWidth="1"/>
    <col min="7" max="7" width="14.140625" style="332" customWidth="1"/>
    <col min="8" max="8" width="14" style="332" customWidth="1"/>
    <col min="9" max="9" width="16.85546875" style="332" customWidth="1"/>
    <col min="10" max="10" width="14" style="332" customWidth="1"/>
    <col min="11" max="11" width="11.5703125" style="332" bestFit="1" customWidth="1"/>
    <col min="12" max="12" width="13.42578125" style="332" bestFit="1" customWidth="1"/>
    <col min="13" max="13" width="19.140625" style="332" bestFit="1" customWidth="1"/>
    <col min="14" max="14" width="15.28515625" style="332" bestFit="1" customWidth="1"/>
    <col min="15" max="15" width="12.5703125" style="332" bestFit="1" customWidth="1"/>
    <col min="16" max="16" width="9.7109375" style="332" bestFit="1" customWidth="1"/>
    <col min="17" max="17" width="12.140625" style="332" bestFit="1" customWidth="1"/>
    <col min="18" max="18" width="10.7109375" style="332" customWidth="1"/>
    <col min="19" max="19" width="13.42578125" style="332" bestFit="1" customWidth="1"/>
    <col min="20" max="20" width="12.42578125" style="332" bestFit="1" customWidth="1"/>
    <col min="21" max="21" width="25.28515625" style="332" bestFit="1" customWidth="1"/>
    <col min="22" max="23" width="88.28515625" style="332" customWidth="1"/>
    <col min="24" max="24" width="7.42578125" style="332" bestFit="1" customWidth="1"/>
    <col min="25" max="25" width="69.5703125" style="332" bestFit="1" customWidth="1"/>
    <col min="26" max="26" width="11.42578125" style="332" bestFit="1" customWidth="1"/>
    <col min="27" max="27" width="21.5703125" style="332" customWidth="1"/>
    <col min="28" max="28" width="19.42578125" style="332" bestFit="1" customWidth="1"/>
    <col min="29" max="34" width="14.42578125" style="332" customWidth="1"/>
    <col min="35" max="35" width="11.42578125" style="332" bestFit="1" customWidth="1"/>
    <col min="36" max="16384" width="8.85546875" style="332"/>
  </cols>
  <sheetData>
    <row r="2" spans="2:35" ht="41.1" customHeight="1">
      <c r="B2" s="797" t="s">
        <v>512</v>
      </c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AA2" s="333"/>
      <c r="AB2" s="333"/>
    </row>
    <row r="3" spans="2:35" ht="17.100000000000001" customHeight="1">
      <c r="B3" s="799" t="s">
        <v>513</v>
      </c>
      <c r="C3" s="800"/>
      <c r="D3" s="793" t="s">
        <v>167</v>
      </c>
      <c r="E3" s="793"/>
      <c r="F3" s="793"/>
      <c r="G3" s="793" t="s">
        <v>181</v>
      </c>
      <c r="H3" s="793"/>
      <c r="I3" s="793"/>
      <c r="J3" s="793"/>
      <c r="K3" s="793"/>
      <c r="L3" s="793"/>
      <c r="M3" s="793"/>
      <c r="N3" s="793"/>
      <c r="O3" s="793"/>
      <c r="P3" s="793"/>
      <c r="Q3" s="793"/>
      <c r="R3" s="793"/>
      <c r="S3" s="793"/>
      <c r="T3" s="793" t="s">
        <v>168</v>
      </c>
      <c r="U3" s="805" t="s">
        <v>514</v>
      </c>
      <c r="V3" s="808" t="s">
        <v>515</v>
      </c>
      <c r="W3" s="808" t="s">
        <v>516</v>
      </c>
      <c r="X3" s="811" t="s">
        <v>517</v>
      </c>
      <c r="Y3" s="795" t="s">
        <v>169</v>
      </c>
      <c r="AA3" s="793" t="s">
        <v>518</v>
      </c>
      <c r="AB3" s="793"/>
      <c r="AC3" s="793"/>
      <c r="AD3" s="793"/>
      <c r="AE3" s="793"/>
      <c r="AF3" s="793"/>
      <c r="AG3" s="793"/>
      <c r="AH3" s="793"/>
      <c r="AI3" s="793"/>
    </row>
    <row r="4" spans="2:35" ht="17.100000000000001" customHeight="1">
      <c r="B4" s="801"/>
      <c r="C4" s="802"/>
      <c r="D4" s="794" t="s">
        <v>166</v>
      </c>
      <c r="E4" s="793" t="s">
        <v>170</v>
      </c>
      <c r="F4" s="793"/>
      <c r="G4" s="793" t="s">
        <v>182</v>
      </c>
      <c r="H4" s="793"/>
      <c r="I4" s="793"/>
      <c r="J4" s="793"/>
      <c r="K4" s="793"/>
      <c r="L4" s="793"/>
      <c r="M4" s="793"/>
      <c r="N4" s="793"/>
      <c r="O4" s="793" t="s">
        <v>171</v>
      </c>
      <c r="P4" s="793"/>
      <c r="Q4" s="793"/>
      <c r="R4" s="793"/>
      <c r="S4" s="793"/>
      <c r="T4" s="793"/>
      <c r="U4" s="806"/>
      <c r="V4" s="809"/>
      <c r="W4" s="809"/>
      <c r="X4" s="812"/>
      <c r="Y4" s="795"/>
      <c r="AA4" s="793"/>
      <c r="AB4" s="793"/>
      <c r="AC4" s="793"/>
      <c r="AD4" s="793"/>
      <c r="AE4" s="793"/>
      <c r="AF4" s="793"/>
      <c r="AG4" s="793"/>
      <c r="AH4" s="793"/>
      <c r="AI4" s="793"/>
    </row>
    <row r="5" spans="2:35" ht="17.100000000000001" customHeight="1">
      <c r="B5" s="801"/>
      <c r="C5" s="802"/>
      <c r="D5" s="794"/>
      <c r="E5" s="794" t="s">
        <v>172</v>
      </c>
      <c r="F5" s="795" t="s">
        <v>519</v>
      </c>
      <c r="G5" s="796" t="s">
        <v>183</v>
      </c>
      <c r="H5" s="796"/>
      <c r="I5" s="796"/>
      <c r="J5" s="796"/>
      <c r="K5" s="796"/>
      <c r="L5" s="796"/>
      <c r="M5" s="796"/>
      <c r="N5" s="796"/>
      <c r="O5" s="796" t="s">
        <v>165</v>
      </c>
      <c r="P5" s="796"/>
      <c r="Q5" s="796" t="s">
        <v>173</v>
      </c>
      <c r="R5" s="796"/>
      <c r="S5" s="796"/>
      <c r="T5" s="793"/>
      <c r="U5" s="806"/>
      <c r="V5" s="809"/>
      <c r="W5" s="809"/>
      <c r="X5" s="812"/>
      <c r="Y5" s="795"/>
      <c r="AA5" s="793"/>
      <c r="AB5" s="793"/>
      <c r="AC5" s="793"/>
      <c r="AD5" s="793"/>
      <c r="AE5" s="793"/>
      <c r="AF5" s="793"/>
      <c r="AG5" s="793"/>
      <c r="AH5" s="793"/>
      <c r="AI5" s="793"/>
    </row>
    <row r="6" spans="2:35" ht="38.450000000000003" customHeight="1">
      <c r="B6" s="803"/>
      <c r="C6" s="804"/>
      <c r="D6" s="794"/>
      <c r="E6" s="794"/>
      <c r="F6" s="795"/>
      <c r="G6" s="334" t="s">
        <v>174</v>
      </c>
      <c r="H6" s="334" t="s">
        <v>520</v>
      </c>
      <c r="I6" s="334" t="s">
        <v>521</v>
      </c>
      <c r="J6" s="334" t="s">
        <v>175</v>
      </c>
      <c r="K6" s="334" t="s">
        <v>522</v>
      </c>
      <c r="L6" s="334" t="s">
        <v>176</v>
      </c>
      <c r="M6" s="334" t="s">
        <v>184</v>
      </c>
      <c r="N6" s="334" t="s">
        <v>177</v>
      </c>
      <c r="O6" s="335" t="s">
        <v>178</v>
      </c>
      <c r="P6" s="335" t="s">
        <v>179</v>
      </c>
      <c r="Q6" s="335" t="s">
        <v>178</v>
      </c>
      <c r="R6" s="335" t="s">
        <v>179</v>
      </c>
      <c r="S6" s="334" t="s">
        <v>180</v>
      </c>
      <c r="T6" s="793"/>
      <c r="U6" s="807"/>
      <c r="V6" s="810"/>
      <c r="W6" s="810"/>
      <c r="X6" s="813"/>
      <c r="Y6" s="795"/>
      <c r="AA6" s="223" t="s">
        <v>523</v>
      </c>
      <c r="AB6" s="223" t="s">
        <v>524</v>
      </c>
      <c r="AC6" s="322" t="s">
        <v>525</v>
      </c>
      <c r="AD6" s="322" t="s">
        <v>526</v>
      </c>
      <c r="AE6" s="322" t="s">
        <v>527</v>
      </c>
      <c r="AF6" s="322" t="s">
        <v>528</v>
      </c>
      <c r="AG6" s="322" t="s">
        <v>529</v>
      </c>
      <c r="AH6" s="322" t="s">
        <v>530</v>
      </c>
      <c r="AI6" s="322" t="s">
        <v>531</v>
      </c>
    </row>
    <row r="7" spans="2:35" s="347" customFormat="1" ht="27" customHeight="1">
      <c r="B7" s="786">
        <v>1</v>
      </c>
      <c r="C7" s="787"/>
      <c r="D7" s="336">
        <v>1</v>
      </c>
      <c r="E7" s="337" t="s">
        <v>412</v>
      </c>
      <c r="F7" s="338">
        <v>3543.9440000000009</v>
      </c>
      <c r="G7" s="338">
        <v>3770.34</v>
      </c>
      <c r="H7" s="338">
        <v>3819.4999999999995</v>
      </c>
      <c r="I7" s="339">
        <v>1.0130386119023747</v>
      </c>
      <c r="J7" s="338">
        <v>0</v>
      </c>
      <c r="K7" s="339">
        <v>0</v>
      </c>
      <c r="L7" s="338">
        <v>127.48</v>
      </c>
      <c r="M7" s="339">
        <v>1.0130386119023747</v>
      </c>
      <c r="N7" s="473">
        <v>6266.9167999999236</v>
      </c>
      <c r="O7" s="338">
        <v>27.799999999999997</v>
      </c>
      <c r="P7" s="339">
        <v>7.3733403353543701E-3</v>
      </c>
      <c r="Q7" s="340">
        <v>49.1599999999994</v>
      </c>
      <c r="R7" s="339">
        <v>1.3038611902374693E-2</v>
      </c>
      <c r="S7" s="338">
        <v>6266.9167999999236</v>
      </c>
      <c r="T7" s="348" t="s">
        <v>339</v>
      </c>
      <c r="U7" s="341" t="s">
        <v>491</v>
      </c>
      <c r="V7" s="474" t="s">
        <v>928</v>
      </c>
      <c r="W7" s="474" t="s">
        <v>929</v>
      </c>
      <c r="X7" s="342">
        <v>1</v>
      </c>
      <c r="Y7" s="343" t="s">
        <v>346</v>
      </c>
      <c r="Z7" s="344" t="s">
        <v>532</v>
      </c>
      <c r="AA7" s="345">
        <f>SUM(X7:X26)</f>
        <v>20</v>
      </c>
      <c r="AB7" s="346">
        <f>SUMIF($U$7:$U$26,TRIM(AB6),$X$7:$X$26)</f>
        <v>0</v>
      </c>
      <c r="AC7" s="346">
        <f>SUMIF($U$7:$U$26,TRIM(AC6),$X$7:$X$26)</f>
        <v>3</v>
      </c>
      <c r="AD7" s="346">
        <f t="shared" ref="AD7:AI7" ca="1" si="0">SUMIF($U$7:$U$9710,TRIM(AD6),$X$7:$X$26)</f>
        <v>4</v>
      </c>
      <c r="AE7" s="346">
        <f t="shared" ca="1" si="0"/>
        <v>9</v>
      </c>
      <c r="AF7" s="346">
        <f t="shared" ca="1" si="0"/>
        <v>3</v>
      </c>
      <c r="AG7" s="346">
        <f t="shared" ca="1" si="0"/>
        <v>1</v>
      </c>
      <c r="AH7" s="346">
        <f t="shared" ca="1" si="0"/>
        <v>0</v>
      </c>
      <c r="AI7" s="346">
        <f t="shared" ca="1" si="0"/>
        <v>0</v>
      </c>
    </row>
    <row r="8" spans="2:35" s="347" customFormat="1" ht="27" customHeight="1">
      <c r="B8" s="788"/>
      <c r="C8" s="789"/>
      <c r="D8" s="336">
        <v>2</v>
      </c>
      <c r="E8" s="337" t="s">
        <v>612</v>
      </c>
      <c r="F8" s="338">
        <v>3474.84</v>
      </c>
      <c r="G8" s="338">
        <v>2067.1529999999998</v>
      </c>
      <c r="H8" s="338">
        <v>2102.4</v>
      </c>
      <c r="I8" s="339">
        <v>1.017050987517615</v>
      </c>
      <c r="J8" s="338">
        <v>0</v>
      </c>
      <c r="K8" s="339">
        <v>0</v>
      </c>
      <c r="L8" s="338">
        <v>151.08000000000001</v>
      </c>
      <c r="M8" s="339">
        <v>1.017050987517615</v>
      </c>
      <c r="N8" s="473">
        <v>5325.1167600000454</v>
      </c>
      <c r="O8" s="338">
        <v>22.999999999999996</v>
      </c>
      <c r="P8" s="339">
        <v>1.1126413961617742E-2</v>
      </c>
      <c r="Q8" s="340">
        <v>35.247000000000298</v>
      </c>
      <c r="R8" s="339">
        <v>1.7050987517614951E-2</v>
      </c>
      <c r="S8" s="338">
        <v>5325.1167600000454</v>
      </c>
      <c r="T8" s="348" t="s">
        <v>339</v>
      </c>
      <c r="U8" s="341" t="s">
        <v>491</v>
      </c>
      <c r="V8" s="474" t="s">
        <v>930</v>
      </c>
      <c r="W8" s="474" t="s">
        <v>931</v>
      </c>
      <c r="X8" s="342">
        <v>1</v>
      </c>
      <c r="Y8" s="343" t="s">
        <v>611</v>
      </c>
      <c r="AA8" s="345"/>
      <c r="AB8" s="349">
        <f>SUMIF($U$7:$U$26,TRIM(AB6),$F$7:$F$26)</f>
        <v>0</v>
      </c>
      <c r="AC8" s="349">
        <f>SUMIF($U$7:$U$26,TRIM(AC6),$F$7:$F$26)</f>
        <v>7854.561999999999</v>
      </c>
      <c r="AD8" s="349">
        <f t="shared" ref="AD8:AI8" ca="1" si="1">SUMIF($U$7:$U$176,TRIM(AD6),$F$7:$F$26)</f>
        <v>10431.351000000001</v>
      </c>
      <c r="AE8" s="349">
        <f t="shared" ca="1" si="1"/>
        <v>28236.849000000002</v>
      </c>
      <c r="AF8" s="349">
        <f t="shared" ca="1" si="1"/>
        <v>8550.4119999999984</v>
      </c>
      <c r="AG8" s="349">
        <f t="shared" ca="1" si="1"/>
        <v>3228.0000000000009</v>
      </c>
      <c r="AH8" s="349">
        <f t="shared" ca="1" si="1"/>
        <v>0</v>
      </c>
      <c r="AI8" s="349">
        <f t="shared" ca="1" si="1"/>
        <v>0</v>
      </c>
    </row>
    <row r="9" spans="2:35" s="347" customFormat="1" ht="27" customHeight="1">
      <c r="B9" s="788"/>
      <c r="C9" s="789"/>
      <c r="D9" s="336">
        <v>3</v>
      </c>
      <c r="E9" s="337" t="s">
        <v>567</v>
      </c>
      <c r="F9" s="338">
        <v>3420.6129999999998</v>
      </c>
      <c r="G9" s="338">
        <v>3022.2150000000006</v>
      </c>
      <c r="H9" s="338">
        <v>3087.7000000000003</v>
      </c>
      <c r="I9" s="339">
        <v>1.0216678826622194</v>
      </c>
      <c r="J9" s="338">
        <v>0</v>
      </c>
      <c r="K9" s="339">
        <v>0</v>
      </c>
      <c r="L9" s="338">
        <v>103.97</v>
      </c>
      <c r="M9" s="339">
        <v>1.0216678826622194</v>
      </c>
      <c r="N9" s="473">
        <v>6808.4754499999663</v>
      </c>
      <c r="O9" s="338">
        <v>32.9</v>
      </c>
      <c r="P9" s="339">
        <v>1.0886055426235391E-2</v>
      </c>
      <c r="Q9" s="340">
        <v>65.484999999999673</v>
      </c>
      <c r="R9" s="339">
        <v>2.1667882662219484E-2</v>
      </c>
      <c r="S9" s="338">
        <v>6808.4754499999663</v>
      </c>
      <c r="T9" s="348" t="s">
        <v>339</v>
      </c>
      <c r="U9" s="341" t="s">
        <v>491</v>
      </c>
      <c r="V9" s="474" t="s">
        <v>928</v>
      </c>
      <c r="W9" s="474" t="s">
        <v>929</v>
      </c>
      <c r="X9" s="342">
        <v>1</v>
      </c>
      <c r="Y9" s="343" t="s">
        <v>563</v>
      </c>
    </row>
    <row r="10" spans="2:35" s="347" customFormat="1" ht="27" customHeight="1">
      <c r="B10" s="788"/>
      <c r="C10" s="789"/>
      <c r="D10" s="336">
        <v>4</v>
      </c>
      <c r="E10" s="337" t="s">
        <v>443</v>
      </c>
      <c r="F10" s="338">
        <v>3228.0000000000009</v>
      </c>
      <c r="G10" s="338">
        <v>35768</v>
      </c>
      <c r="H10" s="338">
        <v>36000</v>
      </c>
      <c r="I10" s="339">
        <v>1.0064862446879892</v>
      </c>
      <c r="J10" s="338">
        <v>0</v>
      </c>
      <c r="K10" s="339">
        <v>0</v>
      </c>
      <c r="L10" s="338">
        <v>13.45</v>
      </c>
      <c r="M10" s="339">
        <v>1.0064862446879892</v>
      </c>
      <c r="N10" s="473">
        <v>3120.3999999999996</v>
      </c>
      <c r="O10" s="338">
        <v>240</v>
      </c>
      <c r="P10" s="339">
        <v>6.7099082979199288E-3</v>
      </c>
      <c r="Q10" s="340">
        <v>232</v>
      </c>
      <c r="R10" s="339">
        <v>6.486244687989264E-3</v>
      </c>
      <c r="S10" s="338">
        <v>3120.3999999999996</v>
      </c>
      <c r="T10" s="341" t="s">
        <v>341</v>
      </c>
      <c r="U10" s="341" t="s">
        <v>212</v>
      </c>
      <c r="V10" s="474" t="s">
        <v>499</v>
      </c>
      <c r="W10" s="474" t="s">
        <v>932</v>
      </c>
      <c r="X10" s="342">
        <v>1</v>
      </c>
      <c r="Y10" s="343" t="s">
        <v>557</v>
      </c>
    </row>
    <row r="11" spans="2:35" s="347" customFormat="1" ht="27" customHeight="1">
      <c r="B11" s="788"/>
      <c r="C11" s="789"/>
      <c r="D11" s="336">
        <v>5</v>
      </c>
      <c r="E11" s="337" t="s">
        <v>933</v>
      </c>
      <c r="F11" s="338">
        <v>3054.4829999999993</v>
      </c>
      <c r="G11" s="338">
        <v>5043.9000000000015</v>
      </c>
      <c r="H11" s="338">
        <v>5090.6999999999989</v>
      </c>
      <c r="I11" s="339">
        <v>1.009278534467376</v>
      </c>
      <c r="J11" s="338">
        <v>0</v>
      </c>
      <c r="K11" s="339">
        <v>0</v>
      </c>
      <c r="L11" s="338">
        <v>117.03</v>
      </c>
      <c r="M11" s="339">
        <v>1.009278534467376</v>
      </c>
      <c r="N11" s="473">
        <v>5477.0039999997016</v>
      </c>
      <c r="O11" s="338">
        <v>26.099999999999994</v>
      </c>
      <c r="P11" s="339">
        <v>5.1745672991137786E-3</v>
      </c>
      <c r="Q11" s="340">
        <v>46.799999999997453</v>
      </c>
      <c r="R11" s="339">
        <v>9.2785344673759276E-3</v>
      </c>
      <c r="S11" s="338">
        <v>5477.0039999997016</v>
      </c>
      <c r="T11" s="341" t="s">
        <v>339</v>
      </c>
      <c r="U11" s="341" t="s">
        <v>491</v>
      </c>
      <c r="V11" s="474" t="s">
        <v>934</v>
      </c>
      <c r="W11" s="474" t="s">
        <v>935</v>
      </c>
      <c r="X11" s="342">
        <v>1</v>
      </c>
      <c r="Y11" s="343" t="s">
        <v>660</v>
      </c>
    </row>
    <row r="12" spans="2:35" s="347" customFormat="1" ht="27" customHeight="1">
      <c r="B12" s="788"/>
      <c r="C12" s="789"/>
      <c r="D12" s="336">
        <v>6</v>
      </c>
      <c r="E12" s="337" t="s">
        <v>596</v>
      </c>
      <c r="F12" s="338">
        <v>3052.6469999999999</v>
      </c>
      <c r="G12" s="338">
        <v>7422.416000000002</v>
      </c>
      <c r="H12" s="338">
        <v>7467.4000000000005</v>
      </c>
      <c r="I12" s="339">
        <v>1.0060605603350712</v>
      </c>
      <c r="J12" s="338">
        <v>0</v>
      </c>
      <c r="K12" s="339">
        <v>0</v>
      </c>
      <c r="L12" s="338">
        <v>136.88999999999999</v>
      </c>
      <c r="M12" s="339">
        <v>1.0060605603350712</v>
      </c>
      <c r="N12" s="473">
        <v>6157.859759999802</v>
      </c>
      <c r="O12" s="338">
        <v>22.299999999999997</v>
      </c>
      <c r="P12" s="339">
        <v>3.0044125794081054E-3</v>
      </c>
      <c r="Q12" s="340">
        <v>44.983999999998559</v>
      </c>
      <c r="R12" s="339">
        <v>6.0605603350712958E-3</v>
      </c>
      <c r="S12" s="338">
        <v>6157.859759999802</v>
      </c>
      <c r="T12" s="341" t="s">
        <v>341</v>
      </c>
      <c r="U12" s="341" t="s">
        <v>211</v>
      </c>
      <c r="V12" s="474" t="s">
        <v>936</v>
      </c>
      <c r="W12" s="474" t="s">
        <v>937</v>
      </c>
      <c r="X12" s="342">
        <v>1</v>
      </c>
      <c r="Y12" s="343" t="s">
        <v>349</v>
      </c>
    </row>
    <row r="13" spans="2:35" s="347" customFormat="1" ht="27" customHeight="1">
      <c r="B13" s="788"/>
      <c r="C13" s="789"/>
      <c r="D13" s="336">
        <v>7</v>
      </c>
      <c r="E13" s="337" t="s">
        <v>592</v>
      </c>
      <c r="F13" s="338">
        <v>3048.4800000000005</v>
      </c>
      <c r="G13" s="338">
        <v>1942.279</v>
      </c>
      <c r="H13" s="338">
        <v>1970.8</v>
      </c>
      <c r="I13" s="339">
        <v>1.0146842961284142</v>
      </c>
      <c r="J13" s="338">
        <v>0.6</v>
      </c>
      <c r="K13" s="339">
        <v>3.0891545447384234E-4</v>
      </c>
      <c r="L13" s="338">
        <v>169.36</v>
      </c>
      <c r="M13" s="339">
        <v>1.0149932115828879</v>
      </c>
      <c r="N13" s="473">
        <v>4830.3165599999929</v>
      </c>
      <c r="O13" s="338">
        <v>18</v>
      </c>
      <c r="P13" s="339">
        <v>9.2674636342152707E-3</v>
      </c>
      <c r="Q13" s="340">
        <v>29.120999999999867</v>
      </c>
      <c r="R13" s="339">
        <v>1.4993211582887869E-2</v>
      </c>
      <c r="S13" s="338">
        <v>4931.9325599999775</v>
      </c>
      <c r="T13" s="336" t="s">
        <v>339</v>
      </c>
      <c r="U13" s="341" t="s">
        <v>491</v>
      </c>
      <c r="V13" s="474" t="s">
        <v>938</v>
      </c>
      <c r="W13" s="474" t="s">
        <v>939</v>
      </c>
      <c r="X13" s="342">
        <v>1</v>
      </c>
      <c r="Y13" s="343" t="s">
        <v>349</v>
      </c>
      <c r="AB13" s="347">
        <v>1</v>
      </c>
      <c r="AC13" s="350" t="s">
        <v>494</v>
      </c>
    </row>
    <row r="14" spans="2:35" s="347" customFormat="1" ht="27" customHeight="1">
      <c r="B14" s="788"/>
      <c r="C14" s="789"/>
      <c r="D14" s="336">
        <v>8</v>
      </c>
      <c r="E14" s="337" t="s">
        <v>614</v>
      </c>
      <c r="F14" s="338">
        <v>3037.1010000000006</v>
      </c>
      <c r="G14" s="338">
        <v>3257.331999999999</v>
      </c>
      <c r="H14" s="338">
        <v>3305.75</v>
      </c>
      <c r="I14" s="339">
        <v>1.0148643122653758</v>
      </c>
      <c r="J14" s="338">
        <v>1.3</v>
      </c>
      <c r="K14" s="339">
        <v>3.9909963123194089E-4</v>
      </c>
      <c r="L14" s="338">
        <v>105.09</v>
      </c>
      <c r="M14" s="339">
        <v>1.0152634118966077</v>
      </c>
      <c r="N14" s="473">
        <v>5088.2476200001083</v>
      </c>
      <c r="O14" s="338">
        <v>28.9</v>
      </c>
      <c r="P14" s="339">
        <v>8.8722918020023769E-3</v>
      </c>
      <c r="Q14" s="340">
        <v>49.718000000001211</v>
      </c>
      <c r="R14" s="339">
        <v>1.5263411896607784E-2</v>
      </c>
      <c r="S14" s="338">
        <v>5224.8646200001276</v>
      </c>
      <c r="T14" s="341" t="s">
        <v>339</v>
      </c>
      <c r="U14" s="341" t="s">
        <v>491</v>
      </c>
      <c r="V14" s="474" t="s">
        <v>940</v>
      </c>
      <c r="W14" s="474" t="s">
        <v>941</v>
      </c>
      <c r="X14" s="342">
        <v>1</v>
      </c>
      <c r="Y14" s="343" t="s">
        <v>611</v>
      </c>
      <c r="AB14" s="347">
        <v>2</v>
      </c>
      <c r="AC14" s="350" t="s">
        <v>348</v>
      </c>
    </row>
    <row r="15" spans="2:35" s="347" customFormat="1" ht="27" customHeight="1">
      <c r="B15" s="788"/>
      <c r="C15" s="789"/>
      <c r="D15" s="336">
        <v>9</v>
      </c>
      <c r="E15" s="337" t="s">
        <v>903</v>
      </c>
      <c r="F15" s="338">
        <v>3013.922</v>
      </c>
      <c r="G15" s="338">
        <v>762.76200000000017</v>
      </c>
      <c r="H15" s="338">
        <v>778.3</v>
      </c>
      <c r="I15" s="339">
        <v>1.0203707054100752</v>
      </c>
      <c r="J15" s="338">
        <v>0</v>
      </c>
      <c r="K15" s="339">
        <v>0</v>
      </c>
      <c r="L15" s="338">
        <v>320.63</v>
      </c>
      <c r="M15" s="339">
        <v>1.0203707054100752</v>
      </c>
      <c r="N15" s="473">
        <v>4981.9489399999302</v>
      </c>
      <c r="O15" s="338">
        <v>9.4</v>
      </c>
      <c r="P15" s="339">
        <v>1.2323634370878463E-2</v>
      </c>
      <c r="Q15" s="340">
        <v>15.537999999999784</v>
      </c>
      <c r="R15" s="339">
        <v>2.0370705410075199E-2</v>
      </c>
      <c r="S15" s="338">
        <v>4981.9489399999302</v>
      </c>
      <c r="T15" s="341" t="s">
        <v>339</v>
      </c>
      <c r="U15" s="341" t="s">
        <v>491</v>
      </c>
      <c r="V15" s="474" t="s">
        <v>940</v>
      </c>
      <c r="W15" s="474" t="s">
        <v>941</v>
      </c>
      <c r="X15" s="342">
        <v>1</v>
      </c>
      <c r="Y15" s="343" t="s">
        <v>664</v>
      </c>
      <c r="AB15" s="347">
        <v>3</v>
      </c>
      <c r="AC15" s="350" t="s">
        <v>409</v>
      </c>
    </row>
    <row r="16" spans="2:35" s="347" customFormat="1" ht="27" customHeight="1">
      <c r="B16" s="788"/>
      <c r="C16" s="789"/>
      <c r="D16" s="336">
        <v>10</v>
      </c>
      <c r="E16" s="337" t="s">
        <v>590</v>
      </c>
      <c r="F16" s="338">
        <v>2868.1860000000001</v>
      </c>
      <c r="G16" s="338">
        <v>7234.6180000000013</v>
      </c>
      <c r="H16" s="338">
        <v>7286.6</v>
      </c>
      <c r="I16" s="339">
        <v>1.0071851754992454</v>
      </c>
      <c r="J16" s="338">
        <v>0.6</v>
      </c>
      <c r="K16" s="339">
        <v>8.293457926873262E-5</v>
      </c>
      <c r="L16" s="338">
        <v>111.17</v>
      </c>
      <c r="M16" s="339">
        <v>1.0072681100785141</v>
      </c>
      <c r="N16" s="473">
        <v>5778.838939999896</v>
      </c>
      <c r="O16" s="338">
        <v>25.799999999999994</v>
      </c>
      <c r="P16" s="339">
        <v>3.5661869085555019E-3</v>
      </c>
      <c r="Q16" s="340">
        <v>52.581999999999425</v>
      </c>
      <c r="R16" s="339">
        <v>7.2681100785140854E-3</v>
      </c>
      <c r="S16" s="338">
        <v>5845.5409399999362</v>
      </c>
      <c r="T16" s="341" t="s">
        <v>339</v>
      </c>
      <c r="U16" s="341" t="s">
        <v>491</v>
      </c>
      <c r="V16" s="474" t="s">
        <v>934</v>
      </c>
      <c r="W16" s="474" t="s">
        <v>935</v>
      </c>
      <c r="X16" s="342">
        <v>1</v>
      </c>
      <c r="Y16" s="343" t="s">
        <v>349</v>
      </c>
      <c r="AB16" s="347">
        <v>4</v>
      </c>
      <c r="AC16" s="350" t="s">
        <v>533</v>
      </c>
    </row>
    <row r="17" spans="2:29" s="347" customFormat="1" ht="27" customHeight="1">
      <c r="B17" s="788"/>
      <c r="C17" s="789"/>
      <c r="D17" s="336">
        <v>11</v>
      </c>
      <c r="E17" s="337" t="s">
        <v>942</v>
      </c>
      <c r="F17" s="338">
        <v>2824.9129999999986</v>
      </c>
      <c r="G17" s="338">
        <v>432.94100000000003</v>
      </c>
      <c r="H17" s="338">
        <v>447.00000000000006</v>
      </c>
      <c r="I17" s="339">
        <v>1.0324732469320301</v>
      </c>
      <c r="J17" s="338">
        <v>0</v>
      </c>
      <c r="K17" s="339">
        <v>0</v>
      </c>
      <c r="L17" s="338">
        <v>310.43</v>
      </c>
      <c r="M17" s="339">
        <v>1.0324732469320301</v>
      </c>
      <c r="N17" s="473">
        <v>4364.335370000008</v>
      </c>
      <c r="O17" s="338">
        <v>9.1000000000000032</v>
      </c>
      <c r="P17" s="339">
        <v>2.1019030306669968E-2</v>
      </c>
      <c r="Q17" s="340">
        <v>14.059000000000026</v>
      </c>
      <c r="R17" s="339">
        <v>3.2473246932030055E-2</v>
      </c>
      <c r="S17" s="338">
        <v>4364.335370000008</v>
      </c>
      <c r="T17" s="341" t="s">
        <v>341</v>
      </c>
      <c r="U17" s="341" t="s">
        <v>211</v>
      </c>
      <c r="V17" s="474" t="s">
        <v>943</v>
      </c>
      <c r="W17" s="474" t="s">
        <v>944</v>
      </c>
      <c r="X17" s="342">
        <v>1</v>
      </c>
      <c r="Y17" s="343" t="s">
        <v>340</v>
      </c>
      <c r="AB17" s="347">
        <v>5</v>
      </c>
      <c r="AC17" s="350" t="s">
        <v>211</v>
      </c>
    </row>
    <row r="18" spans="2:29" s="347" customFormat="1" ht="27" customHeight="1">
      <c r="B18" s="788"/>
      <c r="C18" s="789"/>
      <c r="D18" s="336">
        <v>12</v>
      </c>
      <c r="E18" s="337" t="s">
        <v>682</v>
      </c>
      <c r="F18" s="338">
        <v>2824.7280000000001</v>
      </c>
      <c r="G18" s="338">
        <v>1749.4999999999998</v>
      </c>
      <c r="H18" s="338">
        <v>1798.0000000000002</v>
      </c>
      <c r="I18" s="339">
        <v>1.0277222063446703</v>
      </c>
      <c r="J18" s="338">
        <v>0</v>
      </c>
      <c r="K18" s="339">
        <v>0</v>
      </c>
      <c r="L18" s="338">
        <v>95.43</v>
      </c>
      <c r="M18" s="339">
        <v>1.0277222063446703</v>
      </c>
      <c r="N18" s="473">
        <v>4628.3550000000441</v>
      </c>
      <c r="O18" s="338">
        <v>29.599999999999998</v>
      </c>
      <c r="P18" s="339">
        <v>1.6919119748499571E-2</v>
      </c>
      <c r="Q18" s="340">
        <v>48.500000000000455</v>
      </c>
      <c r="R18" s="339">
        <v>2.772220634467017E-2</v>
      </c>
      <c r="S18" s="338">
        <v>4628.3550000000441</v>
      </c>
      <c r="T18" s="336" t="s">
        <v>347</v>
      </c>
      <c r="U18" s="341" t="s">
        <v>409</v>
      </c>
      <c r="V18" s="474" t="s">
        <v>940</v>
      </c>
      <c r="W18" s="474" t="s">
        <v>941</v>
      </c>
      <c r="X18" s="342">
        <v>1</v>
      </c>
      <c r="Y18" s="343" t="s">
        <v>381</v>
      </c>
      <c r="AB18" s="347">
        <v>6</v>
      </c>
      <c r="AC18" s="350" t="s">
        <v>212</v>
      </c>
    </row>
    <row r="19" spans="2:29" s="347" customFormat="1" ht="27" customHeight="1">
      <c r="B19" s="788"/>
      <c r="C19" s="789"/>
      <c r="D19" s="336">
        <v>13</v>
      </c>
      <c r="E19" s="337" t="s">
        <v>683</v>
      </c>
      <c r="F19" s="338">
        <v>2775.2800000000007</v>
      </c>
      <c r="G19" s="338">
        <v>5458.4400000000005</v>
      </c>
      <c r="H19" s="338">
        <v>5513.0000000000009</v>
      </c>
      <c r="I19" s="339">
        <v>1.0099955298583478</v>
      </c>
      <c r="J19" s="338">
        <v>0</v>
      </c>
      <c r="K19" s="339">
        <v>0</v>
      </c>
      <c r="L19" s="338">
        <v>90.4</v>
      </c>
      <c r="M19" s="339">
        <v>1.0099955298583478</v>
      </c>
      <c r="N19" s="473">
        <v>4932.2240000000365</v>
      </c>
      <c r="O19" s="338">
        <v>30.700000000000003</v>
      </c>
      <c r="P19" s="339">
        <v>5.6243175705879339E-3</v>
      </c>
      <c r="Q19" s="340">
        <v>54.5600000000004</v>
      </c>
      <c r="R19" s="339">
        <v>9.9955298583478784E-3</v>
      </c>
      <c r="S19" s="338">
        <v>4932.2240000000365</v>
      </c>
      <c r="T19" s="341" t="s">
        <v>339</v>
      </c>
      <c r="U19" s="341" t="s">
        <v>491</v>
      </c>
      <c r="V19" s="474" t="s">
        <v>930</v>
      </c>
      <c r="W19" s="474" t="s">
        <v>931</v>
      </c>
      <c r="X19" s="342">
        <v>1</v>
      </c>
      <c r="Y19" s="343" t="s">
        <v>381</v>
      </c>
      <c r="AB19" s="347">
        <v>7</v>
      </c>
      <c r="AC19" s="350" t="s">
        <v>535</v>
      </c>
    </row>
    <row r="20" spans="2:29" s="347" customFormat="1" ht="27" customHeight="1">
      <c r="B20" s="788"/>
      <c r="C20" s="789"/>
      <c r="D20" s="336">
        <v>14</v>
      </c>
      <c r="E20" s="337" t="s">
        <v>900</v>
      </c>
      <c r="F20" s="338">
        <v>2748.9999999999995</v>
      </c>
      <c r="G20" s="338">
        <v>910.02000000000021</v>
      </c>
      <c r="H20" s="338">
        <v>951.40000000000009</v>
      </c>
      <c r="I20" s="339">
        <v>1.0454715280982834</v>
      </c>
      <c r="J20" s="338">
        <v>0</v>
      </c>
      <c r="K20" s="339">
        <v>0</v>
      </c>
      <c r="L20" s="338">
        <v>109.96</v>
      </c>
      <c r="M20" s="339">
        <v>1.0454715280982834</v>
      </c>
      <c r="N20" s="473">
        <v>4550.1447999999864</v>
      </c>
      <c r="O20" s="338">
        <v>24.999999999999996</v>
      </c>
      <c r="P20" s="339">
        <v>2.7471923693984737E-2</v>
      </c>
      <c r="Q20" s="340">
        <v>41.379999999999882</v>
      </c>
      <c r="R20" s="339">
        <v>4.5471528098283413E-2</v>
      </c>
      <c r="S20" s="338">
        <v>4550.1447999999864</v>
      </c>
      <c r="T20" s="341" t="s">
        <v>347</v>
      </c>
      <c r="U20" s="341" t="s">
        <v>348</v>
      </c>
      <c r="V20" s="474" t="s">
        <v>945</v>
      </c>
      <c r="W20" s="474" t="s">
        <v>946</v>
      </c>
      <c r="X20" s="342">
        <v>1</v>
      </c>
      <c r="Y20" s="343" t="s">
        <v>899</v>
      </c>
      <c r="AB20" s="347">
        <v>8</v>
      </c>
      <c r="AC20" s="351" t="s">
        <v>536</v>
      </c>
    </row>
    <row r="21" spans="2:29" s="347" customFormat="1" ht="27" customHeight="1">
      <c r="B21" s="788"/>
      <c r="C21" s="789"/>
      <c r="D21" s="336">
        <v>15</v>
      </c>
      <c r="E21" s="337" t="s">
        <v>593</v>
      </c>
      <c r="F21" s="338">
        <v>2672.8520000000003</v>
      </c>
      <c r="G21" s="338">
        <v>1580.88</v>
      </c>
      <c r="H21" s="338">
        <v>1597.6</v>
      </c>
      <c r="I21" s="339">
        <v>1.0105763878346237</v>
      </c>
      <c r="J21" s="338">
        <v>1.7000000000000002</v>
      </c>
      <c r="K21" s="339">
        <v>1.0753504377308842E-3</v>
      </c>
      <c r="L21" s="338">
        <v>272.74</v>
      </c>
      <c r="M21" s="339">
        <v>1.0116517382723544</v>
      </c>
      <c r="N21" s="473">
        <v>4560.2127999999457</v>
      </c>
      <c r="O21" s="338">
        <v>9.7999999999999989</v>
      </c>
      <c r="P21" s="339">
        <v>6.1990789939780364E-3</v>
      </c>
      <c r="Q21" s="340">
        <v>18.419999999999845</v>
      </c>
      <c r="R21" s="339">
        <v>1.165173827235454E-2</v>
      </c>
      <c r="S21" s="338">
        <v>5023.8707999999579</v>
      </c>
      <c r="T21" s="341" t="s">
        <v>341</v>
      </c>
      <c r="U21" s="341" t="s">
        <v>211</v>
      </c>
      <c r="V21" s="474" t="s">
        <v>943</v>
      </c>
      <c r="W21" s="474" t="s">
        <v>944</v>
      </c>
      <c r="X21" s="342">
        <v>1</v>
      </c>
      <c r="Y21" s="343" t="s">
        <v>342</v>
      </c>
      <c r="AC21" s="350"/>
    </row>
    <row r="22" spans="2:29" s="347" customFormat="1" ht="27" customHeight="1">
      <c r="B22" s="788"/>
      <c r="C22" s="789"/>
      <c r="D22" s="336">
        <v>16</v>
      </c>
      <c r="E22" s="337" t="s">
        <v>947</v>
      </c>
      <c r="F22" s="338">
        <v>2591.5379999999996</v>
      </c>
      <c r="G22" s="338">
        <v>223.26000000000002</v>
      </c>
      <c r="H22" s="338">
        <v>250.1</v>
      </c>
      <c r="I22" s="339">
        <v>1.1202185792349726</v>
      </c>
      <c r="J22" s="338">
        <v>0</v>
      </c>
      <c r="K22" s="339">
        <v>0</v>
      </c>
      <c r="L22" s="338">
        <v>139.33000000000001</v>
      </c>
      <c r="M22" s="339">
        <v>1.1202185792349726</v>
      </c>
      <c r="N22" s="473">
        <v>3739.617199999997</v>
      </c>
      <c r="O22" s="338">
        <v>18.599999999999998</v>
      </c>
      <c r="P22" s="339">
        <v>8.331093791991398E-2</v>
      </c>
      <c r="Q22" s="340">
        <v>26.839999999999975</v>
      </c>
      <c r="R22" s="339">
        <v>0.12021857923497256</v>
      </c>
      <c r="S22" s="338">
        <v>3739.617199999997</v>
      </c>
      <c r="T22" s="341" t="s">
        <v>347</v>
      </c>
      <c r="U22" s="341" t="s">
        <v>348</v>
      </c>
      <c r="V22" s="474" t="s">
        <v>948</v>
      </c>
      <c r="W22" s="474" t="s">
        <v>949</v>
      </c>
      <c r="X22" s="342">
        <v>1</v>
      </c>
      <c r="Y22" s="343" t="s">
        <v>353</v>
      </c>
      <c r="AC22" s="350"/>
    </row>
    <row r="23" spans="2:29" s="347" customFormat="1" ht="27" customHeight="1">
      <c r="B23" s="788"/>
      <c r="C23" s="789"/>
      <c r="D23" s="336">
        <v>17</v>
      </c>
      <c r="E23" s="337" t="s">
        <v>610</v>
      </c>
      <c r="F23" s="338">
        <v>2577.3020000000001</v>
      </c>
      <c r="G23" s="338">
        <v>2459.9799999999991</v>
      </c>
      <c r="H23" s="338">
        <v>2525.8999999999996</v>
      </c>
      <c r="I23" s="339">
        <v>1.0267969658289906</v>
      </c>
      <c r="J23" s="338">
        <v>0</v>
      </c>
      <c r="K23" s="339">
        <v>0</v>
      </c>
      <c r="L23" s="338">
        <v>75.14</v>
      </c>
      <c r="M23" s="339">
        <v>1.0267969658289906</v>
      </c>
      <c r="N23" s="473">
        <v>4953.2288000000399</v>
      </c>
      <c r="O23" s="338">
        <v>34.299999999999997</v>
      </c>
      <c r="P23" s="339">
        <v>1.3943202790266592E-2</v>
      </c>
      <c r="Q23" s="340">
        <v>65.920000000000528</v>
      </c>
      <c r="R23" s="339">
        <v>2.6796965828990705E-2</v>
      </c>
      <c r="S23" s="338">
        <v>4953.2288000000399</v>
      </c>
      <c r="T23" s="341" t="s">
        <v>347</v>
      </c>
      <c r="U23" s="341" t="s">
        <v>409</v>
      </c>
      <c r="V23" s="474" t="s">
        <v>945</v>
      </c>
      <c r="W23" s="474" t="s">
        <v>946</v>
      </c>
      <c r="X23" s="342">
        <v>1</v>
      </c>
      <c r="Y23" s="343" t="s">
        <v>349</v>
      </c>
      <c r="AB23" s="352">
        <v>1</v>
      </c>
      <c r="AC23" s="350" t="s">
        <v>347</v>
      </c>
    </row>
    <row r="24" spans="2:29" s="347" customFormat="1" ht="27" customHeight="1">
      <c r="B24" s="788"/>
      <c r="C24" s="789"/>
      <c r="D24" s="336">
        <v>18</v>
      </c>
      <c r="E24" s="337" t="s">
        <v>599</v>
      </c>
      <c r="F24" s="338">
        <v>2538.9759999999997</v>
      </c>
      <c r="G24" s="338">
        <v>6541.0949999999984</v>
      </c>
      <c r="H24" s="338">
        <v>6616.6000000000013</v>
      </c>
      <c r="I24" s="339">
        <v>1.0115431743461918</v>
      </c>
      <c r="J24" s="338">
        <v>0</v>
      </c>
      <c r="K24" s="339">
        <v>0</v>
      </c>
      <c r="L24" s="338">
        <v>72.13</v>
      </c>
      <c r="M24" s="339">
        <v>1.0115431743461918</v>
      </c>
      <c r="N24" s="473">
        <v>5446.1756500002048</v>
      </c>
      <c r="O24" s="338">
        <v>35.200000000000003</v>
      </c>
      <c r="P24" s="339">
        <v>5.3813619890859272E-3</v>
      </c>
      <c r="Q24" s="340">
        <v>75.505000000002838</v>
      </c>
      <c r="R24" s="339">
        <v>1.1543174346191709E-2</v>
      </c>
      <c r="S24" s="338">
        <v>5446.1756500002048</v>
      </c>
      <c r="T24" s="341" t="s">
        <v>347</v>
      </c>
      <c r="U24" s="341" t="s">
        <v>409</v>
      </c>
      <c r="V24" s="474" t="s">
        <v>945</v>
      </c>
      <c r="W24" s="474" t="s">
        <v>946</v>
      </c>
      <c r="X24" s="342">
        <v>1</v>
      </c>
      <c r="Y24" s="343" t="s">
        <v>589</v>
      </c>
      <c r="AB24" s="347">
        <v>2</v>
      </c>
      <c r="AC24" s="350" t="s">
        <v>413</v>
      </c>
    </row>
    <row r="25" spans="2:29" s="347" customFormat="1" ht="27" customHeight="1">
      <c r="B25" s="788"/>
      <c r="C25" s="789"/>
      <c r="D25" s="336">
        <v>19</v>
      </c>
      <c r="E25" s="337" t="s">
        <v>950</v>
      </c>
      <c r="F25" s="338">
        <v>2514.0240000000003</v>
      </c>
      <c r="G25" s="338">
        <v>512.03199999999993</v>
      </c>
      <c r="H25" s="338">
        <v>543.1</v>
      </c>
      <c r="I25" s="339">
        <v>1.0606758952565467</v>
      </c>
      <c r="J25" s="338">
        <v>0</v>
      </c>
      <c r="K25" s="339">
        <v>0</v>
      </c>
      <c r="L25" s="338">
        <v>116.39</v>
      </c>
      <c r="M25" s="339">
        <v>1.0606758952565467</v>
      </c>
      <c r="N25" s="473">
        <v>3616.0045200000113</v>
      </c>
      <c r="O25" s="338">
        <v>21.6</v>
      </c>
      <c r="P25" s="339">
        <v>4.2184863446034629E-2</v>
      </c>
      <c r="Q25" s="340">
        <v>31.068000000000097</v>
      </c>
      <c r="R25" s="339">
        <v>6.0675895256546666E-2</v>
      </c>
      <c r="S25" s="338">
        <v>3616.0045200000113</v>
      </c>
      <c r="T25" s="341" t="s">
        <v>347</v>
      </c>
      <c r="U25" s="341" t="s">
        <v>348</v>
      </c>
      <c r="V25" s="474" t="s">
        <v>951</v>
      </c>
      <c r="W25" s="474" t="s">
        <v>952</v>
      </c>
      <c r="X25" s="342">
        <v>1</v>
      </c>
      <c r="Y25" s="343" t="s">
        <v>377</v>
      </c>
      <c r="AB25" s="353">
        <v>3</v>
      </c>
      <c r="AC25" s="350" t="s">
        <v>339</v>
      </c>
    </row>
    <row r="26" spans="2:29" s="347" customFormat="1" ht="27" customHeight="1">
      <c r="B26" s="790"/>
      <c r="C26" s="791"/>
      <c r="D26" s="336">
        <v>20</v>
      </c>
      <c r="E26" s="337" t="s">
        <v>684</v>
      </c>
      <c r="F26" s="338">
        <v>2490.3450000000003</v>
      </c>
      <c r="G26" s="338">
        <v>2841.3820000000014</v>
      </c>
      <c r="H26" s="338">
        <v>2910.4</v>
      </c>
      <c r="I26" s="339">
        <v>1.024290292540742</v>
      </c>
      <c r="J26" s="338">
        <v>0</v>
      </c>
      <c r="K26" s="339">
        <v>0</v>
      </c>
      <c r="L26" s="338">
        <v>70.95</v>
      </c>
      <c r="M26" s="339">
        <v>1.024290292540742</v>
      </c>
      <c r="N26" s="473">
        <v>4896.8270999999058</v>
      </c>
      <c r="O26" s="338">
        <v>35.1</v>
      </c>
      <c r="P26" s="339">
        <v>1.2353143646296057E-2</v>
      </c>
      <c r="Q26" s="340">
        <v>69.017999999998665</v>
      </c>
      <c r="R26" s="339">
        <v>2.4290292540742015E-2</v>
      </c>
      <c r="S26" s="338">
        <v>4896.8270999999058</v>
      </c>
      <c r="T26" s="341" t="s">
        <v>347</v>
      </c>
      <c r="U26" s="341" t="s">
        <v>409</v>
      </c>
      <c r="V26" s="474" t="s">
        <v>945</v>
      </c>
      <c r="W26" s="474" t="s">
        <v>946</v>
      </c>
      <c r="X26" s="342">
        <v>1</v>
      </c>
      <c r="Y26" s="343" t="s">
        <v>383</v>
      </c>
      <c r="AB26" s="353">
        <v>4</v>
      </c>
      <c r="AC26" s="350" t="s">
        <v>341</v>
      </c>
    </row>
    <row r="27" spans="2:29" ht="29.45" customHeight="1">
      <c r="C27" s="792"/>
      <c r="AB27" s="347"/>
      <c r="AC27" s="350"/>
    </row>
    <row r="28" spans="2:29">
      <c r="C28" s="792"/>
    </row>
    <row r="29" spans="2:29">
      <c r="C29" s="792"/>
    </row>
    <row r="30" spans="2:29">
      <c r="C30" s="792"/>
    </row>
    <row r="31" spans="2:29">
      <c r="C31" s="792"/>
    </row>
    <row r="32" spans="2:29">
      <c r="C32" s="792"/>
    </row>
    <row r="33" spans="3:3">
      <c r="C33" s="792"/>
    </row>
    <row r="34" spans="3:3">
      <c r="C34" s="792"/>
    </row>
    <row r="35" spans="3:3">
      <c r="C35" s="792"/>
    </row>
    <row r="36" spans="3:3">
      <c r="C36" s="792"/>
    </row>
    <row r="67" ht="14.1" customHeight="1"/>
    <row r="77" ht="14.1" customHeight="1"/>
    <row r="87" ht="14.1" customHeight="1"/>
    <row r="112" spans="26:26">
      <c r="Z112" s="354" t="s">
        <v>537</v>
      </c>
    </row>
    <row r="113" spans="26:26">
      <c r="Z113" s="347" t="s">
        <v>538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tabSelected="1"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27" sqref="B27"/>
    </sheetView>
  </sheetViews>
  <sheetFormatPr defaultColWidth="8.85546875" defaultRowHeight="14.25"/>
  <cols>
    <col min="1" max="1" width="8.85546875" style="332"/>
    <col min="2" max="2" width="12.42578125" style="332" customWidth="1"/>
    <col min="3" max="3" width="8.85546875" style="332"/>
    <col min="4" max="4" width="11.5703125" style="332" customWidth="1"/>
    <col min="5" max="5" width="39.28515625" style="332" bestFit="1" customWidth="1"/>
    <col min="6" max="6" width="13.42578125" style="332" bestFit="1" customWidth="1"/>
    <col min="7" max="7" width="14.140625" style="332" customWidth="1"/>
    <col min="8" max="8" width="14" style="332" customWidth="1"/>
    <col min="9" max="9" width="16.85546875" style="332" customWidth="1"/>
    <col min="10" max="10" width="14" style="332" customWidth="1"/>
    <col min="11" max="11" width="11.7109375" style="332" bestFit="1" customWidth="1"/>
    <col min="12" max="12" width="13.42578125" style="332" bestFit="1" customWidth="1"/>
    <col min="13" max="13" width="19.28515625" style="332" bestFit="1" customWidth="1"/>
    <col min="14" max="14" width="15.42578125" style="332" bestFit="1" customWidth="1"/>
    <col min="15" max="15" width="12.7109375" style="332" bestFit="1" customWidth="1"/>
    <col min="16" max="16" width="9.85546875" style="332" bestFit="1" customWidth="1"/>
    <col min="17" max="17" width="12.28515625" style="332" bestFit="1" customWidth="1"/>
    <col min="18" max="18" width="10.7109375" style="332" customWidth="1"/>
    <col min="19" max="19" width="10.7109375" style="332" bestFit="1" customWidth="1"/>
    <col min="20" max="20" width="12.42578125" style="332" bestFit="1" customWidth="1"/>
    <col min="21" max="21" width="25.28515625" style="332" bestFit="1" customWidth="1"/>
    <col min="22" max="23" width="88.28515625" style="332" customWidth="1"/>
    <col min="24" max="24" width="7.42578125" style="332" bestFit="1" customWidth="1"/>
    <col min="25" max="25" width="69.5703125" style="332" bestFit="1" customWidth="1"/>
    <col min="26" max="26" width="11.42578125" style="332" bestFit="1" customWidth="1"/>
    <col min="27" max="27" width="21.5703125" style="332" customWidth="1"/>
    <col min="28" max="28" width="19.42578125" style="332" bestFit="1" customWidth="1"/>
    <col min="29" max="34" width="14.42578125" style="332" customWidth="1"/>
    <col min="35" max="35" width="11.42578125" style="332" bestFit="1" customWidth="1"/>
    <col min="36" max="16384" width="8.85546875" style="332"/>
  </cols>
  <sheetData>
    <row r="2" spans="2:35" ht="41.1" customHeight="1">
      <c r="B2" s="797" t="s">
        <v>539</v>
      </c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AA2" s="333"/>
      <c r="AB2" s="333"/>
    </row>
    <row r="3" spans="2:35" ht="17.100000000000001" customHeight="1">
      <c r="B3" s="799" t="s">
        <v>513</v>
      </c>
      <c r="C3" s="800"/>
      <c r="D3" s="793" t="s">
        <v>167</v>
      </c>
      <c r="E3" s="793"/>
      <c r="F3" s="793"/>
      <c r="G3" s="793" t="s">
        <v>181</v>
      </c>
      <c r="H3" s="793"/>
      <c r="I3" s="793"/>
      <c r="J3" s="793"/>
      <c r="K3" s="793"/>
      <c r="L3" s="793"/>
      <c r="M3" s="793"/>
      <c r="N3" s="793"/>
      <c r="O3" s="793"/>
      <c r="P3" s="793"/>
      <c r="Q3" s="793"/>
      <c r="R3" s="793"/>
      <c r="S3" s="793"/>
      <c r="T3" s="793" t="s">
        <v>168</v>
      </c>
      <c r="U3" s="805" t="s">
        <v>514</v>
      </c>
      <c r="V3" s="814" t="s">
        <v>540</v>
      </c>
      <c r="W3" s="814" t="s">
        <v>516</v>
      </c>
      <c r="X3" s="811" t="s">
        <v>541</v>
      </c>
      <c r="Y3" s="795" t="s">
        <v>169</v>
      </c>
      <c r="AA3" s="793" t="s">
        <v>542</v>
      </c>
      <c r="AB3" s="793"/>
      <c r="AC3" s="793"/>
      <c r="AD3" s="793"/>
      <c r="AE3" s="793"/>
      <c r="AF3" s="793"/>
      <c r="AG3" s="793"/>
      <c r="AH3" s="793"/>
      <c r="AI3" s="793"/>
    </row>
    <row r="4" spans="2:35" ht="17.100000000000001" customHeight="1">
      <c r="B4" s="801"/>
      <c r="C4" s="802"/>
      <c r="D4" s="794" t="s">
        <v>166</v>
      </c>
      <c r="E4" s="793" t="s">
        <v>170</v>
      </c>
      <c r="F4" s="793"/>
      <c r="G4" s="793" t="s">
        <v>182</v>
      </c>
      <c r="H4" s="793"/>
      <c r="I4" s="793"/>
      <c r="J4" s="793"/>
      <c r="K4" s="793"/>
      <c r="L4" s="793"/>
      <c r="M4" s="793"/>
      <c r="N4" s="793"/>
      <c r="O4" s="793" t="s">
        <v>171</v>
      </c>
      <c r="P4" s="793"/>
      <c r="Q4" s="793"/>
      <c r="R4" s="793"/>
      <c r="S4" s="793"/>
      <c r="T4" s="793"/>
      <c r="U4" s="806"/>
      <c r="V4" s="812"/>
      <c r="W4" s="815"/>
      <c r="X4" s="812"/>
      <c r="Y4" s="795"/>
      <c r="AA4" s="793"/>
      <c r="AB4" s="793"/>
      <c r="AC4" s="793"/>
      <c r="AD4" s="793"/>
      <c r="AE4" s="793"/>
      <c r="AF4" s="793"/>
      <c r="AG4" s="793"/>
      <c r="AH4" s="793"/>
      <c r="AI4" s="793"/>
    </row>
    <row r="5" spans="2:35" ht="17.100000000000001" customHeight="1">
      <c r="B5" s="801"/>
      <c r="C5" s="802"/>
      <c r="D5" s="794"/>
      <c r="E5" s="794" t="s">
        <v>172</v>
      </c>
      <c r="F5" s="795" t="s">
        <v>559</v>
      </c>
      <c r="G5" s="796" t="s">
        <v>183</v>
      </c>
      <c r="H5" s="796"/>
      <c r="I5" s="796"/>
      <c r="J5" s="796"/>
      <c r="K5" s="796"/>
      <c r="L5" s="796"/>
      <c r="M5" s="796"/>
      <c r="N5" s="796"/>
      <c r="O5" s="796" t="s">
        <v>165</v>
      </c>
      <c r="P5" s="796"/>
      <c r="Q5" s="796" t="s">
        <v>173</v>
      </c>
      <c r="R5" s="796"/>
      <c r="S5" s="796"/>
      <c r="T5" s="793"/>
      <c r="U5" s="806"/>
      <c r="V5" s="812"/>
      <c r="W5" s="815"/>
      <c r="X5" s="812"/>
      <c r="Y5" s="795"/>
      <c r="AA5" s="793"/>
      <c r="AB5" s="793"/>
      <c r="AC5" s="793"/>
      <c r="AD5" s="793"/>
      <c r="AE5" s="793"/>
      <c r="AF5" s="793"/>
      <c r="AG5" s="793"/>
      <c r="AH5" s="793"/>
      <c r="AI5" s="793"/>
    </row>
    <row r="6" spans="2:35" ht="38.450000000000003" customHeight="1">
      <c r="B6" s="803"/>
      <c r="C6" s="804"/>
      <c r="D6" s="794"/>
      <c r="E6" s="794"/>
      <c r="F6" s="795"/>
      <c r="G6" s="334" t="s">
        <v>174</v>
      </c>
      <c r="H6" s="334" t="s">
        <v>543</v>
      </c>
      <c r="I6" s="334" t="s">
        <v>544</v>
      </c>
      <c r="J6" s="334" t="s">
        <v>175</v>
      </c>
      <c r="K6" s="334" t="s">
        <v>545</v>
      </c>
      <c r="L6" s="334" t="s">
        <v>176</v>
      </c>
      <c r="M6" s="334" t="s">
        <v>184</v>
      </c>
      <c r="N6" s="334" t="s">
        <v>177</v>
      </c>
      <c r="O6" s="335" t="s">
        <v>178</v>
      </c>
      <c r="P6" s="335" t="s">
        <v>179</v>
      </c>
      <c r="Q6" s="335" t="s">
        <v>178</v>
      </c>
      <c r="R6" s="335" t="s">
        <v>179</v>
      </c>
      <c r="S6" s="334" t="s">
        <v>180</v>
      </c>
      <c r="T6" s="793"/>
      <c r="U6" s="807"/>
      <c r="V6" s="813"/>
      <c r="W6" s="816"/>
      <c r="X6" s="813"/>
      <c r="Y6" s="795"/>
      <c r="AA6" s="223" t="s">
        <v>546</v>
      </c>
      <c r="AB6" s="223" t="s">
        <v>494</v>
      </c>
      <c r="AC6" s="322" t="s">
        <v>547</v>
      </c>
      <c r="AD6" s="322" t="s">
        <v>496</v>
      </c>
      <c r="AE6" s="322" t="s">
        <v>548</v>
      </c>
      <c r="AF6" s="322" t="s">
        <v>549</v>
      </c>
      <c r="AG6" s="322" t="s">
        <v>550</v>
      </c>
      <c r="AH6" s="322" t="s">
        <v>500</v>
      </c>
      <c r="AI6" s="322" t="s">
        <v>551</v>
      </c>
    </row>
    <row r="7" spans="2:35" s="347" customFormat="1" ht="27" customHeight="1">
      <c r="B7" s="786">
        <v>1</v>
      </c>
      <c r="C7" s="787"/>
      <c r="D7" s="336">
        <v>1</v>
      </c>
      <c r="E7" s="337" t="s">
        <v>351</v>
      </c>
      <c r="F7" s="338">
        <v>6890.9105999999956</v>
      </c>
      <c r="G7" s="338">
        <v>1645.5900000000004</v>
      </c>
      <c r="H7" s="338">
        <v>1658.7000000000003</v>
      </c>
      <c r="I7" s="339">
        <v>1.0079667474887426</v>
      </c>
      <c r="J7" s="338">
        <v>0.4</v>
      </c>
      <c r="K7" s="339">
        <v>2.4307391270000421E-4</v>
      </c>
      <c r="L7" s="338">
        <v>510.06</v>
      </c>
      <c r="M7" s="339">
        <v>1.0082098214014426</v>
      </c>
      <c r="N7" s="473">
        <v>6686.8865999999489</v>
      </c>
      <c r="O7" s="338">
        <v>3.9000000000000012</v>
      </c>
      <c r="P7" s="339">
        <v>2.3699706488250418E-3</v>
      </c>
      <c r="Q7" s="338">
        <v>1910.6239999999998</v>
      </c>
      <c r="R7" s="340">
        <v>13.509999999999991</v>
      </c>
      <c r="S7" s="339">
        <v>8.2098214014426369E-3</v>
      </c>
      <c r="T7" s="474" t="s">
        <v>341</v>
      </c>
      <c r="U7" s="341" t="s">
        <v>212</v>
      </c>
      <c r="V7" s="474" t="s">
        <v>953</v>
      </c>
      <c r="W7" s="474" t="s">
        <v>944</v>
      </c>
      <c r="X7" s="342">
        <v>1</v>
      </c>
      <c r="Y7" s="343" t="s">
        <v>352</v>
      </c>
      <c r="Z7" s="344" t="s">
        <v>532</v>
      </c>
      <c r="AA7" s="345">
        <f>SUM(X7:X26)</f>
        <v>20</v>
      </c>
      <c r="AB7" s="346">
        <f>SUMIF($U$7:$U$26,TRIM(AB6),$X$7:$X$26)</f>
        <v>0</v>
      </c>
      <c r="AC7" s="346">
        <f>SUMIF($U$7:$U$26,TRIM(AC6),$X$7:$X$26)</f>
        <v>0</v>
      </c>
      <c r="AD7" s="346">
        <f t="shared" ref="AD7:AI7" ca="1" si="0">SUMIF($U$7:$U$9710,TRIM(AD6),$X$7:$X$26)</f>
        <v>2</v>
      </c>
      <c r="AE7" s="346">
        <f t="shared" ca="1" si="0"/>
        <v>13</v>
      </c>
      <c r="AF7" s="346">
        <f t="shared" ca="1" si="0"/>
        <v>3</v>
      </c>
      <c r="AG7" s="346">
        <f t="shared" ca="1" si="0"/>
        <v>2</v>
      </c>
      <c r="AH7" s="346">
        <f t="shared" ca="1" si="0"/>
        <v>0</v>
      </c>
      <c r="AI7" s="346">
        <f t="shared" ca="1" si="0"/>
        <v>0</v>
      </c>
    </row>
    <row r="8" spans="2:35" s="347" customFormat="1" ht="27" customHeight="1">
      <c r="B8" s="788"/>
      <c r="C8" s="789"/>
      <c r="D8" s="336">
        <v>2</v>
      </c>
      <c r="E8" s="337" t="s">
        <v>567</v>
      </c>
      <c r="F8" s="338">
        <v>6808.4754499999663</v>
      </c>
      <c r="G8" s="338">
        <v>3022.2150000000006</v>
      </c>
      <c r="H8" s="338">
        <v>3087.7000000000003</v>
      </c>
      <c r="I8" s="339">
        <v>1.0216678826622194</v>
      </c>
      <c r="J8" s="338">
        <v>0</v>
      </c>
      <c r="K8" s="339">
        <v>0</v>
      </c>
      <c r="L8" s="338">
        <v>103.97</v>
      </c>
      <c r="M8" s="339">
        <v>1.0216678826622194</v>
      </c>
      <c r="N8" s="473">
        <v>6808.4754499999663</v>
      </c>
      <c r="O8" s="338">
        <v>32.9</v>
      </c>
      <c r="P8" s="339">
        <v>1.0886055426235391E-2</v>
      </c>
      <c r="Q8" s="338">
        <v>3420.6129999999998</v>
      </c>
      <c r="R8" s="340">
        <v>65.484999999999673</v>
      </c>
      <c r="S8" s="339">
        <v>2.1667882662219484E-2</v>
      </c>
      <c r="T8" s="474" t="s">
        <v>339</v>
      </c>
      <c r="U8" s="341" t="s">
        <v>491</v>
      </c>
      <c r="V8" s="474" t="s">
        <v>928</v>
      </c>
      <c r="W8" s="474" t="s">
        <v>929</v>
      </c>
      <c r="X8" s="342">
        <v>1</v>
      </c>
      <c r="Y8" s="343" t="s">
        <v>563</v>
      </c>
      <c r="AA8" s="345"/>
      <c r="AB8" s="349">
        <f>SUMIF($U$7:$U$26,TRIM(AB6),$F$7:$F$26)</f>
        <v>0</v>
      </c>
      <c r="AC8" s="349">
        <f>SUMIF($U$7:$U$26,TRIM(AC6),$F$7:$F$26)</f>
        <v>0</v>
      </c>
      <c r="AD8" s="349">
        <f t="shared" ref="AD8:AI8" ca="1" si="1">SUMIF($U$7:$U$176,TRIM(AD6),$F$7:$F$26)</f>
        <v>9850.0558999999448</v>
      </c>
      <c r="AE8" s="349">
        <f t="shared" ca="1" si="1"/>
        <v>70871.539219999875</v>
      </c>
      <c r="AF8" s="349">
        <f t="shared" ca="1" si="1"/>
        <v>16660.732110000081</v>
      </c>
      <c r="AG8" s="349">
        <f t="shared" ca="1" si="1"/>
        <v>11781.031560000029</v>
      </c>
      <c r="AH8" s="349">
        <f t="shared" ca="1" si="1"/>
        <v>0</v>
      </c>
      <c r="AI8" s="349">
        <f t="shared" ca="1" si="1"/>
        <v>0</v>
      </c>
    </row>
    <row r="9" spans="2:35" s="347" customFormat="1" ht="27" customHeight="1">
      <c r="B9" s="788"/>
      <c r="C9" s="789"/>
      <c r="D9" s="336">
        <v>3</v>
      </c>
      <c r="E9" s="337" t="s">
        <v>412</v>
      </c>
      <c r="F9" s="338">
        <v>6266.9167999999236</v>
      </c>
      <c r="G9" s="338">
        <v>3770.34</v>
      </c>
      <c r="H9" s="338">
        <v>3819.4999999999995</v>
      </c>
      <c r="I9" s="339">
        <v>1.0130386119023747</v>
      </c>
      <c r="J9" s="338">
        <v>0</v>
      </c>
      <c r="K9" s="339">
        <v>0</v>
      </c>
      <c r="L9" s="338">
        <v>127.48</v>
      </c>
      <c r="M9" s="339">
        <v>1.0130386119023747</v>
      </c>
      <c r="N9" s="473">
        <v>6266.9167999999236</v>
      </c>
      <c r="O9" s="338">
        <v>27.799999999999997</v>
      </c>
      <c r="P9" s="339">
        <v>7.3733403353543701E-3</v>
      </c>
      <c r="Q9" s="338">
        <v>3543.9440000000009</v>
      </c>
      <c r="R9" s="340">
        <v>49.1599999999994</v>
      </c>
      <c r="S9" s="339">
        <v>1.3038611902374693E-2</v>
      </c>
      <c r="T9" s="475" t="s">
        <v>339</v>
      </c>
      <c r="U9" s="341" t="s">
        <v>491</v>
      </c>
      <c r="V9" s="474" t="s">
        <v>928</v>
      </c>
      <c r="W9" s="474" t="s">
        <v>929</v>
      </c>
      <c r="X9" s="342">
        <v>1</v>
      </c>
      <c r="Y9" s="343" t="s">
        <v>346</v>
      </c>
    </row>
    <row r="10" spans="2:35" s="347" customFormat="1" ht="27" customHeight="1">
      <c r="B10" s="788"/>
      <c r="C10" s="789"/>
      <c r="D10" s="336">
        <v>4</v>
      </c>
      <c r="E10" s="337" t="s">
        <v>596</v>
      </c>
      <c r="F10" s="338">
        <v>6157.859759999802</v>
      </c>
      <c r="G10" s="338">
        <v>7422.416000000002</v>
      </c>
      <c r="H10" s="338">
        <v>7467.4000000000005</v>
      </c>
      <c r="I10" s="339">
        <v>1.0060605603350712</v>
      </c>
      <c r="J10" s="338">
        <v>0</v>
      </c>
      <c r="K10" s="339">
        <v>0</v>
      </c>
      <c r="L10" s="338">
        <v>136.88999999999999</v>
      </c>
      <c r="M10" s="339">
        <v>1.0060605603350712</v>
      </c>
      <c r="N10" s="473">
        <v>6157.859759999802</v>
      </c>
      <c r="O10" s="338">
        <v>22.299999999999997</v>
      </c>
      <c r="P10" s="339">
        <v>3.0044125794081054E-3</v>
      </c>
      <c r="Q10" s="338">
        <v>3052.6469999999999</v>
      </c>
      <c r="R10" s="340">
        <v>44.983999999998559</v>
      </c>
      <c r="S10" s="339">
        <v>6.0605603350712958E-3</v>
      </c>
      <c r="T10" s="474" t="s">
        <v>341</v>
      </c>
      <c r="U10" s="341" t="s">
        <v>211</v>
      </c>
      <c r="V10" s="474" t="s">
        <v>954</v>
      </c>
      <c r="W10" s="474" t="s">
        <v>944</v>
      </c>
      <c r="X10" s="342">
        <v>1</v>
      </c>
      <c r="Y10" s="343" t="s">
        <v>349</v>
      </c>
    </row>
    <row r="11" spans="2:35" s="347" customFormat="1" ht="27" customHeight="1">
      <c r="B11" s="788"/>
      <c r="C11" s="789"/>
      <c r="D11" s="336">
        <v>5</v>
      </c>
      <c r="E11" s="337" t="s">
        <v>590</v>
      </c>
      <c r="F11" s="338">
        <v>5845.5409399999362</v>
      </c>
      <c r="G11" s="338">
        <v>7234.6180000000013</v>
      </c>
      <c r="H11" s="338">
        <v>7286.6</v>
      </c>
      <c r="I11" s="339">
        <v>1.0071851754992454</v>
      </c>
      <c r="J11" s="338">
        <v>0.6</v>
      </c>
      <c r="K11" s="339">
        <v>8.293457926873262E-5</v>
      </c>
      <c r="L11" s="338">
        <v>111.17</v>
      </c>
      <c r="M11" s="339">
        <v>1.0072681100785141</v>
      </c>
      <c r="N11" s="473">
        <v>5778.838939999896</v>
      </c>
      <c r="O11" s="338">
        <v>25.799999999999994</v>
      </c>
      <c r="P11" s="339">
        <v>3.5661869085555019E-3</v>
      </c>
      <c r="Q11" s="338">
        <v>2868.1860000000001</v>
      </c>
      <c r="R11" s="340">
        <v>52.581999999999425</v>
      </c>
      <c r="S11" s="339">
        <v>7.2681100785140854E-3</v>
      </c>
      <c r="T11" s="474" t="s">
        <v>339</v>
      </c>
      <c r="U11" s="341" t="s">
        <v>491</v>
      </c>
      <c r="V11" s="474" t="s">
        <v>934</v>
      </c>
      <c r="W11" s="474" t="s">
        <v>935</v>
      </c>
      <c r="X11" s="342">
        <v>1</v>
      </c>
      <c r="Y11" s="343" t="s">
        <v>349</v>
      </c>
    </row>
    <row r="12" spans="2:35" s="347" customFormat="1" ht="27" customHeight="1">
      <c r="B12" s="788"/>
      <c r="C12" s="789"/>
      <c r="D12" s="336">
        <v>6</v>
      </c>
      <c r="E12" s="337" t="s">
        <v>411</v>
      </c>
      <c r="F12" s="338">
        <v>5479.001550000321</v>
      </c>
      <c r="G12" s="338">
        <v>2072.6649999999995</v>
      </c>
      <c r="H12" s="338">
        <v>2079.3000000000002</v>
      </c>
      <c r="I12" s="339">
        <v>1.0032011926674116</v>
      </c>
      <c r="J12" s="338">
        <v>6.3999999999999995</v>
      </c>
      <c r="K12" s="339">
        <v>3.0878120680380094E-3</v>
      </c>
      <c r="L12" s="338">
        <v>420.33</v>
      </c>
      <c r="M12" s="339">
        <v>1.0062890047354496</v>
      </c>
      <c r="N12" s="473">
        <v>2788.8895500002827</v>
      </c>
      <c r="O12" s="338">
        <v>4.3999999999999995</v>
      </c>
      <c r="P12" s="339">
        <v>2.1228707967761314E-3</v>
      </c>
      <c r="Q12" s="338">
        <v>1849.4519999999995</v>
      </c>
      <c r="R12" s="340">
        <v>13.035000000000764</v>
      </c>
      <c r="S12" s="339">
        <v>6.2890047354496586E-3</v>
      </c>
      <c r="T12" s="474" t="s">
        <v>341</v>
      </c>
      <c r="U12" s="341" t="s">
        <v>211</v>
      </c>
      <c r="V12" s="474" t="s">
        <v>954</v>
      </c>
      <c r="W12" s="474" t="s">
        <v>944</v>
      </c>
      <c r="X12" s="342">
        <v>1</v>
      </c>
      <c r="Y12" s="343" t="s">
        <v>388</v>
      </c>
    </row>
    <row r="13" spans="2:35" s="347" customFormat="1" ht="27" customHeight="1">
      <c r="B13" s="788"/>
      <c r="C13" s="789"/>
      <c r="D13" s="336">
        <v>7</v>
      </c>
      <c r="E13" s="337" t="s">
        <v>933</v>
      </c>
      <c r="F13" s="338">
        <v>5477.0039999997016</v>
      </c>
      <c r="G13" s="338">
        <v>5043.9000000000015</v>
      </c>
      <c r="H13" s="338">
        <v>5090.6999999999989</v>
      </c>
      <c r="I13" s="339">
        <v>1.009278534467376</v>
      </c>
      <c r="J13" s="338">
        <v>0</v>
      </c>
      <c r="K13" s="339">
        <v>0</v>
      </c>
      <c r="L13" s="338">
        <v>117.03</v>
      </c>
      <c r="M13" s="339">
        <v>1.009278534467376</v>
      </c>
      <c r="N13" s="473">
        <v>5477.0039999997016</v>
      </c>
      <c r="O13" s="338">
        <v>26.099999999999994</v>
      </c>
      <c r="P13" s="339">
        <v>5.1745672991137786E-3</v>
      </c>
      <c r="Q13" s="338">
        <v>3054.4829999999993</v>
      </c>
      <c r="R13" s="340">
        <v>46.799999999997453</v>
      </c>
      <c r="S13" s="339">
        <v>9.2785344673759276E-3</v>
      </c>
      <c r="T13" s="475" t="s">
        <v>339</v>
      </c>
      <c r="U13" s="341" t="s">
        <v>491</v>
      </c>
      <c r="V13" s="474" t="s">
        <v>934</v>
      </c>
      <c r="W13" s="474" t="s">
        <v>935</v>
      </c>
      <c r="X13" s="342">
        <v>1</v>
      </c>
      <c r="Y13" s="343" t="s">
        <v>660</v>
      </c>
      <c r="AB13" s="347">
        <v>1</v>
      </c>
      <c r="AC13" s="350" t="s">
        <v>494</v>
      </c>
    </row>
    <row r="14" spans="2:35" s="347" customFormat="1" ht="27" customHeight="1">
      <c r="B14" s="788"/>
      <c r="C14" s="789"/>
      <c r="D14" s="336">
        <v>8</v>
      </c>
      <c r="E14" s="337" t="s">
        <v>613</v>
      </c>
      <c r="F14" s="338">
        <v>5469.1356000001215</v>
      </c>
      <c r="G14" s="338">
        <v>7974.1799999999985</v>
      </c>
      <c r="H14" s="338">
        <v>8050.8</v>
      </c>
      <c r="I14" s="339">
        <v>1.0096085114707722</v>
      </c>
      <c r="J14" s="338">
        <v>0</v>
      </c>
      <c r="K14" s="339">
        <v>0</v>
      </c>
      <c r="L14" s="338">
        <v>71.38</v>
      </c>
      <c r="M14" s="339">
        <v>1.0096085114707722</v>
      </c>
      <c r="N14" s="473">
        <v>5469.1356000001215</v>
      </c>
      <c r="O14" s="338">
        <v>32.799999999999997</v>
      </c>
      <c r="P14" s="339">
        <v>4.1132755969892831E-3</v>
      </c>
      <c r="Q14" s="338">
        <v>2341.2640000000001</v>
      </c>
      <c r="R14" s="340">
        <v>76.62000000000171</v>
      </c>
      <c r="S14" s="339">
        <v>9.6085114707721332E-3</v>
      </c>
      <c r="T14" s="341" t="s">
        <v>339</v>
      </c>
      <c r="U14" s="341" t="s">
        <v>491</v>
      </c>
      <c r="V14" s="474" t="s">
        <v>928</v>
      </c>
      <c r="W14" s="474" t="s">
        <v>929</v>
      </c>
      <c r="X14" s="342">
        <v>1</v>
      </c>
      <c r="Y14" s="343" t="s">
        <v>588</v>
      </c>
      <c r="AB14" s="347">
        <v>2</v>
      </c>
      <c r="AC14" s="350" t="s">
        <v>348</v>
      </c>
    </row>
    <row r="15" spans="2:35" s="347" customFormat="1" ht="27" customHeight="1">
      <c r="B15" s="788"/>
      <c r="C15" s="789"/>
      <c r="D15" s="336">
        <v>9</v>
      </c>
      <c r="E15" s="337" t="s">
        <v>599</v>
      </c>
      <c r="F15" s="338">
        <v>5446.1756500002048</v>
      </c>
      <c r="G15" s="338">
        <v>6541.0949999999984</v>
      </c>
      <c r="H15" s="338">
        <v>6616.6000000000013</v>
      </c>
      <c r="I15" s="339">
        <v>1.0115431743461918</v>
      </c>
      <c r="J15" s="338">
        <v>0</v>
      </c>
      <c r="K15" s="339">
        <v>0</v>
      </c>
      <c r="L15" s="338">
        <v>72.13</v>
      </c>
      <c r="M15" s="339">
        <v>1.0115431743461918</v>
      </c>
      <c r="N15" s="473">
        <v>5446.1756500002048</v>
      </c>
      <c r="O15" s="338">
        <v>35.200000000000003</v>
      </c>
      <c r="P15" s="339">
        <v>5.3813619890859272E-3</v>
      </c>
      <c r="Q15" s="338">
        <v>2538.9759999999997</v>
      </c>
      <c r="R15" s="340">
        <v>75.505000000002838</v>
      </c>
      <c r="S15" s="339">
        <v>1.1543174346191709E-2</v>
      </c>
      <c r="T15" s="475" t="s">
        <v>339</v>
      </c>
      <c r="U15" s="341" t="s">
        <v>491</v>
      </c>
      <c r="V15" s="474" t="s">
        <v>928</v>
      </c>
      <c r="W15" s="474" t="s">
        <v>929</v>
      </c>
      <c r="X15" s="342">
        <v>1</v>
      </c>
      <c r="Y15" s="343" t="s">
        <v>589</v>
      </c>
      <c r="AB15" s="347">
        <v>3</v>
      </c>
      <c r="AC15" s="350" t="s">
        <v>409</v>
      </c>
    </row>
    <row r="16" spans="2:35" s="347" customFormat="1" ht="27" customHeight="1">
      <c r="B16" s="788"/>
      <c r="C16" s="789"/>
      <c r="D16" s="336">
        <v>10</v>
      </c>
      <c r="E16" s="337" t="s">
        <v>612</v>
      </c>
      <c r="F16" s="338">
        <v>5325.1167600000454</v>
      </c>
      <c r="G16" s="338">
        <v>2067.1529999999998</v>
      </c>
      <c r="H16" s="338">
        <v>2102.4</v>
      </c>
      <c r="I16" s="339">
        <v>1.017050987517615</v>
      </c>
      <c r="J16" s="338">
        <v>0</v>
      </c>
      <c r="K16" s="339">
        <v>0</v>
      </c>
      <c r="L16" s="338">
        <v>151.08000000000001</v>
      </c>
      <c r="M16" s="339">
        <v>1.017050987517615</v>
      </c>
      <c r="N16" s="473">
        <v>5325.1167600000454</v>
      </c>
      <c r="O16" s="338">
        <v>22.999999999999996</v>
      </c>
      <c r="P16" s="339">
        <v>1.1126413961617742E-2</v>
      </c>
      <c r="Q16" s="338">
        <v>3474.84</v>
      </c>
      <c r="R16" s="340">
        <v>35.247000000000298</v>
      </c>
      <c r="S16" s="339">
        <v>1.7050987517614951E-2</v>
      </c>
      <c r="T16" s="341" t="s">
        <v>339</v>
      </c>
      <c r="U16" s="341" t="s">
        <v>491</v>
      </c>
      <c r="V16" s="474" t="s">
        <v>930</v>
      </c>
      <c r="W16" s="474" t="s">
        <v>931</v>
      </c>
      <c r="X16" s="342">
        <v>1</v>
      </c>
      <c r="Y16" s="343" t="s">
        <v>611</v>
      </c>
      <c r="AB16" s="347">
        <v>4</v>
      </c>
      <c r="AC16" s="350" t="s">
        <v>533</v>
      </c>
    </row>
    <row r="17" spans="2:29" s="347" customFormat="1" ht="27" customHeight="1">
      <c r="B17" s="788"/>
      <c r="C17" s="789"/>
      <c r="D17" s="336">
        <v>11</v>
      </c>
      <c r="E17" s="337" t="s">
        <v>553</v>
      </c>
      <c r="F17" s="338">
        <v>5292.8575000000001</v>
      </c>
      <c r="G17" s="338">
        <v>1226.5500000000002</v>
      </c>
      <c r="H17" s="338">
        <v>1235.6000000000001</v>
      </c>
      <c r="I17" s="339">
        <v>1.007378419143125</v>
      </c>
      <c r="J17" s="338">
        <v>3.2</v>
      </c>
      <c r="K17" s="339">
        <v>2.6089437854143736E-3</v>
      </c>
      <c r="L17" s="338">
        <v>432.07</v>
      </c>
      <c r="M17" s="339">
        <v>1.0099873629285394</v>
      </c>
      <c r="N17" s="473">
        <v>3910.2334999999803</v>
      </c>
      <c r="O17" s="338">
        <v>4.7</v>
      </c>
      <c r="P17" s="339">
        <v>3.8318861848273609E-3</v>
      </c>
      <c r="Q17" s="338">
        <v>2030.7289999999998</v>
      </c>
      <c r="R17" s="340">
        <v>12.25</v>
      </c>
      <c r="S17" s="339">
        <v>9.9873629285393978E-3</v>
      </c>
      <c r="T17" s="341" t="s">
        <v>339</v>
      </c>
      <c r="U17" s="341" t="s">
        <v>491</v>
      </c>
      <c r="V17" s="474" t="s">
        <v>955</v>
      </c>
      <c r="W17" s="474" t="s">
        <v>944</v>
      </c>
      <c r="X17" s="342">
        <v>1</v>
      </c>
      <c r="Y17" s="343" t="s">
        <v>372</v>
      </c>
      <c r="AB17" s="347">
        <v>5</v>
      </c>
      <c r="AC17" s="350" t="s">
        <v>211</v>
      </c>
    </row>
    <row r="18" spans="2:29" s="347" customFormat="1" ht="27" customHeight="1">
      <c r="B18" s="788"/>
      <c r="C18" s="789"/>
      <c r="D18" s="336">
        <v>12</v>
      </c>
      <c r="E18" s="337" t="s">
        <v>614</v>
      </c>
      <c r="F18" s="338">
        <v>5224.8646200001276</v>
      </c>
      <c r="G18" s="338">
        <v>3257.331999999999</v>
      </c>
      <c r="H18" s="338">
        <v>3305.75</v>
      </c>
      <c r="I18" s="339">
        <v>1.0148643122653758</v>
      </c>
      <c r="J18" s="338">
        <v>1.3</v>
      </c>
      <c r="K18" s="339">
        <v>3.9909963123194089E-4</v>
      </c>
      <c r="L18" s="338">
        <v>105.09</v>
      </c>
      <c r="M18" s="339">
        <v>1.0152634118966077</v>
      </c>
      <c r="N18" s="473">
        <v>5088.2476200001083</v>
      </c>
      <c r="O18" s="338">
        <v>28.9</v>
      </c>
      <c r="P18" s="339">
        <v>8.8722918020023769E-3</v>
      </c>
      <c r="Q18" s="338">
        <v>3037.1010000000006</v>
      </c>
      <c r="R18" s="340">
        <v>49.718000000001211</v>
      </c>
      <c r="S18" s="339">
        <v>1.5263411896607784E-2</v>
      </c>
      <c r="T18" s="475" t="s">
        <v>339</v>
      </c>
      <c r="U18" s="341" t="s">
        <v>491</v>
      </c>
      <c r="V18" s="474" t="s">
        <v>940</v>
      </c>
      <c r="W18" s="474" t="s">
        <v>941</v>
      </c>
      <c r="X18" s="342">
        <v>1</v>
      </c>
      <c r="Y18" s="343" t="s">
        <v>611</v>
      </c>
      <c r="AB18" s="347">
        <v>6</v>
      </c>
      <c r="AC18" s="350" t="s">
        <v>212</v>
      </c>
    </row>
    <row r="19" spans="2:29" s="347" customFormat="1" ht="27" customHeight="1">
      <c r="B19" s="788"/>
      <c r="C19" s="789"/>
      <c r="D19" s="336">
        <v>13</v>
      </c>
      <c r="E19" s="337" t="s">
        <v>593</v>
      </c>
      <c r="F19" s="338">
        <v>5023.8707999999579</v>
      </c>
      <c r="G19" s="338">
        <v>1580.88</v>
      </c>
      <c r="H19" s="338">
        <v>1597.6</v>
      </c>
      <c r="I19" s="339">
        <v>1.0105763878346237</v>
      </c>
      <c r="J19" s="338">
        <v>1.7000000000000002</v>
      </c>
      <c r="K19" s="339">
        <v>1.0753504377308842E-3</v>
      </c>
      <c r="L19" s="338">
        <v>272.74</v>
      </c>
      <c r="M19" s="339">
        <v>1.0116517382723544</v>
      </c>
      <c r="N19" s="473">
        <v>4560.2127999999457</v>
      </c>
      <c r="O19" s="338">
        <v>9.7999999999999989</v>
      </c>
      <c r="P19" s="339">
        <v>6.1990789939780364E-3</v>
      </c>
      <c r="Q19" s="338">
        <v>2672.8520000000003</v>
      </c>
      <c r="R19" s="340">
        <v>18.419999999999845</v>
      </c>
      <c r="S19" s="339">
        <v>1.165173827235454E-2</v>
      </c>
      <c r="T19" s="341" t="s">
        <v>341</v>
      </c>
      <c r="U19" s="341" t="s">
        <v>211</v>
      </c>
      <c r="V19" s="474" t="s">
        <v>956</v>
      </c>
      <c r="W19" s="474" t="s">
        <v>944</v>
      </c>
      <c r="X19" s="342">
        <v>1</v>
      </c>
      <c r="Y19" s="343" t="s">
        <v>342</v>
      </c>
      <c r="AB19" s="347">
        <v>7</v>
      </c>
      <c r="AC19" s="350" t="s">
        <v>535</v>
      </c>
    </row>
    <row r="20" spans="2:29" s="347" customFormat="1" ht="27" customHeight="1">
      <c r="B20" s="788"/>
      <c r="C20" s="789"/>
      <c r="D20" s="336">
        <v>14</v>
      </c>
      <c r="E20" s="337" t="s">
        <v>903</v>
      </c>
      <c r="F20" s="338">
        <v>4981.9489399999302</v>
      </c>
      <c r="G20" s="338">
        <v>762.76200000000017</v>
      </c>
      <c r="H20" s="338">
        <v>778.3</v>
      </c>
      <c r="I20" s="339">
        <v>1.0203707054100752</v>
      </c>
      <c r="J20" s="338">
        <v>0</v>
      </c>
      <c r="K20" s="339">
        <v>0</v>
      </c>
      <c r="L20" s="338">
        <v>320.63</v>
      </c>
      <c r="M20" s="339">
        <v>1.0203707054100752</v>
      </c>
      <c r="N20" s="473">
        <v>4981.9489399999302</v>
      </c>
      <c r="O20" s="338">
        <v>9.4</v>
      </c>
      <c r="P20" s="339">
        <v>1.2323634370878463E-2</v>
      </c>
      <c r="Q20" s="338">
        <v>3013.922</v>
      </c>
      <c r="R20" s="340">
        <v>15.537999999999784</v>
      </c>
      <c r="S20" s="339">
        <v>2.0370705410075199E-2</v>
      </c>
      <c r="T20" s="341" t="s">
        <v>339</v>
      </c>
      <c r="U20" s="341" t="s">
        <v>491</v>
      </c>
      <c r="V20" s="474" t="s">
        <v>940</v>
      </c>
      <c r="W20" s="474" t="s">
        <v>941</v>
      </c>
      <c r="X20" s="342">
        <v>1</v>
      </c>
      <c r="Y20" s="343" t="s">
        <v>664</v>
      </c>
      <c r="AB20" s="347">
        <v>8</v>
      </c>
      <c r="AC20" s="351" t="s">
        <v>536</v>
      </c>
    </row>
    <row r="21" spans="2:29" s="347" customFormat="1" ht="27" customHeight="1">
      <c r="B21" s="788"/>
      <c r="C21" s="789"/>
      <c r="D21" s="336">
        <v>15</v>
      </c>
      <c r="E21" s="337" t="s">
        <v>610</v>
      </c>
      <c r="F21" s="338">
        <v>4953.2288000000399</v>
      </c>
      <c r="G21" s="338">
        <v>2459.9799999999991</v>
      </c>
      <c r="H21" s="338">
        <v>2525.8999999999996</v>
      </c>
      <c r="I21" s="339">
        <v>1.0267969658289906</v>
      </c>
      <c r="J21" s="338">
        <v>0</v>
      </c>
      <c r="K21" s="339">
        <v>0</v>
      </c>
      <c r="L21" s="338">
        <v>75.14</v>
      </c>
      <c r="M21" s="339">
        <v>1.0267969658289906</v>
      </c>
      <c r="N21" s="473">
        <v>4953.2288000000399</v>
      </c>
      <c r="O21" s="338">
        <v>34.299999999999997</v>
      </c>
      <c r="P21" s="339">
        <v>1.3943202790266592E-2</v>
      </c>
      <c r="Q21" s="338">
        <v>2577.3020000000001</v>
      </c>
      <c r="R21" s="340">
        <v>65.920000000000528</v>
      </c>
      <c r="S21" s="339">
        <v>2.6796965828990705E-2</v>
      </c>
      <c r="T21" s="336" t="s">
        <v>347</v>
      </c>
      <c r="U21" s="341" t="s">
        <v>409</v>
      </c>
      <c r="V21" s="474" t="s">
        <v>945</v>
      </c>
      <c r="W21" s="474" t="s">
        <v>946</v>
      </c>
      <c r="X21" s="342">
        <v>1</v>
      </c>
      <c r="Y21" s="343" t="s">
        <v>349</v>
      </c>
      <c r="AC21" s="350"/>
    </row>
    <row r="22" spans="2:29" s="347" customFormat="1" ht="27" customHeight="1">
      <c r="B22" s="788"/>
      <c r="C22" s="789"/>
      <c r="D22" s="336">
        <v>16</v>
      </c>
      <c r="E22" s="337" t="s">
        <v>683</v>
      </c>
      <c r="F22" s="338">
        <v>4932.2240000000365</v>
      </c>
      <c r="G22" s="338">
        <v>5458.4400000000005</v>
      </c>
      <c r="H22" s="338">
        <v>5513.0000000000009</v>
      </c>
      <c r="I22" s="339">
        <v>1.0099955298583478</v>
      </c>
      <c r="J22" s="338">
        <v>0</v>
      </c>
      <c r="K22" s="339">
        <v>0</v>
      </c>
      <c r="L22" s="338">
        <v>90.4</v>
      </c>
      <c r="M22" s="339">
        <v>1.0099955298583478</v>
      </c>
      <c r="N22" s="473">
        <v>4932.2240000000365</v>
      </c>
      <c r="O22" s="338">
        <v>30.700000000000003</v>
      </c>
      <c r="P22" s="339">
        <v>5.6243175705879339E-3</v>
      </c>
      <c r="Q22" s="338">
        <v>2775.2800000000007</v>
      </c>
      <c r="R22" s="340">
        <v>54.5600000000004</v>
      </c>
      <c r="S22" s="339">
        <v>9.9955298583478784E-3</v>
      </c>
      <c r="T22" s="341" t="s">
        <v>339</v>
      </c>
      <c r="U22" s="341" t="s">
        <v>491</v>
      </c>
      <c r="V22" s="474" t="s">
        <v>930</v>
      </c>
      <c r="W22" s="476" t="s">
        <v>931</v>
      </c>
      <c r="X22" s="342">
        <v>1</v>
      </c>
      <c r="Y22" s="343" t="s">
        <v>381</v>
      </c>
      <c r="AC22" s="350"/>
    </row>
    <row r="23" spans="2:29" s="347" customFormat="1" ht="27" customHeight="1">
      <c r="B23" s="788"/>
      <c r="C23" s="789"/>
      <c r="D23" s="336">
        <v>17</v>
      </c>
      <c r="E23" s="337" t="s">
        <v>592</v>
      </c>
      <c r="F23" s="338">
        <v>4931.9325599999775</v>
      </c>
      <c r="G23" s="338">
        <v>1942.279</v>
      </c>
      <c r="H23" s="338">
        <v>1970.8</v>
      </c>
      <c r="I23" s="339">
        <v>1.0146842961284142</v>
      </c>
      <c r="J23" s="338">
        <v>0.6</v>
      </c>
      <c r="K23" s="339">
        <v>3.0891545447384234E-4</v>
      </c>
      <c r="L23" s="338">
        <v>169.36</v>
      </c>
      <c r="M23" s="339">
        <v>1.0149932115828879</v>
      </c>
      <c r="N23" s="473">
        <v>4830.3165599999929</v>
      </c>
      <c r="O23" s="338">
        <v>18</v>
      </c>
      <c r="P23" s="339">
        <v>9.2674636342152707E-3</v>
      </c>
      <c r="Q23" s="338">
        <v>3048.4800000000005</v>
      </c>
      <c r="R23" s="340">
        <v>29.120999999999867</v>
      </c>
      <c r="S23" s="339">
        <v>1.4993211582887869E-2</v>
      </c>
      <c r="T23" s="341" t="s">
        <v>339</v>
      </c>
      <c r="U23" s="341" t="s">
        <v>491</v>
      </c>
      <c r="V23" s="474" t="s">
        <v>938</v>
      </c>
      <c r="W23" s="474" t="s">
        <v>939</v>
      </c>
      <c r="X23" s="342">
        <v>1</v>
      </c>
      <c r="Y23" s="343" t="s">
        <v>349</v>
      </c>
      <c r="AB23" s="352">
        <v>1</v>
      </c>
      <c r="AC23" s="350" t="s">
        <v>347</v>
      </c>
    </row>
    <row r="24" spans="2:29" s="347" customFormat="1" ht="27" customHeight="1">
      <c r="B24" s="788"/>
      <c r="C24" s="789"/>
      <c r="D24" s="336">
        <v>18</v>
      </c>
      <c r="E24" s="337" t="s">
        <v>684</v>
      </c>
      <c r="F24" s="338">
        <v>4896.8270999999058</v>
      </c>
      <c r="G24" s="338">
        <v>2841.3820000000014</v>
      </c>
      <c r="H24" s="338">
        <v>2910.4</v>
      </c>
      <c r="I24" s="339">
        <v>1.024290292540742</v>
      </c>
      <c r="J24" s="338">
        <v>0</v>
      </c>
      <c r="K24" s="339">
        <v>0</v>
      </c>
      <c r="L24" s="338">
        <v>70.95</v>
      </c>
      <c r="M24" s="339">
        <v>1.024290292540742</v>
      </c>
      <c r="N24" s="473">
        <v>4896.8270999999058</v>
      </c>
      <c r="O24" s="338">
        <v>35.1</v>
      </c>
      <c r="P24" s="339">
        <v>1.2353143646296057E-2</v>
      </c>
      <c r="Q24" s="338">
        <v>2490.3450000000003</v>
      </c>
      <c r="R24" s="340">
        <v>69.017999999998665</v>
      </c>
      <c r="S24" s="339">
        <v>2.4290292540742015E-2</v>
      </c>
      <c r="T24" s="341" t="s">
        <v>347</v>
      </c>
      <c r="U24" s="341" t="s">
        <v>409</v>
      </c>
      <c r="V24" s="474" t="s">
        <v>940</v>
      </c>
      <c r="W24" s="474" t="s">
        <v>941</v>
      </c>
      <c r="X24" s="342">
        <v>1</v>
      </c>
      <c r="Y24" s="343" t="s">
        <v>383</v>
      </c>
      <c r="AB24" s="347">
        <v>2</v>
      </c>
      <c r="AC24" s="350" t="s">
        <v>413</v>
      </c>
    </row>
    <row r="25" spans="2:29" s="347" customFormat="1" ht="27" customHeight="1">
      <c r="B25" s="788"/>
      <c r="C25" s="789"/>
      <c r="D25" s="336">
        <v>19</v>
      </c>
      <c r="E25" s="337" t="s">
        <v>415</v>
      </c>
      <c r="F25" s="338">
        <v>4890.1209600000338</v>
      </c>
      <c r="G25" s="338">
        <v>560.80799999999999</v>
      </c>
      <c r="H25" s="338">
        <v>571.80000000000007</v>
      </c>
      <c r="I25" s="339">
        <v>1.0196002910086877</v>
      </c>
      <c r="J25" s="338">
        <v>0</v>
      </c>
      <c r="K25" s="339">
        <v>0</v>
      </c>
      <c r="L25" s="338">
        <v>444.88</v>
      </c>
      <c r="M25" s="339">
        <v>1.0196002910086877</v>
      </c>
      <c r="N25" s="473">
        <v>4890.1209600000338</v>
      </c>
      <c r="O25" s="338">
        <v>4.4000000000000004</v>
      </c>
      <c r="P25" s="339">
        <v>7.8458224561703833E-3</v>
      </c>
      <c r="Q25" s="338">
        <v>1957.4720000000004</v>
      </c>
      <c r="R25" s="340">
        <v>10.992000000000075</v>
      </c>
      <c r="S25" s="339">
        <v>1.9600291008687602E-2</v>
      </c>
      <c r="T25" s="341" t="s">
        <v>341</v>
      </c>
      <c r="U25" s="341" t="s">
        <v>212</v>
      </c>
      <c r="V25" s="474" t="s">
        <v>953</v>
      </c>
      <c r="W25" s="474" t="s">
        <v>944</v>
      </c>
      <c r="X25" s="342">
        <v>1</v>
      </c>
      <c r="Y25" s="343" t="s">
        <v>414</v>
      </c>
      <c r="AB25" s="353">
        <v>3</v>
      </c>
      <c r="AC25" s="350" t="s">
        <v>339</v>
      </c>
    </row>
    <row r="26" spans="2:29" s="347" customFormat="1" ht="27" customHeight="1">
      <c r="B26" s="790"/>
      <c r="C26" s="791"/>
      <c r="D26" s="336">
        <v>20</v>
      </c>
      <c r="E26" s="337" t="s">
        <v>679</v>
      </c>
      <c r="F26" s="338">
        <v>4869.3463999999085</v>
      </c>
      <c r="G26" s="338">
        <v>3486.9120000000007</v>
      </c>
      <c r="H26" s="338">
        <v>3549.4999999999995</v>
      </c>
      <c r="I26" s="339">
        <v>1.0179494062368075</v>
      </c>
      <c r="J26" s="338">
        <v>0</v>
      </c>
      <c r="K26" s="339">
        <v>0</v>
      </c>
      <c r="L26" s="338">
        <v>77.8</v>
      </c>
      <c r="M26" s="339">
        <v>1.0179494062368075</v>
      </c>
      <c r="N26" s="473">
        <v>4869.3463999999085</v>
      </c>
      <c r="O26" s="338">
        <v>28</v>
      </c>
      <c r="P26" s="339">
        <v>8.030027715067084E-3</v>
      </c>
      <c r="Q26" s="338">
        <v>2178.4</v>
      </c>
      <c r="R26" s="340">
        <v>62.587999999998829</v>
      </c>
      <c r="S26" s="339">
        <v>1.7949406236807471E-2</v>
      </c>
      <c r="T26" s="341" t="s">
        <v>339</v>
      </c>
      <c r="U26" s="341" t="s">
        <v>491</v>
      </c>
      <c r="V26" s="474" t="s">
        <v>940</v>
      </c>
      <c r="W26" s="474" t="s">
        <v>941</v>
      </c>
      <c r="X26" s="342">
        <v>1</v>
      </c>
      <c r="Y26" s="343" t="s">
        <v>664</v>
      </c>
      <c r="AB26" s="353">
        <v>4</v>
      </c>
      <c r="AC26" s="350" t="s">
        <v>341</v>
      </c>
    </row>
    <row r="27" spans="2:29" ht="29.45" customHeight="1">
      <c r="C27" s="792"/>
      <c r="AB27" s="347"/>
      <c r="AC27" s="350"/>
    </row>
    <row r="28" spans="2:29">
      <c r="C28" s="792"/>
    </row>
    <row r="29" spans="2:29">
      <c r="C29" s="792"/>
    </row>
    <row r="30" spans="2:29">
      <c r="C30" s="792"/>
    </row>
    <row r="31" spans="2:29">
      <c r="C31" s="792"/>
    </row>
    <row r="32" spans="2:29">
      <c r="C32" s="792"/>
    </row>
    <row r="33" spans="3:3">
      <c r="C33" s="792"/>
    </row>
    <row r="34" spans="3:3">
      <c r="C34" s="792"/>
    </row>
    <row r="35" spans="3:3">
      <c r="C35" s="792"/>
    </row>
    <row r="36" spans="3:3">
      <c r="C36" s="792"/>
    </row>
    <row r="67" ht="14.1" customHeight="1"/>
    <row r="77" ht="14.1" customHeight="1"/>
    <row r="87" ht="14.1" customHeight="1"/>
    <row r="112" spans="26:26">
      <c r="Z112" s="354" t="s">
        <v>537</v>
      </c>
    </row>
    <row r="113" spans="26:26">
      <c r="Z113" s="347" t="s">
        <v>538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disablePrompts="1"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O63"/>
  <sheetViews>
    <sheetView zoomScale="75" zoomScaleNormal="75" workbookViewId="0">
      <selection activeCell="B36" sqref="B36"/>
    </sheetView>
  </sheetViews>
  <sheetFormatPr defaultColWidth="8.28515625" defaultRowHeight="15"/>
  <cols>
    <col min="1" max="1" width="18.42578125" style="355" customWidth="1"/>
    <col min="2" max="2" width="21.140625" style="355" bestFit="1" customWidth="1"/>
    <col min="3" max="6" width="14.28515625" style="355" customWidth="1"/>
    <col min="7" max="10" width="18.42578125" style="355" customWidth="1"/>
    <col min="11" max="11" width="17.140625" style="355" bestFit="1" customWidth="1"/>
    <col min="12" max="12" width="16" style="355" customWidth="1"/>
    <col min="13" max="13" width="23.28515625" style="355" bestFit="1" customWidth="1"/>
    <col min="14" max="15" width="13.28515625" style="355" bestFit="1" customWidth="1"/>
    <col min="16" max="16" width="8.28515625" style="355"/>
    <col min="17" max="17" width="12.85546875" style="355" bestFit="1" customWidth="1"/>
    <col min="18" max="16384" width="8.28515625" style="355"/>
  </cols>
  <sheetData>
    <row r="1" spans="1:15" ht="27" customHeight="1">
      <c r="A1" s="817" t="s">
        <v>568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</row>
    <row r="2" spans="1:15" ht="16.5" customHeight="1">
      <c r="A2" s="818" t="s">
        <v>569</v>
      </c>
      <c r="B2" s="818" t="s">
        <v>570</v>
      </c>
      <c r="C2" s="818" t="s">
        <v>571</v>
      </c>
      <c r="D2" s="818" t="s">
        <v>572</v>
      </c>
      <c r="E2" s="818" t="s">
        <v>573</v>
      </c>
      <c r="F2" s="818" t="s">
        <v>574</v>
      </c>
      <c r="G2" s="818" t="s">
        <v>575</v>
      </c>
      <c r="H2" s="818"/>
      <c r="I2" s="818" t="s">
        <v>576</v>
      </c>
      <c r="J2" s="818"/>
      <c r="K2" s="818" t="s">
        <v>577</v>
      </c>
      <c r="L2" s="818"/>
      <c r="M2" s="819" t="s">
        <v>578</v>
      </c>
      <c r="N2" s="819"/>
      <c r="O2" s="819"/>
    </row>
    <row r="3" spans="1:15" ht="37.5" customHeight="1">
      <c r="A3" s="818"/>
      <c r="B3" s="818"/>
      <c r="C3" s="818"/>
      <c r="D3" s="818"/>
      <c r="E3" s="818"/>
      <c r="F3" s="818"/>
      <c r="G3" s="383" t="s">
        <v>579</v>
      </c>
      <c r="H3" s="383" t="s">
        <v>580</v>
      </c>
      <c r="I3" s="383" t="s">
        <v>579</v>
      </c>
      <c r="J3" s="383" t="s">
        <v>580</v>
      </c>
      <c r="K3" s="383" t="s">
        <v>581</v>
      </c>
      <c r="L3" s="383" t="s">
        <v>582</v>
      </c>
      <c r="M3" s="383" t="s">
        <v>583</v>
      </c>
      <c r="N3" s="356" t="s">
        <v>584</v>
      </c>
      <c r="O3" s="356" t="s">
        <v>585</v>
      </c>
    </row>
    <row r="4" spans="1:15" ht="18.75">
      <c r="A4" s="426">
        <v>46023</v>
      </c>
      <c r="B4" s="368">
        <v>6681403</v>
      </c>
      <c r="C4" s="368">
        <v>16555</v>
      </c>
      <c r="D4" s="387">
        <v>2.4777730066574341E-3</v>
      </c>
      <c r="E4" s="369">
        <v>14553.432367741105</v>
      </c>
      <c r="F4" s="359">
        <v>2.1782000528543337E-3</v>
      </c>
      <c r="G4" s="368">
        <v>1431.7660000000001</v>
      </c>
      <c r="H4" s="360">
        <v>8.6485412262156447E-2</v>
      </c>
      <c r="I4" s="361">
        <v>1541.748120000002</v>
      </c>
      <c r="J4" s="360">
        <v>0.10593707938049138</v>
      </c>
      <c r="K4" s="370">
        <v>3169.2429999999995</v>
      </c>
      <c r="L4" s="371">
        <v>0.19143720930232555</v>
      </c>
      <c r="M4" s="820">
        <f>SUM(B4:B8)</f>
        <v>33573872</v>
      </c>
      <c r="N4" s="822">
        <f>SUM(C4:C8)</f>
        <v>82430</v>
      </c>
      <c r="O4" s="822">
        <f>SUM(E4:E8)</f>
        <v>75627.252235480904</v>
      </c>
    </row>
    <row r="5" spans="1:15" ht="18.75">
      <c r="A5" s="363">
        <f>A4+1</f>
        <v>46024</v>
      </c>
      <c r="B5" s="368">
        <v>5997913</v>
      </c>
      <c r="C5" s="368">
        <v>14737</v>
      </c>
      <c r="D5" s="387">
        <v>2.4570213005757169E-3</v>
      </c>
      <c r="E5" s="369">
        <v>15731.818678097628</v>
      </c>
      <c r="F5" s="359">
        <v>2.6228821055086374E-3</v>
      </c>
      <c r="G5" s="368">
        <v>1382.627</v>
      </c>
      <c r="H5" s="360">
        <v>9.3820112641650272E-2</v>
      </c>
      <c r="I5" s="361">
        <v>1518.1531999999952</v>
      </c>
      <c r="J5" s="360">
        <v>9.6502078435064823E-2</v>
      </c>
      <c r="K5" s="370">
        <v>2157.0509999999995</v>
      </c>
      <c r="L5" s="371">
        <v>0.14636974960982557</v>
      </c>
      <c r="M5" s="821"/>
      <c r="N5" s="823"/>
      <c r="O5" s="823"/>
    </row>
    <row r="6" spans="1:15" ht="18.75">
      <c r="A6" s="363">
        <f t="shared" ref="A6:A34" si="0">A5+1</f>
        <v>46025</v>
      </c>
      <c r="B6" s="368">
        <v>6555328</v>
      </c>
      <c r="C6" s="368">
        <v>15989</v>
      </c>
      <c r="D6" s="387">
        <v>2.4390846651761743E-3</v>
      </c>
      <c r="E6" s="369">
        <v>15768.444516305037</v>
      </c>
      <c r="F6" s="359">
        <v>2.4054394404528709E-3</v>
      </c>
      <c r="G6" s="368">
        <v>1401.1350000000002</v>
      </c>
      <c r="H6" s="360">
        <v>8.7631183938958052E-2</v>
      </c>
      <c r="I6" s="361">
        <v>1516.3441500000022</v>
      </c>
      <c r="J6" s="360">
        <v>9.6163204203944003E-2</v>
      </c>
      <c r="K6" s="370">
        <v>2932.7480000000005</v>
      </c>
      <c r="L6" s="371">
        <v>0.183422853211583</v>
      </c>
      <c r="M6" s="821"/>
      <c r="N6" s="823"/>
      <c r="O6" s="823"/>
    </row>
    <row r="7" spans="1:15" ht="18.75">
      <c r="A7" s="363">
        <f t="shared" si="0"/>
        <v>46026</v>
      </c>
      <c r="B7" s="368">
        <v>7070659</v>
      </c>
      <c r="C7" s="368">
        <v>17401</v>
      </c>
      <c r="D7" s="387">
        <v>2.4610153028168944E-3</v>
      </c>
      <c r="E7" s="369">
        <v>15462.736822210536</v>
      </c>
      <c r="F7" s="359">
        <v>2.1868876468530778E-3</v>
      </c>
      <c r="G7" s="368">
        <v>1429.4880000000003</v>
      </c>
      <c r="H7" s="360">
        <v>8.2149761507959329E-2</v>
      </c>
      <c r="I7" s="361">
        <v>1519.2211700000062</v>
      </c>
      <c r="J7" s="360">
        <v>9.825047062935266E-2</v>
      </c>
      <c r="K7" s="370">
        <v>3071.4409999999998</v>
      </c>
      <c r="L7" s="371">
        <v>0.17650945347968505</v>
      </c>
      <c r="M7" s="821"/>
      <c r="N7" s="823"/>
      <c r="O7" s="823"/>
    </row>
    <row r="8" spans="1:15" ht="18.75">
      <c r="A8" s="363">
        <f t="shared" si="0"/>
        <v>46027</v>
      </c>
      <c r="B8" s="368">
        <v>7268569</v>
      </c>
      <c r="C8" s="368">
        <v>17748</v>
      </c>
      <c r="D8" s="387">
        <v>2.441746098853846E-3</v>
      </c>
      <c r="E8" s="369">
        <v>14110.819851126595</v>
      </c>
      <c r="F8" s="359">
        <v>1.9413477193552947E-3</v>
      </c>
      <c r="G8" s="368">
        <v>1580.3309999999999</v>
      </c>
      <c r="H8" s="360">
        <v>8.9042765382014874E-2</v>
      </c>
      <c r="I8" s="361">
        <v>1485.0742499999999</v>
      </c>
      <c r="J8" s="360">
        <v>0.10524365456210065</v>
      </c>
      <c r="K8" s="370">
        <v>3262.1099999999992</v>
      </c>
      <c r="L8" s="371">
        <v>0.18380155510480051</v>
      </c>
      <c r="M8" s="821"/>
      <c r="N8" s="823"/>
      <c r="O8" s="823"/>
    </row>
    <row r="9" spans="1:15" ht="18.75">
      <c r="A9" s="363">
        <f t="shared" si="0"/>
        <v>46028</v>
      </c>
      <c r="B9" s="368">
        <v>7452237</v>
      </c>
      <c r="C9" s="368">
        <v>18258</v>
      </c>
      <c r="D9" s="387">
        <v>2.4500025965357784E-3</v>
      </c>
      <c r="E9" s="369">
        <v>14788.736107549012</v>
      </c>
      <c r="F9" s="359">
        <v>1.9844693757792476E-3</v>
      </c>
      <c r="G9" s="368">
        <v>1498.2779999999998</v>
      </c>
      <c r="H9" s="360">
        <v>8.2061452513966474E-2</v>
      </c>
      <c r="I9" s="361">
        <v>1553.0475616494889</v>
      </c>
      <c r="J9" s="360">
        <v>0.10501557065831509</v>
      </c>
      <c r="K9" s="370">
        <v>3694.261</v>
      </c>
      <c r="L9" s="371">
        <v>0.20233656479351517</v>
      </c>
      <c r="M9" s="821">
        <f>SUM(B9:B15)</f>
        <v>47860768</v>
      </c>
      <c r="N9" s="823">
        <f>SUM(C9:C15)</f>
        <v>117024</v>
      </c>
      <c r="O9" s="823">
        <f>SUM(E9:E15)</f>
        <v>106787.07459785466</v>
      </c>
    </row>
    <row r="10" spans="1:15" ht="18.75">
      <c r="A10" s="427">
        <f t="shared" si="0"/>
        <v>46029</v>
      </c>
      <c r="B10" s="368">
        <v>6995772</v>
      </c>
      <c r="C10" s="368">
        <v>17136</v>
      </c>
      <c r="D10" s="387">
        <v>2.449479485609308E-3</v>
      </c>
      <c r="E10" s="369">
        <v>15639.69385756098</v>
      </c>
      <c r="F10" s="359">
        <v>2.2355922773871105E-3</v>
      </c>
      <c r="G10" s="368">
        <v>1392.71</v>
      </c>
      <c r="H10" s="360">
        <v>8.1273926237161537E-2</v>
      </c>
      <c r="I10" s="361">
        <v>1504.8590699999972</v>
      </c>
      <c r="J10" s="360">
        <v>9.6220494065008572E-2</v>
      </c>
      <c r="K10" s="370">
        <v>3188.5480000000002</v>
      </c>
      <c r="L10" s="371">
        <v>0.18607306255835668</v>
      </c>
      <c r="M10" s="821"/>
      <c r="N10" s="823"/>
      <c r="O10" s="823"/>
    </row>
    <row r="11" spans="1:15" ht="18.75">
      <c r="A11" s="363">
        <f t="shared" si="0"/>
        <v>46030</v>
      </c>
      <c r="B11" s="368">
        <v>6658240</v>
      </c>
      <c r="C11" s="368">
        <v>16185</v>
      </c>
      <c r="D11" s="387">
        <v>2.4308225597154806E-3</v>
      </c>
      <c r="E11" s="369">
        <v>14911.4220751864</v>
      </c>
      <c r="F11" s="359">
        <v>2.2395440950140578E-3</v>
      </c>
      <c r="G11" s="368">
        <v>1338.2190000000001</v>
      </c>
      <c r="H11" s="360">
        <v>8.2682669138090831E-2</v>
      </c>
      <c r="I11" s="361">
        <v>1447.2641500000013</v>
      </c>
      <c r="J11" s="360">
        <v>9.7057419654718605E-2</v>
      </c>
      <c r="K11" s="370">
        <v>2832.8860000000004</v>
      </c>
      <c r="L11" s="371">
        <v>0.17503157244362066</v>
      </c>
      <c r="M11" s="821"/>
      <c r="N11" s="823"/>
      <c r="O11" s="823"/>
    </row>
    <row r="12" spans="1:15" ht="18.75">
      <c r="A12" s="363">
        <f t="shared" si="0"/>
        <v>46031</v>
      </c>
      <c r="B12" s="368">
        <v>6093782</v>
      </c>
      <c r="C12" s="368">
        <v>15126</v>
      </c>
      <c r="D12" s="387">
        <v>2.4822023498707372E-3</v>
      </c>
      <c r="E12" s="369">
        <v>15988.766989156118</v>
      </c>
      <c r="F12" s="359">
        <v>2.6237838815297491E-3</v>
      </c>
      <c r="G12" s="368">
        <v>1348.4479999999999</v>
      </c>
      <c r="H12" s="360">
        <v>8.9147692714531268E-2</v>
      </c>
      <c r="I12" s="361">
        <v>1402.0379299999988</v>
      </c>
      <c r="J12" s="360">
        <v>8.7688933796513963E-2</v>
      </c>
      <c r="K12" s="370">
        <v>3040.1549999999993</v>
      </c>
      <c r="L12" s="371">
        <v>0.2009886949623165</v>
      </c>
      <c r="M12" s="821"/>
      <c r="N12" s="823"/>
      <c r="O12" s="823"/>
    </row>
    <row r="13" spans="1:15" ht="18.75">
      <c r="A13" s="363">
        <f t="shared" si="0"/>
        <v>46032</v>
      </c>
      <c r="B13" s="368">
        <v>6273190</v>
      </c>
      <c r="C13" s="368">
        <v>15308</v>
      </c>
      <c r="D13" s="387">
        <v>2.4402257862427249E-3</v>
      </c>
      <c r="E13" s="369">
        <v>15581.57557634365</v>
      </c>
      <c r="F13" s="359">
        <v>2.4838360668724604E-3</v>
      </c>
      <c r="G13" s="368">
        <v>1471.9940000000001</v>
      </c>
      <c r="H13" s="360">
        <v>9.6158479226548216E-2</v>
      </c>
      <c r="I13" s="361">
        <v>1437.4885800000029</v>
      </c>
      <c r="J13" s="360">
        <v>9.2255662654708373E-2</v>
      </c>
      <c r="K13" s="370">
        <v>2959.4419999999996</v>
      </c>
      <c r="L13" s="371">
        <v>0.19332649594983012</v>
      </c>
      <c r="M13" s="821"/>
      <c r="N13" s="823"/>
      <c r="O13" s="823"/>
    </row>
    <row r="14" spans="1:15" ht="18.75">
      <c r="A14" s="363">
        <f t="shared" si="0"/>
        <v>46033</v>
      </c>
      <c r="B14" s="368">
        <v>7385036</v>
      </c>
      <c r="C14" s="368">
        <v>17952</v>
      </c>
      <c r="D14" s="387">
        <v>2.4308615421779933E-3</v>
      </c>
      <c r="E14" s="369">
        <v>14496.679093469296</v>
      </c>
      <c r="F14" s="359">
        <v>1.9629801524961147E-3</v>
      </c>
      <c r="G14" s="368">
        <v>1492.0139999999999</v>
      </c>
      <c r="H14" s="360">
        <v>8.3111296791443842E-2</v>
      </c>
      <c r="I14" s="361">
        <v>1504.8588299999917</v>
      </c>
      <c r="J14" s="360">
        <v>0.10380714233219976</v>
      </c>
      <c r="K14" s="370">
        <v>3181.4639999999995</v>
      </c>
      <c r="L14" s="371">
        <v>0.1772205882352941</v>
      </c>
      <c r="M14" s="821"/>
      <c r="N14" s="823"/>
      <c r="O14" s="823"/>
    </row>
    <row r="15" spans="1:15" ht="18.75">
      <c r="A15" s="363">
        <f t="shared" si="0"/>
        <v>46034</v>
      </c>
      <c r="B15" s="368">
        <v>7002511</v>
      </c>
      <c r="C15" s="368">
        <v>17059</v>
      </c>
      <c r="D15" s="387">
        <v>2.4361261267565304E-3</v>
      </c>
      <c r="E15" s="369">
        <v>15380.200898589199</v>
      </c>
      <c r="F15" s="359">
        <v>2.1963836827374066E-3</v>
      </c>
      <c r="G15" s="368">
        <v>1345.057</v>
      </c>
      <c r="H15" s="360">
        <v>7.8847353303241691E-2</v>
      </c>
      <c r="I15" s="361">
        <v>1584.1912000000034</v>
      </c>
      <c r="J15" s="360">
        <v>0.10300198355310942</v>
      </c>
      <c r="K15" s="370">
        <v>2773.8959999999993</v>
      </c>
      <c r="L15" s="371">
        <v>0.16260601442054043</v>
      </c>
      <c r="M15" s="821"/>
      <c r="N15" s="823"/>
      <c r="O15" s="823"/>
    </row>
    <row r="16" spans="1:15" ht="18.75">
      <c r="A16" s="363">
        <f t="shared" si="0"/>
        <v>46035</v>
      </c>
      <c r="B16" s="368">
        <v>6868111</v>
      </c>
      <c r="C16" s="368">
        <v>16826</v>
      </c>
      <c r="D16" s="387">
        <v>2.4498730436942561E-3</v>
      </c>
      <c r="E16" s="369">
        <v>14961.862357385653</v>
      </c>
      <c r="F16" s="359">
        <v>2.1784537782493108E-3</v>
      </c>
      <c r="G16" s="368">
        <v>1506.3160000000003</v>
      </c>
      <c r="H16" s="360">
        <v>8.9523118982527058E-2</v>
      </c>
      <c r="I16" s="361">
        <v>1541.4418099999948</v>
      </c>
      <c r="J16" s="360">
        <v>0.10302472868553626</v>
      </c>
      <c r="K16" s="370">
        <v>2497.8860000000009</v>
      </c>
      <c r="L16" s="371">
        <v>0.14845394033044104</v>
      </c>
      <c r="M16" s="821">
        <f>SUM(B16:B22)</f>
        <v>45268529</v>
      </c>
      <c r="N16" s="823">
        <f>SUM(C16:C22)</f>
        <v>111302</v>
      </c>
      <c r="O16" s="823">
        <f>SUM(E16:E22)</f>
        <v>101893.93253329059</v>
      </c>
    </row>
    <row r="17" spans="1:15" ht="18.75">
      <c r="A17" s="427">
        <f t="shared" si="0"/>
        <v>46036</v>
      </c>
      <c r="B17" s="477">
        <v>6627112</v>
      </c>
      <c r="C17" s="477">
        <v>16369</v>
      </c>
      <c r="D17" s="478">
        <v>2.4700050338669391E-3</v>
      </c>
      <c r="E17" s="479">
        <v>14454.489029672533</v>
      </c>
      <c r="F17" s="480">
        <v>2.1811143420652213E-3</v>
      </c>
      <c r="G17" s="477">
        <v>1394.7640000000001</v>
      </c>
      <c r="H17" s="481">
        <v>8.5207648604068667E-2</v>
      </c>
      <c r="I17" s="482">
        <v>1630.2012099999995</v>
      </c>
      <c r="J17" s="481">
        <v>0.11278165604148871</v>
      </c>
      <c r="K17" s="483">
        <v>2307.4890000000009</v>
      </c>
      <c r="L17" s="484">
        <v>0.14096701081312243</v>
      </c>
      <c r="M17" s="821"/>
      <c r="N17" s="823"/>
      <c r="O17" s="823"/>
    </row>
    <row r="18" spans="1:15" ht="18.75">
      <c r="A18" s="363">
        <f t="shared" si="0"/>
        <v>46037</v>
      </c>
      <c r="B18" s="477">
        <v>6144184</v>
      </c>
      <c r="C18" s="477">
        <v>14952</v>
      </c>
      <c r="D18" s="478">
        <v>2.4335208711197451E-3</v>
      </c>
      <c r="E18" s="479">
        <v>15472.055956674394</v>
      </c>
      <c r="F18" s="480">
        <v>2.5181628604668081E-3</v>
      </c>
      <c r="G18" s="477">
        <v>1278.614</v>
      </c>
      <c r="H18" s="481">
        <v>8.5514579989299094E-2</v>
      </c>
      <c r="I18" s="482">
        <v>1568.219700000001</v>
      </c>
      <c r="J18" s="481">
        <v>0.10135819728104696</v>
      </c>
      <c r="K18" s="483">
        <v>3121.0499999999997</v>
      </c>
      <c r="L18" s="484">
        <v>0.20873796147672549</v>
      </c>
      <c r="M18" s="821"/>
      <c r="N18" s="823"/>
      <c r="O18" s="823"/>
    </row>
    <row r="19" spans="1:15" ht="18.75">
      <c r="A19" s="363">
        <f t="shared" si="0"/>
        <v>46038</v>
      </c>
      <c r="B19" s="477">
        <v>5795971</v>
      </c>
      <c r="C19" s="477">
        <v>14440</v>
      </c>
      <c r="D19" s="478">
        <v>2.4913858264646251E-3</v>
      </c>
      <c r="E19" s="479">
        <v>14942.907753573056</v>
      </c>
      <c r="F19" s="480">
        <v>2.5781543340318742E-3</v>
      </c>
      <c r="G19" s="477">
        <v>1314.8959999999997</v>
      </c>
      <c r="H19" s="481">
        <v>9.1059279778393329E-2</v>
      </c>
      <c r="I19" s="482">
        <v>1651.4298899999947</v>
      </c>
      <c r="J19" s="481">
        <v>0.11051596631887893</v>
      </c>
      <c r="K19" s="483">
        <v>2952.3079999999995</v>
      </c>
      <c r="L19" s="484">
        <v>0.20445346260387809</v>
      </c>
      <c r="M19" s="821"/>
      <c r="N19" s="823"/>
      <c r="O19" s="823"/>
    </row>
    <row r="20" spans="1:15" ht="18.75">
      <c r="A20" s="363">
        <f t="shared" si="0"/>
        <v>46039</v>
      </c>
      <c r="B20" s="477">
        <v>6092113</v>
      </c>
      <c r="C20" s="477">
        <v>15047</v>
      </c>
      <c r="D20" s="478">
        <v>2.4699147898274375E-3</v>
      </c>
      <c r="E20" s="479">
        <v>13969.018506798828</v>
      </c>
      <c r="F20" s="480">
        <v>2.2929677284053707E-3</v>
      </c>
      <c r="G20" s="477">
        <v>1418.0820000000001</v>
      </c>
      <c r="H20" s="481">
        <v>9.4243503688442892E-2</v>
      </c>
      <c r="I20" s="482">
        <v>1351.2676899999979</v>
      </c>
      <c r="J20" s="481">
        <v>9.6733187757058636E-2</v>
      </c>
      <c r="K20" s="483">
        <v>2419.0840000000007</v>
      </c>
      <c r="L20" s="484">
        <v>0.16076852528743277</v>
      </c>
      <c r="M20" s="821"/>
      <c r="N20" s="823"/>
      <c r="O20" s="823"/>
    </row>
    <row r="21" spans="1:15" ht="18.75">
      <c r="A21" s="363">
        <f t="shared" si="0"/>
        <v>46040</v>
      </c>
      <c r="B21" s="477">
        <v>6822501</v>
      </c>
      <c r="C21" s="477">
        <v>16785</v>
      </c>
      <c r="D21" s="478">
        <v>2.4602414862233074E-3</v>
      </c>
      <c r="E21" s="479">
        <v>13483.040700759391</v>
      </c>
      <c r="F21" s="480">
        <v>1.9762607144739723E-3</v>
      </c>
      <c r="G21" s="477">
        <v>1480.0520000000001</v>
      </c>
      <c r="H21" s="481">
        <v>8.8177062853738469E-2</v>
      </c>
      <c r="I21" s="482">
        <v>1448.0752500000081</v>
      </c>
      <c r="J21" s="481">
        <v>0.10739975367117668</v>
      </c>
      <c r="K21" s="483">
        <v>2167.7249999999999</v>
      </c>
      <c r="L21" s="484">
        <v>0.12914655942806078</v>
      </c>
      <c r="M21" s="821"/>
      <c r="N21" s="823"/>
      <c r="O21" s="823"/>
    </row>
    <row r="22" spans="1:15" ht="18.75">
      <c r="A22" s="363">
        <f t="shared" si="0"/>
        <v>46041</v>
      </c>
      <c r="B22" s="477">
        <v>6918537</v>
      </c>
      <c r="C22" s="477">
        <v>16883</v>
      </c>
      <c r="D22" s="478">
        <v>2.4402557939633769E-3</v>
      </c>
      <c r="E22" s="479">
        <v>14610.558228426722</v>
      </c>
      <c r="F22" s="480">
        <v>2.1117988135969674E-3</v>
      </c>
      <c r="G22" s="477">
        <v>1416.8860000000002</v>
      </c>
      <c r="H22" s="481">
        <v>8.3923828703429501E-2</v>
      </c>
      <c r="I22" s="482">
        <v>1625.7457800000077</v>
      </c>
      <c r="J22" s="481">
        <v>0.1112719825336249</v>
      </c>
      <c r="K22" s="483">
        <v>2200.4609999999998</v>
      </c>
      <c r="L22" s="484">
        <v>0.13033590001776935</v>
      </c>
      <c r="M22" s="821"/>
      <c r="N22" s="823"/>
      <c r="O22" s="823"/>
    </row>
    <row r="23" spans="1:15" ht="18.75">
      <c r="A23" s="363">
        <f t="shared" si="0"/>
        <v>46042</v>
      </c>
      <c r="B23" s="477">
        <v>7713415</v>
      </c>
      <c r="C23" s="477">
        <v>18742.491000000002</v>
      </c>
      <c r="D23" s="478">
        <v>2.4298564254613556E-3</v>
      </c>
      <c r="E23" s="479">
        <v>13510.605197049825</v>
      </c>
      <c r="F23" s="480">
        <v>1.7515724483966992E-3</v>
      </c>
      <c r="G23" s="477">
        <v>1430.2260000000003</v>
      </c>
      <c r="H23" s="481">
        <v>7.6309280340590813E-2</v>
      </c>
      <c r="I23" s="482">
        <v>1462.9657299999942</v>
      </c>
      <c r="J23" s="481">
        <v>0.10828276814124117</v>
      </c>
      <c r="K23" s="483">
        <v>3180.5370000000012</v>
      </c>
      <c r="L23" s="484">
        <v>0.16969660009440585</v>
      </c>
      <c r="M23" s="821">
        <f>SUM(B23:B29)</f>
        <v>46317667</v>
      </c>
      <c r="N23" s="823">
        <f>SUM(C23:C29)</f>
        <v>113778.49100000001</v>
      </c>
      <c r="O23" s="823">
        <f>SUM(E23:E29)</f>
        <v>98194.248914419688</v>
      </c>
    </row>
    <row r="24" spans="1:15" ht="18.75">
      <c r="A24" s="427">
        <f t="shared" si="0"/>
        <v>46043</v>
      </c>
      <c r="B24" s="477">
        <v>6863386</v>
      </c>
      <c r="C24" s="477">
        <v>17051</v>
      </c>
      <c r="D24" s="478">
        <v>2.4843422765381401E-3</v>
      </c>
      <c r="E24" s="479">
        <v>13104.912099544388</v>
      </c>
      <c r="F24" s="480">
        <v>1.9093945903005292E-3</v>
      </c>
      <c r="G24" s="477">
        <v>1524.5410000000004</v>
      </c>
      <c r="H24" s="481">
        <v>8.9410650401735986E-2</v>
      </c>
      <c r="I24" s="482">
        <v>1559.2671100000066</v>
      </c>
      <c r="J24" s="481">
        <v>0.11898340852314583</v>
      </c>
      <c r="K24" s="483">
        <v>2646.0109999999995</v>
      </c>
      <c r="L24" s="484">
        <v>0.15518215940414049</v>
      </c>
      <c r="M24" s="821"/>
      <c r="N24" s="823"/>
      <c r="O24" s="823"/>
    </row>
    <row r="25" spans="1:15" ht="18.75">
      <c r="A25" s="363">
        <f t="shared" si="0"/>
        <v>46044</v>
      </c>
      <c r="B25" s="477">
        <v>6394057</v>
      </c>
      <c r="C25" s="477">
        <v>15803</v>
      </c>
      <c r="D25" s="478">
        <v>2.4715137822512371E-3</v>
      </c>
      <c r="E25" s="479">
        <v>14451.982640431066</v>
      </c>
      <c r="F25" s="480">
        <v>2.2602211147681457E-3</v>
      </c>
      <c r="G25" s="477">
        <v>1436.2919999999999</v>
      </c>
      <c r="H25" s="481">
        <v>9.0887299879769665E-2</v>
      </c>
      <c r="I25" s="482">
        <v>1435.7516900000001</v>
      </c>
      <c r="J25" s="481">
        <v>9.9346347537349056E-2</v>
      </c>
      <c r="K25" s="483">
        <v>2779.3319999999999</v>
      </c>
      <c r="L25" s="484">
        <v>0.17587369486806301</v>
      </c>
      <c r="M25" s="821"/>
      <c r="N25" s="823"/>
      <c r="O25" s="823"/>
    </row>
    <row r="26" spans="1:15" ht="18.75">
      <c r="A26" s="363">
        <f t="shared" si="0"/>
        <v>46045</v>
      </c>
      <c r="B26" s="477">
        <v>5574275</v>
      </c>
      <c r="C26" s="477">
        <v>13768</v>
      </c>
      <c r="D26" s="478">
        <v>2.4699176126043295E-3</v>
      </c>
      <c r="E26" s="479">
        <v>14324.519310340756</v>
      </c>
      <c r="F26" s="480">
        <v>2.5697546874420005E-3</v>
      </c>
      <c r="G26" s="477">
        <v>1320.0250000000001</v>
      </c>
      <c r="H26" s="481">
        <v>9.5876307379430564E-2</v>
      </c>
      <c r="I26" s="482">
        <v>1311.8405300000034</v>
      </c>
      <c r="J26" s="481">
        <v>9.1580073409723156E-2</v>
      </c>
      <c r="K26" s="483">
        <v>2105.7939999999999</v>
      </c>
      <c r="L26" s="484">
        <v>0.15294843114468332</v>
      </c>
      <c r="M26" s="821"/>
      <c r="N26" s="823"/>
      <c r="O26" s="823"/>
    </row>
    <row r="27" spans="1:15" ht="18.75">
      <c r="A27" s="363">
        <f t="shared" si="0"/>
        <v>46046</v>
      </c>
      <c r="B27" s="477">
        <v>5940745</v>
      </c>
      <c r="C27" s="477">
        <v>14458</v>
      </c>
      <c r="D27" s="478">
        <v>2.433701497034463E-3</v>
      </c>
      <c r="E27" s="479">
        <v>14873.128520574808</v>
      </c>
      <c r="F27" s="480">
        <v>2.5035796891761568E-3</v>
      </c>
      <c r="G27" s="477">
        <v>1286.221</v>
      </c>
      <c r="H27" s="481">
        <v>8.8962581269885183E-2</v>
      </c>
      <c r="I27" s="482">
        <v>1397.3713199999995</v>
      </c>
      <c r="J27" s="481">
        <v>9.3952749622713189E-2</v>
      </c>
      <c r="K27" s="483">
        <v>2672.2610000000004</v>
      </c>
      <c r="L27" s="484">
        <v>0.18482922949232261</v>
      </c>
      <c r="M27" s="821"/>
      <c r="N27" s="823"/>
      <c r="O27" s="823"/>
    </row>
    <row r="28" spans="1:15" ht="18.75">
      <c r="A28" s="363">
        <f t="shared" si="0"/>
        <v>46047</v>
      </c>
      <c r="B28" s="477">
        <v>7104289</v>
      </c>
      <c r="C28" s="477">
        <v>17403</v>
      </c>
      <c r="D28" s="478">
        <v>2.4496469667830236E-3</v>
      </c>
      <c r="E28" s="479">
        <v>13451.562776921868</v>
      </c>
      <c r="F28" s="480">
        <v>1.8934425073250634E-3</v>
      </c>
      <c r="G28" s="477">
        <v>1429.1320000000001</v>
      </c>
      <c r="H28" s="481">
        <v>8.2119864391196923E-2</v>
      </c>
      <c r="I28" s="482">
        <v>1291.6338600000054</v>
      </c>
      <c r="J28" s="481">
        <v>9.6021100404481849E-2</v>
      </c>
      <c r="K28" s="483">
        <v>2422.7119999999995</v>
      </c>
      <c r="L28" s="484">
        <v>0.13921231971499165</v>
      </c>
      <c r="M28" s="821"/>
      <c r="N28" s="823"/>
      <c r="O28" s="823"/>
    </row>
    <row r="29" spans="1:15" ht="18.75">
      <c r="A29" s="363">
        <f t="shared" si="0"/>
        <v>46048</v>
      </c>
      <c r="B29" s="477">
        <v>6727500</v>
      </c>
      <c r="C29" s="477">
        <v>16553</v>
      </c>
      <c r="D29" s="478">
        <v>2.4604979561501298E-3</v>
      </c>
      <c r="E29" s="479">
        <v>14477.538369556982</v>
      </c>
      <c r="F29" s="480">
        <v>2.1519938118999601E-3</v>
      </c>
      <c r="G29" s="477">
        <v>1399.4949999999999</v>
      </c>
      <c r="H29" s="481">
        <v>8.4546305805594149E-2</v>
      </c>
      <c r="I29" s="482">
        <v>1335.0641099999991</v>
      </c>
      <c r="J29" s="481">
        <v>9.2216237037046275E-2</v>
      </c>
      <c r="K29" s="483">
        <v>2758.2650000000003</v>
      </c>
      <c r="L29" s="484">
        <v>0.16663233250770254</v>
      </c>
      <c r="M29" s="821"/>
      <c r="N29" s="823"/>
      <c r="O29" s="823"/>
    </row>
    <row r="30" spans="1:15" ht="18.75">
      <c r="A30" s="363">
        <f t="shared" si="0"/>
        <v>46049</v>
      </c>
      <c r="B30" s="477">
        <v>6872206</v>
      </c>
      <c r="C30" s="477">
        <v>16932</v>
      </c>
      <c r="D30" s="478">
        <v>2.4638376672643397E-3</v>
      </c>
      <c r="E30" s="479">
        <v>14125.452237571459</v>
      </c>
      <c r="F30" s="480">
        <v>2.0554465680411005E-3</v>
      </c>
      <c r="G30" s="477">
        <v>1483.816</v>
      </c>
      <c r="H30" s="481">
        <v>8.763382943538861E-2</v>
      </c>
      <c r="I30" s="482">
        <v>1450.7972899999993</v>
      </c>
      <c r="J30" s="481">
        <v>0.10270802418212913</v>
      </c>
      <c r="K30" s="483">
        <v>2269.98</v>
      </c>
      <c r="L30" s="484">
        <v>0.13406449326718639</v>
      </c>
      <c r="M30" s="821">
        <f>SUM(B30:B34)</f>
        <v>31577888</v>
      </c>
      <c r="N30" s="821">
        <f>SUM(C30:C34)</f>
        <v>77596</v>
      </c>
      <c r="O30" s="821">
        <f>SUM(E30:E34)</f>
        <v>71273.42884720338</v>
      </c>
    </row>
    <row r="31" spans="1:15" ht="18.75">
      <c r="A31" s="363">
        <f t="shared" si="0"/>
        <v>46050</v>
      </c>
      <c r="B31" s="477">
        <v>6605202</v>
      </c>
      <c r="C31" s="477">
        <v>16053</v>
      </c>
      <c r="D31" s="478">
        <v>2.4303571639444185E-3</v>
      </c>
      <c r="E31" s="479">
        <v>14090.435433371913</v>
      </c>
      <c r="F31" s="480">
        <v>2.1332330840709963E-3</v>
      </c>
      <c r="G31" s="477">
        <v>1409.9599999999998</v>
      </c>
      <c r="H31" s="481">
        <v>8.7831557964243426E-2</v>
      </c>
      <c r="I31" s="482">
        <v>1304.273529999999</v>
      </c>
      <c r="J31" s="481">
        <v>9.2564458789608867E-2</v>
      </c>
      <c r="K31" s="483">
        <v>2236.96</v>
      </c>
      <c r="L31" s="484">
        <v>0.13934840839718432</v>
      </c>
      <c r="M31" s="821"/>
      <c r="N31" s="821"/>
      <c r="O31" s="821"/>
    </row>
    <row r="32" spans="1:15" ht="18.75">
      <c r="A32" s="363">
        <f t="shared" si="0"/>
        <v>46051</v>
      </c>
      <c r="B32" s="477">
        <v>6259643</v>
      </c>
      <c r="C32" s="477">
        <v>15406</v>
      </c>
      <c r="D32" s="478">
        <v>2.4611627212606214E-3</v>
      </c>
      <c r="E32" s="479">
        <v>14289.585042249204</v>
      </c>
      <c r="F32" s="480">
        <v>2.2828115025488203E-3</v>
      </c>
      <c r="G32" s="477">
        <v>1373.9750000000001</v>
      </c>
      <c r="H32" s="481">
        <v>8.9184408671946006E-2</v>
      </c>
      <c r="I32" s="482">
        <v>1305.6641599999994</v>
      </c>
      <c r="J32" s="481">
        <v>9.1371733758511278E-2</v>
      </c>
      <c r="K32" s="483">
        <v>2561.4559999999997</v>
      </c>
      <c r="L32" s="484">
        <v>0.16626353368817343</v>
      </c>
      <c r="M32" s="821"/>
      <c r="N32" s="821"/>
      <c r="O32" s="821"/>
    </row>
    <row r="33" spans="1:15" ht="18.75">
      <c r="A33" s="363">
        <f t="shared" si="0"/>
        <v>46052</v>
      </c>
      <c r="B33" s="477">
        <v>5783665</v>
      </c>
      <c r="C33" s="477">
        <v>14109</v>
      </c>
      <c r="D33" s="478">
        <v>2.4394566421118789E-3</v>
      </c>
      <c r="E33" s="479">
        <v>14657.855288975406</v>
      </c>
      <c r="F33" s="480">
        <v>2.534354131675228E-3</v>
      </c>
      <c r="G33" s="477">
        <v>1343.0340000000001</v>
      </c>
      <c r="H33" s="481">
        <v>9.5189878800765473E-2</v>
      </c>
      <c r="I33" s="482">
        <v>1310.2740600000022</v>
      </c>
      <c r="J33" s="481">
        <v>8.9390571415007558E-2</v>
      </c>
      <c r="K33" s="483">
        <v>2803.5709999999995</v>
      </c>
      <c r="L33" s="484">
        <v>0.19870798780919977</v>
      </c>
      <c r="M33" s="821"/>
      <c r="N33" s="821"/>
      <c r="O33" s="821"/>
    </row>
    <row r="34" spans="1:15" ht="18.75">
      <c r="A34" s="363">
        <f t="shared" si="0"/>
        <v>46053</v>
      </c>
      <c r="B34" s="477">
        <v>6057172</v>
      </c>
      <c r="C34" s="477">
        <v>15096</v>
      </c>
      <c r="D34" s="478">
        <v>2.4922521599188533E-3</v>
      </c>
      <c r="E34" s="479">
        <v>14110.100845035397</v>
      </c>
      <c r="F34" s="480">
        <v>2.3294865731128978E-3</v>
      </c>
      <c r="G34" s="477">
        <v>1341.8719999999998</v>
      </c>
      <c r="H34" s="481">
        <v>8.8889242183359821E-2</v>
      </c>
      <c r="I34" s="482">
        <v>1459.7244700000047</v>
      </c>
      <c r="J34" s="481">
        <v>0.10345244772035808</v>
      </c>
      <c r="K34" s="483">
        <v>2452.0939999999996</v>
      </c>
      <c r="L34" s="484">
        <v>0.16243335983041862</v>
      </c>
      <c r="M34" s="821"/>
      <c r="N34" s="821"/>
      <c r="O34" s="821"/>
    </row>
    <row r="35" spans="1:15" ht="18.75">
      <c r="A35" s="363" t="s">
        <v>586</v>
      </c>
      <c r="B35" s="357">
        <f>AVERAGE(B4:B34)</f>
        <v>6599958.8387096776</v>
      </c>
      <c r="C35" s="357">
        <f>AVERAGE(C4:C34)</f>
        <v>16197.757774193547</v>
      </c>
      <c r="D35" s="358">
        <f t="shared" ref="D35:D36" si="1">C35/B35</f>
        <v>2.4542210292572498E-3</v>
      </c>
      <c r="E35" s="357">
        <f>AVERAGE(E4:E34)</f>
        <v>14637.933455749977</v>
      </c>
      <c r="F35" s="364">
        <f t="shared" ref="F35:F36" si="2">E35/B35</f>
        <v>2.2178825373722726E-3</v>
      </c>
      <c r="G35" s="357">
        <f>AVERAGE(G4:G34)</f>
        <v>1409.6859999999999</v>
      </c>
      <c r="H35" s="365">
        <f t="shared" ref="H35:H36" si="3">G35/C35</f>
        <v>8.7029700014771658E-2</v>
      </c>
      <c r="I35" s="357">
        <f>AVERAGE(I4:I34)</f>
        <v>1466.2999161822424</v>
      </c>
      <c r="J35" s="365">
        <f t="shared" ref="J35:J36" si="4">I35/E35</f>
        <v>0.10017123801080405</v>
      </c>
      <c r="K35" s="357">
        <f>AVERAGE(K4:K34)</f>
        <v>2736.0716451612907</v>
      </c>
      <c r="L35" s="362">
        <f t="shared" ref="L35:L36" si="5">K35/C35</f>
        <v>0.16891669102006399</v>
      </c>
      <c r="M35" s="428"/>
      <c r="N35" s="429"/>
      <c r="O35" s="429"/>
    </row>
    <row r="36" spans="1:15" ht="18.75">
      <c r="A36" s="363" t="s">
        <v>587</v>
      </c>
      <c r="B36" s="357">
        <f>SUM(B4:B34)</f>
        <v>204598724</v>
      </c>
      <c r="C36" s="357">
        <f>SUM(C4:C34)</f>
        <v>502130.49099999998</v>
      </c>
      <c r="D36" s="358">
        <f t="shared" si="1"/>
        <v>2.4542210292572498E-3</v>
      </c>
      <c r="E36" s="357">
        <f>SUM(E4:E34)</f>
        <v>453775.93712824926</v>
      </c>
      <c r="F36" s="364">
        <f t="shared" si="2"/>
        <v>2.2178825373722726E-3</v>
      </c>
      <c r="G36" s="357">
        <f>SUM(G4:G34)</f>
        <v>43700.265999999996</v>
      </c>
      <c r="H36" s="365">
        <f t="shared" si="3"/>
        <v>8.7029700014771658E-2</v>
      </c>
      <c r="I36" s="357">
        <f>SUM(I4:I34)</f>
        <v>45455.297401649514</v>
      </c>
      <c r="J36" s="365">
        <f t="shared" si="4"/>
        <v>0.10017123801080405</v>
      </c>
      <c r="K36" s="357">
        <f>SUM(K4:K34)</f>
        <v>84818.221000000005</v>
      </c>
      <c r="L36" s="362">
        <f t="shared" si="5"/>
        <v>0.16891669102006396</v>
      </c>
      <c r="M36" s="386"/>
      <c r="N36" s="430"/>
      <c r="O36" s="430"/>
    </row>
    <row r="37" spans="1:15" ht="18.75">
      <c r="A37" s="366"/>
      <c r="B37" s="366"/>
      <c r="C37" s="366"/>
      <c r="D37" s="366"/>
      <c r="E37" s="366"/>
      <c r="F37" s="366"/>
      <c r="G37" s="366"/>
      <c r="H37" s="366"/>
      <c r="I37" s="366"/>
      <c r="J37" s="366"/>
      <c r="K37" s="366"/>
      <c r="L37" s="366"/>
      <c r="M37" s="366"/>
    </row>
    <row r="38" spans="1:15" ht="18.75">
      <c r="A38" s="366"/>
      <c r="B38" s="366"/>
      <c r="C38" s="366"/>
      <c r="D38" s="366"/>
      <c r="E38" s="366"/>
      <c r="F38" s="366"/>
      <c r="G38" s="366"/>
      <c r="H38" s="366"/>
      <c r="I38" s="366"/>
      <c r="J38" s="366"/>
      <c r="K38" s="366"/>
      <c r="L38" s="366"/>
      <c r="M38" s="366"/>
    </row>
    <row r="39" spans="1:15" ht="18.75">
      <c r="A39" s="366"/>
      <c r="B39" s="366"/>
      <c r="C39" s="366"/>
      <c r="D39" s="366"/>
      <c r="E39" s="366"/>
      <c r="F39" s="366"/>
      <c r="G39" s="366"/>
      <c r="H39" s="366"/>
      <c r="I39" s="366"/>
      <c r="J39" s="366"/>
      <c r="K39" s="366"/>
      <c r="L39" s="366"/>
      <c r="M39" s="366"/>
    </row>
    <row r="40" spans="1:15" ht="18.75">
      <c r="A40" s="366"/>
      <c r="B40" s="366"/>
      <c r="C40" s="366"/>
      <c r="D40" s="366"/>
      <c r="E40" s="366"/>
      <c r="F40" s="366"/>
      <c r="G40" s="366"/>
      <c r="H40" s="366"/>
      <c r="I40" s="366"/>
      <c r="J40" s="366"/>
      <c r="K40" s="366"/>
      <c r="L40" s="366"/>
      <c r="M40" s="366"/>
    </row>
    <row r="41" spans="1:15" ht="18.75">
      <c r="A41" s="366"/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</row>
    <row r="42" spans="1:15" ht="18.75">
      <c r="A42" s="366"/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</row>
    <row r="43" spans="1:15" ht="18.75">
      <c r="A43" s="366"/>
      <c r="B43" s="366"/>
      <c r="C43" s="366"/>
      <c r="D43" s="366"/>
      <c r="E43" s="366"/>
      <c r="F43" s="366"/>
      <c r="G43" s="366"/>
      <c r="H43" s="366"/>
      <c r="I43" s="366"/>
      <c r="J43" s="366"/>
      <c r="K43" s="366"/>
      <c r="L43" s="366"/>
      <c r="M43" s="366"/>
    </row>
    <row r="44" spans="1:15" ht="18.75">
      <c r="A44" s="366"/>
      <c r="B44" s="366"/>
      <c r="C44" s="366"/>
      <c r="D44" s="366"/>
      <c r="E44" s="366"/>
      <c r="F44" s="366"/>
      <c r="G44" s="366"/>
      <c r="H44" s="366"/>
      <c r="I44" s="366"/>
      <c r="J44" s="366"/>
      <c r="K44" s="366"/>
      <c r="L44" s="366"/>
      <c r="M44" s="366"/>
    </row>
    <row r="45" spans="1:15" ht="18.75">
      <c r="A45" s="366"/>
      <c r="B45" s="366"/>
      <c r="C45" s="366"/>
      <c r="D45" s="366"/>
      <c r="E45" s="366"/>
      <c r="F45" s="366"/>
      <c r="G45" s="366"/>
      <c r="H45" s="366"/>
      <c r="I45" s="366"/>
      <c r="J45" s="366"/>
      <c r="K45" s="366"/>
      <c r="L45" s="366"/>
      <c r="M45" s="366"/>
    </row>
    <row r="46" spans="1:15" ht="18.75">
      <c r="A46" s="366"/>
      <c r="B46" s="366"/>
      <c r="C46" s="366"/>
      <c r="D46" s="366"/>
      <c r="E46" s="366"/>
      <c r="F46" s="366"/>
      <c r="G46" s="366"/>
      <c r="H46" s="366"/>
      <c r="I46" s="366"/>
      <c r="J46" s="366"/>
      <c r="K46" s="366"/>
      <c r="L46" s="366"/>
      <c r="M46" s="366"/>
    </row>
    <row r="47" spans="1:15" ht="18.75">
      <c r="A47" s="366"/>
      <c r="B47" s="366"/>
      <c r="C47" s="366"/>
      <c r="D47" s="366"/>
      <c r="E47" s="366"/>
      <c r="F47" s="366"/>
      <c r="G47" s="366"/>
      <c r="H47" s="366"/>
      <c r="I47" s="366"/>
      <c r="J47" s="366"/>
      <c r="K47" s="366"/>
      <c r="L47" s="366"/>
      <c r="M47" s="366"/>
    </row>
    <row r="48" spans="1:15" ht="18.75">
      <c r="A48" s="366"/>
      <c r="B48" s="366"/>
      <c r="C48" s="366"/>
      <c r="D48" s="366"/>
      <c r="E48" s="366"/>
      <c r="F48" s="366"/>
      <c r="G48" s="366"/>
      <c r="H48" s="366"/>
      <c r="I48" s="366"/>
      <c r="J48" s="366"/>
      <c r="K48" s="366"/>
      <c r="L48" s="366"/>
      <c r="M48" s="366"/>
    </row>
    <row r="49" spans="1:13" ht="18.75">
      <c r="A49" s="366"/>
      <c r="B49" s="366"/>
      <c r="C49" s="366"/>
      <c r="D49" s="366"/>
      <c r="E49" s="366"/>
      <c r="F49" s="366"/>
      <c r="G49" s="366"/>
      <c r="H49" s="366"/>
      <c r="I49" s="366"/>
      <c r="J49" s="366"/>
      <c r="K49" s="366"/>
      <c r="L49" s="366"/>
      <c r="M49" s="366"/>
    </row>
    <row r="50" spans="1:13" ht="18.75">
      <c r="A50" s="366"/>
      <c r="B50" s="366"/>
      <c r="C50" s="366"/>
      <c r="D50" s="366"/>
      <c r="E50" s="366"/>
      <c r="F50" s="366"/>
      <c r="G50" s="366"/>
      <c r="H50" s="366"/>
      <c r="I50" s="366"/>
      <c r="J50" s="366"/>
      <c r="K50" s="366"/>
      <c r="L50" s="366"/>
      <c r="M50" s="366"/>
    </row>
    <row r="51" spans="1:13" ht="18.75">
      <c r="A51" s="366"/>
      <c r="B51" s="366"/>
      <c r="C51" s="366"/>
      <c r="D51" s="366"/>
      <c r="E51" s="366"/>
      <c r="F51" s="366"/>
      <c r="G51" s="366"/>
      <c r="H51" s="366"/>
      <c r="I51" s="366"/>
      <c r="J51" s="366"/>
      <c r="K51" s="366"/>
      <c r="L51" s="366"/>
      <c r="M51" s="366"/>
    </row>
    <row r="52" spans="1:13" ht="18.75">
      <c r="A52" s="366"/>
      <c r="B52" s="366"/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366"/>
    </row>
    <row r="53" spans="1:13" ht="18.75">
      <c r="A53" s="366"/>
      <c r="B53" s="366"/>
      <c r="C53" s="366"/>
      <c r="D53" s="366"/>
      <c r="E53" s="366"/>
      <c r="F53" s="366"/>
      <c r="G53" s="366"/>
      <c r="H53" s="366"/>
      <c r="I53" s="366"/>
      <c r="J53" s="366"/>
      <c r="K53" s="366"/>
      <c r="L53" s="366"/>
      <c r="M53" s="366"/>
    </row>
    <row r="54" spans="1:13" ht="18.75">
      <c r="A54" s="366"/>
      <c r="B54" s="366"/>
      <c r="C54" s="366"/>
      <c r="D54" s="366"/>
      <c r="E54" s="366"/>
      <c r="F54" s="366"/>
      <c r="G54" s="366"/>
      <c r="H54" s="366"/>
      <c r="I54" s="366"/>
      <c r="J54" s="366"/>
      <c r="K54" s="366"/>
      <c r="L54" s="366"/>
      <c r="M54" s="366"/>
    </row>
    <row r="55" spans="1:13" ht="18.75">
      <c r="A55" s="366"/>
      <c r="B55" s="366"/>
      <c r="C55" s="366"/>
      <c r="D55" s="366"/>
      <c r="E55" s="366"/>
      <c r="F55" s="366"/>
      <c r="G55" s="366"/>
      <c r="H55" s="366"/>
      <c r="I55" s="366"/>
      <c r="J55" s="366"/>
      <c r="K55" s="366"/>
      <c r="L55" s="366"/>
      <c r="M55" s="366"/>
    </row>
    <row r="56" spans="1:13" ht="18.75">
      <c r="A56" s="366"/>
      <c r="B56" s="366"/>
      <c r="C56" s="366"/>
      <c r="D56" s="366"/>
      <c r="E56" s="366"/>
      <c r="F56" s="366"/>
      <c r="G56" s="366"/>
      <c r="H56" s="366"/>
      <c r="I56" s="366"/>
      <c r="J56" s="366"/>
      <c r="K56" s="366"/>
      <c r="L56" s="366"/>
      <c r="M56" s="366"/>
    </row>
    <row r="57" spans="1:13" ht="18.75">
      <c r="A57" s="366"/>
      <c r="B57" s="366"/>
      <c r="C57" s="366"/>
      <c r="D57" s="366"/>
      <c r="E57" s="366"/>
      <c r="F57" s="366"/>
      <c r="G57" s="366"/>
      <c r="H57" s="366"/>
      <c r="I57" s="366"/>
      <c r="J57" s="366"/>
      <c r="K57" s="366"/>
      <c r="L57" s="366"/>
      <c r="M57" s="366"/>
    </row>
    <row r="58" spans="1:13" ht="18.75">
      <c r="A58" s="366"/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</row>
    <row r="59" spans="1:13" ht="18.75">
      <c r="A59" s="366"/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</row>
    <row r="60" spans="1:13" ht="18.75">
      <c r="A60" s="366"/>
      <c r="B60" s="366"/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</row>
    <row r="61" spans="1:13" ht="18.75">
      <c r="A61" s="366"/>
      <c r="B61" s="366"/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</row>
    <row r="62" spans="1:13" ht="18.75">
      <c r="A62" s="366"/>
      <c r="B62" s="366"/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</row>
    <row r="63" spans="1:13" ht="18.75">
      <c r="A63" s="366"/>
      <c r="B63" s="366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</row>
  </sheetData>
  <mergeCells count="26">
    <mergeCell ref="N30:N34"/>
    <mergeCell ref="O30:O34"/>
    <mergeCell ref="M16:M22"/>
    <mergeCell ref="N16:N22"/>
    <mergeCell ref="O16:O22"/>
    <mergeCell ref="M23:M29"/>
    <mergeCell ref="N23:N29"/>
    <mergeCell ref="O23:O29"/>
    <mergeCell ref="M30:M34"/>
    <mergeCell ref="M4:M8"/>
    <mergeCell ref="N4:N8"/>
    <mergeCell ref="O4:O8"/>
    <mergeCell ref="M9:M15"/>
    <mergeCell ref="N9:N15"/>
    <mergeCell ref="O9:O15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L35:L36">
    <cfRule type="cellIs" dxfId="30" priority="65" operator="greaterThan">
      <formula>0.15</formula>
    </cfRule>
  </conditionalFormatting>
  <conditionalFormatting sqref="D35:D36">
    <cfRule type="cellIs" dxfId="29" priority="66" operator="greaterThan">
      <formula>0.0025</formula>
    </cfRule>
  </conditionalFormatting>
  <conditionalFormatting sqref="J35:J36 H35:H36">
    <cfRule type="cellIs" dxfId="28" priority="67" operator="greaterThan">
      <formula>0.16</formula>
    </cfRule>
  </conditionalFormatting>
  <conditionalFormatting sqref="D4:D8">
    <cfRule type="cellIs" dxfId="27" priority="28" operator="greaterThan">
      <formula>0.0025</formula>
    </cfRule>
  </conditionalFormatting>
  <conditionalFormatting sqref="H4:H8">
    <cfRule type="cellIs" dxfId="26" priority="27" operator="greaterThan">
      <formula>0.16</formula>
    </cfRule>
  </conditionalFormatting>
  <conditionalFormatting sqref="J4:J8">
    <cfRule type="cellIs" dxfId="25" priority="26" operator="greaterThan">
      <formula>0.16</formula>
    </cfRule>
  </conditionalFormatting>
  <conditionalFormatting sqref="L4:L8">
    <cfRule type="cellIs" dxfId="24" priority="25" operator="greaterThan">
      <formula>0.15</formula>
    </cfRule>
  </conditionalFormatting>
  <conditionalFormatting sqref="D5:D7">
    <cfRule type="cellIs" dxfId="23" priority="24" operator="greaterThan">
      <formula>0.0025</formula>
    </cfRule>
  </conditionalFormatting>
  <conditionalFormatting sqref="J5:J7">
    <cfRule type="cellIs" dxfId="22" priority="22" operator="greaterThan">
      <formula>0.16</formula>
    </cfRule>
  </conditionalFormatting>
  <conditionalFormatting sqref="L5:L7">
    <cfRule type="cellIs" dxfId="21" priority="21" operator="greaterThan">
      <formula>0.15</formula>
    </cfRule>
  </conditionalFormatting>
  <conditionalFormatting sqref="D8">
    <cfRule type="cellIs" dxfId="20" priority="20" operator="greaterThan">
      <formula>0.0025</formula>
    </cfRule>
  </conditionalFormatting>
  <conditionalFormatting sqref="J8">
    <cfRule type="cellIs" dxfId="19" priority="18" operator="greaterThan">
      <formula>0.16</formula>
    </cfRule>
  </conditionalFormatting>
  <conditionalFormatting sqref="L8">
    <cfRule type="cellIs" dxfId="18" priority="17" operator="greaterThan">
      <formula>0.15</formula>
    </cfRule>
  </conditionalFormatting>
  <conditionalFormatting sqref="L10:L34">
    <cfRule type="cellIs" dxfId="17" priority="1" operator="greaterThan">
      <formula>0.15</formula>
    </cfRule>
  </conditionalFormatting>
  <conditionalFormatting sqref="H5:H7">
    <cfRule type="cellIs" dxfId="16" priority="23" operator="greaterThan">
      <formula>0.16</formula>
    </cfRule>
  </conditionalFormatting>
  <conditionalFormatting sqref="H8">
    <cfRule type="cellIs" dxfId="15" priority="19" operator="greaterThan">
      <formula>0.16</formula>
    </cfRule>
  </conditionalFormatting>
  <conditionalFormatting sqref="D9">
    <cfRule type="cellIs" dxfId="14" priority="16" operator="greaterThan">
      <formula>0.0025</formula>
    </cfRule>
  </conditionalFormatting>
  <conditionalFormatting sqref="H9">
    <cfRule type="cellIs" dxfId="13" priority="15" operator="greaterThan">
      <formula>0.16</formula>
    </cfRule>
  </conditionalFormatting>
  <conditionalFormatting sqref="J9">
    <cfRule type="cellIs" dxfId="12" priority="14" operator="greaterThan">
      <formula>0.16</formula>
    </cfRule>
  </conditionalFormatting>
  <conditionalFormatting sqref="L9">
    <cfRule type="cellIs" dxfId="11" priority="13" operator="greaterThan">
      <formula>0.15</formula>
    </cfRule>
  </conditionalFormatting>
  <conditionalFormatting sqref="D9">
    <cfRule type="cellIs" dxfId="10" priority="12" operator="greaterThan">
      <formula>0.0025</formula>
    </cfRule>
  </conditionalFormatting>
  <conditionalFormatting sqref="H9">
    <cfRule type="cellIs" dxfId="9" priority="11" operator="greaterThan">
      <formula>0.16</formula>
    </cfRule>
  </conditionalFormatting>
  <conditionalFormatting sqref="J9">
    <cfRule type="cellIs" dxfId="8" priority="10" operator="greaterThan">
      <formula>0.16</formula>
    </cfRule>
  </conditionalFormatting>
  <conditionalFormatting sqref="L9">
    <cfRule type="cellIs" dxfId="7" priority="9" operator="greaterThan">
      <formula>0.15</formula>
    </cfRule>
  </conditionalFormatting>
  <conditionalFormatting sqref="D10:D34">
    <cfRule type="cellIs" dxfId="6" priority="8" operator="greaterThan">
      <formula>0.0025</formula>
    </cfRule>
  </conditionalFormatting>
  <conditionalFormatting sqref="H10:H34">
    <cfRule type="cellIs" dxfId="5" priority="7" operator="greaterThan">
      <formula>0.16</formula>
    </cfRule>
  </conditionalFormatting>
  <conditionalFormatting sqref="J10:J34">
    <cfRule type="cellIs" dxfId="4" priority="6" operator="greaterThan">
      <formula>0.16</formula>
    </cfRule>
  </conditionalFormatting>
  <conditionalFormatting sqref="L10:L34">
    <cfRule type="cellIs" dxfId="3" priority="5" operator="greaterThan">
      <formula>0.15</formula>
    </cfRule>
  </conditionalFormatting>
  <conditionalFormatting sqref="D10:D34">
    <cfRule type="cellIs" dxfId="2" priority="4" operator="greaterThan">
      <formula>0.0025</formula>
    </cfRule>
  </conditionalFormatting>
  <conditionalFormatting sqref="H10:H34">
    <cfRule type="cellIs" dxfId="1" priority="3" operator="greaterThan">
      <formula>0.16</formula>
    </cfRule>
  </conditionalFormatting>
  <conditionalFormatting sqref="J10:J3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824" t="s">
        <v>249</v>
      </c>
      <c r="C2" s="824"/>
      <c r="D2" s="824"/>
      <c r="E2" s="824"/>
      <c r="F2" s="824"/>
    </row>
    <row r="3" spans="2:7" ht="15">
      <c r="B3" s="210" t="s">
        <v>250</v>
      </c>
      <c r="C3" s="210" t="s">
        <v>251</v>
      </c>
      <c r="D3" s="211"/>
      <c r="E3" s="210" t="s">
        <v>252</v>
      </c>
      <c r="F3" s="210" t="s">
        <v>253</v>
      </c>
      <c r="G3" s="211"/>
    </row>
    <row r="4" spans="2:7" ht="15">
      <c r="B4" s="212" t="s">
        <v>254</v>
      </c>
      <c r="C4" s="212" t="s">
        <v>255</v>
      </c>
      <c r="D4" s="211"/>
      <c r="E4" s="212" t="s">
        <v>256</v>
      </c>
      <c r="F4" s="212" t="s">
        <v>257</v>
      </c>
      <c r="G4" s="211"/>
    </row>
    <row r="5" spans="2:7" ht="15">
      <c r="B5" s="212" t="s">
        <v>258</v>
      </c>
      <c r="C5" s="212" t="s">
        <v>259</v>
      </c>
      <c r="D5" s="211"/>
      <c r="E5" s="212" t="s">
        <v>260</v>
      </c>
      <c r="F5" s="212" t="s">
        <v>261</v>
      </c>
      <c r="G5" s="211"/>
    </row>
    <row r="6" spans="2:7" ht="15">
      <c r="B6" s="212" t="s">
        <v>262</v>
      </c>
      <c r="C6" s="212" t="s">
        <v>263</v>
      </c>
      <c r="D6" s="211"/>
      <c r="E6" s="213" t="s">
        <v>264</v>
      </c>
      <c r="F6" s="213" t="s">
        <v>136</v>
      </c>
      <c r="G6" s="211"/>
    </row>
    <row r="7" spans="2:7" ht="15">
      <c r="B7" s="213" t="s">
        <v>265</v>
      </c>
      <c r="C7" s="213" t="s">
        <v>266</v>
      </c>
      <c r="D7" s="211"/>
      <c r="E7" s="212" t="s">
        <v>267</v>
      </c>
      <c r="F7" s="212" t="s">
        <v>268</v>
      </c>
      <c r="G7" s="211"/>
    </row>
    <row r="8" spans="2:7" ht="15">
      <c r="B8" s="212" t="s">
        <v>269</v>
      </c>
      <c r="C8" s="212" t="s">
        <v>270</v>
      </c>
      <c r="D8" s="211"/>
      <c r="E8" s="212" t="s">
        <v>271</v>
      </c>
      <c r="F8" s="212" t="s">
        <v>272</v>
      </c>
      <c r="G8" s="211"/>
    </row>
    <row r="9" spans="2:7" ht="15">
      <c r="B9" s="212" t="s">
        <v>273</v>
      </c>
      <c r="C9" s="212" t="s">
        <v>274</v>
      </c>
      <c r="D9" s="211"/>
      <c r="E9" s="213" t="s">
        <v>275</v>
      </c>
      <c r="F9" s="213" t="s">
        <v>135</v>
      </c>
      <c r="G9" s="211"/>
    </row>
    <row r="10" spans="2:7" ht="15">
      <c r="B10" s="212" t="s">
        <v>276</v>
      </c>
      <c r="C10" s="212" t="s">
        <v>277</v>
      </c>
      <c r="D10" s="211"/>
      <c r="E10" s="212" t="s">
        <v>278</v>
      </c>
      <c r="F10" s="212" t="s">
        <v>279</v>
      </c>
      <c r="G10" s="211"/>
    </row>
    <row r="11" spans="2:7" ht="15">
      <c r="B11" s="212" t="s">
        <v>280</v>
      </c>
      <c r="C11" s="212" t="s">
        <v>281</v>
      </c>
      <c r="D11" s="211"/>
      <c r="E11" s="212" t="s">
        <v>282</v>
      </c>
      <c r="F11" s="212" t="s">
        <v>272</v>
      </c>
      <c r="G11" s="211"/>
    </row>
    <row r="12" spans="2:7" ht="15">
      <c r="B12" s="212" t="s">
        <v>283</v>
      </c>
      <c r="C12" s="212" t="s">
        <v>284</v>
      </c>
      <c r="D12" s="211"/>
      <c r="E12" s="212" t="s">
        <v>285</v>
      </c>
      <c r="F12" s="212" t="s">
        <v>286</v>
      </c>
      <c r="G12" s="211"/>
    </row>
    <row r="13" spans="2:7" ht="15">
      <c r="B13" s="213" t="s">
        <v>287</v>
      </c>
      <c r="C13" s="213" t="s">
        <v>131</v>
      </c>
      <c r="D13" s="211"/>
      <c r="E13" s="212" t="s">
        <v>288</v>
      </c>
      <c r="F13" s="212" t="s">
        <v>289</v>
      </c>
      <c r="G13" s="211"/>
    </row>
    <row r="14" spans="2:7" ht="15">
      <c r="B14" s="212" t="s">
        <v>290</v>
      </c>
      <c r="C14" s="212" t="s">
        <v>291</v>
      </c>
      <c r="D14" s="211"/>
      <c r="E14" s="213" t="s">
        <v>292</v>
      </c>
      <c r="F14" s="213" t="s">
        <v>293</v>
      </c>
      <c r="G14" s="211"/>
    </row>
    <row r="15" spans="2:7" ht="15">
      <c r="B15" s="213" t="s">
        <v>294</v>
      </c>
      <c r="C15" s="213" t="s">
        <v>295</v>
      </c>
      <c r="D15" s="211"/>
      <c r="E15" s="212" t="s">
        <v>296</v>
      </c>
      <c r="F15" s="212" t="s">
        <v>293</v>
      </c>
      <c r="G15" s="211"/>
    </row>
    <row r="16" spans="2:7" ht="15">
      <c r="B16" s="212" t="s">
        <v>297</v>
      </c>
      <c r="C16" s="212" t="s">
        <v>298</v>
      </c>
      <c r="D16" s="211"/>
      <c r="E16" s="213" t="s">
        <v>299</v>
      </c>
      <c r="F16" s="213" t="s">
        <v>300</v>
      </c>
      <c r="G16" s="211"/>
    </row>
    <row r="17" spans="2:7" ht="15">
      <c r="B17" s="212" t="s">
        <v>301</v>
      </c>
      <c r="C17" s="212" t="s">
        <v>302</v>
      </c>
      <c r="D17" s="211"/>
      <c r="E17" s="212" t="s">
        <v>303</v>
      </c>
      <c r="F17" s="212" t="s">
        <v>304</v>
      </c>
      <c r="G17" s="211"/>
    </row>
    <row r="18" spans="2:7" ht="15">
      <c r="B18" s="212" t="s">
        <v>305</v>
      </c>
      <c r="C18" s="212" t="s">
        <v>306</v>
      </c>
      <c r="D18" s="211"/>
      <c r="E18" s="212" t="s">
        <v>307</v>
      </c>
      <c r="F18" s="212" t="s">
        <v>308</v>
      </c>
      <c r="G18" s="211"/>
    </row>
    <row r="19" spans="2:7" ht="15">
      <c r="B19" s="212" t="s">
        <v>309</v>
      </c>
      <c r="C19" s="212" t="s">
        <v>310</v>
      </c>
      <c r="D19" s="211"/>
      <c r="E19" s="212" t="s">
        <v>311</v>
      </c>
      <c r="F19" s="212" t="s">
        <v>312</v>
      </c>
      <c r="G19" s="211"/>
    </row>
    <row r="20" spans="2:7" ht="15">
      <c r="B20" s="212" t="s">
        <v>313</v>
      </c>
      <c r="C20" s="212" t="s">
        <v>314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林奕德</cp:lastModifiedBy>
  <cp:lastPrinted>2025-07-28T04:42:39Z</cp:lastPrinted>
  <dcterms:created xsi:type="dcterms:W3CDTF">2025-07-03T16:36:59Z</dcterms:created>
  <dcterms:modified xsi:type="dcterms:W3CDTF">2026-02-24T08:14:15Z</dcterms:modified>
</cp:coreProperties>
</file>