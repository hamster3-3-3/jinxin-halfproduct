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C:\Users\a5733724\Documents\GitHub\jinxin-halfproduct\data\2026\02\"/>
    </mc:Choice>
  </mc:AlternateContent>
  <xr:revisionPtr revIDLastSave="0" documentId="13_ncr:1_{458167A7-C4DA-40DF-9325-05E4E8A7CED0}" xr6:coauthVersionLast="47" xr6:coauthVersionMax="47" xr10:uidLastSave="{00000000-0000-0000-0000-000000000000}"/>
  <bookViews>
    <workbookView xWindow="-120" yWindow="-120" windowWidth="29040" windowHeight="15840" tabRatio="924" firstSheet="1" activeTab="1" xr2:uid="{00000000-000D-0000-FFFF-FFFF00000000}"/>
  </bookViews>
  <sheets>
    <sheet name="填寫舉例" sheetId="1" state="hidden" r:id="rId1"/>
    <sheet name="生產管理報表(月)" sheetId="13" r:id="rId2"/>
    <sheet name="生產管理報表(週) " sheetId="39" state="hidden" r:id="rId3"/>
    <sheet name="（１）收支狀況" sheetId="3" r:id="rId4"/>
    <sheet name="（２）ＫＰＩ達成進度" sheetId="5" r:id="rId5"/>
    <sheet name="（３）業績構成比" sheetId="7" r:id="rId6"/>
    <sheet name="（４）訂單數量構成比" sheetId="6" r:id="rId7"/>
    <sheet name="（５-1）品群別人時生產性（18℃-飯糰）" sheetId="8" r:id="rId8"/>
    <sheet name="（５-2）品群別人時生產性（18-壽司手卷)" sheetId="30" r:id="rId9"/>
    <sheet name="（５-3）品群別人時生產性（4℃-飯糰)" sheetId="32" r:id="rId10"/>
    <sheet name="（５-4）品群別人時生產性（4℃-壽司手卷)" sheetId="31" r:id="rId11"/>
    <sheet name="（５-5）品群別人時生產性(主食) " sheetId="33" r:id="rId12"/>
    <sheet name="（５-6）品群別人時生產性(便當)" sheetId="34" r:id="rId13"/>
    <sheet name="（５-7）品群別人時生產性(熱食義麵) " sheetId="35" r:id="rId14"/>
    <sheet name="（５-8）品群別人時生產性(季節調理麵) " sheetId="36" r:id="rId15"/>
    <sheet name="（５-9）品群別人時生產性(微波小吃)" sheetId="37" r:id="rId16"/>
    <sheet name="生產管理報表 6-1" sheetId="15" r:id="rId17"/>
    <sheet name="生產管理報表 6-2" sheetId="22" r:id="rId18"/>
    <sheet name="生產管理報表 6-3" sheetId="23" r:id="rId19"/>
    <sheet name="生產管理報表 6-4" sheetId="24" r:id="rId20"/>
    <sheet name="生產管理報表 6-5" sheetId="25" r:id="rId21"/>
    <sheet name="生產管理報表 7-1(月)" sheetId="40" state="hidden" r:id="rId22"/>
    <sheet name="生產管理報表 7-1 (週)" sheetId="41" r:id="rId23"/>
    <sheet name="生產管理報表 8-1(報廢)" sheetId="19" r:id="rId24"/>
    <sheet name="生產管理報表 8-2(報廢)" sheetId="20" r:id="rId25"/>
    <sheet name="生產管理報表 8-3(超用)" sheetId="44" r:id="rId26"/>
    <sheet name="生產管理報表 8-4(超用)" sheetId="45" r:id="rId27"/>
    <sheet name="生產管理報表 9" sheetId="21" r:id="rId28"/>
    <sheet name="報廢20大－原因別分析" sheetId="46" r:id="rId29"/>
    <sheet name="超用20大－原因別分析" sheetId="47" r:id="rId30"/>
    <sheet name="日別報廢率總表  " sheetId="48" r:id="rId31"/>
    <sheet name="鮮食品群番" sheetId="38" state="hidden" r:id="rId32"/>
  </sheets>
  <definedNames>
    <definedName name="_xlnm._FilterDatabase" localSheetId="7" hidden="1">'（５-1）品群別人時生產性（18℃-飯糰）'!#REF!</definedName>
    <definedName name="_xlnm._FilterDatabase" localSheetId="8" hidden="1">'（５-2）品群別人時生產性（18-壽司手卷)'!#REF!</definedName>
    <definedName name="_xlnm._FilterDatabase" localSheetId="9" hidden="1">'（５-3）品群別人時生產性（4℃-飯糰)'!#REF!</definedName>
    <definedName name="_xlnm._FilterDatabase" localSheetId="10" hidden="1">'（５-4）品群別人時生產性（4℃-壽司手卷)'!#REF!</definedName>
    <definedName name="_xlnm._FilterDatabase" localSheetId="11" hidden="1">'（５-5）品群別人時生產性(主食) '!#REF!</definedName>
    <definedName name="_xlnm._FilterDatabase" localSheetId="12" hidden="1">'（５-6）品群別人時生產性(便當)'!#REF!</definedName>
    <definedName name="_xlnm._FilterDatabase" localSheetId="13" hidden="1">'（５-7）品群別人時生產性(熱食義麵) '!#REF!</definedName>
    <definedName name="_xlnm._FilterDatabase" localSheetId="14" hidden="1">'（５-8）品群別人時生產性(季節調理麵) '!#REF!</definedName>
    <definedName name="_xlnm._FilterDatabase" localSheetId="15" hidden="1">'（５-9）品群別人時生產性(微波小吃)'!#REF!</definedName>
    <definedName name="_xlnm._FilterDatabase" localSheetId="25" hidden="1">'生產管理報表 8-3(超用)'!$R$24:$W$28</definedName>
    <definedName name="_xlnm._FilterDatabase" localSheetId="26" hidden="1">'生產管理報表 8-4(超用)'!$R$24:$W$29</definedName>
    <definedName name="_xlnm._FilterDatabase" localSheetId="28" hidden="1">'報廢20大－原因別分析'!$U$7:$U$26</definedName>
    <definedName name="_xlnm._FilterDatabase" localSheetId="29" hidden="1">'超用20大－原因別分析'!$U$7:$U$26</definedName>
    <definedName name="_xlnm.Print_Area" localSheetId="16">'生產管理報表 6-1'!$A$1:$L$35</definedName>
    <definedName name="_xlnm.Print_Area" localSheetId="17">'生產管理報表 6-2'!$A$1:$L$35</definedName>
    <definedName name="_xlnm.Print_Area" localSheetId="18">'生產管理報表 6-3'!$A$1:$L$35</definedName>
    <definedName name="_xlnm.Print_Area" localSheetId="19">'生產管理報表 6-4'!$A$1:$L$35</definedName>
    <definedName name="_xlnm.Print_Area" localSheetId="20">'生產管理報表 6-5'!$A$1:$L$35</definedName>
    <definedName name="_xlnm.Print_Area" localSheetId="22">'生產管理報表 7-1 (週)'!$A$1:$M$2</definedName>
    <definedName name="_xlnm.Print_Area" localSheetId="21">'生產管理報表 7-1(月)'!$A$1:$M$15</definedName>
    <definedName name="_xlnm.Print_Area" localSheetId="25">'生產管理報表 8-3(超用)'!$A$1:$Q$30</definedName>
    <definedName name="_xlnm.Print_Area" localSheetId="26">'生產管理報表 8-4(超用)'!$A$1:$Q$38</definedName>
    <definedName name="_xlnm.Print_Area" localSheetId="27">'生產管理報表 9'!#REF!</definedName>
    <definedName name="_xlnm.Print_Area" localSheetId="1">'生產管理報表(月)'!$A$1:$K$36</definedName>
    <definedName name="_xlnm.Print_Area" localSheetId="2">'生產管理報表(週) '!$A$1:$K$36</definedName>
    <definedName name="_xlnm.Print_Area" localSheetId="31">鮮食品群番!$B$2:$F$20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" i="5" l="1"/>
  <c r="G11" i="5"/>
  <c r="H9" i="5"/>
  <c r="H9" i="3"/>
  <c r="G18" i="5" l="1"/>
  <c r="G25" i="5"/>
  <c r="G32" i="5"/>
  <c r="N9" i="5" l="1"/>
  <c r="I8" i="13" s="1"/>
  <c r="K8" i="13" s="1"/>
  <c r="L31" i="48" l="1"/>
  <c r="J31" i="48"/>
  <c r="H31" i="48"/>
  <c r="F31" i="48"/>
  <c r="D31" i="48"/>
  <c r="L30" i="48"/>
  <c r="J30" i="48"/>
  <c r="H30" i="48"/>
  <c r="F30" i="48"/>
  <c r="D30" i="48"/>
  <c r="L29" i="48"/>
  <c r="J29" i="48"/>
  <c r="H29" i="48"/>
  <c r="F29" i="48"/>
  <c r="D29" i="48"/>
  <c r="L28" i="48"/>
  <c r="J28" i="48"/>
  <c r="H28" i="48"/>
  <c r="F28" i="48"/>
  <c r="D28" i="48"/>
  <c r="O27" i="48"/>
  <c r="N27" i="48"/>
  <c r="M27" i="48"/>
  <c r="L27" i="48"/>
  <c r="J27" i="48"/>
  <c r="H27" i="48"/>
  <c r="F27" i="48"/>
  <c r="D27" i="48"/>
  <c r="L26" i="48"/>
  <c r="J26" i="48"/>
  <c r="H26" i="48"/>
  <c r="F26" i="48"/>
  <c r="D26" i="48"/>
  <c r="L25" i="48"/>
  <c r="J25" i="48"/>
  <c r="H25" i="48"/>
  <c r="F25" i="48"/>
  <c r="D25" i="48"/>
  <c r="L24" i="48"/>
  <c r="J24" i="48"/>
  <c r="H24" i="48"/>
  <c r="F24" i="48"/>
  <c r="D24" i="48"/>
  <c r="L23" i="48"/>
  <c r="J23" i="48"/>
  <c r="H23" i="48"/>
  <c r="F23" i="48"/>
  <c r="D23" i="48"/>
  <c r="L22" i="48"/>
  <c r="J22" i="48"/>
  <c r="H22" i="48"/>
  <c r="F22" i="48"/>
  <c r="D22" i="48"/>
  <c r="L21" i="48"/>
  <c r="J21" i="48"/>
  <c r="H21" i="48"/>
  <c r="F21" i="48"/>
  <c r="D21" i="48"/>
  <c r="O20" i="48"/>
  <c r="N20" i="48"/>
  <c r="M20" i="48"/>
  <c r="L20" i="48"/>
  <c r="J20" i="48"/>
  <c r="H20" i="48"/>
  <c r="F20" i="48"/>
  <c r="D20" i="48"/>
  <c r="L19" i="48"/>
  <c r="J19" i="48"/>
  <c r="H19" i="48"/>
  <c r="F19" i="48"/>
  <c r="D19" i="48"/>
  <c r="L18" i="48"/>
  <c r="J18" i="48"/>
  <c r="H18" i="48"/>
  <c r="F18" i="48"/>
  <c r="D18" i="48"/>
  <c r="L17" i="48"/>
  <c r="J17" i="48"/>
  <c r="H17" i="48"/>
  <c r="F17" i="48"/>
  <c r="D17" i="48"/>
  <c r="L16" i="48"/>
  <c r="J16" i="48"/>
  <c r="H16" i="48"/>
  <c r="F16" i="48"/>
  <c r="D16" i="48"/>
  <c r="L15" i="48"/>
  <c r="J15" i="48"/>
  <c r="H15" i="48"/>
  <c r="F15" i="48"/>
  <c r="D15" i="48"/>
  <c r="L14" i="48"/>
  <c r="J14" i="48"/>
  <c r="H14" i="48"/>
  <c r="F14" i="48"/>
  <c r="D14" i="48"/>
  <c r="O13" i="48"/>
  <c r="N13" i="48"/>
  <c r="M13" i="48"/>
  <c r="L13" i="48"/>
  <c r="J13" i="48"/>
  <c r="H13" i="48"/>
  <c r="F13" i="48"/>
  <c r="D13" i="48"/>
  <c r="O6" i="48"/>
  <c r="N6" i="48"/>
  <c r="M6" i="48"/>
  <c r="L5" i="48"/>
  <c r="J5" i="48"/>
  <c r="H5" i="48"/>
  <c r="F5" i="48"/>
  <c r="D5" i="48"/>
  <c r="A5" i="48"/>
  <c r="A6" i="48" s="1"/>
  <c r="A7" i="48" s="1"/>
  <c r="A8" i="48" s="1"/>
  <c r="A9" i="48" s="1"/>
  <c r="A10" i="48" s="1"/>
  <c r="A11" i="48" s="1"/>
  <c r="A12" i="48" s="1"/>
  <c r="A13" i="48" s="1"/>
  <c r="A14" i="48" s="1"/>
  <c r="A15" i="48" s="1"/>
  <c r="A16" i="48" s="1"/>
  <c r="A17" i="48" s="1"/>
  <c r="A18" i="48" s="1"/>
  <c r="A19" i="48" s="1"/>
  <c r="A20" i="48" s="1"/>
  <c r="A21" i="48" s="1"/>
  <c r="A22" i="48" s="1"/>
  <c r="A23" i="48" s="1"/>
  <c r="A24" i="48" s="1"/>
  <c r="A25" i="48" s="1"/>
  <c r="A26" i="48" s="1"/>
  <c r="A27" i="48" s="1"/>
  <c r="A28" i="48" s="1"/>
  <c r="A29" i="48" s="1"/>
  <c r="A30" i="48" s="1"/>
  <c r="A31" i="48" s="1"/>
  <c r="O4" i="48"/>
  <c r="N4" i="48"/>
  <c r="M4" i="48"/>
  <c r="L4" i="48"/>
  <c r="J4" i="48"/>
  <c r="H4" i="48"/>
  <c r="F4" i="48"/>
  <c r="D4" i="48"/>
  <c r="K132" i="36"/>
  <c r="M132" i="36" s="1"/>
  <c r="J132" i="36"/>
  <c r="I132" i="36"/>
  <c r="K131" i="36"/>
  <c r="M131" i="36" s="1"/>
  <c r="J131" i="36"/>
  <c r="I131" i="36"/>
  <c r="K130" i="36"/>
  <c r="M130" i="36" s="1"/>
  <c r="J130" i="36"/>
  <c r="I130" i="36"/>
  <c r="K129" i="36"/>
  <c r="M129" i="36" s="1"/>
  <c r="J129" i="36"/>
  <c r="I129" i="36"/>
  <c r="K128" i="36"/>
  <c r="M142" i="36" s="1"/>
  <c r="J128" i="36"/>
  <c r="I128" i="36"/>
  <c r="H128" i="36"/>
  <c r="AW121" i="36"/>
  <c r="AR121" i="36"/>
  <c r="AM121" i="36"/>
  <c r="AH121" i="36"/>
  <c r="AC121" i="36"/>
  <c r="X121" i="36"/>
  <c r="S121" i="36"/>
  <c r="AW120" i="36"/>
  <c r="AR120" i="36"/>
  <c r="AM120" i="36"/>
  <c r="AH120" i="36"/>
  <c r="AC120" i="36"/>
  <c r="X120" i="36"/>
  <c r="S120" i="36"/>
  <c r="AW119" i="36"/>
  <c r="AR119" i="36"/>
  <c r="AM119" i="36"/>
  <c r="AH119" i="36"/>
  <c r="AC119" i="36"/>
  <c r="X119" i="36"/>
  <c r="S119" i="36"/>
  <c r="AW118" i="36"/>
  <c r="AR118" i="36"/>
  <c r="AM118" i="36"/>
  <c r="AH118" i="36"/>
  <c r="AC118" i="36"/>
  <c r="X118" i="36"/>
  <c r="S118" i="36"/>
  <c r="AW117" i="36"/>
  <c r="AR117" i="36"/>
  <c r="AM117" i="36"/>
  <c r="AH117" i="36"/>
  <c r="AC117" i="36"/>
  <c r="X117" i="36"/>
  <c r="S117" i="36"/>
  <c r="AW116" i="36"/>
  <c r="AR116" i="36"/>
  <c r="AM116" i="36"/>
  <c r="AH116" i="36"/>
  <c r="AC116" i="36"/>
  <c r="X116" i="36"/>
  <c r="S116" i="36"/>
  <c r="AW115" i="36"/>
  <c r="AR115" i="36"/>
  <c r="AM115" i="36"/>
  <c r="AH115" i="36"/>
  <c r="AC115" i="36"/>
  <c r="X115" i="36"/>
  <c r="S115" i="36"/>
  <c r="AW114" i="36"/>
  <c r="AR114" i="36"/>
  <c r="AM114" i="36"/>
  <c r="AH114" i="36"/>
  <c r="AC114" i="36"/>
  <c r="X114" i="36"/>
  <c r="S114" i="36"/>
  <c r="AW113" i="36"/>
  <c r="AR113" i="36"/>
  <c r="AM113" i="36"/>
  <c r="AH113" i="36"/>
  <c r="AC113" i="36"/>
  <c r="X113" i="36"/>
  <c r="S113" i="36"/>
  <c r="AW112" i="36"/>
  <c r="AR112" i="36"/>
  <c r="AM112" i="36"/>
  <c r="AH112" i="36"/>
  <c r="AC112" i="36"/>
  <c r="X112" i="36"/>
  <c r="S112" i="36"/>
  <c r="AW111" i="36"/>
  <c r="AR111" i="36"/>
  <c r="AM111" i="36"/>
  <c r="AH111" i="36"/>
  <c r="AC111" i="36"/>
  <c r="X111" i="36"/>
  <c r="S111" i="36"/>
  <c r="K111" i="36"/>
  <c r="M111" i="36" s="1"/>
  <c r="J111" i="36"/>
  <c r="I111" i="36"/>
  <c r="AW110" i="36"/>
  <c r="AR110" i="36"/>
  <c r="AM110" i="36"/>
  <c r="AH110" i="36"/>
  <c r="AC110" i="36"/>
  <c r="X110" i="36"/>
  <c r="S110" i="36"/>
  <c r="K110" i="36"/>
  <c r="M110" i="36" s="1"/>
  <c r="J110" i="36"/>
  <c r="I110" i="36"/>
  <c r="AW109" i="36"/>
  <c r="AR109" i="36"/>
  <c r="AM109" i="36"/>
  <c r="AH109" i="36"/>
  <c r="AC109" i="36"/>
  <c r="X109" i="36"/>
  <c r="S109" i="36"/>
  <c r="K109" i="36"/>
  <c r="M109" i="36" s="1"/>
  <c r="J109" i="36"/>
  <c r="I109" i="36"/>
  <c r="AW108" i="36"/>
  <c r="AR108" i="36"/>
  <c r="AM108" i="36"/>
  <c r="AH108" i="36"/>
  <c r="AC108" i="36"/>
  <c r="X108" i="36"/>
  <c r="S108" i="36"/>
  <c r="K108" i="36"/>
  <c r="M108" i="36" s="1"/>
  <c r="J108" i="36"/>
  <c r="I108" i="36"/>
  <c r="AX107" i="36"/>
  <c r="AW107" i="36"/>
  <c r="AS107" i="36"/>
  <c r="AR107" i="36"/>
  <c r="AN107" i="36"/>
  <c r="AM107" i="36"/>
  <c r="AI107" i="36"/>
  <c r="AH107" i="36"/>
  <c r="AD107" i="36"/>
  <c r="AC107" i="36"/>
  <c r="Y107" i="36"/>
  <c r="X107" i="36"/>
  <c r="T107" i="36"/>
  <c r="S107" i="36"/>
  <c r="K107" i="36"/>
  <c r="M107" i="36" s="1"/>
  <c r="J107" i="36"/>
  <c r="I107" i="36"/>
  <c r="H107" i="36"/>
  <c r="AW101" i="36"/>
  <c r="AR101" i="36"/>
  <c r="AM101" i="36"/>
  <c r="AH101" i="36"/>
  <c r="AC101" i="36"/>
  <c r="X101" i="36"/>
  <c r="S101" i="36"/>
  <c r="AW100" i="36"/>
  <c r="AR100" i="36"/>
  <c r="AM100" i="36"/>
  <c r="AH100" i="36"/>
  <c r="AC100" i="36"/>
  <c r="X100" i="36"/>
  <c r="S100" i="36"/>
  <c r="AW99" i="36"/>
  <c r="AR99" i="36"/>
  <c r="AM99" i="36"/>
  <c r="AH99" i="36"/>
  <c r="AC99" i="36"/>
  <c r="X99" i="36"/>
  <c r="S99" i="36"/>
  <c r="AW98" i="36"/>
  <c r="AR98" i="36"/>
  <c r="AM98" i="36"/>
  <c r="AH98" i="36"/>
  <c r="AC98" i="36"/>
  <c r="X98" i="36"/>
  <c r="S98" i="36"/>
  <c r="AW97" i="36"/>
  <c r="AR97" i="36"/>
  <c r="AM97" i="36"/>
  <c r="AH97" i="36"/>
  <c r="AC97" i="36"/>
  <c r="X97" i="36"/>
  <c r="S97" i="36"/>
  <c r="AW96" i="36"/>
  <c r="AR96" i="36"/>
  <c r="AM96" i="36"/>
  <c r="AH96" i="36"/>
  <c r="AC96" i="36"/>
  <c r="X96" i="36"/>
  <c r="S96" i="36"/>
  <c r="AW95" i="36"/>
  <c r="AR95" i="36"/>
  <c r="AM95" i="36"/>
  <c r="AH95" i="36"/>
  <c r="AC95" i="36"/>
  <c r="X95" i="36"/>
  <c r="S95" i="36"/>
  <c r="AW94" i="36"/>
  <c r="AR94" i="36"/>
  <c r="AM94" i="36"/>
  <c r="AH94" i="36"/>
  <c r="AC94" i="36"/>
  <c r="X94" i="36"/>
  <c r="S94" i="36"/>
  <c r="AW93" i="36"/>
  <c r="AR93" i="36"/>
  <c r="AM93" i="36"/>
  <c r="AH93" i="36"/>
  <c r="AC93" i="36"/>
  <c r="X93" i="36"/>
  <c r="S93" i="36"/>
  <c r="AW92" i="36"/>
  <c r="AR92" i="36"/>
  <c r="AM92" i="36"/>
  <c r="AH92" i="36"/>
  <c r="AC92" i="36"/>
  <c r="X92" i="36"/>
  <c r="S92" i="36"/>
  <c r="AW91" i="36"/>
  <c r="AR91" i="36"/>
  <c r="AM91" i="36"/>
  <c r="AH91" i="36"/>
  <c r="AC91" i="36"/>
  <c r="X91" i="36"/>
  <c r="S91" i="36"/>
  <c r="K91" i="36"/>
  <c r="J91" i="36"/>
  <c r="I91" i="36"/>
  <c r="AW90" i="36"/>
  <c r="AR90" i="36"/>
  <c r="AM90" i="36"/>
  <c r="AH90" i="36"/>
  <c r="AC90" i="36"/>
  <c r="X90" i="36"/>
  <c r="S90" i="36"/>
  <c r="K90" i="36"/>
  <c r="J90" i="36"/>
  <c r="I90" i="36"/>
  <c r="AW89" i="36"/>
  <c r="AR89" i="36"/>
  <c r="AM89" i="36"/>
  <c r="AH89" i="36"/>
  <c r="AC89" i="36"/>
  <c r="X89" i="36"/>
  <c r="S89" i="36"/>
  <c r="K89" i="36"/>
  <c r="J89" i="36"/>
  <c r="I89" i="36"/>
  <c r="AW88" i="36"/>
  <c r="AR88" i="36"/>
  <c r="AM88" i="36"/>
  <c r="AH88" i="36"/>
  <c r="AC88" i="36"/>
  <c r="X88" i="36"/>
  <c r="S88" i="36"/>
  <c r="K88" i="36"/>
  <c r="J88" i="36"/>
  <c r="I88" i="36"/>
  <c r="AX87" i="36"/>
  <c r="AW87" i="36"/>
  <c r="AS87" i="36"/>
  <c r="AR87" i="36"/>
  <c r="AN87" i="36"/>
  <c r="AM87" i="36"/>
  <c r="AI87" i="36"/>
  <c r="AH87" i="36"/>
  <c r="AD87" i="36"/>
  <c r="AC87" i="36"/>
  <c r="Y87" i="36"/>
  <c r="X87" i="36"/>
  <c r="T87" i="36"/>
  <c r="S87" i="36"/>
  <c r="K87" i="36"/>
  <c r="J87" i="36"/>
  <c r="I87" i="36"/>
  <c r="H87" i="36"/>
  <c r="AW81" i="36"/>
  <c r="AR81" i="36"/>
  <c r="AM81" i="36"/>
  <c r="AH81" i="36"/>
  <c r="AC81" i="36"/>
  <c r="X81" i="36"/>
  <c r="S81" i="36"/>
  <c r="AW80" i="36"/>
  <c r="AR80" i="36"/>
  <c r="AM80" i="36"/>
  <c r="AH80" i="36"/>
  <c r="AC80" i="36"/>
  <c r="X80" i="36"/>
  <c r="S80" i="36"/>
  <c r="AW79" i="36"/>
  <c r="AR79" i="36"/>
  <c r="AM79" i="36"/>
  <c r="AH79" i="36"/>
  <c r="AC79" i="36"/>
  <c r="X79" i="36"/>
  <c r="S79" i="36"/>
  <c r="AW78" i="36"/>
  <c r="AR78" i="36"/>
  <c r="AM78" i="36"/>
  <c r="AH78" i="36"/>
  <c r="AC78" i="36"/>
  <c r="X78" i="36"/>
  <c r="S78" i="36"/>
  <c r="AW77" i="36"/>
  <c r="AR77" i="36"/>
  <c r="AM77" i="36"/>
  <c r="AH77" i="36"/>
  <c r="AC77" i="36"/>
  <c r="X77" i="36"/>
  <c r="S77" i="36"/>
  <c r="AW76" i="36"/>
  <c r="AR76" i="36"/>
  <c r="AM76" i="36"/>
  <c r="AH76" i="36"/>
  <c r="AC76" i="36"/>
  <c r="X76" i="36"/>
  <c r="S76" i="36"/>
  <c r="AW75" i="36"/>
  <c r="AR75" i="36"/>
  <c r="AM75" i="36"/>
  <c r="AH75" i="36"/>
  <c r="AC75" i="36"/>
  <c r="X75" i="36"/>
  <c r="S75" i="36"/>
  <c r="AW74" i="36"/>
  <c r="AR74" i="36"/>
  <c r="AM74" i="36"/>
  <c r="AH74" i="36"/>
  <c r="AC74" i="36"/>
  <c r="X74" i="36"/>
  <c r="S74" i="36"/>
  <c r="AW73" i="36"/>
  <c r="AR73" i="36"/>
  <c r="AM73" i="36"/>
  <c r="AH73" i="36"/>
  <c r="AC73" i="36"/>
  <c r="X73" i="36"/>
  <c r="S73" i="36"/>
  <c r="AW72" i="36"/>
  <c r="AR72" i="36"/>
  <c r="AM72" i="36"/>
  <c r="AH72" i="36"/>
  <c r="AC72" i="36"/>
  <c r="X72" i="36"/>
  <c r="S72" i="36"/>
  <c r="AW71" i="36"/>
  <c r="AR71" i="36"/>
  <c r="AM71" i="36"/>
  <c r="AH71" i="36"/>
  <c r="AC71" i="36"/>
  <c r="X71" i="36"/>
  <c r="S71" i="36"/>
  <c r="K71" i="36"/>
  <c r="J71" i="36"/>
  <c r="I71" i="36"/>
  <c r="AW70" i="36"/>
  <c r="AR70" i="36"/>
  <c r="AM70" i="36"/>
  <c r="AH70" i="36"/>
  <c r="AC70" i="36"/>
  <c r="X70" i="36"/>
  <c r="S70" i="36"/>
  <c r="K70" i="36"/>
  <c r="J70" i="36"/>
  <c r="I70" i="36"/>
  <c r="AW69" i="36"/>
  <c r="AR69" i="36"/>
  <c r="AM69" i="36"/>
  <c r="AH69" i="36"/>
  <c r="AC69" i="36"/>
  <c r="X69" i="36"/>
  <c r="S69" i="36"/>
  <c r="K69" i="36"/>
  <c r="J69" i="36"/>
  <c r="I69" i="36"/>
  <c r="AW68" i="36"/>
  <c r="AR68" i="36"/>
  <c r="AM68" i="36"/>
  <c r="AH68" i="36"/>
  <c r="AC68" i="36"/>
  <c r="X68" i="36"/>
  <c r="S68" i="36"/>
  <c r="K68" i="36"/>
  <c r="J68" i="36"/>
  <c r="I68" i="36"/>
  <c r="AX67" i="36"/>
  <c r="AW67" i="36"/>
  <c r="AS67" i="36"/>
  <c r="AR67" i="36"/>
  <c r="AN67" i="36"/>
  <c r="AM67" i="36"/>
  <c r="AI67" i="36"/>
  <c r="AH67" i="36"/>
  <c r="AD67" i="36"/>
  <c r="AC67" i="36"/>
  <c r="Y67" i="36"/>
  <c r="X67" i="36"/>
  <c r="T67" i="36"/>
  <c r="S67" i="36"/>
  <c r="K67" i="36"/>
  <c r="J67" i="36"/>
  <c r="I67" i="36"/>
  <c r="H67" i="36"/>
  <c r="AW51" i="36"/>
  <c r="AR51" i="36"/>
  <c r="AM51" i="36"/>
  <c r="AH51" i="36"/>
  <c r="AC51" i="36"/>
  <c r="X51" i="36"/>
  <c r="S51" i="36"/>
  <c r="K51" i="36"/>
  <c r="J51" i="36"/>
  <c r="I51" i="36"/>
  <c r="AW50" i="36"/>
  <c r="AR50" i="36"/>
  <c r="AM50" i="36"/>
  <c r="AH50" i="36"/>
  <c r="AC50" i="36"/>
  <c r="X50" i="36"/>
  <c r="S50" i="36"/>
  <c r="K50" i="36"/>
  <c r="J50" i="36"/>
  <c r="I50" i="36"/>
  <c r="AW49" i="36"/>
  <c r="AR49" i="36"/>
  <c r="AM49" i="36"/>
  <c r="AH49" i="36"/>
  <c r="AC49" i="36"/>
  <c r="X49" i="36"/>
  <c r="S49" i="36"/>
  <c r="K49" i="36"/>
  <c r="J49" i="36"/>
  <c r="I49" i="36"/>
  <c r="AW48" i="36"/>
  <c r="AR48" i="36"/>
  <c r="AM48" i="36"/>
  <c r="AH48" i="36"/>
  <c r="AC48" i="36"/>
  <c r="X48" i="36"/>
  <c r="S48" i="36"/>
  <c r="K48" i="36"/>
  <c r="J48" i="36"/>
  <c r="I48" i="36"/>
  <c r="AX47" i="36"/>
  <c r="AW47" i="36"/>
  <c r="AS47" i="36"/>
  <c r="AR47" i="36"/>
  <c r="AN47" i="36"/>
  <c r="AM47" i="36"/>
  <c r="AI47" i="36"/>
  <c r="AH47" i="36"/>
  <c r="AD47" i="36"/>
  <c r="AC47" i="36"/>
  <c r="Y47" i="36"/>
  <c r="X47" i="36"/>
  <c r="T47" i="36"/>
  <c r="S47" i="36"/>
  <c r="K47" i="36"/>
  <c r="J47" i="36"/>
  <c r="I47" i="36"/>
  <c r="H47" i="36"/>
  <c r="AW41" i="36"/>
  <c r="AR41" i="36"/>
  <c r="AM41" i="36"/>
  <c r="AH41" i="36"/>
  <c r="AC41" i="36"/>
  <c r="X41" i="36"/>
  <c r="S41" i="36"/>
  <c r="AW40" i="36"/>
  <c r="AR40" i="36"/>
  <c r="AM40" i="36"/>
  <c r="AH40" i="36"/>
  <c r="AC40" i="36"/>
  <c r="X40" i="36"/>
  <c r="S40" i="36"/>
  <c r="AW39" i="36"/>
  <c r="AR39" i="36"/>
  <c r="AM39" i="36"/>
  <c r="AH39" i="36"/>
  <c r="AC39" i="36"/>
  <c r="X39" i="36"/>
  <c r="S39" i="36"/>
  <c r="AW38" i="36"/>
  <c r="AR38" i="36"/>
  <c r="AM38" i="36"/>
  <c r="AH38" i="36"/>
  <c r="AC38" i="36"/>
  <c r="X38" i="36"/>
  <c r="S38" i="36"/>
  <c r="AW37" i="36"/>
  <c r="AR37" i="36"/>
  <c r="AM37" i="36"/>
  <c r="AH37" i="36"/>
  <c r="AC37" i="36"/>
  <c r="X37" i="36"/>
  <c r="S37" i="36"/>
  <c r="AW36" i="36"/>
  <c r="AR36" i="36"/>
  <c r="AM36" i="36"/>
  <c r="AH36" i="36"/>
  <c r="AC36" i="36"/>
  <c r="X36" i="36"/>
  <c r="S36" i="36"/>
  <c r="AW35" i="36"/>
  <c r="AR35" i="36"/>
  <c r="AM35" i="36"/>
  <c r="AH35" i="36"/>
  <c r="AC35" i="36"/>
  <c r="X35" i="36"/>
  <c r="S35" i="36"/>
  <c r="AW34" i="36"/>
  <c r="AR34" i="36"/>
  <c r="AM34" i="36"/>
  <c r="AH34" i="36"/>
  <c r="AC34" i="36"/>
  <c r="X34" i="36"/>
  <c r="S34" i="36"/>
  <c r="AW33" i="36"/>
  <c r="AR33" i="36"/>
  <c r="AM33" i="36"/>
  <c r="AH33" i="36"/>
  <c r="AC33" i="36"/>
  <c r="X33" i="36"/>
  <c r="S33" i="36"/>
  <c r="AW32" i="36"/>
  <c r="AR32" i="36"/>
  <c r="AM32" i="36"/>
  <c r="AH32" i="36"/>
  <c r="AC32" i="36"/>
  <c r="X32" i="36"/>
  <c r="S32" i="36"/>
  <c r="AW31" i="36"/>
  <c r="AR31" i="36"/>
  <c r="AM31" i="36"/>
  <c r="AH31" i="36"/>
  <c r="AC31" i="36"/>
  <c r="X31" i="36"/>
  <c r="S31" i="36"/>
  <c r="K31" i="36"/>
  <c r="J31" i="36"/>
  <c r="I31" i="36"/>
  <c r="AW30" i="36"/>
  <c r="AR30" i="36"/>
  <c r="AM30" i="36"/>
  <c r="AH30" i="36"/>
  <c r="AC30" i="36"/>
  <c r="X30" i="36"/>
  <c r="S30" i="36"/>
  <c r="K30" i="36"/>
  <c r="J30" i="36"/>
  <c r="I30" i="36"/>
  <c r="AW29" i="36"/>
  <c r="AR29" i="36"/>
  <c r="AM29" i="36"/>
  <c r="AH29" i="36"/>
  <c r="AC29" i="36"/>
  <c r="X29" i="36"/>
  <c r="S29" i="36"/>
  <c r="K29" i="36"/>
  <c r="J29" i="36"/>
  <c r="I29" i="36"/>
  <c r="AW28" i="36"/>
  <c r="AR28" i="36"/>
  <c r="AM28" i="36"/>
  <c r="AH28" i="36"/>
  <c r="AC28" i="36"/>
  <c r="X28" i="36"/>
  <c r="S28" i="36"/>
  <c r="K28" i="36"/>
  <c r="J28" i="36"/>
  <c r="I28" i="36"/>
  <c r="AX27" i="36"/>
  <c r="AW27" i="36"/>
  <c r="AS27" i="36"/>
  <c r="AR27" i="36"/>
  <c r="AN27" i="36"/>
  <c r="AM27" i="36"/>
  <c r="AI27" i="36"/>
  <c r="AH27" i="36"/>
  <c r="AD27" i="36"/>
  <c r="AC27" i="36"/>
  <c r="Y27" i="36"/>
  <c r="X27" i="36"/>
  <c r="T27" i="36"/>
  <c r="S27" i="36"/>
  <c r="K27" i="36"/>
  <c r="L27" i="36" s="1"/>
  <c r="J27" i="36"/>
  <c r="I27" i="36"/>
  <c r="H27" i="36"/>
  <c r="BB21" i="36"/>
  <c r="AW21" i="36"/>
  <c r="AR21" i="36"/>
  <c r="AM21" i="36"/>
  <c r="AH21" i="36"/>
  <c r="AC21" i="36"/>
  <c r="X21" i="36"/>
  <c r="S21" i="36"/>
  <c r="BB20" i="36"/>
  <c r="AW20" i="36"/>
  <c r="AR20" i="36"/>
  <c r="AM20" i="36"/>
  <c r="AH20" i="36"/>
  <c r="AC20" i="36"/>
  <c r="X20" i="36"/>
  <c r="S20" i="36"/>
  <c r="BB19" i="36"/>
  <c r="AW19" i="36"/>
  <c r="AR19" i="36"/>
  <c r="AM19" i="36"/>
  <c r="AH19" i="36"/>
  <c r="AC19" i="36"/>
  <c r="X19" i="36"/>
  <c r="S19" i="36"/>
  <c r="BB18" i="36"/>
  <c r="AW18" i="36"/>
  <c r="AR18" i="36"/>
  <c r="AM18" i="36"/>
  <c r="AH18" i="36"/>
  <c r="AC18" i="36"/>
  <c r="X18" i="36"/>
  <c r="S18" i="36"/>
  <c r="BB17" i="36"/>
  <c r="AW17" i="36"/>
  <c r="AR17" i="36"/>
  <c r="AM17" i="36"/>
  <c r="AH17" i="36"/>
  <c r="AC17" i="36"/>
  <c r="X17" i="36"/>
  <c r="S17" i="36"/>
  <c r="BB16" i="36"/>
  <c r="AW16" i="36"/>
  <c r="AR16" i="36"/>
  <c r="AM16" i="36"/>
  <c r="AH16" i="36"/>
  <c r="AC16" i="36"/>
  <c r="X16" i="36"/>
  <c r="S16" i="36"/>
  <c r="BB15" i="36"/>
  <c r="AW15" i="36"/>
  <c r="AR15" i="36"/>
  <c r="AM15" i="36"/>
  <c r="AH15" i="36"/>
  <c r="AC15" i="36"/>
  <c r="X15" i="36"/>
  <c r="S15" i="36"/>
  <c r="BB14" i="36"/>
  <c r="AW14" i="36"/>
  <c r="AR14" i="36"/>
  <c r="AM14" i="36"/>
  <c r="AH14" i="36"/>
  <c r="AC14" i="36"/>
  <c r="X14" i="36"/>
  <c r="S14" i="36"/>
  <c r="BB13" i="36"/>
  <c r="AW13" i="36"/>
  <c r="AR13" i="36"/>
  <c r="AM13" i="36"/>
  <c r="AH13" i="36"/>
  <c r="AC13" i="36"/>
  <c r="X13" i="36"/>
  <c r="S13" i="36"/>
  <c r="BB12" i="36"/>
  <c r="AW12" i="36"/>
  <c r="AR12" i="36"/>
  <c r="AM12" i="36"/>
  <c r="AH12" i="36"/>
  <c r="AC12" i="36"/>
  <c r="X12" i="36"/>
  <c r="S12" i="36"/>
  <c r="BB11" i="36"/>
  <c r="AW11" i="36"/>
  <c r="AR11" i="36"/>
  <c r="AM11" i="36"/>
  <c r="AH11" i="36"/>
  <c r="AC11" i="36"/>
  <c r="X11" i="36"/>
  <c r="S11" i="36"/>
  <c r="K11" i="36"/>
  <c r="J11" i="36"/>
  <c r="I11" i="36"/>
  <c r="BB10" i="36"/>
  <c r="AW10" i="36"/>
  <c r="AR10" i="36"/>
  <c r="AM10" i="36"/>
  <c r="AH10" i="36"/>
  <c r="AC10" i="36"/>
  <c r="X10" i="36"/>
  <c r="S10" i="36"/>
  <c r="K10" i="36"/>
  <c r="J10" i="36"/>
  <c r="I10" i="36"/>
  <c r="BB9" i="36"/>
  <c r="AW9" i="36"/>
  <c r="AR9" i="36"/>
  <c r="AM9" i="36"/>
  <c r="AH9" i="36"/>
  <c r="AC9" i="36"/>
  <c r="X9" i="36"/>
  <c r="S9" i="36"/>
  <c r="K9" i="36"/>
  <c r="J9" i="36"/>
  <c r="I9" i="36"/>
  <c r="BB8" i="36"/>
  <c r="AW8" i="36"/>
  <c r="AR8" i="36"/>
  <c r="AM8" i="36"/>
  <c r="AH8" i="36"/>
  <c r="AC8" i="36"/>
  <c r="X8" i="36"/>
  <c r="S8" i="36"/>
  <c r="K8" i="36"/>
  <c r="M8" i="36" s="1"/>
  <c r="J8" i="36"/>
  <c r="I8" i="36"/>
  <c r="BB7" i="36"/>
  <c r="AX7" i="36"/>
  <c r="AW7" i="36"/>
  <c r="AS7" i="36"/>
  <c r="AR7" i="36"/>
  <c r="AN7" i="36"/>
  <c r="AM7" i="36"/>
  <c r="AI7" i="36"/>
  <c r="AH7" i="36"/>
  <c r="AD7" i="36"/>
  <c r="AC7" i="36"/>
  <c r="Y7" i="36"/>
  <c r="X7" i="36"/>
  <c r="T7" i="36"/>
  <c r="S7" i="36"/>
  <c r="K7" i="36"/>
  <c r="J7" i="36"/>
  <c r="I7" i="36"/>
  <c r="H7" i="36"/>
  <c r="AT2" i="36"/>
  <c r="P22" i="36" s="1"/>
  <c r="K137" i="35"/>
  <c r="M137" i="35" s="1"/>
  <c r="J137" i="35"/>
  <c r="I137" i="35"/>
  <c r="K136" i="35"/>
  <c r="M136" i="35" s="1"/>
  <c r="J136" i="35"/>
  <c r="I136" i="35"/>
  <c r="K135" i="35"/>
  <c r="M135" i="35" s="1"/>
  <c r="J135" i="35"/>
  <c r="I135" i="35"/>
  <c r="K134" i="35"/>
  <c r="M134" i="35" s="1"/>
  <c r="J134" i="35"/>
  <c r="I134" i="35"/>
  <c r="K133" i="35"/>
  <c r="M133" i="35" s="1"/>
  <c r="J133" i="35"/>
  <c r="I133" i="35"/>
  <c r="K132" i="35"/>
  <c r="M132" i="35" s="1"/>
  <c r="J132" i="35"/>
  <c r="I132" i="35"/>
  <c r="K131" i="35"/>
  <c r="M131" i="35" s="1"/>
  <c r="J131" i="35"/>
  <c r="I131" i="35"/>
  <c r="K130" i="35"/>
  <c r="M130" i="35" s="1"/>
  <c r="J130" i="35"/>
  <c r="I130" i="35"/>
  <c r="K129" i="35"/>
  <c r="M129" i="35" s="1"/>
  <c r="J129" i="35"/>
  <c r="I129" i="35"/>
  <c r="K128" i="35"/>
  <c r="M142" i="35" s="1"/>
  <c r="J128" i="35"/>
  <c r="I128" i="35"/>
  <c r="H128" i="35"/>
  <c r="AW121" i="35"/>
  <c r="AR121" i="35"/>
  <c r="AM121" i="35"/>
  <c r="AH121" i="35"/>
  <c r="AC121" i="35"/>
  <c r="X121" i="35"/>
  <c r="S121" i="35"/>
  <c r="AW120" i="35"/>
  <c r="AR120" i="35"/>
  <c r="AM120" i="35"/>
  <c r="AH120" i="35"/>
  <c r="AC120" i="35"/>
  <c r="X120" i="35"/>
  <c r="S120" i="35"/>
  <c r="AW119" i="35"/>
  <c r="AR119" i="35"/>
  <c r="AM119" i="35"/>
  <c r="AH119" i="35"/>
  <c r="AC119" i="35"/>
  <c r="X119" i="35"/>
  <c r="S119" i="35"/>
  <c r="AW118" i="35"/>
  <c r="AR118" i="35"/>
  <c r="AM118" i="35"/>
  <c r="AH118" i="35"/>
  <c r="AC118" i="35"/>
  <c r="X118" i="35"/>
  <c r="S118" i="35"/>
  <c r="AW117" i="35"/>
  <c r="AR117" i="35"/>
  <c r="AM117" i="35"/>
  <c r="AH117" i="35"/>
  <c r="AC117" i="35"/>
  <c r="X117" i="35"/>
  <c r="S117" i="35"/>
  <c r="AW116" i="35"/>
  <c r="AR116" i="35"/>
  <c r="AM116" i="35"/>
  <c r="AH116" i="35"/>
  <c r="AC116" i="35"/>
  <c r="X116" i="35"/>
  <c r="S116" i="35"/>
  <c r="AW115" i="35"/>
  <c r="AR115" i="35"/>
  <c r="AM115" i="35"/>
  <c r="AH115" i="35"/>
  <c r="AC115" i="35"/>
  <c r="X115" i="35"/>
  <c r="S115" i="35"/>
  <c r="K115" i="35"/>
  <c r="M115" i="35" s="1"/>
  <c r="J115" i="35"/>
  <c r="I115" i="35"/>
  <c r="AW114" i="35"/>
  <c r="AR114" i="35"/>
  <c r="AM114" i="35"/>
  <c r="AH114" i="35"/>
  <c r="AC114" i="35"/>
  <c r="X114" i="35"/>
  <c r="S114" i="35"/>
  <c r="K114" i="35"/>
  <c r="M114" i="35" s="1"/>
  <c r="J114" i="35"/>
  <c r="I114" i="35"/>
  <c r="AW113" i="35"/>
  <c r="AR113" i="35"/>
  <c r="AM113" i="35"/>
  <c r="AH113" i="35"/>
  <c r="AC113" i="35"/>
  <c r="X113" i="35"/>
  <c r="S113" i="35"/>
  <c r="M113" i="35"/>
  <c r="K113" i="35"/>
  <c r="J113" i="35"/>
  <c r="I113" i="35"/>
  <c r="AW112" i="35"/>
  <c r="AR112" i="35"/>
  <c r="AM112" i="35"/>
  <c r="AH112" i="35"/>
  <c r="AC112" i="35"/>
  <c r="X112" i="35"/>
  <c r="S112" i="35"/>
  <c r="K112" i="35"/>
  <c r="M112" i="35" s="1"/>
  <c r="J112" i="35"/>
  <c r="I112" i="35"/>
  <c r="AW111" i="35"/>
  <c r="AR111" i="35"/>
  <c r="AM111" i="35"/>
  <c r="AH111" i="35"/>
  <c r="AC111" i="35"/>
  <c r="X111" i="35"/>
  <c r="S111" i="35"/>
  <c r="K111" i="35"/>
  <c r="M111" i="35" s="1"/>
  <c r="J111" i="35"/>
  <c r="I111" i="35"/>
  <c r="AW110" i="35"/>
  <c r="AR110" i="35"/>
  <c r="AM110" i="35"/>
  <c r="AH110" i="35"/>
  <c r="AC110" i="35"/>
  <c r="X110" i="35"/>
  <c r="S110" i="35"/>
  <c r="K110" i="35"/>
  <c r="M110" i="35" s="1"/>
  <c r="J110" i="35"/>
  <c r="I110" i="35"/>
  <c r="AW109" i="35"/>
  <c r="AR109" i="35"/>
  <c r="AM109" i="35"/>
  <c r="AH109" i="35"/>
  <c r="AC109" i="35"/>
  <c r="X109" i="35"/>
  <c r="S109" i="35"/>
  <c r="M109" i="35"/>
  <c r="K109" i="35"/>
  <c r="J109" i="35"/>
  <c r="I109" i="35"/>
  <c r="AW108" i="35"/>
  <c r="AR108" i="35"/>
  <c r="AM108" i="35"/>
  <c r="AH108" i="35"/>
  <c r="AC108" i="35"/>
  <c r="X108" i="35"/>
  <c r="S108" i="35"/>
  <c r="K108" i="35"/>
  <c r="M108" i="35" s="1"/>
  <c r="J108" i="35"/>
  <c r="I108" i="35"/>
  <c r="AX107" i="35"/>
  <c r="AW107" i="35"/>
  <c r="AS107" i="35"/>
  <c r="AR107" i="35"/>
  <c r="AN107" i="35"/>
  <c r="AM107" i="35"/>
  <c r="AI107" i="35"/>
  <c r="AH107" i="35"/>
  <c r="AD107" i="35"/>
  <c r="AC107" i="35"/>
  <c r="Y107" i="35"/>
  <c r="X107" i="35"/>
  <c r="T107" i="35"/>
  <c r="S107" i="35"/>
  <c r="K107" i="35"/>
  <c r="M107" i="35" s="1"/>
  <c r="J107" i="35"/>
  <c r="I107" i="35"/>
  <c r="H107" i="35"/>
  <c r="AW101" i="35"/>
  <c r="AR101" i="35"/>
  <c r="AM101" i="35"/>
  <c r="AH101" i="35"/>
  <c r="AC101" i="35"/>
  <c r="X101" i="35"/>
  <c r="S101" i="35"/>
  <c r="AW100" i="35"/>
  <c r="AR100" i="35"/>
  <c r="AM100" i="35"/>
  <c r="AH100" i="35"/>
  <c r="AC100" i="35"/>
  <c r="X100" i="35"/>
  <c r="S100" i="35"/>
  <c r="AW99" i="35"/>
  <c r="AR99" i="35"/>
  <c r="AM99" i="35"/>
  <c r="AH99" i="35"/>
  <c r="AC99" i="35"/>
  <c r="X99" i="35"/>
  <c r="S99" i="35"/>
  <c r="AW98" i="35"/>
  <c r="AR98" i="35"/>
  <c r="AM98" i="35"/>
  <c r="AH98" i="35"/>
  <c r="AC98" i="35"/>
  <c r="X98" i="35"/>
  <c r="S98" i="35"/>
  <c r="AW97" i="35"/>
  <c r="AR97" i="35"/>
  <c r="AM97" i="35"/>
  <c r="AH97" i="35"/>
  <c r="AC97" i="35"/>
  <c r="X97" i="35"/>
  <c r="S97" i="35"/>
  <c r="AW96" i="35"/>
  <c r="AR96" i="35"/>
  <c r="AM96" i="35"/>
  <c r="AH96" i="35"/>
  <c r="AC96" i="35"/>
  <c r="X96" i="35"/>
  <c r="S96" i="35"/>
  <c r="AW95" i="35"/>
  <c r="AR95" i="35"/>
  <c r="AM95" i="35"/>
  <c r="AH95" i="35"/>
  <c r="AC95" i="35"/>
  <c r="X95" i="35"/>
  <c r="S95" i="35"/>
  <c r="AW94" i="35"/>
  <c r="AR94" i="35"/>
  <c r="AM94" i="35"/>
  <c r="AH94" i="35"/>
  <c r="AC94" i="35"/>
  <c r="X94" i="35"/>
  <c r="S94" i="35"/>
  <c r="AW93" i="35"/>
  <c r="AR93" i="35"/>
  <c r="AM93" i="35"/>
  <c r="AH93" i="35"/>
  <c r="AC93" i="35"/>
  <c r="X93" i="35"/>
  <c r="S93" i="35"/>
  <c r="AW92" i="35"/>
  <c r="AR92" i="35"/>
  <c r="AM92" i="35"/>
  <c r="AH92" i="35"/>
  <c r="AC92" i="35"/>
  <c r="X92" i="35"/>
  <c r="S92" i="35"/>
  <c r="AW91" i="35"/>
  <c r="AR91" i="35"/>
  <c r="AM91" i="35"/>
  <c r="AH91" i="35"/>
  <c r="AC91" i="35"/>
  <c r="X91" i="35"/>
  <c r="S91" i="35"/>
  <c r="K91" i="35"/>
  <c r="J91" i="35"/>
  <c r="I91" i="35"/>
  <c r="AW90" i="35"/>
  <c r="AR90" i="35"/>
  <c r="AM90" i="35"/>
  <c r="AH90" i="35"/>
  <c r="AC90" i="35"/>
  <c r="X90" i="35"/>
  <c r="S90" i="35"/>
  <c r="K90" i="35"/>
  <c r="J90" i="35"/>
  <c r="I90" i="35"/>
  <c r="AW89" i="35"/>
  <c r="AR89" i="35"/>
  <c r="AM89" i="35"/>
  <c r="AH89" i="35"/>
  <c r="AC89" i="35"/>
  <c r="X89" i="35"/>
  <c r="S89" i="35"/>
  <c r="K89" i="35"/>
  <c r="J89" i="35"/>
  <c r="I89" i="35"/>
  <c r="AW88" i="35"/>
  <c r="AR88" i="35"/>
  <c r="AM88" i="35"/>
  <c r="AH88" i="35"/>
  <c r="AC88" i="35"/>
  <c r="X88" i="35"/>
  <c r="S88" i="35"/>
  <c r="K88" i="35"/>
  <c r="J88" i="35"/>
  <c r="I88" i="35"/>
  <c r="AX87" i="35"/>
  <c r="AW87" i="35"/>
  <c r="AS87" i="35"/>
  <c r="AR87" i="35"/>
  <c r="AN87" i="35"/>
  <c r="AM87" i="35"/>
  <c r="AI87" i="35"/>
  <c r="AH87" i="35"/>
  <c r="AD87" i="35"/>
  <c r="AC87" i="35"/>
  <c r="Y87" i="35"/>
  <c r="X87" i="35"/>
  <c r="T87" i="35"/>
  <c r="S87" i="35"/>
  <c r="K87" i="35"/>
  <c r="J87" i="35"/>
  <c r="I87" i="35"/>
  <c r="H87" i="35"/>
  <c r="AW81" i="35"/>
  <c r="AR81" i="35"/>
  <c r="AM81" i="35"/>
  <c r="AH81" i="35"/>
  <c r="AC81" i="35"/>
  <c r="X81" i="35"/>
  <c r="S81" i="35"/>
  <c r="AW80" i="35"/>
  <c r="AR80" i="35"/>
  <c r="AM80" i="35"/>
  <c r="AH80" i="35"/>
  <c r="AC80" i="35"/>
  <c r="X80" i="35"/>
  <c r="S80" i="35"/>
  <c r="AW79" i="35"/>
  <c r="AR79" i="35"/>
  <c r="AM79" i="35"/>
  <c r="AH79" i="35"/>
  <c r="AC79" i="35"/>
  <c r="X79" i="35"/>
  <c r="S79" i="35"/>
  <c r="AW78" i="35"/>
  <c r="AR78" i="35"/>
  <c r="AM78" i="35"/>
  <c r="AH78" i="35"/>
  <c r="AC78" i="35"/>
  <c r="X78" i="35"/>
  <c r="S78" i="35"/>
  <c r="AW77" i="35"/>
  <c r="AR77" i="35"/>
  <c r="AM77" i="35"/>
  <c r="AH77" i="35"/>
  <c r="AC77" i="35"/>
  <c r="X77" i="35"/>
  <c r="S77" i="35"/>
  <c r="AW76" i="35"/>
  <c r="AR76" i="35"/>
  <c r="AM76" i="35"/>
  <c r="AH76" i="35"/>
  <c r="AC76" i="35"/>
  <c r="X76" i="35"/>
  <c r="S76" i="35"/>
  <c r="AW75" i="35"/>
  <c r="AR75" i="35"/>
  <c r="AM75" i="35"/>
  <c r="AH75" i="35"/>
  <c r="AC75" i="35"/>
  <c r="X75" i="35"/>
  <c r="S75" i="35"/>
  <c r="AW74" i="35"/>
  <c r="AR74" i="35"/>
  <c r="AM74" i="35"/>
  <c r="AH74" i="35"/>
  <c r="AC74" i="35"/>
  <c r="X74" i="35"/>
  <c r="S74" i="35"/>
  <c r="AW73" i="35"/>
  <c r="AR73" i="35"/>
  <c r="AM73" i="35"/>
  <c r="AH73" i="35"/>
  <c r="AC73" i="35"/>
  <c r="X73" i="35"/>
  <c r="S73" i="35"/>
  <c r="AW72" i="35"/>
  <c r="AR72" i="35"/>
  <c r="AM72" i="35"/>
  <c r="AH72" i="35"/>
  <c r="AC72" i="35"/>
  <c r="X72" i="35"/>
  <c r="S72" i="35"/>
  <c r="AW71" i="35"/>
  <c r="AR71" i="35"/>
  <c r="AM71" i="35"/>
  <c r="AH71" i="35"/>
  <c r="AC71" i="35"/>
  <c r="X71" i="35"/>
  <c r="S71" i="35"/>
  <c r="K71" i="35"/>
  <c r="J71" i="35"/>
  <c r="I71" i="35"/>
  <c r="AW70" i="35"/>
  <c r="AR70" i="35"/>
  <c r="AM70" i="35"/>
  <c r="AH70" i="35"/>
  <c r="AC70" i="35"/>
  <c r="X70" i="35"/>
  <c r="S70" i="35"/>
  <c r="K70" i="35"/>
  <c r="J70" i="35"/>
  <c r="I70" i="35"/>
  <c r="AW69" i="35"/>
  <c r="AR69" i="35"/>
  <c r="AM69" i="35"/>
  <c r="AH69" i="35"/>
  <c r="AC69" i="35"/>
  <c r="X69" i="35"/>
  <c r="S69" i="35"/>
  <c r="K69" i="35"/>
  <c r="J69" i="35"/>
  <c r="I69" i="35"/>
  <c r="AW68" i="35"/>
  <c r="AR68" i="35"/>
  <c r="AM68" i="35"/>
  <c r="AH68" i="35"/>
  <c r="AC68" i="35"/>
  <c r="X68" i="35"/>
  <c r="S68" i="35"/>
  <c r="K68" i="35"/>
  <c r="J68" i="35"/>
  <c r="I68" i="35"/>
  <c r="AX67" i="35"/>
  <c r="AW67" i="35"/>
  <c r="AS67" i="35"/>
  <c r="AR67" i="35"/>
  <c r="AN67" i="35"/>
  <c r="AM67" i="35"/>
  <c r="AI67" i="35"/>
  <c r="AH67" i="35"/>
  <c r="AD67" i="35"/>
  <c r="AC67" i="35"/>
  <c r="Y67" i="35"/>
  <c r="X67" i="35"/>
  <c r="T67" i="35"/>
  <c r="S67" i="35"/>
  <c r="K67" i="35"/>
  <c r="J67" i="35"/>
  <c r="I67" i="35"/>
  <c r="H67" i="35"/>
  <c r="AW61" i="35"/>
  <c r="AR61" i="35"/>
  <c r="AM61" i="35"/>
  <c r="AH61" i="35"/>
  <c r="AC61" i="35"/>
  <c r="X61" i="35"/>
  <c r="S61" i="35"/>
  <c r="AW60" i="35"/>
  <c r="AR60" i="35"/>
  <c r="AM60" i="35"/>
  <c r="AH60" i="35"/>
  <c r="AC60" i="35"/>
  <c r="X60" i="35"/>
  <c r="S60" i="35"/>
  <c r="AW59" i="35"/>
  <c r="AR59" i="35"/>
  <c r="AM59" i="35"/>
  <c r="AH59" i="35"/>
  <c r="AC59" i="35"/>
  <c r="X59" i="35"/>
  <c r="S59" i="35"/>
  <c r="AW58" i="35"/>
  <c r="AR58" i="35"/>
  <c r="AM58" i="35"/>
  <c r="AH58" i="35"/>
  <c r="AC58" i="35"/>
  <c r="X58" i="35"/>
  <c r="S58" i="35"/>
  <c r="AW57" i="35"/>
  <c r="AR57" i="35"/>
  <c r="AM57" i="35"/>
  <c r="AH57" i="35"/>
  <c r="AC57" i="35"/>
  <c r="X57" i="35"/>
  <c r="S57" i="35"/>
  <c r="AW56" i="35"/>
  <c r="AR56" i="35"/>
  <c r="AM56" i="35"/>
  <c r="AH56" i="35"/>
  <c r="AC56" i="35"/>
  <c r="X56" i="35"/>
  <c r="S56" i="35"/>
  <c r="AW55" i="35"/>
  <c r="AR55" i="35"/>
  <c r="AM55" i="35"/>
  <c r="AH55" i="35"/>
  <c r="AC55" i="35"/>
  <c r="X55" i="35"/>
  <c r="S55" i="35"/>
  <c r="AW54" i="35"/>
  <c r="AR54" i="35"/>
  <c r="AM54" i="35"/>
  <c r="AH54" i="35"/>
  <c r="AC54" i="35"/>
  <c r="X54" i="35"/>
  <c r="S54" i="35"/>
  <c r="AW53" i="35"/>
  <c r="AR53" i="35"/>
  <c r="AM53" i="35"/>
  <c r="AH53" i="35"/>
  <c r="AC53" i="35"/>
  <c r="X53" i="35"/>
  <c r="S53" i="35"/>
  <c r="AW52" i="35"/>
  <c r="AR52" i="35"/>
  <c r="AM52" i="35"/>
  <c r="AH52" i="35"/>
  <c r="AC52" i="35"/>
  <c r="X52" i="35"/>
  <c r="S52" i="35"/>
  <c r="K52" i="35"/>
  <c r="J52" i="35"/>
  <c r="I52" i="35"/>
  <c r="AW51" i="35"/>
  <c r="AR51" i="35"/>
  <c r="AM51" i="35"/>
  <c r="AH51" i="35"/>
  <c r="AC51" i="35"/>
  <c r="X51" i="35"/>
  <c r="S51" i="35"/>
  <c r="K51" i="35"/>
  <c r="J51" i="35"/>
  <c r="I51" i="35"/>
  <c r="AW50" i="35"/>
  <c r="AR50" i="35"/>
  <c r="AM50" i="35"/>
  <c r="AH50" i="35"/>
  <c r="AC50" i="35"/>
  <c r="X50" i="35"/>
  <c r="S50" i="35"/>
  <c r="K50" i="35"/>
  <c r="J50" i="35"/>
  <c r="I50" i="35"/>
  <c r="AW49" i="35"/>
  <c r="AR49" i="35"/>
  <c r="AM49" i="35"/>
  <c r="AH49" i="35"/>
  <c r="AC49" i="35"/>
  <c r="X49" i="35"/>
  <c r="S49" i="35"/>
  <c r="K49" i="35"/>
  <c r="J49" i="35"/>
  <c r="I49" i="35"/>
  <c r="AW48" i="35"/>
  <c r="AR48" i="35"/>
  <c r="AM48" i="35"/>
  <c r="AH48" i="35"/>
  <c r="AC48" i="35"/>
  <c r="X48" i="35"/>
  <c r="S48" i="35"/>
  <c r="K48" i="35"/>
  <c r="J48" i="35"/>
  <c r="I48" i="35"/>
  <c r="AX47" i="35"/>
  <c r="AW47" i="35"/>
  <c r="AS47" i="35"/>
  <c r="AR47" i="35"/>
  <c r="AN47" i="35"/>
  <c r="AM47" i="35"/>
  <c r="AI47" i="35"/>
  <c r="AH47" i="35"/>
  <c r="AD47" i="35"/>
  <c r="AC47" i="35"/>
  <c r="Y47" i="35"/>
  <c r="X47" i="35"/>
  <c r="T47" i="35"/>
  <c r="S47" i="35"/>
  <c r="K47" i="35"/>
  <c r="J47" i="35"/>
  <c r="I47" i="35"/>
  <c r="H47" i="35"/>
  <c r="AW41" i="35"/>
  <c r="AR41" i="35"/>
  <c r="AM41" i="35"/>
  <c r="AH41" i="35"/>
  <c r="AC41" i="35"/>
  <c r="X41" i="35"/>
  <c r="S41" i="35"/>
  <c r="AW40" i="35"/>
  <c r="AR40" i="35"/>
  <c r="AM40" i="35"/>
  <c r="AH40" i="35"/>
  <c r="AC40" i="35"/>
  <c r="X40" i="35"/>
  <c r="S40" i="35"/>
  <c r="AW39" i="35"/>
  <c r="AR39" i="35"/>
  <c r="AM39" i="35"/>
  <c r="AH39" i="35"/>
  <c r="AC39" i="35"/>
  <c r="X39" i="35"/>
  <c r="S39" i="35"/>
  <c r="AW38" i="35"/>
  <c r="AR38" i="35"/>
  <c r="AM38" i="35"/>
  <c r="AH38" i="35"/>
  <c r="AC38" i="35"/>
  <c r="X38" i="35"/>
  <c r="S38" i="35"/>
  <c r="AW37" i="35"/>
  <c r="AR37" i="35"/>
  <c r="AM37" i="35"/>
  <c r="AH37" i="35"/>
  <c r="AC37" i="35"/>
  <c r="X37" i="35"/>
  <c r="S37" i="35"/>
  <c r="AW36" i="35"/>
  <c r="AR36" i="35"/>
  <c r="AM36" i="35"/>
  <c r="AH36" i="35"/>
  <c r="AC36" i="35"/>
  <c r="X36" i="35"/>
  <c r="S36" i="35"/>
  <c r="AW35" i="35"/>
  <c r="AR35" i="35"/>
  <c r="AM35" i="35"/>
  <c r="AH35" i="35"/>
  <c r="AC35" i="35"/>
  <c r="X35" i="35"/>
  <c r="S35" i="35"/>
  <c r="AW34" i="35"/>
  <c r="AR34" i="35"/>
  <c r="AM34" i="35"/>
  <c r="AH34" i="35"/>
  <c r="AC34" i="35"/>
  <c r="X34" i="35"/>
  <c r="S34" i="35"/>
  <c r="AW33" i="35"/>
  <c r="AR33" i="35"/>
  <c r="AM33" i="35"/>
  <c r="AH33" i="35"/>
  <c r="AC33" i="35"/>
  <c r="X33" i="35"/>
  <c r="S33" i="35"/>
  <c r="AW32" i="35"/>
  <c r="AR32" i="35"/>
  <c r="AM32" i="35"/>
  <c r="AH32" i="35"/>
  <c r="AC32" i="35"/>
  <c r="X32" i="35"/>
  <c r="S32" i="35"/>
  <c r="K32" i="35"/>
  <c r="J32" i="35"/>
  <c r="I32" i="35"/>
  <c r="AW31" i="35"/>
  <c r="AR31" i="35"/>
  <c r="AM31" i="35"/>
  <c r="AH31" i="35"/>
  <c r="AC31" i="35"/>
  <c r="X31" i="35"/>
  <c r="S31" i="35"/>
  <c r="K31" i="35"/>
  <c r="J31" i="35"/>
  <c r="I31" i="35"/>
  <c r="AW30" i="35"/>
  <c r="AR30" i="35"/>
  <c r="AM30" i="35"/>
  <c r="AH30" i="35"/>
  <c r="AC30" i="35"/>
  <c r="X30" i="35"/>
  <c r="S30" i="35"/>
  <c r="K30" i="35"/>
  <c r="J30" i="35"/>
  <c r="I30" i="35"/>
  <c r="AW29" i="35"/>
  <c r="AR29" i="35"/>
  <c r="AM29" i="35"/>
  <c r="AH29" i="35"/>
  <c r="AC29" i="35"/>
  <c r="X29" i="35"/>
  <c r="S29" i="35"/>
  <c r="K29" i="35"/>
  <c r="M29" i="35" s="1"/>
  <c r="J29" i="35"/>
  <c r="I29" i="35"/>
  <c r="AW28" i="35"/>
  <c r="AR28" i="35"/>
  <c r="AM28" i="35"/>
  <c r="AH28" i="35"/>
  <c r="AC28" i="35"/>
  <c r="X28" i="35"/>
  <c r="S28" i="35"/>
  <c r="K28" i="35"/>
  <c r="J28" i="35"/>
  <c r="I28" i="35"/>
  <c r="AX27" i="35"/>
  <c r="AW27" i="35"/>
  <c r="AS27" i="35"/>
  <c r="AR27" i="35"/>
  <c r="AN27" i="35"/>
  <c r="AM27" i="35"/>
  <c r="AI27" i="35"/>
  <c r="AH27" i="35"/>
  <c r="AD27" i="35"/>
  <c r="AC27" i="35"/>
  <c r="Y27" i="35"/>
  <c r="X27" i="35"/>
  <c r="T27" i="35"/>
  <c r="S27" i="35"/>
  <c r="K27" i="35"/>
  <c r="L27" i="35" s="1"/>
  <c r="J27" i="35"/>
  <c r="I27" i="35"/>
  <c r="H27" i="35"/>
  <c r="P22" i="35"/>
  <c r="P42" i="35" s="1"/>
  <c r="BB21" i="35"/>
  <c r="AW21" i="35"/>
  <c r="AR21" i="35"/>
  <c r="AM21" i="35"/>
  <c r="AH21" i="35"/>
  <c r="AC21" i="35"/>
  <c r="X21" i="35"/>
  <c r="S21" i="35"/>
  <c r="BB20" i="35"/>
  <c r="AW20" i="35"/>
  <c r="AR20" i="35"/>
  <c r="AM20" i="35"/>
  <c r="AH20" i="35"/>
  <c r="AC20" i="35"/>
  <c r="X20" i="35"/>
  <c r="S20" i="35"/>
  <c r="BB19" i="35"/>
  <c r="AW19" i="35"/>
  <c r="AR19" i="35"/>
  <c r="AM19" i="35"/>
  <c r="AH19" i="35"/>
  <c r="AC19" i="35"/>
  <c r="X19" i="35"/>
  <c r="S19" i="35"/>
  <c r="BB18" i="35"/>
  <c r="AW18" i="35"/>
  <c r="AR18" i="35"/>
  <c r="AM18" i="35"/>
  <c r="AH18" i="35"/>
  <c r="AC18" i="35"/>
  <c r="X18" i="35"/>
  <c r="S18" i="35"/>
  <c r="BB17" i="35"/>
  <c r="AW17" i="35"/>
  <c r="AR17" i="35"/>
  <c r="AM17" i="35"/>
  <c r="AH17" i="35"/>
  <c r="AC17" i="35"/>
  <c r="X17" i="35"/>
  <c r="S17" i="35"/>
  <c r="BB16" i="35"/>
  <c r="AW16" i="35"/>
  <c r="AR16" i="35"/>
  <c r="AM16" i="35"/>
  <c r="AH16" i="35"/>
  <c r="AC16" i="35"/>
  <c r="X16" i="35"/>
  <c r="S16" i="35"/>
  <c r="BB15" i="35"/>
  <c r="AW15" i="35"/>
  <c r="AR15" i="35"/>
  <c r="AM15" i="35"/>
  <c r="AH15" i="35"/>
  <c r="AC15" i="35"/>
  <c r="X15" i="35"/>
  <c r="S15" i="35"/>
  <c r="BB14" i="35"/>
  <c r="AW14" i="35"/>
  <c r="AR14" i="35"/>
  <c r="AM14" i="35"/>
  <c r="AH14" i="35"/>
  <c r="AC14" i="35"/>
  <c r="X14" i="35"/>
  <c r="S14" i="35"/>
  <c r="BB13" i="35"/>
  <c r="AW13" i="35"/>
  <c r="AR13" i="35"/>
  <c r="AM13" i="35"/>
  <c r="AH13" i="35"/>
  <c r="AC13" i="35"/>
  <c r="X13" i="35"/>
  <c r="S13" i="35"/>
  <c r="BB12" i="35"/>
  <c r="AW12" i="35"/>
  <c r="AR12" i="35"/>
  <c r="AM12" i="35"/>
  <c r="AH12" i="35"/>
  <c r="AC12" i="35"/>
  <c r="X12" i="35"/>
  <c r="S12" i="35"/>
  <c r="K12" i="35"/>
  <c r="J12" i="35"/>
  <c r="I12" i="35"/>
  <c r="BB11" i="35"/>
  <c r="AW11" i="35"/>
  <c r="AR11" i="35"/>
  <c r="AM11" i="35"/>
  <c r="AH11" i="35"/>
  <c r="AC11" i="35"/>
  <c r="X11" i="35"/>
  <c r="S11" i="35"/>
  <c r="K11" i="35"/>
  <c r="J11" i="35"/>
  <c r="I11" i="35"/>
  <c r="BB10" i="35"/>
  <c r="AW10" i="35"/>
  <c r="AR10" i="35"/>
  <c r="AM10" i="35"/>
  <c r="AH10" i="35"/>
  <c r="AC10" i="35"/>
  <c r="X10" i="35"/>
  <c r="S10" i="35"/>
  <c r="K10" i="35"/>
  <c r="J10" i="35"/>
  <c r="I10" i="35"/>
  <c r="BB9" i="35"/>
  <c r="AW9" i="35"/>
  <c r="AR9" i="35"/>
  <c r="AM9" i="35"/>
  <c r="AH9" i="35"/>
  <c r="AC9" i="35"/>
  <c r="X9" i="35"/>
  <c r="S9" i="35"/>
  <c r="K9" i="35"/>
  <c r="J9" i="35"/>
  <c r="I9" i="35"/>
  <c r="BB8" i="35"/>
  <c r="AW8" i="35"/>
  <c r="AR8" i="35"/>
  <c r="AM8" i="35"/>
  <c r="AH8" i="35"/>
  <c r="AC8" i="35"/>
  <c r="X8" i="35"/>
  <c r="S8" i="35"/>
  <c r="K8" i="35"/>
  <c r="J8" i="35"/>
  <c r="I8" i="35"/>
  <c r="BB7" i="35"/>
  <c r="AX7" i="35"/>
  <c r="AW7" i="35"/>
  <c r="AS7" i="35"/>
  <c r="AR7" i="35"/>
  <c r="AN7" i="35"/>
  <c r="AM7" i="35"/>
  <c r="AI7" i="35"/>
  <c r="AH7" i="35"/>
  <c r="AD7" i="35"/>
  <c r="AC7" i="35"/>
  <c r="Y7" i="35"/>
  <c r="X7" i="35"/>
  <c r="T7" i="35"/>
  <c r="S7" i="35"/>
  <c r="K7" i="35"/>
  <c r="L7" i="35" s="1"/>
  <c r="J7" i="35"/>
  <c r="I7" i="35"/>
  <c r="H7" i="35"/>
  <c r="AT2" i="35"/>
  <c r="K135" i="34"/>
  <c r="M135" i="34" s="1"/>
  <c r="J135" i="34"/>
  <c r="I135" i="34"/>
  <c r="K134" i="34"/>
  <c r="M134" i="34" s="1"/>
  <c r="J134" i="34"/>
  <c r="I134" i="34"/>
  <c r="K133" i="34"/>
  <c r="M133" i="34" s="1"/>
  <c r="J133" i="34"/>
  <c r="I133" i="34"/>
  <c r="K132" i="34"/>
  <c r="M132" i="34" s="1"/>
  <c r="J132" i="34"/>
  <c r="I132" i="34"/>
  <c r="K131" i="34"/>
  <c r="M131" i="34" s="1"/>
  <c r="J131" i="34"/>
  <c r="I131" i="34"/>
  <c r="K130" i="34"/>
  <c r="M130" i="34" s="1"/>
  <c r="J130" i="34"/>
  <c r="I130" i="34"/>
  <c r="K129" i="34"/>
  <c r="M129" i="34" s="1"/>
  <c r="J129" i="34"/>
  <c r="I129" i="34"/>
  <c r="K128" i="34"/>
  <c r="J128" i="34"/>
  <c r="I128" i="34"/>
  <c r="H128" i="34"/>
  <c r="AW121" i="34"/>
  <c r="AR121" i="34"/>
  <c r="AM121" i="34"/>
  <c r="AH121" i="34"/>
  <c r="AC121" i="34"/>
  <c r="X121" i="34"/>
  <c r="S121" i="34"/>
  <c r="AW120" i="34"/>
  <c r="AR120" i="34"/>
  <c r="AM120" i="34"/>
  <c r="AH120" i="34"/>
  <c r="AC120" i="34"/>
  <c r="X120" i="34"/>
  <c r="S120" i="34"/>
  <c r="AW119" i="34"/>
  <c r="AR119" i="34"/>
  <c r="AM119" i="34"/>
  <c r="AH119" i="34"/>
  <c r="AC119" i="34"/>
  <c r="X119" i="34"/>
  <c r="S119" i="34"/>
  <c r="AW118" i="34"/>
  <c r="AR118" i="34"/>
  <c r="AM118" i="34"/>
  <c r="AH118" i="34"/>
  <c r="AC118" i="34"/>
  <c r="X118" i="34"/>
  <c r="S118" i="34"/>
  <c r="AW117" i="34"/>
  <c r="AR117" i="34"/>
  <c r="AM117" i="34"/>
  <c r="AH117" i="34"/>
  <c r="AC117" i="34"/>
  <c r="X117" i="34"/>
  <c r="S117" i="34"/>
  <c r="AW116" i="34"/>
  <c r="AR116" i="34"/>
  <c r="AM116" i="34"/>
  <c r="AH116" i="34"/>
  <c r="AC116" i="34"/>
  <c r="X116" i="34"/>
  <c r="S116" i="34"/>
  <c r="K116" i="34"/>
  <c r="M116" i="34" s="1"/>
  <c r="J116" i="34"/>
  <c r="I116" i="34"/>
  <c r="AW115" i="34"/>
  <c r="AR115" i="34"/>
  <c r="AM115" i="34"/>
  <c r="AH115" i="34"/>
  <c r="AC115" i="34"/>
  <c r="X115" i="34"/>
  <c r="S115" i="34"/>
  <c r="K115" i="34"/>
  <c r="M115" i="34" s="1"/>
  <c r="J115" i="34"/>
  <c r="I115" i="34"/>
  <c r="AW114" i="34"/>
  <c r="AR114" i="34"/>
  <c r="AM114" i="34"/>
  <c r="AH114" i="34"/>
  <c r="AC114" i="34"/>
  <c r="X114" i="34"/>
  <c r="S114" i="34"/>
  <c r="K114" i="34"/>
  <c r="M114" i="34" s="1"/>
  <c r="J114" i="34"/>
  <c r="I114" i="34"/>
  <c r="AW113" i="34"/>
  <c r="AR113" i="34"/>
  <c r="AM113" i="34"/>
  <c r="AH113" i="34"/>
  <c r="AC113" i="34"/>
  <c r="X113" i="34"/>
  <c r="S113" i="34"/>
  <c r="K113" i="34"/>
  <c r="M113" i="34" s="1"/>
  <c r="J113" i="34"/>
  <c r="I113" i="34"/>
  <c r="AW112" i="34"/>
  <c r="AR112" i="34"/>
  <c r="AM112" i="34"/>
  <c r="AH112" i="34"/>
  <c r="AC112" i="34"/>
  <c r="X112" i="34"/>
  <c r="S112" i="34"/>
  <c r="K112" i="34"/>
  <c r="M112" i="34" s="1"/>
  <c r="J112" i="34"/>
  <c r="I112" i="34"/>
  <c r="AW111" i="34"/>
  <c r="AR111" i="34"/>
  <c r="AM111" i="34"/>
  <c r="AH111" i="34"/>
  <c r="AC111" i="34"/>
  <c r="X111" i="34"/>
  <c r="S111" i="34"/>
  <c r="K111" i="34"/>
  <c r="M111" i="34" s="1"/>
  <c r="J111" i="34"/>
  <c r="I111" i="34"/>
  <c r="AW110" i="34"/>
  <c r="AR110" i="34"/>
  <c r="AM110" i="34"/>
  <c r="AH110" i="34"/>
  <c r="AC110" i="34"/>
  <c r="X110" i="34"/>
  <c r="S110" i="34"/>
  <c r="K110" i="34"/>
  <c r="M110" i="34" s="1"/>
  <c r="J110" i="34"/>
  <c r="I110" i="34"/>
  <c r="AW109" i="34"/>
  <c r="AR109" i="34"/>
  <c r="AM109" i="34"/>
  <c r="AH109" i="34"/>
  <c r="AC109" i="34"/>
  <c r="X109" i="34"/>
  <c r="S109" i="34"/>
  <c r="K109" i="34"/>
  <c r="M109" i="34" s="1"/>
  <c r="J109" i="34"/>
  <c r="I109" i="34"/>
  <c r="AW108" i="34"/>
  <c r="AR108" i="34"/>
  <c r="AM108" i="34"/>
  <c r="AH108" i="34"/>
  <c r="AC108" i="34"/>
  <c r="X108" i="34"/>
  <c r="S108" i="34"/>
  <c r="K108" i="34"/>
  <c r="M108" i="34" s="1"/>
  <c r="J108" i="34"/>
  <c r="I108" i="34"/>
  <c r="AX107" i="34"/>
  <c r="AW107" i="34"/>
  <c r="AS107" i="34"/>
  <c r="AR107" i="34"/>
  <c r="AN107" i="34"/>
  <c r="AM107" i="34"/>
  <c r="AI107" i="34"/>
  <c r="AH107" i="34"/>
  <c r="AD107" i="34"/>
  <c r="AC107" i="34"/>
  <c r="Y107" i="34"/>
  <c r="X107" i="34"/>
  <c r="T107" i="34"/>
  <c r="S107" i="34"/>
  <c r="K107" i="34"/>
  <c r="L107" i="34" s="1"/>
  <c r="J107" i="34"/>
  <c r="I107" i="34"/>
  <c r="H107" i="34"/>
  <c r="AW101" i="34"/>
  <c r="AR101" i="34"/>
  <c r="AM101" i="34"/>
  <c r="AH101" i="34"/>
  <c r="AC101" i="34"/>
  <c r="X101" i="34"/>
  <c r="S101" i="34"/>
  <c r="AW100" i="34"/>
  <c r="AR100" i="34"/>
  <c r="AM100" i="34"/>
  <c r="AH100" i="34"/>
  <c r="AC100" i="34"/>
  <c r="X100" i="34"/>
  <c r="S100" i="34"/>
  <c r="AW99" i="34"/>
  <c r="AR99" i="34"/>
  <c r="AM99" i="34"/>
  <c r="AH99" i="34"/>
  <c r="AC99" i="34"/>
  <c r="X99" i="34"/>
  <c r="S99" i="34"/>
  <c r="AW98" i="34"/>
  <c r="AR98" i="34"/>
  <c r="AM98" i="34"/>
  <c r="AH98" i="34"/>
  <c r="AC98" i="34"/>
  <c r="X98" i="34"/>
  <c r="S98" i="34"/>
  <c r="AW97" i="34"/>
  <c r="AR97" i="34"/>
  <c r="AM97" i="34"/>
  <c r="AH97" i="34"/>
  <c r="AC97" i="34"/>
  <c r="X97" i="34"/>
  <c r="S97" i="34"/>
  <c r="AW96" i="34"/>
  <c r="AR96" i="34"/>
  <c r="AM96" i="34"/>
  <c r="AH96" i="34"/>
  <c r="AC96" i="34"/>
  <c r="X96" i="34"/>
  <c r="S96" i="34"/>
  <c r="K96" i="34"/>
  <c r="J96" i="34"/>
  <c r="I96" i="34"/>
  <c r="AW95" i="34"/>
  <c r="AR95" i="34"/>
  <c r="AM95" i="34"/>
  <c r="AH95" i="34"/>
  <c r="AC95" i="34"/>
  <c r="X95" i="34"/>
  <c r="S95" i="34"/>
  <c r="K95" i="34"/>
  <c r="J95" i="34"/>
  <c r="I95" i="34"/>
  <c r="AW94" i="34"/>
  <c r="AR94" i="34"/>
  <c r="AM94" i="34"/>
  <c r="AH94" i="34"/>
  <c r="AC94" i="34"/>
  <c r="X94" i="34"/>
  <c r="S94" i="34"/>
  <c r="K94" i="34"/>
  <c r="J94" i="34"/>
  <c r="I94" i="34"/>
  <c r="AW93" i="34"/>
  <c r="AR93" i="34"/>
  <c r="AM93" i="34"/>
  <c r="AH93" i="34"/>
  <c r="AC93" i="34"/>
  <c r="X93" i="34"/>
  <c r="S93" i="34"/>
  <c r="K93" i="34"/>
  <c r="J93" i="34"/>
  <c r="I93" i="34"/>
  <c r="AW92" i="34"/>
  <c r="AR92" i="34"/>
  <c r="AM92" i="34"/>
  <c r="AH92" i="34"/>
  <c r="AC92" i="34"/>
  <c r="X92" i="34"/>
  <c r="S92" i="34"/>
  <c r="K92" i="34"/>
  <c r="J92" i="34"/>
  <c r="I92" i="34"/>
  <c r="AW91" i="34"/>
  <c r="AR91" i="34"/>
  <c r="AM91" i="34"/>
  <c r="AH91" i="34"/>
  <c r="AC91" i="34"/>
  <c r="X91" i="34"/>
  <c r="S91" i="34"/>
  <c r="K91" i="34"/>
  <c r="J91" i="34"/>
  <c r="I91" i="34"/>
  <c r="AW90" i="34"/>
  <c r="AR90" i="34"/>
  <c r="AM90" i="34"/>
  <c r="AH90" i="34"/>
  <c r="AC90" i="34"/>
  <c r="X90" i="34"/>
  <c r="S90" i="34"/>
  <c r="K90" i="34"/>
  <c r="J90" i="34"/>
  <c r="I90" i="34"/>
  <c r="AW89" i="34"/>
  <c r="AR89" i="34"/>
  <c r="AM89" i="34"/>
  <c r="AH89" i="34"/>
  <c r="AC89" i="34"/>
  <c r="X89" i="34"/>
  <c r="S89" i="34"/>
  <c r="K89" i="34"/>
  <c r="J89" i="34"/>
  <c r="I89" i="34"/>
  <c r="AW88" i="34"/>
  <c r="AR88" i="34"/>
  <c r="AM88" i="34"/>
  <c r="AH88" i="34"/>
  <c r="AC88" i="34"/>
  <c r="X88" i="34"/>
  <c r="S88" i="34"/>
  <c r="K88" i="34"/>
  <c r="J88" i="34"/>
  <c r="I88" i="34"/>
  <c r="AX87" i="34"/>
  <c r="AW87" i="34"/>
  <c r="AS87" i="34"/>
  <c r="AR87" i="34"/>
  <c r="AN87" i="34"/>
  <c r="AM87" i="34"/>
  <c r="AI87" i="34"/>
  <c r="AH87" i="34"/>
  <c r="AD87" i="34"/>
  <c r="AC87" i="34"/>
  <c r="Y87" i="34"/>
  <c r="X87" i="34"/>
  <c r="T87" i="34"/>
  <c r="S87" i="34"/>
  <c r="K87" i="34"/>
  <c r="J87" i="34"/>
  <c r="I87" i="34"/>
  <c r="H87" i="34"/>
  <c r="AW81" i="34"/>
  <c r="AR81" i="34"/>
  <c r="AM81" i="34"/>
  <c r="AH81" i="34"/>
  <c r="AC81" i="34"/>
  <c r="X81" i="34"/>
  <c r="S81" i="34"/>
  <c r="AW80" i="34"/>
  <c r="AR80" i="34"/>
  <c r="AM80" i="34"/>
  <c r="AH80" i="34"/>
  <c r="AC80" i="34"/>
  <c r="X80" i="34"/>
  <c r="S80" i="34"/>
  <c r="AW79" i="34"/>
  <c r="AR79" i="34"/>
  <c r="AM79" i="34"/>
  <c r="AH79" i="34"/>
  <c r="AC79" i="34"/>
  <c r="X79" i="34"/>
  <c r="S79" i="34"/>
  <c r="AW78" i="34"/>
  <c r="AR78" i="34"/>
  <c r="AM78" i="34"/>
  <c r="AH78" i="34"/>
  <c r="AC78" i="34"/>
  <c r="X78" i="34"/>
  <c r="S78" i="34"/>
  <c r="AW77" i="34"/>
  <c r="AR77" i="34"/>
  <c r="AM77" i="34"/>
  <c r="AH77" i="34"/>
  <c r="AC77" i="34"/>
  <c r="X77" i="34"/>
  <c r="S77" i="34"/>
  <c r="AW76" i="34"/>
  <c r="AR76" i="34"/>
  <c r="AM76" i="34"/>
  <c r="AH76" i="34"/>
  <c r="AC76" i="34"/>
  <c r="X76" i="34"/>
  <c r="S76" i="34"/>
  <c r="K76" i="34"/>
  <c r="J76" i="34"/>
  <c r="I76" i="34"/>
  <c r="AW75" i="34"/>
  <c r="AR75" i="34"/>
  <c r="AM75" i="34"/>
  <c r="AH75" i="34"/>
  <c r="AC75" i="34"/>
  <c r="X75" i="34"/>
  <c r="S75" i="34"/>
  <c r="K75" i="34"/>
  <c r="J75" i="34"/>
  <c r="I75" i="34"/>
  <c r="AW74" i="34"/>
  <c r="AR74" i="34"/>
  <c r="AM74" i="34"/>
  <c r="AH74" i="34"/>
  <c r="AC74" i="34"/>
  <c r="X74" i="34"/>
  <c r="S74" i="34"/>
  <c r="K74" i="34"/>
  <c r="J74" i="34"/>
  <c r="I74" i="34"/>
  <c r="AW73" i="34"/>
  <c r="AR73" i="34"/>
  <c r="AM73" i="34"/>
  <c r="AH73" i="34"/>
  <c r="AC73" i="34"/>
  <c r="X73" i="34"/>
  <c r="S73" i="34"/>
  <c r="K73" i="34"/>
  <c r="J73" i="34"/>
  <c r="I73" i="34"/>
  <c r="AW72" i="34"/>
  <c r="AR72" i="34"/>
  <c r="AM72" i="34"/>
  <c r="AH72" i="34"/>
  <c r="AC72" i="34"/>
  <c r="X72" i="34"/>
  <c r="S72" i="34"/>
  <c r="K72" i="34"/>
  <c r="J72" i="34"/>
  <c r="I72" i="34"/>
  <c r="AW71" i="34"/>
  <c r="AR71" i="34"/>
  <c r="AM71" i="34"/>
  <c r="AH71" i="34"/>
  <c r="AC71" i="34"/>
  <c r="X71" i="34"/>
  <c r="S71" i="34"/>
  <c r="K71" i="34"/>
  <c r="J71" i="34"/>
  <c r="I71" i="34"/>
  <c r="AW70" i="34"/>
  <c r="AR70" i="34"/>
  <c r="AM70" i="34"/>
  <c r="AH70" i="34"/>
  <c r="AC70" i="34"/>
  <c r="X70" i="34"/>
  <c r="S70" i="34"/>
  <c r="K70" i="34"/>
  <c r="J70" i="34"/>
  <c r="I70" i="34"/>
  <c r="AW69" i="34"/>
  <c r="AR69" i="34"/>
  <c r="AM69" i="34"/>
  <c r="AH69" i="34"/>
  <c r="AC69" i="34"/>
  <c r="X69" i="34"/>
  <c r="S69" i="34"/>
  <c r="K69" i="34"/>
  <c r="J69" i="34"/>
  <c r="I69" i="34"/>
  <c r="AW68" i="34"/>
  <c r="AR68" i="34"/>
  <c r="AM68" i="34"/>
  <c r="AH68" i="34"/>
  <c r="AC68" i="34"/>
  <c r="X68" i="34"/>
  <c r="S68" i="34"/>
  <c r="K68" i="34"/>
  <c r="J68" i="34"/>
  <c r="I68" i="34"/>
  <c r="AX67" i="34"/>
  <c r="AW67" i="34"/>
  <c r="AS67" i="34"/>
  <c r="AR67" i="34"/>
  <c r="AN67" i="34"/>
  <c r="AM67" i="34"/>
  <c r="AI67" i="34"/>
  <c r="AH67" i="34"/>
  <c r="AD67" i="34"/>
  <c r="AC67" i="34"/>
  <c r="Y67" i="34"/>
  <c r="X67" i="34"/>
  <c r="T67" i="34"/>
  <c r="S67" i="34"/>
  <c r="K67" i="34"/>
  <c r="M69" i="34" s="1"/>
  <c r="J67" i="34"/>
  <c r="I67" i="34"/>
  <c r="H67" i="34"/>
  <c r="AW61" i="34"/>
  <c r="AR61" i="34"/>
  <c r="AM61" i="34"/>
  <c r="AH61" i="34"/>
  <c r="AC61" i="34"/>
  <c r="X61" i="34"/>
  <c r="S61" i="34"/>
  <c r="AW60" i="34"/>
  <c r="AR60" i="34"/>
  <c r="AM60" i="34"/>
  <c r="AH60" i="34"/>
  <c r="AC60" i="34"/>
  <c r="X60" i="34"/>
  <c r="S60" i="34"/>
  <c r="AW59" i="34"/>
  <c r="AR59" i="34"/>
  <c r="AM59" i="34"/>
  <c r="AH59" i="34"/>
  <c r="AC59" i="34"/>
  <c r="X59" i="34"/>
  <c r="S59" i="34"/>
  <c r="AW58" i="34"/>
  <c r="AR58" i="34"/>
  <c r="AM58" i="34"/>
  <c r="AH58" i="34"/>
  <c r="AC58" i="34"/>
  <c r="X58" i="34"/>
  <c r="S58" i="34"/>
  <c r="AW57" i="34"/>
  <c r="AR57" i="34"/>
  <c r="AM57" i="34"/>
  <c r="AH57" i="34"/>
  <c r="AC57" i="34"/>
  <c r="X57" i="34"/>
  <c r="S57" i="34"/>
  <c r="AW56" i="34"/>
  <c r="AR56" i="34"/>
  <c r="AM56" i="34"/>
  <c r="AH56" i="34"/>
  <c r="AC56" i="34"/>
  <c r="X56" i="34"/>
  <c r="S56" i="34"/>
  <c r="K56" i="34"/>
  <c r="J56" i="34"/>
  <c r="I56" i="34"/>
  <c r="AW55" i="34"/>
  <c r="AR55" i="34"/>
  <c r="AM55" i="34"/>
  <c r="AH55" i="34"/>
  <c r="AC55" i="34"/>
  <c r="X55" i="34"/>
  <c r="S55" i="34"/>
  <c r="K55" i="34"/>
  <c r="J55" i="34"/>
  <c r="I55" i="34"/>
  <c r="AW54" i="34"/>
  <c r="AR54" i="34"/>
  <c r="AM54" i="34"/>
  <c r="AH54" i="34"/>
  <c r="AC54" i="34"/>
  <c r="X54" i="34"/>
  <c r="S54" i="34"/>
  <c r="K54" i="34"/>
  <c r="J54" i="34"/>
  <c r="I54" i="34"/>
  <c r="AW53" i="34"/>
  <c r="AR53" i="34"/>
  <c r="AM53" i="34"/>
  <c r="AH53" i="34"/>
  <c r="AC53" i="34"/>
  <c r="X53" i="34"/>
  <c r="S53" i="34"/>
  <c r="K53" i="34"/>
  <c r="J53" i="34"/>
  <c r="I53" i="34"/>
  <c r="AW52" i="34"/>
  <c r="AR52" i="34"/>
  <c r="AM52" i="34"/>
  <c r="AH52" i="34"/>
  <c r="AC52" i="34"/>
  <c r="X52" i="34"/>
  <c r="S52" i="34"/>
  <c r="K52" i="34"/>
  <c r="J52" i="34"/>
  <c r="I52" i="34"/>
  <c r="AW51" i="34"/>
  <c r="AR51" i="34"/>
  <c r="AM51" i="34"/>
  <c r="AH51" i="34"/>
  <c r="AC51" i="34"/>
  <c r="X51" i="34"/>
  <c r="S51" i="34"/>
  <c r="K51" i="34"/>
  <c r="J51" i="34"/>
  <c r="I51" i="34"/>
  <c r="AW50" i="34"/>
  <c r="AR50" i="34"/>
  <c r="AM50" i="34"/>
  <c r="AH50" i="34"/>
  <c r="AC50" i="34"/>
  <c r="X50" i="34"/>
  <c r="S50" i="34"/>
  <c r="K50" i="34"/>
  <c r="J50" i="34"/>
  <c r="I50" i="34"/>
  <c r="AW49" i="34"/>
  <c r="AR49" i="34"/>
  <c r="AM49" i="34"/>
  <c r="AH49" i="34"/>
  <c r="AC49" i="34"/>
  <c r="X49" i="34"/>
  <c r="S49" i="34"/>
  <c r="K49" i="34"/>
  <c r="J49" i="34"/>
  <c r="I49" i="34"/>
  <c r="AW48" i="34"/>
  <c r="AR48" i="34"/>
  <c r="AM48" i="34"/>
  <c r="AH48" i="34"/>
  <c r="AC48" i="34"/>
  <c r="X48" i="34"/>
  <c r="S48" i="34"/>
  <c r="K48" i="34"/>
  <c r="J48" i="34"/>
  <c r="I48" i="34"/>
  <c r="AX47" i="34"/>
  <c r="AW47" i="34"/>
  <c r="AS47" i="34"/>
  <c r="AR47" i="34"/>
  <c r="AN47" i="34"/>
  <c r="AM47" i="34"/>
  <c r="AI47" i="34"/>
  <c r="AH47" i="34"/>
  <c r="AD47" i="34"/>
  <c r="AC47" i="34"/>
  <c r="Y47" i="34"/>
  <c r="X47" i="34"/>
  <c r="T47" i="34"/>
  <c r="S47" i="34"/>
  <c r="K47" i="34"/>
  <c r="M48" i="34" s="1"/>
  <c r="J47" i="34"/>
  <c r="I47" i="34"/>
  <c r="H47" i="34"/>
  <c r="AW41" i="34"/>
  <c r="AR41" i="34"/>
  <c r="AM41" i="34"/>
  <c r="AH41" i="34"/>
  <c r="AC41" i="34"/>
  <c r="X41" i="34"/>
  <c r="S41" i="34"/>
  <c r="AW40" i="34"/>
  <c r="AR40" i="34"/>
  <c r="AM40" i="34"/>
  <c r="AH40" i="34"/>
  <c r="AC40" i="34"/>
  <c r="X40" i="34"/>
  <c r="S40" i="34"/>
  <c r="AW39" i="34"/>
  <c r="AR39" i="34"/>
  <c r="AM39" i="34"/>
  <c r="AH39" i="34"/>
  <c r="AC39" i="34"/>
  <c r="X39" i="34"/>
  <c r="S39" i="34"/>
  <c r="AW38" i="34"/>
  <c r="AR38" i="34"/>
  <c r="AM38" i="34"/>
  <c r="AH38" i="34"/>
  <c r="AC38" i="34"/>
  <c r="X38" i="34"/>
  <c r="S38" i="34"/>
  <c r="AW37" i="34"/>
  <c r="AR37" i="34"/>
  <c r="AM37" i="34"/>
  <c r="AH37" i="34"/>
  <c r="AC37" i="34"/>
  <c r="X37" i="34"/>
  <c r="S37" i="34"/>
  <c r="K37" i="34"/>
  <c r="J37" i="34"/>
  <c r="I37" i="34"/>
  <c r="AW36" i="34"/>
  <c r="AR36" i="34"/>
  <c r="AM36" i="34"/>
  <c r="AH36" i="34"/>
  <c r="AC36" i="34"/>
  <c r="X36" i="34"/>
  <c r="S36" i="34"/>
  <c r="K36" i="34"/>
  <c r="J36" i="34"/>
  <c r="I36" i="34"/>
  <c r="AW35" i="34"/>
  <c r="AR35" i="34"/>
  <c r="AM35" i="34"/>
  <c r="AH35" i="34"/>
  <c r="AC35" i="34"/>
  <c r="X35" i="34"/>
  <c r="S35" i="34"/>
  <c r="K35" i="34"/>
  <c r="J35" i="34"/>
  <c r="I35" i="34"/>
  <c r="AW34" i="34"/>
  <c r="AR34" i="34"/>
  <c r="AM34" i="34"/>
  <c r="AH34" i="34"/>
  <c r="AC34" i="34"/>
  <c r="X34" i="34"/>
  <c r="S34" i="34"/>
  <c r="K34" i="34"/>
  <c r="J34" i="34"/>
  <c r="I34" i="34"/>
  <c r="AW33" i="34"/>
  <c r="AR33" i="34"/>
  <c r="AM33" i="34"/>
  <c r="AH33" i="34"/>
  <c r="AC33" i="34"/>
  <c r="X33" i="34"/>
  <c r="S33" i="34"/>
  <c r="K33" i="34"/>
  <c r="J33" i="34"/>
  <c r="I33" i="34"/>
  <c r="AW32" i="34"/>
  <c r="AR32" i="34"/>
  <c r="AM32" i="34"/>
  <c r="AH32" i="34"/>
  <c r="AC32" i="34"/>
  <c r="X32" i="34"/>
  <c r="S32" i="34"/>
  <c r="K32" i="34"/>
  <c r="J32" i="34"/>
  <c r="I32" i="34"/>
  <c r="AW31" i="34"/>
  <c r="AR31" i="34"/>
  <c r="AM31" i="34"/>
  <c r="AH31" i="34"/>
  <c r="AC31" i="34"/>
  <c r="X31" i="34"/>
  <c r="S31" i="34"/>
  <c r="K31" i="34"/>
  <c r="J31" i="34"/>
  <c r="I31" i="34"/>
  <c r="AW30" i="34"/>
  <c r="AR30" i="34"/>
  <c r="AM30" i="34"/>
  <c r="AH30" i="34"/>
  <c r="AC30" i="34"/>
  <c r="X30" i="34"/>
  <c r="S30" i="34"/>
  <c r="K30" i="34"/>
  <c r="M31" i="34" s="1"/>
  <c r="J30" i="34"/>
  <c r="I30" i="34"/>
  <c r="AW29" i="34"/>
  <c r="AR29" i="34"/>
  <c r="AM29" i="34"/>
  <c r="AH29" i="34"/>
  <c r="AC29" i="34"/>
  <c r="X29" i="34"/>
  <c r="S29" i="34"/>
  <c r="K29" i="34"/>
  <c r="J29" i="34"/>
  <c r="I29" i="34"/>
  <c r="AW28" i="34"/>
  <c r="AR28" i="34"/>
  <c r="AM28" i="34"/>
  <c r="AH28" i="34"/>
  <c r="AC28" i="34"/>
  <c r="X28" i="34"/>
  <c r="S28" i="34"/>
  <c r="K28" i="34"/>
  <c r="J28" i="34"/>
  <c r="I28" i="34"/>
  <c r="AX27" i="34"/>
  <c r="AW27" i="34"/>
  <c r="AS27" i="34"/>
  <c r="AR27" i="34"/>
  <c r="AN27" i="34"/>
  <c r="AM27" i="34"/>
  <c r="AI27" i="34"/>
  <c r="AH27" i="34"/>
  <c r="AD27" i="34"/>
  <c r="AC27" i="34"/>
  <c r="Y27" i="34"/>
  <c r="X27" i="34"/>
  <c r="T27" i="34"/>
  <c r="S27" i="34"/>
  <c r="K27" i="34"/>
  <c r="J27" i="34"/>
  <c r="I27" i="34"/>
  <c r="H27" i="34"/>
  <c r="BB21" i="34"/>
  <c r="AW21" i="34"/>
  <c r="AR21" i="34"/>
  <c r="AM21" i="34"/>
  <c r="AH21" i="34"/>
  <c r="AC21" i="34"/>
  <c r="X21" i="34"/>
  <c r="S21" i="34"/>
  <c r="BB20" i="34"/>
  <c r="AW20" i="34"/>
  <c r="AR20" i="34"/>
  <c r="AM20" i="34"/>
  <c r="AH20" i="34"/>
  <c r="AC20" i="34"/>
  <c r="X20" i="34"/>
  <c r="S20" i="34"/>
  <c r="BB19" i="34"/>
  <c r="AW19" i="34"/>
  <c r="AR19" i="34"/>
  <c r="AM19" i="34"/>
  <c r="AH19" i="34"/>
  <c r="AC19" i="34"/>
  <c r="X19" i="34"/>
  <c r="S19" i="34"/>
  <c r="BB18" i="34"/>
  <c r="AW18" i="34"/>
  <c r="AR18" i="34"/>
  <c r="AM18" i="34"/>
  <c r="AH18" i="34"/>
  <c r="AC18" i="34"/>
  <c r="X18" i="34"/>
  <c r="S18" i="34"/>
  <c r="BB17" i="34"/>
  <c r="AW17" i="34"/>
  <c r="AR17" i="34"/>
  <c r="AM17" i="34"/>
  <c r="AH17" i="34"/>
  <c r="AC17" i="34"/>
  <c r="X17" i="34"/>
  <c r="S17" i="34"/>
  <c r="BB16" i="34"/>
  <c r="AW16" i="34"/>
  <c r="AR16" i="34"/>
  <c r="AM16" i="34"/>
  <c r="AH16" i="34"/>
  <c r="AC16" i="34"/>
  <c r="X16" i="34"/>
  <c r="S16" i="34"/>
  <c r="K16" i="34"/>
  <c r="J16" i="34"/>
  <c r="I16" i="34"/>
  <c r="BB15" i="34"/>
  <c r="AW15" i="34"/>
  <c r="AR15" i="34"/>
  <c r="AM15" i="34"/>
  <c r="AH15" i="34"/>
  <c r="AC15" i="34"/>
  <c r="X15" i="34"/>
  <c r="S15" i="34"/>
  <c r="K15" i="34"/>
  <c r="J15" i="34"/>
  <c r="I15" i="34"/>
  <c r="BB14" i="34"/>
  <c r="AW14" i="34"/>
  <c r="AR14" i="34"/>
  <c r="AM14" i="34"/>
  <c r="AH14" i="34"/>
  <c r="AC14" i="34"/>
  <c r="X14" i="34"/>
  <c r="S14" i="34"/>
  <c r="K14" i="34"/>
  <c r="J14" i="34"/>
  <c r="I14" i="34"/>
  <c r="BB13" i="34"/>
  <c r="AW13" i="34"/>
  <c r="AR13" i="34"/>
  <c r="AM13" i="34"/>
  <c r="AH13" i="34"/>
  <c r="AC13" i="34"/>
  <c r="X13" i="34"/>
  <c r="S13" i="34"/>
  <c r="K13" i="34"/>
  <c r="J13" i="34"/>
  <c r="I13" i="34"/>
  <c r="BB12" i="34"/>
  <c r="AW12" i="34"/>
  <c r="AR12" i="34"/>
  <c r="AM12" i="34"/>
  <c r="AH12" i="34"/>
  <c r="AC12" i="34"/>
  <c r="X12" i="34"/>
  <c r="S12" i="34"/>
  <c r="K12" i="34"/>
  <c r="J12" i="34"/>
  <c r="I12" i="34"/>
  <c r="BB11" i="34"/>
  <c r="AW11" i="34"/>
  <c r="AR11" i="34"/>
  <c r="AM11" i="34"/>
  <c r="AH11" i="34"/>
  <c r="AC11" i="34"/>
  <c r="X11" i="34"/>
  <c r="S11" i="34"/>
  <c r="K11" i="34"/>
  <c r="J11" i="34"/>
  <c r="I11" i="34"/>
  <c r="BB10" i="34"/>
  <c r="AW10" i="34"/>
  <c r="AR10" i="34"/>
  <c r="AM10" i="34"/>
  <c r="AH10" i="34"/>
  <c r="AC10" i="34"/>
  <c r="X10" i="34"/>
  <c r="S10" i="34"/>
  <c r="K10" i="34"/>
  <c r="J10" i="34"/>
  <c r="I10" i="34"/>
  <c r="BB9" i="34"/>
  <c r="AW9" i="34"/>
  <c r="AR9" i="34"/>
  <c r="AM9" i="34"/>
  <c r="AH9" i="34"/>
  <c r="AC9" i="34"/>
  <c r="X9" i="34"/>
  <c r="S9" i="34"/>
  <c r="K9" i="34"/>
  <c r="J9" i="34"/>
  <c r="I9" i="34"/>
  <c r="BB8" i="34"/>
  <c r="AW8" i="34"/>
  <c r="AR8" i="34"/>
  <c r="AM8" i="34"/>
  <c r="AH8" i="34"/>
  <c r="AC8" i="34"/>
  <c r="X8" i="34"/>
  <c r="S8" i="34"/>
  <c r="K8" i="34"/>
  <c r="J8" i="34"/>
  <c r="I8" i="34"/>
  <c r="BB7" i="34"/>
  <c r="AX7" i="34"/>
  <c r="AW7" i="34"/>
  <c r="AS7" i="34"/>
  <c r="AR7" i="34"/>
  <c r="AN7" i="34"/>
  <c r="AM7" i="34"/>
  <c r="AI7" i="34"/>
  <c r="AH7" i="34"/>
  <c r="AD7" i="34"/>
  <c r="AC7" i="34"/>
  <c r="Y7" i="34"/>
  <c r="X7" i="34"/>
  <c r="T7" i="34"/>
  <c r="S7" i="34"/>
  <c r="K7" i="34"/>
  <c r="J7" i="34"/>
  <c r="I7" i="34"/>
  <c r="H7" i="34"/>
  <c r="AT2" i="34"/>
  <c r="P22" i="34" s="1"/>
  <c r="K241" i="33"/>
  <c r="M241" i="33" s="1"/>
  <c r="J241" i="33"/>
  <c r="I241" i="33"/>
  <c r="K240" i="33"/>
  <c r="M240" i="33" s="1"/>
  <c r="J240" i="33"/>
  <c r="I240" i="33"/>
  <c r="K239" i="33"/>
  <c r="M239" i="33" s="1"/>
  <c r="J239" i="33"/>
  <c r="I239" i="33"/>
  <c r="K238" i="33"/>
  <c r="M238" i="33" s="1"/>
  <c r="J238" i="33"/>
  <c r="I238" i="33"/>
  <c r="K237" i="33"/>
  <c r="M237" i="33" s="1"/>
  <c r="J237" i="33"/>
  <c r="I237" i="33"/>
  <c r="K236" i="33"/>
  <c r="M236" i="33" s="1"/>
  <c r="J236" i="33"/>
  <c r="I236" i="33"/>
  <c r="K235" i="33"/>
  <c r="M235" i="33" s="1"/>
  <c r="J235" i="33"/>
  <c r="I235" i="33"/>
  <c r="K234" i="33"/>
  <c r="M234" i="33" s="1"/>
  <c r="J234" i="33"/>
  <c r="I234" i="33"/>
  <c r="K233" i="33"/>
  <c r="M233" i="33" s="1"/>
  <c r="J233" i="33"/>
  <c r="I233" i="33"/>
  <c r="K232" i="33"/>
  <c r="M232" i="33" s="1"/>
  <c r="J232" i="33"/>
  <c r="I232" i="33"/>
  <c r="K231" i="33"/>
  <c r="M231" i="33" s="1"/>
  <c r="J231" i="33"/>
  <c r="I231" i="33"/>
  <c r="K230" i="33"/>
  <c r="M230" i="33" s="1"/>
  <c r="J230" i="33"/>
  <c r="I230" i="33"/>
  <c r="K229" i="33"/>
  <c r="M229" i="33" s="1"/>
  <c r="J229" i="33"/>
  <c r="I229" i="33"/>
  <c r="K228" i="33"/>
  <c r="M228" i="33" s="1"/>
  <c r="J228" i="33"/>
  <c r="I228" i="33"/>
  <c r="K227" i="33"/>
  <c r="M227" i="33" s="1"/>
  <c r="J227" i="33"/>
  <c r="I227" i="33"/>
  <c r="K226" i="33"/>
  <c r="M226" i="33" s="1"/>
  <c r="J226" i="33"/>
  <c r="I226" i="33"/>
  <c r="K225" i="33"/>
  <c r="M225" i="33" s="1"/>
  <c r="J225" i="33"/>
  <c r="I225" i="33"/>
  <c r="K224" i="33"/>
  <c r="M224" i="33" s="1"/>
  <c r="J224" i="33"/>
  <c r="I224" i="33"/>
  <c r="K223" i="33"/>
  <c r="M223" i="33" s="1"/>
  <c r="J223" i="33"/>
  <c r="I223" i="33"/>
  <c r="K222" i="33"/>
  <c r="M222" i="33" s="1"/>
  <c r="J222" i="33"/>
  <c r="I222" i="33"/>
  <c r="K221" i="33"/>
  <c r="M221" i="33" s="1"/>
  <c r="J221" i="33"/>
  <c r="I221" i="33"/>
  <c r="K220" i="33"/>
  <c r="M220" i="33" s="1"/>
  <c r="J220" i="33"/>
  <c r="I220" i="33"/>
  <c r="K219" i="33"/>
  <c r="M219" i="33" s="1"/>
  <c r="J219" i="33"/>
  <c r="I219" i="33"/>
  <c r="K218" i="33"/>
  <c r="J218" i="33"/>
  <c r="I218" i="33"/>
  <c r="H218" i="33"/>
  <c r="AW211" i="33"/>
  <c r="AR211" i="33"/>
  <c r="AM211" i="33"/>
  <c r="AH211" i="33"/>
  <c r="AC211" i="33"/>
  <c r="X211" i="33"/>
  <c r="S211" i="33"/>
  <c r="AW210" i="33"/>
  <c r="AR210" i="33"/>
  <c r="AM210" i="33"/>
  <c r="AH210" i="33"/>
  <c r="AC210" i="33"/>
  <c r="X210" i="33"/>
  <c r="S210" i="33"/>
  <c r="AW209" i="33"/>
  <c r="AR209" i="33"/>
  <c r="AM209" i="33"/>
  <c r="AH209" i="33"/>
  <c r="AC209" i="33"/>
  <c r="X209" i="33"/>
  <c r="S209" i="33"/>
  <c r="AW208" i="33"/>
  <c r="AR208" i="33"/>
  <c r="AM208" i="33"/>
  <c r="AH208" i="33"/>
  <c r="AC208" i="33"/>
  <c r="X208" i="33"/>
  <c r="S208" i="33"/>
  <c r="AW207" i="33"/>
  <c r="AR207" i="33"/>
  <c r="AM207" i="33"/>
  <c r="AH207" i="33"/>
  <c r="AC207" i="33"/>
  <c r="X207" i="33"/>
  <c r="S207" i="33"/>
  <c r="AW206" i="33"/>
  <c r="AR206" i="33"/>
  <c r="AM206" i="33"/>
  <c r="AH206" i="33"/>
  <c r="AC206" i="33"/>
  <c r="X206" i="33"/>
  <c r="S206" i="33"/>
  <c r="AW205" i="33"/>
  <c r="AR205" i="33"/>
  <c r="AM205" i="33"/>
  <c r="AH205" i="33"/>
  <c r="AC205" i="33"/>
  <c r="X205" i="33"/>
  <c r="S205" i="33"/>
  <c r="K205" i="33"/>
  <c r="M205" i="33" s="1"/>
  <c r="J205" i="33"/>
  <c r="I205" i="33"/>
  <c r="AW204" i="33"/>
  <c r="AR204" i="33"/>
  <c r="AM204" i="33"/>
  <c r="AH204" i="33"/>
  <c r="AC204" i="33"/>
  <c r="X204" i="33"/>
  <c r="S204" i="33"/>
  <c r="K204" i="33"/>
  <c r="M204" i="33" s="1"/>
  <c r="J204" i="33"/>
  <c r="I204" i="33"/>
  <c r="AW203" i="33"/>
  <c r="AR203" i="33"/>
  <c r="AM203" i="33"/>
  <c r="AH203" i="33"/>
  <c r="AC203" i="33"/>
  <c r="X203" i="33"/>
  <c r="S203" i="33"/>
  <c r="K203" i="33"/>
  <c r="M203" i="33" s="1"/>
  <c r="J203" i="33"/>
  <c r="I203" i="33"/>
  <c r="AW202" i="33"/>
  <c r="AR202" i="33"/>
  <c r="AM202" i="33"/>
  <c r="AH202" i="33"/>
  <c r="AC202" i="33"/>
  <c r="X202" i="33"/>
  <c r="S202" i="33"/>
  <c r="K202" i="33"/>
  <c r="M202" i="33" s="1"/>
  <c r="J202" i="33"/>
  <c r="I202" i="33"/>
  <c r="AW201" i="33"/>
  <c r="AR201" i="33"/>
  <c r="AM201" i="33"/>
  <c r="AH201" i="33"/>
  <c r="AC201" i="33"/>
  <c r="X201" i="33"/>
  <c r="S201" i="33"/>
  <c r="K201" i="33"/>
  <c r="M201" i="33" s="1"/>
  <c r="J201" i="33"/>
  <c r="I201" i="33"/>
  <c r="AW200" i="33"/>
  <c r="AR200" i="33"/>
  <c r="AM200" i="33"/>
  <c r="AH200" i="33"/>
  <c r="AC200" i="33"/>
  <c r="X200" i="33"/>
  <c r="S200" i="33"/>
  <c r="K200" i="33"/>
  <c r="M200" i="33" s="1"/>
  <c r="J200" i="33"/>
  <c r="I200" i="33"/>
  <c r="AW199" i="33"/>
  <c r="AR199" i="33"/>
  <c r="AM199" i="33"/>
  <c r="AH199" i="33"/>
  <c r="AC199" i="33"/>
  <c r="X199" i="33"/>
  <c r="S199" i="33"/>
  <c r="K199" i="33"/>
  <c r="M199" i="33" s="1"/>
  <c r="J199" i="33"/>
  <c r="I199" i="33"/>
  <c r="AW198" i="33"/>
  <c r="AR198" i="33"/>
  <c r="AM198" i="33"/>
  <c r="AH198" i="33"/>
  <c r="AC198" i="33"/>
  <c r="X198" i="33"/>
  <c r="S198" i="33"/>
  <c r="K198" i="33"/>
  <c r="M198" i="33" s="1"/>
  <c r="J198" i="33"/>
  <c r="I198" i="33"/>
  <c r="AW197" i="33"/>
  <c r="AR197" i="33"/>
  <c r="AM197" i="33"/>
  <c r="AH197" i="33"/>
  <c r="AC197" i="33"/>
  <c r="X197" i="33"/>
  <c r="S197" i="33"/>
  <c r="K197" i="33"/>
  <c r="M197" i="33" s="1"/>
  <c r="J197" i="33"/>
  <c r="I197" i="33"/>
  <c r="AW196" i="33"/>
  <c r="AR196" i="33"/>
  <c r="AM196" i="33"/>
  <c r="AH196" i="33"/>
  <c r="AC196" i="33"/>
  <c r="X196" i="33"/>
  <c r="S196" i="33"/>
  <c r="K196" i="33"/>
  <c r="M196" i="33" s="1"/>
  <c r="J196" i="33"/>
  <c r="I196" i="33"/>
  <c r="AW195" i="33"/>
  <c r="AR195" i="33"/>
  <c r="AM195" i="33"/>
  <c r="AH195" i="33"/>
  <c r="AC195" i="33"/>
  <c r="X195" i="33"/>
  <c r="S195" i="33"/>
  <c r="K195" i="33"/>
  <c r="M195" i="33" s="1"/>
  <c r="J195" i="33"/>
  <c r="I195" i="33"/>
  <c r="AW194" i="33"/>
  <c r="AR194" i="33"/>
  <c r="AM194" i="33"/>
  <c r="AH194" i="33"/>
  <c r="AC194" i="33"/>
  <c r="X194" i="33"/>
  <c r="S194" i="33"/>
  <c r="K194" i="33"/>
  <c r="M194" i="33" s="1"/>
  <c r="J194" i="33"/>
  <c r="I194" i="33"/>
  <c r="AW193" i="33"/>
  <c r="AR193" i="33"/>
  <c r="AM193" i="33"/>
  <c r="AH193" i="33"/>
  <c r="AC193" i="33"/>
  <c r="X193" i="33"/>
  <c r="S193" i="33"/>
  <c r="K193" i="33"/>
  <c r="M193" i="33" s="1"/>
  <c r="J193" i="33"/>
  <c r="I193" i="33"/>
  <c r="AW192" i="33"/>
  <c r="AR192" i="33"/>
  <c r="AM192" i="33"/>
  <c r="AH192" i="33"/>
  <c r="AC192" i="33"/>
  <c r="X192" i="33"/>
  <c r="S192" i="33"/>
  <c r="K192" i="33"/>
  <c r="M192" i="33" s="1"/>
  <c r="J192" i="33"/>
  <c r="I192" i="33"/>
  <c r="AW191" i="33"/>
  <c r="AR191" i="33"/>
  <c r="AM191" i="33"/>
  <c r="AH191" i="33"/>
  <c r="AC191" i="33"/>
  <c r="X191" i="33"/>
  <c r="S191" i="33"/>
  <c r="K191" i="33"/>
  <c r="M191" i="33" s="1"/>
  <c r="J191" i="33"/>
  <c r="I191" i="33"/>
  <c r="AW190" i="33"/>
  <c r="AR190" i="33"/>
  <c r="AM190" i="33"/>
  <c r="AH190" i="33"/>
  <c r="AC190" i="33"/>
  <c r="X190" i="33"/>
  <c r="S190" i="33"/>
  <c r="K190" i="33"/>
  <c r="M190" i="33" s="1"/>
  <c r="J190" i="33"/>
  <c r="I190" i="33"/>
  <c r="AW189" i="33"/>
  <c r="AR189" i="33"/>
  <c r="AM189" i="33"/>
  <c r="AH189" i="33"/>
  <c r="AC189" i="33"/>
  <c r="X189" i="33"/>
  <c r="S189" i="33"/>
  <c r="K189" i="33"/>
  <c r="M189" i="33" s="1"/>
  <c r="J189" i="33"/>
  <c r="I189" i="33"/>
  <c r="AW188" i="33"/>
  <c r="AR188" i="33"/>
  <c r="AM188" i="33"/>
  <c r="AH188" i="33"/>
  <c r="AC188" i="33"/>
  <c r="X188" i="33"/>
  <c r="S188" i="33"/>
  <c r="K188" i="33"/>
  <c r="M188" i="33" s="1"/>
  <c r="J188" i="33"/>
  <c r="I188" i="33"/>
  <c r="AW187" i="33"/>
  <c r="AR187" i="33"/>
  <c r="AM187" i="33"/>
  <c r="AH187" i="33"/>
  <c r="AC187" i="33"/>
  <c r="X187" i="33"/>
  <c r="S187" i="33"/>
  <c r="K187" i="33"/>
  <c r="M187" i="33" s="1"/>
  <c r="J187" i="33"/>
  <c r="I187" i="33"/>
  <c r="AW186" i="33"/>
  <c r="AR186" i="33"/>
  <c r="AM186" i="33"/>
  <c r="AH186" i="33"/>
  <c r="AC186" i="33"/>
  <c r="X186" i="33"/>
  <c r="S186" i="33"/>
  <c r="K186" i="33"/>
  <c r="M186" i="33" s="1"/>
  <c r="J186" i="33"/>
  <c r="I186" i="33"/>
  <c r="AW185" i="33"/>
  <c r="AR185" i="33"/>
  <c r="AM185" i="33"/>
  <c r="AH185" i="33"/>
  <c r="AC185" i="33"/>
  <c r="X185" i="33"/>
  <c r="S185" i="33"/>
  <c r="K185" i="33"/>
  <c r="M185" i="33" s="1"/>
  <c r="J185" i="33"/>
  <c r="I185" i="33"/>
  <c r="AW184" i="33"/>
  <c r="AR184" i="33"/>
  <c r="AM184" i="33"/>
  <c r="AH184" i="33"/>
  <c r="AC184" i="33"/>
  <c r="X184" i="33"/>
  <c r="S184" i="33"/>
  <c r="K184" i="33"/>
  <c r="M184" i="33" s="1"/>
  <c r="J184" i="33"/>
  <c r="I184" i="33"/>
  <c r="AW183" i="33"/>
  <c r="AR183" i="33"/>
  <c r="AM183" i="33"/>
  <c r="AH183" i="33"/>
  <c r="AC183" i="33"/>
  <c r="X183" i="33"/>
  <c r="S183" i="33"/>
  <c r="K183" i="33"/>
  <c r="M183" i="33" s="1"/>
  <c r="J183" i="33"/>
  <c r="I183" i="33"/>
  <c r="AX182" i="33"/>
  <c r="AW182" i="33"/>
  <c r="AS182" i="33"/>
  <c r="AR182" i="33"/>
  <c r="AN182" i="33"/>
  <c r="AM182" i="33"/>
  <c r="AI182" i="33"/>
  <c r="AH182" i="33"/>
  <c r="AD182" i="33"/>
  <c r="AC182" i="33"/>
  <c r="Y182" i="33"/>
  <c r="X182" i="33"/>
  <c r="T182" i="33"/>
  <c r="S182" i="33"/>
  <c r="K182" i="33"/>
  <c r="M182" i="33" s="1"/>
  <c r="J182" i="33"/>
  <c r="I182" i="33"/>
  <c r="H182" i="33"/>
  <c r="AW176" i="33"/>
  <c r="AR176" i="33"/>
  <c r="AM176" i="33"/>
  <c r="AH176" i="33"/>
  <c r="AC176" i="33"/>
  <c r="X176" i="33"/>
  <c r="S176" i="33"/>
  <c r="K176" i="33"/>
  <c r="J176" i="33"/>
  <c r="I176" i="33"/>
  <c r="AW175" i="33"/>
  <c r="AR175" i="33"/>
  <c r="AM175" i="33"/>
  <c r="AH175" i="33"/>
  <c r="AC175" i="33"/>
  <c r="X175" i="33"/>
  <c r="S175" i="33"/>
  <c r="K175" i="33"/>
  <c r="J175" i="33"/>
  <c r="I175" i="33"/>
  <c r="AW174" i="33"/>
  <c r="AR174" i="33"/>
  <c r="AM174" i="33"/>
  <c r="AH174" i="33"/>
  <c r="AC174" i="33"/>
  <c r="X174" i="33"/>
  <c r="S174" i="33"/>
  <c r="K174" i="33"/>
  <c r="J174" i="33"/>
  <c r="I174" i="33"/>
  <c r="AW173" i="33"/>
  <c r="AR173" i="33"/>
  <c r="AM173" i="33"/>
  <c r="AH173" i="33"/>
  <c r="AC173" i="33"/>
  <c r="X173" i="33"/>
  <c r="S173" i="33"/>
  <c r="K173" i="33"/>
  <c r="J173" i="33"/>
  <c r="I173" i="33"/>
  <c r="AW172" i="33"/>
  <c r="AR172" i="33"/>
  <c r="AM172" i="33"/>
  <c r="AH172" i="33"/>
  <c r="AC172" i="33"/>
  <c r="X172" i="33"/>
  <c r="S172" i="33"/>
  <c r="K172" i="33"/>
  <c r="J172" i="33"/>
  <c r="I172" i="33"/>
  <c r="AW171" i="33"/>
  <c r="AR171" i="33"/>
  <c r="AM171" i="33"/>
  <c r="AH171" i="33"/>
  <c r="AC171" i="33"/>
  <c r="X171" i="33"/>
  <c r="S171" i="33"/>
  <c r="K171" i="33"/>
  <c r="J171" i="33"/>
  <c r="I171" i="33"/>
  <c r="AW170" i="33"/>
  <c r="AR170" i="33"/>
  <c r="AM170" i="33"/>
  <c r="AH170" i="33"/>
  <c r="AC170" i="33"/>
  <c r="X170" i="33"/>
  <c r="S170" i="33"/>
  <c r="K170" i="33"/>
  <c r="J170" i="33"/>
  <c r="I170" i="33"/>
  <c r="AW169" i="33"/>
  <c r="AR169" i="33"/>
  <c r="AM169" i="33"/>
  <c r="AH169" i="33"/>
  <c r="AC169" i="33"/>
  <c r="X169" i="33"/>
  <c r="S169" i="33"/>
  <c r="K169" i="33"/>
  <c r="J169" i="33"/>
  <c r="I169" i="33"/>
  <c r="AW168" i="33"/>
  <c r="AR168" i="33"/>
  <c r="AM168" i="33"/>
  <c r="AH168" i="33"/>
  <c r="AC168" i="33"/>
  <c r="X168" i="33"/>
  <c r="S168" i="33"/>
  <c r="K168" i="33"/>
  <c r="J168" i="33"/>
  <c r="I168" i="33"/>
  <c r="AW167" i="33"/>
  <c r="AR167" i="33"/>
  <c r="AM167" i="33"/>
  <c r="AH167" i="33"/>
  <c r="AC167" i="33"/>
  <c r="X167" i="33"/>
  <c r="S167" i="33"/>
  <c r="K167" i="33"/>
  <c r="J167" i="33"/>
  <c r="I167" i="33"/>
  <c r="AW166" i="33"/>
  <c r="AR166" i="33"/>
  <c r="AM166" i="33"/>
  <c r="AH166" i="33"/>
  <c r="AC166" i="33"/>
  <c r="X166" i="33"/>
  <c r="S166" i="33"/>
  <c r="K166" i="33"/>
  <c r="J166" i="33"/>
  <c r="I166" i="33"/>
  <c r="AW165" i="33"/>
  <c r="AR165" i="33"/>
  <c r="AM165" i="33"/>
  <c r="AH165" i="33"/>
  <c r="AC165" i="33"/>
  <c r="X165" i="33"/>
  <c r="S165" i="33"/>
  <c r="K165" i="33"/>
  <c r="J165" i="33"/>
  <c r="I165" i="33"/>
  <c r="AW164" i="33"/>
  <c r="AR164" i="33"/>
  <c r="AM164" i="33"/>
  <c r="AH164" i="33"/>
  <c r="AC164" i="33"/>
  <c r="X164" i="33"/>
  <c r="S164" i="33"/>
  <c r="K164" i="33"/>
  <c r="J164" i="33"/>
  <c r="I164" i="33"/>
  <c r="AW163" i="33"/>
  <c r="AR163" i="33"/>
  <c r="AM163" i="33"/>
  <c r="AH163" i="33"/>
  <c r="AC163" i="33"/>
  <c r="X163" i="33"/>
  <c r="S163" i="33"/>
  <c r="K163" i="33"/>
  <c r="J163" i="33"/>
  <c r="I163" i="33"/>
  <c r="AW162" i="33"/>
  <c r="AR162" i="33"/>
  <c r="AM162" i="33"/>
  <c r="AH162" i="33"/>
  <c r="AC162" i="33"/>
  <c r="X162" i="33"/>
  <c r="S162" i="33"/>
  <c r="K162" i="33"/>
  <c r="J162" i="33"/>
  <c r="I162" i="33"/>
  <c r="AW161" i="33"/>
  <c r="AR161" i="33"/>
  <c r="AM161" i="33"/>
  <c r="AH161" i="33"/>
  <c r="AC161" i="33"/>
  <c r="X161" i="33"/>
  <c r="S161" i="33"/>
  <c r="K161" i="33"/>
  <c r="J161" i="33"/>
  <c r="I161" i="33"/>
  <c r="AW160" i="33"/>
  <c r="AR160" i="33"/>
  <c r="AM160" i="33"/>
  <c r="AH160" i="33"/>
  <c r="AC160" i="33"/>
  <c r="X160" i="33"/>
  <c r="S160" i="33"/>
  <c r="K160" i="33"/>
  <c r="J160" i="33"/>
  <c r="I160" i="33"/>
  <c r="AW159" i="33"/>
  <c r="AR159" i="33"/>
  <c r="AM159" i="33"/>
  <c r="AH159" i="33"/>
  <c r="AC159" i="33"/>
  <c r="X159" i="33"/>
  <c r="S159" i="33"/>
  <c r="K159" i="33"/>
  <c r="J159" i="33"/>
  <c r="I159" i="33"/>
  <c r="AW158" i="33"/>
  <c r="AR158" i="33"/>
  <c r="AM158" i="33"/>
  <c r="AH158" i="33"/>
  <c r="AC158" i="33"/>
  <c r="X158" i="33"/>
  <c r="S158" i="33"/>
  <c r="K158" i="33"/>
  <c r="J158" i="33"/>
  <c r="I158" i="33"/>
  <c r="AW157" i="33"/>
  <c r="AR157" i="33"/>
  <c r="AM157" i="33"/>
  <c r="AH157" i="33"/>
  <c r="AC157" i="33"/>
  <c r="X157" i="33"/>
  <c r="S157" i="33"/>
  <c r="K157" i="33"/>
  <c r="J157" i="33"/>
  <c r="I157" i="33"/>
  <c r="AW156" i="33"/>
  <c r="AR156" i="33"/>
  <c r="AM156" i="33"/>
  <c r="AH156" i="33"/>
  <c r="AC156" i="33"/>
  <c r="X156" i="33"/>
  <c r="S156" i="33"/>
  <c r="K156" i="33"/>
  <c r="J156" i="33"/>
  <c r="I156" i="33"/>
  <c r="AW155" i="33"/>
  <c r="AR155" i="33"/>
  <c r="AM155" i="33"/>
  <c r="AH155" i="33"/>
  <c r="AC155" i="33"/>
  <c r="X155" i="33"/>
  <c r="S155" i="33"/>
  <c r="K155" i="33"/>
  <c r="J155" i="33"/>
  <c r="I155" i="33"/>
  <c r="AW154" i="33"/>
  <c r="AR154" i="33"/>
  <c r="AM154" i="33"/>
  <c r="AH154" i="33"/>
  <c r="AC154" i="33"/>
  <c r="X154" i="33"/>
  <c r="S154" i="33"/>
  <c r="K154" i="33"/>
  <c r="J154" i="33"/>
  <c r="I154" i="33"/>
  <c r="AW153" i="33"/>
  <c r="AR153" i="33"/>
  <c r="AM153" i="33"/>
  <c r="AH153" i="33"/>
  <c r="AC153" i="33"/>
  <c r="X153" i="33"/>
  <c r="S153" i="33"/>
  <c r="K153" i="33"/>
  <c r="J153" i="33"/>
  <c r="I153" i="33"/>
  <c r="AW152" i="33"/>
  <c r="AR152" i="33"/>
  <c r="AM152" i="33"/>
  <c r="AH152" i="33"/>
  <c r="AC152" i="33"/>
  <c r="X152" i="33"/>
  <c r="S152" i="33"/>
  <c r="K152" i="33"/>
  <c r="J152" i="33"/>
  <c r="I152" i="33"/>
  <c r="AW151" i="33"/>
  <c r="AR151" i="33"/>
  <c r="AM151" i="33"/>
  <c r="AH151" i="33"/>
  <c r="AC151" i="33"/>
  <c r="X151" i="33"/>
  <c r="S151" i="33"/>
  <c r="K151" i="33"/>
  <c r="J151" i="33"/>
  <c r="I151" i="33"/>
  <c r="AW150" i="33"/>
  <c r="AR150" i="33"/>
  <c r="AM150" i="33"/>
  <c r="AH150" i="33"/>
  <c r="AC150" i="33"/>
  <c r="X150" i="33"/>
  <c r="S150" i="33"/>
  <c r="K150" i="33"/>
  <c r="J150" i="33"/>
  <c r="I150" i="33"/>
  <c r="AW149" i="33"/>
  <c r="AR149" i="33"/>
  <c r="AM149" i="33"/>
  <c r="AH149" i="33"/>
  <c r="AC149" i="33"/>
  <c r="X149" i="33"/>
  <c r="S149" i="33"/>
  <c r="K149" i="33"/>
  <c r="J149" i="33"/>
  <c r="I149" i="33"/>
  <c r="AW148" i="33"/>
  <c r="AR148" i="33"/>
  <c r="AM148" i="33"/>
  <c r="AH148" i="33"/>
  <c r="AC148" i="33"/>
  <c r="X148" i="33"/>
  <c r="S148" i="33"/>
  <c r="K148" i="33"/>
  <c r="J148" i="33"/>
  <c r="I148" i="33"/>
  <c r="AX147" i="33"/>
  <c r="AW147" i="33"/>
  <c r="AS147" i="33"/>
  <c r="AR147" i="33"/>
  <c r="AN147" i="33"/>
  <c r="AM147" i="33"/>
  <c r="AI147" i="33"/>
  <c r="AH147" i="33"/>
  <c r="AD147" i="33"/>
  <c r="AC147" i="33"/>
  <c r="Y147" i="33"/>
  <c r="X147" i="33"/>
  <c r="T147" i="33"/>
  <c r="S147" i="33"/>
  <c r="K147" i="33"/>
  <c r="J147" i="33"/>
  <c r="I147" i="33"/>
  <c r="H147" i="33"/>
  <c r="AW141" i="33"/>
  <c r="AR141" i="33"/>
  <c r="AM141" i="33"/>
  <c r="AH141" i="33"/>
  <c r="AC141" i="33"/>
  <c r="X141" i="33"/>
  <c r="S141" i="33"/>
  <c r="AW140" i="33"/>
  <c r="AR140" i="33"/>
  <c r="AM140" i="33"/>
  <c r="AH140" i="33"/>
  <c r="AC140" i="33"/>
  <c r="X140" i="33"/>
  <c r="S140" i="33"/>
  <c r="AW139" i="33"/>
  <c r="AR139" i="33"/>
  <c r="AM139" i="33"/>
  <c r="AH139" i="33"/>
  <c r="AC139" i="33"/>
  <c r="X139" i="33"/>
  <c r="S139" i="33"/>
  <c r="AW138" i="33"/>
  <c r="AR138" i="33"/>
  <c r="AM138" i="33"/>
  <c r="AH138" i="33"/>
  <c r="AC138" i="33"/>
  <c r="X138" i="33"/>
  <c r="S138" i="33"/>
  <c r="K138" i="33"/>
  <c r="J138" i="33"/>
  <c r="I138" i="33"/>
  <c r="AW137" i="33"/>
  <c r="AR137" i="33"/>
  <c r="AM137" i="33"/>
  <c r="AH137" i="33"/>
  <c r="AC137" i="33"/>
  <c r="X137" i="33"/>
  <c r="S137" i="33"/>
  <c r="K137" i="33"/>
  <c r="J137" i="33"/>
  <c r="I137" i="33"/>
  <c r="AW136" i="33"/>
  <c r="AR136" i="33"/>
  <c r="AM136" i="33"/>
  <c r="AH136" i="33"/>
  <c r="AC136" i="33"/>
  <c r="X136" i="33"/>
  <c r="S136" i="33"/>
  <c r="K136" i="33"/>
  <c r="J136" i="33"/>
  <c r="I136" i="33"/>
  <c r="AW135" i="33"/>
  <c r="AR135" i="33"/>
  <c r="AM135" i="33"/>
  <c r="AH135" i="33"/>
  <c r="AC135" i="33"/>
  <c r="X135" i="33"/>
  <c r="S135" i="33"/>
  <c r="K135" i="33"/>
  <c r="J135" i="33"/>
  <c r="I135" i="33"/>
  <c r="AW134" i="33"/>
  <c r="AR134" i="33"/>
  <c r="AM134" i="33"/>
  <c r="AH134" i="33"/>
  <c r="AC134" i="33"/>
  <c r="X134" i="33"/>
  <c r="S134" i="33"/>
  <c r="K134" i="33"/>
  <c r="J134" i="33"/>
  <c r="I134" i="33"/>
  <c r="AW133" i="33"/>
  <c r="AR133" i="33"/>
  <c r="AM133" i="33"/>
  <c r="AH133" i="33"/>
  <c r="AC133" i="33"/>
  <c r="X133" i="33"/>
  <c r="S133" i="33"/>
  <c r="K133" i="33"/>
  <c r="J133" i="33"/>
  <c r="I133" i="33"/>
  <c r="AW132" i="33"/>
  <c r="AR132" i="33"/>
  <c r="AM132" i="33"/>
  <c r="AH132" i="33"/>
  <c r="AC132" i="33"/>
  <c r="X132" i="33"/>
  <c r="S132" i="33"/>
  <c r="K132" i="33"/>
  <c r="J132" i="33"/>
  <c r="I132" i="33"/>
  <c r="AW131" i="33"/>
  <c r="AR131" i="33"/>
  <c r="AM131" i="33"/>
  <c r="AH131" i="33"/>
  <c r="AC131" i="33"/>
  <c r="X131" i="33"/>
  <c r="S131" i="33"/>
  <c r="K131" i="33"/>
  <c r="J131" i="33"/>
  <c r="I131" i="33"/>
  <c r="AW130" i="33"/>
  <c r="AR130" i="33"/>
  <c r="AM130" i="33"/>
  <c r="AH130" i="33"/>
  <c r="AC130" i="33"/>
  <c r="X130" i="33"/>
  <c r="S130" i="33"/>
  <c r="K130" i="33"/>
  <c r="J130" i="33"/>
  <c r="I130" i="33"/>
  <c r="AW129" i="33"/>
  <c r="AR129" i="33"/>
  <c r="AM129" i="33"/>
  <c r="AH129" i="33"/>
  <c r="AC129" i="33"/>
  <c r="X129" i="33"/>
  <c r="S129" i="33"/>
  <c r="K129" i="33"/>
  <c r="J129" i="33"/>
  <c r="I129" i="33"/>
  <c r="AW128" i="33"/>
  <c r="AR128" i="33"/>
  <c r="AM128" i="33"/>
  <c r="AH128" i="33"/>
  <c r="AC128" i="33"/>
  <c r="X128" i="33"/>
  <c r="S128" i="33"/>
  <c r="K128" i="33"/>
  <c r="J128" i="33"/>
  <c r="I128" i="33"/>
  <c r="AW127" i="33"/>
  <c r="AR127" i="33"/>
  <c r="AM127" i="33"/>
  <c r="AH127" i="33"/>
  <c r="AC127" i="33"/>
  <c r="X127" i="33"/>
  <c r="S127" i="33"/>
  <c r="K127" i="33"/>
  <c r="J127" i="33"/>
  <c r="I127" i="33"/>
  <c r="AW126" i="33"/>
  <c r="AR126" i="33"/>
  <c r="AM126" i="33"/>
  <c r="AH126" i="33"/>
  <c r="AC126" i="33"/>
  <c r="X126" i="33"/>
  <c r="S126" i="33"/>
  <c r="K126" i="33"/>
  <c r="J126" i="33"/>
  <c r="I126" i="33"/>
  <c r="AW125" i="33"/>
  <c r="AR125" i="33"/>
  <c r="AM125" i="33"/>
  <c r="AH125" i="33"/>
  <c r="AC125" i="33"/>
  <c r="X125" i="33"/>
  <c r="S125" i="33"/>
  <c r="K125" i="33"/>
  <c r="J125" i="33"/>
  <c r="I125" i="33"/>
  <c r="AW124" i="33"/>
  <c r="AR124" i="33"/>
  <c r="AM124" i="33"/>
  <c r="AH124" i="33"/>
  <c r="AC124" i="33"/>
  <c r="X124" i="33"/>
  <c r="S124" i="33"/>
  <c r="K124" i="33"/>
  <c r="J124" i="33"/>
  <c r="I124" i="33"/>
  <c r="AW123" i="33"/>
  <c r="AR123" i="33"/>
  <c r="AM123" i="33"/>
  <c r="AH123" i="33"/>
  <c r="AC123" i="33"/>
  <c r="X123" i="33"/>
  <c r="S123" i="33"/>
  <c r="K123" i="33"/>
  <c r="J123" i="33"/>
  <c r="I123" i="33"/>
  <c r="AW122" i="33"/>
  <c r="AR122" i="33"/>
  <c r="AM122" i="33"/>
  <c r="AH122" i="33"/>
  <c r="AC122" i="33"/>
  <c r="X122" i="33"/>
  <c r="S122" i="33"/>
  <c r="K122" i="33"/>
  <c r="J122" i="33"/>
  <c r="I122" i="33"/>
  <c r="AW121" i="33"/>
  <c r="AR121" i="33"/>
  <c r="AM121" i="33"/>
  <c r="AH121" i="33"/>
  <c r="AC121" i="33"/>
  <c r="X121" i="33"/>
  <c r="S121" i="33"/>
  <c r="K121" i="33"/>
  <c r="J121" i="33"/>
  <c r="I121" i="33"/>
  <c r="AW120" i="33"/>
  <c r="AR120" i="33"/>
  <c r="AM120" i="33"/>
  <c r="AH120" i="33"/>
  <c r="AC120" i="33"/>
  <c r="X120" i="33"/>
  <c r="S120" i="33"/>
  <c r="K120" i="33"/>
  <c r="J120" i="33"/>
  <c r="I120" i="33"/>
  <c r="AW119" i="33"/>
  <c r="AR119" i="33"/>
  <c r="AM119" i="33"/>
  <c r="AH119" i="33"/>
  <c r="AC119" i="33"/>
  <c r="X119" i="33"/>
  <c r="S119" i="33"/>
  <c r="K119" i="33"/>
  <c r="J119" i="33"/>
  <c r="I119" i="33"/>
  <c r="AW118" i="33"/>
  <c r="AR118" i="33"/>
  <c r="AM118" i="33"/>
  <c r="AH118" i="33"/>
  <c r="AC118" i="33"/>
  <c r="X118" i="33"/>
  <c r="S118" i="33"/>
  <c r="K118" i="33"/>
  <c r="J118" i="33"/>
  <c r="I118" i="33"/>
  <c r="AW117" i="33"/>
  <c r="AR117" i="33"/>
  <c r="AM117" i="33"/>
  <c r="AH117" i="33"/>
  <c r="AC117" i="33"/>
  <c r="X117" i="33"/>
  <c r="S117" i="33"/>
  <c r="K117" i="33"/>
  <c r="J117" i="33"/>
  <c r="I117" i="33"/>
  <c r="AW116" i="33"/>
  <c r="AR116" i="33"/>
  <c r="AM116" i="33"/>
  <c r="AH116" i="33"/>
  <c r="AC116" i="33"/>
  <c r="X116" i="33"/>
  <c r="S116" i="33"/>
  <c r="K116" i="33"/>
  <c r="J116" i="33"/>
  <c r="I116" i="33"/>
  <c r="AW115" i="33"/>
  <c r="AR115" i="33"/>
  <c r="AM115" i="33"/>
  <c r="AH115" i="33"/>
  <c r="AC115" i="33"/>
  <c r="X115" i="33"/>
  <c r="S115" i="33"/>
  <c r="K115" i="33"/>
  <c r="J115" i="33"/>
  <c r="I115" i="33"/>
  <c r="AW114" i="33"/>
  <c r="AR114" i="33"/>
  <c r="AM114" i="33"/>
  <c r="AH114" i="33"/>
  <c r="AC114" i="33"/>
  <c r="X114" i="33"/>
  <c r="S114" i="33"/>
  <c r="K114" i="33"/>
  <c r="J114" i="33"/>
  <c r="I114" i="33"/>
  <c r="AW113" i="33"/>
  <c r="AR113" i="33"/>
  <c r="AM113" i="33"/>
  <c r="AH113" i="33"/>
  <c r="AC113" i="33"/>
  <c r="X113" i="33"/>
  <c r="S113" i="33"/>
  <c r="K113" i="33"/>
  <c r="J113" i="33"/>
  <c r="I113" i="33"/>
  <c r="AX112" i="33"/>
  <c r="AW112" i="33"/>
  <c r="AS112" i="33"/>
  <c r="AR112" i="33"/>
  <c r="AN112" i="33"/>
  <c r="AM112" i="33"/>
  <c r="AI112" i="33"/>
  <c r="AH112" i="33"/>
  <c r="AD112" i="33"/>
  <c r="AC112" i="33"/>
  <c r="Y112" i="33"/>
  <c r="X112" i="33"/>
  <c r="T112" i="33"/>
  <c r="S112" i="33"/>
  <c r="K112" i="33"/>
  <c r="J112" i="33"/>
  <c r="I112" i="33"/>
  <c r="H112" i="33"/>
  <c r="AW106" i="33"/>
  <c r="AR106" i="33"/>
  <c r="AM106" i="33"/>
  <c r="AH106" i="33"/>
  <c r="AC106" i="33"/>
  <c r="X106" i="33"/>
  <c r="S106" i="33"/>
  <c r="K106" i="33"/>
  <c r="J106" i="33"/>
  <c r="I106" i="33"/>
  <c r="AW105" i="33"/>
  <c r="AR105" i="33"/>
  <c r="AM105" i="33"/>
  <c r="AH105" i="33"/>
  <c r="AC105" i="33"/>
  <c r="X105" i="33"/>
  <c r="S105" i="33"/>
  <c r="K105" i="33"/>
  <c r="J105" i="33"/>
  <c r="I105" i="33"/>
  <c r="AW104" i="33"/>
  <c r="AR104" i="33"/>
  <c r="AM104" i="33"/>
  <c r="AH104" i="33"/>
  <c r="AC104" i="33"/>
  <c r="X104" i="33"/>
  <c r="S104" i="33"/>
  <c r="K104" i="33"/>
  <c r="J104" i="33"/>
  <c r="I104" i="33"/>
  <c r="AW103" i="33"/>
  <c r="AR103" i="33"/>
  <c r="AM103" i="33"/>
  <c r="AH103" i="33"/>
  <c r="AC103" i="33"/>
  <c r="X103" i="33"/>
  <c r="S103" i="33"/>
  <c r="K103" i="33"/>
  <c r="J103" i="33"/>
  <c r="I103" i="33"/>
  <c r="AW102" i="33"/>
  <c r="AR102" i="33"/>
  <c r="AM102" i="33"/>
  <c r="AH102" i="33"/>
  <c r="AC102" i="33"/>
  <c r="X102" i="33"/>
  <c r="S102" i="33"/>
  <c r="K102" i="33"/>
  <c r="J102" i="33"/>
  <c r="I102" i="33"/>
  <c r="AW101" i="33"/>
  <c r="AR101" i="33"/>
  <c r="AM101" i="33"/>
  <c r="AH101" i="33"/>
  <c r="AC101" i="33"/>
  <c r="X101" i="33"/>
  <c r="S101" i="33"/>
  <c r="K101" i="33"/>
  <c r="J101" i="33"/>
  <c r="I101" i="33"/>
  <c r="AW100" i="33"/>
  <c r="AR100" i="33"/>
  <c r="AM100" i="33"/>
  <c r="AH100" i="33"/>
  <c r="AC100" i="33"/>
  <c r="X100" i="33"/>
  <c r="S100" i="33"/>
  <c r="K100" i="33"/>
  <c r="J100" i="33"/>
  <c r="I100" i="33"/>
  <c r="AW99" i="33"/>
  <c r="AR99" i="33"/>
  <c r="AM99" i="33"/>
  <c r="AH99" i="33"/>
  <c r="AC99" i="33"/>
  <c r="X99" i="33"/>
  <c r="S99" i="33"/>
  <c r="K99" i="33"/>
  <c r="J99" i="33"/>
  <c r="I99" i="33"/>
  <c r="AW98" i="33"/>
  <c r="AR98" i="33"/>
  <c r="AM98" i="33"/>
  <c r="AH98" i="33"/>
  <c r="AC98" i="33"/>
  <c r="X98" i="33"/>
  <c r="S98" i="33"/>
  <c r="K98" i="33"/>
  <c r="J98" i="33"/>
  <c r="I98" i="33"/>
  <c r="AW97" i="33"/>
  <c r="AR97" i="33"/>
  <c r="AM97" i="33"/>
  <c r="AH97" i="33"/>
  <c r="AC97" i="33"/>
  <c r="X97" i="33"/>
  <c r="S97" i="33"/>
  <c r="K97" i="33"/>
  <c r="J97" i="33"/>
  <c r="I97" i="33"/>
  <c r="AW96" i="33"/>
  <c r="AR96" i="33"/>
  <c r="AM96" i="33"/>
  <c r="AH96" i="33"/>
  <c r="AC96" i="33"/>
  <c r="X96" i="33"/>
  <c r="S96" i="33"/>
  <c r="K96" i="33"/>
  <c r="J96" i="33"/>
  <c r="I96" i="33"/>
  <c r="AW95" i="33"/>
  <c r="AR95" i="33"/>
  <c r="AM95" i="33"/>
  <c r="AH95" i="33"/>
  <c r="AC95" i="33"/>
  <c r="X95" i="33"/>
  <c r="S95" i="33"/>
  <c r="K95" i="33"/>
  <c r="J95" i="33"/>
  <c r="I95" i="33"/>
  <c r="AW94" i="33"/>
  <c r="AR94" i="33"/>
  <c r="AM94" i="33"/>
  <c r="AH94" i="33"/>
  <c r="AC94" i="33"/>
  <c r="X94" i="33"/>
  <c r="S94" i="33"/>
  <c r="K94" i="33"/>
  <c r="J94" i="33"/>
  <c r="I94" i="33"/>
  <c r="AW93" i="33"/>
  <c r="AR93" i="33"/>
  <c r="AM93" i="33"/>
  <c r="AH93" i="33"/>
  <c r="AC93" i="33"/>
  <c r="X93" i="33"/>
  <c r="S93" i="33"/>
  <c r="K93" i="33"/>
  <c r="J93" i="33"/>
  <c r="I93" i="33"/>
  <c r="AW92" i="33"/>
  <c r="AR92" i="33"/>
  <c r="AM92" i="33"/>
  <c r="AH92" i="33"/>
  <c r="AC92" i="33"/>
  <c r="X92" i="33"/>
  <c r="S92" i="33"/>
  <c r="K92" i="33"/>
  <c r="J92" i="33"/>
  <c r="I92" i="33"/>
  <c r="AW91" i="33"/>
  <c r="AR91" i="33"/>
  <c r="AM91" i="33"/>
  <c r="AH91" i="33"/>
  <c r="AC91" i="33"/>
  <c r="X91" i="33"/>
  <c r="S91" i="33"/>
  <c r="K91" i="33"/>
  <c r="J91" i="33"/>
  <c r="I91" i="33"/>
  <c r="AW90" i="33"/>
  <c r="AR90" i="33"/>
  <c r="AM90" i="33"/>
  <c r="AH90" i="33"/>
  <c r="AC90" i="33"/>
  <c r="X90" i="33"/>
  <c r="S90" i="33"/>
  <c r="K90" i="33"/>
  <c r="J90" i="33"/>
  <c r="I90" i="33"/>
  <c r="AW89" i="33"/>
  <c r="AR89" i="33"/>
  <c r="AM89" i="33"/>
  <c r="AH89" i="33"/>
  <c r="AC89" i="33"/>
  <c r="X89" i="33"/>
  <c r="S89" i="33"/>
  <c r="K89" i="33"/>
  <c r="J89" i="33"/>
  <c r="I89" i="33"/>
  <c r="AW88" i="33"/>
  <c r="AR88" i="33"/>
  <c r="AM88" i="33"/>
  <c r="AH88" i="33"/>
  <c r="AC88" i="33"/>
  <c r="X88" i="33"/>
  <c r="S88" i="33"/>
  <c r="K88" i="33"/>
  <c r="J88" i="33"/>
  <c r="I88" i="33"/>
  <c r="AW87" i="33"/>
  <c r="AR87" i="33"/>
  <c r="AM87" i="33"/>
  <c r="AH87" i="33"/>
  <c r="AC87" i="33"/>
  <c r="X87" i="33"/>
  <c r="S87" i="33"/>
  <c r="K87" i="33"/>
  <c r="J87" i="33"/>
  <c r="I87" i="33"/>
  <c r="AW86" i="33"/>
  <c r="AR86" i="33"/>
  <c r="AM86" i="33"/>
  <c r="AH86" i="33"/>
  <c r="AC86" i="33"/>
  <c r="X86" i="33"/>
  <c r="S86" i="33"/>
  <c r="K86" i="33"/>
  <c r="J86" i="33"/>
  <c r="I86" i="33"/>
  <c r="AW85" i="33"/>
  <c r="AR85" i="33"/>
  <c r="AM85" i="33"/>
  <c r="AH85" i="33"/>
  <c r="AC85" i="33"/>
  <c r="X85" i="33"/>
  <c r="S85" i="33"/>
  <c r="K85" i="33"/>
  <c r="J85" i="33"/>
  <c r="I85" i="33"/>
  <c r="AW84" i="33"/>
  <c r="AR84" i="33"/>
  <c r="AM84" i="33"/>
  <c r="AH84" i="33"/>
  <c r="AC84" i="33"/>
  <c r="X84" i="33"/>
  <c r="S84" i="33"/>
  <c r="K84" i="33"/>
  <c r="J84" i="33"/>
  <c r="I84" i="33"/>
  <c r="AW83" i="33"/>
  <c r="AR83" i="33"/>
  <c r="AM83" i="33"/>
  <c r="AH83" i="33"/>
  <c r="AC83" i="33"/>
  <c r="X83" i="33"/>
  <c r="S83" i="33"/>
  <c r="K83" i="33"/>
  <c r="J83" i="33"/>
  <c r="I83" i="33"/>
  <c r="AW82" i="33"/>
  <c r="AR82" i="33"/>
  <c r="AM82" i="33"/>
  <c r="AH82" i="33"/>
  <c r="AC82" i="33"/>
  <c r="X82" i="33"/>
  <c r="S82" i="33"/>
  <c r="K82" i="33"/>
  <c r="J82" i="33"/>
  <c r="I82" i="33"/>
  <c r="AW81" i="33"/>
  <c r="AR81" i="33"/>
  <c r="AM81" i="33"/>
  <c r="AH81" i="33"/>
  <c r="AC81" i="33"/>
  <c r="X81" i="33"/>
  <c r="S81" i="33"/>
  <c r="K81" i="33"/>
  <c r="J81" i="33"/>
  <c r="I81" i="33"/>
  <c r="AW80" i="33"/>
  <c r="AR80" i="33"/>
  <c r="AM80" i="33"/>
  <c r="AH80" i="33"/>
  <c r="AC80" i="33"/>
  <c r="X80" i="33"/>
  <c r="S80" i="33"/>
  <c r="K80" i="33"/>
  <c r="J80" i="33"/>
  <c r="I80" i="33"/>
  <c r="AW79" i="33"/>
  <c r="AR79" i="33"/>
  <c r="AM79" i="33"/>
  <c r="AH79" i="33"/>
  <c r="AC79" i="33"/>
  <c r="X79" i="33"/>
  <c r="S79" i="33"/>
  <c r="K79" i="33"/>
  <c r="J79" i="33"/>
  <c r="I79" i="33"/>
  <c r="AW78" i="33"/>
  <c r="AR78" i="33"/>
  <c r="AM78" i="33"/>
  <c r="AH78" i="33"/>
  <c r="AC78" i="33"/>
  <c r="X78" i="33"/>
  <c r="S78" i="33"/>
  <c r="K78" i="33"/>
  <c r="J78" i="33"/>
  <c r="I78" i="33"/>
  <c r="AX77" i="33"/>
  <c r="AW77" i="33"/>
  <c r="AS77" i="33"/>
  <c r="AR77" i="33"/>
  <c r="AN77" i="33"/>
  <c r="AM77" i="33"/>
  <c r="AI77" i="33"/>
  <c r="AH77" i="33"/>
  <c r="AD77" i="33"/>
  <c r="AC77" i="33"/>
  <c r="Y77" i="33"/>
  <c r="X77" i="33"/>
  <c r="T77" i="33"/>
  <c r="S77" i="33"/>
  <c r="K77" i="33"/>
  <c r="J77" i="33"/>
  <c r="I77" i="33"/>
  <c r="H77" i="33"/>
  <c r="AW71" i="33"/>
  <c r="AR71" i="33"/>
  <c r="AM71" i="33"/>
  <c r="AH71" i="33"/>
  <c r="AC71" i="33"/>
  <c r="X71" i="33"/>
  <c r="S71" i="33"/>
  <c r="AW70" i="33"/>
  <c r="AR70" i="33"/>
  <c r="AM70" i="33"/>
  <c r="AH70" i="33"/>
  <c r="AC70" i="33"/>
  <c r="X70" i="33"/>
  <c r="S70" i="33"/>
  <c r="K70" i="33"/>
  <c r="J70" i="33"/>
  <c r="I70" i="33"/>
  <c r="AW69" i="33"/>
  <c r="AR69" i="33"/>
  <c r="AM69" i="33"/>
  <c r="AH69" i="33"/>
  <c r="AC69" i="33"/>
  <c r="X69" i="33"/>
  <c r="S69" i="33"/>
  <c r="K69" i="33"/>
  <c r="J69" i="33"/>
  <c r="I69" i="33"/>
  <c r="AW68" i="33"/>
  <c r="AR68" i="33"/>
  <c r="AM68" i="33"/>
  <c r="AH68" i="33"/>
  <c r="AC68" i="33"/>
  <c r="X68" i="33"/>
  <c r="S68" i="33"/>
  <c r="K68" i="33"/>
  <c r="J68" i="33"/>
  <c r="I68" i="33"/>
  <c r="AW67" i="33"/>
  <c r="AR67" i="33"/>
  <c r="AM67" i="33"/>
  <c r="AH67" i="33"/>
  <c r="AC67" i="33"/>
  <c r="X67" i="33"/>
  <c r="S67" i="33"/>
  <c r="K67" i="33"/>
  <c r="J67" i="33"/>
  <c r="I67" i="33"/>
  <c r="AW66" i="33"/>
  <c r="AR66" i="33"/>
  <c r="AM66" i="33"/>
  <c r="AH66" i="33"/>
  <c r="AC66" i="33"/>
  <c r="X66" i="33"/>
  <c r="S66" i="33"/>
  <c r="K66" i="33"/>
  <c r="J66" i="33"/>
  <c r="I66" i="33"/>
  <c r="AW65" i="33"/>
  <c r="AR65" i="33"/>
  <c r="AM65" i="33"/>
  <c r="AH65" i="33"/>
  <c r="AC65" i="33"/>
  <c r="X65" i="33"/>
  <c r="S65" i="33"/>
  <c r="K65" i="33"/>
  <c r="J65" i="33"/>
  <c r="I65" i="33"/>
  <c r="AW64" i="33"/>
  <c r="AR64" i="33"/>
  <c r="AM64" i="33"/>
  <c r="AH64" i="33"/>
  <c r="AC64" i="33"/>
  <c r="X64" i="33"/>
  <c r="S64" i="33"/>
  <c r="K64" i="33"/>
  <c r="J64" i="33"/>
  <c r="I64" i="33"/>
  <c r="AW63" i="33"/>
  <c r="AR63" i="33"/>
  <c r="AM63" i="33"/>
  <c r="AH63" i="33"/>
  <c r="AC63" i="33"/>
  <c r="X63" i="33"/>
  <c r="S63" i="33"/>
  <c r="K63" i="33"/>
  <c r="J63" i="33"/>
  <c r="I63" i="33"/>
  <c r="AW62" i="33"/>
  <c r="AR62" i="33"/>
  <c r="AM62" i="33"/>
  <c r="AH62" i="33"/>
  <c r="AC62" i="33"/>
  <c r="X62" i="33"/>
  <c r="S62" i="33"/>
  <c r="K62" i="33"/>
  <c r="J62" i="33"/>
  <c r="I62" i="33"/>
  <c r="AW61" i="33"/>
  <c r="AR61" i="33"/>
  <c r="AM61" i="33"/>
  <c r="AH61" i="33"/>
  <c r="AC61" i="33"/>
  <c r="X61" i="33"/>
  <c r="S61" i="33"/>
  <c r="K61" i="33"/>
  <c r="J61" i="33"/>
  <c r="I61" i="33"/>
  <c r="AW60" i="33"/>
  <c r="AR60" i="33"/>
  <c r="AM60" i="33"/>
  <c r="AH60" i="33"/>
  <c r="AC60" i="33"/>
  <c r="X60" i="33"/>
  <c r="S60" i="33"/>
  <c r="K60" i="33"/>
  <c r="J60" i="33"/>
  <c r="I60" i="33"/>
  <c r="AW59" i="33"/>
  <c r="AR59" i="33"/>
  <c r="AM59" i="33"/>
  <c r="AH59" i="33"/>
  <c r="AC59" i="33"/>
  <c r="X59" i="33"/>
  <c r="S59" i="33"/>
  <c r="K59" i="33"/>
  <c r="J59" i="33"/>
  <c r="I59" i="33"/>
  <c r="AW58" i="33"/>
  <c r="AR58" i="33"/>
  <c r="AM58" i="33"/>
  <c r="AH58" i="33"/>
  <c r="AC58" i="33"/>
  <c r="X58" i="33"/>
  <c r="S58" i="33"/>
  <c r="K58" i="33"/>
  <c r="J58" i="33"/>
  <c r="I58" i="33"/>
  <c r="AW57" i="33"/>
  <c r="AR57" i="33"/>
  <c r="AM57" i="33"/>
  <c r="AH57" i="33"/>
  <c r="AC57" i="33"/>
  <c r="X57" i="33"/>
  <c r="S57" i="33"/>
  <c r="K57" i="33"/>
  <c r="J57" i="33"/>
  <c r="I57" i="33"/>
  <c r="AW56" i="33"/>
  <c r="AR56" i="33"/>
  <c r="AM56" i="33"/>
  <c r="AH56" i="33"/>
  <c r="AC56" i="33"/>
  <c r="X56" i="33"/>
  <c r="S56" i="33"/>
  <c r="K56" i="33"/>
  <c r="J56" i="33"/>
  <c r="I56" i="33"/>
  <c r="AW55" i="33"/>
  <c r="AR55" i="33"/>
  <c r="AM55" i="33"/>
  <c r="AH55" i="33"/>
  <c r="AC55" i="33"/>
  <c r="X55" i="33"/>
  <c r="S55" i="33"/>
  <c r="K55" i="33"/>
  <c r="J55" i="33"/>
  <c r="I55" i="33"/>
  <c r="AW54" i="33"/>
  <c r="AR54" i="33"/>
  <c r="AM54" i="33"/>
  <c r="AH54" i="33"/>
  <c r="AC54" i="33"/>
  <c r="X54" i="33"/>
  <c r="S54" i="33"/>
  <c r="K54" i="33"/>
  <c r="J54" i="33"/>
  <c r="I54" i="33"/>
  <c r="AW53" i="33"/>
  <c r="AR53" i="33"/>
  <c r="AM53" i="33"/>
  <c r="AH53" i="33"/>
  <c r="AC53" i="33"/>
  <c r="X53" i="33"/>
  <c r="S53" i="33"/>
  <c r="K53" i="33"/>
  <c r="J53" i="33"/>
  <c r="I53" i="33"/>
  <c r="AW52" i="33"/>
  <c r="AR52" i="33"/>
  <c r="AM52" i="33"/>
  <c r="AH52" i="33"/>
  <c r="AC52" i="33"/>
  <c r="X52" i="33"/>
  <c r="S52" i="33"/>
  <c r="K52" i="33"/>
  <c r="J52" i="33"/>
  <c r="I52" i="33"/>
  <c r="AW51" i="33"/>
  <c r="AR51" i="33"/>
  <c r="AM51" i="33"/>
  <c r="AH51" i="33"/>
  <c r="AC51" i="33"/>
  <c r="X51" i="33"/>
  <c r="S51" i="33"/>
  <c r="K51" i="33"/>
  <c r="J51" i="33"/>
  <c r="I51" i="33"/>
  <c r="AW50" i="33"/>
  <c r="AR50" i="33"/>
  <c r="AM50" i="33"/>
  <c r="AH50" i="33"/>
  <c r="AC50" i="33"/>
  <c r="X50" i="33"/>
  <c r="S50" i="33"/>
  <c r="K50" i="33"/>
  <c r="J50" i="33"/>
  <c r="I50" i="33"/>
  <c r="AW49" i="33"/>
  <c r="AR49" i="33"/>
  <c r="AM49" i="33"/>
  <c r="AH49" i="33"/>
  <c r="AC49" i="33"/>
  <c r="X49" i="33"/>
  <c r="S49" i="33"/>
  <c r="K49" i="33"/>
  <c r="J49" i="33"/>
  <c r="I49" i="33"/>
  <c r="AW48" i="33"/>
  <c r="AR48" i="33"/>
  <c r="AM48" i="33"/>
  <c r="AH48" i="33"/>
  <c r="AC48" i="33"/>
  <c r="X48" i="33"/>
  <c r="S48" i="33"/>
  <c r="K48" i="33"/>
  <c r="J48" i="33"/>
  <c r="I48" i="33"/>
  <c r="AW47" i="33"/>
  <c r="AR47" i="33"/>
  <c r="AM47" i="33"/>
  <c r="AH47" i="33"/>
  <c r="AC47" i="33"/>
  <c r="X47" i="33"/>
  <c r="S47" i="33"/>
  <c r="K47" i="33"/>
  <c r="J47" i="33"/>
  <c r="I47" i="33"/>
  <c r="AW46" i="33"/>
  <c r="AR46" i="33"/>
  <c r="AM46" i="33"/>
  <c r="AH46" i="33"/>
  <c r="AC46" i="33"/>
  <c r="X46" i="33"/>
  <c r="S46" i="33"/>
  <c r="K46" i="33"/>
  <c r="J46" i="33"/>
  <c r="I46" i="33"/>
  <c r="AW45" i="33"/>
  <c r="AR45" i="33"/>
  <c r="AM45" i="33"/>
  <c r="AH45" i="33"/>
  <c r="AC45" i="33"/>
  <c r="X45" i="33"/>
  <c r="S45" i="33"/>
  <c r="K45" i="33"/>
  <c r="J45" i="33"/>
  <c r="I45" i="33"/>
  <c r="AW44" i="33"/>
  <c r="AR44" i="33"/>
  <c r="AM44" i="33"/>
  <c r="AH44" i="33"/>
  <c r="AC44" i="33"/>
  <c r="X44" i="33"/>
  <c r="S44" i="33"/>
  <c r="K44" i="33"/>
  <c r="J44" i="33"/>
  <c r="I44" i="33"/>
  <c r="AW43" i="33"/>
  <c r="AR43" i="33"/>
  <c r="AM43" i="33"/>
  <c r="AH43" i="33"/>
  <c r="AC43" i="33"/>
  <c r="X43" i="33"/>
  <c r="S43" i="33"/>
  <c r="K43" i="33"/>
  <c r="J43" i="33"/>
  <c r="I43" i="33"/>
  <c r="AX42" i="33"/>
  <c r="AW42" i="33"/>
  <c r="AS42" i="33"/>
  <c r="AR42" i="33"/>
  <c r="AN42" i="33"/>
  <c r="AM42" i="33"/>
  <c r="AI42" i="33"/>
  <c r="AH42" i="33"/>
  <c r="AD42" i="33"/>
  <c r="AC42" i="33"/>
  <c r="Y42" i="33"/>
  <c r="X42" i="33"/>
  <c r="T42" i="33"/>
  <c r="S42" i="33"/>
  <c r="K42" i="33"/>
  <c r="J42" i="33"/>
  <c r="I42" i="33"/>
  <c r="H42" i="33"/>
  <c r="BB36" i="33"/>
  <c r="AW36" i="33"/>
  <c r="AR36" i="33"/>
  <c r="AM36" i="33"/>
  <c r="AH36" i="33"/>
  <c r="AC36" i="33"/>
  <c r="X36" i="33"/>
  <c r="S36" i="33"/>
  <c r="K36" i="33"/>
  <c r="J36" i="33"/>
  <c r="I36" i="33"/>
  <c r="BB35" i="33"/>
  <c r="AW35" i="33"/>
  <c r="AR35" i="33"/>
  <c r="AM35" i="33"/>
  <c r="AH35" i="33"/>
  <c r="AC35" i="33"/>
  <c r="X35" i="33"/>
  <c r="S35" i="33"/>
  <c r="K35" i="33"/>
  <c r="J35" i="33"/>
  <c r="I35" i="33"/>
  <c r="BB34" i="33"/>
  <c r="AW34" i="33"/>
  <c r="AR34" i="33"/>
  <c r="AM34" i="33"/>
  <c r="AH34" i="33"/>
  <c r="AC34" i="33"/>
  <c r="X34" i="33"/>
  <c r="S34" i="33"/>
  <c r="K34" i="33"/>
  <c r="J34" i="33"/>
  <c r="I34" i="33"/>
  <c r="BB33" i="33"/>
  <c r="AW33" i="33"/>
  <c r="AR33" i="33"/>
  <c r="AM33" i="33"/>
  <c r="AH33" i="33"/>
  <c r="AC33" i="33"/>
  <c r="X33" i="33"/>
  <c r="S33" i="33"/>
  <c r="K33" i="33"/>
  <c r="J33" i="33"/>
  <c r="I33" i="33"/>
  <c r="BB32" i="33"/>
  <c r="AW32" i="33"/>
  <c r="AR32" i="33"/>
  <c r="AM32" i="33"/>
  <c r="AH32" i="33"/>
  <c r="AC32" i="33"/>
  <c r="X32" i="33"/>
  <c r="S32" i="33"/>
  <c r="K32" i="33"/>
  <c r="J32" i="33"/>
  <c r="I32" i="33"/>
  <c r="BB31" i="33"/>
  <c r="AW31" i="33"/>
  <c r="AR31" i="33"/>
  <c r="AM31" i="33"/>
  <c r="AH31" i="33"/>
  <c r="AC31" i="33"/>
  <c r="X31" i="33"/>
  <c r="S31" i="33"/>
  <c r="K31" i="33"/>
  <c r="J31" i="33"/>
  <c r="I31" i="33"/>
  <c r="BB30" i="33"/>
  <c r="AW30" i="33"/>
  <c r="AR30" i="33"/>
  <c r="AM30" i="33"/>
  <c r="AH30" i="33"/>
  <c r="AC30" i="33"/>
  <c r="X30" i="33"/>
  <c r="S30" i="33"/>
  <c r="K30" i="33"/>
  <c r="J30" i="33"/>
  <c r="I30" i="33"/>
  <c r="BB29" i="33"/>
  <c r="AW29" i="33"/>
  <c r="AR29" i="33"/>
  <c r="AM29" i="33"/>
  <c r="AH29" i="33"/>
  <c r="AC29" i="33"/>
  <c r="X29" i="33"/>
  <c r="S29" i="33"/>
  <c r="K29" i="33"/>
  <c r="J29" i="33"/>
  <c r="I29" i="33"/>
  <c r="BB28" i="33"/>
  <c r="AW28" i="33"/>
  <c r="AR28" i="33"/>
  <c r="AM28" i="33"/>
  <c r="AH28" i="33"/>
  <c r="AC28" i="33"/>
  <c r="X28" i="33"/>
  <c r="S28" i="33"/>
  <c r="K28" i="33"/>
  <c r="J28" i="33"/>
  <c r="I28" i="33"/>
  <c r="BB27" i="33"/>
  <c r="AW27" i="33"/>
  <c r="AR27" i="33"/>
  <c r="AM27" i="33"/>
  <c r="AH27" i="33"/>
  <c r="AC27" i="33"/>
  <c r="X27" i="33"/>
  <c r="S27" i="33"/>
  <c r="K27" i="33"/>
  <c r="J27" i="33"/>
  <c r="I27" i="33"/>
  <c r="BB26" i="33"/>
  <c r="AW26" i="33"/>
  <c r="AR26" i="33"/>
  <c r="AM26" i="33"/>
  <c r="AH26" i="33"/>
  <c r="AC26" i="33"/>
  <c r="X26" i="33"/>
  <c r="S26" i="33"/>
  <c r="K26" i="33"/>
  <c r="J26" i="33"/>
  <c r="I26" i="33"/>
  <c r="BB25" i="33"/>
  <c r="AW25" i="33"/>
  <c r="AR25" i="33"/>
  <c r="AM25" i="33"/>
  <c r="AH25" i="33"/>
  <c r="AC25" i="33"/>
  <c r="X25" i="33"/>
  <c r="S25" i="33"/>
  <c r="K25" i="33"/>
  <c r="J25" i="33"/>
  <c r="I25" i="33"/>
  <c r="BB24" i="33"/>
  <c r="AW24" i="33"/>
  <c r="AR24" i="33"/>
  <c r="AM24" i="33"/>
  <c r="AH24" i="33"/>
  <c r="AC24" i="33"/>
  <c r="X24" i="33"/>
  <c r="S24" i="33"/>
  <c r="K24" i="33"/>
  <c r="J24" i="33"/>
  <c r="I24" i="33"/>
  <c r="BB23" i="33"/>
  <c r="AW23" i="33"/>
  <c r="AR23" i="33"/>
  <c r="AM23" i="33"/>
  <c r="AH23" i="33"/>
  <c r="AC23" i="33"/>
  <c r="X23" i="33"/>
  <c r="S23" i="33"/>
  <c r="K23" i="33"/>
  <c r="J23" i="33"/>
  <c r="I23" i="33"/>
  <c r="BB22" i="33"/>
  <c r="AW22" i="33"/>
  <c r="AR22" i="33"/>
  <c r="AM22" i="33"/>
  <c r="AH22" i="33"/>
  <c r="AC22" i="33"/>
  <c r="X22" i="33"/>
  <c r="S22" i="33"/>
  <c r="K22" i="33"/>
  <c r="J22" i="33"/>
  <c r="I22" i="33"/>
  <c r="BB21" i="33"/>
  <c r="AW21" i="33"/>
  <c r="AR21" i="33"/>
  <c r="AM21" i="33"/>
  <c r="AH21" i="33"/>
  <c r="AC21" i="33"/>
  <c r="X21" i="33"/>
  <c r="S21" i="33"/>
  <c r="K21" i="33"/>
  <c r="J21" i="33"/>
  <c r="I21" i="33"/>
  <c r="BB20" i="33"/>
  <c r="AW20" i="33"/>
  <c r="AR20" i="33"/>
  <c r="AM20" i="33"/>
  <c r="AH20" i="33"/>
  <c r="AC20" i="33"/>
  <c r="X20" i="33"/>
  <c r="S20" i="33"/>
  <c r="K20" i="33"/>
  <c r="J20" i="33"/>
  <c r="I20" i="33"/>
  <c r="BB19" i="33"/>
  <c r="AW19" i="33"/>
  <c r="AR19" i="33"/>
  <c r="AM19" i="33"/>
  <c r="AH19" i="33"/>
  <c r="AC19" i="33"/>
  <c r="X19" i="33"/>
  <c r="S19" i="33"/>
  <c r="K19" i="33"/>
  <c r="J19" i="33"/>
  <c r="I19" i="33"/>
  <c r="BB18" i="33"/>
  <c r="AW18" i="33"/>
  <c r="AR18" i="33"/>
  <c r="AM18" i="33"/>
  <c r="AH18" i="33"/>
  <c r="AC18" i="33"/>
  <c r="X18" i="33"/>
  <c r="S18" i="33"/>
  <c r="K18" i="33"/>
  <c r="J18" i="33"/>
  <c r="I18" i="33"/>
  <c r="BB17" i="33"/>
  <c r="AW17" i="33"/>
  <c r="AR17" i="33"/>
  <c r="AM17" i="33"/>
  <c r="AH17" i="33"/>
  <c r="AC17" i="33"/>
  <c r="X17" i="33"/>
  <c r="S17" i="33"/>
  <c r="K17" i="33"/>
  <c r="J17" i="33"/>
  <c r="I17" i="33"/>
  <c r="BB16" i="33"/>
  <c r="AW16" i="33"/>
  <c r="AR16" i="33"/>
  <c r="AM16" i="33"/>
  <c r="AH16" i="33"/>
  <c r="AC16" i="33"/>
  <c r="X16" i="33"/>
  <c r="S16" i="33"/>
  <c r="K16" i="33"/>
  <c r="J16" i="33"/>
  <c r="I16" i="33"/>
  <c r="BB15" i="33"/>
  <c r="AW15" i="33"/>
  <c r="AR15" i="33"/>
  <c r="AM15" i="33"/>
  <c r="AH15" i="33"/>
  <c r="AC15" i="33"/>
  <c r="X15" i="33"/>
  <c r="S15" i="33"/>
  <c r="K15" i="33"/>
  <c r="J15" i="33"/>
  <c r="I15" i="33"/>
  <c r="BB14" i="33"/>
  <c r="AW14" i="33"/>
  <c r="AR14" i="33"/>
  <c r="AM14" i="33"/>
  <c r="AH14" i="33"/>
  <c r="AC14" i="33"/>
  <c r="X14" i="33"/>
  <c r="S14" i="33"/>
  <c r="K14" i="33"/>
  <c r="J14" i="33"/>
  <c r="I14" i="33"/>
  <c r="BB13" i="33"/>
  <c r="AW13" i="33"/>
  <c r="AR13" i="33"/>
  <c r="AM13" i="33"/>
  <c r="AH13" i="33"/>
  <c r="AC13" i="33"/>
  <c r="X13" i="33"/>
  <c r="S13" i="33"/>
  <c r="K13" i="33"/>
  <c r="J13" i="33"/>
  <c r="I13" i="33"/>
  <c r="BB12" i="33"/>
  <c r="AW12" i="33"/>
  <c r="AR12" i="33"/>
  <c r="AM12" i="33"/>
  <c r="AH12" i="33"/>
  <c r="AC12" i="33"/>
  <c r="X12" i="33"/>
  <c r="S12" i="33"/>
  <c r="K12" i="33"/>
  <c r="J12" i="33"/>
  <c r="I12" i="33"/>
  <c r="BB11" i="33"/>
  <c r="AW11" i="33"/>
  <c r="AR11" i="33"/>
  <c r="AM11" i="33"/>
  <c r="AH11" i="33"/>
  <c r="AC11" i="33"/>
  <c r="X11" i="33"/>
  <c r="S11" i="33"/>
  <c r="K11" i="33"/>
  <c r="J11" i="33"/>
  <c r="I11" i="33"/>
  <c r="BB10" i="33"/>
  <c r="AW10" i="33"/>
  <c r="AR10" i="33"/>
  <c r="AM10" i="33"/>
  <c r="AH10" i="33"/>
  <c r="AC10" i="33"/>
  <c r="X10" i="33"/>
  <c r="S10" i="33"/>
  <c r="K10" i="33"/>
  <c r="J10" i="33"/>
  <c r="I10" i="33"/>
  <c r="BB9" i="33"/>
  <c r="AW9" i="33"/>
  <c r="AR9" i="33"/>
  <c r="AM9" i="33"/>
  <c r="AH9" i="33"/>
  <c r="AC9" i="33"/>
  <c r="X9" i="33"/>
  <c r="S9" i="33"/>
  <c r="K9" i="33"/>
  <c r="J9" i="33"/>
  <c r="I9" i="33"/>
  <c r="BB8" i="33"/>
  <c r="AW8" i="33"/>
  <c r="AR8" i="33"/>
  <c r="AM8" i="33"/>
  <c r="AH8" i="33"/>
  <c r="AC8" i="33"/>
  <c r="X8" i="33"/>
  <c r="S8" i="33"/>
  <c r="K8" i="33"/>
  <c r="J8" i="33"/>
  <c r="I8" i="33"/>
  <c r="BB7" i="33"/>
  <c r="AX7" i="33"/>
  <c r="AW7" i="33"/>
  <c r="AS7" i="33"/>
  <c r="AR7" i="33"/>
  <c r="AN7" i="33"/>
  <c r="AM7" i="33"/>
  <c r="AI7" i="33"/>
  <c r="AH7" i="33"/>
  <c r="AD7" i="33"/>
  <c r="AC7" i="33"/>
  <c r="Y7" i="33"/>
  <c r="X7" i="33"/>
  <c r="T7" i="33"/>
  <c r="S7" i="33"/>
  <c r="K7" i="33"/>
  <c r="J7" i="33"/>
  <c r="I7" i="33"/>
  <c r="H7" i="33"/>
  <c r="AT2" i="33"/>
  <c r="P37" i="33" s="1"/>
  <c r="U37" i="33" s="1"/>
  <c r="Z37" i="33" s="1"/>
  <c r="AE37" i="33" s="1"/>
  <c r="AJ37" i="33" s="1"/>
  <c r="AO37" i="33" s="1"/>
  <c r="AT37" i="33" s="1"/>
  <c r="K128" i="31"/>
  <c r="M142" i="31" s="1"/>
  <c r="J128" i="31"/>
  <c r="I128" i="31"/>
  <c r="H128" i="31"/>
  <c r="AW121" i="31"/>
  <c r="AR121" i="31"/>
  <c r="AM121" i="31"/>
  <c r="AH121" i="31"/>
  <c r="AC121" i="31"/>
  <c r="X121" i="31"/>
  <c r="S121" i="31"/>
  <c r="AW120" i="31"/>
  <c r="AR120" i="31"/>
  <c r="AM120" i="31"/>
  <c r="AH120" i="31"/>
  <c r="AC120" i="31"/>
  <c r="X120" i="31"/>
  <c r="S120" i="31"/>
  <c r="AW119" i="31"/>
  <c r="AR119" i="31"/>
  <c r="AM119" i="31"/>
  <c r="AH119" i="31"/>
  <c r="AC119" i="31"/>
  <c r="X119" i="31"/>
  <c r="S119" i="31"/>
  <c r="AW118" i="31"/>
  <c r="AR118" i="31"/>
  <c r="AM118" i="31"/>
  <c r="AH118" i="31"/>
  <c r="AC118" i="31"/>
  <c r="X118" i="31"/>
  <c r="S118" i="31"/>
  <c r="AW117" i="31"/>
  <c r="AR117" i="31"/>
  <c r="AM117" i="31"/>
  <c r="AH117" i="31"/>
  <c r="AC117" i="31"/>
  <c r="X117" i="31"/>
  <c r="S117" i="31"/>
  <c r="AW116" i="31"/>
  <c r="AR116" i="31"/>
  <c r="AM116" i="31"/>
  <c r="AH116" i="31"/>
  <c r="AC116" i="31"/>
  <c r="X116" i="31"/>
  <c r="S116" i="31"/>
  <c r="AW115" i="31"/>
  <c r="AR115" i="31"/>
  <c r="AM115" i="31"/>
  <c r="AH115" i="31"/>
  <c r="AC115" i="31"/>
  <c r="X115" i="31"/>
  <c r="S115" i="31"/>
  <c r="AW114" i="31"/>
  <c r="AR114" i="31"/>
  <c r="AM114" i="31"/>
  <c r="AH114" i="31"/>
  <c r="AC114" i="31"/>
  <c r="X114" i="31"/>
  <c r="S114" i="31"/>
  <c r="AW113" i="31"/>
  <c r="AR113" i="31"/>
  <c r="AM113" i="31"/>
  <c r="AH113" i="31"/>
  <c r="AC113" i="31"/>
  <c r="X113" i="31"/>
  <c r="S113" i="31"/>
  <c r="AW112" i="31"/>
  <c r="AR112" i="31"/>
  <c r="AM112" i="31"/>
  <c r="AH112" i="31"/>
  <c r="AC112" i="31"/>
  <c r="X112" i="31"/>
  <c r="S112" i="31"/>
  <c r="AW111" i="31"/>
  <c r="AR111" i="31"/>
  <c r="AM111" i="31"/>
  <c r="AH111" i="31"/>
  <c r="AC111" i="31"/>
  <c r="X111" i="31"/>
  <c r="S111" i="31"/>
  <c r="AW110" i="31"/>
  <c r="AR110" i="31"/>
  <c r="AM110" i="31"/>
  <c r="AH110" i="31"/>
  <c r="AC110" i="31"/>
  <c r="X110" i="31"/>
  <c r="S110" i="31"/>
  <c r="AW109" i="31"/>
  <c r="AR109" i="31"/>
  <c r="AM109" i="31"/>
  <c r="AH109" i="31"/>
  <c r="AC109" i="31"/>
  <c r="X109" i="31"/>
  <c r="S109" i="31"/>
  <c r="AW108" i="31"/>
  <c r="AR108" i="31"/>
  <c r="AM108" i="31"/>
  <c r="AH108" i="31"/>
  <c r="AC108" i="31"/>
  <c r="X108" i="31"/>
  <c r="S108" i="31"/>
  <c r="K108" i="31"/>
  <c r="M108" i="31" s="1"/>
  <c r="J108" i="31"/>
  <c r="I108" i="31"/>
  <c r="AX107" i="31"/>
  <c r="AW107" i="31"/>
  <c r="AS107" i="31"/>
  <c r="AR107" i="31"/>
  <c r="AN107" i="31"/>
  <c r="AM107" i="31"/>
  <c r="AI107" i="31"/>
  <c r="AH107" i="31"/>
  <c r="AD107" i="31"/>
  <c r="AC107" i="31"/>
  <c r="Y107" i="31"/>
  <c r="X107" i="31"/>
  <c r="T107" i="31"/>
  <c r="S107" i="31"/>
  <c r="M107" i="31"/>
  <c r="L107" i="31"/>
  <c r="K107" i="31"/>
  <c r="J107" i="31"/>
  <c r="I107" i="31"/>
  <c r="H107" i="31"/>
  <c r="AW101" i="31"/>
  <c r="AR101" i="31"/>
  <c r="AM101" i="31"/>
  <c r="AH101" i="31"/>
  <c r="AC101" i="31"/>
  <c r="X101" i="31"/>
  <c r="S101" i="31"/>
  <c r="AW100" i="31"/>
  <c r="AR100" i="31"/>
  <c r="AM100" i="31"/>
  <c r="AH100" i="31"/>
  <c r="AC100" i="31"/>
  <c r="X100" i="31"/>
  <c r="S100" i="31"/>
  <c r="AW99" i="31"/>
  <c r="AR99" i="31"/>
  <c r="AM99" i="31"/>
  <c r="AH99" i="31"/>
  <c r="AC99" i="31"/>
  <c r="X99" i="31"/>
  <c r="S99" i="31"/>
  <c r="AW98" i="31"/>
  <c r="AR98" i="31"/>
  <c r="AM98" i="31"/>
  <c r="AH98" i="31"/>
  <c r="AC98" i="31"/>
  <c r="X98" i="31"/>
  <c r="S98" i="31"/>
  <c r="AW97" i="31"/>
  <c r="AR97" i="31"/>
  <c r="AM97" i="31"/>
  <c r="AH97" i="31"/>
  <c r="AC97" i="31"/>
  <c r="X97" i="31"/>
  <c r="S97" i="31"/>
  <c r="AW96" i="31"/>
  <c r="AR96" i="31"/>
  <c r="AM96" i="31"/>
  <c r="AH96" i="31"/>
  <c r="AC96" i="31"/>
  <c r="X96" i="31"/>
  <c r="S96" i="31"/>
  <c r="AW95" i="31"/>
  <c r="AR95" i="31"/>
  <c r="AM95" i="31"/>
  <c r="AH95" i="31"/>
  <c r="AC95" i="31"/>
  <c r="X95" i="31"/>
  <c r="S95" i="31"/>
  <c r="AW94" i="31"/>
  <c r="AR94" i="31"/>
  <c r="AM94" i="31"/>
  <c r="AH94" i="31"/>
  <c r="AC94" i="31"/>
  <c r="X94" i="31"/>
  <c r="S94" i="31"/>
  <c r="AW93" i="31"/>
  <c r="AR93" i="31"/>
  <c r="AM93" i="31"/>
  <c r="AH93" i="31"/>
  <c r="AC93" i="31"/>
  <c r="X93" i="31"/>
  <c r="S93" i="31"/>
  <c r="AW92" i="31"/>
  <c r="AR92" i="31"/>
  <c r="AM92" i="31"/>
  <c r="AH92" i="31"/>
  <c r="AC92" i="31"/>
  <c r="X92" i="31"/>
  <c r="S92" i="31"/>
  <c r="AW91" i="31"/>
  <c r="AR91" i="31"/>
  <c r="AM91" i="31"/>
  <c r="AH91" i="31"/>
  <c r="AC91" i="31"/>
  <c r="X91" i="31"/>
  <c r="S91" i="31"/>
  <c r="AW90" i="31"/>
  <c r="AR90" i="31"/>
  <c r="AM90" i="31"/>
  <c r="AH90" i="31"/>
  <c r="AC90" i="31"/>
  <c r="X90" i="31"/>
  <c r="S90" i="31"/>
  <c r="AW89" i="31"/>
  <c r="AR89" i="31"/>
  <c r="AM89" i="31"/>
  <c r="AH89" i="31"/>
  <c r="AC89" i="31"/>
  <c r="X89" i="31"/>
  <c r="S89" i="31"/>
  <c r="AW88" i="31"/>
  <c r="AR88" i="31"/>
  <c r="AM88" i="31"/>
  <c r="AH88" i="31"/>
  <c r="AC88" i="31"/>
  <c r="S88" i="31"/>
  <c r="K88" i="31"/>
  <c r="J88" i="31"/>
  <c r="I88" i="31"/>
  <c r="AX87" i="31"/>
  <c r="AW87" i="31"/>
  <c r="AS87" i="31"/>
  <c r="AR87" i="31"/>
  <c r="AN87" i="31"/>
  <c r="AM87" i="31"/>
  <c r="AI87" i="31"/>
  <c r="AH87" i="31"/>
  <c r="AD87" i="31"/>
  <c r="AC87" i="31"/>
  <c r="Y87" i="31"/>
  <c r="T87" i="31"/>
  <c r="S87" i="31"/>
  <c r="K87" i="31"/>
  <c r="M87" i="31" s="1"/>
  <c r="J87" i="31"/>
  <c r="I87" i="31"/>
  <c r="H87" i="31"/>
  <c r="AW81" i="31"/>
  <c r="AR81" i="31"/>
  <c r="AM81" i="31"/>
  <c r="AH81" i="31"/>
  <c r="AC81" i="31"/>
  <c r="X81" i="31"/>
  <c r="S81" i="31"/>
  <c r="AW80" i="31"/>
  <c r="AR80" i="31"/>
  <c r="AM80" i="31"/>
  <c r="AH80" i="31"/>
  <c r="AC80" i="31"/>
  <c r="X80" i="31"/>
  <c r="S80" i="31"/>
  <c r="AW79" i="31"/>
  <c r="AR79" i="31"/>
  <c r="AM79" i="31"/>
  <c r="AH79" i="31"/>
  <c r="AC79" i="31"/>
  <c r="X79" i="31"/>
  <c r="S79" i="31"/>
  <c r="AW78" i="31"/>
  <c r="AR78" i="31"/>
  <c r="AM78" i="31"/>
  <c r="AH78" i="31"/>
  <c r="AC78" i="31"/>
  <c r="X78" i="31"/>
  <c r="S78" i="31"/>
  <c r="AW77" i="31"/>
  <c r="AR77" i="31"/>
  <c r="AM77" i="31"/>
  <c r="AH77" i="31"/>
  <c r="AC77" i="31"/>
  <c r="X77" i="31"/>
  <c r="S77" i="31"/>
  <c r="AW76" i="31"/>
  <c r="AR76" i="31"/>
  <c r="AM76" i="31"/>
  <c r="AH76" i="31"/>
  <c r="AC76" i="31"/>
  <c r="X76" i="31"/>
  <c r="S76" i="31"/>
  <c r="AW75" i="31"/>
  <c r="AR75" i="31"/>
  <c r="AM75" i="31"/>
  <c r="AH75" i="31"/>
  <c r="AC75" i="31"/>
  <c r="X75" i="31"/>
  <c r="S75" i="31"/>
  <c r="AW74" i="31"/>
  <c r="AR74" i="31"/>
  <c r="AM74" i="31"/>
  <c r="AH74" i="31"/>
  <c r="AC74" i="31"/>
  <c r="X74" i="31"/>
  <c r="S74" i="31"/>
  <c r="AW73" i="31"/>
  <c r="AR73" i="31"/>
  <c r="AM73" i="31"/>
  <c r="AH73" i="31"/>
  <c r="AC73" i="31"/>
  <c r="X73" i="31"/>
  <c r="S73" i="31"/>
  <c r="AW72" i="31"/>
  <c r="AR72" i="31"/>
  <c r="AM72" i="31"/>
  <c r="AH72" i="31"/>
  <c r="AC72" i="31"/>
  <c r="X72" i="31"/>
  <c r="S72" i="31"/>
  <c r="AW71" i="31"/>
  <c r="AR71" i="31"/>
  <c r="AM71" i="31"/>
  <c r="AH71" i="31"/>
  <c r="AC71" i="31"/>
  <c r="X71" i="31"/>
  <c r="S71" i="31"/>
  <c r="AW70" i="31"/>
  <c r="AR70" i="31"/>
  <c r="AM70" i="31"/>
  <c r="AH70" i="31"/>
  <c r="AC70" i="31"/>
  <c r="X70" i="31"/>
  <c r="S70" i="31"/>
  <c r="AW69" i="31"/>
  <c r="AR69" i="31"/>
  <c r="AM69" i="31"/>
  <c r="AH69" i="31"/>
  <c r="AC69" i="31"/>
  <c r="X69" i="31"/>
  <c r="S69" i="31"/>
  <c r="AW68" i="31"/>
  <c r="AR68" i="31"/>
  <c r="AM68" i="31"/>
  <c r="AH68" i="31"/>
  <c r="AC68" i="31"/>
  <c r="X68" i="31"/>
  <c r="S68" i="31"/>
  <c r="K68" i="31"/>
  <c r="J68" i="31"/>
  <c r="I68" i="31"/>
  <c r="AX67" i="31"/>
  <c r="AW67" i="31"/>
  <c r="AS67" i="31"/>
  <c r="AR67" i="31"/>
  <c r="AN67" i="31"/>
  <c r="AM67" i="31"/>
  <c r="AI67" i="31"/>
  <c r="AH67" i="31"/>
  <c r="AD67" i="31"/>
  <c r="AC67" i="31"/>
  <c r="Y67" i="31"/>
  <c r="X67" i="31"/>
  <c r="T67" i="31"/>
  <c r="S67" i="31"/>
  <c r="K67" i="31"/>
  <c r="J67" i="31"/>
  <c r="I67" i="31"/>
  <c r="H67" i="31"/>
  <c r="AW61" i="31"/>
  <c r="AR61" i="31"/>
  <c r="AM61" i="31"/>
  <c r="AH61" i="31"/>
  <c r="AC61" i="31"/>
  <c r="X61" i="31"/>
  <c r="S61" i="31"/>
  <c r="AW60" i="31"/>
  <c r="AR60" i="31"/>
  <c r="AM60" i="31"/>
  <c r="AH60" i="31"/>
  <c r="AC60" i="31"/>
  <c r="X60" i="31"/>
  <c r="S60" i="31"/>
  <c r="AW59" i="31"/>
  <c r="AR59" i="31"/>
  <c r="AM59" i="31"/>
  <c r="AH59" i="31"/>
  <c r="AC59" i="31"/>
  <c r="X59" i="31"/>
  <c r="S59" i="31"/>
  <c r="AW58" i="31"/>
  <c r="AR58" i="31"/>
  <c r="AM58" i="31"/>
  <c r="AH58" i="31"/>
  <c r="AC58" i="31"/>
  <c r="X58" i="31"/>
  <c r="S58" i="31"/>
  <c r="AW57" i="31"/>
  <c r="AR57" i="31"/>
  <c r="AM57" i="31"/>
  <c r="AH57" i="31"/>
  <c r="AC57" i="31"/>
  <c r="X57" i="31"/>
  <c r="S57" i="31"/>
  <c r="AW56" i="31"/>
  <c r="AR56" i="31"/>
  <c r="AM56" i="31"/>
  <c r="AH56" i="31"/>
  <c r="AC56" i="31"/>
  <c r="X56" i="31"/>
  <c r="S56" i="31"/>
  <c r="AW55" i="31"/>
  <c r="AR55" i="31"/>
  <c r="AM55" i="31"/>
  <c r="AH55" i="31"/>
  <c r="AC55" i="31"/>
  <c r="X55" i="31"/>
  <c r="S55" i="31"/>
  <c r="AW54" i="31"/>
  <c r="AR54" i="31"/>
  <c r="AM54" i="31"/>
  <c r="AH54" i="31"/>
  <c r="AC54" i="31"/>
  <c r="X54" i="31"/>
  <c r="S54" i="31"/>
  <c r="AW53" i="31"/>
  <c r="AR53" i="31"/>
  <c r="AM53" i="31"/>
  <c r="AH53" i="31"/>
  <c r="AC53" i="31"/>
  <c r="X53" i="31"/>
  <c r="S53" i="31"/>
  <c r="AW52" i="31"/>
  <c r="AR52" i="31"/>
  <c r="AM52" i="31"/>
  <c r="AH52" i="31"/>
  <c r="AC52" i="31"/>
  <c r="X52" i="31"/>
  <c r="S52" i="31"/>
  <c r="AW51" i="31"/>
  <c r="AR51" i="31"/>
  <c r="AM51" i="31"/>
  <c r="AH51" i="31"/>
  <c r="AC51" i="31"/>
  <c r="X51" i="31"/>
  <c r="S51" i="31"/>
  <c r="AW50" i="31"/>
  <c r="AR50" i="31"/>
  <c r="AM50" i="31"/>
  <c r="AH50" i="31"/>
  <c r="AC50" i="31"/>
  <c r="X50" i="31"/>
  <c r="S50" i="31"/>
  <c r="AW49" i="31"/>
  <c r="AR49" i="31"/>
  <c r="AM49" i="31"/>
  <c r="AH49" i="31"/>
  <c r="AC49" i="31"/>
  <c r="X49" i="31"/>
  <c r="S49" i="31"/>
  <c r="AW48" i="31"/>
  <c r="AR48" i="31"/>
  <c r="AM48" i="31"/>
  <c r="AH48" i="31"/>
  <c r="AC48" i="31"/>
  <c r="X48" i="31"/>
  <c r="S48" i="31"/>
  <c r="K48" i="31"/>
  <c r="J48" i="31"/>
  <c r="I48" i="31"/>
  <c r="AX47" i="31"/>
  <c r="AW47" i="31"/>
  <c r="AS47" i="31"/>
  <c r="AR47" i="31"/>
  <c r="AN47" i="31"/>
  <c r="AM47" i="31"/>
  <c r="AI47" i="31"/>
  <c r="AH47" i="31"/>
  <c r="AD47" i="31"/>
  <c r="AC47" i="31"/>
  <c r="Y47" i="31"/>
  <c r="X47" i="31"/>
  <c r="T47" i="31"/>
  <c r="S47" i="31"/>
  <c r="K47" i="31"/>
  <c r="M47" i="31" s="1"/>
  <c r="J47" i="31"/>
  <c r="I47" i="31"/>
  <c r="H47" i="31"/>
  <c r="P42" i="31"/>
  <c r="P62" i="31" s="1"/>
  <c r="AW41" i="31"/>
  <c r="AR41" i="31"/>
  <c r="AM41" i="31"/>
  <c r="AH41" i="31"/>
  <c r="AC41" i="31"/>
  <c r="X41" i="31"/>
  <c r="S41" i="31"/>
  <c r="AW40" i="31"/>
  <c r="AR40" i="31"/>
  <c r="AM40" i="31"/>
  <c r="AH40" i="31"/>
  <c r="AC40" i="31"/>
  <c r="X40" i="31"/>
  <c r="S40" i="31"/>
  <c r="AW39" i="31"/>
  <c r="AR39" i="31"/>
  <c r="AM39" i="31"/>
  <c r="AH39" i="31"/>
  <c r="AC39" i="31"/>
  <c r="X39" i="31"/>
  <c r="S39" i="31"/>
  <c r="AW38" i="31"/>
  <c r="AR38" i="31"/>
  <c r="AM38" i="31"/>
  <c r="AH38" i="31"/>
  <c r="AC38" i="31"/>
  <c r="X38" i="31"/>
  <c r="S38" i="31"/>
  <c r="AW37" i="31"/>
  <c r="AR37" i="31"/>
  <c r="AM37" i="31"/>
  <c r="AH37" i="31"/>
  <c r="AC37" i="31"/>
  <c r="X37" i="31"/>
  <c r="S37" i="31"/>
  <c r="AW36" i="31"/>
  <c r="AR36" i="31"/>
  <c r="AM36" i="31"/>
  <c r="AH36" i="31"/>
  <c r="AC36" i="31"/>
  <c r="X36" i="31"/>
  <c r="S36" i="31"/>
  <c r="AW35" i="31"/>
  <c r="AR35" i="31"/>
  <c r="AM35" i="31"/>
  <c r="AH35" i="31"/>
  <c r="AC35" i="31"/>
  <c r="X35" i="31"/>
  <c r="S35" i="31"/>
  <c r="AW34" i="31"/>
  <c r="AR34" i="31"/>
  <c r="AM34" i="31"/>
  <c r="AH34" i="31"/>
  <c r="AC34" i="31"/>
  <c r="X34" i="31"/>
  <c r="S34" i="31"/>
  <c r="AW33" i="31"/>
  <c r="AR33" i="31"/>
  <c r="AM33" i="31"/>
  <c r="AH33" i="31"/>
  <c r="AC33" i="31"/>
  <c r="X33" i="31"/>
  <c r="S33" i="31"/>
  <c r="AW32" i="31"/>
  <c r="AR32" i="31"/>
  <c r="AM32" i="31"/>
  <c r="AH32" i="31"/>
  <c r="AC32" i="31"/>
  <c r="X32" i="31"/>
  <c r="S32" i="31"/>
  <c r="AW31" i="31"/>
  <c r="AR31" i="31"/>
  <c r="AM31" i="31"/>
  <c r="AH31" i="31"/>
  <c r="AC31" i="31"/>
  <c r="X31" i="31"/>
  <c r="S31" i="31"/>
  <c r="AW30" i="31"/>
  <c r="AR30" i="31"/>
  <c r="AM30" i="31"/>
  <c r="AH30" i="31"/>
  <c r="AC30" i="31"/>
  <c r="X30" i="31"/>
  <c r="S30" i="31"/>
  <c r="AW29" i="31"/>
  <c r="AR29" i="31"/>
  <c r="AM29" i="31"/>
  <c r="AH29" i="31"/>
  <c r="AC29" i="31"/>
  <c r="X29" i="31"/>
  <c r="S29" i="31"/>
  <c r="AW28" i="31"/>
  <c r="AR28" i="31"/>
  <c r="AM28" i="31"/>
  <c r="AH28" i="31"/>
  <c r="AC28" i="31"/>
  <c r="X28" i="31"/>
  <c r="S28" i="31"/>
  <c r="K28" i="31"/>
  <c r="J28" i="31"/>
  <c r="I28" i="31"/>
  <c r="AX27" i="31"/>
  <c r="AW27" i="31"/>
  <c r="AS27" i="31"/>
  <c r="AR27" i="31"/>
  <c r="AN27" i="31"/>
  <c r="AM27" i="31"/>
  <c r="AI27" i="31"/>
  <c r="AH27" i="31"/>
  <c r="AD27" i="31"/>
  <c r="AC27" i="31"/>
  <c r="Y27" i="31"/>
  <c r="X27" i="31"/>
  <c r="T27" i="31"/>
  <c r="S27" i="31"/>
  <c r="K27" i="31"/>
  <c r="L27" i="31" s="1"/>
  <c r="J27" i="31"/>
  <c r="I27" i="31"/>
  <c r="H27" i="31"/>
  <c r="U22" i="31"/>
  <c r="Z22" i="31" s="1"/>
  <c r="AE22" i="31" s="1"/>
  <c r="AJ22" i="31" s="1"/>
  <c r="AO22" i="31" s="1"/>
  <c r="AT22" i="31" s="1"/>
  <c r="BB21" i="31"/>
  <c r="AW21" i="31"/>
  <c r="AR21" i="31"/>
  <c r="AM21" i="31"/>
  <c r="AH21" i="31"/>
  <c r="AC21" i="31"/>
  <c r="X21" i="31"/>
  <c r="S21" i="31"/>
  <c r="BB20" i="31"/>
  <c r="AW20" i="31"/>
  <c r="AR20" i="31"/>
  <c r="AM20" i="31"/>
  <c r="AH20" i="31"/>
  <c r="AC20" i="31"/>
  <c r="X20" i="31"/>
  <c r="S20" i="31"/>
  <c r="BB19" i="31"/>
  <c r="AW19" i="31"/>
  <c r="AR19" i="31"/>
  <c r="AM19" i="31"/>
  <c r="AH19" i="31"/>
  <c r="AC19" i="31"/>
  <c r="X19" i="31"/>
  <c r="S19" i="31"/>
  <c r="BB18" i="31"/>
  <c r="AW18" i="31"/>
  <c r="AR18" i="31"/>
  <c r="AM18" i="31"/>
  <c r="AH18" i="31"/>
  <c r="AC18" i="31"/>
  <c r="X18" i="31"/>
  <c r="S18" i="31"/>
  <c r="BB17" i="31"/>
  <c r="AW17" i="31"/>
  <c r="AR17" i="31"/>
  <c r="AM17" i="31"/>
  <c r="AH17" i="31"/>
  <c r="AC17" i="31"/>
  <c r="X17" i="31"/>
  <c r="S17" i="31"/>
  <c r="BB16" i="31"/>
  <c r="AW16" i="31"/>
  <c r="AR16" i="31"/>
  <c r="AM16" i="31"/>
  <c r="AH16" i="31"/>
  <c r="AC16" i="31"/>
  <c r="X16" i="31"/>
  <c r="S16" i="31"/>
  <c r="BB15" i="31"/>
  <c r="AW15" i="31"/>
  <c r="AR15" i="31"/>
  <c r="AM15" i="31"/>
  <c r="AH15" i="31"/>
  <c r="AC15" i="31"/>
  <c r="X15" i="31"/>
  <c r="S15" i="31"/>
  <c r="BB14" i="31"/>
  <c r="AW14" i="31"/>
  <c r="AR14" i="31"/>
  <c r="AM14" i="31"/>
  <c r="AH14" i="31"/>
  <c r="AC14" i="31"/>
  <c r="X14" i="31"/>
  <c r="S14" i="31"/>
  <c r="BB13" i="31"/>
  <c r="AW13" i="31"/>
  <c r="AR13" i="31"/>
  <c r="AM13" i="31"/>
  <c r="AH13" i="31"/>
  <c r="AC13" i="31"/>
  <c r="X13" i="31"/>
  <c r="S13" i="31"/>
  <c r="BB12" i="31"/>
  <c r="AW12" i="31"/>
  <c r="AR12" i="31"/>
  <c r="AM12" i="31"/>
  <c r="AH12" i="31"/>
  <c r="AC12" i="31"/>
  <c r="X12" i="31"/>
  <c r="S12" i="31"/>
  <c r="BB11" i="31"/>
  <c r="AW11" i="31"/>
  <c r="AR11" i="31"/>
  <c r="AM11" i="31"/>
  <c r="AH11" i="31"/>
  <c r="AC11" i="31"/>
  <c r="X11" i="31"/>
  <c r="S11" i="31"/>
  <c r="BB10" i="31"/>
  <c r="AW10" i="31"/>
  <c r="AR10" i="31"/>
  <c r="AM10" i="31"/>
  <c r="AH10" i="31"/>
  <c r="AC10" i="31"/>
  <c r="X10" i="31"/>
  <c r="S10" i="31"/>
  <c r="BB9" i="31"/>
  <c r="AW9" i="31"/>
  <c r="AR9" i="31"/>
  <c r="AM9" i="31"/>
  <c r="AH9" i="31"/>
  <c r="AC9" i="31"/>
  <c r="X9" i="31"/>
  <c r="S9" i="31"/>
  <c r="BB8" i="31"/>
  <c r="AW8" i="31"/>
  <c r="AR8" i="31"/>
  <c r="AM8" i="31"/>
  <c r="AH8" i="31"/>
  <c r="AC8" i="31"/>
  <c r="X8" i="31"/>
  <c r="S8" i="31"/>
  <c r="K8" i="31"/>
  <c r="M10" i="31" s="1"/>
  <c r="J8" i="31"/>
  <c r="I8" i="31"/>
  <c r="BB7" i="31"/>
  <c r="AX7" i="31"/>
  <c r="AW7" i="31"/>
  <c r="AS7" i="31"/>
  <c r="AR7" i="31"/>
  <c r="AN7" i="31"/>
  <c r="AM7" i="31"/>
  <c r="AI7" i="31"/>
  <c r="AH7" i="31"/>
  <c r="AD7" i="31"/>
  <c r="AC7" i="31"/>
  <c r="Y7" i="31"/>
  <c r="X7" i="31"/>
  <c r="T7" i="31"/>
  <c r="S7" i="31"/>
  <c r="M7" i="31"/>
  <c r="K7" i="31"/>
  <c r="M18" i="31" s="1"/>
  <c r="J7" i="31"/>
  <c r="I7" i="31"/>
  <c r="H7" i="31"/>
  <c r="AT2" i="31"/>
  <c r="K138" i="32"/>
  <c r="M138" i="32" s="1"/>
  <c r="J138" i="32"/>
  <c r="I138" i="32"/>
  <c r="K137" i="32"/>
  <c r="M137" i="32" s="1"/>
  <c r="J137" i="32"/>
  <c r="I137" i="32"/>
  <c r="K136" i="32"/>
  <c r="M136" i="32" s="1"/>
  <c r="J136" i="32"/>
  <c r="I136" i="32"/>
  <c r="K135" i="32"/>
  <c r="M135" i="32" s="1"/>
  <c r="J135" i="32"/>
  <c r="I135" i="32"/>
  <c r="K134" i="32"/>
  <c r="M134" i="32" s="1"/>
  <c r="J134" i="32"/>
  <c r="I134" i="32"/>
  <c r="K133" i="32"/>
  <c r="M133" i="32" s="1"/>
  <c r="J133" i="32"/>
  <c r="I133" i="32"/>
  <c r="K132" i="32"/>
  <c r="M132" i="32" s="1"/>
  <c r="J132" i="32"/>
  <c r="I132" i="32"/>
  <c r="K131" i="32"/>
  <c r="M131" i="32" s="1"/>
  <c r="J131" i="32"/>
  <c r="I131" i="32"/>
  <c r="K130" i="32"/>
  <c r="M130" i="32" s="1"/>
  <c r="J130" i="32"/>
  <c r="I130" i="32"/>
  <c r="K129" i="32"/>
  <c r="M129" i="32" s="1"/>
  <c r="J129" i="32"/>
  <c r="I129" i="32"/>
  <c r="K128" i="32"/>
  <c r="M142" i="32" s="1"/>
  <c r="J128" i="32"/>
  <c r="I128" i="32"/>
  <c r="H128" i="32"/>
  <c r="AW121" i="32"/>
  <c r="AR121" i="32"/>
  <c r="AM121" i="32"/>
  <c r="AH121" i="32"/>
  <c r="AC121" i="32"/>
  <c r="X121" i="32"/>
  <c r="S121" i="32"/>
  <c r="AW120" i="32"/>
  <c r="AR120" i="32"/>
  <c r="AM120" i="32"/>
  <c r="AH120" i="32"/>
  <c r="AC120" i="32"/>
  <c r="X120" i="32"/>
  <c r="S120" i="32"/>
  <c r="AW119" i="32"/>
  <c r="AR119" i="32"/>
  <c r="AM119" i="32"/>
  <c r="AH119" i="32"/>
  <c r="AC119" i="32"/>
  <c r="X119" i="32"/>
  <c r="S119" i="32"/>
  <c r="AW118" i="32"/>
  <c r="AR118" i="32"/>
  <c r="AM118" i="32"/>
  <c r="AH118" i="32"/>
  <c r="AC118" i="32"/>
  <c r="X118" i="32"/>
  <c r="S118" i="32"/>
  <c r="AW117" i="32"/>
  <c r="AR117" i="32"/>
  <c r="AM117" i="32"/>
  <c r="AH117" i="32"/>
  <c r="AC117" i="32"/>
  <c r="X117" i="32"/>
  <c r="S117" i="32"/>
  <c r="K117" i="32"/>
  <c r="M117" i="32" s="1"/>
  <c r="J117" i="32"/>
  <c r="I117" i="32"/>
  <c r="AW116" i="32"/>
  <c r="AR116" i="32"/>
  <c r="AM116" i="32"/>
  <c r="AH116" i="32"/>
  <c r="AC116" i="32"/>
  <c r="X116" i="32"/>
  <c r="S116" i="32"/>
  <c r="K116" i="32"/>
  <c r="M116" i="32" s="1"/>
  <c r="J116" i="32"/>
  <c r="I116" i="32"/>
  <c r="AW115" i="32"/>
  <c r="AR115" i="32"/>
  <c r="AM115" i="32"/>
  <c r="AH115" i="32"/>
  <c r="AC115" i="32"/>
  <c r="X115" i="32"/>
  <c r="S115" i="32"/>
  <c r="K115" i="32"/>
  <c r="M115" i="32" s="1"/>
  <c r="J115" i="32"/>
  <c r="I115" i="32"/>
  <c r="AW114" i="32"/>
  <c r="AR114" i="32"/>
  <c r="AM114" i="32"/>
  <c r="AH114" i="32"/>
  <c r="AC114" i="32"/>
  <c r="X114" i="32"/>
  <c r="S114" i="32"/>
  <c r="K114" i="32"/>
  <c r="M114" i="32" s="1"/>
  <c r="J114" i="32"/>
  <c r="I114" i="32"/>
  <c r="AW113" i="32"/>
  <c r="AR113" i="32"/>
  <c r="AM113" i="32"/>
  <c r="AH113" i="32"/>
  <c r="AC113" i="32"/>
  <c r="X113" i="32"/>
  <c r="S113" i="32"/>
  <c r="K113" i="32"/>
  <c r="M113" i="32" s="1"/>
  <c r="J113" i="32"/>
  <c r="I113" i="32"/>
  <c r="AW112" i="32"/>
  <c r="AR112" i="32"/>
  <c r="AM112" i="32"/>
  <c r="AH112" i="32"/>
  <c r="AC112" i="32"/>
  <c r="X112" i="32"/>
  <c r="S112" i="32"/>
  <c r="K112" i="32"/>
  <c r="M112" i="32" s="1"/>
  <c r="J112" i="32"/>
  <c r="I112" i="32"/>
  <c r="AW111" i="32"/>
  <c r="AR111" i="32"/>
  <c r="AM111" i="32"/>
  <c r="AH111" i="32"/>
  <c r="AC111" i="32"/>
  <c r="X111" i="32"/>
  <c r="S111" i="32"/>
  <c r="K111" i="32"/>
  <c r="M111" i="32" s="1"/>
  <c r="J111" i="32"/>
  <c r="I111" i="32"/>
  <c r="AW110" i="32"/>
  <c r="AR110" i="32"/>
  <c r="AM110" i="32"/>
  <c r="AH110" i="32"/>
  <c r="AC110" i="32"/>
  <c r="X110" i="32"/>
  <c r="S110" i="32"/>
  <c r="K110" i="32"/>
  <c r="M110" i="32" s="1"/>
  <c r="J110" i="32"/>
  <c r="I110" i="32"/>
  <c r="AW109" i="32"/>
  <c r="AR109" i="32"/>
  <c r="AM109" i="32"/>
  <c r="AH109" i="32"/>
  <c r="AC109" i="32"/>
  <c r="X109" i="32"/>
  <c r="S109" i="32"/>
  <c r="K109" i="32"/>
  <c r="M109" i="32" s="1"/>
  <c r="J109" i="32"/>
  <c r="I109" i="32"/>
  <c r="AW108" i="32"/>
  <c r="AR108" i="32"/>
  <c r="AM108" i="32"/>
  <c r="AH108" i="32"/>
  <c r="AC108" i="32"/>
  <c r="X108" i="32"/>
  <c r="S108" i="32"/>
  <c r="K108" i="32"/>
  <c r="M108" i="32" s="1"/>
  <c r="J108" i="32"/>
  <c r="I108" i="32"/>
  <c r="AX107" i="32"/>
  <c r="AW107" i="32"/>
  <c r="AS107" i="32"/>
  <c r="AR107" i="32"/>
  <c r="AN107" i="32"/>
  <c r="AM107" i="32"/>
  <c r="AI107" i="32"/>
  <c r="AH107" i="32"/>
  <c r="AD107" i="32"/>
  <c r="AC107" i="32"/>
  <c r="Y107" i="32"/>
  <c r="X107" i="32"/>
  <c r="T107" i="32"/>
  <c r="S107" i="32"/>
  <c r="K107" i="32"/>
  <c r="L107" i="32" s="1"/>
  <c r="J107" i="32"/>
  <c r="I107" i="32"/>
  <c r="H107" i="32"/>
  <c r="AW101" i="32"/>
  <c r="AR101" i="32"/>
  <c r="AM101" i="32"/>
  <c r="AH101" i="32"/>
  <c r="AC101" i="32"/>
  <c r="X101" i="32"/>
  <c r="S101" i="32"/>
  <c r="AW100" i="32"/>
  <c r="AR100" i="32"/>
  <c r="AM100" i="32"/>
  <c r="AH100" i="32"/>
  <c r="AC100" i="32"/>
  <c r="X100" i="32"/>
  <c r="S100" i="32"/>
  <c r="AW99" i="32"/>
  <c r="AR99" i="32"/>
  <c r="AM99" i="32"/>
  <c r="AH99" i="32"/>
  <c r="AC99" i="32"/>
  <c r="X99" i="32"/>
  <c r="S99" i="32"/>
  <c r="AW98" i="32"/>
  <c r="AR98" i="32"/>
  <c r="AM98" i="32"/>
  <c r="AH98" i="32"/>
  <c r="AC98" i="32"/>
  <c r="X98" i="32"/>
  <c r="S98" i="32"/>
  <c r="AW97" i="32"/>
  <c r="AR97" i="32"/>
  <c r="AM97" i="32"/>
  <c r="AH97" i="32"/>
  <c r="AC97" i="32"/>
  <c r="X97" i="32"/>
  <c r="S97" i="32"/>
  <c r="K97" i="32"/>
  <c r="J97" i="32"/>
  <c r="I97" i="32"/>
  <c r="AW96" i="32"/>
  <c r="AR96" i="32"/>
  <c r="AM96" i="32"/>
  <c r="AH96" i="32"/>
  <c r="AC96" i="32"/>
  <c r="X96" i="32"/>
  <c r="S96" i="32"/>
  <c r="K96" i="32"/>
  <c r="J96" i="32"/>
  <c r="I96" i="32"/>
  <c r="AW95" i="32"/>
  <c r="AR95" i="32"/>
  <c r="AM95" i="32"/>
  <c r="AH95" i="32"/>
  <c r="AC95" i="32"/>
  <c r="X95" i="32"/>
  <c r="S95" i="32"/>
  <c r="K95" i="32"/>
  <c r="J95" i="32"/>
  <c r="I95" i="32"/>
  <c r="AW94" i="32"/>
  <c r="AR94" i="32"/>
  <c r="AM94" i="32"/>
  <c r="AH94" i="32"/>
  <c r="AC94" i="32"/>
  <c r="X94" i="32"/>
  <c r="S94" i="32"/>
  <c r="K94" i="32"/>
  <c r="J94" i="32"/>
  <c r="I94" i="32"/>
  <c r="AW93" i="32"/>
  <c r="AR93" i="32"/>
  <c r="AM93" i="32"/>
  <c r="AH93" i="32"/>
  <c r="AC93" i="32"/>
  <c r="X93" i="32"/>
  <c r="S93" i="32"/>
  <c r="K93" i="32"/>
  <c r="J93" i="32"/>
  <c r="I93" i="32"/>
  <c r="AW92" i="32"/>
  <c r="AR92" i="32"/>
  <c r="AM92" i="32"/>
  <c r="AH92" i="32"/>
  <c r="AC92" i="32"/>
  <c r="X92" i="32"/>
  <c r="S92" i="32"/>
  <c r="K92" i="32"/>
  <c r="J92" i="32"/>
  <c r="I92" i="32"/>
  <c r="AW91" i="32"/>
  <c r="AR91" i="32"/>
  <c r="AM91" i="32"/>
  <c r="AH91" i="32"/>
  <c r="AC91" i="32"/>
  <c r="X91" i="32"/>
  <c r="S91" i="32"/>
  <c r="K91" i="32"/>
  <c r="J91" i="32"/>
  <c r="I91" i="32"/>
  <c r="AW90" i="32"/>
  <c r="AR90" i="32"/>
  <c r="AM90" i="32"/>
  <c r="AH90" i="32"/>
  <c r="AC90" i="32"/>
  <c r="X90" i="32"/>
  <c r="S90" i="32"/>
  <c r="K90" i="32"/>
  <c r="J90" i="32"/>
  <c r="I90" i="32"/>
  <c r="AW89" i="32"/>
  <c r="AR89" i="32"/>
  <c r="AM89" i="32"/>
  <c r="AH89" i="32"/>
  <c r="AC89" i="32"/>
  <c r="X89" i="32"/>
  <c r="S89" i="32"/>
  <c r="K89" i="32"/>
  <c r="J89" i="32"/>
  <c r="I89" i="32"/>
  <c r="AW88" i="32"/>
  <c r="AR88" i="32"/>
  <c r="AM88" i="32"/>
  <c r="AH88" i="32"/>
  <c r="AC88" i="32"/>
  <c r="X88" i="32"/>
  <c r="S88" i="32"/>
  <c r="K88" i="32"/>
  <c r="J88" i="32"/>
  <c r="I88" i="32"/>
  <c r="AX87" i="32"/>
  <c r="AW87" i="32"/>
  <c r="AS87" i="32"/>
  <c r="AR87" i="32"/>
  <c r="AN87" i="32"/>
  <c r="AM87" i="32"/>
  <c r="AI87" i="32"/>
  <c r="AH87" i="32"/>
  <c r="AD87" i="32"/>
  <c r="AC87" i="32"/>
  <c r="Y87" i="32"/>
  <c r="X87" i="32"/>
  <c r="T87" i="32"/>
  <c r="S87" i="32"/>
  <c r="K87" i="32"/>
  <c r="J87" i="32"/>
  <c r="I87" i="32"/>
  <c r="H87" i="32"/>
  <c r="AW81" i="32"/>
  <c r="AR81" i="32"/>
  <c r="AM81" i="32"/>
  <c r="AH81" i="32"/>
  <c r="AC81" i="32"/>
  <c r="X81" i="32"/>
  <c r="S81" i="32"/>
  <c r="AW80" i="32"/>
  <c r="AR80" i="32"/>
  <c r="AM80" i="32"/>
  <c r="AH80" i="32"/>
  <c r="AC80" i="32"/>
  <c r="X80" i="32"/>
  <c r="S80" i="32"/>
  <c r="AW79" i="32"/>
  <c r="AR79" i="32"/>
  <c r="AM79" i="32"/>
  <c r="AH79" i="32"/>
  <c r="AC79" i="32"/>
  <c r="X79" i="32"/>
  <c r="S79" i="32"/>
  <c r="AW78" i="32"/>
  <c r="AR78" i="32"/>
  <c r="AM78" i="32"/>
  <c r="AH78" i="32"/>
  <c r="AC78" i="32"/>
  <c r="X78" i="32"/>
  <c r="S78" i="32"/>
  <c r="AW77" i="32"/>
  <c r="AR77" i="32"/>
  <c r="AM77" i="32"/>
  <c r="AH77" i="32"/>
  <c r="AC77" i="32"/>
  <c r="X77" i="32"/>
  <c r="S77" i="32"/>
  <c r="AW76" i="32"/>
  <c r="AR76" i="32"/>
  <c r="AM76" i="32"/>
  <c r="AH76" i="32"/>
  <c r="AC76" i="32"/>
  <c r="X76" i="32"/>
  <c r="S76" i="32"/>
  <c r="K76" i="32"/>
  <c r="J76" i="32"/>
  <c r="I76" i="32"/>
  <c r="AW75" i="32"/>
  <c r="AR75" i="32"/>
  <c r="AM75" i="32"/>
  <c r="AH75" i="32"/>
  <c r="AC75" i="32"/>
  <c r="X75" i="32"/>
  <c r="S75" i="32"/>
  <c r="K75" i="32"/>
  <c r="J75" i="32"/>
  <c r="I75" i="32"/>
  <c r="AW74" i="32"/>
  <c r="AR74" i="32"/>
  <c r="AM74" i="32"/>
  <c r="AH74" i="32"/>
  <c r="AC74" i="32"/>
  <c r="X74" i="32"/>
  <c r="S74" i="32"/>
  <c r="K74" i="32"/>
  <c r="J74" i="32"/>
  <c r="I74" i="32"/>
  <c r="AW73" i="32"/>
  <c r="AR73" i="32"/>
  <c r="AM73" i="32"/>
  <c r="AH73" i="32"/>
  <c r="AC73" i="32"/>
  <c r="X73" i="32"/>
  <c r="S73" i="32"/>
  <c r="K73" i="32"/>
  <c r="J73" i="32"/>
  <c r="I73" i="32"/>
  <c r="AW72" i="32"/>
  <c r="AR72" i="32"/>
  <c r="AM72" i="32"/>
  <c r="AH72" i="32"/>
  <c r="AC72" i="32"/>
  <c r="X72" i="32"/>
  <c r="S72" i="32"/>
  <c r="K72" i="32"/>
  <c r="J72" i="32"/>
  <c r="I72" i="32"/>
  <c r="AW71" i="32"/>
  <c r="AR71" i="32"/>
  <c r="AM71" i="32"/>
  <c r="AH71" i="32"/>
  <c r="AC71" i="32"/>
  <c r="X71" i="32"/>
  <c r="S71" i="32"/>
  <c r="K71" i="32"/>
  <c r="J71" i="32"/>
  <c r="I71" i="32"/>
  <c r="AW70" i="32"/>
  <c r="AR70" i="32"/>
  <c r="AM70" i="32"/>
  <c r="AH70" i="32"/>
  <c r="AC70" i="32"/>
  <c r="X70" i="32"/>
  <c r="S70" i="32"/>
  <c r="K70" i="32"/>
  <c r="J70" i="32"/>
  <c r="I70" i="32"/>
  <c r="AW69" i="32"/>
  <c r="AR69" i="32"/>
  <c r="AM69" i="32"/>
  <c r="AH69" i="32"/>
  <c r="AC69" i="32"/>
  <c r="X69" i="32"/>
  <c r="S69" i="32"/>
  <c r="K69" i="32"/>
  <c r="J69" i="32"/>
  <c r="I69" i="32"/>
  <c r="AW68" i="32"/>
  <c r="AR68" i="32"/>
  <c r="AM68" i="32"/>
  <c r="AH68" i="32"/>
  <c r="AC68" i="32"/>
  <c r="X68" i="32"/>
  <c r="S68" i="32"/>
  <c r="K68" i="32"/>
  <c r="J68" i="32"/>
  <c r="I68" i="32"/>
  <c r="AX67" i="32"/>
  <c r="AW67" i="32"/>
  <c r="AS67" i="32"/>
  <c r="AR67" i="32"/>
  <c r="AN67" i="32"/>
  <c r="AM67" i="32"/>
  <c r="AI67" i="32"/>
  <c r="AH67" i="32"/>
  <c r="AD67" i="32"/>
  <c r="AC67" i="32"/>
  <c r="Y67" i="32"/>
  <c r="X67" i="32"/>
  <c r="T67" i="32"/>
  <c r="S67" i="32"/>
  <c r="K67" i="32"/>
  <c r="J67" i="32"/>
  <c r="I67" i="32"/>
  <c r="H67" i="32"/>
  <c r="AW61" i="32"/>
  <c r="AR61" i="32"/>
  <c r="AM61" i="32"/>
  <c r="AH61" i="32"/>
  <c r="AC61" i="32"/>
  <c r="X61" i="32"/>
  <c r="S61" i="32"/>
  <c r="AW60" i="32"/>
  <c r="AR60" i="32"/>
  <c r="AM60" i="32"/>
  <c r="AH60" i="32"/>
  <c r="AC60" i="32"/>
  <c r="X60" i="32"/>
  <c r="S60" i="32"/>
  <c r="AW59" i="32"/>
  <c r="AR59" i="32"/>
  <c r="AM59" i="32"/>
  <c r="AH59" i="32"/>
  <c r="AC59" i="32"/>
  <c r="X59" i="32"/>
  <c r="S59" i="32"/>
  <c r="AW58" i="32"/>
  <c r="AR58" i="32"/>
  <c r="AM58" i="32"/>
  <c r="AH58" i="32"/>
  <c r="AC58" i="32"/>
  <c r="X58" i="32"/>
  <c r="S58" i="32"/>
  <c r="AW57" i="32"/>
  <c r="AR57" i="32"/>
  <c r="AM57" i="32"/>
  <c r="AH57" i="32"/>
  <c r="AC57" i="32"/>
  <c r="X57" i="32"/>
  <c r="S57" i="32"/>
  <c r="AW56" i="32"/>
  <c r="AR56" i="32"/>
  <c r="AM56" i="32"/>
  <c r="AH56" i="32"/>
  <c r="AC56" i="32"/>
  <c r="X56" i="32"/>
  <c r="S56" i="32"/>
  <c r="K56" i="32"/>
  <c r="J56" i="32"/>
  <c r="I56" i="32"/>
  <c r="AW55" i="32"/>
  <c r="AR55" i="32"/>
  <c r="AM55" i="32"/>
  <c r="AH55" i="32"/>
  <c r="AC55" i="32"/>
  <c r="X55" i="32"/>
  <c r="S55" i="32"/>
  <c r="K55" i="32"/>
  <c r="J55" i="32"/>
  <c r="I55" i="32"/>
  <c r="AW54" i="32"/>
  <c r="AR54" i="32"/>
  <c r="AM54" i="32"/>
  <c r="AH54" i="32"/>
  <c r="AC54" i="32"/>
  <c r="X54" i="32"/>
  <c r="S54" i="32"/>
  <c r="K54" i="32"/>
  <c r="J54" i="32"/>
  <c r="I54" i="32"/>
  <c r="AW53" i="32"/>
  <c r="AR53" i="32"/>
  <c r="AM53" i="32"/>
  <c r="AH53" i="32"/>
  <c r="AC53" i="32"/>
  <c r="X53" i="32"/>
  <c r="S53" i="32"/>
  <c r="K53" i="32"/>
  <c r="J53" i="32"/>
  <c r="I53" i="32"/>
  <c r="AW52" i="32"/>
  <c r="AR52" i="32"/>
  <c r="AM52" i="32"/>
  <c r="AH52" i="32"/>
  <c r="AC52" i="32"/>
  <c r="X52" i="32"/>
  <c r="S52" i="32"/>
  <c r="K52" i="32"/>
  <c r="J52" i="32"/>
  <c r="I52" i="32"/>
  <c r="AW51" i="32"/>
  <c r="AR51" i="32"/>
  <c r="AM51" i="32"/>
  <c r="AH51" i="32"/>
  <c r="AC51" i="32"/>
  <c r="X51" i="32"/>
  <c r="S51" i="32"/>
  <c r="K51" i="32"/>
  <c r="J51" i="32"/>
  <c r="I51" i="32"/>
  <c r="AW50" i="32"/>
  <c r="AR50" i="32"/>
  <c r="AM50" i="32"/>
  <c r="AH50" i="32"/>
  <c r="AC50" i="32"/>
  <c r="X50" i="32"/>
  <c r="S50" i="32"/>
  <c r="K50" i="32"/>
  <c r="J50" i="32"/>
  <c r="I50" i="32"/>
  <c r="AW49" i="32"/>
  <c r="AR49" i="32"/>
  <c r="AM49" i="32"/>
  <c r="AH49" i="32"/>
  <c r="AC49" i="32"/>
  <c r="X49" i="32"/>
  <c r="S49" i="32"/>
  <c r="K49" i="32"/>
  <c r="J49" i="32"/>
  <c r="I49" i="32"/>
  <c r="AW48" i="32"/>
  <c r="AR48" i="32"/>
  <c r="AM48" i="32"/>
  <c r="AH48" i="32"/>
  <c r="AC48" i="32"/>
  <c r="X48" i="32"/>
  <c r="S48" i="32"/>
  <c r="K48" i="32"/>
  <c r="J48" i="32"/>
  <c r="I48" i="32"/>
  <c r="AX47" i="32"/>
  <c r="AW47" i="32"/>
  <c r="AS47" i="32"/>
  <c r="AR47" i="32"/>
  <c r="AN47" i="32"/>
  <c r="AM47" i="32"/>
  <c r="AI47" i="32"/>
  <c r="AH47" i="32"/>
  <c r="AD47" i="32"/>
  <c r="AC47" i="32"/>
  <c r="Y47" i="32"/>
  <c r="X47" i="32"/>
  <c r="T47" i="32"/>
  <c r="S47" i="32"/>
  <c r="K47" i="32"/>
  <c r="J47" i="32"/>
  <c r="I47" i="32"/>
  <c r="H47" i="32"/>
  <c r="P42" i="32"/>
  <c r="P62" i="32" s="1"/>
  <c r="S41" i="32"/>
  <c r="AM40" i="32"/>
  <c r="AH40" i="32"/>
  <c r="AC40" i="32"/>
  <c r="X40" i="32"/>
  <c r="S40" i="32"/>
  <c r="AM39" i="32"/>
  <c r="AH39" i="32"/>
  <c r="AC39" i="32"/>
  <c r="X39" i="32"/>
  <c r="S39" i="32"/>
  <c r="AM38" i="32"/>
  <c r="AH38" i="32"/>
  <c r="AC38" i="32"/>
  <c r="X38" i="32"/>
  <c r="S38" i="32"/>
  <c r="K38" i="32"/>
  <c r="J38" i="32"/>
  <c r="I38" i="32"/>
  <c r="AM37" i="32"/>
  <c r="AH37" i="32"/>
  <c r="AC37" i="32"/>
  <c r="X37" i="32"/>
  <c r="S37" i="32"/>
  <c r="K37" i="32"/>
  <c r="J37" i="32"/>
  <c r="I37" i="32"/>
  <c r="AM36" i="32"/>
  <c r="AH36" i="32"/>
  <c r="AC36" i="32"/>
  <c r="X36" i="32"/>
  <c r="S36" i="32"/>
  <c r="K36" i="32"/>
  <c r="J36" i="32"/>
  <c r="I36" i="32"/>
  <c r="AM35" i="32"/>
  <c r="AH35" i="32"/>
  <c r="AC35" i="32"/>
  <c r="X35" i="32"/>
  <c r="S35" i="32"/>
  <c r="K35" i="32"/>
  <c r="J35" i="32"/>
  <c r="I35" i="32"/>
  <c r="AM34" i="32"/>
  <c r="AH34" i="32"/>
  <c r="AC34" i="32"/>
  <c r="X34" i="32"/>
  <c r="S34" i="32"/>
  <c r="K34" i="32"/>
  <c r="J34" i="32"/>
  <c r="I34" i="32"/>
  <c r="AM33" i="32"/>
  <c r="AH33" i="32"/>
  <c r="AC33" i="32"/>
  <c r="X33" i="32"/>
  <c r="S33" i="32"/>
  <c r="K33" i="32"/>
  <c r="J33" i="32"/>
  <c r="I33" i="32"/>
  <c r="AM32" i="32"/>
  <c r="AH32" i="32"/>
  <c r="AC32" i="32"/>
  <c r="X32" i="32"/>
  <c r="S32" i="32"/>
  <c r="K32" i="32"/>
  <c r="J32" i="32"/>
  <c r="I32" i="32"/>
  <c r="AM31" i="32"/>
  <c r="AH31" i="32"/>
  <c r="AC31" i="32"/>
  <c r="X31" i="32"/>
  <c r="S31" i="32"/>
  <c r="K31" i="32"/>
  <c r="J31" i="32"/>
  <c r="I31" i="32"/>
  <c r="AM30" i="32"/>
  <c r="AH30" i="32"/>
  <c r="AC30" i="32"/>
  <c r="X30" i="32"/>
  <c r="S30" i="32"/>
  <c r="K30" i="32"/>
  <c r="J30" i="32"/>
  <c r="I30" i="32"/>
  <c r="AM29" i="32"/>
  <c r="AH29" i="32"/>
  <c r="AC29" i="32"/>
  <c r="X29" i="32"/>
  <c r="S29" i="32"/>
  <c r="K29" i="32"/>
  <c r="J29" i="32"/>
  <c r="I29" i="32"/>
  <c r="AM28" i="32"/>
  <c r="AH28" i="32"/>
  <c r="AC28" i="32"/>
  <c r="X28" i="32"/>
  <c r="S28" i="32"/>
  <c r="K28" i="32"/>
  <c r="J28" i="32"/>
  <c r="I28" i="32"/>
  <c r="AX27" i="32"/>
  <c r="AS27" i="32"/>
  <c r="AN27" i="32"/>
  <c r="AM27" i="32"/>
  <c r="AI27" i="32"/>
  <c r="AH27" i="32"/>
  <c r="AD27" i="32"/>
  <c r="AC27" i="32"/>
  <c r="Y27" i="32"/>
  <c r="X27" i="32"/>
  <c r="T27" i="32"/>
  <c r="S27" i="32"/>
  <c r="K27" i="32"/>
  <c r="J27" i="32"/>
  <c r="I27" i="32"/>
  <c r="H27" i="32"/>
  <c r="Z22" i="32"/>
  <c r="AE22" i="32" s="1"/>
  <c r="AJ22" i="32" s="1"/>
  <c r="AO22" i="32" s="1"/>
  <c r="AT22" i="32" s="1"/>
  <c r="U22" i="32"/>
  <c r="BB21" i="32"/>
  <c r="AW21" i="32"/>
  <c r="AR21" i="32"/>
  <c r="AM21" i="32"/>
  <c r="AH21" i="32"/>
  <c r="AC21" i="32"/>
  <c r="X21" i="32"/>
  <c r="S21" i="32"/>
  <c r="BB20" i="32"/>
  <c r="AW20" i="32"/>
  <c r="AR20" i="32"/>
  <c r="AM20" i="32"/>
  <c r="AH20" i="32"/>
  <c r="AC20" i="32"/>
  <c r="X20" i="32"/>
  <c r="S20" i="32"/>
  <c r="BB19" i="32"/>
  <c r="AW19" i="32"/>
  <c r="AR19" i="32"/>
  <c r="AM19" i="32"/>
  <c r="AH19" i="32"/>
  <c r="AC19" i="32"/>
  <c r="X19" i="32"/>
  <c r="S19" i="32"/>
  <c r="BB18" i="32"/>
  <c r="AW18" i="32"/>
  <c r="AR18" i="32"/>
  <c r="AM18" i="32"/>
  <c r="AH18" i="32"/>
  <c r="AC18" i="32"/>
  <c r="X18" i="32"/>
  <c r="S18" i="32"/>
  <c r="K18" i="32"/>
  <c r="J18" i="32"/>
  <c r="I18" i="32"/>
  <c r="BB17" i="32"/>
  <c r="AW17" i="32"/>
  <c r="AR17" i="32"/>
  <c r="AM17" i="32"/>
  <c r="AH17" i="32"/>
  <c r="AC17" i="32"/>
  <c r="X17" i="32"/>
  <c r="S17" i="32"/>
  <c r="K17" i="32"/>
  <c r="J17" i="32"/>
  <c r="I17" i="32"/>
  <c r="BB16" i="32"/>
  <c r="AW16" i="32"/>
  <c r="AR16" i="32"/>
  <c r="AM16" i="32"/>
  <c r="AH16" i="32"/>
  <c r="AC16" i="32"/>
  <c r="X16" i="32"/>
  <c r="S16" i="32"/>
  <c r="K16" i="32"/>
  <c r="J16" i="32"/>
  <c r="I16" i="32"/>
  <c r="BB15" i="32"/>
  <c r="AW15" i="32"/>
  <c r="AR15" i="32"/>
  <c r="AM15" i="32"/>
  <c r="AH15" i="32"/>
  <c r="AC15" i="32"/>
  <c r="X15" i="32"/>
  <c r="S15" i="32"/>
  <c r="K15" i="32"/>
  <c r="J15" i="32"/>
  <c r="I15" i="32"/>
  <c r="BB14" i="32"/>
  <c r="AW14" i="32"/>
  <c r="AR14" i="32"/>
  <c r="AM14" i="32"/>
  <c r="AH14" i="32"/>
  <c r="AC14" i="32"/>
  <c r="X14" i="32"/>
  <c r="S14" i="32"/>
  <c r="K14" i="32"/>
  <c r="J14" i="32"/>
  <c r="I14" i="32"/>
  <c r="BB13" i="32"/>
  <c r="AW13" i="32"/>
  <c r="AR13" i="32"/>
  <c r="AM13" i="32"/>
  <c r="AH13" i="32"/>
  <c r="AC13" i="32"/>
  <c r="X13" i="32"/>
  <c r="S13" i="32"/>
  <c r="K13" i="32"/>
  <c r="J13" i="32"/>
  <c r="I13" i="32"/>
  <c r="BB12" i="32"/>
  <c r="AW12" i="32"/>
  <c r="AR12" i="32"/>
  <c r="AM12" i="32"/>
  <c r="AH12" i="32"/>
  <c r="AC12" i="32"/>
  <c r="X12" i="32"/>
  <c r="S12" i="32"/>
  <c r="K12" i="32"/>
  <c r="J12" i="32"/>
  <c r="I12" i="32"/>
  <c r="BB11" i="32"/>
  <c r="AW11" i="32"/>
  <c r="AR11" i="32"/>
  <c r="AM11" i="32"/>
  <c r="AH11" i="32"/>
  <c r="AC11" i="32"/>
  <c r="X11" i="32"/>
  <c r="S11" i="32"/>
  <c r="K11" i="32"/>
  <c r="J11" i="32"/>
  <c r="I11" i="32"/>
  <c r="BB10" i="32"/>
  <c r="AW10" i="32"/>
  <c r="AR10" i="32"/>
  <c r="AM10" i="32"/>
  <c r="AH10" i="32"/>
  <c r="AC10" i="32"/>
  <c r="X10" i="32"/>
  <c r="S10" i="32"/>
  <c r="K10" i="32"/>
  <c r="J10" i="32"/>
  <c r="I10" i="32"/>
  <c r="BB9" i="32"/>
  <c r="AW9" i="32"/>
  <c r="AR9" i="32"/>
  <c r="AM9" i="32"/>
  <c r="AH9" i="32"/>
  <c r="AC9" i="32"/>
  <c r="X9" i="32"/>
  <c r="S9" i="32"/>
  <c r="K9" i="32"/>
  <c r="J9" i="32"/>
  <c r="I9" i="32"/>
  <c r="BB8" i="32"/>
  <c r="AW8" i="32"/>
  <c r="AR8" i="32"/>
  <c r="AM8" i="32"/>
  <c r="AH8" i="32"/>
  <c r="AC8" i="32"/>
  <c r="X8" i="32"/>
  <c r="S8" i="32"/>
  <c r="K8" i="32"/>
  <c r="J8" i="32"/>
  <c r="I8" i="32"/>
  <c r="BB7" i="32"/>
  <c r="AX7" i="32"/>
  <c r="AW7" i="32"/>
  <c r="AS7" i="32"/>
  <c r="AR7" i="32"/>
  <c r="AN7" i="32"/>
  <c r="AM7" i="32"/>
  <c r="AI7" i="32"/>
  <c r="AH7" i="32"/>
  <c r="AD7" i="32"/>
  <c r="AC7" i="32"/>
  <c r="Y7" i="32"/>
  <c r="X7" i="32"/>
  <c r="T7" i="32"/>
  <c r="S7" i="32"/>
  <c r="K7" i="32"/>
  <c r="J7" i="32"/>
  <c r="I7" i="32"/>
  <c r="H7" i="32"/>
  <c r="AT2" i="32"/>
  <c r="K134" i="30"/>
  <c r="M134" i="30" s="1"/>
  <c r="J134" i="30"/>
  <c r="I134" i="30"/>
  <c r="K133" i="30"/>
  <c r="M133" i="30" s="1"/>
  <c r="J133" i="30"/>
  <c r="I133" i="30"/>
  <c r="K132" i="30"/>
  <c r="M132" i="30" s="1"/>
  <c r="J132" i="30"/>
  <c r="I132" i="30"/>
  <c r="K131" i="30"/>
  <c r="M131" i="30" s="1"/>
  <c r="J131" i="30"/>
  <c r="I131" i="30"/>
  <c r="K130" i="30"/>
  <c r="M130" i="30" s="1"/>
  <c r="J130" i="30"/>
  <c r="I130" i="30"/>
  <c r="K129" i="30"/>
  <c r="M129" i="30" s="1"/>
  <c r="J129" i="30"/>
  <c r="I129" i="30"/>
  <c r="K128" i="30"/>
  <c r="M142" i="30" s="1"/>
  <c r="J128" i="30"/>
  <c r="I128" i="30"/>
  <c r="H128" i="30"/>
  <c r="AW121" i="30"/>
  <c r="AR121" i="30"/>
  <c r="AM121" i="30"/>
  <c r="AH121" i="30"/>
  <c r="AC121" i="30"/>
  <c r="X121" i="30"/>
  <c r="S121" i="30"/>
  <c r="AW120" i="30"/>
  <c r="AR120" i="30"/>
  <c r="AM120" i="30"/>
  <c r="AH120" i="30"/>
  <c r="AC120" i="30"/>
  <c r="X120" i="30"/>
  <c r="S120" i="30"/>
  <c r="AW119" i="30"/>
  <c r="AR119" i="30"/>
  <c r="AM119" i="30"/>
  <c r="AH119" i="30"/>
  <c r="AC119" i="30"/>
  <c r="X119" i="30"/>
  <c r="S119" i="30"/>
  <c r="AW118" i="30"/>
  <c r="AR118" i="30"/>
  <c r="AM118" i="30"/>
  <c r="AH118" i="30"/>
  <c r="AC118" i="30"/>
  <c r="X118" i="30"/>
  <c r="S118" i="30"/>
  <c r="AW117" i="30"/>
  <c r="AR117" i="30"/>
  <c r="AM117" i="30"/>
  <c r="AH117" i="30"/>
  <c r="AC117" i="30"/>
  <c r="X117" i="30"/>
  <c r="S117" i="30"/>
  <c r="AW116" i="30"/>
  <c r="AR116" i="30"/>
  <c r="AM116" i="30"/>
  <c r="AH116" i="30"/>
  <c r="AC116" i="30"/>
  <c r="X116" i="30"/>
  <c r="S116" i="30"/>
  <c r="AW115" i="30"/>
  <c r="AR115" i="30"/>
  <c r="AM115" i="30"/>
  <c r="AH115" i="30"/>
  <c r="AC115" i="30"/>
  <c r="X115" i="30"/>
  <c r="S115" i="30"/>
  <c r="AW114" i="30"/>
  <c r="AR114" i="30"/>
  <c r="AM114" i="30"/>
  <c r="AH114" i="30"/>
  <c r="AC114" i="30"/>
  <c r="X114" i="30"/>
  <c r="S114" i="30"/>
  <c r="AW113" i="30"/>
  <c r="AR113" i="30"/>
  <c r="AM113" i="30"/>
  <c r="AH113" i="30"/>
  <c r="AC113" i="30"/>
  <c r="X113" i="30"/>
  <c r="S113" i="30"/>
  <c r="K113" i="30"/>
  <c r="M113" i="30" s="1"/>
  <c r="J113" i="30"/>
  <c r="I113" i="30"/>
  <c r="AW112" i="30"/>
  <c r="AR112" i="30"/>
  <c r="AM112" i="30"/>
  <c r="AH112" i="30"/>
  <c r="AC112" i="30"/>
  <c r="X112" i="30"/>
  <c r="S112" i="30"/>
  <c r="K112" i="30"/>
  <c r="M112" i="30" s="1"/>
  <c r="J112" i="30"/>
  <c r="I112" i="30"/>
  <c r="AW111" i="30"/>
  <c r="AR111" i="30"/>
  <c r="AM111" i="30"/>
  <c r="AH111" i="30"/>
  <c r="AC111" i="30"/>
  <c r="X111" i="30"/>
  <c r="S111" i="30"/>
  <c r="K111" i="30"/>
  <c r="M111" i="30" s="1"/>
  <c r="J111" i="30"/>
  <c r="I111" i="30"/>
  <c r="AW110" i="30"/>
  <c r="AR110" i="30"/>
  <c r="AM110" i="30"/>
  <c r="AH110" i="30"/>
  <c r="AC110" i="30"/>
  <c r="X110" i="30"/>
  <c r="S110" i="30"/>
  <c r="K110" i="30"/>
  <c r="M110" i="30" s="1"/>
  <c r="J110" i="30"/>
  <c r="I110" i="30"/>
  <c r="AW109" i="30"/>
  <c r="AR109" i="30"/>
  <c r="AM109" i="30"/>
  <c r="AH109" i="30"/>
  <c r="AC109" i="30"/>
  <c r="X109" i="30"/>
  <c r="S109" i="30"/>
  <c r="K109" i="30"/>
  <c r="M109" i="30" s="1"/>
  <c r="J109" i="30"/>
  <c r="I109" i="30"/>
  <c r="AW108" i="30"/>
  <c r="AR108" i="30"/>
  <c r="AM108" i="30"/>
  <c r="AH108" i="30"/>
  <c r="AC108" i="30"/>
  <c r="X108" i="30"/>
  <c r="S108" i="30"/>
  <c r="K108" i="30"/>
  <c r="M108" i="30" s="1"/>
  <c r="J108" i="30"/>
  <c r="I108" i="30"/>
  <c r="AX107" i="30"/>
  <c r="AW107" i="30"/>
  <c r="AS107" i="30"/>
  <c r="AR107" i="30"/>
  <c r="AN107" i="30"/>
  <c r="AM107" i="30"/>
  <c r="AI107" i="30"/>
  <c r="AH107" i="30"/>
  <c r="AD107" i="30"/>
  <c r="AC107" i="30"/>
  <c r="Y107" i="30"/>
  <c r="X107" i="30"/>
  <c r="T107" i="30"/>
  <c r="S107" i="30"/>
  <c r="K107" i="30"/>
  <c r="M107" i="30" s="1"/>
  <c r="J107" i="30"/>
  <c r="I107" i="30"/>
  <c r="H107" i="30"/>
  <c r="AW101" i="30"/>
  <c r="AR101" i="30"/>
  <c r="AM101" i="30"/>
  <c r="AH101" i="30"/>
  <c r="AC101" i="30"/>
  <c r="X101" i="30"/>
  <c r="S101" i="30"/>
  <c r="AW100" i="30"/>
  <c r="AR100" i="30"/>
  <c r="AM100" i="30"/>
  <c r="AH100" i="30"/>
  <c r="AC100" i="30"/>
  <c r="X100" i="30"/>
  <c r="S100" i="30"/>
  <c r="AW99" i="30"/>
  <c r="AR99" i="30"/>
  <c r="AM99" i="30"/>
  <c r="AH99" i="30"/>
  <c r="AC99" i="30"/>
  <c r="X99" i="30"/>
  <c r="S99" i="30"/>
  <c r="AW98" i="30"/>
  <c r="AR98" i="30"/>
  <c r="AM98" i="30"/>
  <c r="AH98" i="30"/>
  <c r="AC98" i="30"/>
  <c r="X98" i="30"/>
  <c r="S98" i="30"/>
  <c r="AW97" i="30"/>
  <c r="AR97" i="30"/>
  <c r="AM97" i="30"/>
  <c r="AH97" i="30"/>
  <c r="AC97" i="30"/>
  <c r="X97" i="30"/>
  <c r="S97" i="30"/>
  <c r="AW96" i="30"/>
  <c r="AR96" i="30"/>
  <c r="AM96" i="30"/>
  <c r="AH96" i="30"/>
  <c r="AC96" i="30"/>
  <c r="X96" i="30"/>
  <c r="S96" i="30"/>
  <c r="AW95" i="30"/>
  <c r="AR95" i="30"/>
  <c r="AM95" i="30"/>
  <c r="AH95" i="30"/>
  <c r="AC95" i="30"/>
  <c r="X95" i="30"/>
  <c r="S95" i="30"/>
  <c r="AW94" i="30"/>
  <c r="AR94" i="30"/>
  <c r="AM94" i="30"/>
  <c r="AH94" i="30"/>
  <c r="AC94" i="30"/>
  <c r="X94" i="30"/>
  <c r="S94" i="30"/>
  <c r="AW93" i="30"/>
  <c r="AR93" i="30"/>
  <c r="AM93" i="30"/>
  <c r="AH93" i="30"/>
  <c r="AC93" i="30"/>
  <c r="X93" i="30"/>
  <c r="S93" i="30"/>
  <c r="AW92" i="30"/>
  <c r="AR92" i="30"/>
  <c r="AM92" i="30"/>
  <c r="AH92" i="30"/>
  <c r="AC92" i="30"/>
  <c r="X92" i="30"/>
  <c r="S92" i="30"/>
  <c r="AW91" i="30"/>
  <c r="AR91" i="30"/>
  <c r="AM91" i="30"/>
  <c r="AH91" i="30"/>
  <c r="AC91" i="30"/>
  <c r="X91" i="30"/>
  <c r="S91" i="30"/>
  <c r="K91" i="30"/>
  <c r="J91" i="30"/>
  <c r="I91" i="30"/>
  <c r="AW90" i="30"/>
  <c r="AR90" i="30"/>
  <c r="AM90" i="30"/>
  <c r="AH90" i="30"/>
  <c r="AC90" i="30"/>
  <c r="X90" i="30"/>
  <c r="S90" i="30"/>
  <c r="K90" i="30"/>
  <c r="J90" i="30"/>
  <c r="I90" i="30"/>
  <c r="AW89" i="30"/>
  <c r="AR89" i="30"/>
  <c r="AM89" i="30"/>
  <c r="AH89" i="30"/>
  <c r="AC89" i="30"/>
  <c r="X89" i="30"/>
  <c r="S89" i="30"/>
  <c r="K89" i="30"/>
  <c r="J89" i="30"/>
  <c r="I89" i="30"/>
  <c r="AW88" i="30"/>
  <c r="AR88" i="30"/>
  <c r="AM88" i="30"/>
  <c r="AH88" i="30"/>
  <c r="AC88" i="30"/>
  <c r="X88" i="30"/>
  <c r="S88" i="30"/>
  <c r="K88" i="30"/>
  <c r="J88" i="30"/>
  <c r="I88" i="30"/>
  <c r="AX87" i="30"/>
  <c r="AW87" i="30"/>
  <c r="AS87" i="30"/>
  <c r="AR87" i="30"/>
  <c r="AN87" i="30"/>
  <c r="AM87" i="30"/>
  <c r="AI87" i="30"/>
  <c r="AH87" i="30"/>
  <c r="AD87" i="30"/>
  <c r="AC87" i="30"/>
  <c r="Y87" i="30"/>
  <c r="X87" i="30"/>
  <c r="T87" i="30"/>
  <c r="S87" i="30"/>
  <c r="K87" i="30"/>
  <c r="J87" i="30"/>
  <c r="I87" i="30"/>
  <c r="H87" i="30"/>
  <c r="AW81" i="30"/>
  <c r="AR81" i="30"/>
  <c r="AM81" i="30"/>
  <c r="AH81" i="30"/>
  <c r="AC81" i="30"/>
  <c r="X81" i="30"/>
  <c r="S81" i="30"/>
  <c r="AW80" i="30"/>
  <c r="AR80" i="30"/>
  <c r="AM80" i="30"/>
  <c r="AH80" i="30"/>
  <c r="AC80" i="30"/>
  <c r="X80" i="30"/>
  <c r="S80" i="30"/>
  <c r="AW79" i="30"/>
  <c r="AR79" i="30"/>
  <c r="AM79" i="30"/>
  <c r="AH79" i="30"/>
  <c r="AC79" i="30"/>
  <c r="X79" i="30"/>
  <c r="S79" i="30"/>
  <c r="AW78" i="30"/>
  <c r="AR78" i="30"/>
  <c r="AM78" i="30"/>
  <c r="AH78" i="30"/>
  <c r="AC78" i="30"/>
  <c r="X78" i="30"/>
  <c r="S78" i="30"/>
  <c r="AW77" i="30"/>
  <c r="AR77" i="30"/>
  <c r="AM77" i="30"/>
  <c r="AH77" i="30"/>
  <c r="AC77" i="30"/>
  <c r="X77" i="30"/>
  <c r="S77" i="30"/>
  <c r="AW76" i="30"/>
  <c r="AR76" i="30"/>
  <c r="AM76" i="30"/>
  <c r="AH76" i="30"/>
  <c r="AC76" i="30"/>
  <c r="X76" i="30"/>
  <c r="S76" i="30"/>
  <c r="AW75" i="30"/>
  <c r="AR75" i="30"/>
  <c r="AM75" i="30"/>
  <c r="AH75" i="30"/>
  <c r="AC75" i="30"/>
  <c r="X75" i="30"/>
  <c r="S75" i="30"/>
  <c r="AW74" i="30"/>
  <c r="AR74" i="30"/>
  <c r="AM74" i="30"/>
  <c r="AH74" i="30"/>
  <c r="AC74" i="30"/>
  <c r="X74" i="30"/>
  <c r="S74" i="30"/>
  <c r="AW73" i="30"/>
  <c r="AR73" i="30"/>
  <c r="AM73" i="30"/>
  <c r="AH73" i="30"/>
  <c r="AC73" i="30"/>
  <c r="X73" i="30"/>
  <c r="S73" i="30"/>
  <c r="AW72" i="30"/>
  <c r="AR72" i="30"/>
  <c r="AM72" i="30"/>
  <c r="AH72" i="30"/>
  <c r="AC72" i="30"/>
  <c r="X72" i="30"/>
  <c r="S72" i="30"/>
  <c r="AW71" i="30"/>
  <c r="AR71" i="30"/>
  <c r="AM71" i="30"/>
  <c r="AH71" i="30"/>
  <c r="AC71" i="30"/>
  <c r="X71" i="30"/>
  <c r="S71" i="30"/>
  <c r="K71" i="30"/>
  <c r="J71" i="30"/>
  <c r="I71" i="30"/>
  <c r="AW70" i="30"/>
  <c r="AR70" i="30"/>
  <c r="AM70" i="30"/>
  <c r="AH70" i="30"/>
  <c r="AC70" i="30"/>
  <c r="X70" i="30"/>
  <c r="S70" i="30"/>
  <c r="K70" i="30"/>
  <c r="J70" i="30"/>
  <c r="I70" i="30"/>
  <c r="AW69" i="30"/>
  <c r="AR69" i="30"/>
  <c r="AM69" i="30"/>
  <c r="AH69" i="30"/>
  <c r="AC69" i="30"/>
  <c r="X69" i="30"/>
  <c r="S69" i="30"/>
  <c r="K69" i="30"/>
  <c r="J69" i="30"/>
  <c r="I69" i="30"/>
  <c r="AW68" i="30"/>
  <c r="AR68" i="30"/>
  <c r="AM68" i="30"/>
  <c r="AH68" i="30"/>
  <c r="AC68" i="30"/>
  <c r="X68" i="30"/>
  <c r="S68" i="30"/>
  <c r="K68" i="30"/>
  <c r="J68" i="30"/>
  <c r="I68" i="30"/>
  <c r="AX67" i="30"/>
  <c r="AW67" i="30"/>
  <c r="AS67" i="30"/>
  <c r="AR67" i="30"/>
  <c r="AN67" i="30"/>
  <c r="AM67" i="30"/>
  <c r="AI67" i="30"/>
  <c r="AH67" i="30"/>
  <c r="AD67" i="30"/>
  <c r="AC67" i="30"/>
  <c r="Y67" i="30"/>
  <c r="X67" i="30"/>
  <c r="T67" i="30"/>
  <c r="S67" i="30"/>
  <c r="M67" i="30"/>
  <c r="K67" i="30"/>
  <c r="J67" i="30"/>
  <c r="I67" i="30"/>
  <c r="H67" i="30"/>
  <c r="AW53" i="30"/>
  <c r="AR53" i="30"/>
  <c r="AM53" i="30"/>
  <c r="AH53" i="30"/>
  <c r="AC53" i="30"/>
  <c r="X53" i="30"/>
  <c r="S53" i="30"/>
  <c r="AW52" i="30"/>
  <c r="AR52" i="30"/>
  <c r="AM52" i="30"/>
  <c r="AH52" i="30"/>
  <c r="AC52" i="30"/>
  <c r="X52" i="30"/>
  <c r="S52" i="30"/>
  <c r="K52" i="30"/>
  <c r="J52" i="30"/>
  <c r="I52" i="30"/>
  <c r="AW51" i="30"/>
  <c r="AR51" i="30"/>
  <c r="AM51" i="30"/>
  <c r="AH51" i="30"/>
  <c r="AC51" i="30"/>
  <c r="X51" i="30"/>
  <c r="S51" i="30"/>
  <c r="K51" i="30"/>
  <c r="J51" i="30"/>
  <c r="I51" i="30"/>
  <c r="AW50" i="30"/>
  <c r="AR50" i="30"/>
  <c r="AM50" i="30"/>
  <c r="AH50" i="30"/>
  <c r="AC50" i="30"/>
  <c r="X50" i="30"/>
  <c r="S50" i="30"/>
  <c r="K50" i="30"/>
  <c r="L47" i="30" s="1"/>
  <c r="J50" i="30"/>
  <c r="I50" i="30"/>
  <c r="AW49" i="30"/>
  <c r="AR49" i="30"/>
  <c r="AM49" i="30"/>
  <c r="AH49" i="30"/>
  <c r="AC49" i="30"/>
  <c r="X49" i="30"/>
  <c r="S49" i="30"/>
  <c r="K49" i="30"/>
  <c r="J49" i="30"/>
  <c r="I49" i="30"/>
  <c r="AW48" i="30"/>
  <c r="AR48" i="30"/>
  <c r="AM48" i="30"/>
  <c r="AH48" i="30"/>
  <c r="AC48" i="30"/>
  <c r="X48" i="30"/>
  <c r="S48" i="30"/>
  <c r="K48" i="30"/>
  <c r="J48" i="30"/>
  <c r="I48" i="30"/>
  <c r="AX47" i="30"/>
  <c r="AW47" i="30"/>
  <c r="AS47" i="30"/>
  <c r="AR47" i="30"/>
  <c r="AN47" i="30"/>
  <c r="AM47" i="30"/>
  <c r="AI47" i="30"/>
  <c r="AH47" i="30"/>
  <c r="AD47" i="30"/>
  <c r="AC47" i="30"/>
  <c r="Y47" i="30"/>
  <c r="X47" i="30"/>
  <c r="T47" i="30"/>
  <c r="S47" i="30"/>
  <c r="K47" i="30"/>
  <c r="J47" i="30"/>
  <c r="I47" i="30"/>
  <c r="H47" i="30"/>
  <c r="AW41" i="30"/>
  <c r="AR41" i="30"/>
  <c r="AM41" i="30"/>
  <c r="AH41" i="30"/>
  <c r="AC41" i="30"/>
  <c r="X41" i="30"/>
  <c r="S41" i="30"/>
  <c r="AW40" i="30"/>
  <c r="AR40" i="30"/>
  <c r="AM40" i="30"/>
  <c r="AH40" i="30"/>
  <c r="AC40" i="30"/>
  <c r="X40" i="30"/>
  <c r="S40" i="30"/>
  <c r="AW39" i="30"/>
  <c r="AR39" i="30"/>
  <c r="AM39" i="30"/>
  <c r="AH39" i="30"/>
  <c r="AC39" i="30"/>
  <c r="X39" i="30"/>
  <c r="S39" i="30"/>
  <c r="AW38" i="30"/>
  <c r="AR38" i="30"/>
  <c r="AM38" i="30"/>
  <c r="AH38" i="30"/>
  <c r="AC38" i="30"/>
  <c r="X38" i="30"/>
  <c r="S38" i="30"/>
  <c r="AW37" i="30"/>
  <c r="AR37" i="30"/>
  <c r="AM37" i="30"/>
  <c r="AH37" i="30"/>
  <c r="AC37" i="30"/>
  <c r="X37" i="30"/>
  <c r="S37" i="30"/>
  <c r="AW36" i="30"/>
  <c r="AR36" i="30"/>
  <c r="AM36" i="30"/>
  <c r="AH36" i="30"/>
  <c r="AC36" i="30"/>
  <c r="X36" i="30"/>
  <c r="S36" i="30"/>
  <c r="AW35" i="30"/>
  <c r="AR35" i="30"/>
  <c r="AM35" i="30"/>
  <c r="AH35" i="30"/>
  <c r="AC35" i="30"/>
  <c r="X35" i="30"/>
  <c r="S35" i="30"/>
  <c r="AW34" i="30"/>
  <c r="AR34" i="30"/>
  <c r="AM34" i="30"/>
  <c r="AH34" i="30"/>
  <c r="AC34" i="30"/>
  <c r="X34" i="30"/>
  <c r="S34" i="30"/>
  <c r="AW33" i="30"/>
  <c r="AR33" i="30"/>
  <c r="AM33" i="30"/>
  <c r="AH33" i="30"/>
  <c r="AC33" i="30"/>
  <c r="X33" i="30"/>
  <c r="S33" i="30"/>
  <c r="AW32" i="30"/>
  <c r="AR32" i="30"/>
  <c r="AM32" i="30"/>
  <c r="AH32" i="30"/>
  <c r="AC32" i="30"/>
  <c r="X32" i="30"/>
  <c r="S32" i="30"/>
  <c r="K32" i="30"/>
  <c r="J32" i="30"/>
  <c r="I32" i="30"/>
  <c r="AW31" i="30"/>
  <c r="AR31" i="30"/>
  <c r="AM31" i="30"/>
  <c r="AH31" i="30"/>
  <c r="AC31" i="30"/>
  <c r="X31" i="30"/>
  <c r="S31" i="30"/>
  <c r="K31" i="30"/>
  <c r="J31" i="30"/>
  <c r="I31" i="30"/>
  <c r="AW30" i="30"/>
  <c r="AR30" i="30"/>
  <c r="AM30" i="30"/>
  <c r="AH30" i="30"/>
  <c r="AC30" i="30"/>
  <c r="X30" i="30"/>
  <c r="S30" i="30"/>
  <c r="K30" i="30"/>
  <c r="J30" i="30"/>
  <c r="I30" i="30"/>
  <c r="AW29" i="30"/>
  <c r="AR29" i="30"/>
  <c r="AM29" i="30"/>
  <c r="AH29" i="30"/>
  <c r="AC29" i="30"/>
  <c r="X29" i="30"/>
  <c r="S29" i="30"/>
  <c r="K29" i="30"/>
  <c r="J29" i="30"/>
  <c r="I29" i="30"/>
  <c r="AW28" i="30"/>
  <c r="AR28" i="30"/>
  <c r="AM28" i="30"/>
  <c r="AH28" i="30"/>
  <c r="AC28" i="30"/>
  <c r="X28" i="30"/>
  <c r="S28" i="30"/>
  <c r="K28" i="30"/>
  <c r="J28" i="30"/>
  <c r="I28" i="30"/>
  <c r="AX27" i="30"/>
  <c r="AW27" i="30"/>
  <c r="AS27" i="30"/>
  <c r="AR27" i="30"/>
  <c r="AN27" i="30"/>
  <c r="AM27" i="30"/>
  <c r="AI27" i="30"/>
  <c r="AH27" i="30"/>
  <c r="AD27" i="30"/>
  <c r="AC27" i="30"/>
  <c r="Y27" i="30"/>
  <c r="X27" i="30"/>
  <c r="T27" i="30"/>
  <c r="S27" i="30"/>
  <c r="K27" i="30"/>
  <c r="J27" i="30"/>
  <c r="I27" i="30"/>
  <c r="H27" i="30"/>
  <c r="P22" i="30"/>
  <c r="P42" i="30" s="1"/>
  <c r="U42" i="30" s="1"/>
  <c r="Z42" i="30" s="1"/>
  <c r="AE42" i="30" s="1"/>
  <c r="AJ42" i="30" s="1"/>
  <c r="AO42" i="30" s="1"/>
  <c r="AT42" i="30" s="1"/>
  <c r="BB21" i="30"/>
  <c r="AW21" i="30"/>
  <c r="AR21" i="30"/>
  <c r="AM21" i="30"/>
  <c r="AH21" i="30"/>
  <c r="AC21" i="30"/>
  <c r="X21" i="30"/>
  <c r="S21" i="30"/>
  <c r="BB20" i="30"/>
  <c r="AW20" i="30"/>
  <c r="AR20" i="30"/>
  <c r="AM20" i="30"/>
  <c r="AH20" i="30"/>
  <c r="AC20" i="30"/>
  <c r="X20" i="30"/>
  <c r="S20" i="30"/>
  <c r="BB19" i="30"/>
  <c r="AW19" i="30"/>
  <c r="AR19" i="30"/>
  <c r="AM19" i="30"/>
  <c r="AH19" i="30"/>
  <c r="AC19" i="30"/>
  <c r="X19" i="30"/>
  <c r="S19" i="30"/>
  <c r="BB18" i="30"/>
  <c r="AW18" i="30"/>
  <c r="AR18" i="30"/>
  <c r="AM18" i="30"/>
  <c r="AH18" i="30"/>
  <c r="AC18" i="30"/>
  <c r="X18" i="30"/>
  <c r="S18" i="30"/>
  <c r="BB17" i="30"/>
  <c r="AW17" i="30"/>
  <c r="AR17" i="30"/>
  <c r="AM17" i="30"/>
  <c r="AH17" i="30"/>
  <c r="AC17" i="30"/>
  <c r="X17" i="30"/>
  <c r="S17" i="30"/>
  <c r="BB16" i="30"/>
  <c r="AW16" i="30"/>
  <c r="AR16" i="30"/>
  <c r="AM16" i="30"/>
  <c r="AH16" i="30"/>
  <c r="AC16" i="30"/>
  <c r="X16" i="30"/>
  <c r="S16" i="30"/>
  <c r="BB15" i="30"/>
  <c r="AW15" i="30"/>
  <c r="AR15" i="30"/>
  <c r="AM15" i="30"/>
  <c r="AH15" i="30"/>
  <c r="AC15" i="30"/>
  <c r="X15" i="30"/>
  <c r="S15" i="30"/>
  <c r="BB14" i="30"/>
  <c r="AW14" i="30"/>
  <c r="AR14" i="30"/>
  <c r="AM14" i="30"/>
  <c r="AH14" i="30"/>
  <c r="AC14" i="30"/>
  <c r="X14" i="30"/>
  <c r="S14" i="30"/>
  <c r="BB13" i="30"/>
  <c r="AW13" i="30"/>
  <c r="AR13" i="30"/>
  <c r="AM13" i="30"/>
  <c r="AH13" i="30"/>
  <c r="AC13" i="30"/>
  <c r="X13" i="30"/>
  <c r="S13" i="30"/>
  <c r="BB12" i="30"/>
  <c r="AW12" i="30"/>
  <c r="AR12" i="30"/>
  <c r="AM12" i="30"/>
  <c r="AH12" i="30"/>
  <c r="AC12" i="30"/>
  <c r="X12" i="30"/>
  <c r="S12" i="30"/>
  <c r="K12" i="30"/>
  <c r="J12" i="30"/>
  <c r="I12" i="30"/>
  <c r="BB11" i="30"/>
  <c r="AW11" i="30"/>
  <c r="AR11" i="30"/>
  <c r="AM11" i="30"/>
  <c r="AH11" i="30"/>
  <c r="AC11" i="30"/>
  <c r="X11" i="30"/>
  <c r="S11" i="30"/>
  <c r="K11" i="30"/>
  <c r="J11" i="30"/>
  <c r="I11" i="30"/>
  <c r="BB10" i="30"/>
  <c r="AW10" i="30"/>
  <c r="AR10" i="30"/>
  <c r="AM10" i="30"/>
  <c r="AH10" i="30"/>
  <c r="AC10" i="30"/>
  <c r="X10" i="30"/>
  <c r="S10" i="30"/>
  <c r="K10" i="30"/>
  <c r="J10" i="30"/>
  <c r="I10" i="30"/>
  <c r="BB9" i="30"/>
  <c r="AW9" i="30"/>
  <c r="AR9" i="30"/>
  <c r="AM9" i="30"/>
  <c r="AH9" i="30"/>
  <c r="AC9" i="30"/>
  <c r="X9" i="30"/>
  <c r="S9" i="30"/>
  <c r="K9" i="30"/>
  <c r="M9" i="30" s="1"/>
  <c r="J9" i="30"/>
  <c r="I9" i="30"/>
  <c r="BB8" i="30"/>
  <c r="AW8" i="30"/>
  <c r="AR8" i="30"/>
  <c r="AM8" i="30"/>
  <c r="AH8" i="30"/>
  <c r="AC8" i="30"/>
  <c r="X8" i="30"/>
  <c r="S8" i="30"/>
  <c r="K8" i="30"/>
  <c r="J8" i="30"/>
  <c r="I8" i="30"/>
  <c r="BB7" i="30"/>
  <c r="AX7" i="30"/>
  <c r="AW7" i="30"/>
  <c r="AS7" i="30"/>
  <c r="AR7" i="30"/>
  <c r="AN7" i="30"/>
  <c r="AM7" i="30"/>
  <c r="AI7" i="30"/>
  <c r="AH7" i="30"/>
  <c r="AD7" i="30"/>
  <c r="AC7" i="30"/>
  <c r="Y7" i="30"/>
  <c r="X7" i="30"/>
  <c r="T7" i="30"/>
  <c r="S7" i="30"/>
  <c r="K7" i="30"/>
  <c r="J7" i="30"/>
  <c r="I7" i="30"/>
  <c r="H7" i="30"/>
  <c r="AT2" i="30"/>
  <c r="G262" i="8"/>
  <c r="G261" i="8"/>
  <c r="G260" i="8"/>
  <c r="G259" i="8"/>
  <c r="G258" i="8"/>
  <c r="G257" i="8"/>
  <c r="G255" i="8"/>
  <c r="G254" i="8"/>
  <c r="G253" i="8"/>
  <c r="G252" i="8"/>
  <c r="G251" i="8"/>
  <c r="G250" i="8"/>
  <c r="K240" i="8"/>
  <c r="M240" i="8" s="1"/>
  <c r="J240" i="8"/>
  <c r="I240" i="8"/>
  <c r="K239" i="8"/>
  <c r="M239" i="8" s="1"/>
  <c r="J239" i="8"/>
  <c r="I239" i="8"/>
  <c r="K238" i="8"/>
  <c r="M238" i="8" s="1"/>
  <c r="J238" i="8"/>
  <c r="I238" i="8"/>
  <c r="K237" i="8"/>
  <c r="M237" i="8" s="1"/>
  <c r="J237" i="8"/>
  <c r="I237" i="8"/>
  <c r="K236" i="8"/>
  <c r="M236" i="8" s="1"/>
  <c r="J236" i="8"/>
  <c r="I236" i="8"/>
  <c r="K235" i="8"/>
  <c r="M235" i="8" s="1"/>
  <c r="J235" i="8"/>
  <c r="I235" i="8"/>
  <c r="K234" i="8"/>
  <c r="M234" i="8" s="1"/>
  <c r="J234" i="8"/>
  <c r="I234" i="8"/>
  <c r="K233" i="8"/>
  <c r="M233" i="8" s="1"/>
  <c r="J233" i="8"/>
  <c r="I233" i="8"/>
  <c r="K232" i="8"/>
  <c r="M232" i="8" s="1"/>
  <c r="J232" i="8"/>
  <c r="I232" i="8"/>
  <c r="K231" i="8"/>
  <c r="M231" i="8" s="1"/>
  <c r="J231" i="8"/>
  <c r="I231" i="8"/>
  <c r="K230" i="8"/>
  <c r="M230" i="8" s="1"/>
  <c r="J230" i="8"/>
  <c r="I230" i="8"/>
  <c r="K229" i="8"/>
  <c r="M229" i="8" s="1"/>
  <c r="J229" i="8"/>
  <c r="I229" i="8"/>
  <c r="K228" i="8"/>
  <c r="M228" i="8" s="1"/>
  <c r="J228" i="8"/>
  <c r="I228" i="8"/>
  <c r="K227" i="8"/>
  <c r="M227" i="8" s="1"/>
  <c r="J227" i="8"/>
  <c r="I227" i="8"/>
  <c r="K226" i="8"/>
  <c r="M226" i="8" s="1"/>
  <c r="J226" i="8"/>
  <c r="I226" i="8"/>
  <c r="K225" i="8"/>
  <c r="M225" i="8" s="1"/>
  <c r="J225" i="8"/>
  <c r="I225" i="8"/>
  <c r="K224" i="8"/>
  <c r="M224" i="8" s="1"/>
  <c r="J224" i="8"/>
  <c r="I224" i="8"/>
  <c r="K223" i="8"/>
  <c r="M223" i="8" s="1"/>
  <c r="J223" i="8"/>
  <c r="I223" i="8"/>
  <c r="K222" i="8"/>
  <c r="M222" i="8" s="1"/>
  <c r="J222" i="8"/>
  <c r="I222" i="8"/>
  <c r="K221" i="8"/>
  <c r="M221" i="8" s="1"/>
  <c r="J221" i="8"/>
  <c r="I221" i="8"/>
  <c r="K220" i="8"/>
  <c r="M220" i="8" s="1"/>
  <c r="J220" i="8"/>
  <c r="I220" i="8"/>
  <c r="K219" i="8"/>
  <c r="M219" i="8" s="1"/>
  <c r="J219" i="8"/>
  <c r="I219" i="8"/>
  <c r="K218" i="8"/>
  <c r="J218" i="8"/>
  <c r="I218" i="8"/>
  <c r="H218" i="8"/>
  <c r="AW211" i="8"/>
  <c r="AR211" i="8"/>
  <c r="AM211" i="8"/>
  <c r="AH211" i="8"/>
  <c r="AC211" i="8"/>
  <c r="X211" i="8"/>
  <c r="S211" i="8"/>
  <c r="AW210" i="8"/>
  <c r="AR210" i="8"/>
  <c r="AM210" i="8"/>
  <c r="AH210" i="8"/>
  <c r="AC210" i="8"/>
  <c r="X210" i="8"/>
  <c r="S210" i="8"/>
  <c r="AW209" i="8"/>
  <c r="AR209" i="8"/>
  <c r="AM209" i="8"/>
  <c r="AH209" i="8"/>
  <c r="AC209" i="8"/>
  <c r="X209" i="8"/>
  <c r="S209" i="8"/>
  <c r="AW208" i="8"/>
  <c r="AR208" i="8"/>
  <c r="AM208" i="8"/>
  <c r="AH208" i="8"/>
  <c r="AC208" i="8"/>
  <c r="X208" i="8"/>
  <c r="S208" i="8"/>
  <c r="AW207" i="8"/>
  <c r="AR207" i="8"/>
  <c r="AM207" i="8"/>
  <c r="AH207" i="8"/>
  <c r="AC207" i="8"/>
  <c r="X207" i="8"/>
  <c r="S207" i="8"/>
  <c r="AW206" i="8"/>
  <c r="AR206" i="8"/>
  <c r="AM206" i="8"/>
  <c r="AH206" i="8"/>
  <c r="AC206" i="8"/>
  <c r="X206" i="8"/>
  <c r="S206" i="8"/>
  <c r="AW205" i="8"/>
  <c r="AR205" i="8"/>
  <c r="AM205" i="8"/>
  <c r="AH205" i="8"/>
  <c r="AC205" i="8"/>
  <c r="X205" i="8"/>
  <c r="S205" i="8"/>
  <c r="AW204" i="8"/>
  <c r="AR204" i="8"/>
  <c r="AM204" i="8"/>
  <c r="AH204" i="8"/>
  <c r="AC204" i="8"/>
  <c r="X204" i="8"/>
  <c r="S204" i="8"/>
  <c r="AW203" i="8"/>
  <c r="AR203" i="8"/>
  <c r="AM203" i="8"/>
  <c r="AH203" i="8"/>
  <c r="AC203" i="8"/>
  <c r="X203" i="8"/>
  <c r="S203" i="8"/>
  <c r="AW202" i="8"/>
  <c r="AR202" i="8"/>
  <c r="AM202" i="8"/>
  <c r="AH202" i="8"/>
  <c r="AC202" i="8"/>
  <c r="X202" i="8"/>
  <c r="S202" i="8"/>
  <c r="K202" i="8"/>
  <c r="M202" i="8" s="1"/>
  <c r="J202" i="8"/>
  <c r="I202" i="8"/>
  <c r="AW201" i="8"/>
  <c r="AR201" i="8"/>
  <c r="AM201" i="8"/>
  <c r="AH201" i="8"/>
  <c r="AC201" i="8"/>
  <c r="X201" i="8"/>
  <c r="S201" i="8"/>
  <c r="K201" i="8"/>
  <c r="M201" i="8" s="1"/>
  <c r="J201" i="8"/>
  <c r="I201" i="8"/>
  <c r="AW200" i="8"/>
  <c r="AR200" i="8"/>
  <c r="AM200" i="8"/>
  <c r="AH200" i="8"/>
  <c r="AC200" i="8"/>
  <c r="X200" i="8"/>
  <c r="S200" i="8"/>
  <c r="K200" i="8"/>
  <c r="M200" i="8" s="1"/>
  <c r="J200" i="8"/>
  <c r="I200" i="8"/>
  <c r="AW199" i="8"/>
  <c r="AR199" i="8"/>
  <c r="AM199" i="8"/>
  <c r="AH199" i="8"/>
  <c r="AC199" i="8"/>
  <c r="X199" i="8"/>
  <c r="S199" i="8"/>
  <c r="K199" i="8"/>
  <c r="M199" i="8" s="1"/>
  <c r="J199" i="8"/>
  <c r="I199" i="8"/>
  <c r="AW198" i="8"/>
  <c r="AR198" i="8"/>
  <c r="AM198" i="8"/>
  <c r="AH198" i="8"/>
  <c r="AC198" i="8"/>
  <c r="X198" i="8"/>
  <c r="S198" i="8"/>
  <c r="M198" i="8"/>
  <c r="K198" i="8"/>
  <c r="J198" i="8"/>
  <c r="I198" i="8"/>
  <c r="AW197" i="8"/>
  <c r="AR197" i="8"/>
  <c r="AM197" i="8"/>
  <c r="AH197" i="8"/>
  <c r="AC197" i="8"/>
  <c r="X197" i="8"/>
  <c r="S197" i="8"/>
  <c r="K197" i="8"/>
  <c r="M197" i="8" s="1"/>
  <c r="J197" i="8"/>
  <c r="I197" i="8"/>
  <c r="AW196" i="8"/>
  <c r="AR196" i="8"/>
  <c r="AM196" i="8"/>
  <c r="AH196" i="8"/>
  <c r="AC196" i="8"/>
  <c r="X196" i="8"/>
  <c r="S196" i="8"/>
  <c r="K196" i="8"/>
  <c r="M196" i="8" s="1"/>
  <c r="J196" i="8"/>
  <c r="I196" i="8"/>
  <c r="AW195" i="8"/>
  <c r="AR195" i="8"/>
  <c r="AM195" i="8"/>
  <c r="AH195" i="8"/>
  <c r="AC195" i="8"/>
  <c r="X195" i="8"/>
  <c r="S195" i="8"/>
  <c r="K195" i="8"/>
  <c r="M195" i="8" s="1"/>
  <c r="J195" i="8"/>
  <c r="I195" i="8"/>
  <c r="AW194" i="8"/>
  <c r="AR194" i="8"/>
  <c r="AM194" i="8"/>
  <c r="AH194" i="8"/>
  <c r="AC194" i="8"/>
  <c r="X194" i="8"/>
  <c r="S194" i="8"/>
  <c r="K194" i="8"/>
  <c r="M194" i="8" s="1"/>
  <c r="J194" i="8"/>
  <c r="I194" i="8"/>
  <c r="AW193" i="8"/>
  <c r="AR193" i="8"/>
  <c r="AM193" i="8"/>
  <c r="AH193" i="8"/>
  <c r="AC193" i="8"/>
  <c r="X193" i="8"/>
  <c r="S193" i="8"/>
  <c r="K193" i="8"/>
  <c r="M193" i="8" s="1"/>
  <c r="J193" i="8"/>
  <c r="I193" i="8"/>
  <c r="AW192" i="8"/>
  <c r="AR192" i="8"/>
  <c r="AM192" i="8"/>
  <c r="AH192" i="8"/>
  <c r="AC192" i="8"/>
  <c r="X192" i="8"/>
  <c r="S192" i="8"/>
  <c r="K192" i="8"/>
  <c r="M192" i="8" s="1"/>
  <c r="J192" i="8"/>
  <c r="I192" i="8"/>
  <c r="AW191" i="8"/>
  <c r="AR191" i="8"/>
  <c r="AM191" i="8"/>
  <c r="AH191" i="8"/>
  <c r="AC191" i="8"/>
  <c r="X191" i="8"/>
  <c r="S191" i="8"/>
  <c r="K191" i="8"/>
  <c r="M191" i="8" s="1"/>
  <c r="J191" i="8"/>
  <c r="I191" i="8"/>
  <c r="AW190" i="8"/>
  <c r="AR190" i="8"/>
  <c r="AM190" i="8"/>
  <c r="AH190" i="8"/>
  <c r="AC190" i="8"/>
  <c r="X190" i="8"/>
  <c r="S190" i="8"/>
  <c r="K190" i="8"/>
  <c r="M190" i="8" s="1"/>
  <c r="J190" i="8"/>
  <c r="I190" i="8"/>
  <c r="AW189" i="8"/>
  <c r="AR189" i="8"/>
  <c r="AM189" i="8"/>
  <c r="AH189" i="8"/>
  <c r="AC189" i="8"/>
  <c r="X189" i="8"/>
  <c r="S189" i="8"/>
  <c r="K189" i="8"/>
  <c r="M189" i="8" s="1"/>
  <c r="J189" i="8"/>
  <c r="I189" i="8"/>
  <c r="AW188" i="8"/>
  <c r="AR188" i="8"/>
  <c r="AM188" i="8"/>
  <c r="AH188" i="8"/>
  <c r="AC188" i="8"/>
  <c r="X188" i="8"/>
  <c r="S188" i="8"/>
  <c r="M188" i="8"/>
  <c r="K188" i="8"/>
  <c r="J188" i="8"/>
  <c r="I188" i="8"/>
  <c r="AW187" i="8"/>
  <c r="AR187" i="8"/>
  <c r="AM187" i="8"/>
  <c r="AH187" i="8"/>
  <c r="AC187" i="8"/>
  <c r="X187" i="8"/>
  <c r="S187" i="8"/>
  <c r="K187" i="8"/>
  <c r="M187" i="8" s="1"/>
  <c r="J187" i="8"/>
  <c r="I187" i="8"/>
  <c r="AW186" i="8"/>
  <c r="AR186" i="8"/>
  <c r="AM186" i="8"/>
  <c r="AH186" i="8"/>
  <c r="AC186" i="8"/>
  <c r="X186" i="8"/>
  <c r="S186" i="8"/>
  <c r="K186" i="8"/>
  <c r="M186" i="8" s="1"/>
  <c r="J186" i="8"/>
  <c r="I186" i="8"/>
  <c r="AW185" i="8"/>
  <c r="AR185" i="8"/>
  <c r="AM185" i="8"/>
  <c r="AH185" i="8"/>
  <c r="AC185" i="8"/>
  <c r="X185" i="8"/>
  <c r="S185" i="8"/>
  <c r="K185" i="8"/>
  <c r="M185" i="8" s="1"/>
  <c r="J185" i="8"/>
  <c r="I185" i="8"/>
  <c r="AW184" i="8"/>
  <c r="AR184" i="8"/>
  <c r="AM184" i="8"/>
  <c r="AH184" i="8"/>
  <c r="AC184" i="8"/>
  <c r="X184" i="8"/>
  <c r="S184" i="8"/>
  <c r="K184" i="8"/>
  <c r="M184" i="8" s="1"/>
  <c r="J184" i="8"/>
  <c r="I184" i="8"/>
  <c r="AW183" i="8"/>
  <c r="AR183" i="8"/>
  <c r="AM183" i="8"/>
  <c r="AH183" i="8"/>
  <c r="AC183" i="8"/>
  <c r="X183" i="8"/>
  <c r="S183" i="8"/>
  <c r="K183" i="8"/>
  <c r="M183" i="8" s="1"/>
  <c r="J183" i="8"/>
  <c r="I183" i="8"/>
  <c r="AX182" i="8"/>
  <c r="AW182" i="8"/>
  <c r="AS182" i="8"/>
  <c r="AR182" i="8"/>
  <c r="AN182" i="8"/>
  <c r="AM182" i="8"/>
  <c r="AI182" i="8"/>
  <c r="AH182" i="8"/>
  <c r="AD182" i="8"/>
  <c r="AC182" i="8"/>
  <c r="Y182" i="8"/>
  <c r="X182" i="8"/>
  <c r="T182" i="8"/>
  <c r="S182" i="8"/>
  <c r="K182" i="8"/>
  <c r="J182" i="8"/>
  <c r="I182" i="8"/>
  <c r="H182" i="8"/>
  <c r="AW176" i="8"/>
  <c r="AR176" i="8"/>
  <c r="AM176" i="8"/>
  <c r="AH176" i="8"/>
  <c r="AC176" i="8"/>
  <c r="X176" i="8"/>
  <c r="S176" i="8"/>
  <c r="AW175" i="8"/>
  <c r="AR175" i="8"/>
  <c r="AM175" i="8"/>
  <c r="AH175" i="8"/>
  <c r="AC175" i="8"/>
  <c r="X175" i="8"/>
  <c r="S175" i="8"/>
  <c r="AW174" i="8"/>
  <c r="AR174" i="8"/>
  <c r="AM174" i="8"/>
  <c r="AH174" i="8"/>
  <c r="AC174" i="8"/>
  <c r="X174" i="8"/>
  <c r="S174" i="8"/>
  <c r="AW173" i="8"/>
  <c r="AR173" i="8"/>
  <c r="AM173" i="8"/>
  <c r="AH173" i="8"/>
  <c r="AC173" i="8"/>
  <c r="X173" i="8"/>
  <c r="S173" i="8"/>
  <c r="AW172" i="8"/>
  <c r="AR172" i="8"/>
  <c r="AM172" i="8"/>
  <c r="AH172" i="8"/>
  <c r="AC172" i="8"/>
  <c r="X172" i="8"/>
  <c r="S172" i="8"/>
  <c r="AW171" i="8"/>
  <c r="AR171" i="8"/>
  <c r="AM171" i="8"/>
  <c r="AH171" i="8"/>
  <c r="AC171" i="8"/>
  <c r="X171" i="8"/>
  <c r="S171" i="8"/>
  <c r="AW170" i="8"/>
  <c r="AR170" i="8"/>
  <c r="AM170" i="8"/>
  <c r="AH170" i="8"/>
  <c r="AC170" i="8"/>
  <c r="X170" i="8"/>
  <c r="S170" i="8"/>
  <c r="AW169" i="8"/>
  <c r="AR169" i="8"/>
  <c r="AM169" i="8"/>
  <c r="AH169" i="8"/>
  <c r="AC169" i="8"/>
  <c r="X169" i="8"/>
  <c r="S169" i="8"/>
  <c r="AW168" i="8"/>
  <c r="AR168" i="8"/>
  <c r="AM168" i="8"/>
  <c r="AH168" i="8"/>
  <c r="AC168" i="8"/>
  <c r="X168" i="8"/>
  <c r="S168" i="8"/>
  <c r="AW167" i="8"/>
  <c r="AR167" i="8"/>
  <c r="AM167" i="8"/>
  <c r="AH167" i="8"/>
  <c r="AC167" i="8"/>
  <c r="X167" i="8"/>
  <c r="S167" i="8"/>
  <c r="K167" i="8"/>
  <c r="J167" i="8"/>
  <c r="I167" i="8"/>
  <c r="AW166" i="8"/>
  <c r="AR166" i="8"/>
  <c r="AM166" i="8"/>
  <c r="AH166" i="8"/>
  <c r="AC166" i="8"/>
  <c r="X166" i="8"/>
  <c r="S166" i="8"/>
  <c r="K166" i="8"/>
  <c r="J166" i="8"/>
  <c r="I166" i="8"/>
  <c r="AW165" i="8"/>
  <c r="AR165" i="8"/>
  <c r="AM165" i="8"/>
  <c r="AH165" i="8"/>
  <c r="AC165" i="8"/>
  <c r="X165" i="8"/>
  <c r="S165" i="8"/>
  <c r="K165" i="8"/>
  <c r="J165" i="8"/>
  <c r="I165" i="8"/>
  <c r="AW164" i="8"/>
  <c r="AR164" i="8"/>
  <c r="AM164" i="8"/>
  <c r="AH164" i="8"/>
  <c r="AC164" i="8"/>
  <c r="X164" i="8"/>
  <c r="S164" i="8"/>
  <c r="K164" i="8"/>
  <c r="J164" i="8"/>
  <c r="I164" i="8"/>
  <c r="AW163" i="8"/>
  <c r="AR163" i="8"/>
  <c r="AM163" i="8"/>
  <c r="AH163" i="8"/>
  <c r="AC163" i="8"/>
  <c r="X163" i="8"/>
  <c r="S163" i="8"/>
  <c r="K163" i="8"/>
  <c r="J163" i="8"/>
  <c r="I163" i="8"/>
  <c r="AW162" i="8"/>
  <c r="AR162" i="8"/>
  <c r="AM162" i="8"/>
  <c r="AH162" i="8"/>
  <c r="AC162" i="8"/>
  <c r="X162" i="8"/>
  <c r="S162" i="8"/>
  <c r="K162" i="8"/>
  <c r="J162" i="8"/>
  <c r="I162" i="8"/>
  <c r="AW161" i="8"/>
  <c r="AR161" i="8"/>
  <c r="AM161" i="8"/>
  <c r="AH161" i="8"/>
  <c r="AC161" i="8"/>
  <c r="X161" i="8"/>
  <c r="S161" i="8"/>
  <c r="K161" i="8"/>
  <c r="J161" i="8"/>
  <c r="I161" i="8"/>
  <c r="AW160" i="8"/>
  <c r="AR160" i="8"/>
  <c r="AM160" i="8"/>
  <c r="AH160" i="8"/>
  <c r="AC160" i="8"/>
  <c r="X160" i="8"/>
  <c r="S160" i="8"/>
  <c r="K160" i="8"/>
  <c r="J160" i="8"/>
  <c r="I160" i="8"/>
  <c r="AW159" i="8"/>
  <c r="AR159" i="8"/>
  <c r="AM159" i="8"/>
  <c r="AH159" i="8"/>
  <c r="AC159" i="8"/>
  <c r="X159" i="8"/>
  <c r="S159" i="8"/>
  <c r="K159" i="8"/>
  <c r="J159" i="8"/>
  <c r="I159" i="8"/>
  <c r="AW158" i="8"/>
  <c r="AR158" i="8"/>
  <c r="AM158" i="8"/>
  <c r="AH158" i="8"/>
  <c r="AC158" i="8"/>
  <c r="X158" i="8"/>
  <c r="S158" i="8"/>
  <c r="K158" i="8"/>
  <c r="J158" i="8"/>
  <c r="I158" i="8"/>
  <c r="AW157" i="8"/>
  <c r="AR157" i="8"/>
  <c r="AM157" i="8"/>
  <c r="AH157" i="8"/>
  <c r="AC157" i="8"/>
  <c r="X157" i="8"/>
  <c r="S157" i="8"/>
  <c r="K157" i="8"/>
  <c r="J157" i="8"/>
  <c r="I157" i="8"/>
  <c r="AW156" i="8"/>
  <c r="AR156" i="8"/>
  <c r="AM156" i="8"/>
  <c r="AH156" i="8"/>
  <c r="AC156" i="8"/>
  <c r="X156" i="8"/>
  <c r="S156" i="8"/>
  <c r="K156" i="8"/>
  <c r="J156" i="8"/>
  <c r="I156" i="8"/>
  <c r="AW155" i="8"/>
  <c r="AR155" i="8"/>
  <c r="AM155" i="8"/>
  <c r="AH155" i="8"/>
  <c r="AC155" i="8"/>
  <c r="X155" i="8"/>
  <c r="S155" i="8"/>
  <c r="K155" i="8"/>
  <c r="J155" i="8"/>
  <c r="I155" i="8"/>
  <c r="AW154" i="8"/>
  <c r="AR154" i="8"/>
  <c r="AM154" i="8"/>
  <c r="AH154" i="8"/>
  <c r="AC154" i="8"/>
  <c r="X154" i="8"/>
  <c r="S154" i="8"/>
  <c r="K154" i="8"/>
  <c r="J154" i="8"/>
  <c r="I154" i="8"/>
  <c r="AW153" i="8"/>
  <c r="AR153" i="8"/>
  <c r="AM153" i="8"/>
  <c r="AH153" i="8"/>
  <c r="AC153" i="8"/>
  <c r="X153" i="8"/>
  <c r="S153" i="8"/>
  <c r="K153" i="8"/>
  <c r="J153" i="8"/>
  <c r="I153" i="8"/>
  <c r="AW152" i="8"/>
  <c r="AR152" i="8"/>
  <c r="AM152" i="8"/>
  <c r="AH152" i="8"/>
  <c r="AC152" i="8"/>
  <c r="X152" i="8"/>
  <c r="S152" i="8"/>
  <c r="K152" i="8"/>
  <c r="J152" i="8"/>
  <c r="I152" i="8"/>
  <c r="AW151" i="8"/>
  <c r="AR151" i="8"/>
  <c r="AM151" i="8"/>
  <c r="AH151" i="8"/>
  <c r="AC151" i="8"/>
  <c r="X151" i="8"/>
  <c r="S151" i="8"/>
  <c r="K151" i="8"/>
  <c r="J151" i="8"/>
  <c r="I151" i="8"/>
  <c r="AW150" i="8"/>
  <c r="AR150" i="8"/>
  <c r="AM150" i="8"/>
  <c r="AH150" i="8"/>
  <c r="AC150" i="8"/>
  <c r="X150" i="8"/>
  <c r="S150" i="8"/>
  <c r="K150" i="8"/>
  <c r="J150" i="8"/>
  <c r="I150" i="8"/>
  <c r="AW149" i="8"/>
  <c r="AR149" i="8"/>
  <c r="AM149" i="8"/>
  <c r="AH149" i="8"/>
  <c r="AC149" i="8"/>
  <c r="X149" i="8"/>
  <c r="S149" i="8"/>
  <c r="K149" i="8"/>
  <c r="J149" i="8"/>
  <c r="I149" i="8"/>
  <c r="AW148" i="8"/>
  <c r="AR148" i="8"/>
  <c r="AM148" i="8"/>
  <c r="AH148" i="8"/>
  <c r="AC148" i="8"/>
  <c r="X148" i="8"/>
  <c r="S148" i="8"/>
  <c r="K148" i="8"/>
  <c r="J148" i="8"/>
  <c r="I148" i="8"/>
  <c r="AX147" i="8"/>
  <c r="AW147" i="8"/>
  <c r="AS147" i="8"/>
  <c r="AR147" i="8"/>
  <c r="AN147" i="8"/>
  <c r="AM147" i="8"/>
  <c r="AI147" i="8"/>
  <c r="AH147" i="8"/>
  <c r="AD147" i="8"/>
  <c r="AC147" i="8"/>
  <c r="Y147" i="8"/>
  <c r="X147" i="8"/>
  <c r="T147" i="8"/>
  <c r="S147" i="8"/>
  <c r="K147" i="8"/>
  <c r="J147" i="8"/>
  <c r="I147" i="8"/>
  <c r="H147" i="8"/>
  <c r="AW141" i="8"/>
  <c r="AR141" i="8"/>
  <c r="AM141" i="8"/>
  <c r="AH141" i="8"/>
  <c r="AC141" i="8"/>
  <c r="X141" i="8"/>
  <c r="S141" i="8"/>
  <c r="AW140" i="8"/>
  <c r="AR140" i="8"/>
  <c r="AM140" i="8"/>
  <c r="AH140" i="8"/>
  <c r="AC140" i="8"/>
  <c r="X140" i="8"/>
  <c r="S140" i="8"/>
  <c r="AW139" i="8"/>
  <c r="AR139" i="8"/>
  <c r="AM139" i="8"/>
  <c r="AH139" i="8"/>
  <c r="AC139" i="8"/>
  <c r="X139" i="8"/>
  <c r="S139" i="8"/>
  <c r="AW138" i="8"/>
  <c r="AR138" i="8"/>
  <c r="AM138" i="8"/>
  <c r="AH138" i="8"/>
  <c r="AC138" i="8"/>
  <c r="X138" i="8"/>
  <c r="S138" i="8"/>
  <c r="AW137" i="8"/>
  <c r="AR137" i="8"/>
  <c r="AM137" i="8"/>
  <c r="AH137" i="8"/>
  <c r="AC137" i="8"/>
  <c r="X137" i="8"/>
  <c r="S137" i="8"/>
  <c r="AW136" i="8"/>
  <c r="AR136" i="8"/>
  <c r="AM136" i="8"/>
  <c r="AH136" i="8"/>
  <c r="AC136" i="8"/>
  <c r="X136" i="8"/>
  <c r="S136" i="8"/>
  <c r="AW135" i="8"/>
  <c r="AR135" i="8"/>
  <c r="AM135" i="8"/>
  <c r="AH135" i="8"/>
  <c r="AC135" i="8"/>
  <c r="X135" i="8"/>
  <c r="S135" i="8"/>
  <c r="AW134" i="8"/>
  <c r="AR134" i="8"/>
  <c r="AM134" i="8"/>
  <c r="AH134" i="8"/>
  <c r="AC134" i="8"/>
  <c r="X134" i="8"/>
  <c r="S134" i="8"/>
  <c r="AW133" i="8"/>
  <c r="AR133" i="8"/>
  <c r="AM133" i="8"/>
  <c r="AH133" i="8"/>
  <c r="AC133" i="8"/>
  <c r="X133" i="8"/>
  <c r="S133" i="8"/>
  <c r="AW132" i="8"/>
  <c r="AR132" i="8"/>
  <c r="AM132" i="8"/>
  <c r="AH132" i="8"/>
  <c r="AC132" i="8"/>
  <c r="X132" i="8"/>
  <c r="S132" i="8"/>
  <c r="K132" i="8"/>
  <c r="J132" i="8"/>
  <c r="I132" i="8"/>
  <c r="AW131" i="8"/>
  <c r="AR131" i="8"/>
  <c r="AM131" i="8"/>
  <c r="AH131" i="8"/>
  <c r="AC131" i="8"/>
  <c r="X131" i="8"/>
  <c r="S131" i="8"/>
  <c r="K131" i="8"/>
  <c r="J131" i="8"/>
  <c r="I131" i="8"/>
  <c r="AW130" i="8"/>
  <c r="AR130" i="8"/>
  <c r="AM130" i="8"/>
  <c r="AH130" i="8"/>
  <c r="AC130" i="8"/>
  <c r="X130" i="8"/>
  <c r="S130" i="8"/>
  <c r="K130" i="8"/>
  <c r="J130" i="8"/>
  <c r="I130" i="8"/>
  <c r="AW129" i="8"/>
  <c r="AR129" i="8"/>
  <c r="AM129" i="8"/>
  <c r="AH129" i="8"/>
  <c r="AC129" i="8"/>
  <c r="X129" i="8"/>
  <c r="S129" i="8"/>
  <c r="K129" i="8"/>
  <c r="J129" i="8"/>
  <c r="I129" i="8"/>
  <c r="AW128" i="8"/>
  <c r="AR128" i="8"/>
  <c r="AM128" i="8"/>
  <c r="AH128" i="8"/>
  <c r="AC128" i="8"/>
  <c r="X128" i="8"/>
  <c r="S128" i="8"/>
  <c r="K128" i="8"/>
  <c r="J128" i="8"/>
  <c r="I128" i="8"/>
  <c r="AW127" i="8"/>
  <c r="AR127" i="8"/>
  <c r="AM127" i="8"/>
  <c r="AH127" i="8"/>
  <c r="AC127" i="8"/>
  <c r="X127" i="8"/>
  <c r="S127" i="8"/>
  <c r="K127" i="8"/>
  <c r="J127" i="8"/>
  <c r="I127" i="8"/>
  <c r="AW126" i="8"/>
  <c r="AR126" i="8"/>
  <c r="AM126" i="8"/>
  <c r="AH126" i="8"/>
  <c r="AC126" i="8"/>
  <c r="X126" i="8"/>
  <c r="S126" i="8"/>
  <c r="K126" i="8"/>
  <c r="J126" i="8"/>
  <c r="I126" i="8"/>
  <c r="AW125" i="8"/>
  <c r="AR125" i="8"/>
  <c r="AM125" i="8"/>
  <c r="AH125" i="8"/>
  <c r="AC125" i="8"/>
  <c r="X125" i="8"/>
  <c r="S125" i="8"/>
  <c r="K125" i="8"/>
  <c r="J125" i="8"/>
  <c r="I125" i="8"/>
  <c r="AW124" i="8"/>
  <c r="AR124" i="8"/>
  <c r="AM124" i="8"/>
  <c r="AH124" i="8"/>
  <c r="AC124" i="8"/>
  <c r="X124" i="8"/>
  <c r="S124" i="8"/>
  <c r="K124" i="8"/>
  <c r="J124" i="8"/>
  <c r="I124" i="8"/>
  <c r="AW123" i="8"/>
  <c r="AR123" i="8"/>
  <c r="AM123" i="8"/>
  <c r="AH123" i="8"/>
  <c r="AC123" i="8"/>
  <c r="X123" i="8"/>
  <c r="S123" i="8"/>
  <c r="K123" i="8"/>
  <c r="J123" i="8"/>
  <c r="I123" i="8"/>
  <c r="AW122" i="8"/>
  <c r="AR122" i="8"/>
  <c r="AM122" i="8"/>
  <c r="AH122" i="8"/>
  <c r="AC122" i="8"/>
  <c r="X122" i="8"/>
  <c r="S122" i="8"/>
  <c r="K122" i="8"/>
  <c r="J122" i="8"/>
  <c r="I122" i="8"/>
  <c r="AW121" i="8"/>
  <c r="AR121" i="8"/>
  <c r="AM121" i="8"/>
  <c r="AH121" i="8"/>
  <c r="AC121" i="8"/>
  <c r="X121" i="8"/>
  <c r="S121" i="8"/>
  <c r="K121" i="8"/>
  <c r="J121" i="8"/>
  <c r="I121" i="8"/>
  <c r="AW120" i="8"/>
  <c r="AR120" i="8"/>
  <c r="AM120" i="8"/>
  <c r="AH120" i="8"/>
  <c r="AC120" i="8"/>
  <c r="X120" i="8"/>
  <c r="S120" i="8"/>
  <c r="K120" i="8"/>
  <c r="J120" i="8"/>
  <c r="I120" i="8"/>
  <c r="AW119" i="8"/>
  <c r="AR119" i="8"/>
  <c r="AM119" i="8"/>
  <c r="AH119" i="8"/>
  <c r="AC119" i="8"/>
  <c r="X119" i="8"/>
  <c r="S119" i="8"/>
  <c r="K119" i="8"/>
  <c r="J119" i="8"/>
  <c r="I119" i="8"/>
  <c r="AW118" i="8"/>
  <c r="AR118" i="8"/>
  <c r="AM118" i="8"/>
  <c r="AH118" i="8"/>
  <c r="AC118" i="8"/>
  <c r="X118" i="8"/>
  <c r="S118" i="8"/>
  <c r="K118" i="8"/>
  <c r="J118" i="8"/>
  <c r="I118" i="8"/>
  <c r="AW117" i="8"/>
  <c r="AR117" i="8"/>
  <c r="AM117" i="8"/>
  <c r="AH117" i="8"/>
  <c r="AC117" i="8"/>
  <c r="X117" i="8"/>
  <c r="S117" i="8"/>
  <c r="K117" i="8"/>
  <c r="J117" i="8"/>
  <c r="I117" i="8"/>
  <c r="AW116" i="8"/>
  <c r="AR116" i="8"/>
  <c r="AM116" i="8"/>
  <c r="AH116" i="8"/>
  <c r="AC116" i="8"/>
  <c r="X116" i="8"/>
  <c r="S116" i="8"/>
  <c r="K116" i="8"/>
  <c r="J116" i="8"/>
  <c r="I116" i="8"/>
  <c r="AW115" i="8"/>
  <c r="AR115" i="8"/>
  <c r="AM115" i="8"/>
  <c r="AH115" i="8"/>
  <c r="AC115" i="8"/>
  <c r="X115" i="8"/>
  <c r="S115" i="8"/>
  <c r="K115" i="8"/>
  <c r="J115" i="8"/>
  <c r="I115" i="8"/>
  <c r="AW114" i="8"/>
  <c r="AR114" i="8"/>
  <c r="AM114" i="8"/>
  <c r="AH114" i="8"/>
  <c r="AC114" i="8"/>
  <c r="X114" i="8"/>
  <c r="S114" i="8"/>
  <c r="K114" i="8"/>
  <c r="J114" i="8"/>
  <c r="I114" i="8"/>
  <c r="AW113" i="8"/>
  <c r="AR113" i="8"/>
  <c r="AM113" i="8"/>
  <c r="AH113" i="8"/>
  <c r="AC113" i="8"/>
  <c r="X113" i="8"/>
  <c r="S113" i="8"/>
  <c r="K113" i="8"/>
  <c r="J113" i="8"/>
  <c r="I113" i="8"/>
  <c r="AX112" i="8"/>
  <c r="AW112" i="8"/>
  <c r="AS112" i="8"/>
  <c r="AR112" i="8"/>
  <c r="AN112" i="8"/>
  <c r="AM112" i="8"/>
  <c r="AI112" i="8"/>
  <c r="AH112" i="8"/>
  <c r="AD112" i="8"/>
  <c r="AC112" i="8"/>
  <c r="Y112" i="8"/>
  <c r="X112" i="8"/>
  <c r="T112" i="8"/>
  <c r="S112" i="8"/>
  <c r="K112" i="8"/>
  <c r="J112" i="8"/>
  <c r="I112" i="8"/>
  <c r="H112" i="8"/>
  <c r="AW106" i="8"/>
  <c r="AR106" i="8"/>
  <c r="AM106" i="8"/>
  <c r="AH106" i="8"/>
  <c r="AC106" i="8"/>
  <c r="X106" i="8"/>
  <c r="S106" i="8"/>
  <c r="AW105" i="8"/>
  <c r="AR105" i="8"/>
  <c r="AM105" i="8"/>
  <c r="AH105" i="8"/>
  <c r="AC105" i="8"/>
  <c r="X105" i="8"/>
  <c r="S105" i="8"/>
  <c r="AW104" i="8"/>
  <c r="AR104" i="8"/>
  <c r="AM104" i="8"/>
  <c r="AH104" i="8"/>
  <c r="AC104" i="8"/>
  <c r="X104" i="8"/>
  <c r="S104" i="8"/>
  <c r="AW103" i="8"/>
  <c r="AR103" i="8"/>
  <c r="AM103" i="8"/>
  <c r="AH103" i="8"/>
  <c r="AC103" i="8"/>
  <c r="X103" i="8"/>
  <c r="S103" i="8"/>
  <c r="AW102" i="8"/>
  <c r="AR102" i="8"/>
  <c r="AM102" i="8"/>
  <c r="AH102" i="8"/>
  <c r="AC102" i="8"/>
  <c r="X102" i="8"/>
  <c r="S102" i="8"/>
  <c r="AW101" i="8"/>
  <c r="AR101" i="8"/>
  <c r="AM101" i="8"/>
  <c r="AH101" i="8"/>
  <c r="AC101" i="8"/>
  <c r="X101" i="8"/>
  <c r="S101" i="8"/>
  <c r="AW100" i="8"/>
  <c r="AR100" i="8"/>
  <c r="AM100" i="8"/>
  <c r="AH100" i="8"/>
  <c r="AC100" i="8"/>
  <c r="X100" i="8"/>
  <c r="S100" i="8"/>
  <c r="AW99" i="8"/>
  <c r="AR99" i="8"/>
  <c r="AM99" i="8"/>
  <c r="AH99" i="8"/>
  <c r="AC99" i="8"/>
  <c r="X99" i="8"/>
  <c r="S99" i="8"/>
  <c r="AW98" i="8"/>
  <c r="AR98" i="8"/>
  <c r="AM98" i="8"/>
  <c r="AH98" i="8"/>
  <c r="AC98" i="8"/>
  <c r="X98" i="8"/>
  <c r="S98" i="8"/>
  <c r="AW97" i="8"/>
  <c r="AR97" i="8"/>
  <c r="AM97" i="8"/>
  <c r="AH97" i="8"/>
  <c r="AC97" i="8"/>
  <c r="X97" i="8"/>
  <c r="S97" i="8"/>
  <c r="K97" i="8"/>
  <c r="J97" i="8"/>
  <c r="I97" i="8"/>
  <c r="AW96" i="8"/>
  <c r="AR96" i="8"/>
  <c r="AM96" i="8"/>
  <c r="AH96" i="8"/>
  <c r="AC96" i="8"/>
  <c r="X96" i="8"/>
  <c r="S96" i="8"/>
  <c r="K96" i="8"/>
  <c r="J96" i="8"/>
  <c r="I96" i="8"/>
  <c r="AW95" i="8"/>
  <c r="AR95" i="8"/>
  <c r="AM95" i="8"/>
  <c r="AH95" i="8"/>
  <c r="AC95" i="8"/>
  <c r="X95" i="8"/>
  <c r="S95" i="8"/>
  <c r="K95" i="8"/>
  <c r="J95" i="8"/>
  <c r="I95" i="8"/>
  <c r="AW94" i="8"/>
  <c r="AR94" i="8"/>
  <c r="AM94" i="8"/>
  <c r="AH94" i="8"/>
  <c r="AC94" i="8"/>
  <c r="X94" i="8"/>
  <c r="S94" i="8"/>
  <c r="K94" i="8"/>
  <c r="J94" i="8"/>
  <c r="I94" i="8"/>
  <c r="AW93" i="8"/>
  <c r="AR93" i="8"/>
  <c r="AM93" i="8"/>
  <c r="AH93" i="8"/>
  <c r="AC93" i="8"/>
  <c r="X93" i="8"/>
  <c r="S93" i="8"/>
  <c r="K93" i="8"/>
  <c r="J93" i="8"/>
  <c r="I93" i="8"/>
  <c r="AW92" i="8"/>
  <c r="AR92" i="8"/>
  <c r="AM92" i="8"/>
  <c r="AH92" i="8"/>
  <c r="AC92" i="8"/>
  <c r="X92" i="8"/>
  <c r="S92" i="8"/>
  <c r="K92" i="8"/>
  <c r="J92" i="8"/>
  <c r="I92" i="8"/>
  <c r="AW91" i="8"/>
  <c r="AR91" i="8"/>
  <c r="AM91" i="8"/>
  <c r="AH91" i="8"/>
  <c r="AC91" i="8"/>
  <c r="X91" i="8"/>
  <c r="S91" i="8"/>
  <c r="K91" i="8"/>
  <c r="J91" i="8"/>
  <c r="I91" i="8"/>
  <c r="AW90" i="8"/>
  <c r="AR90" i="8"/>
  <c r="AM90" i="8"/>
  <c r="AH90" i="8"/>
  <c r="AC90" i="8"/>
  <c r="X90" i="8"/>
  <c r="S90" i="8"/>
  <c r="K90" i="8"/>
  <c r="J90" i="8"/>
  <c r="I90" i="8"/>
  <c r="AW89" i="8"/>
  <c r="AR89" i="8"/>
  <c r="AM89" i="8"/>
  <c r="AH89" i="8"/>
  <c r="AC89" i="8"/>
  <c r="X89" i="8"/>
  <c r="S89" i="8"/>
  <c r="K89" i="8"/>
  <c r="J89" i="8"/>
  <c r="I89" i="8"/>
  <c r="AW88" i="8"/>
  <c r="AR88" i="8"/>
  <c r="AM88" i="8"/>
  <c r="AH88" i="8"/>
  <c r="AC88" i="8"/>
  <c r="X88" i="8"/>
  <c r="S88" i="8"/>
  <c r="K88" i="8"/>
  <c r="J88" i="8"/>
  <c r="I88" i="8"/>
  <c r="AW87" i="8"/>
  <c r="AR87" i="8"/>
  <c r="AM87" i="8"/>
  <c r="AH87" i="8"/>
  <c r="AC87" i="8"/>
  <c r="X87" i="8"/>
  <c r="S87" i="8"/>
  <c r="K87" i="8"/>
  <c r="J87" i="8"/>
  <c r="I87" i="8"/>
  <c r="AW86" i="8"/>
  <c r="AR86" i="8"/>
  <c r="AM86" i="8"/>
  <c r="AH86" i="8"/>
  <c r="AC86" i="8"/>
  <c r="X86" i="8"/>
  <c r="S86" i="8"/>
  <c r="K86" i="8"/>
  <c r="J86" i="8"/>
  <c r="I86" i="8"/>
  <c r="AW85" i="8"/>
  <c r="AR85" i="8"/>
  <c r="AM85" i="8"/>
  <c r="AH85" i="8"/>
  <c r="AC85" i="8"/>
  <c r="X85" i="8"/>
  <c r="S85" i="8"/>
  <c r="K85" i="8"/>
  <c r="J85" i="8"/>
  <c r="I85" i="8"/>
  <c r="AW84" i="8"/>
  <c r="AR84" i="8"/>
  <c r="AM84" i="8"/>
  <c r="AH84" i="8"/>
  <c r="AC84" i="8"/>
  <c r="X84" i="8"/>
  <c r="S84" i="8"/>
  <c r="K84" i="8"/>
  <c r="J84" i="8"/>
  <c r="I84" i="8"/>
  <c r="AW83" i="8"/>
  <c r="AR83" i="8"/>
  <c r="AM83" i="8"/>
  <c r="AH83" i="8"/>
  <c r="AC83" i="8"/>
  <c r="X83" i="8"/>
  <c r="S83" i="8"/>
  <c r="K83" i="8"/>
  <c r="J83" i="8"/>
  <c r="I83" i="8"/>
  <c r="AW82" i="8"/>
  <c r="AR82" i="8"/>
  <c r="AM82" i="8"/>
  <c r="AH82" i="8"/>
  <c r="AC82" i="8"/>
  <c r="X82" i="8"/>
  <c r="S82" i="8"/>
  <c r="K82" i="8"/>
  <c r="J82" i="8"/>
  <c r="I82" i="8"/>
  <c r="AW81" i="8"/>
  <c r="AR81" i="8"/>
  <c r="AM81" i="8"/>
  <c r="AH81" i="8"/>
  <c r="AC81" i="8"/>
  <c r="X81" i="8"/>
  <c r="S81" i="8"/>
  <c r="K81" i="8"/>
  <c r="J81" i="8"/>
  <c r="I81" i="8"/>
  <c r="AW80" i="8"/>
  <c r="AR80" i="8"/>
  <c r="AM80" i="8"/>
  <c r="AH80" i="8"/>
  <c r="AC80" i="8"/>
  <c r="X80" i="8"/>
  <c r="S80" i="8"/>
  <c r="K80" i="8"/>
  <c r="J80" i="8"/>
  <c r="I80" i="8"/>
  <c r="AW79" i="8"/>
  <c r="AR79" i="8"/>
  <c r="AM79" i="8"/>
  <c r="AH79" i="8"/>
  <c r="AC79" i="8"/>
  <c r="X79" i="8"/>
  <c r="S79" i="8"/>
  <c r="K79" i="8"/>
  <c r="J79" i="8"/>
  <c r="I79" i="8"/>
  <c r="AW78" i="8"/>
  <c r="AR78" i="8"/>
  <c r="AM78" i="8"/>
  <c r="AH78" i="8"/>
  <c r="AC78" i="8"/>
  <c r="X78" i="8"/>
  <c r="S78" i="8"/>
  <c r="K78" i="8"/>
  <c r="J78" i="8"/>
  <c r="I78" i="8"/>
  <c r="AX77" i="8"/>
  <c r="AW77" i="8"/>
  <c r="AS77" i="8"/>
  <c r="AR77" i="8"/>
  <c r="AN77" i="8"/>
  <c r="AM77" i="8"/>
  <c r="AI77" i="8"/>
  <c r="AH77" i="8"/>
  <c r="AD77" i="8"/>
  <c r="AC77" i="8"/>
  <c r="Y77" i="8"/>
  <c r="X77" i="8"/>
  <c r="T77" i="8"/>
  <c r="S77" i="8"/>
  <c r="K77" i="8"/>
  <c r="J77" i="8"/>
  <c r="I77" i="8"/>
  <c r="H77" i="8"/>
  <c r="P72" i="8"/>
  <c r="AW71" i="8"/>
  <c r="AR71" i="8"/>
  <c r="AM71" i="8"/>
  <c r="AH71" i="8"/>
  <c r="AC71" i="8"/>
  <c r="X71" i="8"/>
  <c r="S71" i="8"/>
  <c r="AW70" i="8"/>
  <c r="AR70" i="8"/>
  <c r="AM70" i="8"/>
  <c r="AH70" i="8"/>
  <c r="AC70" i="8"/>
  <c r="X70" i="8"/>
  <c r="S70" i="8"/>
  <c r="AW69" i="8"/>
  <c r="AR69" i="8"/>
  <c r="AM69" i="8"/>
  <c r="AH69" i="8"/>
  <c r="AC69" i="8"/>
  <c r="X69" i="8"/>
  <c r="S69" i="8"/>
  <c r="AW68" i="8"/>
  <c r="AR68" i="8"/>
  <c r="AM68" i="8"/>
  <c r="AH68" i="8"/>
  <c r="AC68" i="8"/>
  <c r="X68" i="8"/>
  <c r="S68" i="8"/>
  <c r="AW67" i="8"/>
  <c r="AR67" i="8"/>
  <c r="AM67" i="8"/>
  <c r="AH67" i="8"/>
  <c r="AC67" i="8"/>
  <c r="X67" i="8"/>
  <c r="S67" i="8"/>
  <c r="AW66" i="8"/>
  <c r="AR66" i="8"/>
  <c r="AM66" i="8"/>
  <c r="AH66" i="8"/>
  <c r="AC66" i="8"/>
  <c r="X66" i="8"/>
  <c r="S66" i="8"/>
  <c r="AW65" i="8"/>
  <c r="AR65" i="8"/>
  <c r="AM65" i="8"/>
  <c r="AH65" i="8"/>
  <c r="AC65" i="8"/>
  <c r="X65" i="8"/>
  <c r="S65" i="8"/>
  <c r="AW64" i="8"/>
  <c r="AR64" i="8"/>
  <c r="AM64" i="8"/>
  <c r="AH64" i="8"/>
  <c r="AC64" i="8"/>
  <c r="X64" i="8"/>
  <c r="S64" i="8"/>
  <c r="AW63" i="8"/>
  <c r="AR63" i="8"/>
  <c r="AM63" i="8"/>
  <c r="AH63" i="8"/>
  <c r="AC63" i="8"/>
  <c r="X63" i="8"/>
  <c r="S63" i="8"/>
  <c r="AW62" i="8"/>
  <c r="AR62" i="8"/>
  <c r="AM62" i="8"/>
  <c r="AH62" i="8"/>
  <c r="AC62" i="8"/>
  <c r="X62" i="8"/>
  <c r="S62" i="8"/>
  <c r="K62" i="8"/>
  <c r="J62" i="8"/>
  <c r="I62" i="8"/>
  <c r="AW61" i="8"/>
  <c r="AR61" i="8"/>
  <c r="AM61" i="8"/>
  <c r="AH61" i="8"/>
  <c r="AC61" i="8"/>
  <c r="X61" i="8"/>
  <c r="S61" i="8"/>
  <c r="K61" i="8"/>
  <c r="J61" i="8"/>
  <c r="I61" i="8"/>
  <c r="AW60" i="8"/>
  <c r="AR60" i="8"/>
  <c r="AM60" i="8"/>
  <c r="AH60" i="8"/>
  <c r="AC60" i="8"/>
  <c r="X60" i="8"/>
  <c r="S60" i="8"/>
  <c r="K60" i="8"/>
  <c r="J60" i="8"/>
  <c r="I60" i="8"/>
  <c r="AW59" i="8"/>
  <c r="AR59" i="8"/>
  <c r="AM59" i="8"/>
  <c r="AH59" i="8"/>
  <c r="AC59" i="8"/>
  <c r="X59" i="8"/>
  <c r="S59" i="8"/>
  <c r="K59" i="8"/>
  <c r="J59" i="8"/>
  <c r="I59" i="8"/>
  <c r="AW58" i="8"/>
  <c r="AR58" i="8"/>
  <c r="AM58" i="8"/>
  <c r="AH58" i="8"/>
  <c r="AC58" i="8"/>
  <c r="X58" i="8"/>
  <c r="S58" i="8"/>
  <c r="K58" i="8"/>
  <c r="J58" i="8"/>
  <c r="I58" i="8"/>
  <c r="AW57" i="8"/>
  <c r="AR57" i="8"/>
  <c r="AM57" i="8"/>
  <c r="AH57" i="8"/>
  <c r="AC57" i="8"/>
  <c r="X57" i="8"/>
  <c r="S57" i="8"/>
  <c r="K57" i="8"/>
  <c r="J57" i="8"/>
  <c r="I57" i="8"/>
  <c r="AW56" i="8"/>
  <c r="AR56" i="8"/>
  <c r="AM56" i="8"/>
  <c r="AH56" i="8"/>
  <c r="AC56" i="8"/>
  <c r="X56" i="8"/>
  <c r="S56" i="8"/>
  <c r="K56" i="8"/>
  <c r="J56" i="8"/>
  <c r="I56" i="8"/>
  <c r="AW55" i="8"/>
  <c r="AR55" i="8"/>
  <c r="AM55" i="8"/>
  <c r="AH55" i="8"/>
  <c r="AC55" i="8"/>
  <c r="X55" i="8"/>
  <c r="S55" i="8"/>
  <c r="K55" i="8"/>
  <c r="J55" i="8"/>
  <c r="I55" i="8"/>
  <c r="AW54" i="8"/>
  <c r="AR54" i="8"/>
  <c r="AM54" i="8"/>
  <c r="AH54" i="8"/>
  <c r="AC54" i="8"/>
  <c r="X54" i="8"/>
  <c r="S54" i="8"/>
  <c r="K54" i="8"/>
  <c r="J54" i="8"/>
  <c r="I54" i="8"/>
  <c r="AW53" i="8"/>
  <c r="AR53" i="8"/>
  <c r="AM53" i="8"/>
  <c r="AH53" i="8"/>
  <c r="AC53" i="8"/>
  <c r="X53" i="8"/>
  <c r="S53" i="8"/>
  <c r="K53" i="8"/>
  <c r="J53" i="8"/>
  <c r="I53" i="8"/>
  <c r="AW52" i="8"/>
  <c r="AR52" i="8"/>
  <c r="AM52" i="8"/>
  <c r="AH52" i="8"/>
  <c r="AC52" i="8"/>
  <c r="X52" i="8"/>
  <c r="S52" i="8"/>
  <c r="K52" i="8"/>
  <c r="J52" i="8"/>
  <c r="I52" i="8"/>
  <c r="AW51" i="8"/>
  <c r="AR51" i="8"/>
  <c r="AM51" i="8"/>
  <c r="AH51" i="8"/>
  <c r="AC51" i="8"/>
  <c r="X51" i="8"/>
  <c r="S51" i="8"/>
  <c r="K51" i="8"/>
  <c r="J51" i="8"/>
  <c r="I51" i="8"/>
  <c r="AW50" i="8"/>
  <c r="AR50" i="8"/>
  <c r="AM50" i="8"/>
  <c r="AH50" i="8"/>
  <c r="AC50" i="8"/>
  <c r="X50" i="8"/>
  <c r="S50" i="8"/>
  <c r="K50" i="8"/>
  <c r="J50" i="8"/>
  <c r="I50" i="8"/>
  <c r="AW49" i="8"/>
  <c r="AR49" i="8"/>
  <c r="AM49" i="8"/>
  <c r="AH49" i="8"/>
  <c r="AC49" i="8"/>
  <c r="X49" i="8"/>
  <c r="S49" i="8"/>
  <c r="K49" i="8"/>
  <c r="J49" i="8"/>
  <c r="I49" i="8"/>
  <c r="AW48" i="8"/>
  <c r="AR48" i="8"/>
  <c r="AM48" i="8"/>
  <c r="AH48" i="8"/>
  <c r="AC48" i="8"/>
  <c r="X48" i="8"/>
  <c r="S48" i="8"/>
  <c r="K48" i="8"/>
  <c r="J48" i="8"/>
  <c r="I48" i="8"/>
  <c r="AW47" i="8"/>
  <c r="AR47" i="8"/>
  <c r="AM47" i="8"/>
  <c r="AH47" i="8"/>
  <c r="AC47" i="8"/>
  <c r="X47" i="8"/>
  <c r="S47" i="8"/>
  <c r="K47" i="8"/>
  <c r="J47" i="8"/>
  <c r="I47" i="8"/>
  <c r="AW46" i="8"/>
  <c r="AR46" i="8"/>
  <c r="AM46" i="8"/>
  <c r="AH46" i="8"/>
  <c r="AC46" i="8"/>
  <c r="X46" i="8"/>
  <c r="S46" i="8"/>
  <c r="K46" i="8"/>
  <c r="J46" i="8"/>
  <c r="I46" i="8"/>
  <c r="AW45" i="8"/>
  <c r="AR45" i="8"/>
  <c r="AM45" i="8"/>
  <c r="AH45" i="8"/>
  <c r="AC45" i="8"/>
  <c r="X45" i="8"/>
  <c r="S45" i="8"/>
  <c r="K45" i="8"/>
  <c r="J45" i="8"/>
  <c r="I45" i="8"/>
  <c r="AW44" i="8"/>
  <c r="AR44" i="8"/>
  <c r="AM44" i="8"/>
  <c r="AH44" i="8"/>
  <c r="AC44" i="8"/>
  <c r="X44" i="8"/>
  <c r="S44" i="8"/>
  <c r="K44" i="8"/>
  <c r="J44" i="8"/>
  <c r="I44" i="8"/>
  <c r="AW43" i="8"/>
  <c r="AR43" i="8"/>
  <c r="AM43" i="8"/>
  <c r="AH43" i="8"/>
  <c r="AC43" i="8"/>
  <c r="X43" i="8"/>
  <c r="S43" i="8"/>
  <c r="K43" i="8"/>
  <c r="J43" i="8"/>
  <c r="I43" i="8"/>
  <c r="AX42" i="8"/>
  <c r="AW42" i="8"/>
  <c r="AS42" i="8"/>
  <c r="AR42" i="8"/>
  <c r="AN42" i="8"/>
  <c r="AM42" i="8"/>
  <c r="AI42" i="8"/>
  <c r="AH42" i="8"/>
  <c r="AD42" i="8"/>
  <c r="AC42" i="8"/>
  <c r="Y42" i="8"/>
  <c r="X42" i="8"/>
  <c r="T42" i="8"/>
  <c r="S42" i="8"/>
  <c r="K42" i="8"/>
  <c r="J42" i="8"/>
  <c r="I42" i="8"/>
  <c r="H42" i="8"/>
  <c r="U37" i="8"/>
  <c r="Z37" i="8" s="1"/>
  <c r="AE37" i="8" s="1"/>
  <c r="AJ37" i="8" s="1"/>
  <c r="AO37" i="8" s="1"/>
  <c r="AT37" i="8" s="1"/>
  <c r="BB36" i="8"/>
  <c r="AW36" i="8"/>
  <c r="AR36" i="8"/>
  <c r="AM36" i="8"/>
  <c r="AH36" i="8"/>
  <c r="AC36" i="8"/>
  <c r="X36" i="8"/>
  <c r="S36" i="8"/>
  <c r="BB35" i="8"/>
  <c r="AW35" i="8"/>
  <c r="AR35" i="8"/>
  <c r="AM35" i="8"/>
  <c r="AH35" i="8"/>
  <c r="AC35" i="8"/>
  <c r="X35" i="8"/>
  <c r="S35" i="8"/>
  <c r="BB34" i="8"/>
  <c r="AW34" i="8"/>
  <c r="AR34" i="8"/>
  <c r="AM34" i="8"/>
  <c r="AH34" i="8"/>
  <c r="AC34" i="8"/>
  <c r="X34" i="8"/>
  <c r="S34" i="8"/>
  <c r="BB33" i="8"/>
  <c r="AW33" i="8"/>
  <c r="AR33" i="8"/>
  <c r="AM33" i="8"/>
  <c r="AH33" i="8"/>
  <c r="AC33" i="8"/>
  <c r="X33" i="8"/>
  <c r="S33" i="8"/>
  <c r="BB32" i="8"/>
  <c r="AW32" i="8"/>
  <c r="AR32" i="8"/>
  <c r="AM32" i="8"/>
  <c r="AH32" i="8"/>
  <c r="AC32" i="8"/>
  <c r="X32" i="8"/>
  <c r="S32" i="8"/>
  <c r="BB31" i="8"/>
  <c r="AW31" i="8"/>
  <c r="AR31" i="8"/>
  <c r="AM31" i="8"/>
  <c r="AH31" i="8"/>
  <c r="AC31" i="8"/>
  <c r="X31" i="8"/>
  <c r="S31" i="8"/>
  <c r="BB30" i="8"/>
  <c r="AW30" i="8"/>
  <c r="AR30" i="8"/>
  <c r="AM30" i="8"/>
  <c r="AH30" i="8"/>
  <c r="AC30" i="8"/>
  <c r="X30" i="8"/>
  <c r="S30" i="8"/>
  <c r="BB29" i="8"/>
  <c r="AW29" i="8"/>
  <c r="AR29" i="8"/>
  <c r="AM29" i="8"/>
  <c r="AH29" i="8"/>
  <c r="AC29" i="8"/>
  <c r="X29" i="8"/>
  <c r="S29" i="8"/>
  <c r="BB28" i="8"/>
  <c r="AW28" i="8"/>
  <c r="AR28" i="8"/>
  <c r="AM28" i="8"/>
  <c r="AH28" i="8"/>
  <c r="AC28" i="8"/>
  <c r="X28" i="8"/>
  <c r="S28" i="8"/>
  <c r="K28" i="8"/>
  <c r="J28" i="8"/>
  <c r="I28" i="8"/>
  <c r="BB27" i="8"/>
  <c r="AW27" i="8"/>
  <c r="AR27" i="8"/>
  <c r="AM27" i="8"/>
  <c r="AH27" i="8"/>
  <c r="AC27" i="8"/>
  <c r="X27" i="8"/>
  <c r="S27" i="8"/>
  <c r="BB26" i="8"/>
  <c r="AW26" i="8"/>
  <c r="AR26" i="8"/>
  <c r="AM26" i="8"/>
  <c r="AH26" i="8"/>
  <c r="AC26" i="8"/>
  <c r="X26" i="8"/>
  <c r="S26" i="8"/>
  <c r="K26" i="8"/>
  <c r="J26" i="8"/>
  <c r="I26" i="8"/>
  <c r="BB25" i="8"/>
  <c r="AW25" i="8"/>
  <c r="AR25" i="8"/>
  <c r="AM25" i="8"/>
  <c r="AH25" i="8"/>
  <c r="AC25" i="8"/>
  <c r="X25" i="8"/>
  <c r="S25" i="8"/>
  <c r="K25" i="8"/>
  <c r="J25" i="8"/>
  <c r="I25" i="8"/>
  <c r="BB24" i="8"/>
  <c r="AW24" i="8"/>
  <c r="AR24" i="8"/>
  <c r="AM24" i="8"/>
  <c r="AH24" i="8"/>
  <c r="AC24" i="8"/>
  <c r="X24" i="8"/>
  <c r="S24" i="8"/>
  <c r="K24" i="8"/>
  <c r="J24" i="8"/>
  <c r="I24" i="8"/>
  <c r="BB23" i="8"/>
  <c r="AW23" i="8"/>
  <c r="AR23" i="8"/>
  <c r="AM23" i="8"/>
  <c r="AH23" i="8"/>
  <c r="AC23" i="8"/>
  <c r="X23" i="8"/>
  <c r="S23" i="8"/>
  <c r="K23" i="8"/>
  <c r="J23" i="8"/>
  <c r="I23" i="8"/>
  <c r="BB22" i="8"/>
  <c r="AW22" i="8"/>
  <c r="AR22" i="8"/>
  <c r="AM22" i="8"/>
  <c r="AH22" i="8"/>
  <c r="AC22" i="8"/>
  <c r="X22" i="8"/>
  <c r="S22" i="8"/>
  <c r="K22" i="8"/>
  <c r="J22" i="8"/>
  <c r="I22" i="8"/>
  <c r="BB21" i="8"/>
  <c r="AW21" i="8"/>
  <c r="AR21" i="8"/>
  <c r="AM21" i="8"/>
  <c r="AH21" i="8"/>
  <c r="AC21" i="8"/>
  <c r="X21" i="8"/>
  <c r="S21" i="8"/>
  <c r="K21" i="8"/>
  <c r="J21" i="8"/>
  <c r="I21" i="8"/>
  <c r="BB20" i="8"/>
  <c r="AW20" i="8"/>
  <c r="AR20" i="8"/>
  <c r="AM20" i="8"/>
  <c r="AH20" i="8"/>
  <c r="AC20" i="8"/>
  <c r="X20" i="8"/>
  <c r="S20" i="8"/>
  <c r="K20" i="8"/>
  <c r="J20" i="8"/>
  <c r="I20" i="8"/>
  <c r="BB19" i="8"/>
  <c r="AW19" i="8"/>
  <c r="AR19" i="8"/>
  <c r="AM19" i="8"/>
  <c r="AH19" i="8"/>
  <c r="AC19" i="8"/>
  <c r="X19" i="8"/>
  <c r="S19" i="8"/>
  <c r="K19" i="8"/>
  <c r="J19" i="8"/>
  <c r="I19" i="8"/>
  <c r="BB18" i="8"/>
  <c r="AW18" i="8"/>
  <c r="AR18" i="8"/>
  <c r="AM18" i="8"/>
  <c r="AH18" i="8"/>
  <c r="AC18" i="8"/>
  <c r="X18" i="8"/>
  <c r="S18" i="8"/>
  <c r="K18" i="8"/>
  <c r="J18" i="8"/>
  <c r="I18" i="8"/>
  <c r="BB17" i="8"/>
  <c r="AW17" i="8"/>
  <c r="AR17" i="8"/>
  <c r="AM17" i="8"/>
  <c r="AH17" i="8"/>
  <c r="AC17" i="8"/>
  <c r="X17" i="8"/>
  <c r="S17" i="8"/>
  <c r="K17" i="8"/>
  <c r="J17" i="8"/>
  <c r="I17" i="8"/>
  <c r="BB16" i="8"/>
  <c r="AW16" i="8"/>
  <c r="AR16" i="8"/>
  <c r="AM16" i="8"/>
  <c r="AH16" i="8"/>
  <c r="AC16" i="8"/>
  <c r="X16" i="8"/>
  <c r="S16" i="8"/>
  <c r="K16" i="8"/>
  <c r="J16" i="8"/>
  <c r="I16" i="8"/>
  <c r="BB15" i="8"/>
  <c r="AW15" i="8"/>
  <c r="AR15" i="8"/>
  <c r="AM15" i="8"/>
  <c r="AH15" i="8"/>
  <c r="AC15" i="8"/>
  <c r="X15" i="8"/>
  <c r="S15" i="8"/>
  <c r="K15" i="8"/>
  <c r="J15" i="8"/>
  <c r="I15" i="8"/>
  <c r="BB14" i="8"/>
  <c r="AW14" i="8"/>
  <c r="AR14" i="8"/>
  <c r="AM14" i="8"/>
  <c r="AH14" i="8"/>
  <c r="AC14" i="8"/>
  <c r="X14" i="8"/>
  <c r="S14" i="8"/>
  <c r="K14" i="8"/>
  <c r="J14" i="8"/>
  <c r="I14" i="8"/>
  <c r="BB13" i="8"/>
  <c r="AW13" i="8"/>
  <c r="AR13" i="8"/>
  <c r="AM13" i="8"/>
  <c r="AH13" i="8"/>
  <c r="AC13" i="8"/>
  <c r="X13" i="8"/>
  <c r="S13" i="8"/>
  <c r="K13" i="8"/>
  <c r="J13" i="8"/>
  <c r="I13" i="8"/>
  <c r="BB12" i="8"/>
  <c r="AW12" i="8"/>
  <c r="AR12" i="8"/>
  <c r="AM12" i="8"/>
  <c r="AH12" i="8"/>
  <c r="AC12" i="8"/>
  <c r="X12" i="8"/>
  <c r="S12" i="8"/>
  <c r="K12" i="8"/>
  <c r="J12" i="8"/>
  <c r="I12" i="8"/>
  <c r="BB11" i="8"/>
  <c r="AW11" i="8"/>
  <c r="AR11" i="8"/>
  <c r="AM11" i="8"/>
  <c r="AH11" i="8"/>
  <c r="AC11" i="8"/>
  <c r="X11" i="8"/>
  <c r="S11" i="8"/>
  <c r="K11" i="8"/>
  <c r="J11" i="8"/>
  <c r="I11" i="8"/>
  <c r="BB10" i="8"/>
  <c r="AW10" i="8"/>
  <c r="AR10" i="8"/>
  <c r="AM10" i="8"/>
  <c r="AH10" i="8"/>
  <c r="AC10" i="8"/>
  <c r="X10" i="8"/>
  <c r="S10" i="8"/>
  <c r="K10" i="8"/>
  <c r="J10" i="8"/>
  <c r="I10" i="8"/>
  <c r="BB9" i="8"/>
  <c r="AW9" i="8"/>
  <c r="AR9" i="8"/>
  <c r="AM9" i="8"/>
  <c r="AH9" i="8"/>
  <c r="AC9" i="8"/>
  <c r="X9" i="8"/>
  <c r="S9" i="8"/>
  <c r="K9" i="8"/>
  <c r="J9" i="8"/>
  <c r="I9" i="8"/>
  <c r="BB8" i="8"/>
  <c r="AW8" i="8"/>
  <c r="AR8" i="8"/>
  <c r="AM8" i="8"/>
  <c r="AH8" i="8"/>
  <c r="AC8" i="8"/>
  <c r="X8" i="8"/>
  <c r="S8" i="8"/>
  <c r="K8" i="8"/>
  <c r="J8" i="8"/>
  <c r="I8" i="8"/>
  <c r="BB7" i="8"/>
  <c r="AX7" i="8"/>
  <c r="AW7" i="8"/>
  <c r="AS7" i="8"/>
  <c r="AR7" i="8"/>
  <c r="AN7" i="8"/>
  <c r="AM7" i="8"/>
  <c r="AI7" i="8"/>
  <c r="AH7" i="8"/>
  <c r="AD7" i="8"/>
  <c r="AC7" i="8"/>
  <c r="Y7" i="8"/>
  <c r="X7" i="8"/>
  <c r="T7" i="8"/>
  <c r="S7" i="8"/>
  <c r="K7" i="8"/>
  <c r="J7" i="8"/>
  <c r="I7" i="8"/>
  <c r="H7" i="8"/>
  <c r="AT2" i="8"/>
  <c r="M28" i="30" l="1"/>
  <c r="L107" i="30"/>
  <c r="M107" i="32"/>
  <c r="M7" i="33"/>
  <c r="M27" i="34"/>
  <c r="M68" i="34"/>
  <c r="M10" i="35"/>
  <c r="M60" i="36"/>
  <c r="M69" i="32"/>
  <c r="M28" i="36"/>
  <c r="M78" i="8"/>
  <c r="M32" i="8"/>
  <c r="L7" i="8"/>
  <c r="P62" i="30"/>
  <c r="P82" i="30" s="1"/>
  <c r="U82" i="30" s="1"/>
  <c r="Z82" i="30" s="1"/>
  <c r="AE82" i="30" s="1"/>
  <c r="AJ82" i="30" s="1"/>
  <c r="AO82" i="30" s="1"/>
  <c r="AT82" i="30" s="1"/>
  <c r="M69" i="30"/>
  <c r="M9" i="32"/>
  <c r="M36" i="32"/>
  <c r="M8" i="31"/>
  <c r="M34" i="34"/>
  <c r="L67" i="35"/>
  <c r="L67" i="36"/>
  <c r="M10" i="30"/>
  <c r="U22" i="30"/>
  <c r="Z22" i="30" s="1"/>
  <c r="AE22" i="30" s="1"/>
  <c r="AJ22" i="30" s="1"/>
  <c r="AO22" i="30" s="1"/>
  <c r="AT22" i="30" s="1"/>
  <c r="M114" i="30"/>
  <c r="M115" i="30"/>
  <c r="M116" i="30"/>
  <c r="M117" i="30"/>
  <c r="M118" i="30"/>
  <c r="M119" i="30"/>
  <c r="M120" i="30"/>
  <c r="M121" i="30"/>
  <c r="M48" i="31"/>
  <c r="M45" i="33"/>
  <c r="M68" i="35"/>
  <c r="M80" i="33"/>
  <c r="M136" i="33"/>
  <c r="M12" i="34"/>
  <c r="M50" i="35"/>
  <c r="M69" i="36"/>
  <c r="M50" i="8"/>
  <c r="M80" i="8"/>
  <c r="M59" i="8"/>
  <c r="M92" i="30"/>
  <c r="M16" i="31"/>
  <c r="M65" i="33"/>
  <c r="L7" i="34"/>
  <c r="U22" i="36"/>
  <c r="Z22" i="36" s="1"/>
  <c r="AE22" i="36" s="1"/>
  <c r="AJ22" i="36" s="1"/>
  <c r="AO22" i="36" s="1"/>
  <c r="AT22" i="36" s="1"/>
  <c r="P42" i="36"/>
  <c r="P62" i="36" s="1"/>
  <c r="P82" i="36" s="1"/>
  <c r="M17" i="32"/>
  <c r="M28" i="32"/>
  <c r="M29" i="32"/>
  <c r="M31" i="32"/>
  <c r="M32" i="32"/>
  <c r="M33" i="32"/>
  <c r="M35" i="32"/>
  <c r="M37" i="32"/>
  <c r="M73" i="32"/>
  <c r="M21" i="32"/>
  <c r="M16" i="32"/>
  <c r="L47" i="32"/>
  <c r="M51" i="32"/>
  <c r="M55" i="32"/>
  <c r="M121" i="32"/>
  <c r="M88" i="32"/>
  <c r="M12" i="31"/>
  <c r="M13" i="33"/>
  <c r="M21" i="33"/>
  <c r="M29" i="33"/>
  <c r="M48" i="33"/>
  <c r="M18" i="34"/>
  <c r="M27" i="35"/>
  <c r="M30" i="36"/>
  <c r="M61" i="36"/>
  <c r="M87" i="36"/>
  <c r="M46" i="8"/>
  <c r="M120" i="8"/>
  <c r="M54" i="8"/>
  <c r="M49" i="30"/>
  <c r="M47" i="32"/>
  <c r="M14" i="31"/>
  <c r="M61" i="31"/>
  <c r="M83" i="33"/>
  <c r="M87" i="33"/>
  <c r="M99" i="33"/>
  <c r="M103" i="33"/>
  <c r="M119" i="33"/>
  <c r="M52" i="34"/>
  <c r="M51" i="34"/>
  <c r="M55" i="34"/>
  <c r="M16" i="35"/>
  <c r="M7" i="36"/>
  <c r="M68" i="36"/>
  <c r="M84" i="8"/>
  <c r="M56" i="8"/>
  <c r="M18" i="30"/>
  <c r="L67" i="30"/>
  <c r="M14" i="32"/>
  <c r="M48" i="32"/>
  <c r="M52" i="32"/>
  <c r="M56" i="32"/>
  <c r="L47" i="31"/>
  <c r="M81" i="31"/>
  <c r="M88" i="31"/>
  <c r="M53" i="33"/>
  <c r="M57" i="33"/>
  <c r="M69" i="33"/>
  <c r="M67" i="34"/>
  <c r="M107" i="34"/>
  <c r="M41" i="35"/>
  <c r="M101" i="35"/>
  <c r="M10" i="36"/>
  <c r="M84" i="33"/>
  <c r="M96" i="33"/>
  <c r="M100" i="33"/>
  <c r="M116" i="33"/>
  <c r="M124" i="33"/>
  <c r="M128" i="33"/>
  <c r="M12" i="32"/>
  <c r="M41" i="32"/>
  <c r="M49" i="32"/>
  <c r="M53" i="32"/>
  <c r="M9" i="33"/>
  <c r="L42" i="33"/>
  <c r="M50" i="33"/>
  <c r="M54" i="33"/>
  <c r="M66" i="33"/>
  <c r="M70" i="33"/>
  <c r="M113" i="33"/>
  <c r="L182" i="33"/>
  <c r="M9" i="35"/>
  <c r="M28" i="35"/>
  <c r="M32" i="35"/>
  <c r="M51" i="36"/>
  <c r="M81" i="8"/>
  <c r="M97" i="8"/>
  <c r="M7" i="30"/>
  <c r="M29" i="30"/>
  <c r="M55" i="30"/>
  <c r="M48" i="30"/>
  <c r="M70" i="32"/>
  <c r="M74" i="32"/>
  <c r="M121" i="33"/>
  <c r="M125" i="33"/>
  <c r="M137" i="33"/>
  <c r="M12" i="35"/>
  <c r="M51" i="35"/>
  <c r="M69" i="35"/>
  <c r="M11" i="36"/>
  <c r="M47" i="36"/>
  <c r="M70" i="36"/>
  <c r="L7" i="32"/>
  <c r="M10" i="32"/>
  <c r="M18" i="32"/>
  <c r="M73" i="34"/>
  <c r="M47" i="35"/>
  <c r="M29" i="36"/>
  <c r="M54" i="36"/>
  <c r="M13" i="32"/>
  <c r="M71" i="32"/>
  <c r="M75" i="32"/>
  <c r="M78" i="33"/>
  <c r="M15" i="34"/>
  <c r="M16" i="34"/>
  <c r="M28" i="34"/>
  <c r="M50" i="34"/>
  <c r="M48" i="35"/>
  <c r="M52" i="35"/>
  <c r="M67" i="35"/>
  <c r="M20" i="36"/>
  <c r="M88" i="36"/>
  <c r="M101" i="36"/>
  <c r="M89" i="36"/>
  <c r="M91" i="36"/>
  <c r="M48" i="36"/>
  <c r="M55" i="36"/>
  <c r="M59" i="36"/>
  <c r="L107" i="36"/>
  <c r="M112" i="36"/>
  <c r="M113" i="36"/>
  <c r="M114" i="36"/>
  <c r="M115" i="36"/>
  <c r="M116" i="36"/>
  <c r="M117" i="36"/>
  <c r="M118" i="36"/>
  <c r="M119" i="36"/>
  <c r="M120" i="36"/>
  <c r="M121" i="36"/>
  <c r="L128" i="36"/>
  <c r="M135" i="36"/>
  <c r="M139" i="36"/>
  <c r="M31" i="36"/>
  <c r="M32" i="36"/>
  <c r="M33" i="36"/>
  <c r="M34" i="36"/>
  <c r="M35" i="36"/>
  <c r="M36" i="36"/>
  <c r="M37" i="36"/>
  <c r="M38" i="36"/>
  <c r="M39" i="36"/>
  <c r="M40" i="36"/>
  <c r="M41" i="36"/>
  <c r="M50" i="36"/>
  <c r="M57" i="36"/>
  <c r="M75" i="36"/>
  <c r="M76" i="36"/>
  <c r="M77" i="36"/>
  <c r="M78" i="36"/>
  <c r="M14" i="36"/>
  <c r="M27" i="36"/>
  <c r="M49" i="36"/>
  <c r="M58" i="36"/>
  <c r="L7" i="36"/>
  <c r="AZ21" i="36" s="1"/>
  <c r="M13" i="36"/>
  <c r="M15" i="36"/>
  <c r="AZ15" i="36"/>
  <c r="M17" i="36"/>
  <c r="M19" i="36"/>
  <c r="M21" i="36"/>
  <c r="L47" i="36"/>
  <c r="M52" i="36"/>
  <c r="M56" i="36"/>
  <c r="L87" i="36"/>
  <c r="M92" i="36"/>
  <c r="M93" i="36"/>
  <c r="M94" i="36"/>
  <c r="M95" i="36"/>
  <c r="M96" i="36"/>
  <c r="M97" i="36"/>
  <c r="M98" i="36"/>
  <c r="M99" i="36"/>
  <c r="M100" i="36"/>
  <c r="M128" i="36"/>
  <c r="M136" i="36"/>
  <c r="M140" i="36"/>
  <c r="M133" i="36"/>
  <c r="M137" i="36"/>
  <c r="M141" i="36"/>
  <c r="M53" i="36"/>
  <c r="M71" i="36"/>
  <c r="M72" i="36"/>
  <c r="M73" i="36"/>
  <c r="M74" i="36"/>
  <c r="M79" i="36"/>
  <c r="M80" i="36"/>
  <c r="M81" i="36"/>
  <c r="M90" i="36"/>
  <c r="M9" i="36"/>
  <c r="M12" i="36"/>
  <c r="M16" i="36"/>
  <c r="M18" i="36"/>
  <c r="M67" i="36"/>
  <c r="M134" i="36"/>
  <c r="M138" i="36"/>
  <c r="M87" i="35"/>
  <c r="M88" i="35"/>
  <c r="M89" i="35"/>
  <c r="M91" i="35"/>
  <c r="U42" i="35"/>
  <c r="Z42" i="35" s="1"/>
  <c r="AE42" i="35" s="1"/>
  <c r="AJ42" i="35" s="1"/>
  <c r="AO42" i="35" s="1"/>
  <c r="AT42" i="35" s="1"/>
  <c r="P62" i="35"/>
  <c r="M11" i="35"/>
  <c r="M31" i="35"/>
  <c r="M49" i="35"/>
  <c r="M71" i="35"/>
  <c r="M78" i="35"/>
  <c r="M79" i="35"/>
  <c r="M80" i="35"/>
  <c r="M81" i="35"/>
  <c r="M90" i="35"/>
  <c r="M7" i="35"/>
  <c r="AZ21" i="35" s="1"/>
  <c r="M8" i="35"/>
  <c r="M18" i="35"/>
  <c r="M20" i="35"/>
  <c r="M30" i="35"/>
  <c r="M54" i="35"/>
  <c r="M55" i="35"/>
  <c r="M59" i="35"/>
  <c r="M60" i="35"/>
  <c r="M61" i="35"/>
  <c r="M139" i="35"/>
  <c r="M72" i="35"/>
  <c r="M73" i="35"/>
  <c r="M74" i="35"/>
  <c r="M75" i="35"/>
  <c r="M76" i="35"/>
  <c r="M77" i="35"/>
  <c r="AZ18" i="35"/>
  <c r="M57" i="35"/>
  <c r="M58" i="35"/>
  <c r="M70" i="35"/>
  <c r="AZ9" i="35"/>
  <c r="U22" i="35"/>
  <c r="Z22" i="35" s="1"/>
  <c r="AE22" i="35" s="1"/>
  <c r="AJ22" i="35" s="1"/>
  <c r="AO22" i="35" s="1"/>
  <c r="AT22" i="35" s="1"/>
  <c r="L47" i="35"/>
  <c r="L107" i="35"/>
  <c r="M116" i="35"/>
  <c r="M117" i="35"/>
  <c r="M118" i="35"/>
  <c r="M119" i="35"/>
  <c r="M120" i="35"/>
  <c r="M121" i="35"/>
  <c r="L128" i="35"/>
  <c r="M140" i="35"/>
  <c r="M14" i="35"/>
  <c r="M53" i="35"/>
  <c r="M56" i="35"/>
  <c r="AZ10" i="35"/>
  <c r="M13" i="35"/>
  <c r="M15" i="35"/>
  <c r="AZ15" i="35"/>
  <c r="M17" i="35"/>
  <c r="M19" i="35"/>
  <c r="AZ19" i="35"/>
  <c r="M21" i="35"/>
  <c r="M33" i="35"/>
  <c r="M34" i="35"/>
  <c r="M35" i="35"/>
  <c r="M36" i="35"/>
  <c r="M37" i="35"/>
  <c r="M38" i="35"/>
  <c r="M39" i="35"/>
  <c r="M40" i="35"/>
  <c r="L87" i="35"/>
  <c r="M92" i="35"/>
  <c r="M93" i="35"/>
  <c r="M94" i="35"/>
  <c r="M95" i="35"/>
  <c r="M96" i="35"/>
  <c r="M97" i="35"/>
  <c r="M98" i="35"/>
  <c r="M99" i="35"/>
  <c r="M100" i="35"/>
  <c r="M128" i="35"/>
  <c r="M141" i="35"/>
  <c r="M138" i="35"/>
  <c r="M91" i="34"/>
  <c r="M87" i="34"/>
  <c r="M88" i="34"/>
  <c r="M95" i="34"/>
  <c r="P42" i="34"/>
  <c r="U22" i="34"/>
  <c r="Z22" i="34" s="1"/>
  <c r="AE22" i="34" s="1"/>
  <c r="AJ22" i="34" s="1"/>
  <c r="AO22" i="34" s="1"/>
  <c r="AT22" i="34" s="1"/>
  <c r="M57" i="34"/>
  <c r="M7" i="34"/>
  <c r="AZ18" i="34" s="1"/>
  <c r="M8" i="34"/>
  <c r="M9" i="34"/>
  <c r="AZ12" i="34"/>
  <c r="M13" i="34"/>
  <c r="M20" i="34"/>
  <c r="M30" i="34"/>
  <c r="L47" i="34"/>
  <c r="M49" i="34"/>
  <c r="M54" i="34"/>
  <c r="M58" i="34"/>
  <c r="M61" i="34"/>
  <c r="L27" i="34"/>
  <c r="M29" i="34"/>
  <c r="M32" i="34"/>
  <c r="M35" i="34"/>
  <c r="M37" i="34"/>
  <c r="L67" i="34"/>
  <c r="M70" i="34"/>
  <c r="M72" i="34"/>
  <c r="M75" i="34"/>
  <c r="L87" i="34"/>
  <c r="M89" i="34"/>
  <c r="M92" i="34"/>
  <c r="M94" i="34"/>
  <c r="M142" i="34"/>
  <c r="M138" i="34"/>
  <c r="M141" i="34"/>
  <c r="M137" i="34"/>
  <c r="M140" i="34"/>
  <c r="M136" i="34"/>
  <c r="M139" i="34"/>
  <c r="M128" i="34"/>
  <c r="L128" i="34"/>
  <c r="AZ21" i="34"/>
  <c r="M53" i="34"/>
  <c r="M56" i="34"/>
  <c r="M59" i="34"/>
  <c r="M60" i="34"/>
  <c r="AZ13" i="34"/>
  <c r="AZ9" i="34"/>
  <c r="C1" i="34"/>
  <c r="AZ7" i="34"/>
  <c r="M10" i="34"/>
  <c r="M11" i="34"/>
  <c r="AZ11" i="34"/>
  <c r="M14" i="34"/>
  <c r="AZ15" i="34"/>
  <c r="M33" i="34"/>
  <c r="M36" i="34"/>
  <c r="M47" i="34"/>
  <c r="M71" i="34"/>
  <c r="M74" i="34"/>
  <c r="M76" i="34"/>
  <c r="M90" i="34"/>
  <c r="M93" i="34"/>
  <c r="M96" i="34"/>
  <c r="M97" i="34"/>
  <c r="M98" i="34"/>
  <c r="M99" i="34"/>
  <c r="M100" i="34"/>
  <c r="M101" i="34"/>
  <c r="M38" i="34"/>
  <c r="M39" i="34"/>
  <c r="M40" i="34"/>
  <c r="M41" i="34"/>
  <c r="M77" i="34"/>
  <c r="M78" i="34"/>
  <c r="M79" i="34"/>
  <c r="M80" i="34"/>
  <c r="M81" i="34"/>
  <c r="M117" i="34"/>
  <c r="M118" i="34"/>
  <c r="M119" i="34"/>
  <c r="M120" i="34"/>
  <c r="M121" i="34"/>
  <c r="AZ10" i="34"/>
  <c r="AZ14" i="34"/>
  <c r="M17" i="34"/>
  <c r="AZ17" i="34"/>
  <c r="M19" i="34"/>
  <c r="AZ19" i="34"/>
  <c r="M21" i="34"/>
  <c r="M172" i="33"/>
  <c r="M160" i="33"/>
  <c r="M164" i="33"/>
  <c r="M176" i="33"/>
  <c r="M157" i="33"/>
  <c r="M161" i="33"/>
  <c r="M173" i="33"/>
  <c r="M32" i="33"/>
  <c r="M8" i="33"/>
  <c r="L7" i="33"/>
  <c r="AZ15" i="33" s="1"/>
  <c r="M33" i="33"/>
  <c r="M25" i="33"/>
  <c r="M17" i="33"/>
  <c r="M10" i="33"/>
  <c r="M18" i="33"/>
  <c r="M26" i="33"/>
  <c r="M34" i="33"/>
  <c r="M11" i="33"/>
  <c r="M12" i="33"/>
  <c r="M19" i="33"/>
  <c r="M20" i="33"/>
  <c r="M27" i="33"/>
  <c r="M28" i="33"/>
  <c r="M35" i="33"/>
  <c r="M36" i="33"/>
  <c r="M42" i="33"/>
  <c r="M44" i="33"/>
  <c r="M51" i="33"/>
  <c r="M60" i="33"/>
  <c r="M67" i="33"/>
  <c r="M71" i="33"/>
  <c r="P72" i="33"/>
  <c r="M81" i="33"/>
  <c r="M90" i="33"/>
  <c r="M97" i="33"/>
  <c r="M106" i="33"/>
  <c r="M112" i="33"/>
  <c r="M115" i="33"/>
  <c r="M122" i="33"/>
  <c r="M131" i="33"/>
  <c r="M138" i="33"/>
  <c r="M139" i="33"/>
  <c r="M140" i="33"/>
  <c r="M141" i="33"/>
  <c r="M148" i="33"/>
  <c r="M151" i="33"/>
  <c r="M158" i="33"/>
  <c r="M167" i="33"/>
  <c r="M174" i="33"/>
  <c r="M247" i="33"/>
  <c r="M243" i="33"/>
  <c r="M246" i="33"/>
  <c r="M242" i="33"/>
  <c r="M245" i="33"/>
  <c r="M218" i="33"/>
  <c r="M244" i="33"/>
  <c r="AZ35" i="33"/>
  <c r="AZ31" i="33"/>
  <c r="AZ27" i="33"/>
  <c r="AZ23" i="33"/>
  <c r="AZ19" i="33"/>
  <c r="AZ11" i="33"/>
  <c r="AZ7" i="33"/>
  <c r="AZ13" i="33"/>
  <c r="AZ21" i="33"/>
  <c r="AZ29" i="33"/>
  <c r="M47" i="33"/>
  <c r="M56" i="33"/>
  <c r="M63" i="33"/>
  <c r="L77" i="33"/>
  <c r="M86" i="33"/>
  <c r="M93" i="33"/>
  <c r="M102" i="33"/>
  <c r="L112" i="33"/>
  <c r="M118" i="33"/>
  <c r="M127" i="33"/>
  <c r="M134" i="33"/>
  <c r="L147" i="33"/>
  <c r="M154" i="33"/>
  <c r="M163" i="33"/>
  <c r="M170" i="33"/>
  <c r="M206" i="33"/>
  <c r="M207" i="33"/>
  <c r="M208" i="33"/>
  <c r="M209" i="33"/>
  <c r="M210" i="33"/>
  <c r="M211" i="33"/>
  <c r="L218" i="33"/>
  <c r="M55" i="33"/>
  <c r="M58" i="33"/>
  <c r="M61" i="33"/>
  <c r="M64" i="33"/>
  <c r="M85" i="33"/>
  <c r="M88" i="33"/>
  <c r="M91" i="33"/>
  <c r="M94" i="33"/>
  <c r="M101" i="33"/>
  <c r="M104" i="33"/>
  <c r="M126" i="33"/>
  <c r="M129" i="33"/>
  <c r="M132" i="33"/>
  <c r="M135" i="33"/>
  <c r="M149" i="33"/>
  <c r="M152" i="33"/>
  <c r="M155" i="33"/>
  <c r="M162" i="33"/>
  <c r="M165" i="33"/>
  <c r="M168" i="33"/>
  <c r="M171" i="33"/>
  <c r="M14" i="33"/>
  <c r="M15" i="33"/>
  <c r="M16" i="33"/>
  <c r="M22" i="33"/>
  <c r="M23" i="33"/>
  <c r="M24" i="33"/>
  <c r="M30" i="33"/>
  <c r="M31" i="33"/>
  <c r="M43" i="33"/>
  <c r="M46" i="33"/>
  <c r="M49" i="33"/>
  <c r="M52" i="33"/>
  <c r="M59" i="33"/>
  <c r="M62" i="33"/>
  <c r="M68" i="33"/>
  <c r="M77" i="33"/>
  <c r="M79" i="33"/>
  <c r="M82" i="33"/>
  <c r="M89" i="33"/>
  <c r="M92" i="33"/>
  <c r="M95" i="33"/>
  <c r="M98" i="33"/>
  <c r="M105" i="33"/>
  <c r="M114" i="33"/>
  <c r="M117" i="33"/>
  <c r="M120" i="33"/>
  <c r="M123" i="33"/>
  <c r="M130" i="33"/>
  <c r="M133" i="33"/>
  <c r="M147" i="33"/>
  <c r="M150" i="33"/>
  <c r="M153" i="33"/>
  <c r="M156" i="33"/>
  <c r="M159" i="33"/>
  <c r="M166" i="33"/>
  <c r="M169" i="33"/>
  <c r="M175" i="33"/>
  <c r="M121" i="31"/>
  <c r="P82" i="31"/>
  <c r="U62" i="31"/>
  <c r="Z62" i="31" s="1"/>
  <c r="AE62" i="31" s="1"/>
  <c r="AJ62" i="31" s="1"/>
  <c r="AO62" i="31" s="1"/>
  <c r="AT62" i="31" s="1"/>
  <c r="M11" i="31"/>
  <c r="M15" i="31"/>
  <c r="M19" i="31"/>
  <c r="M21" i="31"/>
  <c r="U42" i="31"/>
  <c r="Z42" i="31" s="1"/>
  <c r="AE42" i="31" s="1"/>
  <c r="AJ42" i="31" s="1"/>
  <c r="AO42" i="31" s="1"/>
  <c r="AT42" i="31" s="1"/>
  <c r="L67" i="31"/>
  <c r="L7" i="31"/>
  <c r="AZ21" i="31" s="1"/>
  <c r="M27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7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L128" i="31"/>
  <c r="M131" i="31"/>
  <c r="M135" i="31"/>
  <c r="M139" i="31"/>
  <c r="M20" i="31"/>
  <c r="L87" i="31"/>
  <c r="M128" i="31"/>
  <c r="M132" i="31"/>
  <c r="M136" i="31"/>
  <c r="M140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29" i="31"/>
  <c r="M133" i="31"/>
  <c r="M137" i="31"/>
  <c r="M141" i="31"/>
  <c r="M9" i="31"/>
  <c r="M13" i="31"/>
  <c r="M17" i="31"/>
  <c r="AZ17" i="31"/>
  <c r="M130" i="31"/>
  <c r="M134" i="31"/>
  <c r="M138" i="31"/>
  <c r="L87" i="32"/>
  <c r="M89" i="32"/>
  <c r="M91" i="32"/>
  <c r="M93" i="32"/>
  <c r="M95" i="32"/>
  <c r="M97" i="32"/>
  <c r="M87" i="32"/>
  <c r="M92" i="32"/>
  <c r="M96" i="32"/>
  <c r="U62" i="32"/>
  <c r="Z62" i="32" s="1"/>
  <c r="AE62" i="32" s="1"/>
  <c r="AJ62" i="32" s="1"/>
  <c r="AO62" i="32" s="1"/>
  <c r="AT62" i="32" s="1"/>
  <c r="P82" i="32"/>
  <c r="M15" i="32"/>
  <c r="M76" i="32"/>
  <c r="M77" i="32"/>
  <c r="M80" i="32"/>
  <c r="M81" i="32"/>
  <c r="M139" i="32"/>
  <c r="M11" i="32"/>
  <c r="M30" i="32"/>
  <c r="M34" i="32"/>
  <c r="M38" i="32"/>
  <c r="M40" i="32"/>
  <c r="M50" i="32"/>
  <c r="M54" i="32"/>
  <c r="M68" i="32"/>
  <c r="M72" i="32"/>
  <c r="M78" i="32"/>
  <c r="M79" i="32"/>
  <c r="M90" i="32"/>
  <c r="M94" i="32"/>
  <c r="M7" i="32"/>
  <c r="AZ20" i="32" s="1"/>
  <c r="M8" i="32"/>
  <c r="M19" i="32"/>
  <c r="L27" i="32"/>
  <c r="U42" i="32"/>
  <c r="Z42" i="32" s="1"/>
  <c r="AE42" i="32" s="1"/>
  <c r="AJ42" i="32" s="1"/>
  <c r="AO42" i="32" s="1"/>
  <c r="AT42" i="32" s="1"/>
  <c r="L67" i="32"/>
  <c r="M98" i="32"/>
  <c r="M99" i="32"/>
  <c r="M100" i="32"/>
  <c r="M101" i="32"/>
  <c r="M140" i="32"/>
  <c r="M27" i="32"/>
  <c r="M39" i="32"/>
  <c r="M57" i="32"/>
  <c r="M58" i="32"/>
  <c r="M59" i="32"/>
  <c r="M60" i="32"/>
  <c r="M61" i="32"/>
  <c r="M67" i="32"/>
  <c r="M118" i="32"/>
  <c r="M119" i="32"/>
  <c r="M120" i="32"/>
  <c r="L128" i="32"/>
  <c r="M141" i="32"/>
  <c r="AZ14" i="32"/>
  <c r="M20" i="32"/>
  <c r="M128" i="32"/>
  <c r="M88" i="30"/>
  <c r="M31" i="30"/>
  <c r="M52" i="30"/>
  <c r="M53" i="30"/>
  <c r="M54" i="30"/>
  <c r="M8" i="30"/>
  <c r="M11" i="30"/>
  <c r="M12" i="30"/>
  <c r="M16" i="30"/>
  <c r="M20" i="30"/>
  <c r="M51" i="30"/>
  <c r="U62" i="30"/>
  <c r="Z62" i="30" s="1"/>
  <c r="AE62" i="30" s="1"/>
  <c r="AJ62" i="30" s="1"/>
  <c r="AO62" i="30" s="1"/>
  <c r="AT62" i="30" s="1"/>
  <c r="M68" i="30"/>
  <c r="M71" i="30"/>
  <c r="M90" i="30"/>
  <c r="L27" i="30"/>
  <c r="M30" i="30"/>
  <c r="M32" i="30"/>
  <c r="M50" i="30"/>
  <c r="M58" i="30"/>
  <c r="M87" i="30"/>
  <c r="M81" i="30"/>
  <c r="M80" i="30"/>
  <c r="M79" i="30"/>
  <c r="M78" i="30"/>
  <c r="M77" i="30"/>
  <c r="M76" i="30"/>
  <c r="M75" i="30"/>
  <c r="M74" i="30"/>
  <c r="M73" i="30"/>
  <c r="M72" i="30"/>
  <c r="L87" i="30"/>
  <c r="M93" i="30"/>
  <c r="M94" i="30"/>
  <c r="M95" i="30"/>
  <c r="M96" i="30"/>
  <c r="M97" i="30"/>
  <c r="M98" i="30"/>
  <c r="M99" i="30"/>
  <c r="M100" i="30"/>
  <c r="M101" i="30"/>
  <c r="P102" i="30"/>
  <c r="U102" i="30" s="1"/>
  <c r="Z102" i="30" s="1"/>
  <c r="AE102" i="30" s="1"/>
  <c r="AJ102" i="30" s="1"/>
  <c r="AO102" i="30" s="1"/>
  <c r="AT102" i="30" s="1"/>
  <c r="M14" i="30"/>
  <c r="M27" i="30"/>
  <c r="M61" i="30"/>
  <c r="M57" i="30"/>
  <c r="M60" i="30"/>
  <c r="M56" i="30"/>
  <c r="M47" i="30"/>
  <c r="M59" i="30"/>
  <c r="M70" i="30"/>
  <c r="M89" i="30"/>
  <c r="M91" i="30"/>
  <c r="M135" i="30"/>
  <c r="M139" i="30"/>
  <c r="M136" i="30"/>
  <c r="M140" i="30"/>
  <c r="M137" i="30"/>
  <c r="M141" i="30"/>
  <c r="M13" i="30"/>
  <c r="M15" i="30"/>
  <c r="M17" i="30"/>
  <c r="M19" i="30"/>
  <c r="M21" i="30"/>
  <c r="M33" i="30"/>
  <c r="M34" i="30"/>
  <c r="M35" i="30"/>
  <c r="M36" i="30"/>
  <c r="M37" i="30"/>
  <c r="M38" i="30"/>
  <c r="M39" i="30"/>
  <c r="M40" i="30"/>
  <c r="M41" i="30"/>
  <c r="L128" i="30"/>
  <c r="L7" i="30"/>
  <c r="AZ13" i="30" s="1"/>
  <c r="M128" i="30"/>
  <c r="M138" i="30"/>
  <c r="M24" i="8"/>
  <c r="M30" i="8"/>
  <c r="M149" i="8"/>
  <c r="M7" i="8"/>
  <c r="AZ12" i="8" s="1"/>
  <c r="M17" i="8"/>
  <c r="M22" i="8"/>
  <c r="M23" i="8"/>
  <c r="M34" i="8"/>
  <c r="M162" i="8"/>
  <c r="M9" i="8"/>
  <c r="M14" i="8"/>
  <c r="M15" i="8"/>
  <c r="M16" i="8"/>
  <c r="M20" i="8"/>
  <c r="M21" i="8"/>
  <c r="M28" i="8"/>
  <c r="M36" i="8"/>
  <c r="M8" i="8"/>
  <c r="M12" i="8"/>
  <c r="M13" i="8"/>
  <c r="M25" i="8"/>
  <c r="AZ13" i="8"/>
  <c r="AZ30" i="8"/>
  <c r="M43" i="8"/>
  <c r="M51" i="8"/>
  <c r="M53" i="8"/>
  <c r="M55" i="8"/>
  <c r="M86" i="8"/>
  <c r="M77" i="8"/>
  <c r="M103" i="8"/>
  <c r="M90" i="8"/>
  <c r="L77" i="8"/>
  <c r="M106" i="8"/>
  <c r="M105" i="8"/>
  <c r="M104" i="8"/>
  <c r="M102" i="8"/>
  <c r="M101" i="8"/>
  <c r="M82" i="8"/>
  <c r="M85" i="8"/>
  <c r="M87" i="8"/>
  <c r="M94" i="8"/>
  <c r="M96" i="8"/>
  <c r="M114" i="8"/>
  <c r="M118" i="8"/>
  <c r="M123" i="8"/>
  <c r="AZ20" i="8"/>
  <c r="AZ35" i="8"/>
  <c r="AZ31" i="8"/>
  <c r="AZ25" i="8"/>
  <c r="AZ17" i="8"/>
  <c r="AZ9" i="8"/>
  <c r="AZ21" i="8"/>
  <c r="AZ8" i="8"/>
  <c r="M60" i="8"/>
  <c r="M89" i="8"/>
  <c r="M91" i="8"/>
  <c r="M93" i="8"/>
  <c r="M122" i="8"/>
  <c r="M127" i="8"/>
  <c r="M129" i="8"/>
  <c r="M131" i="8"/>
  <c r="M152" i="8"/>
  <c r="M156" i="8"/>
  <c r="M160" i="8"/>
  <c r="M165" i="8"/>
  <c r="M182" i="8"/>
  <c r="M211" i="8"/>
  <c r="M210" i="8"/>
  <c r="M209" i="8"/>
  <c r="M208" i="8"/>
  <c r="M207" i="8"/>
  <c r="M206" i="8"/>
  <c r="M205" i="8"/>
  <c r="M204" i="8"/>
  <c r="M203" i="8"/>
  <c r="L182" i="8"/>
  <c r="AZ32" i="8"/>
  <c r="M62" i="8"/>
  <c r="M63" i="8"/>
  <c r="M64" i="8"/>
  <c r="M65" i="8"/>
  <c r="M66" i="8"/>
  <c r="M67" i="8"/>
  <c r="M68" i="8"/>
  <c r="M69" i="8"/>
  <c r="M70" i="8"/>
  <c r="M71" i="8"/>
  <c r="U72" i="8"/>
  <c r="Z72" i="8" s="1"/>
  <c r="AE72" i="8" s="1"/>
  <c r="AJ72" i="8" s="1"/>
  <c r="AO72" i="8" s="1"/>
  <c r="AT72" i="8" s="1"/>
  <c r="P107" i="8"/>
  <c r="M113" i="8"/>
  <c r="M124" i="8"/>
  <c r="M112" i="8"/>
  <c r="M128" i="8"/>
  <c r="L112" i="8"/>
  <c r="M141" i="8"/>
  <c r="M140" i="8"/>
  <c r="M139" i="8"/>
  <c r="M138" i="8"/>
  <c r="M137" i="8"/>
  <c r="M136" i="8"/>
  <c r="M135" i="8"/>
  <c r="M134" i="8"/>
  <c r="M133" i="8"/>
  <c r="M132" i="8"/>
  <c r="M116" i="8"/>
  <c r="M115" i="8"/>
  <c r="M119" i="8"/>
  <c r="M164" i="8"/>
  <c r="M44" i="8"/>
  <c r="M47" i="8"/>
  <c r="M49" i="8"/>
  <c r="M58" i="8"/>
  <c r="M88" i="8"/>
  <c r="M92" i="8"/>
  <c r="M98" i="8"/>
  <c r="M99" i="8"/>
  <c r="M100" i="8"/>
  <c r="M126" i="8"/>
  <c r="M130" i="8"/>
  <c r="M35" i="8"/>
  <c r="M33" i="8"/>
  <c r="M31" i="8"/>
  <c r="M29" i="8"/>
  <c r="M19" i="8"/>
  <c r="M11" i="8"/>
  <c r="M158" i="8"/>
  <c r="M148" i="8"/>
  <c r="M153" i="8"/>
  <c r="M155" i="8"/>
  <c r="M157" i="8"/>
  <c r="M161" i="8"/>
  <c r="M247" i="8"/>
  <c r="M243" i="8"/>
  <c r="M246" i="8"/>
  <c r="M242" i="8"/>
  <c r="M245" i="8"/>
  <c r="M241" i="8"/>
  <c r="M244" i="8"/>
  <c r="M218" i="8"/>
  <c r="L218" i="8"/>
  <c r="M125" i="8"/>
  <c r="M151" i="8"/>
  <c r="M167" i="8"/>
  <c r="M10" i="8"/>
  <c r="M18" i="8"/>
  <c r="M26" i="8"/>
  <c r="M42" i="8"/>
  <c r="M45" i="8"/>
  <c r="M52" i="8"/>
  <c r="M61" i="8"/>
  <c r="M83" i="8"/>
  <c r="M121" i="8"/>
  <c r="M176" i="8"/>
  <c r="M175" i="8"/>
  <c r="M174" i="8"/>
  <c r="M173" i="8"/>
  <c r="M172" i="8"/>
  <c r="M171" i="8"/>
  <c r="M170" i="8"/>
  <c r="M169" i="8"/>
  <c r="M168" i="8"/>
  <c r="L147" i="8"/>
  <c r="M154" i="8"/>
  <c r="M163" i="8"/>
  <c r="AZ26" i="8"/>
  <c r="M27" i="8"/>
  <c r="L42" i="8"/>
  <c r="M48" i="8"/>
  <c r="M57" i="8"/>
  <c r="M79" i="8"/>
  <c r="M95" i="8"/>
  <c r="M117" i="8"/>
  <c r="M147" i="8"/>
  <c r="M150" i="8"/>
  <c r="M159" i="8"/>
  <c r="M166" i="8"/>
  <c r="AZ10" i="8"/>
  <c r="AZ14" i="8"/>
  <c r="AZ18" i="8"/>
  <c r="AZ22" i="8"/>
  <c r="V32" i="5"/>
  <c r="V25" i="5"/>
  <c r="V18" i="5"/>
  <c r="V11" i="5"/>
  <c r="V9" i="5"/>
  <c r="S32" i="5"/>
  <c r="S25" i="5"/>
  <c r="S18" i="5"/>
  <c r="S11" i="5"/>
  <c r="S9" i="5"/>
  <c r="P32" i="5"/>
  <c r="P25" i="5"/>
  <c r="P18" i="5"/>
  <c r="P11" i="5"/>
  <c r="P9" i="5"/>
  <c r="M32" i="5"/>
  <c r="M25" i="5"/>
  <c r="M18" i="5"/>
  <c r="M11" i="5"/>
  <c r="M9" i="5"/>
  <c r="D12" i="6"/>
  <c r="D13" i="6" s="1"/>
  <c r="D14" i="6" s="1"/>
  <c r="D15" i="6" s="1"/>
  <c r="D16" i="6" s="1"/>
  <c r="D17" i="6" s="1"/>
  <c r="D18" i="6" s="1"/>
  <c r="D19" i="6" s="1"/>
  <c r="D20" i="6" s="1"/>
  <c r="D21" i="6" s="1"/>
  <c r="D22" i="6" s="1"/>
  <c r="D23" i="6" s="1"/>
  <c r="D24" i="6" s="1"/>
  <c r="D25" i="6" s="1"/>
  <c r="D26" i="6" s="1"/>
  <c r="D27" i="6" s="1"/>
  <c r="D28" i="6" s="1"/>
  <c r="D29" i="6" s="1"/>
  <c r="D30" i="6" s="1"/>
  <c r="D31" i="6" s="1"/>
  <c r="D32" i="6" s="1"/>
  <c r="D33" i="6" s="1"/>
  <c r="D34" i="6" s="1"/>
  <c r="D35" i="6" s="1"/>
  <c r="D36" i="6" s="1"/>
  <c r="D37" i="6" s="1"/>
  <c r="D38" i="6" s="1"/>
  <c r="D12" i="7"/>
  <c r="D13" i="7" s="1"/>
  <c r="D14" i="7" s="1"/>
  <c r="D15" i="7" s="1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10" i="5"/>
  <c r="D11" i="5" s="1"/>
  <c r="D12" i="5" s="1"/>
  <c r="D13" i="5" s="1"/>
  <c r="D14" i="5" s="1"/>
  <c r="D15" i="5" s="1"/>
  <c r="D16" i="5" s="1"/>
  <c r="D17" i="5" s="1"/>
  <c r="D18" i="5" s="1"/>
  <c r="D19" i="5" s="1"/>
  <c r="D20" i="5" s="1"/>
  <c r="D21" i="5" s="1"/>
  <c r="D22" i="5" s="1"/>
  <c r="D23" i="5" s="1"/>
  <c r="D24" i="5" s="1"/>
  <c r="D25" i="5" s="1"/>
  <c r="D26" i="5" s="1"/>
  <c r="D27" i="5" s="1"/>
  <c r="D28" i="5" s="1"/>
  <c r="D29" i="5" s="1"/>
  <c r="D30" i="5" s="1"/>
  <c r="D31" i="5" s="1"/>
  <c r="D32" i="5" s="1"/>
  <c r="D33" i="5" s="1"/>
  <c r="D34" i="5" s="1"/>
  <c r="D35" i="5" s="1"/>
  <c r="D36" i="5" s="1"/>
  <c r="S32" i="3"/>
  <c r="S25" i="3"/>
  <c r="S18" i="3"/>
  <c r="S11" i="3"/>
  <c r="S10" i="3"/>
  <c r="M32" i="3"/>
  <c r="M25" i="3"/>
  <c r="M18" i="3"/>
  <c r="M11" i="3"/>
  <c r="M10" i="3"/>
  <c r="J32" i="3"/>
  <c r="J25" i="3"/>
  <c r="J18" i="3"/>
  <c r="J11" i="3"/>
  <c r="J10" i="3"/>
  <c r="G32" i="3"/>
  <c r="G25" i="3"/>
  <c r="G18" i="3"/>
  <c r="G11" i="3"/>
  <c r="P11" i="3" s="1"/>
  <c r="G10" i="3"/>
  <c r="D10" i="3"/>
  <c r="D11" i="3" s="1"/>
  <c r="D12" i="3" s="1"/>
  <c r="D13" i="3" s="1"/>
  <c r="D14" i="3" s="1"/>
  <c r="D15" i="3" s="1"/>
  <c r="D16" i="3" s="1"/>
  <c r="D17" i="3" s="1"/>
  <c r="D18" i="3" s="1"/>
  <c r="D19" i="3" s="1"/>
  <c r="D20" i="3" s="1"/>
  <c r="D21" i="3" s="1"/>
  <c r="D22" i="3" s="1"/>
  <c r="D23" i="3" s="1"/>
  <c r="D24" i="3" s="1"/>
  <c r="D25" i="3" s="1"/>
  <c r="D26" i="3" s="1"/>
  <c r="D27" i="3" s="1"/>
  <c r="D28" i="3" s="1"/>
  <c r="D29" i="3" s="1"/>
  <c r="D30" i="3" s="1"/>
  <c r="D31" i="3" s="1"/>
  <c r="D32" i="3" s="1"/>
  <c r="D33" i="3" s="1"/>
  <c r="D34" i="3" s="1"/>
  <c r="D35" i="3" s="1"/>
  <c r="D36" i="3" s="1"/>
  <c r="U62" i="36" l="1"/>
  <c r="Z62" i="36" s="1"/>
  <c r="AE62" i="36" s="1"/>
  <c r="AJ62" i="36" s="1"/>
  <c r="AO62" i="36" s="1"/>
  <c r="AT62" i="36" s="1"/>
  <c r="AZ13" i="31"/>
  <c r="AZ18" i="31"/>
  <c r="AZ19" i="36"/>
  <c r="AZ9" i="31"/>
  <c r="U42" i="36"/>
  <c r="Z42" i="36" s="1"/>
  <c r="AE42" i="36" s="1"/>
  <c r="AJ42" i="36" s="1"/>
  <c r="AO42" i="36" s="1"/>
  <c r="AT42" i="36" s="1"/>
  <c r="AZ20" i="31"/>
  <c r="C1" i="32"/>
  <c r="AZ8" i="32"/>
  <c r="AZ18" i="32"/>
  <c r="AZ13" i="32"/>
  <c r="AZ10" i="32"/>
  <c r="AZ21" i="32"/>
  <c r="AZ9" i="32"/>
  <c r="AZ19" i="32"/>
  <c r="AZ16" i="32"/>
  <c r="AZ11" i="32"/>
  <c r="AZ12" i="32"/>
  <c r="AZ7" i="32"/>
  <c r="AZ17" i="36"/>
  <c r="AZ13" i="36"/>
  <c r="U82" i="36"/>
  <c r="Z82" i="36" s="1"/>
  <c r="AE82" i="36" s="1"/>
  <c r="AJ82" i="36" s="1"/>
  <c r="AO82" i="36" s="1"/>
  <c r="AT82" i="36" s="1"/>
  <c r="P102" i="36"/>
  <c r="U102" i="36" s="1"/>
  <c r="Z102" i="36" s="1"/>
  <c r="AE102" i="36" s="1"/>
  <c r="AJ102" i="36" s="1"/>
  <c r="AO102" i="36" s="1"/>
  <c r="AT102" i="36" s="1"/>
  <c r="AZ11" i="36"/>
  <c r="AZ20" i="36"/>
  <c r="AZ12" i="36"/>
  <c r="AZ9" i="36"/>
  <c r="C1" i="36"/>
  <c r="AZ18" i="36"/>
  <c r="AZ16" i="36"/>
  <c r="AZ14" i="36"/>
  <c r="AZ8" i="36"/>
  <c r="AZ10" i="36"/>
  <c r="AZ7" i="36"/>
  <c r="C1" i="35"/>
  <c r="AZ16" i="35"/>
  <c r="AZ11" i="35"/>
  <c r="AZ8" i="35"/>
  <c r="AZ12" i="35"/>
  <c r="AZ17" i="35"/>
  <c r="AZ13" i="35"/>
  <c r="AZ14" i="35"/>
  <c r="AZ7" i="35"/>
  <c r="AZ20" i="35"/>
  <c r="U62" i="35"/>
  <c r="Z62" i="35" s="1"/>
  <c r="AE62" i="35" s="1"/>
  <c r="AJ62" i="35" s="1"/>
  <c r="AO62" i="35" s="1"/>
  <c r="AT62" i="35" s="1"/>
  <c r="P82" i="35"/>
  <c r="AZ16" i="34"/>
  <c r="AZ8" i="34"/>
  <c r="U42" i="34"/>
  <c r="Z42" i="34" s="1"/>
  <c r="AE42" i="34" s="1"/>
  <c r="AJ42" i="34" s="1"/>
  <c r="AO42" i="34" s="1"/>
  <c r="AT42" i="34" s="1"/>
  <c r="P62" i="34"/>
  <c r="AZ20" i="34"/>
  <c r="AZ32" i="33"/>
  <c r="AZ30" i="33"/>
  <c r="AZ24" i="33"/>
  <c r="AZ22" i="33"/>
  <c r="AZ16" i="33"/>
  <c r="AZ14" i="33"/>
  <c r="AZ8" i="33"/>
  <c r="AZ33" i="33"/>
  <c r="AZ25" i="33"/>
  <c r="AZ17" i="33"/>
  <c r="AZ36" i="33"/>
  <c r="AZ34" i="33"/>
  <c r="AZ28" i="33"/>
  <c r="AZ26" i="33"/>
  <c r="AZ20" i="33"/>
  <c r="AZ18" i="33"/>
  <c r="AZ12" i="33"/>
  <c r="AZ10" i="33"/>
  <c r="C1" i="33"/>
  <c r="AZ9" i="33"/>
  <c r="P107" i="33"/>
  <c r="U72" i="33"/>
  <c r="Z72" i="33" s="1"/>
  <c r="AE72" i="33" s="1"/>
  <c r="AJ72" i="33" s="1"/>
  <c r="AO72" i="33" s="1"/>
  <c r="AT72" i="33" s="1"/>
  <c r="AZ15" i="31"/>
  <c r="AZ19" i="31"/>
  <c r="C1" i="31"/>
  <c r="AZ16" i="31"/>
  <c r="AZ14" i="31"/>
  <c r="AZ12" i="31"/>
  <c r="AZ10" i="31"/>
  <c r="AZ8" i="31"/>
  <c r="AZ11" i="31"/>
  <c r="P102" i="31"/>
  <c r="U102" i="31" s="1"/>
  <c r="Z102" i="31" s="1"/>
  <c r="AE102" i="31" s="1"/>
  <c r="AJ102" i="31" s="1"/>
  <c r="AO102" i="31" s="1"/>
  <c r="AT102" i="31" s="1"/>
  <c r="U82" i="31"/>
  <c r="Z82" i="31" s="1"/>
  <c r="AE82" i="31" s="1"/>
  <c r="AJ82" i="31" s="1"/>
  <c r="AO82" i="31" s="1"/>
  <c r="AT82" i="31" s="1"/>
  <c r="AZ7" i="31"/>
  <c r="AZ15" i="32"/>
  <c r="AZ17" i="32"/>
  <c r="P102" i="32"/>
  <c r="U102" i="32" s="1"/>
  <c r="Z102" i="32" s="1"/>
  <c r="AE102" i="32" s="1"/>
  <c r="AJ102" i="32" s="1"/>
  <c r="AO102" i="32" s="1"/>
  <c r="AT102" i="32" s="1"/>
  <c r="U82" i="32"/>
  <c r="Z82" i="32" s="1"/>
  <c r="AE82" i="32" s="1"/>
  <c r="AJ82" i="32" s="1"/>
  <c r="AO82" i="32" s="1"/>
  <c r="AT82" i="32" s="1"/>
  <c r="AZ21" i="30"/>
  <c r="AZ17" i="30"/>
  <c r="AZ18" i="30"/>
  <c r="AZ14" i="30"/>
  <c r="AZ9" i="30"/>
  <c r="AZ20" i="30"/>
  <c r="AZ16" i="30"/>
  <c r="AZ12" i="30"/>
  <c r="AZ8" i="30"/>
  <c r="C1" i="30"/>
  <c r="AZ11" i="30"/>
  <c r="AZ19" i="30"/>
  <c r="AZ15" i="30"/>
  <c r="AZ10" i="30"/>
  <c r="AZ7" i="30"/>
  <c r="AZ28" i="8"/>
  <c r="AZ16" i="8"/>
  <c r="AZ7" i="8"/>
  <c r="AZ19" i="8"/>
  <c r="AZ33" i="8"/>
  <c r="AZ27" i="8"/>
  <c r="AZ15" i="8"/>
  <c r="AZ34" i="8"/>
  <c r="AZ24" i="8"/>
  <c r="AZ36" i="8"/>
  <c r="AZ23" i="8"/>
  <c r="AZ11" i="8"/>
  <c r="AZ29" i="8"/>
  <c r="C1" i="8"/>
  <c r="U107" i="8"/>
  <c r="Z107" i="8" s="1"/>
  <c r="AE107" i="8" s="1"/>
  <c r="AJ107" i="8" s="1"/>
  <c r="AO107" i="8" s="1"/>
  <c r="AT107" i="8" s="1"/>
  <c r="P142" i="8"/>
  <c r="V25" i="3"/>
  <c r="P32" i="3"/>
  <c r="P10" i="3"/>
  <c r="V18" i="3"/>
  <c r="V10" i="3"/>
  <c r="V32" i="3"/>
  <c r="P18" i="3"/>
  <c r="P25" i="3"/>
  <c r="V11" i="3"/>
  <c r="P102" i="35" l="1"/>
  <c r="U102" i="35" s="1"/>
  <c r="Z102" i="35" s="1"/>
  <c r="AE102" i="35" s="1"/>
  <c r="AJ102" i="35" s="1"/>
  <c r="AO102" i="35" s="1"/>
  <c r="AT102" i="35" s="1"/>
  <c r="U82" i="35"/>
  <c r="Z82" i="35" s="1"/>
  <c r="AE82" i="35" s="1"/>
  <c r="AJ82" i="35" s="1"/>
  <c r="AO82" i="35" s="1"/>
  <c r="AT82" i="35" s="1"/>
  <c r="P82" i="34"/>
  <c r="U62" i="34"/>
  <c r="Z62" i="34" s="1"/>
  <c r="AE62" i="34" s="1"/>
  <c r="AJ62" i="34" s="1"/>
  <c r="AO62" i="34" s="1"/>
  <c r="AT62" i="34" s="1"/>
  <c r="P142" i="33"/>
  <c r="U107" i="33"/>
  <c r="Z107" i="33" s="1"/>
  <c r="AE107" i="33" s="1"/>
  <c r="AJ107" i="33" s="1"/>
  <c r="AO107" i="33" s="1"/>
  <c r="AT107" i="33" s="1"/>
  <c r="P177" i="8"/>
  <c r="U177" i="8" s="1"/>
  <c r="Z177" i="8" s="1"/>
  <c r="AE177" i="8" s="1"/>
  <c r="AJ177" i="8" s="1"/>
  <c r="AO177" i="8" s="1"/>
  <c r="AT177" i="8" s="1"/>
  <c r="U142" i="8"/>
  <c r="Z142" i="8" s="1"/>
  <c r="AE142" i="8" s="1"/>
  <c r="AJ142" i="8" s="1"/>
  <c r="AO142" i="8" s="1"/>
  <c r="AT142" i="8" s="1"/>
  <c r="K35" i="48"/>
  <c r="I35" i="48"/>
  <c r="G35" i="48"/>
  <c r="E35" i="48"/>
  <c r="C35" i="48"/>
  <c r="B35" i="48"/>
  <c r="U82" i="34" l="1"/>
  <c r="Z82" i="34" s="1"/>
  <c r="AE82" i="34" s="1"/>
  <c r="AJ82" i="34" s="1"/>
  <c r="AO82" i="34" s="1"/>
  <c r="AT82" i="34" s="1"/>
  <c r="P102" i="34"/>
  <c r="U102" i="34" s="1"/>
  <c r="Z102" i="34" s="1"/>
  <c r="AE102" i="34" s="1"/>
  <c r="AJ102" i="34" s="1"/>
  <c r="AO102" i="34" s="1"/>
  <c r="AT102" i="34" s="1"/>
  <c r="P177" i="33"/>
  <c r="U177" i="33" s="1"/>
  <c r="Z177" i="33" s="1"/>
  <c r="AE177" i="33" s="1"/>
  <c r="AJ177" i="33" s="1"/>
  <c r="AO177" i="33" s="1"/>
  <c r="AT177" i="33" s="1"/>
  <c r="U142" i="33"/>
  <c r="Z142" i="33" s="1"/>
  <c r="AE142" i="33" s="1"/>
  <c r="AJ142" i="33" s="1"/>
  <c r="AO142" i="33" s="1"/>
  <c r="AT142" i="33" s="1"/>
  <c r="AM101" i="37"/>
  <c r="AH101" i="37"/>
  <c r="AC101" i="37"/>
  <c r="X101" i="37"/>
  <c r="S101" i="37"/>
  <c r="AM100" i="37"/>
  <c r="AH100" i="37"/>
  <c r="AC100" i="37"/>
  <c r="X100" i="37"/>
  <c r="S100" i="37"/>
  <c r="AM99" i="37"/>
  <c r="AH99" i="37"/>
  <c r="AC99" i="37"/>
  <c r="X99" i="37"/>
  <c r="S99" i="37"/>
  <c r="AM98" i="37"/>
  <c r="AH98" i="37"/>
  <c r="AC98" i="37"/>
  <c r="X98" i="37"/>
  <c r="S98" i="37"/>
  <c r="AM97" i="37"/>
  <c r="AH97" i="37"/>
  <c r="AC97" i="37"/>
  <c r="X97" i="37"/>
  <c r="S97" i="37"/>
  <c r="AM96" i="37"/>
  <c r="AH96" i="37"/>
  <c r="AC96" i="37"/>
  <c r="X96" i="37"/>
  <c r="S96" i="37"/>
  <c r="AM95" i="37"/>
  <c r="AH95" i="37"/>
  <c r="AC95" i="37"/>
  <c r="X95" i="37"/>
  <c r="S95" i="37"/>
  <c r="AM94" i="37"/>
  <c r="AH94" i="37"/>
  <c r="AC94" i="37"/>
  <c r="X94" i="37"/>
  <c r="S94" i="37"/>
  <c r="AM93" i="37"/>
  <c r="AH93" i="37"/>
  <c r="AC93" i="37"/>
  <c r="X93" i="37"/>
  <c r="S93" i="37"/>
  <c r="K93" i="37"/>
  <c r="J93" i="37"/>
  <c r="I93" i="37"/>
  <c r="AM92" i="37"/>
  <c r="AH92" i="37"/>
  <c r="AC92" i="37"/>
  <c r="X92" i="37"/>
  <c r="S92" i="37"/>
  <c r="K92" i="37"/>
  <c r="J92" i="37"/>
  <c r="I92" i="37"/>
  <c r="AM91" i="37"/>
  <c r="AH91" i="37"/>
  <c r="AC91" i="37"/>
  <c r="X91" i="37"/>
  <c r="S91" i="37"/>
  <c r="K91" i="37"/>
  <c r="J91" i="37"/>
  <c r="I91" i="37"/>
  <c r="AM90" i="37"/>
  <c r="AH90" i="37"/>
  <c r="AC90" i="37"/>
  <c r="X90" i="37"/>
  <c r="S90" i="37"/>
  <c r="K90" i="37"/>
  <c r="J90" i="37"/>
  <c r="I90" i="37"/>
  <c r="AM89" i="37"/>
  <c r="AH89" i="37"/>
  <c r="AC89" i="37"/>
  <c r="X89" i="37"/>
  <c r="S89" i="37"/>
  <c r="K89" i="37"/>
  <c r="J89" i="37"/>
  <c r="I89" i="37"/>
  <c r="AM88" i="37"/>
  <c r="AH88" i="37"/>
  <c r="AC88" i="37"/>
  <c r="X88" i="37"/>
  <c r="S88" i="37"/>
  <c r="K88" i="37"/>
  <c r="J88" i="37"/>
  <c r="I88" i="37"/>
  <c r="AN87" i="37"/>
  <c r="AM87" i="37"/>
  <c r="AI87" i="37"/>
  <c r="AH87" i="37"/>
  <c r="AD87" i="37"/>
  <c r="AC87" i="37"/>
  <c r="Y87" i="37"/>
  <c r="X87" i="37"/>
  <c r="T87" i="37"/>
  <c r="S87" i="37"/>
  <c r="K87" i="37"/>
  <c r="M101" i="37" s="1"/>
  <c r="J87" i="37"/>
  <c r="I87" i="37"/>
  <c r="H87" i="37"/>
  <c r="M91" i="37" l="1"/>
  <c r="M93" i="37"/>
  <c r="M89" i="37"/>
  <c r="M87" i="37"/>
  <c r="M90" i="37"/>
  <c r="M94" i="37"/>
  <c r="M96" i="37"/>
  <c r="M98" i="37"/>
  <c r="M100" i="37"/>
  <c r="M92" i="37"/>
  <c r="M88" i="37"/>
  <c r="L87" i="37"/>
  <c r="M95" i="37"/>
  <c r="M97" i="37"/>
  <c r="M99" i="37"/>
  <c r="AW81" i="37" l="1"/>
  <c r="AR81" i="37"/>
  <c r="AM81" i="37"/>
  <c r="AH81" i="37"/>
  <c r="AC81" i="37"/>
  <c r="X81" i="37"/>
  <c r="S81" i="37"/>
  <c r="AW80" i="37"/>
  <c r="AR80" i="37"/>
  <c r="AM80" i="37"/>
  <c r="AH80" i="37"/>
  <c r="AC80" i="37"/>
  <c r="X80" i="37"/>
  <c r="S80" i="37"/>
  <c r="AW79" i="37"/>
  <c r="AR79" i="37"/>
  <c r="AM79" i="37"/>
  <c r="AH79" i="37"/>
  <c r="AC79" i="37"/>
  <c r="X79" i="37"/>
  <c r="S79" i="37"/>
  <c r="AW78" i="37"/>
  <c r="AR78" i="37"/>
  <c r="AM78" i="37"/>
  <c r="AH78" i="37"/>
  <c r="AC78" i="37"/>
  <c r="X78" i="37"/>
  <c r="S78" i="37"/>
  <c r="AW77" i="37"/>
  <c r="AR77" i="37"/>
  <c r="AM77" i="37"/>
  <c r="AH77" i="37"/>
  <c r="AC77" i="37"/>
  <c r="X77" i="37"/>
  <c r="S77" i="37"/>
  <c r="AW76" i="37"/>
  <c r="AR76" i="37"/>
  <c r="AM76" i="37"/>
  <c r="AH76" i="37"/>
  <c r="AC76" i="37"/>
  <c r="X76" i="37"/>
  <c r="S76" i="37"/>
  <c r="AW75" i="37"/>
  <c r="AR75" i="37"/>
  <c r="AM75" i="37"/>
  <c r="AH75" i="37"/>
  <c r="AC75" i="37"/>
  <c r="X75" i="37"/>
  <c r="S75" i="37"/>
  <c r="AW74" i="37"/>
  <c r="AR74" i="37"/>
  <c r="AM74" i="37"/>
  <c r="AH74" i="37"/>
  <c r="AC74" i="37"/>
  <c r="X74" i="37"/>
  <c r="S74" i="37"/>
  <c r="AW73" i="37"/>
  <c r="AR73" i="37"/>
  <c r="AM73" i="37"/>
  <c r="AH73" i="37"/>
  <c r="AC73" i="37"/>
  <c r="X73" i="37"/>
  <c r="S73" i="37"/>
  <c r="K73" i="37"/>
  <c r="J73" i="37"/>
  <c r="I73" i="37"/>
  <c r="AW72" i="37"/>
  <c r="AR72" i="37"/>
  <c r="AM72" i="37"/>
  <c r="AH72" i="37"/>
  <c r="AC72" i="37"/>
  <c r="X72" i="37"/>
  <c r="S72" i="37"/>
  <c r="K72" i="37"/>
  <c r="J72" i="37"/>
  <c r="I72" i="37"/>
  <c r="AW71" i="37"/>
  <c r="AR71" i="37"/>
  <c r="AM71" i="37"/>
  <c r="AH71" i="37"/>
  <c r="AC71" i="37"/>
  <c r="X71" i="37"/>
  <c r="S71" i="37"/>
  <c r="K71" i="37"/>
  <c r="J71" i="37"/>
  <c r="I71" i="37"/>
  <c r="AW70" i="37"/>
  <c r="AR70" i="37"/>
  <c r="AM70" i="37"/>
  <c r="AH70" i="37"/>
  <c r="AC70" i="37"/>
  <c r="X70" i="37"/>
  <c r="S70" i="37"/>
  <c r="K70" i="37"/>
  <c r="J70" i="37"/>
  <c r="I70" i="37"/>
  <c r="AW69" i="37"/>
  <c r="AR69" i="37"/>
  <c r="AM69" i="37"/>
  <c r="AH69" i="37"/>
  <c r="AC69" i="37"/>
  <c r="X69" i="37"/>
  <c r="S69" i="37"/>
  <c r="K69" i="37"/>
  <c r="J69" i="37"/>
  <c r="I69" i="37"/>
  <c r="AW68" i="37"/>
  <c r="AR68" i="37"/>
  <c r="AM68" i="37"/>
  <c r="AH68" i="37"/>
  <c r="AC68" i="37"/>
  <c r="X68" i="37"/>
  <c r="S68" i="37"/>
  <c r="K68" i="37"/>
  <c r="J68" i="37"/>
  <c r="I68" i="37"/>
  <c r="AX67" i="37"/>
  <c r="AW67" i="37"/>
  <c r="AS67" i="37"/>
  <c r="AR67" i="37"/>
  <c r="AN67" i="37"/>
  <c r="AM67" i="37"/>
  <c r="AI67" i="37"/>
  <c r="AH67" i="37"/>
  <c r="AD67" i="37"/>
  <c r="AC67" i="37"/>
  <c r="Y67" i="37"/>
  <c r="X67" i="37"/>
  <c r="T67" i="37"/>
  <c r="S67" i="37"/>
  <c r="K67" i="37"/>
  <c r="J67" i="37"/>
  <c r="I67" i="37"/>
  <c r="H67" i="37"/>
  <c r="AW54" i="37"/>
  <c r="AR54" i="37"/>
  <c r="AM54" i="37"/>
  <c r="AH54" i="37"/>
  <c r="AC54" i="37"/>
  <c r="X54" i="37"/>
  <c r="S54" i="37"/>
  <c r="K54" i="37"/>
  <c r="J54" i="37"/>
  <c r="I54" i="37"/>
  <c r="AW53" i="37"/>
  <c r="AR53" i="37"/>
  <c r="AM53" i="37"/>
  <c r="AH53" i="37"/>
  <c r="AC53" i="37"/>
  <c r="X53" i="37"/>
  <c r="S53" i="37"/>
  <c r="K53" i="37"/>
  <c r="J53" i="37"/>
  <c r="I53" i="37"/>
  <c r="AW52" i="37"/>
  <c r="AR52" i="37"/>
  <c r="AM52" i="37"/>
  <c r="AH52" i="37"/>
  <c r="AC52" i="37"/>
  <c r="X52" i="37"/>
  <c r="S52" i="37"/>
  <c r="K52" i="37"/>
  <c r="J52" i="37"/>
  <c r="I52" i="37"/>
  <c r="AW51" i="37"/>
  <c r="AR51" i="37"/>
  <c r="AM51" i="37"/>
  <c r="AH51" i="37"/>
  <c r="AC51" i="37"/>
  <c r="X51" i="37"/>
  <c r="S51" i="37"/>
  <c r="K51" i="37"/>
  <c r="J51" i="37"/>
  <c r="I51" i="37"/>
  <c r="AW50" i="37"/>
  <c r="AR50" i="37"/>
  <c r="AM50" i="37"/>
  <c r="AH50" i="37"/>
  <c r="AC50" i="37"/>
  <c r="X50" i="37"/>
  <c r="S50" i="37"/>
  <c r="K50" i="37"/>
  <c r="J50" i="37"/>
  <c r="I50" i="37"/>
  <c r="AW49" i="37"/>
  <c r="AR49" i="37"/>
  <c r="AM49" i="37"/>
  <c r="AH49" i="37"/>
  <c r="AC49" i="37"/>
  <c r="X49" i="37"/>
  <c r="S49" i="37"/>
  <c r="K49" i="37"/>
  <c r="J49" i="37"/>
  <c r="I49" i="37"/>
  <c r="AW48" i="37"/>
  <c r="AR48" i="37"/>
  <c r="AM48" i="37"/>
  <c r="AH48" i="37"/>
  <c r="AC48" i="37"/>
  <c r="X48" i="37"/>
  <c r="S48" i="37"/>
  <c r="K48" i="37"/>
  <c r="J48" i="37"/>
  <c r="I48" i="37"/>
  <c r="AX47" i="37"/>
  <c r="AW47" i="37"/>
  <c r="AS47" i="37"/>
  <c r="AR47" i="37"/>
  <c r="AN47" i="37"/>
  <c r="AM47" i="37"/>
  <c r="AI47" i="37"/>
  <c r="AH47" i="37"/>
  <c r="AD47" i="37"/>
  <c r="AC47" i="37"/>
  <c r="Y47" i="37"/>
  <c r="X47" i="37"/>
  <c r="T47" i="37"/>
  <c r="S47" i="37"/>
  <c r="K47" i="37"/>
  <c r="J47" i="37"/>
  <c r="I47" i="37"/>
  <c r="H47" i="37"/>
  <c r="AW41" i="37"/>
  <c r="AR41" i="37"/>
  <c r="AM41" i="37"/>
  <c r="AH41" i="37"/>
  <c r="AC41" i="37"/>
  <c r="X41" i="37"/>
  <c r="S41" i="37"/>
  <c r="AW40" i="37"/>
  <c r="AR40" i="37"/>
  <c r="AM40" i="37"/>
  <c r="AH40" i="37"/>
  <c r="AC40" i="37"/>
  <c r="X40" i="37"/>
  <c r="S40" i="37"/>
  <c r="AW39" i="37"/>
  <c r="AR39" i="37"/>
  <c r="AM39" i="37"/>
  <c r="AH39" i="37"/>
  <c r="AC39" i="37"/>
  <c r="X39" i="37"/>
  <c r="S39" i="37"/>
  <c r="AW38" i="37"/>
  <c r="AR38" i="37"/>
  <c r="AM38" i="37"/>
  <c r="AH38" i="37"/>
  <c r="AC38" i="37"/>
  <c r="X38" i="37"/>
  <c r="S38" i="37"/>
  <c r="AW37" i="37"/>
  <c r="AR37" i="37"/>
  <c r="AM37" i="37"/>
  <c r="AH37" i="37"/>
  <c r="AC37" i="37"/>
  <c r="X37" i="37"/>
  <c r="S37" i="37"/>
  <c r="AW36" i="37"/>
  <c r="AR36" i="37"/>
  <c r="AM36" i="37"/>
  <c r="AH36" i="37"/>
  <c r="AC36" i="37"/>
  <c r="X36" i="37"/>
  <c r="S36" i="37"/>
  <c r="AW35" i="37"/>
  <c r="AR35" i="37"/>
  <c r="AM35" i="37"/>
  <c r="AH35" i="37"/>
  <c r="AC35" i="37"/>
  <c r="X35" i="37"/>
  <c r="S35" i="37"/>
  <c r="AW34" i="37"/>
  <c r="AR34" i="37"/>
  <c r="AM34" i="37"/>
  <c r="AH34" i="37"/>
  <c r="AC34" i="37"/>
  <c r="X34" i="37"/>
  <c r="S34" i="37"/>
  <c r="K34" i="37"/>
  <c r="J34" i="37"/>
  <c r="I34" i="37"/>
  <c r="AW33" i="37"/>
  <c r="AR33" i="37"/>
  <c r="AM33" i="37"/>
  <c r="AH33" i="37"/>
  <c r="AC33" i="37"/>
  <c r="X33" i="37"/>
  <c r="S33" i="37"/>
  <c r="K33" i="37"/>
  <c r="J33" i="37"/>
  <c r="I33" i="37"/>
  <c r="AW32" i="37"/>
  <c r="AR32" i="37"/>
  <c r="AM32" i="37"/>
  <c r="AH32" i="37"/>
  <c r="AC32" i="37"/>
  <c r="X32" i="37"/>
  <c r="S32" i="37"/>
  <c r="K32" i="37"/>
  <c r="J32" i="37"/>
  <c r="I32" i="37"/>
  <c r="AW31" i="37"/>
  <c r="AR31" i="37"/>
  <c r="AM31" i="37"/>
  <c r="AH31" i="37"/>
  <c r="AC31" i="37"/>
  <c r="X31" i="37"/>
  <c r="S31" i="37"/>
  <c r="K31" i="37"/>
  <c r="J31" i="37"/>
  <c r="I31" i="37"/>
  <c r="AW30" i="37"/>
  <c r="AR30" i="37"/>
  <c r="AM30" i="37"/>
  <c r="AH30" i="37"/>
  <c r="AC30" i="37"/>
  <c r="X30" i="37"/>
  <c r="S30" i="37"/>
  <c r="K30" i="37"/>
  <c r="J30" i="37"/>
  <c r="I30" i="37"/>
  <c r="AW29" i="37"/>
  <c r="AR29" i="37"/>
  <c r="AM29" i="37"/>
  <c r="AH29" i="37"/>
  <c r="AC29" i="37"/>
  <c r="X29" i="37"/>
  <c r="S29" i="37"/>
  <c r="K29" i="37"/>
  <c r="J29" i="37"/>
  <c r="I29" i="37"/>
  <c r="AW28" i="37"/>
  <c r="AR28" i="37"/>
  <c r="AM28" i="37"/>
  <c r="AH28" i="37"/>
  <c r="AC28" i="37"/>
  <c r="X28" i="37"/>
  <c r="S28" i="37"/>
  <c r="K28" i="37"/>
  <c r="J28" i="37"/>
  <c r="I28" i="37"/>
  <c r="AX27" i="37"/>
  <c r="AW27" i="37"/>
  <c r="AS27" i="37"/>
  <c r="AR27" i="37"/>
  <c r="AN27" i="37"/>
  <c r="AM27" i="37"/>
  <c r="AI27" i="37"/>
  <c r="AH27" i="37"/>
  <c r="AD27" i="37"/>
  <c r="AC27" i="37"/>
  <c r="Y27" i="37"/>
  <c r="X27" i="37"/>
  <c r="T27" i="37"/>
  <c r="S27" i="37"/>
  <c r="K27" i="37"/>
  <c r="L27" i="37" s="1"/>
  <c r="J27" i="37"/>
  <c r="I27" i="37"/>
  <c r="H27" i="37"/>
  <c r="AW21" i="37"/>
  <c r="AR21" i="37"/>
  <c r="AM21" i="37"/>
  <c r="AH21" i="37"/>
  <c r="AC21" i="37"/>
  <c r="X21" i="37"/>
  <c r="S21" i="37"/>
  <c r="AW20" i="37"/>
  <c r="AR20" i="37"/>
  <c r="AM20" i="37"/>
  <c r="AH20" i="37"/>
  <c r="AC20" i="37"/>
  <c r="X20" i="37"/>
  <c r="S20" i="37"/>
  <c r="AW19" i="37"/>
  <c r="AR19" i="37"/>
  <c r="AM19" i="37"/>
  <c r="AH19" i="37"/>
  <c r="AC19" i="37"/>
  <c r="X19" i="37"/>
  <c r="S19" i="37"/>
  <c r="AW18" i="37"/>
  <c r="AR18" i="37"/>
  <c r="AM18" i="37"/>
  <c r="AH18" i="37"/>
  <c r="AC18" i="37"/>
  <c r="X18" i="37"/>
  <c r="S18" i="37"/>
  <c r="AW17" i="37"/>
  <c r="AR17" i="37"/>
  <c r="AM17" i="37"/>
  <c r="AH17" i="37"/>
  <c r="AC17" i="37"/>
  <c r="X17" i="37"/>
  <c r="S17" i="37"/>
  <c r="AW16" i="37"/>
  <c r="AR16" i="37"/>
  <c r="AM16" i="37"/>
  <c r="AH16" i="37"/>
  <c r="AC16" i="37"/>
  <c r="X16" i="37"/>
  <c r="S16" i="37"/>
  <c r="AW15" i="37"/>
  <c r="AR15" i="37"/>
  <c r="AM15" i="37"/>
  <c r="AH15" i="37"/>
  <c r="AC15" i="37"/>
  <c r="X15" i="37"/>
  <c r="S15" i="37"/>
  <c r="AW14" i="37"/>
  <c r="AR14" i="37"/>
  <c r="AM14" i="37"/>
  <c r="AH14" i="37"/>
  <c r="AC14" i="37"/>
  <c r="X14" i="37"/>
  <c r="S14" i="37"/>
  <c r="K14" i="37"/>
  <c r="J14" i="37"/>
  <c r="I14" i="37"/>
  <c r="AW13" i="37"/>
  <c r="AR13" i="37"/>
  <c r="AM13" i="37"/>
  <c r="AH13" i="37"/>
  <c r="AC13" i="37"/>
  <c r="X13" i="37"/>
  <c r="S13" i="37"/>
  <c r="K13" i="37"/>
  <c r="J13" i="37"/>
  <c r="I13" i="37"/>
  <c r="AW12" i="37"/>
  <c r="AR12" i="37"/>
  <c r="AM12" i="37"/>
  <c r="AH12" i="37"/>
  <c r="AC12" i="37"/>
  <c r="X12" i="37"/>
  <c r="S12" i="37"/>
  <c r="K12" i="37"/>
  <c r="J12" i="37"/>
  <c r="I12" i="37"/>
  <c r="AW11" i="37"/>
  <c r="AR11" i="37"/>
  <c r="AM11" i="37"/>
  <c r="AH11" i="37"/>
  <c r="AC11" i="37"/>
  <c r="X11" i="37"/>
  <c r="S11" i="37"/>
  <c r="K11" i="37"/>
  <c r="J11" i="37"/>
  <c r="I11" i="37"/>
  <c r="AW10" i="37"/>
  <c r="AR10" i="37"/>
  <c r="AM10" i="37"/>
  <c r="AH10" i="37"/>
  <c r="AC10" i="37"/>
  <c r="X10" i="37"/>
  <c r="S10" i="37"/>
  <c r="K10" i="37"/>
  <c r="J10" i="37"/>
  <c r="I10" i="37"/>
  <c r="AW9" i="37"/>
  <c r="AR9" i="37"/>
  <c r="AM9" i="37"/>
  <c r="AH9" i="37"/>
  <c r="AC9" i="37"/>
  <c r="X9" i="37"/>
  <c r="S9" i="37"/>
  <c r="K9" i="37"/>
  <c r="J9" i="37"/>
  <c r="I9" i="37"/>
  <c r="AW8" i="37"/>
  <c r="AR8" i="37"/>
  <c r="AM8" i="37"/>
  <c r="AH8" i="37"/>
  <c r="AC8" i="37"/>
  <c r="X8" i="37"/>
  <c r="S8" i="37"/>
  <c r="K8" i="37"/>
  <c r="J8" i="37"/>
  <c r="I8" i="37"/>
  <c r="AX7" i="37"/>
  <c r="AW7" i="37"/>
  <c r="AS7" i="37"/>
  <c r="AR7" i="37"/>
  <c r="AN7" i="37"/>
  <c r="AM7" i="37"/>
  <c r="AI7" i="37"/>
  <c r="AH7" i="37"/>
  <c r="AD7" i="37"/>
  <c r="AC7" i="37"/>
  <c r="Y7" i="37"/>
  <c r="X7" i="37"/>
  <c r="T7" i="37"/>
  <c r="S7" i="37"/>
  <c r="K7" i="37"/>
  <c r="J7" i="37"/>
  <c r="I7" i="37"/>
  <c r="H7" i="37"/>
  <c r="Z2" i="37"/>
  <c r="AE2" i="37" s="1"/>
  <c r="AJ2" i="37" s="1"/>
  <c r="AO2" i="37" s="1"/>
  <c r="AT2" i="37" s="1"/>
  <c r="P22" i="37" s="1"/>
  <c r="M70" i="37" l="1"/>
  <c r="M51" i="37"/>
  <c r="M50" i="37"/>
  <c r="M54" i="37"/>
  <c r="M71" i="37"/>
  <c r="M73" i="37"/>
  <c r="M31" i="37"/>
  <c r="M58" i="37"/>
  <c r="M72" i="37"/>
  <c r="L67" i="37"/>
  <c r="M67" i="37"/>
  <c r="M53" i="37"/>
  <c r="M30" i="37"/>
  <c r="M34" i="37"/>
  <c r="L7" i="37"/>
  <c r="M11" i="37"/>
  <c r="M10" i="37"/>
  <c r="M14" i="37"/>
  <c r="U22" i="37"/>
  <c r="Z22" i="37" s="1"/>
  <c r="AE22" i="37" s="1"/>
  <c r="AJ22" i="37" s="1"/>
  <c r="AO22" i="37" s="1"/>
  <c r="AT22" i="37" s="1"/>
  <c r="P42" i="37"/>
  <c r="M7" i="37"/>
  <c r="M15" i="37"/>
  <c r="M16" i="37"/>
  <c r="M17" i="37"/>
  <c r="M18" i="37"/>
  <c r="M19" i="37"/>
  <c r="M20" i="37"/>
  <c r="M21" i="37"/>
  <c r="M27" i="37"/>
  <c r="M35" i="37"/>
  <c r="M36" i="37"/>
  <c r="M37" i="37"/>
  <c r="M38" i="37"/>
  <c r="M39" i="37"/>
  <c r="M40" i="37"/>
  <c r="M41" i="37"/>
  <c r="M47" i="37"/>
  <c r="M55" i="37"/>
  <c r="M59" i="37"/>
  <c r="M69" i="37"/>
  <c r="M74" i="37"/>
  <c r="M75" i="37"/>
  <c r="M76" i="37"/>
  <c r="M77" i="37"/>
  <c r="M78" i="37"/>
  <c r="M79" i="37"/>
  <c r="M80" i="37"/>
  <c r="M81" i="37"/>
  <c r="M9" i="37"/>
  <c r="M13" i="37"/>
  <c r="M29" i="37"/>
  <c r="M33" i="37"/>
  <c r="M49" i="37"/>
  <c r="M56" i="37"/>
  <c r="M60" i="37"/>
  <c r="M68" i="37"/>
  <c r="M8" i="37"/>
  <c r="M12" i="37"/>
  <c r="M28" i="37"/>
  <c r="M32" i="37"/>
  <c r="M48" i="37"/>
  <c r="M52" i="37"/>
  <c r="M57" i="37"/>
  <c r="M61" i="37"/>
  <c r="L47" i="37"/>
  <c r="P62" i="37" l="1"/>
  <c r="U62" i="37" s="1"/>
  <c r="Z62" i="37" s="1"/>
  <c r="AE62" i="37" s="1"/>
  <c r="AJ62" i="37" s="1"/>
  <c r="AO62" i="37" s="1"/>
  <c r="AT62" i="37" s="1"/>
  <c r="U42" i="37"/>
  <c r="Z42" i="37" s="1"/>
  <c r="AE42" i="37" s="1"/>
  <c r="AJ42" i="37" s="1"/>
  <c r="AO42" i="37" s="1"/>
  <c r="AT42" i="37" s="1"/>
  <c r="X121" i="37" l="1"/>
  <c r="S121" i="37"/>
  <c r="X120" i="37"/>
  <c r="S120" i="37"/>
  <c r="X119" i="37"/>
  <c r="S119" i="37"/>
  <c r="X118" i="37"/>
  <c r="S118" i="37"/>
  <c r="X117" i="37"/>
  <c r="S117" i="37"/>
  <c r="X116" i="37"/>
  <c r="S116" i="37"/>
  <c r="X115" i="37"/>
  <c r="S115" i="37"/>
  <c r="X114" i="37"/>
  <c r="S114" i="37"/>
  <c r="K114" i="37"/>
  <c r="J114" i="37"/>
  <c r="I114" i="37"/>
  <c r="X113" i="37"/>
  <c r="S113" i="37"/>
  <c r="K113" i="37"/>
  <c r="J113" i="37"/>
  <c r="I113" i="37"/>
  <c r="X112" i="37"/>
  <c r="S112" i="37"/>
  <c r="K112" i="37"/>
  <c r="J112" i="37"/>
  <c r="I112" i="37"/>
  <c r="X111" i="37"/>
  <c r="S111" i="37"/>
  <c r="K111" i="37"/>
  <c r="J111" i="37"/>
  <c r="I111" i="37"/>
  <c r="X110" i="37"/>
  <c r="S110" i="37"/>
  <c r="K110" i="37"/>
  <c r="J110" i="37"/>
  <c r="I110" i="37"/>
  <c r="X109" i="37"/>
  <c r="S109" i="37"/>
  <c r="K109" i="37"/>
  <c r="M109" i="37" s="1"/>
  <c r="J109" i="37"/>
  <c r="I109" i="37"/>
  <c r="X108" i="37"/>
  <c r="S108" i="37"/>
  <c r="K108" i="37"/>
  <c r="J108" i="37"/>
  <c r="I108" i="37"/>
  <c r="Y107" i="37"/>
  <c r="X107" i="37"/>
  <c r="T107" i="37"/>
  <c r="S107" i="37"/>
  <c r="K107" i="37"/>
  <c r="J107" i="37"/>
  <c r="I107" i="37"/>
  <c r="H107" i="37"/>
  <c r="M113" i="37" l="1"/>
  <c r="M110" i="37"/>
  <c r="M114" i="37"/>
  <c r="M111" i="37"/>
  <c r="M120" i="37"/>
  <c r="M119" i="37"/>
  <c r="M112" i="37"/>
  <c r="M107" i="37"/>
  <c r="M108" i="37"/>
  <c r="M118" i="37"/>
  <c r="M117" i="37"/>
  <c r="M121" i="37"/>
  <c r="M116" i="37"/>
  <c r="M115" i="37"/>
  <c r="K36" i="48" l="1"/>
  <c r="I36" i="48"/>
  <c r="G36" i="48"/>
  <c r="E36" i="48"/>
  <c r="C36" i="48"/>
  <c r="B36" i="48"/>
  <c r="J35" i="48"/>
  <c r="H35" i="48"/>
  <c r="D35" i="48"/>
  <c r="M14" i="41"/>
  <c r="I10" i="41"/>
  <c r="G10" i="41"/>
  <c r="I9" i="41"/>
  <c r="G9" i="41"/>
  <c r="C9" i="41"/>
  <c r="H36" i="48" l="1"/>
  <c r="L36" i="48"/>
  <c r="J36" i="48"/>
  <c r="F36" i="48"/>
  <c r="L35" i="48"/>
  <c r="F35" i="48"/>
  <c r="D36" i="48"/>
  <c r="C10" i="41"/>
  <c r="AW101" i="37"/>
  <c r="AR101" i="37"/>
  <c r="AW100" i="37"/>
  <c r="AR100" i="37"/>
  <c r="AW99" i="37"/>
  <c r="AR99" i="37"/>
  <c r="AW98" i="37"/>
  <c r="AR98" i="37"/>
  <c r="AW97" i="37"/>
  <c r="AR97" i="37"/>
  <c r="AW96" i="37"/>
  <c r="AR96" i="37"/>
  <c r="AW95" i="37"/>
  <c r="AR95" i="37"/>
  <c r="AW94" i="37"/>
  <c r="AR94" i="37"/>
  <c r="AW93" i="37"/>
  <c r="AR93" i="37"/>
  <c r="AW92" i="37"/>
  <c r="AR92" i="37"/>
  <c r="AW91" i="37"/>
  <c r="AR91" i="37"/>
  <c r="AW90" i="37"/>
  <c r="AR90" i="37"/>
  <c r="AW89" i="37"/>
  <c r="AR89" i="37"/>
  <c r="AW88" i="37"/>
  <c r="AR88" i="37"/>
  <c r="AX87" i="37"/>
  <c r="AW87" i="37"/>
  <c r="AS87" i="37"/>
  <c r="AR87" i="37"/>
  <c r="Q9" i="5"/>
  <c r="W9" i="5"/>
  <c r="T9" i="5"/>
  <c r="T9" i="3"/>
  <c r="N9" i="3"/>
  <c r="K9" i="3"/>
  <c r="M41" i="7"/>
  <c r="AC41" i="6"/>
  <c r="AB41" i="6"/>
  <c r="S41" i="6"/>
  <c r="R41" i="6"/>
  <c r="M41" i="6"/>
  <c r="S41" i="7"/>
  <c r="AC41" i="7"/>
  <c r="C1" i="37" l="1"/>
  <c r="P82" i="37"/>
  <c r="U82" i="37" s="1"/>
  <c r="Z82" i="37" s="1"/>
  <c r="AE82" i="37" s="1"/>
  <c r="AJ82" i="37" s="1"/>
  <c r="AO82" i="37" s="1"/>
  <c r="AT82" i="37" s="1"/>
  <c r="F41" i="6"/>
  <c r="F41" i="7"/>
  <c r="U39" i="3"/>
  <c r="O39" i="3"/>
  <c r="AD41" i="6" l="1"/>
  <c r="AL41" i="6"/>
  <c r="AJ41" i="6"/>
  <c r="AH41" i="6"/>
  <c r="AF41" i="6"/>
  <c r="T41" i="6"/>
  <c r="V41" i="6"/>
  <c r="Z41" i="6"/>
  <c r="X41" i="6"/>
  <c r="N41" i="6"/>
  <c r="P41" i="6"/>
  <c r="L41" i="6"/>
  <c r="J41" i="6"/>
  <c r="AJ41" i="7"/>
  <c r="AH41" i="7"/>
  <c r="AF41" i="7"/>
  <c r="AL41" i="7"/>
  <c r="AD41" i="7"/>
  <c r="V41" i="7"/>
  <c r="N41" i="7"/>
  <c r="AB41" i="7"/>
  <c r="T41" i="7"/>
  <c r="L41" i="7"/>
  <c r="P41" i="7"/>
  <c r="Z41" i="7"/>
  <c r="R41" i="7"/>
  <c r="J41" i="7"/>
  <c r="X41" i="7"/>
  <c r="K135" i="37" l="1"/>
  <c r="J135" i="37"/>
  <c r="I135" i="37"/>
  <c r="K134" i="37"/>
  <c r="J134" i="37"/>
  <c r="I134" i="37"/>
  <c r="C10" i="39" l="1"/>
  <c r="H23" i="39" l="1"/>
  <c r="H22" i="39"/>
  <c r="H21" i="39"/>
  <c r="H20" i="39"/>
  <c r="H19" i="39"/>
  <c r="H18" i="39"/>
  <c r="H17" i="39"/>
  <c r="H16" i="39"/>
  <c r="H15" i="39"/>
  <c r="B23" i="39"/>
  <c r="B22" i="39"/>
  <c r="B21" i="39"/>
  <c r="B20" i="39"/>
  <c r="B19" i="39"/>
  <c r="B18" i="39"/>
  <c r="B17" i="39"/>
  <c r="B16" i="39"/>
  <c r="B15" i="39"/>
  <c r="B8" i="13" l="1"/>
  <c r="E8" i="13" s="1"/>
  <c r="AI8" i="47" l="1"/>
  <c r="AH8" i="47"/>
  <c r="AG8" i="47"/>
  <c r="AF8" i="47"/>
  <c r="AE8" i="47"/>
  <c r="AD8" i="47"/>
  <c r="AC8" i="47"/>
  <c r="AB8" i="47"/>
  <c r="AI7" i="47"/>
  <c r="AH7" i="47"/>
  <c r="AG7" i="47"/>
  <c r="AF7" i="47"/>
  <c r="AE7" i="47"/>
  <c r="AD7" i="47"/>
  <c r="AC7" i="47"/>
  <c r="AB7" i="47"/>
  <c r="AC13" i="6" l="1"/>
  <c r="AB13" i="6"/>
  <c r="S13" i="6"/>
  <c r="R13" i="6"/>
  <c r="M13" i="6"/>
  <c r="AC12" i="6"/>
  <c r="AB12" i="6"/>
  <c r="S12" i="6"/>
  <c r="R12" i="6"/>
  <c r="M12" i="6"/>
  <c r="AC11" i="6"/>
  <c r="AB11" i="6"/>
  <c r="S11" i="6"/>
  <c r="R11" i="6"/>
  <c r="M11" i="6"/>
  <c r="AC13" i="7"/>
  <c r="S13" i="7"/>
  <c r="M13" i="7"/>
  <c r="AC12" i="7"/>
  <c r="S12" i="7"/>
  <c r="M12" i="7"/>
  <c r="AC11" i="7"/>
  <c r="S11" i="7"/>
  <c r="M11" i="7"/>
  <c r="B10" i="13"/>
  <c r="E10" i="13" s="1"/>
  <c r="I11" i="13"/>
  <c r="I10" i="13"/>
  <c r="I9" i="13"/>
  <c r="K9" i="13" s="1"/>
  <c r="I6" i="13"/>
  <c r="K6" i="13" s="1"/>
  <c r="B7" i="13"/>
  <c r="E7" i="13" s="1"/>
  <c r="B6" i="13"/>
  <c r="E6" i="13" s="1"/>
  <c r="E9" i="13" s="1"/>
  <c r="E11" i="13" l="1"/>
  <c r="H128" i="37"/>
  <c r="M14" i="6" l="1"/>
  <c r="M15" i="6"/>
  <c r="M16" i="6"/>
  <c r="M17" i="6"/>
  <c r="M18" i="6"/>
  <c r="M19" i="6"/>
  <c r="M20" i="6"/>
  <c r="M21" i="6"/>
  <c r="M22" i="6"/>
  <c r="M23" i="6"/>
  <c r="M24" i="6"/>
  <c r="M25" i="6"/>
  <c r="M26" i="6"/>
  <c r="M27" i="6"/>
  <c r="AA7" i="47" l="1"/>
  <c r="AI8" i="46"/>
  <c r="AH8" i="46"/>
  <c r="AG8" i="46"/>
  <c r="AF8" i="46"/>
  <c r="AE8" i="46"/>
  <c r="AD8" i="46"/>
  <c r="AC8" i="46"/>
  <c r="AB8" i="46"/>
  <c r="AI7" i="46"/>
  <c r="AH7" i="46"/>
  <c r="AG7" i="46"/>
  <c r="AF7" i="46"/>
  <c r="AE7" i="46"/>
  <c r="AD7" i="46"/>
  <c r="AC7" i="46"/>
  <c r="AB7" i="46"/>
  <c r="AA7" i="46"/>
  <c r="E10" i="39" l="1"/>
  <c r="E8" i="39"/>
  <c r="E7" i="39"/>
  <c r="E6" i="39"/>
  <c r="B10" i="39"/>
  <c r="B8" i="39"/>
  <c r="B7" i="39"/>
  <c r="B6" i="39"/>
  <c r="I11" i="39"/>
  <c r="K11" i="39"/>
  <c r="I9" i="39"/>
  <c r="K9" i="39"/>
  <c r="K8" i="39"/>
  <c r="I8" i="39"/>
  <c r="K6" i="39"/>
  <c r="I6" i="39"/>
  <c r="BB21" i="37"/>
  <c r="BB20" i="37"/>
  <c r="BB19" i="37"/>
  <c r="BB18" i="37"/>
  <c r="BB17" i="37"/>
  <c r="BB16" i="37"/>
  <c r="BB15" i="37"/>
  <c r="BB14" i="37"/>
  <c r="BB13" i="37"/>
  <c r="BB12" i="37"/>
  <c r="BB11" i="37"/>
  <c r="BB10" i="37"/>
  <c r="BB9" i="37"/>
  <c r="BB8" i="37"/>
  <c r="BB7" i="37"/>
  <c r="B9" i="39" l="1"/>
  <c r="B11" i="39"/>
  <c r="AZ12" i="37"/>
  <c r="AZ9" i="37"/>
  <c r="AZ21" i="37"/>
  <c r="AZ11" i="37"/>
  <c r="Q9" i="3"/>
  <c r="W9" i="3"/>
  <c r="E11" i="39" l="1"/>
  <c r="B11" i="13"/>
  <c r="E9" i="39"/>
  <c r="B9" i="13"/>
  <c r="AZ16" i="37"/>
  <c r="AZ10" i="37"/>
  <c r="AZ19" i="37"/>
  <c r="AZ7" i="37"/>
  <c r="AZ18" i="37"/>
  <c r="AZ15" i="37"/>
  <c r="AZ17" i="37"/>
  <c r="AZ13" i="37"/>
  <c r="AZ14" i="37"/>
  <c r="AZ8" i="37"/>
  <c r="AZ20" i="37"/>
  <c r="AW113" i="37"/>
  <c r="AW112" i="37"/>
  <c r="AW111" i="37"/>
  <c r="AW110" i="37"/>
  <c r="AW109" i="37"/>
  <c r="AW108" i="37"/>
  <c r="AW107" i="37"/>
  <c r="AR113" i="37"/>
  <c r="AR112" i="37"/>
  <c r="AR111" i="37"/>
  <c r="AR110" i="37"/>
  <c r="AR109" i="37"/>
  <c r="AR108" i="37"/>
  <c r="AR107" i="37"/>
  <c r="AM113" i="37"/>
  <c r="AM112" i="37"/>
  <c r="AM111" i="37"/>
  <c r="AM110" i="37"/>
  <c r="AM109" i="37"/>
  <c r="AM108" i="37"/>
  <c r="AM107" i="37"/>
  <c r="AH113" i="37"/>
  <c r="AH112" i="37"/>
  <c r="AH111" i="37"/>
  <c r="AH110" i="37"/>
  <c r="AH109" i="37"/>
  <c r="AH108" i="37"/>
  <c r="AH107" i="37"/>
  <c r="AC113" i="37"/>
  <c r="AC112" i="37"/>
  <c r="AC111" i="37"/>
  <c r="AC110" i="37"/>
  <c r="AC109" i="37"/>
  <c r="AC108" i="37"/>
  <c r="AC107" i="37"/>
  <c r="AW120" i="37" l="1"/>
  <c r="AR120" i="37"/>
  <c r="AR118" i="37"/>
  <c r="AR116" i="37"/>
  <c r="AR114" i="37"/>
  <c r="AR121" i="37"/>
  <c r="AM121" i="37"/>
  <c r="AM117" i="37"/>
  <c r="AM118" i="37"/>
  <c r="AH120" i="37"/>
  <c r="AH118" i="37"/>
  <c r="AH116" i="37"/>
  <c r="AH114" i="37"/>
  <c r="AH119" i="37"/>
  <c r="AC121" i="37"/>
  <c r="AC117" i="37" l="1"/>
  <c r="AM115" i="37"/>
  <c r="AM119" i="37"/>
  <c r="AW117" i="37"/>
  <c r="AW121" i="37"/>
  <c r="AC114" i="37"/>
  <c r="AC118" i="37"/>
  <c r="AH117" i="37"/>
  <c r="AH121" i="37"/>
  <c r="AM116" i="37"/>
  <c r="AM120" i="37"/>
  <c r="AR115" i="37"/>
  <c r="AR119" i="37"/>
  <c r="AW114" i="37"/>
  <c r="AW118" i="37"/>
  <c r="AC119" i="37"/>
  <c r="AC115" i="37"/>
  <c r="AW115" i="37"/>
  <c r="AW119" i="37"/>
  <c r="AC116" i="37"/>
  <c r="AC120" i="37"/>
  <c r="AH115" i="37"/>
  <c r="AM114" i="37"/>
  <c r="AR117" i="37"/>
  <c r="AW116" i="37"/>
  <c r="I38" i="5" l="1"/>
  <c r="I37" i="5"/>
  <c r="I36" i="5"/>
  <c r="I35" i="5"/>
  <c r="I34" i="5"/>
  <c r="AX107" i="37" l="1"/>
  <c r="AS107" i="37"/>
  <c r="AN107" i="37"/>
  <c r="AI107" i="37"/>
  <c r="AD107" i="37"/>
  <c r="I33" i="5" l="1"/>
  <c r="I7" i="39" s="1"/>
  <c r="I32" i="5"/>
  <c r="J32" i="5" s="1"/>
  <c r="I31" i="5"/>
  <c r="I30" i="5"/>
  <c r="I29" i="5"/>
  <c r="I28" i="5"/>
  <c r="I27" i="5"/>
  <c r="L20" i="21" l="1"/>
  <c r="L19" i="21"/>
  <c r="L18" i="21"/>
  <c r="L17" i="21"/>
  <c r="L16" i="21"/>
  <c r="L13" i="21"/>
  <c r="L12" i="21"/>
  <c r="L11" i="21"/>
  <c r="L10" i="21"/>
  <c r="L9" i="21"/>
  <c r="M15" i="40"/>
  <c r="K15" i="40"/>
  <c r="I15" i="40"/>
  <c r="G15" i="40"/>
  <c r="M14" i="40"/>
  <c r="K14" i="40"/>
  <c r="I14" i="40"/>
  <c r="G14" i="40"/>
  <c r="M10" i="40"/>
  <c r="K10" i="40"/>
  <c r="I10" i="40"/>
  <c r="G10" i="40"/>
  <c r="C10" i="40"/>
  <c r="M9" i="40"/>
  <c r="K9" i="40"/>
  <c r="I9" i="40"/>
  <c r="G9" i="40"/>
  <c r="C9" i="40"/>
  <c r="J133" i="37"/>
  <c r="I133" i="37"/>
  <c r="J132" i="37"/>
  <c r="I132" i="37"/>
  <c r="K131" i="37"/>
  <c r="J131" i="37"/>
  <c r="I131" i="37"/>
  <c r="K130" i="37"/>
  <c r="J130" i="37"/>
  <c r="I130" i="37"/>
  <c r="J129" i="37"/>
  <c r="I129" i="37"/>
  <c r="J128" i="37"/>
  <c r="I128" i="37"/>
  <c r="AK46" i="6"/>
  <c r="AK47" i="6" s="1"/>
  <c r="AI46" i="6"/>
  <c r="AI47" i="6" s="1"/>
  <c r="AG46" i="6"/>
  <c r="AG47" i="6" s="1"/>
  <c r="AE46" i="6"/>
  <c r="H20" i="13" s="1"/>
  <c r="AA46" i="6"/>
  <c r="Y46" i="6"/>
  <c r="W46" i="6"/>
  <c r="W47" i="6" s="1"/>
  <c r="U46" i="6"/>
  <c r="U47" i="6" s="1"/>
  <c r="Q46" i="6"/>
  <c r="O46" i="6"/>
  <c r="K46" i="6"/>
  <c r="I46" i="6"/>
  <c r="AC45" i="6"/>
  <c r="AB45" i="6"/>
  <c r="S45" i="6"/>
  <c r="R45" i="6"/>
  <c r="M45" i="6"/>
  <c r="AC44" i="6"/>
  <c r="AB44" i="6"/>
  <c r="S44" i="6"/>
  <c r="R44" i="6"/>
  <c r="M44" i="6"/>
  <c r="AC43" i="6"/>
  <c r="AB43" i="6"/>
  <c r="S43" i="6"/>
  <c r="R43" i="6"/>
  <c r="M43" i="6"/>
  <c r="AC40" i="6"/>
  <c r="AB40" i="6"/>
  <c r="S40" i="6"/>
  <c r="R40" i="6"/>
  <c r="M40" i="6"/>
  <c r="AC39" i="6"/>
  <c r="AB39" i="6"/>
  <c r="S39" i="6"/>
  <c r="R39" i="6"/>
  <c r="M39" i="6"/>
  <c r="AC38" i="6"/>
  <c r="AB38" i="6"/>
  <c r="S38" i="6"/>
  <c r="R38" i="6"/>
  <c r="M38" i="6"/>
  <c r="AC37" i="6"/>
  <c r="AB37" i="6"/>
  <c r="S37" i="6"/>
  <c r="R37" i="6"/>
  <c r="M37" i="6"/>
  <c r="AC36" i="6"/>
  <c r="AB36" i="6"/>
  <c r="S36" i="6"/>
  <c r="R36" i="6"/>
  <c r="M36" i="6"/>
  <c r="AC35" i="6"/>
  <c r="AB35" i="6"/>
  <c r="S35" i="6"/>
  <c r="R35" i="6"/>
  <c r="M35" i="6"/>
  <c r="AC34" i="6"/>
  <c r="AB34" i="6"/>
  <c r="S34" i="6"/>
  <c r="R34" i="6"/>
  <c r="M34" i="6"/>
  <c r="AC33" i="6"/>
  <c r="AB33" i="6"/>
  <c r="S33" i="6"/>
  <c r="R33" i="6"/>
  <c r="M33" i="6"/>
  <c r="AC32" i="6"/>
  <c r="AB32" i="6"/>
  <c r="S32" i="6"/>
  <c r="R32" i="6"/>
  <c r="M32" i="6"/>
  <c r="AC31" i="6"/>
  <c r="AB31" i="6"/>
  <c r="S31" i="6"/>
  <c r="R31" i="6"/>
  <c r="M31" i="6"/>
  <c r="AC30" i="6"/>
  <c r="AB30" i="6"/>
  <c r="S30" i="6"/>
  <c r="R30" i="6"/>
  <c r="M30" i="6"/>
  <c r="AC29" i="6"/>
  <c r="AB29" i="6"/>
  <c r="S29" i="6"/>
  <c r="R29" i="6"/>
  <c r="M29" i="6"/>
  <c r="AC28" i="6"/>
  <c r="AB28" i="6"/>
  <c r="S28" i="6"/>
  <c r="R28" i="6"/>
  <c r="M28" i="6"/>
  <c r="AC27" i="6"/>
  <c r="AB27" i="6"/>
  <c r="S27" i="6"/>
  <c r="R27" i="6"/>
  <c r="AC26" i="6"/>
  <c r="AB26" i="6"/>
  <c r="S26" i="6"/>
  <c r="R26" i="6"/>
  <c r="AC25" i="6"/>
  <c r="AB25" i="6"/>
  <c r="S25" i="6"/>
  <c r="R25" i="6"/>
  <c r="AC24" i="6"/>
  <c r="AB24" i="6"/>
  <c r="S24" i="6"/>
  <c r="R24" i="6"/>
  <c r="AC23" i="6"/>
  <c r="AB23" i="6"/>
  <c r="S23" i="6"/>
  <c r="R23" i="6"/>
  <c r="AC22" i="6"/>
  <c r="AB22" i="6"/>
  <c r="S22" i="6"/>
  <c r="R22" i="6"/>
  <c r="AC21" i="6"/>
  <c r="AB21" i="6"/>
  <c r="S21" i="6"/>
  <c r="R21" i="6"/>
  <c r="AC20" i="6"/>
  <c r="AB20" i="6"/>
  <c r="S20" i="6"/>
  <c r="R20" i="6"/>
  <c r="AC19" i="6"/>
  <c r="AB19" i="6"/>
  <c r="S19" i="6"/>
  <c r="R19" i="6"/>
  <c r="AC18" i="6"/>
  <c r="AB18" i="6"/>
  <c r="S18" i="6"/>
  <c r="R18" i="6"/>
  <c r="AC17" i="6"/>
  <c r="AB17" i="6"/>
  <c r="S17" i="6"/>
  <c r="R17" i="6"/>
  <c r="AC16" i="6"/>
  <c r="AB16" i="6"/>
  <c r="S16" i="6"/>
  <c r="R16" i="6"/>
  <c r="AC15" i="6"/>
  <c r="AB15" i="6"/>
  <c r="S15" i="6"/>
  <c r="R15" i="6"/>
  <c r="AC14" i="6"/>
  <c r="AB14" i="6"/>
  <c r="S14" i="6"/>
  <c r="R14" i="6"/>
  <c r="F13" i="6"/>
  <c r="F12" i="6"/>
  <c r="F11" i="6"/>
  <c r="AK46" i="7"/>
  <c r="AK47" i="7" s="1"/>
  <c r="AI46" i="7"/>
  <c r="AI47" i="7" s="1"/>
  <c r="AG46" i="7"/>
  <c r="AG47" i="7" s="1"/>
  <c r="AE46" i="7"/>
  <c r="AE47" i="7" s="1"/>
  <c r="AA46" i="7"/>
  <c r="Y46" i="7"/>
  <c r="W46" i="7"/>
  <c r="W47" i="7" s="1"/>
  <c r="U46" i="7"/>
  <c r="U47" i="7" s="1"/>
  <c r="Q46" i="7"/>
  <c r="O46" i="7"/>
  <c r="K46" i="7"/>
  <c r="I46" i="7"/>
  <c r="AC45" i="7"/>
  <c r="S45" i="7"/>
  <c r="M45" i="7"/>
  <c r="AC44" i="7"/>
  <c r="S44" i="7"/>
  <c r="M44" i="7"/>
  <c r="AC43" i="7"/>
  <c r="S43" i="7"/>
  <c r="M43" i="7"/>
  <c r="AC42" i="7"/>
  <c r="S42" i="7"/>
  <c r="M42" i="7"/>
  <c r="AC40" i="7"/>
  <c r="S40" i="7"/>
  <c r="M40" i="7"/>
  <c r="AC39" i="7"/>
  <c r="S39" i="7"/>
  <c r="M39" i="7"/>
  <c r="AC38" i="7"/>
  <c r="S38" i="7"/>
  <c r="M38" i="7"/>
  <c r="AC37" i="7"/>
  <c r="S37" i="7"/>
  <c r="M37" i="7"/>
  <c r="AC36" i="7"/>
  <c r="S36" i="7"/>
  <c r="M36" i="7"/>
  <c r="AC35" i="7"/>
  <c r="S35" i="7"/>
  <c r="M35" i="7"/>
  <c r="AC34" i="7"/>
  <c r="S34" i="7"/>
  <c r="M34" i="7"/>
  <c r="AC33" i="7"/>
  <c r="S33" i="7"/>
  <c r="M33" i="7"/>
  <c r="AC32" i="7"/>
  <c r="S32" i="7"/>
  <c r="M32" i="7"/>
  <c r="AC31" i="7"/>
  <c r="S31" i="7"/>
  <c r="M31" i="7"/>
  <c r="AC30" i="7"/>
  <c r="S30" i="7"/>
  <c r="M30" i="7"/>
  <c r="AC29" i="7"/>
  <c r="S29" i="7"/>
  <c r="M29" i="7"/>
  <c r="AC28" i="7"/>
  <c r="S28" i="7"/>
  <c r="M28" i="7"/>
  <c r="AC27" i="7"/>
  <c r="S27" i="7"/>
  <c r="M27" i="7"/>
  <c r="AC26" i="7"/>
  <c r="S26" i="7"/>
  <c r="M26" i="7"/>
  <c r="AC25" i="7"/>
  <c r="S25" i="7"/>
  <c r="M25" i="7"/>
  <c r="AC24" i="7"/>
  <c r="S24" i="7"/>
  <c r="M24" i="7"/>
  <c r="AC23" i="7"/>
  <c r="S23" i="7"/>
  <c r="M23" i="7"/>
  <c r="AC22" i="7"/>
  <c r="S22" i="7"/>
  <c r="M22" i="7"/>
  <c r="AC21" i="7"/>
  <c r="S21" i="7"/>
  <c r="M21" i="7"/>
  <c r="AC20" i="7"/>
  <c r="S20" i="7"/>
  <c r="M20" i="7"/>
  <c r="AC19" i="7"/>
  <c r="S19" i="7"/>
  <c r="M19" i="7"/>
  <c r="AC18" i="7"/>
  <c r="S18" i="7"/>
  <c r="M18" i="7"/>
  <c r="AC17" i="7"/>
  <c r="S17" i="7"/>
  <c r="M17" i="7"/>
  <c r="AC16" i="7"/>
  <c r="S16" i="7"/>
  <c r="M16" i="7"/>
  <c r="AC15" i="7"/>
  <c r="S15" i="7"/>
  <c r="M15" i="7"/>
  <c r="AC14" i="7"/>
  <c r="S14" i="7"/>
  <c r="M14" i="7"/>
  <c r="F12" i="7"/>
  <c r="I26" i="5"/>
  <c r="I25" i="5"/>
  <c r="J25" i="5" s="1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U40" i="3"/>
  <c r="O40" i="3"/>
  <c r="U38" i="3"/>
  <c r="O38" i="3"/>
  <c r="U37" i="3"/>
  <c r="O37" i="3"/>
  <c r="U36" i="3"/>
  <c r="O36" i="3"/>
  <c r="U35" i="3"/>
  <c r="O35" i="3"/>
  <c r="U34" i="3"/>
  <c r="O34" i="3"/>
  <c r="I20" i="39"/>
  <c r="K20" i="39" s="1"/>
  <c r="U33" i="3"/>
  <c r="O33" i="3"/>
  <c r="U32" i="3"/>
  <c r="O32" i="3"/>
  <c r="U31" i="3"/>
  <c r="O31" i="3"/>
  <c r="U30" i="3"/>
  <c r="O30" i="3"/>
  <c r="U29" i="3"/>
  <c r="O29" i="3"/>
  <c r="U28" i="3"/>
  <c r="O28" i="3"/>
  <c r="U27" i="3"/>
  <c r="O27" i="3"/>
  <c r="U26" i="3"/>
  <c r="O26" i="3"/>
  <c r="U25" i="3"/>
  <c r="O25" i="3"/>
  <c r="U24" i="3"/>
  <c r="O24" i="3"/>
  <c r="U23" i="3"/>
  <c r="O23" i="3"/>
  <c r="U22" i="3"/>
  <c r="O22" i="3"/>
  <c r="U21" i="3"/>
  <c r="O21" i="3"/>
  <c r="U20" i="3"/>
  <c r="O20" i="3"/>
  <c r="U19" i="3"/>
  <c r="O19" i="3"/>
  <c r="U18" i="3"/>
  <c r="O18" i="3"/>
  <c r="U17" i="3"/>
  <c r="O17" i="3"/>
  <c r="U16" i="3"/>
  <c r="O16" i="3"/>
  <c r="U15" i="3"/>
  <c r="O15" i="3"/>
  <c r="U14" i="3"/>
  <c r="O14" i="3"/>
  <c r="U13" i="3"/>
  <c r="O13" i="3"/>
  <c r="U12" i="3"/>
  <c r="O12" i="3"/>
  <c r="U11" i="3"/>
  <c r="O11" i="3"/>
  <c r="U10" i="3"/>
  <c r="O10" i="3"/>
  <c r="U9" i="3"/>
  <c r="O9" i="3"/>
  <c r="J24" i="39"/>
  <c r="D24" i="39"/>
  <c r="I22" i="39"/>
  <c r="K22" i="39" s="1"/>
  <c r="I18" i="39"/>
  <c r="K18" i="39" s="1"/>
  <c r="D8" i="39"/>
  <c r="J24" i="13"/>
  <c r="D24" i="13"/>
  <c r="H18" i="13"/>
  <c r="X55" i="1"/>
  <c r="X54" i="1"/>
  <c r="X53" i="1"/>
  <c r="X52" i="1"/>
  <c r="X47" i="1"/>
  <c r="X46" i="1"/>
  <c r="X45" i="1"/>
  <c r="X44" i="1"/>
  <c r="X43" i="1"/>
  <c r="X41" i="1"/>
  <c r="X40" i="1"/>
  <c r="X39" i="1"/>
  <c r="X38" i="1"/>
  <c r="X37" i="1"/>
  <c r="X42" i="1" s="1"/>
  <c r="V42" i="1" s="1"/>
  <c r="X33" i="1"/>
  <c r="X32" i="1"/>
  <c r="X31" i="1"/>
  <c r="X30" i="1"/>
  <c r="X29" i="1"/>
  <c r="X27" i="1"/>
  <c r="X26" i="1"/>
  <c r="X25" i="1"/>
  <c r="X24" i="1"/>
  <c r="X23" i="1"/>
  <c r="S19" i="1"/>
  <c r="Q19" i="1"/>
  <c r="O19" i="1"/>
  <c r="S18" i="1"/>
  <c r="Q18" i="1"/>
  <c r="O18" i="1"/>
  <c r="J18" i="1"/>
  <c r="E18" i="1"/>
  <c r="D18" i="1"/>
  <c r="J17" i="1"/>
  <c r="E17" i="1"/>
  <c r="D17" i="1"/>
  <c r="J16" i="1"/>
  <c r="E16" i="1"/>
  <c r="D16" i="1"/>
  <c r="J15" i="1"/>
  <c r="E15" i="1"/>
  <c r="D15" i="1"/>
  <c r="V14" i="1"/>
  <c r="P14" i="1"/>
  <c r="U13" i="1"/>
  <c r="W13" i="1" s="1"/>
  <c r="O13" i="1"/>
  <c r="Q13" i="1" s="1"/>
  <c r="U12" i="1"/>
  <c r="W12" i="1" s="1"/>
  <c r="O12" i="1"/>
  <c r="Q12" i="1" s="1"/>
  <c r="U11" i="1"/>
  <c r="W11" i="1" s="1"/>
  <c r="O11" i="1"/>
  <c r="C11" i="1"/>
  <c r="B11" i="1"/>
  <c r="E11" i="1" s="1"/>
  <c r="U10" i="1"/>
  <c r="W10" i="1" s="1"/>
  <c r="O10" i="1"/>
  <c r="Q10" i="1" s="1"/>
  <c r="E10" i="1"/>
  <c r="D10" i="1"/>
  <c r="U9" i="1"/>
  <c r="O9" i="1"/>
  <c r="Q9" i="1" s="1"/>
  <c r="C9" i="1"/>
  <c r="B9" i="1"/>
  <c r="E9" i="1" s="1"/>
  <c r="U8" i="1"/>
  <c r="W8" i="1" s="1"/>
  <c r="O8" i="1"/>
  <c r="Q8" i="1" s="1"/>
  <c r="E8" i="1"/>
  <c r="D8" i="1"/>
  <c r="U7" i="1"/>
  <c r="W7" i="1" s="1"/>
  <c r="O7" i="1"/>
  <c r="Q7" i="1" s="1"/>
  <c r="E7" i="1"/>
  <c r="D7" i="1"/>
  <c r="U6" i="1"/>
  <c r="W6" i="1" s="1"/>
  <c r="O6" i="1"/>
  <c r="Q6" i="1" s="1"/>
  <c r="E6" i="1"/>
  <c r="D6" i="1"/>
  <c r="K9" i="5" l="1"/>
  <c r="J9" i="5"/>
  <c r="J18" i="5"/>
  <c r="X34" i="1"/>
  <c r="V34" i="1" s="1"/>
  <c r="J11" i="5"/>
  <c r="X48" i="1"/>
  <c r="V48" i="1" s="1"/>
  <c r="I7" i="13"/>
  <c r="K7" i="13" s="1"/>
  <c r="F19" i="6"/>
  <c r="X19" i="6" s="1"/>
  <c r="F22" i="6"/>
  <c r="AH22" i="6" s="1"/>
  <c r="F25" i="6"/>
  <c r="AH25" i="6" s="1"/>
  <c r="AH13" i="6"/>
  <c r="X13" i="6"/>
  <c r="L13" i="6"/>
  <c r="P13" i="6"/>
  <c r="AF13" i="6"/>
  <c r="Z13" i="6"/>
  <c r="AL13" i="6"/>
  <c r="AJ13" i="6"/>
  <c r="V13" i="6"/>
  <c r="J13" i="6"/>
  <c r="N13" i="6"/>
  <c r="AD13" i="6"/>
  <c r="T13" i="6"/>
  <c r="AH11" i="6"/>
  <c r="AJ11" i="6"/>
  <c r="V11" i="6"/>
  <c r="J11" i="6"/>
  <c r="AF11" i="6"/>
  <c r="Z11" i="6"/>
  <c r="AL11" i="6"/>
  <c r="X11" i="6"/>
  <c r="L11" i="6"/>
  <c r="P11" i="6"/>
  <c r="AD11" i="6"/>
  <c r="N11" i="6"/>
  <c r="T11" i="6"/>
  <c r="AL12" i="6"/>
  <c r="X12" i="6"/>
  <c r="L12" i="6"/>
  <c r="AF12" i="6"/>
  <c r="AJ12" i="6"/>
  <c r="V12" i="6"/>
  <c r="P12" i="6"/>
  <c r="J12" i="6"/>
  <c r="AH12" i="6"/>
  <c r="Z12" i="6"/>
  <c r="AD12" i="6"/>
  <c r="N12" i="6"/>
  <c r="T12" i="6"/>
  <c r="F22" i="7"/>
  <c r="AH22" i="7" s="1"/>
  <c r="AH12" i="7"/>
  <c r="AB12" i="7"/>
  <c r="AF12" i="7"/>
  <c r="Z12" i="7"/>
  <c r="AL12" i="7"/>
  <c r="X12" i="7"/>
  <c r="R12" i="7"/>
  <c r="L12" i="7"/>
  <c r="AJ12" i="7"/>
  <c r="V12" i="7"/>
  <c r="P12" i="7"/>
  <c r="J12" i="7"/>
  <c r="AD12" i="7"/>
  <c r="T12" i="7"/>
  <c r="N12" i="7"/>
  <c r="X28" i="1"/>
  <c r="V28" i="1" s="1"/>
  <c r="D11" i="1"/>
  <c r="F45" i="6"/>
  <c r="AH45" i="6" s="1"/>
  <c r="O14" i="1"/>
  <c r="B23" i="13"/>
  <c r="C23" i="13" s="1"/>
  <c r="E23" i="13" s="1"/>
  <c r="F30" i="7"/>
  <c r="AH30" i="7" s="1"/>
  <c r="F27" i="6"/>
  <c r="AH27" i="6" s="1"/>
  <c r="F30" i="6"/>
  <c r="AF30" i="6" s="1"/>
  <c r="U14" i="1"/>
  <c r="F34" i="6"/>
  <c r="AF34" i="6" s="1"/>
  <c r="H17" i="13"/>
  <c r="W9" i="1"/>
  <c r="Q11" i="1"/>
  <c r="F44" i="6"/>
  <c r="AF44" i="6" s="1"/>
  <c r="F35" i="6"/>
  <c r="AF35" i="6" s="1"/>
  <c r="F34" i="7"/>
  <c r="AH34" i="7" s="1"/>
  <c r="F24" i="7"/>
  <c r="AD24" i="7" s="1"/>
  <c r="F28" i="7"/>
  <c r="AD28" i="7" s="1"/>
  <c r="D9" i="1"/>
  <c r="F32" i="7"/>
  <c r="AD32" i="7" s="1"/>
  <c r="AD45" i="6"/>
  <c r="F18" i="7"/>
  <c r="AB18" i="7" s="1"/>
  <c r="F44" i="7"/>
  <c r="AH44" i="7" s="1"/>
  <c r="F17" i="6"/>
  <c r="L17" i="6" s="1"/>
  <c r="F23" i="6"/>
  <c r="V23" i="6" s="1"/>
  <c r="F26" i="6"/>
  <c r="AD26" i="6" s="1"/>
  <c r="F40" i="6"/>
  <c r="AJ40" i="6" s="1"/>
  <c r="H21" i="13"/>
  <c r="K128" i="37"/>
  <c r="K133" i="37"/>
  <c r="K129" i="37"/>
  <c r="K132" i="37"/>
  <c r="B22" i="13"/>
  <c r="C22" i="13" s="1"/>
  <c r="E22" i="13" s="1"/>
  <c r="B21" i="13"/>
  <c r="C21" i="13" s="1"/>
  <c r="E21" i="13" s="1"/>
  <c r="B18" i="13"/>
  <c r="C18" i="13" s="1"/>
  <c r="E18" i="13" s="1"/>
  <c r="F16" i="7"/>
  <c r="AH16" i="7" s="1"/>
  <c r="F20" i="7"/>
  <c r="T20" i="7" s="1"/>
  <c r="F26" i="7"/>
  <c r="AH26" i="7" s="1"/>
  <c r="F15" i="6"/>
  <c r="AH15" i="6" s="1"/>
  <c r="F18" i="6"/>
  <c r="AH18" i="6" s="1"/>
  <c r="B17" i="13"/>
  <c r="C17" i="13" s="1"/>
  <c r="E17" i="13" s="1"/>
  <c r="F14" i="7"/>
  <c r="F13" i="7"/>
  <c r="F11" i="7"/>
  <c r="F15" i="7"/>
  <c r="F19" i="7"/>
  <c r="N19" i="7" s="1"/>
  <c r="F23" i="7"/>
  <c r="N23" i="7" s="1"/>
  <c r="F27" i="7"/>
  <c r="N27" i="7" s="1"/>
  <c r="F31" i="7"/>
  <c r="AD31" i="7" s="1"/>
  <c r="F35" i="7"/>
  <c r="T35" i="7" s="1"/>
  <c r="F45" i="7"/>
  <c r="N45" i="7" s="1"/>
  <c r="F17" i="7"/>
  <c r="T17" i="7" s="1"/>
  <c r="F21" i="7"/>
  <c r="T21" i="7" s="1"/>
  <c r="F25" i="7"/>
  <c r="AD25" i="7" s="1"/>
  <c r="F29" i="7"/>
  <c r="AD29" i="7" s="1"/>
  <c r="F33" i="7"/>
  <c r="AD33" i="7" s="1"/>
  <c r="AC46" i="7"/>
  <c r="B19" i="13" s="1"/>
  <c r="C19" i="13" s="1"/>
  <c r="E19" i="13" s="1"/>
  <c r="F43" i="7"/>
  <c r="N43" i="7" s="1"/>
  <c r="P45" i="6"/>
  <c r="AJ45" i="6"/>
  <c r="J45" i="6"/>
  <c r="AL45" i="6"/>
  <c r="H23" i="13"/>
  <c r="F21" i="6"/>
  <c r="L21" i="6" s="1"/>
  <c r="F31" i="6"/>
  <c r="N31" i="6" s="1"/>
  <c r="L45" i="6"/>
  <c r="X45" i="6"/>
  <c r="N45" i="6"/>
  <c r="V45" i="6"/>
  <c r="F20" i="6"/>
  <c r="N20" i="6" s="1"/>
  <c r="F24" i="6"/>
  <c r="N24" i="6" s="1"/>
  <c r="F14" i="6"/>
  <c r="F29" i="6"/>
  <c r="F16" i="6"/>
  <c r="N16" i="6" s="1"/>
  <c r="AH44" i="6"/>
  <c r="F33" i="6"/>
  <c r="F43" i="6"/>
  <c r="F28" i="6"/>
  <c r="N28" i="6" s="1"/>
  <c r="F32" i="6"/>
  <c r="N32" i="6" s="1"/>
  <c r="L44" i="6"/>
  <c r="X44" i="6"/>
  <c r="Z45" i="6"/>
  <c r="AF45" i="6"/>
  <c r="T45" i="6"/>
  <c r="D10" i="39"/>
  <c r="AC46" i="6"/>
  <c r="AC47" i="6" s="1"/>
  <c r="S46" i="6"/>
  <c r="S47" i="6" s="1"/>
  <c r="H16" i="13" s="1"/>
  <c r="F38" i="6"/>
  <c r="AH38" i="6" s="1"/>
  <c r="M46" i="6"/>
  <c r="M47" i="6" s="1"/>
  <c r="F37" i="6"/>
  <c r="N37" i="6" s="1"/>
  <c r="F39" i="6"/>
  <c r="N39" i="6" s="1"/>
  <c r="F42" i="7"/>
  <c r="AH42" i="7" s="1"/>
  <c r="S46" i="7"/>
  <c r="S47" i="7" s="1"/>
  <c r="F38" i="7"/>
  <c r="AH38" i="7" s="1"/>
  <c r="F37" i="7"/>
  <c r="N37" i="7" s="1"/>
  <c r="M46" i="7"/>
  <c r="B15" i="13" s="1"/>
  <c r="C15" i="13" s="1"/>
  <c r="F40" i="7"/>
  <c r="F39" i="7"/>
  <c r="N39" i="7" s="1"/>
  <c r="I17" i="39"/>
  <c r="K17" i="39" s="1"/>
  <c r="I21" i="39"/>
  <c r="K21" i="39" s="1"/>
  <c r="D7" i="39"/>
  <c r="I15" i="39"/>
  <c r="I19" i="39"/>
  <c r="K19" i="39" s="1"/>
  <c r="I23" i="39"/>
  <c r="K23" i="39" s="1"/>
  <c r="I16" i="39"/>
  <c r="K16" i="39" s="1"/>
  <c r="D9" i="39"/>
  <c r="H22" i="13"/>
  <c r="AE47" i="6"/>
  <c r="F36" i="6"/>
  <c r="AL36" i="6" s="1"/>
  <c r="B20" i="13"/>
  <c r="C20" i="13" s="1"/>
  <c r="E20" i="13" s="1"/>
  <c r="F36" i="7"/>
  <c r="AL36" i="7" s="1"/>
  <c r="D6" i="13"/>
  <c r="D10" i="13"/>
  <c r="D11" i="39"/>
  <c r="B36" i="39"/>
  <c r="B35" i="39"/>
  <c r="B34" i="39"/>
  <c r="B33" i="39"/>
  <c r="B32" i="39"/>
  <c r="B30" i="39"/>
  <c r="B29" i="39"/>
  <c r="B28" i="39"/>
  <c r="AD19" i="6" l="1"/>
  <c r="AJ44" i="6"/>
  <c r="N44" i="6"/>
  <c r="V44" i="6"/>
  <c r="T44" i="6"/>
  <c r="AL44" i="6"/>
  <c r="P44" i="6"/>
  <c r="Z44" i="6"/>
  <c r="AD44" i="6"/>
  <c r="J44" i="6"/>
  <c r="J26" i="6"/>
  <c r="AD22" i="6"/>
  <c r="AJ22" i="6"/>
  <c r="AF22" i="6"/>
  <c r="K7" i="39"/>
  <c r="B31" i="39"/>
  <c r="Z27" i="6"/>
  <c r="J22" i="6"/>
  <c r="V22" i="6"/>
  <c r="X22" i="6"/>
  <c r="P22" i="6"/>
  <c r="AL22" i="6"/>
  <c r="T22" i="6"/>
  <c r="AL17" i="6"/>
  <c r="L22" i="6"/>
  <c r="Z22" i="6"/>
  <c r="N22" i="6"/>
  <c r="V27" i="6"/>
  <c r="L27" i="6"/>
  <c r="T19" i="6"/>
  <c r="P25" i="6"/>
  <c r="AF19" i="6"/>
  <c r="AL19" i="6"/>
  <c r="N25" i="6"/>
  <c r="AF25" i="6"/>
  <c r="X25" i="6"/>
  <c r="P19" i="6"/>
  <c r="AJ25" i="6"/>
  <c r="AJ19" i="6"/>
  <c r="AL25" i="6"/>
  <c r="V19" i="6"/>
  <c r="J25" i="6"/>
  <c r="L25" i="6"/>
  <c r="Z25" i="6"/>
  <c r="J19" i="6"/>
  <c r="AH19" i="6"/>
  <c r="Z19" i="6"/>
  <c r="V25" i="6"/>
  <c r="AD25" i="6"/>
  <c r="T25" i="6"/>
  <c r="N19" i="6"/>
  <c r="L19" i="6"/>
  <c r="H11" i="6"/>
  <c r="AJ27" i="6"/>
  <c r="AL27" i="6"/>
  <c r="T27" i="6"/>
  <c r="AF27" i="6"/>
  <c r="V22" i="7"/>
  <c r="H11" i="7"/>
  <c r="N34" i="6"/>
  <c r="T30" i="6"/>
  <c r="Z17" i="6"/>
  <c r="AL40" i="6"/>
  <c r="N35" i="6"/>
  <c r="AD30" i="6"/>
  <c r="V30" i="6"/>
  <c r="AB22" i="7"/>
  <c r="J22" i="7"/>
  <c r="N22" i="7"/>
  <c r="Z22" i="7"/>
  <c r="AL22" i="7"/>
  <c r="P22" i="7"/>
  <c r="AF22" i="7"/>
  <c r="L22" i="7"/>
  <c r="R22" i="7"/>
  <c r="AJ22" i="7"/>
  <c r="X22" i="7"/>
  <c r="AD22" i="7"/>
  <c r="X23" i="6"/>
  <c r="AD23" i="6"/>
  <c r="AF23" i="6"/>
  <c r="P23" i="6"/>
  <c r="AH23" i="6"/>
  <c r="AJ23" i="6"/>
  <c r="X27" i="6"/>
  <c r="AD27" i="6"/>
  <c r="N27" i="6"/>
  <c r="J27" i="6"/>
  <c r="P27" i="6"/>
  <c r="P18" i="7"/>
  <c r="V18" i="7"/>
  <c r="AL18" i="7"/>
  <c r="Z18" i="7"/>
  <c r="AH18" i="7"/>
  <c r="AH14" i="7"/>
  <c r="J17" i="6"/>
  <c r="P17" i="6"/>
  <c r="X17" i="6"/>
  <c r="N14" i="6"/>
  <c r="Z30" i="6"/>
  <c r="X30" i="6"/>
  <c r="P30" i="6"/>
  <c r="N30" i="6"/>
  <c r="AJ26" i="6"/>
  <c r="L30" i="6"/>
  <c r="J30" i="6"/>
  <c r="Z26" i="6"/>
  <c r="AL30" i="6"/>
  <c r="AJ30" i="6"/>
  <c r="AH30" i="6"/>
  <c r="AF26" i="6"/>
  <c r="T18" i="7"/>
  <c r="R34" i="7"/>
  <c r="J18" i="7"/>
  <c r="T22" i="7"/>
  <c r="N18" i="7"/>
  <c r="AF18" i="7"/>
  <c r="R18" i="7"/>
  <c r="N30" i="7"/>
  <c r="X18" i="7"/>
  <c r="AD18" i="7"/>
  <c r="AJ18" i="7"/>
  <c r="L18" i="7"/>
  <c r="J34" i="7"/>
  <c r="AL13" i="7"/>
  <c r="X13" i="7"/>
  <c r="R13" i="7"/>
  <c r="L13" i="7"/>
  <c r="AJ13" i="7"/>
  <c r="V13" i="7"/>
  <c r="P13" i="7"/>
  <c r="J13" i="7"/>
  <c r="AH13" i="7"/>
  <c r="AB13" i="7"/>
  <c r="AF13" i="7"/>
  <c r="Z13" i="7"/>
  <c r="AD13" i="7"/>
  <c r="T13" i="7"/>
  <c r="N13" i="7"/>
  <c r="AL11" i="7"/>
  <c r="X11" i="7"/>
  <c r="R11" i="7"/>
  <c r="L11" i="7"/>
  <c r="AJ11" i="7"/>
  <c r="V11" i="7"/>
  <c r="P11" i="7"/>
  <c r="J11" i="7"/>
  <c r="AH11" i="7"/>
  <c r="AB11" i="7"/>
  <c r="AF11" i="7"/>
  <c r="Z11" i="7"/>
  <c r="N11" i="7"/>
  <c r="AD11" i="7"/>
  <c r="T11" i="7"/>
  <c r="T35" i="6"/>
  <c r="AL34" i="7"/>
  <c r="J30" i="7"/>
  <c r="L30" i="7"/>
  <c r="X30" i="7"/>
  <c r="Z28" i="7"/>
  <c r="AB34" i="7"/>
  <c r="V34" i="7"/>
  <c r="AB30" i="7"/>
  <c r="L28" i="7"/>
  <c r="AL30" i="7"/>
  <c r="X28" i="7"/>
  <c r="R30" i="7"/>
  <c r="P30" i="7"/>
  <c r="V30" i="7"/>
  <c r="AJ30" i="7"/>
  <c r="Z30" i="7"/>
  <c r="L34" i="7"/>
  <c r="P34" i="7"/>
  <c r="AF30" i="7"/>
  <c r="X34" i="7"/>
  <c r="AH28" i="7"/>
  <c r="AF34" i="7"/>
  <c r="N34" i="7"/>
  <c r="AD34" i="7"/>
  <c r="N28" i="7"/>
  <c r="T34" i="7"/>
  <c r="T28" i="7"/>
  <c r="R32" i="7"/>
  <c r="AD30" i="7"/>
  <c r="T30" i="7"/>
  <c r="AL28" i="7"/>
  <c r="AB28" i="7"/>
  <c r="R28" i="7"/>
  <c r="L32" i="7"/>
  <c r="T32" i="7"/>
  <c r="AB32" i="7"/>
  <c r="Z32" i="7"/>
  <c r="AF28" i="7"/>
  <c r="AF32" i="7"/>
  <c r="J28" i="7"/>
  <c r="AH32" i="7"/>
  <c r="J32" i="7"/>
  <c r="P28" i="7"/>
  <c r="X32" i="7"/>
  <c r="P32" i="7"/>
  <c r="V28" i="7"/>
  <c r="N32" i="7"/>
  <c r="V32" i="7"/>
  <c r="AJ28" i="7"/>
  <c r="AD42" i="7"/>
  <c r="AH40" i="6"/>
  <c r="P26" i="6"/>
  <c r="X35" i="6"/>
  <c r="J35" i="6"/>
  <c r="R44" i="7"/>
  <c r="AF40" i="6"/>
  <c r="L26" i="6"/>
  <c r="L44" i="7"/>
  <c r="Z44" i="7"/>
  <c r="Z40" i="6"/>
  <c r="X26" i="6"/>
  <c r="V44" i="7"/>
  <c r="T31" i="7"/>
  <c r="AL26" i="6"/>
  <c r="L35" i="6"/>
  <c r="N26" i="6"/>
  <c r="P40" i="6"/>
  <c r="L40" i="6"/>
  <c r="Z35" i="6"/>
  <c r="AJ35" i="6"/>
  <c r="V40" i="6"/>
  <c r="X40" i="6"/>
  <c r="J40" i="6"/>
  <c r="AD40" i="6"/>
  <c r="AH35" i="6"/>
  <c r="V35" i="6"/>
  <c r="P35" i="6"/>
  <c r="T40" i="6"/>
  <c r="N40" i="6"/>
  <c r="V26" i="6"/>
  <c r="AL35" i="6"/>
  <c r="AH26" i="6"/>
  <c r="AB44" i="7"/>
  <c r="AJ34" i="7"/>
  <c r="Z31" i="6"/>
  <c r="AD34" i="6"/>
  <c r="P34" i="6"/>
  <c r="AJ34" i="6"/>
  <c r="Z34" i="6"/>
  <c r="L34" i="6"/>
  <c r="AH34" i="6"/>
  <c r="AL34" i="6"/>
  <c r="J34" i="6"/>
  <c r="X34" i="6"/>
  <c r="V34" i="6"/>
  <c r="T34" i="6"/>
  <c r="B36" i="13"/>
  <c r="X26" i="7"/>
  <c r="T24" i="7"/>
  <c r="X24" i="7"/>
  <c r="L24" i="7"/>
  <c r="AH24" i="7"/>
  <c r="N24" i="7"/>
  <c r="J26" i="7"/>
  <c r="AB24" i="7"/>
  <c r="R24" i="7"/>
  <c r="AL24" i="7"/>
  <c r="Z24" i="7"/>
  <c r="AF24" i="7"/>
  <c r="J24" i="7"/>
  <c r="P24" i="7"/>
  <c r="V24" i="7"/>
  <c r="AJ24" i="7"/>
  <c r="T31" i="6"/>
  <c r="L16" i="7"/>
  <c r="AH17" i="6"/>
  <c r="AD17" i="6"/>
  <c r="L23" i="6"/>
  <c r="AD43" i="7"/>
  <c r="AJ44" i="7"/>
  <c r="AB26" i="7"/>
  <c r="T26" i="7"/>
  <c r="N42" i="7"/>
  <c r="T23" i="6"/>
  <c r="Z23" i="6"/>
  <c r="N17" i="6"/>
  <c r="T26" i="6"/>
  <c r="AD31" i="6"/>
  <c r="V26" i="7"/>
  <c r="AL32" i="7"/>
  <c r="AB42" i="7"/>
  <c r="T38" i="7"/>
  <c r="AF17" i="6"/>
  <c r="T45" i="7"/>
  <c r="Z26" i="7"/>
  <c r="X44" i="7"/>
  <c r="AF31" i="6"/>
  <c r="T17" i="6"/>
  <c r="N23" i="6"/>
  <c r="AL44" i="7"/>
  <c r="N44" i="7"/>
  <c r="X38" i="7"/>
  <c r="AD35" i="6"/>
  <c r="V17" i="6"/>
  <c r="J23" i="6"/>
  <c r="AF44" i="7"/>
  <c r="AJ17" i="6"/>
  <c r="AL23" i="6"/>
  <c r="J44" i="7"/>
  <c r="AD44" i="7"/>
  <c r="L26" i="7"/>
  <c r="P44" i="7"/>
  <c r="Z34" i="7"/>
  <c r="T44" i="7"/>
  <c r="AJ32" i="7"/>
  <c r="K15" i="39"/>
  <c r="I24" i="39"/>
  <c r="L18" i="6"/>
  <c r="AF18" i="6"/>
  <c r="AJ18" i="6"/>
  <c r="X18" i="6"/>
  <c r="Z18" i="6"/>
  <c r="V21" i="6"/>
  <c r="T21" i="6"/>
  <c r="J15" i="6"/>
  <c r="AD21" i="6"/>
  <c r="N21" i="6"/>
  <c r="AH21" i="6"/>
  <c r="P21" i="6"/>
  <c r="X21" i="6"/>
  <c r="AF21" i="6"/>
  <c r="AJ21" i="6"/>
  <c r="AL21" i="6"/>
  <c r="Z21" i="6"/>
  <c r="J21" i="6"/>
  <c r="M130" i="37"/>
  <c r="M133" i="37"/>
  <c r="M129" i="37"/>
  <c r="M142" i="37"/>
  <c r="M134" i="37"/>
  <c r="M136" i="37"/>
  <c r="M140" i="37"/>
  <c r="M135" i="37"/>
  <c r="M137" i="37"/>
  <c r="M138" i="37"/>
  <c r="M139" i="37"/>
  <c r="L128" i="37"/>
  <c r="M128" i="37"/>
  <c r="M141" i="37"/>
  <c r="M132" i="37"/>
  <c r="M131" i="37"/>
  <c r="AB20" i="7"/>
  <c r="AB16" i="7"/>
  <c r="X16" i="7"/>
  <c r="AL16" i="7"/>
  <c r="AF16" i="7"/>
  <c r="X20" i="7"/>
  <c r="P16" i="7"/>
  <c r="AD14" i="7"/>
  <c r="AJ16" i="7"/>
  <c r="J20" i="7"/>
  <c r="AC47" i="7"/>
  <c r="L20" i="7"/>
  <c r="Z20" i="7"/>
  <c r="Z14" i="7"/>
  <c r="V20" i="7"/>
  <c r="AB14" i="7"/>
  <c r="N14" i="7"/>
  <c r="J14" i="7"/>
  <c r="AH20" i="7"/>
  <c r="R20" i="7"/>
  <c r="P20" i="7"/>
  <c r="AL14" i="7"/>
  <c r="P14" i="7"/>
  <c r="X14" i="7"/>
  <c r="AD20" i="7"/>
  <c r="N20" i="7"/>
  <c r="AL20" i="7"/>
  <c r="AF20" i="7"/>
  <c r="AJ20" i="7"/>
  <c r="T14" i="7"/>
  <c r="L14" i="7"/>
  <c r="R14" i="7"/>
  <c r="AF14" i="7"/>
  <c r="B16" i="13"/>
  <c r="C16" i="13" s="1"/>
  <c r="E16" i="13" s="1"/>
  <c r="R16" i="7"/>
  <c r="Z16" i="7"/>
  <c r="V16" i="7"/>
  <c r="N16" i="7"/>
  <c r="T16" i="7"/>
  <c r="AD16" i="7"/>
  <c r="J16" i="7"/>
  <c r="AL26" i="7"/>
  <c r="P26" i="7"/>
  <c r="AF26" i="7"/>
  <c r="AD26" i="7"/>
  <c r="R26" i="7"/>
  <c r="AJ26" i="7"/>
  <c r="T23" i="7"/>
  <c r="N26" i="7"/>
  <c r="V14" i="7"/>
  <c r="AJ14" i="7"/>
  <c r="V18" i="6"/>
  <c r="AD18" i="6"/>
  <c r="J18" i="6"/>
  <c r="P18" i="6"/>
  <c r="AL18" i="6"/>
  <c r="AF15" i="6"/>
  <c r="N15" i="6"/>
  <c r="P15" i="6"/>
  <c r="T15" i="6"/>
  <c r="X15" i="6"/>
  <c r="L15" i="6"/>
  <c r="AD15" i="6"/>
  <c r="Z15" i="6"/>
  <c r="V15" i="6"/>
  <c r="AL15" i="6"/>
  <c r="AJ15" i="6"/>
  <c r="H15" i="13"/>
  <c r="T18" i="6"/>
  <c r="N18" i="6"/>
  <c r="AD27" i="7"/>
  <c r="AD23" i="7"/>
  <c r="AD19" i="7"/>
  <c r="T27" i="7"/>
  <c r="G14" i="7"/>
  <c r="AD45" i="7"/>
  <c r="N15" i="7"/>
  <c r="T19" i="7"/>
  <c r="M47" i="7"/>
  <c r="AH43" i="7"/>
  <c r="AB43" i="7"/>
  <c r="AL43" i="7"/>
  <c r="X43" i="7"/>
  <c r="R43" i="7"/>
  <c r="L43" i="7"/>
  <c r="P43" i="7"/>
  <c r="Z43" i="7"/>
  <c r="AJ43" i="7"/>
  <c r="V43" i="7"/>
  <c r="J43" i="7"/>
  <c r="AF43" i="7"/>
  <c r="AL45" i="7"/>
  <c r="X45" i="7"/>
  <c r="R45" i="7"/>
  <c r="L45" i="7"/>
  <c r="AH45" i="7"/>
  <c r="AB45" i="7"/>
  <c r="AJ45" i="7"/>
  <c r="V45" i="7"/>
  <c r="J45" i="7"/>
  <c r="AF45" i="7"/>
  <c r="P45" i="7"/>
  <c r="Z45" i="7"/>
  <c r="T43" i="7"/>
  <c r="N31" i="7"/>
  <c r="AH23" i="7"/>
  <c r="AB23" i="7"/>
  <c r="AL23" i="7"/>
  <c r="X23" i="7"/>
  <c r="R23" i="7"/>
  <c r="L23" i="7"/>
  <c r="AJ23" i="7"/>
  <c r="V23" i="7"/>
  <c r="J23" i="7"/>
  <c r="AF23" i="7"/>
  <c r="P23" i="7"/>
  <c r="Z23" i="7"/>
  <c r="N17" i="7"/>
  <c r="AL33" i="7"/>
  <c r="X33" i="7"/>
  <c r="R33" i="7"/>
  <c r="L33" i="7"/>
  <c r="AH33" i="7"/>
  <c r="AB33" i="7"/>
  <c r="P33" i="7"/>
  <c r="Z33" i="7"/>
  <c r="AJ33" i="7"/>
  <c r="V33" i="7"/>
  <c r="J33" i="7"/>
  <c r="AF33" i="7"/>
  <c r="AL29" i="7"/>
  <c r="X29" i="7"/>
  <c r="R29" i="7"/>
  <c r="L29" i="7"/>
  <c r="AH29" i="7"/>
  <c r="AB29" i="7"/>
  <c r="P29" i="7"/>
  <c r="Z29" i="7"/>
  <c r="AJ29" i="7"/>
  <c r="V29" i="7"/>
  <c r="J29" i="7"/>
  <c r="AF29" i="7"/>
  <c r="AL25" i="7"/>
  <c r="X25" i="7"/>
  <c r="R25" i="7"/>
  <c r="L25" i="7"/>
  <c r="AH25" i="7"/>
  <c r="AB25" i="7"/>
  <c r="P25" i="7"/>
  <c r="Z25" i="7"/>
  <c r="AJ25" i="7"/>
  <c r="V25" i="7"/>
  <c r="J25" i="7"/>
  <c r="AF25" i="7"/>
  <c r="G21" i="7"/>
  <c r="AL21" i="7"/>
  <c r="X21" i="7"/>
  <c r="R21" i="7"/>
  <c r="L21" i="7"/>
  <c r="AH21" i="7"/>
  <c r="AB21" i="7"/>
  <c r="P21" i="7"/>
  <c r="Z21" i="7"/>
  <c r="AJ21" i="7"/>
  <c r="V21" i="7"/>
  <c r="J21" i="7"/>
  <c r="AF21" i="7"/>
  <c r="G35" i="7"/>
  <c r="AH35" i="7"/>
  <c r="AB35" i="7"/>
  <c r="AL35" i="7"/>
  <c r="X35" i="7"/>
  <c r="R35" i="7"/>
  <c r="L35" i="7"/>
  <c r="AJ35" i="7"/>
  <c r="V35" i="7"/>
  <c r="J35" i="7"/>
  <c r="AF35" i="7"/>
  <c r="P35" i="7"/>
  <c r="Z35" i="7"/>
  <c r="T33" i="7"/>
  <c r="G28" i="7"/>
  <c r="AD21" i="7"/>
  <c r="N33" i="7"/>
  <c r="N29" i="7"/>
  <c r="N25" i="7"/>
  <c r="N21" i="7"/>
  <c r="AD35" i="7"/>
  <c r="N35" i="7"/>
  <c r="AH27" i="7"/>
  <c r="AB27" i="7"/>
  <c r="AL27" i="7"/>
  <c r="X27" i="7"/>
  <c r="R27" i="7"/>
  <c r="L27" i="7"/>
  <c r="AJ27" i="7"/>
  <c r="V27" i="7"/>
  <c r="J27" i="7"/>
  <c r="AF27" i="7"/>
  <c r="P27" i="7"/>
  <c r="Z27" i="7"/>
  <c r="T25" i="7"/>
  <c r="AH19" i="7"/>
  <c r="AB19" i="7"/>
  <c r="AL19" i="7"/>
  <c r="X19" i="7"/>
  <c r="R19" i="7"/>
  <c r="L19" i="7"/>
  <c r="AJ19" i="7"/>
  <c r="V19" i="7"/>
  <c r="J19" i="7"/>
  <c r="P19" i="7"/>
  <c r="Z19" i="7"/>
  <c r="AF19" i="7"/>
  <c r="AH15" i="7"/>
  <c r="AB15" i="7"/>
  <c r="AL15" i="7"/>
  <c r="X15" i="7"/>
  <c r="R15" i="7"/>
  <c r="L15" i="7"/>
  <c r="AJ15" i="7"/>
  <c r="Z15" i="7"/>
  <c r="V15" i="7"/>
  <c r="J15" i="7"/>
  <c r="AF15" i="7"/>
  <c r="P15" i="7"/>
  <c r="T15" i="7"/>
  <c r="AD15" i="7"/>
  <c r="AL17" i="7"/>
  <c r="X17" i="7"/>
  <c r="R17" i="7"/>
  <c r="L17" i="7"/>
  <c r="AH17" i="7"/>
  <c r="AB17" i="7"/>
  <c r="AF17" i="7"/>
  <c r="Z17" i="7"/>
  <c r="V17" i="7"/>
  <c r="J17" i="7"/>
  <c r="AJ17" i="7"/>
  <c r="P17" i="7"/>
  <c r="AH31" i="7"/>
  <c r="AB31" i="7"/>
  <c r="AL31" i="7"/>
  <c r="X31" i="7"/>
  <c r="R31" i="7"/>
  <c r="L31" i="7"/>
  <c r="AJ31" i="7"/>
  <c r="V31" i="7"/>
  <c r="J31" i="7"/>
  <c r="AF31" i="7"/>
  <c r="P31" i="7"/>
  <c r="Z31" i="7"/>
  <c r="T29" i="7"/>
  <c r="AD17" i="7"/>
  <c r="AH31" i="6"/>
  <c r="AL31" i="6"/>
  <c r="J31" i="6"/>
  <c r="L31" i="6"/>
  <c r="AJ31" i="6"/>
  <c r="X31" i="6"/>
  <c r="P31" i="6"/>
  <c r="V31" i="6"/>
  <c r="AJ16" i="6"/>
  <c r="V16" i="6"/>
  <c r="P16" i="6"/>
  <c r="J16" i="6"/>
  <c r="AH16" i="6"/>
  <c r="T16" i="6"/>
  <c r="AF16" i="6"/>
  <c r="Z16" i="6"/>
  <c r="AD16" i="6"/>
  <c r="X16" i="6"/>
  <c r="L16" i="6"/>
  <c r="AL16" i="6"/>
  <c r="G28" i="6"/>
  <c r="AJ28" i="6"/>
  <c r="V28" i="6"/>
  <c r="P28" i="6"/>
  <c r="J28" i="6"/>
  <c r="AH28" i="6"/>
  <c r="T28" i="6"/>
  <c r="AF28" i="6"/>
  <c r="Z28" i="6"/>
  <c r="AL28" i="6"/>
  <c r="X28" i="6"/>
  <c r="L28" i="6"/>
  <c r="AD28" i="6"/>
  <c r="G14" i="6"/>
  <c r="AF14" i="6"/>
  <c r="Z14" i="6"/>
  <c r="AL14" i="6"/>
  <c r="AD14" i="6"/>
  <c r="X14" i="6"/>
  <c r="AJ14" i="6"/>
  <c r="P14" i="6"/>
  <c r="J14" i="6"/>
  <c r="AH14" i="6"/>
  <c r="T14" i="6"/>
  <c r="L14" i="6"/>
  <c r="V14" i="6"/>
  <c r="AJ32" i="6"/>
  <c r="V32" i="6"/>
  <c r="P32" i="6"/>
  <c r="J32" i="6"/>
  <c r="AH32" i="6"/>
  <c r="T32" i="6"/>
  <c r="AF32" i="6"/>
  <c r="Z32" i="6"/>
  <c r="AL32" i="6"/>
  <c r="AD32" i="6"/>
  <c r="X32" i="6"/>
  <c r="L32" i="6"/>
  <c r="AL43" i="6"/>
  <c r="AD43" i="6"/>
  <c r="X43" i="6"/>
  <c r="L43" i="6"/>
  <c r="AJ43" i="6"/>
  <c r="V43" i="6"/>
  <c r="P43" i="6"/>
  <c r="J43" i="6"/>
  <c r="AH43" i="6"/>
  <c r="T43" i="6"/>
  <c r="AF43" i="6"/>
  <c r="Z43" i="6"/>
  <c r="AL29" i="6"/>
  <c r="AD29" i="6"/>
  <c r="X29" i="6"/>
  <c r="L29" i="6"/>
  <c r="AJ29" i="6"/>
  <c r="V29" i="6"/>
  <c r="P29" i="6"/>
  <c r="J29" i="6"/>
  <c r="AH29" i="6"/>
  <c r="T29" i="6"/>
  <c r="AF29" i="6"/>
  <c r="Z29" i="6"/>
  <c r="N43" i="6"/>
  <c r="AJ24" i="6"/>
  <c r="V24" i="6"/>
  <c r="P24" i="6"/>
  <c r="J24" i="6"/>
  <c r="AH24" i="6"/>
  <c r="T24" i="6"/>
  <c r="AL24" i="6"/>
  <c r="AF24" i="6"/>
  <c r="Z24" i="6"/>
  <c r="AD24" i="6"/>
  <c r="X24" i="6"/>
  <c r="L24" i="6"/>
  <c r="G35" i="6"/>
  <c r="AL33" i="6"/>
  <c r="AD33" i="6"/>
  <c r="X33" i="6"/>
  <c r="L33" i="6"/>
  <c r="AJ33" i="6"/>
  <c r="V33" i="6"/>
  <c r="P33" i="6"/>
  <c r="J33" i="6"/>
  <c r="AH33" i="6"/>
  <c r="T33" i="6"/>
  <c r="AF33" i="6"/>
  <c r="Z33" i="6"/>
  <c r="N29" i="6"/>
  <c r="N33" i="6"/>
  <c r="AJ20" i="6"/>
  <c r="V20" i="6"/>
  <c r="P20" i="6"/>
  <c r="J20" i="6"/>
  <c r="AH20" i="6"/>
  <c r="T20" i="6"/>
  <c r="AD20" i="6"/>
  <c r="X20" i="6"/>
  <c r="L20" i="6"/>
  <c r="AL20" i="6"/>
  <c r="AF20" i="6"/>
  <c r="Z20" i="6"/>
  <c r="G21" i="6"/>
  <c r="H19" i="13"/>
  <c r="D34" i="39"/>
  <c r="E34" i="39"/>
  <c r="AD38" i="6"/>
  <c r="T38" i="6"/>
  <c r="AF38" i="6"/>
  <c r="L38" i="6"/>
  <c r="AJ38" i="6"/>
  <c r="P38" i="6"/>
  <c r="X38" i="6"/>
  <c r="J38" i="6"/>
  <c r="N38" i="6"/>
  <c r="Z38" i="6"/>
  <c r="AL38" i="6"/>
  <c r="V38" i="6"/>
  <c r="AF37" i="6"/>
  <c r="Z37" i="6"/>
  <c r="AL37" i="6"/>
  <c r="AD37" i="6"/>
  <c r="X37" i="6"/>
  <c r="L37" i="6"/>
  <c r="AJ37" i="6"/>
  <c r="V37" i="6"/>
  <c r="P37" i="6"/>
  <c r="J37" i="6"/>
  <c r="AH37" i="6"/>
  <c r="T37" i="6"/>
  <c r="AJ39" i="6"/>
  <c r="V39" i="6"/>
  <c r="P39" i="6"/>
  <c r="J39" i="6"/>
  <c r="AH39" i="6"/>
  <c r="T39" i="6"/>
  <c r="AF39" i="6"/>
  <c r="Z39" i="6"/>
  <c r="AL39" i="6"/>
  <c r="AD39" i="6"/>
  <c r="X39" i="6"/>
  <c r="L39" i="6"/>
  <c r="Z38" i="7"/>
  <c r="Z42" i="7"/>
  <c r="R42" i="7"/>
  <c r="AJ42" i="7"/>
  <c r="AB38" i="7"/>
  <c r="X42" i="7"/>
  <c r="T42" i="7"/>
  <c r="AF42" i="7"/>
  <c r="AL42" i="7"/>
  <c r="V42" i="7"/>
  <c r="R38" i="7"/>
  <c r="P42" i="7"/>
  <c r="L42" i="7"/>
  <c r="J42" i="7"/>
  <c r="AJ38" i="7"/>
  <c r="AD38" i="7"/>
  <c r="P38" i="7"/>
  <c r="N38" i="7"/>
  <c r="AF38" i="7"/>
  <c r="AL38" i="7"/>
  <c r="L38" i="7"/>
  <c r="V38" i="7"/>
  <c r="J38" i="7"/>
  <c r="AJ39" i="7"/>
  <c r="V39" i="7"/>
  <c r="P39" i="7"/>
  <c r="J39" i="7"/>
  <c r="AH39" i="7"/>
  <c r="AB39" i="7"/>
  <c r="T39" i="7"/>
  <c r="AF39" i="7"/>
  <c r="Z39" i="7"/>
  <c r="AL39" i="7"/>
  <c r="AD39" i="7"/>
  <c r="X39" i="7"/>
  <c r="R39" i="7"/>
  <c r="L39" i="7"/>
  <c r="AL40" i="7"/>
  <c r="AD40" i="7"/>
  <c r="X40" i="7"/>
  <c r="R40" i="7"/>
  <c r="L40" i="7"/>
  <c r="AJ40" i="7"/>
  <c r="V40" i="7"/>
  <c r="P40" i="7"/>
  <c r="J40" i="7"/>
  <c r="AH40" i="7"/>
  <c r="AB40" i="7"/>
  <c r="T40" i="7"/>
  <c r="AF40" i="7"/>
  <c r="Z40" i="7"/>
  <c r="AF37" i="7"/>
  <c r="Z37" i="7"/>
  <c r="AL37" i="7"/>
  <c r="AD37" i="7"/>
  <c r="X37" i="7"/>
  <c r="R37" i="7"/>
  <c r="L37" i="7"/>
  <c r="AJ37" i="7"/>
  <c r="V37" i="7"/>
  <c r="P37" i="7"/>
  <c r="J37" i="7"/>
  <c r="AH37" i="7"/>
  <c r="AB37" i="7"/>
  <c r="T37" i="7"/>
  <c r="N40" i="7"/>
  <c r="C22" i="39"/>
  <c r="E22" i="39" s="1"/>
  <c r="C20" i="39"/>
  <c r="E20" i="39" s="1"/>
  <c r="C18" i="39"/>
  <c r="E18" i="39" s="1"/>
  <c r="C16" i="39"/>
  <c r="E16" i="39" s="1"/>
  <c r="D6" i="39"/>
  <c r="C23" i="39"/>
  <c r="E23" i="39" s="1"/>
  <c r="C21" i="39"/>
  <c r="E21" i="39" s="1"/>
  <c r="C19" i="39"/>
  <c r="E19" i="39" s="1"/>
  <c r="C17" i="39"/>
  <c r="E17" i="39" s="1"/>
  <c r="C15" i="39"/>
  <c r="AJ36" i="6"/>
  <c r="X36" i="6"/>
  <c r="N36" i="6"/>
  <c r="J36" i="6"/>
  <c r="AD36" i="6"/>
  <c r="Z36" i="6"/>
  <c r="T36" i="6"/>
  <c r="L36" i="6"/>
  <c r="P36" i="6"/>
  <c r="AF36" i="6"/>
  <c r="AH36" i="6"/>
  <c r="V36" i="6"/>
  <c r="J36" i="7"/>
  <c r="AD36" i="7"/>
  <c r="R36" i="7"/>
  <c r="V36" i="7"/>
  <c r="AB36" i="7"/>
  <c r="Z36" i="7"/>
  <c r="L36" i="7"/>
  <c r="P36" i="7"/>
  <c r="T36" i="7"/>
  <c r="X36" i="7"/>
  <c r="AJ36" i="7"/>
  <c r="AH36" i="7"/>
  <c r="AF36" i="7"/>
  <c r="R46" i="7"/>
  <c r="N36" i="7"/>
  <c r="E15" i="13"/>
  <c r="D8" i="13"/>
  <c r="D11" i="13"/>
  <c r="D36" i="39"/>
  <c r="D35" i="39"/>
  <c r="D33" i="39"/>
  <c r="D32" i="39"/>
  <c r="D31" i="39"/>
  <c r="D30" i="39"/>
  <c r="D29" i="39"/>
  <c r="D28" i="39"/>
  <c r="C24" i="13" l="1"/>
  <c r="E36" i="39"/>
  <c r="I15" i="13"/>
  <c r="K15" i="13" s="1"/>
  <c r="D9" i="13"/>
  <c r="B34" i="13"/>
  <c r="D34" i="13" s="1"/>
  <c r="AH46" i="6"/>
  <c r="E15" i="39"/>
  <c r="C24" i="39"/>
  <c r="P46" i="6"/>
  <c r="N46" i="6"/>
  <c r="X46" i="6"/>
  <c r="R46" i="6"/>
  <c r="V46" i="6"/>
  <c r="J46" i="6"/>
  <c r="L46" i="6"/>
  <c r="AB46" i="6"/>
  <c r="AD46" i="6"/>
  <c r="AF46" i="6"/>
  <c r="AL46" i="6"/>
  <c r="Z46" i="6"/>
  <c r="T46" i="6"/>
  <c r="AJ46" i="6"/>
  <c r="I19" i="13"/>
  <c r="K19" i="13" s="1"/>
  <c r="I23" i="13"/>
  <c r="K23" i="13" s="1"/>
  <c r="I22" i="13"/>
  <c r="K22" i="13" s="1"/>
  <c r="I21" i="13"/>
  <c r="K21" i="13" s="1"/>
  <c r="I20" i="13"/>
  <c r="K20" i="13" s="1"/>
  <c r="I17" i="13"/>
  <c r="K17" i="13" s="1"/>
  <c r="I18" i="13"/>
  <c r="K18" i="13" s="1"/>
  <c r="I16" i="13"/>
  <c r="K16" i="13" s="1"/>
  <c r="D7" i="13"/>
  <c r="J46" i="7"/>
  <c r="V46" i="7"/>
  <c r="L46" i="7"/>
  <c r="Z46" i="7"/>
  <c r="N46" i="7"/>
  <c r="AJ46" i="7"/>
  <c r="AB46" i="7"/>
  <c r="AD46" i="7"/>
  <c r="P46" i="7"/>
  <c r="AF46" i="7"/>
  <c r="T46" i="7"/>
  <c r="X46" i="7"/>
  <c r="AL46" i="7"/>
  <c r="AH46" i="7"/>
  <c r="N36" i="13"/>
  <c r="U36" i="13" s="1"/>
  <c r="E36" i="13" s="1"/>
  <c r="D36" i="13"/>
  <c r="E35" i="39"/>
  <c r="B35" i="13"/>
  <c r="E33" i="39"/>
  <c r="B33" i="13"/>
  <c r="B32" i="13"/>
  <c r="E32" i="39"/>
  <c r="E31" i="39"/>
  <c r="B31" i="13"/>
  <c r="B30" i="13"/>
  <c r="E30" i="39"/>
  <c r="D37" i="39"/>
  <c r="B29" i="13"/>
  <c r="E29" i="39"/>
  <c r="E28" i="39"/>
  <c r="B28" i="13"/>
  <c r="N34" i="13" l="1"/>
  <c r="U34" i="13" s="1"/>
  <c r="E34" i="13" s="1"/>
  <c r="P102" i="37"/>
  <c r="U102" i="37" s="1"/>
  <c r="Z102" i="37" s="1"/>
  <c r="AE102" i="37" s="1"/>
  <c r="AJ102" i="37" s="1"/>
  <c r="AO102" i="37" s="1"/>
  <c r="AT102" i="37" s="1"/>
  <c r="I24" i="13"/>
  <c r="D35" i="13"/>
  <c r="N35" i="13"/>
  <c r="U35" i="13" s="1"/>
  <c r="E35" i="13" s="1"/>
  <c r="N33" i="13"/>
  <c r="U33" i="13" s="1"/>
  <c r="E33" i="13" s="1"/>
  <c r="D33" i="13"/>
  <c r="N32" i="13"/>
  <c r="U32" i="13" s="1"/>
  <c r="E32" i="13" s="1"/>
  <c r="D32" i="13"/>
  <c r="N31" i="13"/>
  <c r="U31" i="13" s="1"/>
  <c r="E31" i="13" s="1"/>
  <c r="D31" i="13"/>
  <c r="N30" i="13"/>
  <c r="U30" i="13" s="1"/>
  <c r="E30" i="13" s="1"/>
  <c r="D30" i="13"/>
  <c r="D29" i="13"/>
  <c r="N29" i="13"/>
  <c r="U29" i="13" s="1"/>
  <c r="E29" i="13" s="1"/>
  <c r="N28" i="13"/>
  <c r="U28" i="13" s="1"/>
  <c r="E28" i="13" s="1"/>
  <c r="D28" i="13"/>
  <c r="G15" i="41" l="1"/>
  <c r="I15" i="41"/>
  <c r="K10" i="41"/>
  <c r="K15" i="41"/>
  <c r="M10" i="41"/>
  <c r="M15" i="41"/>
  <c r="K9" i="41" l="1"/>
  <c r="I14" i="41" l="1"/>
  <c r="M9" i="41"/>
  <c r="K14" i="41"/>
  <c r="G14" i="4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0000-000001000000}">
      <text>
        <r>
          <rPr>
            <sz val="10"/>
            <color rgb="FF000000"/>
            <rFont val="Arial"/>
            <family val="2"/>
            <scheme val="minor"/>
          </rPr>
          <t>@m-inoue547@family.co.jp 
工場名の記載欄があるとよいです。
収支はTFM側と相談が良いです。（企業秘密なのでどこまで開示されるか？があるので）
	-中川昇</t>
        </r>
      </text>
    </comment>
  </commentList>
</comments>
</file>

<file path=xl/sharedStrings.xml><?xml version="1.0" encoding="utf-8"?>
<sst xmlns="http://schemas.openxmlformats.org/spreadsheetml/2006/main" count="6968" uniqueCount="837">
  <si>
    <t>・・・・・・・・</t>
  </si>
  <si>
    <t>前月</t>
  </si>
  <si>
    <t>差異</t>
  </si>
  <si>
    <t>累計</t>
  </si>
  <si>
    <t>達成率</t>
  </si>
  <si>
    <t>材料費</t>
  </si>
  <si>
    <t>材料費率</t>
  </si>
  <si>
    <t>導入率</t>
  </si>
  <si>
    <t>-</t>
  </si>
  <si>
    <t>-%</t>
  </si>
  <si>
    <t>合計</t>
  </si>
  <si>
    <t>金額</t>
  </si>
  <si>
    <t>商品名</t>
  </si>
  <si>
    <t>前月比</t>
  </si>
  <si>
    <t>手巻明太子</t>
  </si>
  <si>
    <t>6/30新商品</t>
  </si>
  <si>
    <t>海老炒飯</t>
  </si>
  <si>
    <t>（９）歩留</t>
  </si>
  <si>
    <t>No.</t>
  </si>
  <si>
    <t>規格</t>
  </si>
  <si>
    <t>工廠</t>
    <phoneticPr fontId="8"/>
  </si>
  <si>
    <t>（１）收支狀況</t>
    <phoneticPr fontId="8"/>
  </si>
  <si>
    <t>當月</t>
    <phoneticPr fontId="8"/>
  </si>
  <si>
    <t>※單位：千元</t>
    <phoneticPr fontId="8"/>
  </si>
  <si>
    <t>業績金額</t>
    <phoneticPr fontId="8"/>
  </si>
  <si>
    <t>訂單數量</t>
    <phoneticPr fontId="8"/>
  </si>
  <si>
    <t>半成品報廢</t>
    <phoneticPr fontId="8"/>
  </si>
  <si>
    <t>半成品超用</t>
    <phoneticPr fontId="8"/>
  </si>
  <si>
    <t>固定產線</t>
    <phoneticPr fontId="8"/>
  </si>
  <si>
    <t>教育訓練</t>
    <phoneticPr fontId="8"/>
  </si>
  <si>
    <r>
      <rPr>
        <sz val="10"/>
        <color theme="1"/>
        <rFont val="Arial"/>
        <family val="3"/>
        <charset val="136"/>
        <scheme val="minor"/>
      </rPr>
      <t>人時生產性</t>
    </r>
    <r>
      <rPr>
        <sz val="10"/>
        <color theme="1"/>
        <rFont val="Arial"/>
        <family val="2"/>
        <scheme val="minor"/>
      </rPr>
      <t xml:space="preserve">1 </t>
    </r>
    <phoneticPr fontId="8"/>
  </si>
  <si>
    <r>
      <rPr>
        <sz val="10"/>
        <color theme="1"/>
        <rFont val="Arial"/>
        <family val="3"/>
        <charset val="136"/>
        <scheme val="minor"/>
      </rPr>
      <t>人時生產性</t>
    </r>
    <r>
      <rPr>
        <sz val="10"/>
        <color theme="1"/>
        <rFont val="Arial"/>
        <family val="2"/>
        <scheme val="minor"/>
      </rPr>
      <t>2</t>
    </r>
    <phoneticPr fontId="8"/>
  </si>
  <si>
    <t>（３）業績構成比</t>
    <phoneticPr fontId="8"/>
  </si>
  <si>
    <t>（４）訂單數量構成比</t>
    <phoneticPr fontId="8"/>
  </si>
  <si>
    <t>飯糰</t>
    <phoneticPr fontId="8"/>
  </si>
  <si>
    <t>大口飯糰</t>
    <phoneticPr fontId="8"/>
  </si>
  <si>
    <t>便當</t>
    <phoneticPr fontId="8"/>
  </si>
  <si>
    <t>調理麵包</t>
    <phoneticPr fontId="8"/>
  </si>
  <si>
    <t>袋裝調理麵包</t>
    <phoneticPr fontId="8"/>
  </si>
  <si>
    <t>義大利麵</t>
    <phoneticPr fontId="8"/>
  </si>
  <si>
    <t>調理包</t>
    <phoneticPr fontId="8"/>
  </si>
  <si>
    <t>比例</t>
    <phoneticPr fontId="8"/>
  </si>
  <si>
    <t>作業原因</t>
    <phoneticPr fontId="8"/>
  </si>
  <si>
    <t>規格原因</t>
    <phoneticPr fontId="8"/>
  </si>
  <si>
    <t>調理麵</t>
    <phoneticPr fontId="8"/>
  </si>
  <si>
    <t>（６）人時生產性前幾名品項</t>
    <phoneticPr fontId="8"/>
  </si>
  <si>
    <t>人數</t>
    <phoneticPr fontId="8"/>
  </si>
  <si>
    <t>排名</t>
    <phoneticPr fontId="8"/>
  </si>
  <si>
    <t>產能</t>
    <phoneticPr fontId="8"/>
  </si>
  <si>
    <t>人時生產性</t>
    <phoneticPr fontId="8"/>
  </si>
  <si>
    <t>主要原因&amp;對策</t>
  </si>
  <si>
    <t>主要原因&amp;對策</t>
    <phoneticPr fontId="8"/>
  </si>
  <si>
    <t>（８）報廢原因別前幾名品項</t>
    <phoneticPr fontId="8"/>
  </si>
  <si>
    <t>半成品名</t>
    <phoneticPr fontId="8"/>
  </si>
  <si>
    <t>單價</t>
    <phoneticPr fontId="8"/>
  </si>
  <si>
    <t>報廢率</t>
    <phoneticPr fontId="8"/>
  </si>
  <si>
    <t>數量</t>
    <phoneticPr fontId="8"/>
  </si>
  <si>
    <t>實績</t>
    <phoneticPr fontId="8"/>
  </si>
  <si>
    <t>前幾名合計比例</t>
    <phoneticPr fontId="8"/>
  </si>
  <si>
    <t>前幾名合計金額</t>
    <phoneticPr fontId="8"/>
  </si>
  <si>
    <t>※補充</t>
    <phoneticPr fontId="8"/>
  </si>
  <si>
    <r>
      <rPr>
        <sz val="11"/>
        <color theme="1"/>
        <rFont val="Arial"/>
        <family val="3"/>
        <charset val="136"/>
        <scheme val="minor"/>
      </rPr>
      <t>個／</t>
    </r>
    <r>
      <rPr>
        <sz val="11"/>
        <color theme="1"/>
        <rFont val="Arial"/>
        <family val="2"/>
        <scheme val="minor"/>
      </rPr>
      <t>MH</t>
    </r>
    <phoneticPr fontId="8"/>
  </si>
  <si>
    <t>實施率</t>
    <phoneticPr fontId="8"/>
  </si>
  <si>
    <t>（５）品群別人時生產性</t>
    <phoneticPr fontId="8"/>
  </si>
  <si>
    <t>勞務成本</t>
    <phoneticPr fontId="8"/>
  </si>
  <si>
    <t>勞務費率</t>
    <phoneticPr fontId="8"/>
  </si>
  <si>
    <t>比例</t>
    <phoneticPr fontId="8"/>
  </si>
  <si>
    <t>前月</t>
    <phoneticPr fontId="8"/>
  </si>
  <si>
    <t>差異</t>
    <phoneticPr fontId="8"/>
  </si>
  <si>
    <t>KPI</t>
    <phoneticPr fontId="8"/>
  </si>
  <si>
    <t>當月</t>
    <phoneticPr fontId="8"/>
  </si>
  <si>
    <t>（２）ＫＰＩ達成進度</t>
    <phoneticPr fontId="8"/>
  </si>
  <si>
    <t>（７）原因別分析</t>
    <phoneticPr fontId="8"/>
  </si>
  <si>
    <t>月別</t>
    <phoneticPr fontId="8"/>
  </si>
  <si>
    <t>工廠名</t>
    <phoneticPr fontId="8"/>
  </si>
  <si>
    <t>手巻卵黄雞絞肉</t>
    <phoneticPr fontId="8"/>
  </si>
  <si>
    <t>減少暫時停止生產,人時UP</t>
    <phoneticPr fontId="8"/>
  </si>
  <si>
    <t>因組裝2食材,人員增加,產速減少</t>
    <phoneticPr fontId="8"/>
  </si>
  <si>
    <t>透由調整速度提升。</t>
    <phoneticPr fontId="8"/>
  </si>
  <si>
    <t>直巻明太子美奶茲</t>
    <phoneticPr fontId="8"/>
  </si>
  <si>
    <t>大口飯糰燒肉美奶滋</t>
    <phoneticPr fontId="8"/>
  </si>
  <si>
    <t>因摺疊增員。實施教育訓練。</t>
    <phoneticPr fontId="8"/>
  </si>
  <si>
    <t>明太子海苔便當</t>
    <phoneticPr fontId="8"/>
  </si>
  <si>
    <t>指導鋪開炒柴魚片</t>
    <phoneticPr fontId="8"/>
  </si>
  <si>
    <t>肉狀態不良，已連動開發</t>
    <phoneticPr fontId="8"/>
  </si>
  <si>
    <t>油炸白身魚</t>
    <phoneticPr fontId="8"/>
  </si>
  <si>
    <t>油調過多報廢。變更條件。</t>
    <phoneticPr fontId="8"/>
  </si>
  <si>
    <t>川燙蝦子拌醬</t>
    <phoneticPr fontId="8"/>
  </si>
  <si>
    <t>蝦子入數不足</t>
    <phoneticPr fontId="8"/>
  </si>
  <si>
    <t>特製醬汁炙燒牛五花便當</t>
    <phoneticPr fontId="8"/>
  </si>
  <si>
    <t>牛五花醬汁</t>
    <phoneticPr fontId="8"/>
  </si>
  <si>
    <t>難度有差異。調理指導。</t>
    <phoneticPr fontId="8"/>
  </si>
  <si>
    <t>因原料變更。</t>
    <phoneticPr fontId="8"/>
  </si>
  <si>
    <t>牛五花燒成</t>
    <phoneticPr fontId="8"/>
  </si>
  <si>
    <t>大口飯糰三種起司午餐肉</t>
    <phoneticPr fontId="8"/>
  </si>
  <si>
    <t>３種起司燒成</t>
    <phoneticPr fontId="8"/>
  </si>
  <si>
    <t>與燒成範本不同。</t>
    <phoneticPr fontId="8"/>
  </si>
  <si>
    <t>燒成過多，調整調理條件。</t>
    <phoneticPr fontId="8"/>
  </si>
  <si>
    <t>超用率</t>
    <phoneticPr fontId="8"/>
  </si>
  <si>
    <r>
      <rPr>
        <sz val="10"/>
        <color theme="1"/>
        <rFont val="Arial"/>
        <family val="3"/>
        <charset val="136"/>
        <scheme val="minor"/>
      </rPr>
      <t>▼</t>
    </r>
    <r>
      <rPr>
        <sz val="10"/>
        <color theme="1"/>
        <rFont val="Arial"/>
        <family val="2"/>
        <scheme val="minor"/>
      </rPr>
      <t>4</t>
    </r>
    <phoneticPr fontId="8"/>
  </si>
  <si>
    <r>
      <rPr>
        <sz val="10"/>
        <color theme="1"/>
        <rFont val="Arial"/>
        <family val="3"/>
        <charset val="136"/>
        <scheme val="minor"/>
      </rPr>
      <t>▼</t>
    </r>
    <r>
      <rPr>
        <sz val="10"/>
        <color theme="1"/>
        <rFont val="Arial"/>
        <family val="2"/>
        <scheme val="minor"/>
      </rPr>
      <t>3</t>
    </r>
    <phoneticPr fontId="8"/>
  </si>
  <si>
    <r>
      <rPr>
        <sz val="10"/>
        <color theme="1"/>
        <rFont val="Arial"/>
        <family val="3"/>
        <charset val="136"/>
        <scheme val="minor"/>
      </rPr>
      <t>▼</t>
    </r>
    <r>
      <rPr>
        <sz val="10"/>
        <color theme="1"/>
        <rFont val="Arial"/>
        <family val="2"/>
        <scheme val="minor"/>
      </rPr>
      <t>1</t>
    </r>
    <phoneticPr fontId="8"/>
  </si>
  <si>
    <r>
      <rPr>
        <sz val="10"/>
        <color theme="1"/>
        <rFont val="Arial"/>
        <family val="3"/>
        <charset val="136"/>
        <scheme val="minor"/>
      </rPr>
      <t>▼</t>
    </r>
    <r>
      <rPr>
        <sz val="10"/>
        <color theme="1"/>
        <rFont val="Arial"/>
        <family val="2"/>
        <scheme val="minor"/>
      </rPr>
      <t>2</t>
    </r>
    <phoneticPr fontId="8"/>
  </si>
  <si>
    <r>
      <rPr>
        <sz val="10"/>
        <color theme="1"/>
        <rFont val="Arial"/>
        <family val="3"/>
        <charset val="136"/>
        <scheme val="minor"/>
      </rPr>
      <t>▼</t>
    </r>
    <r>
      <rPr>
        <sz val="10"/>
        <color theme="1"/>
        <rFont val="Arial"/>
        <family val="2"/>
        <scheme val="minor"/>
      </rPr>
      <t>5</t>
    </r>
    <phoneticPr fontId="8"/>
  </si>
  <si>
    <t>超用率</t>
    <phoneticPr fontId="8"/>
  </si>
  <si>
    <t>日期</t>
    <phoneticPr fontId="11" type="noConversion"/>
  </si>
  <si>
    <t xml:space="preserve">半成品超用(%) </t>
  </si>
  <si>
    <t xml:space="preserve">人時生產性(個/人) </t>
  </si>
  <si>
    <t xml:space="preserve">人時生產性達成率(%) </t>
  </si>
  <si>
    <t>固定產線-導入率(固定產線數/總產線數)</t>
  </si>
  <si>
    <t>教育訓練-實施率(進度/計畫)</t>
  </si>
  <si>
    <t>品類業績</t>
    <phoneticPr fontId="11" type="noConversion"/>
  </si>
  <si>
    <t>業績(元)</t>
    <phoneticPr fontId="11" type="noConversion"/>
  </si>
  <si>
    <t>比例(%)</t>
    <phoneticPr fontId="11" type="noConversion"/>
  </si>
  <si>
    <t>三</t>
    <phoneticPr fontId="11" type="noConversion"/>
  </si>
  <si>
    <t>日</t>
    <phoneticPr fontId="11" type="noConversion"/>
  </si>
  <si>
    <r>
      <t>月</t>
    </r>
    <r>
      <rPr>
        <sz val="11"/>
        <color rgb="FF000000"/>
        <rFont val="Arial"/>
        <family val="3"/>
        <charset val="136"/>
      </rPr>
      <t>份</t>
    </r>
    <phoneticPr fontId="11" type="noConversion"/>
  </si>
  <si>
    <t>週累積</t>
    <phoneticPr fontId="11" type="noConversion"/>
  </si>
  <si>
    <t>月累積</t>
    <phoneticPr fontId="11" type="noConversion"/>
  </si>
  <si>
    <t>訂單數量(個)</t>
    <phoneticPr fontId="11" type="noConversion"/>
  </si>
  <si>
    <t>材料費(元)</t>
    <phoneticPr fontId="11" type="noConversion"/>
  </si>
  <si>
    <r>
      <t>（１）收支</t>
    </r>
    <r>
      <rPr>
        <b/>
        <sz val="22"/>
        <color rgb="FF000000"/>
        <rFont val="細明體"/>
        <family val="3"/>
        <charset val="136"/>
      </rPr>
      <t>狀</t>
    </r>
    <r>
      <rPr>
        <b/>
        <sz val="22"/>
        <color rgb="FF000000"/>
        <rFont val="Meiryo UI"/>
        <family val="2"/>
      </rPr>
      <t>況</t>
    </r>
    <phoneticPr fontId="11" type="noConversion"/>
  </si>
  <si>
    <t>材料費率（材料費／營業額）</t>
    <phoneticPr fontId="11" type="noConversion"/>
  </si>
  <si>
    <t>勞務成本（全廠人事成本）</t>
    <phoneticPr fontId="11" type="noConversion"/>
  </si>
  <si>
    <t>勞務費率（勞務成本／營業額）</t>
    <phoneticPr fontId="11" type="noConversion"/>
  </si>
  <si>
    <t>（２）ＫＰＩ達成進度</t>
    <phoneticPr fontId="8"/>
  </si>
  <si>
    <t>（２）ＫＰＩ達成進度</t>
    <phoneticPr fontId="11" type="noConversion"/>
  </si>
  <si>
    <t>週平均</t>
    <phoneticPr fontId="11" type="noConversion"/>
  </si>
  <si>
    <t>月平均</t>
    <phoneticPr fontId="11" type="noConversion"/>
  </si>
  <si>
    <t>一配</t>
    <phoneticPr fontId="11" type="noConversion"/>
  </si>
  <si>
    <t>二配</t>
    <phoneticPr fontId="11" type="noConversion"/>
  </si>
  <si>
    <t>便當</t>
  </si>
  <si>
    <t>便當</t>
    <phoneticPr fontId="11" type="noConversion"/>
  </si>
  <si>
    <t>主食</t>
  </si>
  <si>
    <t>主食</t>
    <phoneticPr fontId="11" type="noConversion"/>
  </si>
  <si>
    <t>熱食義麵</t>
  </si>
  <si>
    <t>季節調理麵</t>
  </si>
  <si>
    <t>微波小吃</t>
  </si>
  <si>
    <t>微波小吃</t>
    <phoneticPr fontId="11" type="noConversion"/>
  </si>
  <si>
    <r>
      <t>月</t>
    </r>
    <r>
      <rPr>
        <sz val="12"/>
        <color rgb="FF000000"/>
        <rFont val="Arial"/>
        <family val="3"/>
        <charset val="136"/>
      </rPr>
      <t>份</t>
    </r>
    <phoneticPr fontId="11" type="noConversion"/>
  </si>
  <si>
    <r>
      <t>18℃</t>
    </r>
    <r>
      <rPr>
        <b/>
        <sz val="11.9"/>
        <color rgb="FF000000"/>
        <rFont val="Meiryo UI"/>
        <family val="2"/>
      </rPr>
      <t>-</t>
    </r>
    <r>
      <rPr>
        <b/>
        <sz val="14"/>
        <color rgb="FF000000"/>
        <rFont val="Meiryo UI"/>
        <family val="2"/>
      </rPr>
      <t>飯</t>
    </r>
    <r>
      <rPr>
        <b/>
        <sz val="14"/>
        <color rgb="FF000000"/>
        <rFont val="細明體"/>
        <family val="3"/>
        <charset val="136"/>
      </rPr>
      <t>糰</t>
    </r>
    <phoneticPr fontId="11" type="noConversion"/>
  </si>
  <si>
    <r>
      <t>18℃</t>
    </r>
    <r>
      <rPr>
        <b/>
        <sz val="11.9"/>
        <color rgb="FF000000"/>
        <rFont val="Meiryo UI"/>
        <family val="2"/>
      </rPr>
      <t>-壽司手卷</t>
    </r>
    <phoneticPr fontId="11" type="noConversion"/>
  </si>
  <si>
    <r>
      <t>4℃</t>
    </r>
    <r>
      <rPr>
        <b/>
        <sz val="11.9"/>
        <color rgb="FF000000"/>
        <rFont val="Meiryo UI"/>
        <family val="2"/>
      </rPr>
      <t>-</t>
    </r>
    <r>
      <rPr>
        <b/>
        <sz val="14"/>
        <color rgb="FF000000"/>
        <rFont val="Meiryo UI"/>
        <family val="2"/>
      </rPr>
      <t>飯</t>
    </r>
    <r>
      <rPr>
        <b/>
        <sz val="14"/>
        <color rgb="FF000000"/>
        <rFont val="細明體"/>
        <family val="3"/>
        <charset val="136"/>
      </rPr>
      <t>糰</t>
    </r>
    <phoneticPr fontId="11" type="noConversion"/>
  </si>
  <si>
    <r>
      <t>4℃</t>
    </r>
    <r>
      <rPr>
        <b/>
        <sz val="11.9"/>
        <color rgb="FF000000"/>
        <rFont val="Meiryo UI"/>
        <family val="2"/>
      </rPr>
      <t>-</t>
    </r>
    <r>
      <rPr>
        <b/>
        <sz val="14"/>
        <color rgb="FF000000"/>
        <rFont val="Meiryo UI"/>
        <family val="2"/>
      </rPr>
      <t>壽司手卷</t>
    </r>
    <phoneticPr fontId="11" type="noConversion"/>
  </si>
  <si>
    <r>
      <t>熱食義</t>
    </r>
    <r>
      <rPr>
        <b/>
        <sz val="14"/>
        <color rgb="FF000000"/>
        <rFont val="細明體"/>
        <family val="3"/>
        <charset val="136"/>
      </rPr>
      <t>麵</t>
    </r>
    <phoneticPr fontId="11" type="noConversion"/>
  </si>
  <si>
    <r>
      <t>季節調理</t>
    </r>
    <r>
      <rPr>
        <b/>
        <sz val="14"/>
        <color rgb="FF000000"/>
        <rFont val="細明體"/>
        <family val="3"/>
        <charset val="136"/>
      </rPr>
      <t>麵</t>
    </r>
    <phoneticPr fontId="11" type="noConversion"/>
  </si>
  <si>
    <t>合計</t>
    <phoneticPr fontId="11" type="noConversion"/>
  </si>
  <si>
    <t>（４）訂單數量構成比</t>
    <phoneticPr fontId="8"/>
  </si>
  <si>
    <t>訂單量</t>
    <phoneticPr fontId="11" type="noConversion"/>
  </si>
  <si>
    <t>訂單數</t>
    <phoneticPr fontId="11" type="noConversion"/>
  </si>
  <si>
    <t>18℃-飯糰</t>
  </si>
  <si>
    <t>18℃-壽司手卷</t>
  </si>
  <si>
    <t>4℃-飯糰</t>
  </si>
  <si>
    <t>4℃-壽司手卷</t>
  </si>
  <si>
    <t>品群</t>
    <phoneticPr fontId="11" type="noConversion"/>
  </si>
  <si>
    <t>資料繳交</t>
    <phoneticPr fontId="11" type="noConversion"/>
  </si>
  <si>
    <t>五</t>
    <phoneticPr fontId="11" type="noConversion"/>
  </si>
  <si>
    <t>二</t>
    <phoneticPr fontId="11" type="noConversion"/>
  </si>
  <si>
    <t>四</t>
    <phoneticPr fontId="11" type="noConversion"/>
  </si>
  <si>
    <t>六</t>
    <phoneticPr fontId="11" type="noConversion"/>
  </si>
  <si>
    <t>一</t>
    <phoneticPr fontId="11" type="noConversion"/>
  </si>
  <si>
    <t>產線配置圖－每週更新</t>
    <phoneticPr fontId="11" type="noConversion"/>
  </si>
  <si>
    <t>製程不穩</t>
    <phoneticPr fontId="8"/>
  </si>
  <si>
    <t>研發設定</t>
    <phoneticPr fontId="8"/>
  </si>
  <si>
    <t>報廢</t>
  </si>
  <si>
    <t>排序</t>
  </si>
  <si>
    <t>明細展開</t>
  </si>
  <si>
    <t>類別</t>
  </si>
  <si>
    <t>備註-商品名稱</t>
  </si>
  <si>
    <t>半成品</t>
  </si>
  <si>
    <t>組合端</t>
  </si>
  <si>
    <t>名稱</t>
  </si>
  <si>
    <t>超用</t>
  </si>
  <si>
    <t>訂單需求
(kg)</t>
  </si>
  <si>
    <t>補單
(kg)</t>
  </si>
  <si>
    <t>單價
(元)</t>
  </si>
  <si>
    <t>差異
(元)</t>
  </si>
  <si>
    <t>kg</t>
  </si>
  <si>
    <t>占比</t>
  </si>
  <si>
    <t>金額
(元)</t>
  </si>
  <si>
    <r>
      <t>生</t>
    </r>
    <r>
      <rPr>
        <sz val="12"/>
        <color theme="1"/>
        <rFont val="微軟正黑體"/>
        <family val="2"/>
        <charset val="136"/>
      </rPr>
      <t>產</t>
    </r>
    <r>
      <rPr>
        <sz val="12"/>
        <color theme="1"/>
        <rFont val="Meiryo UI"/>
        <family val="2"/>
      </rPr>
      <t>資訊</t>
    </r>
  </si>
  <si>
    <r>
      <t>生</t>
    </r>
    <r>
      <rPr>
        <sz val="12"/>
        <color theme="1"/>
        <rFont val="微軟正黑體"/>
        <family val="2"/>
        <charset val="136"/>
      </rPr>
      <t>產</t>
    </r>
    <r>
      <rPr>
        <sz val="12"/>
        <color theme="1"/>
        <rFont val="Meiryo UI"/>
        <family val="2"/>
      </rPr>
      <t>端</t>
    </r>
  </si>
  <si>
    <r>
      <rPr>
        <sz val="12"/>
        <rFont val="微軟正黑體"/>
        <family val="2"/>
        <charset val="136"/>
      </rPr>
      <t>產</t>
    </r>
    <r>
      <rPr>
        <sz val="12"/>
        <rFont val="Meiryo UI"/>
        <family val="2"/>
      </rPr>
      <t>出量</t>
    </r>
  </si>
  <si>
    <r>
      <t>實際生</t>
    </r>
    <r>
      <rPr>
        <sz val="12"/>
        <color theme="1"/>
        <rFont val="微軟正黑體"/>
        <family val="2"/>
        <charset val="136"/>
      </rPr>
      <t xml:space="preserve">產
</t>
    </r>
    <r>
      <rPr>
        <sz val="12"/>
        <color theme="1"/>
        <rFont val="Meiryo UI"/>
        <family val="2"/>
      </rPr>
      <t>(對比訂單需求)</t>
    </r>
  </si>
  <si>
    <t>品群</t>
    <phoneticPr fontId="8"/>
  </si>
  <si>
    <t>品群</t>
    <phoneticPr fontId="8"/>
  </si>
  <si>
    <t>原物料規格</t>
    <phoneticPr fontId="8"/>
  </si>
  <si>
    <t>其他原因</t>
    <phoneticPr fontId="8"/>
  </si>
  <si>
    <t>類型</t>
    <phoneticPr fontId="11" type="noConversion"/>
  </si>
  <si>
    <t>作業原因</t>
    <phoneticPr fontId="8"/>
  </si>
  <si>
    <t>類型</t>
    <phoneticPr fontId="11" type="noConversion"/>
  </si>
  <si>
    <t>原料原因</t>
    <phoneticPr fontId="8"/>
  </si>
  <si>
    <t>個／MH</t>
    <phoneticPr fontId="8"/>
  </si>
  <si>
    <r>
      <t>（１）收支</t>
    </r>
    <r>
      <rPr>
        <b/>
        <sz val="12"/>
        <color theme="1"/>
        <rFont val="Arial"/>
        <family val="3"/>
        <charset val="136"/>
      </rPr>
      <t>狀</t>
    </r>
    <r>
      <rPr>
        <b/>
        <sz val="12"/>
        <color theme="1"/>
        <rFont val="Meiryo UI"/>
        <family val="2"/>
      </rPr>
      <t>況</t>
    </r>
    <phoneticPr fontId="8"/>
  </si>
  <si>
    <r>
      <t>（５）品群別人時生</t>
    </r>
    <r>
      <rPr>
        <b/>
        <sz val="12"/>
        <color theme="1"/>
        <rFont val="Arial"/>
        <family val="3"/>
        <charset val="136"/>
      </rPr>
      <t>產</t>
    </r>
    <r>
      <rPr>
        <b/>
        <sz val="12"/>
        <color theme="1"/>
        <rFont val="Meiryo UI"/>
        <family val="2"/>
      </rPr>
      <t>性</t>
    </r>
    <phoneticPr fontId="8"/>
  </si>
  <si>
    <t>項目</t>
    <phoneticPr fontId="11" type="noConversion"/>
  </si>
  <si>
    <r>
      <t>人時性(</t>
    </r>
    <r>
      <rPr>
        <sz val="10"/>
        <color theme="1"/>
        <rFont val="細明體"/>
        <family val="3"/>
        <charset val="136"/>
      </rPr>
      <t>個</t>
    </r>
    <r>
      <rPr>
        <sz val="10"/>
        <color theme="1"/>
        <rFont val="Meiryo UI"/>
        <family val="2"/>
      </rPr>
      <t>/</t>
    </r>
    <r>
      <rPr>
        <sz val="10"/>
        <color theme="1"/>
        <rFont val="細明體"/>
        <family val="3"/>
        <charset val="136"/>
      </rPr>
      <t>月均)</t>
    </r>
    <r>
      <rPr>
        <sz val="10"/>
        <color theme="1"/>
        <rFont val="Meiryo UI"/>
        <family val="2"/>
      </rPr>
      <t xml:space="preserve"> </t>
    </r>
    <phoneticPr fontId="8"/>
  </si>
  <si>
    <r>
      <t>人時</t>
    </r>
    <r>
      <rPr>
        <sz val="10"/>
        <color theme="1"/>
        <rFont val="細明體"/>
        <family val="3"/>
        <charset val="136"/>
      </rPr>
      <t>達成率</t>
    </r>
    <r>
      <rPr>
        <sz val="10"/>
        <color theme="1"/>
        <rFont val="Meiryo UI"/>
        <family val="2"/>
      </rPr>
      <t>(%/</t>
    </r>
    <r>
      <rPr>
        <sz val="10"/>
        <color theme="1"/>
        <rFont val="細明體"/>
        <family val="3"/>
        <charset val="136"/>
      </rPr>
      <t>月均)</t>
    </r>
    <r>
      <rPr>
        <sz val="10"/>
        <color theme="1"/>
        <rFont val="Meiryo UI"/>
        <family val="2"/>
      </rPr>
      <t xml:space="preserve"> </t>
    </r>
    <phoneticPr fontId="8"/>
  </si>
  <si>
    <t>半成品-報廢(%)</t>
    <phoneticPr fontId="8"/>
  </si>
  <si>
    <t>半成品-超用(%)</t>
    <phoneticPr fontId="8"/>
  </si>
  <si>
    <r>
      <t>固定</t>
    </r>
    <r>
      <rPr>
        <sz val="10"/>
        <color theme="1"/>
        <rFont val="細明體"/>
        <family val="3"/>
        <charset val="136"/>
      </rPr>
      <t>產</t>
    </r>
    <r>
      <rPr>
        <sz val="10"/>
        <color theme="1"/>
        <rFont val="Meiryo UI"/>
        <family val="2"/>
      </rPr>
      <t>線-</t>
    </r>
    <r>
      <rPr>
        <sz val="10"/>
        <color theme="1"/>
        <rFont val="細明體"/>
        <family val="3"/>
        <charset val="136"/>
      </rPr>
      <t>導入率(%)</t>
    </r>
    <phoneticPr fontId="8"/>
  </si>
  <si>
    <r>
      <t>教育訓練-</t>
    </r>
    <r>
      <rPr>
        <sz val="10"/>
        <color theme="1"/>
        <rFont val="細明體"/>
        <family val="3"/>
        <charset val="136"/>
      </rPr>
      <t>實施率(%)</t>
    </r>
    <phoneticPr fontId="8"/>
  </si>
  <si>
    <r>
      <t>生</t>
    </r>
    <r>
      <rPr>
        <b/>
        <sz val="20"/>
        <color rgb="FF000000"/>
        <rFont val="細明體"/>
        <family val="3"/>
        <charset val="136"/>
      </rPr>
      <t>產</t>
    </r>
    <r>
      <rPr>
        <b/>
        <sz val="20"/>
        <color rgb="FF000000"/>
        <rFont val="Meiryo UI"/>
        <family val="2"/>
      </rPr>
      <t>管理報表</t>
    </r>
    <phoneticPr fontId="11" type="noConversion"/>
  </si>
  <si>
    <r>
      <t>（６）人時生</t>
    </r>
    <r>
      <rPr>
        <b/>
        <sz val="12"/>
        <color rgb="FF000000"/>
        <rFont val="Arial"/>
        <family val="3"/>
        <charset val="136"/>
      </rPr>
      <t>產</t>
    </r>
    <r>
      <rPr>
        <b/>
        <sz val="12"/>
        <color rgb="FF000000"/>
        <rFont val="Meiryo UI"/>
        <family val="2"/>
      </rPr>
      <t>性前幾名品項</t>
    </r>
    <phoneticPr fontId="11" type="noConversion"/>
  </si>
  <si>
    <r>
      <t>18℃-飯</t>
    </r>
    <r>
      <rPr>
        <sz val="11"/>
        <color theme="1"/>
        <rFont val="Arial"/>
        <family val="2"/>
      </rPr>
      <t>糰</t>
    </r>
  </si>
  <si>
    <r>
      <t>4℃-飯</t>
    </r>
    <r>
      <rPr>
        <sz val="11"/>
        <color theme="1"/>
        <rFont val="Arial"/>
        <family val="3"/>
        <charset val="136"/>
      </rPr>
      <t>糰</t>
    </r>
  </si>
  <si>
    <r>
      <t>熱食義</t>
    </r>
    <r>
      <rPr>
        <sz val="11"/>
        <color theme="1"/>
        <rFont val="Arial"/>
        <family val="2"/>
      </rPr>
      <t>麵</t>
    </r>
  </si>
  <si>
    <r>
      <t>季節調理</t>
    </r>
    <r>
      <rPr>
        <sz val="10"/>
        <color rgb="FF000000"/>
        <rFont val="Arial"/>
        <family val="2"/>
      </rPr>
      <t>麵</t>
    </r>
  </si>
  <si>
    <t>（８）報廢原因別前幾名品項</t>
    <phoneticPr fontId="11" type="noConversion"/>
  </si>
  <si>
    <r>
      <t>調理多</t>
    </r>
    <r>
      <rPr>
        <sz val="11"/>
        <color theme="1"/>
        <rFont val="Arial"/>
        <family val="3"/>
        <charset val="136"/>
      </rPr>
      <t>產</t>
    </r>
    <phoneticPr fontId="8"/>
  </si>
  <si>
    <t>原物料規格</t>
  </si>
  <si>
    <t>研發設定</t>
  </si>
  <si>
    <r>
      <rPr>
        <sz val="11"/>
        <color theme="1"/>
        <rFont val="細明體"/>
        <family val="3"/>
        <charset val="136"/>
      </rPr>
      <t>步</t>
    </r>
    <r>
      <rPr>
        <sz val="11"/>
        <color theme="1"/>
        <rFont val="Meiryo UI"/>
        <family val="2"/>
      </rPr>
      <t>留因素</t>
    </r>
    <phoneticPr fontId="8"/>
  </si>
  <si>
    <r>
      <t>（9）</t>
    </r>
    <r>
      <rPr>
        <b/>
        <sz val="12"/>
        <color rgb="FF000000"/>
        <rFont val="細明體"/>
        <family val="3"/>
        <charset val="136"/>
      </rPr>
      <t>步</t>
    </r>
    <r>
      <rPr>
        <b/>
        <sz val="12"/>
        <color rgb="FF000000"/>
        <rFont val="Meiryo UI"/>
        <family val="2"/>
      </rPr>
      <t>留因素</t>
    </r>
    <phoneticPr fontId="11" type="noConversion"/>
  </si>
  <si>
    <r>
      <t>調理多</t>
    </r>
    <r>
      <rPr>
        <sz val="11"/>
        <color theme="1"/>
        <rFont val="Arial"/>
        <family val="3"/>
        <charset val="136"/>
      </rPr>
      <t>產</t>
    </r>
    <phoneticPr fontId="8"/>
  </si>
  <si>
    <r>
      <rPr>
        <sz val="11"/>
        <color theme="1"/>
        <rFont val="細明體"/>
        <family val="3"/>
        <charset val="136"/>
      </rPr>
      <t>步</t>
    </r>
    <r>
      <rPr>
        <sz val="11"/>
        <color theme="1"/>
        <rFont val="Meiryo UI"/>
        <family val="2"/>
      </rPr>
      <t>留因素</t>
    </r>
    <phoneticPr fontId="8"/>
  </si>
  <si>
    <r>
      <t>4℃-飯</t>
    </r>
    <r>
      <rPr>
        <sz val="10"/>
        <color theme="1"/>
        <rFont val="細明體"/>
        <family val="3"/>
        <charset val="136"/>
      </rPr>
      <t>糰</t>
    </r>
    <r>
      <rPr>
        <sz val="10"/>
        <color theme="1"/>
        <rFont val="Meiryo UI"/>
        <family val="2"/>
      </rPr>
      <t>(065)</t>
    </r>
    <phoneticPr fontId="11" type="noConversion"/>
  </si>
  <si>
    <t>4℃-壽司手卷(077)</t>
  </si>
  <si>
    <t>4℃-壽司手卷(077)</t>
    <phoneticPr fontId="11" type="noConversion"/>
  </si>
  <si>
    <t>18℃-壽司手卷(071,072,075,076)</t>
  </si>
  <si>
    <t>18℃-壽司手卷(071,072,075,076)</t>
    <phoneticPr fontId="11" type="noConversion"/>
  </si>
  <si>
    <t>主食(091,092,093,094,095)</t>
  </si>
  <si>
    <t>主食(091,092,093,094,095)</t>
    <phoneticPr fontId="11" type="noConversion"/>
  </si>
  <si>
    <t>便當(083)</t>
  </si>
  <si>
    <t>便當(083)</t>
    <phoneticPr fontId="11" type="noConversion"/>
  </si>
  <si>
    <r>
      <t>熱食義</t>
    </r>
    <r>
      <rPr>
        <sz val="10"/>
        <color theme="1"/>
        <rFont val="細明體"/>
        <family val="3"/>
        <charset val="136"/>
      </rPr>
      <t>麵</t>
    </r>
    <r>
      <rPr>
        <sz val="10"/>
        <color theme="1"/>
        <rFont val="Meiryo UI"/>
        <family val="2"/>
      </rPr>
      <t>(122,123,124,126)</t>
    </r>
    <phoneticPr fontId="11" type="noConversion"/>
  </si>
  <si>
    <r>
      <t>季節調理</t>
    </r>
    <r>
      <rPr>
        <sz val="10"/>
        <color theme="1"/>
        <rFont val="細明體"/>
        <family val="3"/>
        <charset val="136"/>
      </rPr>
      <t>麵</t>
    </r>
    <r>
      <rPr>
        <sz val="10"/>
        <color theme="1"/>
        <rFont val="Meiryo UI"/>
        <family val="2"/>
      </rPr>
      <t>(111,112)</t>
    </r>
    <phoneticPr fontId="11" type="noConversion"/>
  </si>
  <si>
    <t>微波小吃(153,154,155)</t>
  </si>
  <si>
    <t>微波小吃(153,154,155)</t>
    <phoneticPr fontId="11" type="noConversion"/>
  </si>
  <si>
    <t>4℃-飯糰(065)</t>
  </si>
  <si>
    <t>熱食義麵(122,123,124,126)</t>
  </si>
  <si>
    <t>季節調理麵(111,112)</t>
  </si>
  <si>
    <r>
      <t>生</t>
    </r>
    <r>
      <rPr>
        <b/>
        <sz val="20"/>
        <color rgb="FF000000"/>
        <rFont val="細明體"/>
        <family val="3"/>
        <charset val="136"/>
      </rPr>
      <t>產</t>
    </r>
    <r>
      <rPr>
        <b/>
        <sz val="20"/>
        <color rgb="FF000000"/>
        <rFont val="Meiryo UI"/>
        <family val="2"/>
      </rPr>
      <t>管理報表</t>
    </r>
    <phoneticPr fontId="11" type="noConversion"/>
  </si>
  <si>
    <r>
      <t>（７）</t>
    </r>
    <r>
      <rPr>
        <b/>
        <sz val="12"/>
        <color rgb="FF000000"/>
        <rFont val="Meiryo UI"/>
        <family val="2"/>
      </rPr>
      <t>原因別分析</t>
    </r>
    <phoneticPr fontId="11" type="noConversion"/>
  </si>
  <si>
    <t>業績金額</t>
    <phoneticPr fontId="11" type="noConversion"/>
  </si>
  <si>
    <t>項目</t>
    <phoneticPr fontId="11" type="noConversion"/>
  </si>
  <si>
    <r>
      <t>調理多</t>
    </r>
    <r>
      <rPr>
        <b/>
        <sz val="14"/>
        <color theme="1"/>
        <rFont val="Arial"/>
        <family val="3"/>
        <charset val="136"/>
      </rPr>
      <t>產</t>
    </r>
    <phoneticPr fontId="8"/>
  </si>
  <si>
    <t>製程不穩</t>
    <phoneticPr fontId="8"/>
  </si>
  <si>
    <t>抓樣不穩</t>
    <phoneticPr fontId="8"/>
  </si>
  <si>
    <t>比例</t>
    <phoneticPr fontId="8"/>
  </si>
  <si>
    <t>報廢</t>
    <phoneticPr fontId="8"/>
  </si>
  <si>
    <t>超用</t>
    <phoneticPr fontId="8"/>
  </si>
  <si>
    <t>原物料規格</t>
    <phoneticPr fontId="8"/>
  </si>
  <si>
    <t>研發設定</t>
    <phoneticPr fontId="8"/>
  </si>
  <si>
    <t>其他原因</t>
    <phoneticPr fontId="8"/>
  </si>
  <si>
    <r>
      <rPr>
        <b/>
        <sz val="14"/>
        <color rgb="FF000000"/>
        <rFont val="Arial"/>
        <family val="3"/>
        <charset val="136"/>
      </rPr>
      <t>步</t>
    </r>
    <r>
      <rPr>
        <b/>
        <sz val="14"/>
        <color rgb="FF000000"/>
        <rFont val="Meiryo UI"/>
        <family val="2"/>
      </rPr>
      <t>留不足</t>
    </r>
    <phoneticPr fontId="11" type="noConversion"/>
  </si>
  <si>
    <t>展開量高於１０5％</t>
    <phoneticPr fontId="8"/>
  </si>
  <si>
    <t>18℃-壽司手卷(071,072,075,076)</t>
    <phoneticPr fontId="11" type="noConversion"/>
  </si>
  <si>
    <t>鮮食品群番</t>
    <phoneticPr fontId="11" type="noConversion"/>
  </si>
  <si>
    <t>06</t>
  </si>
  <si>
    <t>飯糰</t>
  </si>
  <si>
    <t>10</t>
  </si>
  <si>
    <t>三明治</t>
  </si>
  <si>
    <t>061</t>
  </si>
  <si>
    <t>飯糰一配</t>
  </si>
  <si>
    <t>106</t>
  </si>
  <si>
    <t>三明治４度Ｃ</t>
  </si>
  <si>
    <t>063</t>
  </si>
  <si>
    <t>飯糰二配</t>
  </si>
  <si>
    <t>107</t>
  </si>
  <si>
    <t>調理麵包４度Ｃ</t>
  </si>
  <si>
    <t>065</t>
  </si>
  <si>
    <t>飯糰４度Ｃ</t>
  </si>
  <si>
    <t>11</t>
  </si>
  <si>
    <t>07</t>
  </si>
  <si>
    <t>壽司、手卷</t>
  </si>
  <si>
    <t>111</t>
  </si>
  <si>
    <t>涼麵</t>
  </si>
  <si>
    <t>071</t>
  </si>
  <si>
    <t>壽司一配</t>
  </si>
  <si>
    <t>112</t>
  </si>
  <si>
    <t>熱湯麵</t>
  </si>
  <si>
    <t>072</t>
  </si>
  <si>
    <t>手卷一配</t>
  </si>
  <si>
    <t>12</t>
  </si>
  <si>
    <t>075</t>
  </si>
  <si>
    <t>壽司二配</t>
  </si>
  <si>
    <t>122</t>
  </si>
  <si>
    <t>熱食麵</t>
  </si>
  <si>
    <t>076</t>
  </si>
  <si>
    <t>手卷２配</t>
  </si>
  <si>
    <t>123</t>
  </si>
  <si>
    <t>077</t>
  </si>
  <si>
    <t>４℃壽司手卷</t>
  </si>
  <si>
    <t>124</t>
  </si>
  <si>
    <t>義大利麵</t>
  </si>
  <si>
    <t>08</t>
  </si>
  <si>
    <t>126</t>
  </si>
  <si>
    <t>冷凍調理麵</t>
  </si>
  <si>
    <t>083</t>
  </si>
  <si>
    <t>便當４℃</t>
  </si>
  <si>
    <t>14</t>
  </si>
  <si>
    <t>沙拉</t>
  </si>
  <si>
    <t>09</t>
  </si>
  <si>
    <t>微波主食</t>
  </si>
  <si>
    <t>141</t>
  </si>
  <si>
    <t>091</t>
  </si>
  <si>
    <t>中式主食二配</t>
  </si>
  <si>
    <t>15</t>
  </si>
  <si>
    <t>小菜、微波</t>
  </si>
  <si>
    <t>092</t>
  </si>
  <si>
    <t>西式主食二配</t>
  </si>
  <si>
    <t>153</t>
  </si>
  <si>
    <t>湯品</t>
  </si>
  <si>
    <t>093</t>
  </si>
  <si>
    <t>日式主食</t>
  </si>
  <si>
    <t>154</t>
  </si>
  <si>
    <t>滷味</t>
  </si>
  <si>
    <t>094</t>
  </si>
  <si>
    <t>粥品</t>
  </si>
  <si>
    <t>155</t>
  </si>
  <si>
    <t>特色小吃</t>
  </si>
  <si>
    <t>095</t>
  </si>
  <si>
    <t>其他飯類</t>
  </si>
  <si>
    <t>品類訂單量</t>
    <phoneticPr fontId="11" type="noConversion"/>
  </si>
  <si>
    <t>（3）業績構成比</t>
    <phoneticPr fontId="11" type="noConversion"/>
  </si>
  <si>
    <t>（4）訂單數量構成比</t>
    <phoneticPr fontId="11" type="noConversion"/>
  </si>
  <si>
    <t>展開量高於１０5％</t>
    <phoneticPr fontId="8"/>
  </si>
  <si>
    <t>展開量高於１０5％</t>
    <phoneticPr fontId="8"/>
  </si>
  <si>
    <t>展開量高於１０5％</t>
    <phoneticPr fontId="8"/>
  </si>
  <si>
    <t xml:space="preserve">半成品報廢(%) </t>
    <phoneticPr fontId="11" type="noConversion"/>
  </si>
  <si>
    <t>月別</t>
    <phoneticPr fontId="8"/>
  </si>
  <si>
    <t>週別</t>
    <phoneticPr fontId="11" type="noConversion"/>
  </si>
  <si>
    <t>當週</t>
  </si>
  <si>
    <t>當週</t>
    <phoneticPr fontId="8"/>
  </si>
  <si>
    <t>前週</t>
  </si>
  <si>
    <t>前週</t>
    <phoneticPr fontId="11" type="noConversion"/>
  </si>
  <si>
    <t>前週</t>
    <phoneticPr fontId="8"/>
  </si>
  <si>
    <t>月平均人時性</t>
  </si>
  <si>
    <t>KPI</t>
    <phoneticPr fontId="11" type="noConversion"/>
  </si>
  <si>
    <t>18℃-飯糰(061,063)</t>
  </si>
  <si>
    <r>
      <t>4℃</t>
    </r>
    <r>
      <rPr>
        <b/>
        <sz val="11.9"/>
        <color rgb="FF000000"/>
        <rFont val="Meiryo UI"/>
        <family val="2"/>
      </rPr>
      <t>-</t>
    </r>
    <r>
      <rPr>
        <b/>
        <sz val="14"/>
        <color rgb="FF000000"/>
        <rFont val="Meiryo UI"/>
        <family val="2"/>
      </rPr>
      <t>飯</t>
    </r>
    <r>
      <rPr>
        <b/>
        <sz val="14"/>
        <color rgb="FF000000"/>
        <rFont val="細明體"/>
        <family val="3"/>
        <charset val="136"/>
      </rPr>
      <t>糰</t>
    </r>
    <phoneticPr fontId="11" type="noConversion"/>
  </si>
  <si>
    <t>生產課</t>
  </si>
  <si>
    <t>二配香拌海鮮醬肉絲蛋炒飯</t>
  </si>
  <si>
    <t>其他</t>
  </si>
  <si>
    <t>二配金咖哩果香甘口咖哩飯</t>
  </si>
  <si>
    <t>北海道秋鮭親子飯糰</t>
  </si>
  <si>
    <t>蒸鼎泰豐香辣醬</t>
  </si>
  <si>
    <t>香辣醬粉絲煲</t>
  </si>
  <si>
    <t>調配課</t>
  </si>
  <si>
    <t>調理多產</t>
  </si>
  <si>
    <t>共用類</t>
  </si>
  <si>
    <t>極上炙烤親子丼</t>
  </si>
  <si>
    <t>切-炙燒炭火燒肉片</t>
  </si>
  <si>
    <t>二配港式香滑嫩蛋牛肉燴飯</t>
  </si>
  <si>
    <t>營業額(元)</t>
    <phoneticPr fontId="11" type="noConversion"/>
  </si>
  <si>
    <t>營業額</t>
    <phoneticPr fontId="11" type="noConversion"/>
  </si>
  <si>
    <t>經典肉鬆飯糰</t>
  </si>
  <si>
    <t>蔬食鮪魚飯糰</t>
  </si>
  <si>
    <t>熟成紅鮭飯糰</t>
  </si>
  <si>
    <t>鮪魚飯糰</t>
  </si>
  <si>
    <t>贅沢鮭魚肚飯糰</t>
  </si>
  <si>
    <t>壹號醬炙烤牛飯糰</t>
  </si>
  <si>
    <t>明太子龍蝦風味沙拉飯糰</t>
  </si>
  <si>
    <t>鹽蔥燒肉飯糰</t>
  </si>
  <si>
    <t>雞肉飯飯糰</t>
  </si>
  <si>
    <t>碳烤燒肉飯飯糰(區)</t>
  </si>
  <si>
    <t>二配芝麻香鬆飯糰</t>
  </si>
  <si>
    <t>二配油蔥G絲飯糰</t>
  </si>
  <si>
    <t>長野稻荷壽司</t>
  </si>
  <si>
    <t>雙饗雙手卷</t>
  </si>
  <si>
    <t>海饌雙手卷</t>
  </si>
  <si>
    <t>優質池上飯</t>
  </si>
  <si>
    <t>壽喜燒牛丼</t>
  </si>
  <si>
    <t>二配粗飽系雞排炒飯</t>
  </si>
  <si>
    <t>二配哞哞培根奶香海陸焗飯</t>
  </si>
  <si>
    <t>二配黃金雞排蘑菇白醬歐姆蛋飯</t>
  </si>
  <si>
    <t>二配里肌豬排可可咖哩歐姆蛋飯</t>
  </si>
  <si>
    <t>二配香辣醬蒜味香腸蛋炒飯</t>
  </si>
  <si>
    <t>鐵板滑蛋炸豬排丼</t>
  </si>
  <si>
    <t>二配川味麻婆燒豆腐燴飯</t>
  </si>
  <si>
    <t>二配美味蟹煲</t>
  </si>
  <si>
    <t>嘉義劉里長雞肉飯</t>
  </si>
  <si>
    <t>嫩烤香料雞胸排蔬滿盒</t>
  </si>
  <si>
    <t>新招牌腿排便當</t>
  </si>
  <si>
    <t>美式雞丁餐盒</t>
  </si>
  <si>
    <t>健身G肉餐盒</t>
  </si>
  <si>
    <t>烤蛋白餐盒</t>
  </si>
  <si>
    <t>椒麻香蔥雞涼拌麵</t>
  </si>
  <si>
    <t>台式麻醬涼麵</t>
  </si>
  <si>
    <t>大滿足香辣涼麵</t>
  </si>
  <si>
    <t>大滿足麻醬涼麵</t>
  </si>
  <si>
    <t>多穀紫米飯</t>
  </si>
  <si>
    <t>糖燻豬耳絲</t>
  </si>
  <si>
    <t>韓式蒜味炸雞</t>
  </si>
  <si>
    <t>古早味炒炊粉</t>
  </si>
  <si>
    <t>麻油雞飯糰</t>
  </si>
  <si>
    <t>淡麗清酒蒸蛤蜊烤飯糰</t>
  </si>
  <si>
    <t>大口金黃薯牛堡飯糰</t>
  </si>
  <si>
    <t>大口日式塔塔醬蝦排飯糰</t>
  </si>
  <si>
    <t>大口歐風焙煎咖哩漢堡排飯糰</t>
  </si>
  <si>
    <t>大口蒜味香腸燒肉雙拼飯糰</t>
  </si>
  <si>
    <t>大口義式香草雞腿排飯糰</t>
  </si>
  <si>
    <t>晉欣廠</t>
    <phoneticPr fontId="11" type="noConversion"/>
  </si>
  <si>
    <r>
      <t>生</t>
    </r>
    <r>
      <rPr>
        <b/>
        <sz val="20"/>
        <color rgb="FF000000"/>
        <rFont val="微軟正黑體"/>
        <family val="2"/>
        <charset val="136"/>
      </rPr>
      <t>產</t>
    </r>
    <r>
      <rPr>
        <b/>
        <sz val="20"/>
        <color rgb="FF000000"/>
        <rFont val="Meiryo UI"/>
        <family val="2"/>
        <charset val="128"/>
      </rPr>
      <t>管理報表</t>
    </r>
    <phoneticPr fontId="11" type="noConversion"/>
  </si>
  <si>
    <t>累計</t>
    <phoneticPr fontId="11" type="noConversion"/>
  </si>
  <si>
    <t>製程不穩</t>
  </si>
  <si>
    <t>切烤雞胸肉</t>
  </si>
  <si>
    <t>粉絲煲湯凍</t>
  </si>
  <si>
    <t>準備課</t>
  </si>
  <si>
    <t>壹號醬雞豚雙拼</t>
  </si>
  <si>
    <t>切-究極燒肉片</t>
  </si>
  <si>
    <t>平均人時性</t>
    <phoneticPr fontId="11" type="noConversion"/>
  </si>
  <si>
    <t>排名</t>
    <phoneticPr fontId="11" type="noConversion"/>
  </si>
  <si>
    <t>實際</t>
    <phoneticPr fontId="11" type="noConversion"/>
  </si>
  <si>
    <t>生產實績</t>
    <phoneticPr fontId="11" type="noConversion"/>
  </si>
  <si>
    <t>人數</t>
    <phoneticPr fontId="11" type="noConversion"/>
  </si>
  <si>
    <t>產能／時</t>
    <phoneticPr fontId="11" type="noConversion"/>
  </si>
  <si>
    <t>人時性</t>
    <phoneticPr fontId="11" type="noConversion"/>
  </si>
  <si>
    <t>人數</t>
    <phoneticPr fontId="8"/>
  </si>
  <si>
    <r>
      <rPr>
        <sz val="10"/>
        <color theme="1"/>
        <rFont val="Arial"/>
        <family val="3"/>
        <charset val="136"/>
      </rPr>
      <t>產</t>
    </r>
    <r>
      <rPr>
        <sz val="10"/>
        <color theme="1"/>
        <rFont val="Meiryo UI"/>
        <family val="2"/>
      </rPr>
      <t>能</t>
    </r>
    <phoneticPr fontId="8"/>
  </si>
  <si>
    <r>
      <t>人時生</t>
    </r>
    <r>
      <rPr>
        <sz val="10"/>
        <color theme="1"/>
        <rFont val="Arial"/>
        <family val="3"/>
        <charset val="136"/>
      </rPr>
      <t>產</t>
    </r>
    <r>
      <rPr>
        <sz val="10"/>
        <color theme="1"/>
        <rFont val="Meiryo UI"/>
        <family val="2"/>
      </rPr>
      <t>性</t>
    </r>
    <phoneticPr fontId="8"/>
  </si>
  <si>
    <t>前週比</t>
    <phoneticPr fontId="11" type="noConversion"/>
  </si>
  <si>
    <t>主要原因&amp;對策</t>
    <phoneticPr fontId="8"/>
  </si>
  <si>
    <t>排名</t>
    <phoneticPr fontId="8"/>
  </si>
  <si>
    <t>▼1</t>
    <phoneticPr fontId="8"/>
  </si>
  <si>
    <t>▼2</t>
    <phoneticPr fontId="8"/>
  </si>
  <si>
    <t>▼3</t>
    <phoneticPr fontId="8"/>
  </si>
  <si>
    <t>▼4</t>
    <phoneticPr fontId="8"/>
  </si>
  <si>
    <t>▼5</t>
    <phoneticPr fontId="8"/>
  </si>
  <si>
    <t>燻之味-糖燻雞胗</t>
  </si>
  <si>
    <t>18切烤千層麵</t>
  </si>
  <si>
    <r>
      <t>8</t>
    </r>
    <r>
      <rPr>
        <sz val="10"/>
        <color rgb="FF000000"/>
        <rFont val="細明體"/>
        <family val="3"/>
        <charset val="136"/>
      </rPr>
      <t>月</t>
    </r>
    <phoneticPr fontId="11" type="noConversion"/>
  </si>
  <si>
    <r>
      <t>9</t>
    </r>
    <r>
      <rPr>
        <sz val="10"/>
        <color rgb="FF000000"/>
        <rFont val="細明體"/>
        <family val="3"/>
        <charset val="136"/>
      </rPr>
      <t>月</t>
    </r>
    <phoneticPr fontId="11" type="noConversion"/>
  </si>
  <si>
    <r>
      <t>10月</t>
    </r>
    <r>
      <rPr>
        <sz val="10"/>
        <color rgb="FF000000"/>
        <rFont val="細明體"/>
        <family val="3"/>
        <charset val="136"/>
      </rPr>
      <t/>
    </r>
  </si>
  <si>
    <r>
      <t>11月</t>
    </r>
    <r>
      <rPr>
        <sz val="10"/>
        <color rgb="FF000000"/>
        <rFont val="細明體"/>
        <family val="3"/>
        <charset val="136"/>
      </rPr>
      <t/>
    </r>
  </si>
  <si>
    <r>
      <t>12月</t>
    </r>
    <r>
      <rPr>
        <sz val="10"/>
        <color rgb="FF000000"/>
        <rFont val="細明體"/>
        <family val="3"/>
        <charset val="136"/>
      </rPr>
      <t/>
    </r>
  </si>
  <si>
    <t>糖燻野郎起司炙燒牛烤飯糰</t>
  </si>
  <si>
    <t>二配乳酪燻腸紅醬焗飯</t>
  </si>
  <si>
    <t>增加線上抽秤頻率</t>
  </si>
  <si>
    <r>
      <t>（５）品群別人時生</t>
    </r>
    <r>
      <rPr>
        <b/>
        <sz val="12"/>
        <color theme="1"/>
        <rFont val="細明體"/>
        <family val="3"/>
        <charset val="136"/>
      </rPr>
      <t>產</t>
    </r>
    <r>
      <rPr>
        <b/>
        <sz val="12"/>
        <color theme="1"/>
        <rFont val="Meiryo UI"/>
        <family val="2"/>
      </rPr>
      <t>性</t>
    </r>
    <phoneticPr fontId="8"/>
  </si>
  <si>
    <t>一</t>
  </si>
  <si>
    <t>二</t>
  </si>
  <si>
    <t>三</t>
  </si>
  <si>
    <t>四</t>
  </si>
  <si>
    <t>五</t>
  </si>
  <si>
    <t>六</t>
  </si>
  <si>
    <t>日</t>
  </si>
  <si>
    <r>
      <t>月</t>
    </r>
    <r>
      <rPr>
        <sz val="11"/>
        <color rgb="FFFF0000"/>
        <rFont val="細明體"/>
        <family val="3"/>
        <charset val="136"/>
      </rPr>
      <t>平均</t>
    </r>
    <phoneticPr fontId="11" type="noConversion"/>
  </si>
  <si>
    <t>照燒雞肉飯糰</t>
  </si>
  <si>
    <t>蒜泥狠台味三拼</t>
  </si>
  <si>
    <t>產線配置圖－月表</t>
    <phoneticPr fontId="11" type="noConversion"/>
  </si>
  <si>
    <t>品群</t>
    <phoneticPr fontId="11" type="noConversion"/>
  </si>
  <si>
    <t>商品名稱</t>
    <phoneticPr fontId="11" type="noConversion"/>
  </si>
  <si>
    <t>計畫</t>
    <phoneticPr fontId="11" type="noConversion"/>
  </si>
  <si>
    <t>平均人時性</t>
    <phoneticPr fontId="11" type="noConversion"/>
  </si>
  <si>
    <t>實績</t>
    <phoneticPr fontId="11" type="noConversion"/>
  </si>
  <si>
    <t>排名</t>
    <phoneticPr fontId="11" type="noConversion"/>
  </si>
  <si>
    <t>產線配置圖</t>
    <phoneticPr fontId="11" type="noConversion"/>
  </si>
  <si>
    <t>人數</t>
    <phoneticPr fontId="11" type="noConversion"/>
  </si>
  <si>
    <t>產能／時</t>
    <phoneticPr fontId="11" type="noConversion"/>
  </si>
  <si>
    <t>人時性</t>
    <phoneticPr fontId="11" type="noConversion"/>
  </si>
  <si>
    <t>微波小吃</t>
    <phoneticPr fontId="11" type="noConversion"/>
  </si>
  <si>
    <t>韓式部隊鍋</t>
  </si>
  <si>
    <t>海陸雙拼肉肉餐盒</t>
  </si>
  <si>
    <t>經典鮪魚沙拉細卷</t>
  </si>
  <si>
    <t>取樣不穩</t>
  </si>
  <si>
    <t>蔬活腿排補力餐盒</t>
  </si>
  <si>
    <t>類型</t>
    <phoneticPr fontId="11" type="noConversion"/>
  </si>
  <si>
    <t>展開量高於１０5％</t>
    <phoneticPr fontId="11" type="noConversion"/>
  </si>
  <si>
    <t>反應調配課級，追蹤三天備料狀況</t>
  </si>
  <si>
    <t>製程不穩</t>
    <phoneticPr fontId="11" type="noConversion"/>
  </si>
  <si>
    <t>二配西班牙風味海鮮燉飯</t>
  </si>
  <si>
    <t>其他原因</t>
    <phoneticPr fontId="11" type="noConversion"/>
  </si>
  <si>
    <r>
      <t>生</t>
    </r>
    <r>
      <rPr>
        <b/>
        <sz val="20"/>
        <color rgb="FF000000"/>
        <rFont val="細明體"/>
        <family val="3"/>
        <charset val="136"/>
      </rPr>
      <t>產</t>
    </r>
    <r>
      <rPr>
        <b/>
        <sz val="20"/>
        <color rgb="FF000000"/>
        <rFont val="Meiryo UI"/>
        <family val="2"/>
      </rPr>
      <t>管理報表</t>
    </r>
    <phoneticPr fontId="11" type="noConversion"/>
  </si>
  <si>
    <t>（８）超用原因別前幾名品項</t>
    <phoneticPr fontId="11" type="noConversion"/>
  </si>
  <si>
    <t>展開量高於１０5％</t>
    <phoneticPr fontId="8"/>
  </si>
  <si>
    <r>
      <t>調理多</t>
    </r>
    <r>
      <rPr>
        <sz val="11"/>
        <color theme="1"/>
        <rFont val="Arial"/>
        <family val="3"/>
        <charset val="136"/>
      </rPr>
      <t>產</t>
    </r>
    <phoneticPr fontId="8"/>
  </si>
  <si>
    <t>製程不穩</t>
    <phoneticPr fontId="8"/>
  </si>
  <si>
    <t>取樣不穩</t>
    <phoneticPr fontId="8"/>
  </si>
  <si>
    <t>原物料規格</t>
    <phoneticPr fontId="8"/>
  </si>
  <si>
    <t>研發設定</t>
    <phoneticPr fontId="8"/>
  </si>
  <si>
    <t>其他原因</t>
    <phoneticPr fontId="8"/>
  </si>
  <si>
    <r>
      <rPr>
        <sz val="11"/>
        <color theme="1"/>
        <rFont val="細明體"/>
        <family val="3"/>
        <charset val="136"/>
      </rPr>
      <t>步</t>
    </r>
    <r>
      <rPr>
        <sz val="11"/>
        <color theme="1"/>
        <rFont val="Meiryo UI"/>
        <family val="2"/>
      </rPr>
      <t>留因素</t>
    </r>
    <phoneticPr fontId="8"/>
  </si>
  <si>
    <t>原物料大小、厚薄差異</t>
  </si>
  <si>
    <r>
      <t>報廢前</t>
    </r>
    <r>
      <rPr>
        <b/>
        <sz val="16"/>
        <color rgb="FF000000"/>
        <rFont val="細明體"/>
        <family val="3"/>
        <charset val="136"/>
      </rPr>
      <t>二</t>
    </r>
    <r>
      <rPr>
        <b/>
        <sz val="16"/>
        <color rgb="FF000000"/>
        <rFont val="Meiryo UI"/>
        <family val="2"/>
        <charset val="128"/>
      </rPr>
      <t>十名紀</t>
    </r>
    <r>
      <rPr>
        <b/>
        <sz val="16"/>
        <color rgb="FF000000"/>
        <rFont val="細明體"/>
        <family val="3"/>
        <charset val="136"/>
      </rPr>
      <t>錄</t>
    </r>
    <r>
      <rPr>
        <b/>
        <sz val="16"/>
        <color rgb="FF000000"/>
        <rFont val="Meiryo UI"/>
        <family val="2"/>
      </rPr>
      <t>表</t>
    </r>
    <phoneticPr fontId="11" type="noConversion"/>
  </si>
  <si>
    <t>月別</t>
    <phoneticPr fontId="11" type="noConversion"/>
  </si>
  <si>
    <t>分析原因</t>
    <phoneticPr fontId="11" type="noConversion"/>
  </si>
  <si>
    <r>
      <t>原因</t>
    </r>
    <r>
      <rPr>
        <sz val="12"/>
        <color theme="1"/>
        <rFont val="細明體"/>
        <family val="3"/>
        <charset val="136"/>
      </rPr>
      <t>說</t>
    </r>
    <r>
      <rPr>
        <sz val="12"/>
        <color theme="1"/>
        <rFont val="Meiryo UI"/>
        <family val="2"/>
        <charset val="128"/>
      </rPr>
      <t>明</t>
    </r>
    <phoneticPr fontId="11" type="noConversion"/>
  </si>
  <si>
    <t>後續對策</t>
    <phoneticPr fontId="11" type="noConversion"/>
  </si>
  <si>
    <t>次數</t>
    <phoneticPr fontId="11" type="noConversion"/>
  </si>
  <si>
    <t>分析原因（件）</t>
    <phoneticPr fontId="11" type="noConversion"/>
  </si>
  <si>
    <t>報廢金額</t>
    <phoneticPr fontId="11" type="noConversion"/>
  </si>
  <si>
    <r>
      <t>實際</t>
    </r>
    <r>
      <rPr>
        <sz val="12"/>
        <color theme="1"/>
        <rFont val="微軟正黑體"/>
        <family val="2"/>
        <charset val="136"/>
      </rPr>
      <t>產</t>
    </r>
    <r>
      <rPr>
        <sz val="12"/>
        <color theme="1"/>
        <rFont val="Meiryo UI"/>
        <family val="2"/>
      </rPr>
      <t>出
(kg)</t>
    </r>
    <phoneticPr fontId="11" type="noConversion"/>
  </si>
  <si>
    <r>
      <t>實際</t>
    </r>
    <r>
      <rPr>
        <sz val="12"/>
        <color theme="1"/>
        <rFont val="細明體"/>
        <family val="3"/>
        <charset val="136"/>
      </rPr>
      <t>產</t>
    </r>
    <r>
      <rPr>
        <sz val="12"/>
        <color theme="1"/>
        <rFont val="Meiryo UI"/>
        <family val="2"/>
      </rPr>
      <t>出占比</t>
    </r>
    <phoneticPr fontId="11" type="noConversion"/>
  </si>
  <si>
    <t>補單占比</t>
    <phoneticPr fontId="11" type="noConversion"/>
  </si>
  <si>
    <t>總件數</t>
    <phoneticPr fontId="11" type="noConversion"/>
  </si>
  <si>
    <t>展開量高於１０5％</t>
    <phoneticPr fontId="11" type="noConversion"/>
  </si>
  <si>
    <r>
      <t>調理多</t>
    </r>
    <r>
      <rPr>
        <sz val="12"/>
        <color theme="1"/>
        <rFont val="細明體"/>
        <family val="3"/>
        <charset val="136"/>
      </rPr>
      <t>產</t>
    </r>
    <phoneticPr fontId="11" type="noConversion"/>
  </si>
  <si>
    <t>製程不穩</t>
    <phoneticPr fontId="11" type="noConversion"/>
  </si>
  <si>
    <t>取樣不穩</t>
    <phoneticPr fontId="11" type="noConversion"/>
  </si>
  <si>
    <t>原物料規格</t>
    <phoneticPr fontId="11" type="noConversion"/>
  </si>
  <si>
    <t>研發設定</t>
    <phoneticPr fontId="11" type="noConversion"/>
  </si>
  <si>
    <t>其他原因</t>
    <phoneticPr fontId="11" type="noConversion"/>
  </si>
  <si>
    <r>
      <rPr>
        <sz val="12"/>
        <color theme="1"/>
        <rFont val="細明體"/>
        <family val="3"/>
        <charset val="136"/>
      </rPr>
      <t>步</t>
    </r>
    <r>
      <rPr>
        <sz val="12"/>
        <color theme="1"/>
        <rFont val="Meiryo UI"/>
        <family val="2"/>
      </rPr>
      <t>留</t>
    </r>
    <r>
      <rPr>
        <sz val="12"/>
        <color theme="1"/>
        <rFont val="細明體"/>
        <family val="3"/>
        <charset val="136"/>
      </rPr>
      <t>因素</t>
    </r>
    <phoneticPr fontId="11" type="noConversion"/>
  </si>
  <si>
    <t>月前二十</t>
    <phoneticPr fontId="11" type="noConversion"/>
  </si>
  <si>
    <r>
      <rPr>
        <sz val="12"/>
        <color rgb="FF000000"/>
        <rFont val="細明體"/>
        <family val="3"/>
        <charset val="136"/>
      </rPr>
      <t>取樣</t>
    </r>
    <r>
      <rPr>
        <sz val="12"/>
        <color rgb="FF000000"/>
        <rFont val="Meiryo UI"/>
        <family val="2"/>
      </rPr>
      <t>不穩</t>
    </r>
    <phoneticPr fontId="11" type="noConversion"/>
  </si>
  <si>
    <t>其他原因</t>
  </si>
  <si>
    <t>步留因素</t>
    <phoneticPr fontId="11" type="noConversion"/>
  </si>
  <si>
    <t>占比</t>
    <phoneticPr fontId="11" type="noConversion"/>
  </si>
  <si>
    <t>金額</t>
    <phoneticPr fontId="11" type="noConversion"/>
  </si>
  <si>
    <r>
      <rPr>
        <b/>
        <sz val="16"/>
        <color rgb="FF000000"/>
        <rFont val="細明體"/>
        <family val="3"/>
        <charset val="136"/>
      </rPr>
      <t>超用</t>
    </r>
    <r>
      <rPr>
        <b/>
        <sz val="16"/>
        <color rgb="FF000000"/>
        <rFont val="Meiryo UI"/>
        <family val="2"/>
        <charset val="128"/>
      </rPr>
      <t>前</t>
    </r>
    <r>
      <rPr>
        <b/>
        <sz val="16"/>
        <color rgb="FF000000"/>
        <rFont val="細明體"/>
        <family val="3"/>
        <charset val="136"/>
      </rPr>
      <t>二</t>
    </r>
    <r>
      <rPr>
        <b/>
        <sz val="16"/>
        <color rgb="FF000000"/>
        <rFont val="Meiryo UI"/>
        <family val="2"/>
        <charset val="128"/>
      </rPr>
      <t>十名紀</t>
    </r>
    <r>
      <rPr>
        <b/>
        <sz val="16"/>
        <color rgb="FF000000"/>
        <rFont val="細明體"/>
        <family val="3"/>
        <charset val="136"/>
      </rPr>
      <t>錄</t>
    </r>
    <r>
      <rPr>
        <b/>
        <sz val="16"/>
        <color rgb="FF000000"/>
        <rFont val="Meiryo UI"/>
        <family val="2"/>
      </rPr>
      <t>表</t>
    </r>
    <phoneticPr fontId="11" type="noConversion"/>
  </si>
  <si>
    <t>原因說明</t>
    <phoneticPr fontId="11" type="noConversion"/>
  </si>
  <si>
    <t>次數</t>
    <phoneticPr fontId="11" type="noConversion"/>
  </si>
  <si>
    <t>分析原因（件）</t>
    <phoneticPr fontId="11" type="noConversion"/>
  </si>
  <si>
    <r>
      <t>實際</t>
    </r>
    <r>
      <rPr>
        <sz val="12"/>
        <color theme="1"/>
        <rFont val="微軟正黑體"/>
        <family val="2"/>
        <charset val="136"/>
      </rPr>
      <t>產</t>
    </r>
    <r>
      <rPr>
        <sz val="12"/>
        <color theme="1"/>
        <rFont val="Meiryo UI"/>
        <family val="2"/>
      </rPr>
      <t>出
(kg)</t>
    </r>
    <phoneticPr fontId="11" type="noConversion"/>
  </si>
  <si>
    <r>
      <t>實際</t>
    </r>
    <r>
      <rPr>
        <sz val="12"/>
        <color theme="1"/>
        <rFont val="細明體"/>
        <family val="3"/>
        <charset val="136"/>
      </rPr>
      <t>產</t>
    </r>
    <r>
      <rPr>
        <sz val="12"/>
        <color theme="1"/>
        <rFont val="Meiryo UI"/>
        <family val="2"/>
      </rPr>
      <t>出占比</t>
    </r>
    <phoneticPr fontId="11" type="noConversion"/>
  </si>
  <si>
    <t>補單占比</t>
    <phoneticPr fontId="11" type="noConversion"/>
  </si>
  <si>
    <t>總件數</t>
    <phoneticPr fontId="11" type="noConversion"/>
  </si>
  <si>
    <r>
      <t>調理多</t>
    </r>
    <r>
      <rPr>
        <sz val="12"/>
        <color theme="1"/>
        <rFont val="細明體"/>
        <family val="3"/>
        <charset val="136"/>
      </rPr>
      <t>產</t>
    </r>
    <phoneticPr fontId="11" type="noConversion"/>
  </si>
  <si>
    <t>取樣不穩</t>
    <phoneticPr fontId="11" type="noConversion"/>
  </si>
  <si>
    <t>原物料規格</t>
    <phoneticPr fontId="11" type="noConversion"/>
  </si>
  <si>
    <t>研發設定</t>
    <phoneticPr fontId="11" type="noConversion"/>
  </si>
  <si>
    <r>
      <rPr>
        <sz val="12"/>
        <color theme="1"/>
        <rFont val="細明體"/>
        <family val="3"/>
        <charset val="136"/>
      </rPr>
      <t>步</t>
    </r>
    <r>
      <rPr>
        <sz val="12"/>
        <color theme="1"/>
        <rFont val="Meiryo UI"/>
        <family val="2"/>
      </rPr>
      <t>留</t>
    </r>
    <r>
      <rPr>
        <sz val="12"/>
        <color theme="1"/>
        <rFont val="細明體"/>
        <family val="3"/>
        <charset val="136"/>
      </rPr>
      <t>因素</t>
    </r>
    <phoneticPr fontId="11" type="noConversion"/>
  </si>
  <si>
    <t>二配三杯醬爆菇菇飯糰</t>
  </si>
  <si>
    <t>壽喜燒牛五花</t>
  </si>
  <si>
    <t>油蔥雞汁飯糰(區)</t>
  </si>
  <si>
    <t>雙鬆細卷</t>
  </si>
  <si>
    <t>蕃茄起司手工千層麵(區2)</t>
  </si>
  <si>
    <t>明太子玉子脆卷</t>
  </si>
  <si>
    <r>
      <rPr>
        <sz val="12"/>
        <color theme="1"/>
        <rFont val="細明體"/>
        <family val="3"/>
        <charset val="136"/>
      </rPr>
      <t>超用</t>
    </r>
    <r>
      <rPr>
        <sz val="12"/>
        <color theme="1"/>
        <rFont val="Meiryo UI"/>
        <family val="2"/>
      </rPr>
      <t>金額</t>
    </r>
    <phoneticPr fontId="11" type="noConversion"/>
  </si>
  <si>
    <t>兩粒飯糰(鮪魚.焦糖鮭魚)</t>
  </si>
  <si>
    <t/>
  </si>
  <si>
    <t>二配泰式綠咖哩雞</t>
  </si>
  <si>
    <t>香腸腿排雙拼便當</t>
  </si>
  <si>
    <t>日式蕎麥沾麵</t>
  </si>
  <si>
    <t>日式壽喜燒</t>
  </si>
  <si>
    <t>二配泰式椰香綠咖哩醬</t>
  </si>
  <si>
    <t>晉欣廠半成品管理日別總表</t>
    <phoneticPr fontId="11" type="noConversion"/>
  </si>
  <si>
    <t>日期</t>
    <phoneticPr fontId="89" type="noConversion"/>
  </si>
  <si>
    <t>營業額</t>
    <phoneticPr fontId="11" type="noConversion"/>
  </si>
  <si>
    <t>報廢額</t>
    <phoneticPr fontId="89" type="noConversion"/>
  </si>
  <si>
    <r>
      <t xml:space="preserve">報廢率
KPI </t>
    </r>
    <r>
      <rPr>
        <b/>
        <sz val="14"/>
        <color rgb="FFFF0000"/>
        <rFont val="微軟正黑體"/>
        <family val="2"/>
        <charset val="136"/>
      </rPr>
      <t>0.25%</t>
    </r>
    <phoneticPr fontId="11" type="noConversion"/>
  </si>
  <si>
    <t>超用額</t>
    <phoneticPr fontId="89" type="noConversion"/>
  </si>
  <si>
    <t>超用率</t>
    <phoneticPr fontId="11" type="noConversion"/>
  </si>
  <si>
    <t>廢棄前10名</t>
    <phoneticPr fontId="11" type="noConversion"/>
  </si>
  <si>
    <t>超用前10名</t>
    <phoneticPr fontId="11" type="noConversion"/>
  </si>
  <si>
    <t>共用類廢棄</t>
    <phoneticPr fontId="11" type="noConversion"/>
  </si>
  <si>
    <t>週累積</t>
    <phoneticPr fontId="11" type="noConversion"/>
  </si>
  <si>
    <t>金額總計</t>
    <phoneticPr fontId="11" type="noConversion"/>
  </si>
  <si>
    <t>構成比</t>
    <phoneticPr fontId="11" type="noConversion"/>
  </si>
  <si>
    <t>金額總計</t>
    <phoneticPr fontId="89" type="noConversion"/>
  </si>
  <si>
    <r>
      <t xml:space="preserve">構成比
KPI </t>
    </r>
    <r>
      <rPr>
        <b/>
        <sz val="14"/>
        <color rgb="FFFF0000"/>
        <rFont val="微軟正黑體"/>
        <family val="2"/>
        <charset val="136"/>
      </rPr>
      <t>15%</t>
    </r>
    <phoneticPr fontId="89" type="noConversion"/>
  </si>
  <si>
    <t>營業額</t>
    <phoneticPr fontId="11" type="noConversion"/>
  </si>
  <si>
    <t>週報廢</t>
    <phoneticPr fontId="11" type="noConversion"/>
  </si>
  <si>
    <t>週超用</t>
    <phoneticPr fontId="11" type="noConversion"/>
  </si>
  <si>
    <t>平均</t>
    <phoneticPr fontId="89" type="noConversion"/>
  </si>
  <si>
    <t>合計</t>
    <phoneticPr fontId="89" type="noConversion"/>
  </si>
  <si>
    <t>二配金咖哩濃厚辛口咖哩飯</t>
  </si>
  <si>
    <t>二配厚香料咖哩雞排飯</t>
  </si>
  <si>
    <t>蒜炒紅K高麗菜(111年)</t>
  </si>
  <si>
    <t>清洗蔥花</t>
  </si>
  <si>
    <t>二配蒸果香甘口咖哩腿丁</t>
  </si>
  <si>
    <t>川燙青花菜</t>
  </si>
  <si>
    <t>(V)煮麻婆豆腐燴料(114年)</t>
  </si>
  <si>
    <t>麻婆豆腐波浪麵</t>
  </si>
  <si>
    <t>二配雞肉香料咖哩</t>
  </si>
  <si>
    <t>香料咖哩炸雞烤飯糰</t>
  </si>
  <si>
    <t>日式野菜烘蛋燴飯</t>
  </si>
  <si>
    <t>二配起司控培根白醬焗烤飯</t>
  </si>
  <si>
    <t>二配烤鹹蛋黃碎</t>
  </si>
  <si>
    <t>香烤藍尾鱈魚五行餐盒</t>
  </si>
  <si>
    <t>二配炒培根片</t>
  </si>
  <si>
    <t>二配蒸海鮮醬(料)</t>
  </si>
  <si>
    <t>W4</t>
    <phoneticPr fontId="11" type="noConversion"/>
  </si>
  <si>
    <t>二配歐姆蛋(111年版)</t>
  </si>
  <si>
    <t>蔥蔥玉子拌麵</t>
  </si>
  <si>
    <t>煮無敵家日式肉燥</t>
  </si>
  <si>
    <t>二配濃辛辣咖哩醬(114年)</t>
  </si>
  <si>
    <t>煮無敵家拌麵醬</t>
  </si>
  <si>
    <t>二配大飯糰韓式蒜烤豬五花</t>
  </si>
  <si>
    <t>和風牛肉咖哩炸飯糰</t>
  </si>
  <si>
    <t>▲</t>
    <phoneticPr fontId="11" type="noConversion"/>
  </si>
  <si>
    <t>▼</t>
    <phoneticPr fontId="11" type="noConversion"/>
  </si>
  <si>
    <r>
      <t>18℃-飯</t>
    </r>
    <r>
      <rPr>
        <sz val="10"/>
        <color theme="1"/>
        <rFont val="細明體"/>
        <family val="3"/>
        <charset val="136"/>
      </rPr>
      <t>糰</t>
    </r>
    <r>
      <rPr>
        <sz val="10"/>
        <color theme="1"/>
        <rFont val="Meiryo UI"/>
        <family val="2"/>
      </rPr>
      <t>(061,063)</t>
    </r>
    <phoneticPr fontId="11" type="noConversion"/>
  </si>
  <si>
    <r>
      <t>18℃-飯</t>
    </r>
    <r>
      <rPr>
        <sz val="10"/>
        <color theme="1"/>
        <rFont val="細明體"/>
        <family val="3"/>
        <charset val="136"/>
      </rPr>
      <t>糰</t>
    </r>
    <r>
      <rPr>
        <sz val="10"/>
        <color theme="1"/>
        <rFont val="Meiryo UI"/>
        <family val="2"/>
      </rPr>
      <t>(061,063)</t>
    </r>
    <phoneticPr fontId="11" type="noConversion"/>
  </si>
  <si>
    <t>平均人時性</t>
    <phoneticPr fontId="11" type="noConversion"/>
  </si>
  <si>
    <t>排名</t>
    <phoneticPr fontId="11" type="noConversion"/>
  </si>
  <si>
    <t>實際</t>
    <phoneticPr fontId="11" type="noConversion"/>
  </si>
  <si>
    <t>生產實績</t>
    <phoneticPr fontId="11" type="noConversion"/>
  </si>
  <si>
    <t>人數</t>
    <phoneticPr fontId="11" type="noConversion"/>
  </si>
  <si>
    <t>產能／時</t>
    <phoneticPr fontId="11" type="noConversion"/>
  </si>
  <si>
    <t>人時性</t>
    <phoneticPr fontId="11" type="noConversion"/>
  </si>
  <si>
    <t>二配大飯糰滷肉飯加蛋</t>
  </si>
  <si>
    <t>大口起司熔岩白醬炸魚飯糰</t>
  </si>
  <si>
    <t>產線配置圖－每週更新</t>
    <phoneticPr fontId="11" type="noConversion"/>
  </si>
  <si>
    <t>資料繳交</t>
    <phoneticPr fontId="11" type="noConversion"/>
  </si>
  <si>
    <t>日期</t>
    <phoneticPr fontId="11" type="noConversion"/>
  </si>
  <si>
    <t>二</t>
    <phoneticPr fontId="11" type="noConversion"/>
  </si>
  <si>
    <t>三</t>
    <phoneticPr fontId="11" type="noConversion"/>
  </si>
  <si>
    <t>四</t>
    <phoneticPr fontId="11" type="noConversion"/>
  </si>
  <si>
    <t>五</t>
    <phoneticPr fontId="11" type="noConversion"/>
  </si>
  <si>
    <t>六</t>
    <phoneticPr fontId="11" type="noConversion"/>
  </si>
  <si>
    <t>日</t>
    <phoneticPr fontId="11" type="noConversion"/>
  </si>
  <si>
    <t>一</t>
    <phoneticPr fontId="11" type="noConversion"/>
  </si>
  <si>
    <t>二配失控起司薯餅焗飯</t>
  </si>
  <si>
    <t>二配蒙古風味烤肉飯</t>
  </si>
  <si>
    <t>二配麻油雞燴飯</t>
  </si>
  <si>
    <t>二配鮭魚蛋炒飯</t>
  </si>
  <si>
    <t>愛恨椒芝麵</t>
  </si>
  <si>
    <t>業績金額</t>
    <phoneticPr fontId="11" type="noConversion"/>
  </si>
  <si>
    <r>
      <t>前</t>
    </r>
    <r>
      <rPr>
        <b/>
        <sz val="10"/>
        <color rgb="FFFF0000"/>
        <rFont val="Meiryo UI"/>
        <family val="2"/>
        <charset val="128"/>
      </rPr>
      <t>20名</t>
    </r>
    <r>
      <rPr>
        <sz val="10"/>
        <color rgb="FF000000"/>
        <rFont val="Meiryo UI"/>
        <family val="2"/>
        <charset val="128"/>
      </rPr>
      <t>原因分析</t>
    </r>
    <phoneticPr fontId="11" type="noConversion"/>
  </si>
  <si>
    <t>項目</t>
    <phoneticPr fontId="11" type="noConversion"/>
  </si>
  <si>
    <t>展開量高於１０5％</t>
    <phoneticPr fontId="8"/>
  </si>
  <si>
    <r>
      <t>調理多</t>
    </r>
    <r>
      <rPr>
        <b/>
        <sz val="14"/>
        <color theme="1"/>
        <rFont val="Arial"/>
        <family val="3"/>
        <charset val="136"/>
      </rPr>
      <t>產</t>
    </r>
    <phoneticPr fontId="8"/>
  </si>
  <si>
    <t>製程不穩</t>
    <phoneticPr fontId="8"/>
  </si>
  <si>
    <t>取樣不穩</t>
    <phoneticPr fontId="8"/>
  </si>
  <si>
    <t>比例</t>
    <phoneticPr fontId="8"/>
  </si>
  <si>
    <t>報廢</t>
    <phoneticPr fontId="8"/>
  </si>
  <si>
    <t>超用</t>
    <phoneticPr fontId="8"/>
  </si>
  <si>
    <t>原物料規格</t>
    <phoneticPr fontId="8"/>
  </si>
  <si>
    <t>研發設定</t>
    <phoneticPr fontId="8"/>
  </si>
  <si>
    <t>其他原因</t>
    <phoneticPr fontId="8"/>
  </si>
  <si>
    <r>
      <rPr>
        <b/>
        <sz val="14"/>
        <color rgb="FF000000"/>
        <rFont val="Arial"/>
        <family val="3"/>
        <charset val="136"/>
      </rPr>
      <t>步</t>
    </r>
    <r>
      <rPr>
        <b/>
        <sz val="14"/>
        <color rgb="FF000000"/>
        <rFont val="Meiryo UI"/>
        <family val="2"/>
      </rPr>
      <t>留不足</t>
    </r>
    <phoneticPr fontId="11" type="noConversion"/>
  </si>
  <si>
    <t>煮愛恨椒麻湯凍</t>
  </si>
  <si>
    <t>二配川燙枸杞</t>
  </si>
  <si>
    <t>二配鼎泰豐-麻婆豆腐燴汁(113年)</t>
  </si>
  <si>
    <t>二配鼎泰豐-煮麻婆豆腐(113年)</t>
  </si>
  <si>
    <t>雞肉飯醬汁(113年)</t>
  </si>
  <si>
    <t>平均人時性</t>
    <phoneticPr fontId="11" type="noConversion"/>
  </si>
  <si>
    <t>排名</t>
    <phoneticPr fontId="11" type="noConversion"/>
  </si>
  <si>
    <t>日報</t>
    <phoneticPr fontId="11" type="noConversion"/>
  </si>
  <si>
    <t>實際</t>
    <phoneticPr fontId="11" type="noConversion"/>
  </si>
  <si>
    <t>生產實績</t>
    <phoneticPr fontId="11" type="noConversion"/>
  </si>
  <si>
    <t>人數</t>
    <phoneticPr fontId="11" type="noConversion"/>
  </si>
  <si>
    <t>產能／時</t>
    <phoneticPr fontId="11" type="noConversion"/>
  </si>
  <si>
    <t>人時性</t>
    <phoneticPr fontId="11" type="noConversion"/>
  </si>
  <si>
    <t>鮭魚奶油醬油飯糰</t>
  </si>
  <si>
    <t>品群</t>
  </si>
  <si>
    <t>商品名稱</t>
  </si>
  <si>
    <t>計畫</t>
  </si>
  <si>
    <t>平均人時性</t>
  </si>
  <si>
    <t>實績</t>
  </si>
  <si>
    <t>排名</t>
  </si>
  <si>
    <t>日報</t>
  </si>
  <si>
    <t>產線配置圖</t>
  </si>
  <si>
    <t>人數</t>
  </si>
  <si>
    <t>產能／時</t>
  </si>
  <si>
    <t>人時性</t>
  </si>
  <si>
    <t>品群</t>
    <phoneticPr fontId="8"/>
  </si>
  <si>
    <t>排名</t>
    <phoneticPr fontId="8"/>
  </si>
  <si>
    <t>－</t>
    <phoneticPr fontId="11" type="noConversion"/>
  </si>
  <si>
    <t>▼1</t>
    <phoneticPr fontId="8"/>
  </si>
  <si>
    <t>對比上月差異小</t>
    <phoneticPr fontId="11" type="noConversion"/>
  </si>
  <si>
    <t>產線配置圖－每週更新</t>
    <phoneticPr fontId="11" type="noConversion"/>
  </si>
  <si>
    <t>資料繳交</t>
    <phoneticPr fontId="11" type="noConversion"/>
  </si>
  <si>
    <t>日期</t>
    <phoneticPr fontId="11" type="noConversion"/>
  </si>
  <si>
    <t>二</t>
    <phoneticPr fontId="11" type="noConversion"/>
  </si>
  <si>
    <t>三</t>
    <phoneticPr fontId="11" type="noConversion"/>
  </si>
  <si>
    <t>四</t>
    <phoneticPr fontId="11" type="noConversion"/>
  </si>
  <si>
    <t>五</t>
    <phoneticPr fontId="11" type="noConversion"/>
  </si>
  <si>
    <t>六</t>
    <phoneticPr fontId="11" type="noConversion"/>
  </si>
  <si>
    <t>日</t>
    <phoneticPr fontId="11" type="noConversion"/>
  </si>
  <si>
    <t>一</t>
    <phoneticPr fontId="11" type="noConversion"/>
  </si>
  <si>
    <t>品群</t>
    <phoneticPr fontId="11" type="noConversion"/>
  </si>
  <si>
    <t>商品名稱</t>
    <phoneticPr fontId="11" type="noConversion"/>
  </si>
  <si>
    <t>計畫</t>
    <phoneticPr fontId="11" type="noConversion"/>
  </si>
  <si>
    <t>平均人時性</t>
    <phoneticPr fontId="11" type="noConversion"/>
  </si>
  <si>
    <t>實績</t>
    <phoneticPr fontId="11" type="noConversion"/>
  </si>
  <si>
    <t>排名</t>
    <phoneticPr fontId="11" type="noConversion"/>
  </si>
  <si>
    <t>日報</t>
    <phoneticPr fontId="11" type="noConversion"/>
  </si>
  <si>
    <t>實際</t>
    <phoneticPr fontId="11" type="noConversion"/>
  </si>
  <si>
    <t>產線配置圖</t>
    <phoneticPr fontId="11" type="noConversion"/>
  </si>
  <si>
    <t>生產實績</t>
    <phoneticPr fontId="11" type="noConversion"/>
  </si>
  <si>
    <t>人數</t>
    <phoneticPr fontId="11" type="noConversion"/>
  </si>
  <si>
    <t>產能／時</t>
    <phoneticPr fontId="11" type="noConversion"/>
  </si>
  <si>
    <t>人時性</t>
    <phoneticPr fontId="11" type="noConversion"/>
  </si>
  <si>
    <t>鴻運烏魚子紹興飯糰</t>
  </si>
  <si>
    <t>明太子奶油炸飯糰</t>
  </si>
  <si>
    <t>明太子泡菜牛飯卷</t>
  </si>
  <si>
    <t>好多蒜燒豚飯</t>
  </si>
  <si>
    <t>二配紅燒牛肉燴飯</t>
  </si>
  <si>
    <t>美乃炙烤雞肉飯</t>
  </si>
  <si>
    <t>福氣魚四喜開運便當</t>
  </si>
  <si>
    <t>鮑滿福氣中華燴麵</t>
  </si>
  <si>
    <t>鴻運番茄湯麵</t>
  </si>
  <si>
    <t>古早味炒炊粉</t>
    <phoneticPr fontId="11" type="noConversion"/>
  </si>
  <si>
    <t>韓式部隊鍋</t>
    <phoneticPr fontId="11" type="noConversion"/>
  </si>
  <si>
    <t>日式壽喜燒</t>
    <phoneticPr fontId="11" type="noConversion"/>
  </si>
  <si>
    <t>微波小吃</t>
    <phoneticPr fontId="11" type="noConversion"/>
  </si>
  <si>
    <t>品群</t>
    <phoneticPr fontId="11" type="noConversion"/>
  </si>
  <si>
    <t>商品名稱</t>
    <phoneticPr fontId="11" type="noConversion"/>
  </si>
  <si>
    <t>計畫</t>
    <phoneticPr fontId="11" type="noConversion"/>
  </si>
  <si>
    <t>平均人時性</t>
    <phoneticPr fontId="11" type="noConversion"/>
  </si>
  <si>
    <t>實績</t>
    <phoneticPr fontId="11" type="noConversion"/>
  </si>
  <si>
    <t>生產實績</t>
    <phoneticPr fontId="11" type="noConversion"/>
  </si>
  <si>
    <t>產能／時</t>
    <phoneticPr fontId="11" type="noConversion"/>
  </si>
  <si>
    <t>人時性</t>
    <phoneticPr fontId="11" type="noConversion"/>
  </si>
  <si>
    <t>人數</t>
    <phoneticPr fontId="11" type="noConversion"/>
  </si>
  <si>
    <t>排名</t>
    <phoneticPr fontId="11" type="noConversion"/>
  </si>
  <si>
    <t>日報</t>
    <phoneticPr fontId="11" type="noConversion"/>
  </si>
  <si>
    <t>實際</t>
    <phoneticPr fontId="11" type="noConversion"/>
  </si>
  <si>
    <t>產線配置圖</t>
    <phoneticPr fontId="11" type="noConversion"/>
  </si>
  <si>
    <t>雙倍德腸飯卷</t>
  </si>
  <si>
    <t>微波小吃</t>
    <phoneticPr fontId="11" type="noConversion"/>
  </si>
  <si>
    <t>媽媽煮藝-(區)香滷牛肚絲</t>
  </si>
  <si>
    <t>二配炒解凍11N培根片</t>
  </si>
  <si>
    <t>二配香炒沙茶豬肉飯</t>
  </si>
  <si>
    <t>二配滷-大白菜(115年)</t>
  </si>
  <si>
    <t>煮愛恨芝麻醬</t>
  </si>
  <si>
    <t>二配西班牙烤雞腿丁</t>
  </si>
  <si>
    <t>碳香照燒雞腿丁</t>
  </si>
  <si>
    <t>二配切-蒸滷牛腱</t>
  </si>
  <si>
    <t>確認備料量是否正確，調整出料率</t>
  </si>
  <si>
    <t>單價高</t>
  </si>
  <si>
    <t>二配川燙醃嫩化淨零碳排牛肉片</t>
  </si>
  <si>
    <t>紅運烏魚子紹興飯糰</t>
  </si>
  <si>
    <t>撥碎-解凍烏魚子丁</t>
  </si>
  <si>
    <t>二配炒蒙古烤肉蔬菜</t>
  </si>
  <si>
    <t>菜梗、葉差異及均勻度，影響人員放料手感</t>
  </si>
  <si>
    <t>增加線上抽秤頻率，維持人員放料手感</t>
  </si>
  <si>
    <t>大部分品項的單品用量少，取樣易有差異</t>
  </si>
  <si>
    <t>尋找設定使用的輔助工具，穩定取樣量</t>
  </si>
  <si>
    <t>確認輔助工具型號，使用前先攪拌均勻。生產前及生產中確認設定及實際出料狀況</t>
  </si>
  <si>
    <t>回饋研發，後續開發列入考量，設定放料量範圍。</t>
  </si>
  <si>
    <t>在口味穩定的前提下，固定瀝水時間，穩定製成率</t>
  </si>
  <si>
    <t>肉片油脂、筋膜分布影響賣相狀況。</t>
  </si>
  <si>
    <t>農產品原物料的大小差異</t>
  </si>
  <si>
    <r>
      <t>2026/1月</t>
    </r>
    <r>
      <rPr>
        <sz val="10"/>
        <color rgb="FF000000"/>
        <rFont val="細明體"/>
        <family val="3"/>
        <charset val="136"/>
      </rPr>
      <t/>
    </r>
    <phoneticPr fontId="11" type="noConversion"/>
  </si>
  <si>
    <r>
      <t>2026/2月</t>
    </r>
    <r>
      <rPr>
        <sz val="10"/>
        <color rgb="FF000000"/>
        <rFont val="細明體"/>
        <family val="3"/>
        <charset val="136"/>
      </rPr>
      <t/>
    </r>
    <phoneticPr fontId="11" type="noConversion"/>
  </si>
  <si>
    <t>月平均人時性</t>
    <phoneticPr fontId="11" type="noConversion"/>
  </si>
  <si>
    <t>產線配置圖－每週更新</t>
    <phoneticPr fontId="11" type="noConversion"/>
  </si>
  <si>
    <t>資料繳交</t>
    <phoneticPr fontId="11" type="noConversion"/>
  </si>
  <si>
    <t>日期</t>
    <phoneticPr fontId="11" type="noConversion"/>
  </si>
  <si>
    <t>二</t>
    <phoneticPr fontId="11" type="noConversion"/>
  </si>
  <si>
    <t>三</t>
    <phoneticPr fontId="11" type="noConversion"/>
  </si>
  <si>
    <t>四</t>
    <phoneticPr fontId="11" type="noConversion"/>
  </si>
  <si>
    <t>五</t>
    <phoneticPr fontId="11" type="noConversion"/>
  </si>
  <si>
    <t>六</t>
    <phoneticPr fontId="11" type="noConversion"/>
  </si>
  <si>
    <t>日</t>
    <phoneticPr fontId="11" type="noConversion"/>
  </si>
  <si>
    <t>一</t>
    <phoneticPr fontId="11" type="noConversion"/>
  </si>
  <si>
    <t>品群</t>
    <phoneticPr fontId="11" type="noConversion"/>
  </si>
  <si>
    <t>商品名稱</t>
    <phoneticPr fontId="11" type="noConversion"/>
  </si>
  <si>
    <t>計畫</t>
    <phoneticPr fontId="11" type="noConversion"/>
  </si>
  <si>
    <t>平均人時性</t>
    <phoneticPr fontId="11" type="noConversion"/>
  </si>
  <si>
    <t>實績</t>
    <phoneticPr fontId="11" type="noConversion"/>
  </si>
  <si>
    <t>排名</t>
    <phoneticPr fontId="11" type="noConversion"/>
  </si>
  <si>
    <t>日報</t>
    <phoneticPr fontId="11" type="noConversion"/>
  </si>
  <si>
    <t>實際</t>
    <phoneticPr fontId="11" type="noConversion"/>
  </si>
  <si>
    <t>產線配置圖</t>
    <phoneticPr fontId="11" type="noConversion"/>
  </si>
  <si>
    <t>生產實績</t>
    <phoneticPr fontId="11" type="noConversion"/>
  </si>
  <si>
    <t>人數</t>
    <phoneticPr fontId="11" type="noConversion"/>
  </si>
  <si>
    <t>產能／時</t>
    <phoneticPr fontId="11" type="noConversion"/>
  </si>
  <si>
    <t>人時性</t>
    <phoneticPr fontId="11" type="noConversion"/>
  </si>
  <si>
    <t>蔬食鮪魚飯糰</t>
    <phoneticPr fontId="11" type="noConversion"/>
  </si>
  <si>
    <r>
      <t>18</t>
    </r>
    <r>
      <rPr>
        <sz val="10"/>
        <color rgb="FF000000"/>
        <rFont val="Arial"/>
        <family val="3"/>
        <charset val="136"/>
        <scheme val="minor"/>
      </rPr>
      <t>℃</t>
    </r>
    <r>
      <rPr>
        <sz val="10"/>
        <color rgb="FF000000"/>
        <rFont val="Arial"/>
        <family val="2"/>
        <scheme val="minor"/>
      </rPr>
      <t>-</t>
    </r>
    <r>
      <rPr>
        <sz val="10"/>
        <color rgb="FF000000"/>
        <rFont val="Arial"/>
        <family val="3"/>
        <charset val="136"/>
        <scheme val="minor"/>
      </rPr>
      <t>飯糰</t>
    </r>
    <phoneticPr fontId="11" type="noConversion"/>
  </si>
  <si>
    <t>產線配置圖－月表</t>
    <phoneticPr fontId="11" type="noConversion"/>
  </si>
  <si>
    <t>烤飯糰1</t>
    <phoneticPr fontId="11" type="noConversion"/>
  </si>
  <si>
    <t>烤飯糰2</t>
    <phoneticPr fontId="11" type="noConversion"/>
  </si>
  <si>
    <r>
      <t>18</t>
    </r>
    <r>
      <rPr>
        <sz val="10"/>
        <color rgb="FF000000"/>
        <rFont val="Arial"/>
        <family val="3"/>
        <charset val="136"/>
        <scheme val="minor"/>
      </rPr>
      <t>℃</t>
    </r>
    <r>
      <rPr>
        <sz val="10"/>
        <color rgb="FF000000"/>
        <rFont val="Arial"/>
        <family val="2"/>
        <scheme val="minor"/>
      </rPr>
      <t>-</t>
    </r>
    <r>
      <rPr>
        <sz val="10"/>
        <color rgb="FF000000"/>
        <rFont val="Arial"/>
        <family val="3"/>
        <charset val="136"/>
        <scheme val="minor"/>
      </rPr>
      <t>壽司手卷</t>
    </r>
    <phoneticPr fontId="11" type="noConversion"/>
  </si>
  <si>
    <r>
      <t>4</t>
    </r>
    <r>
      <rPr>
        <sz val="10"/>
        <color rgb="FF000000"/>
        <rFont val="Arial"/>
        <family val="3"/>
        <charset val="136"/>
        <scheme val="minor"/>
      </rPr>
      <t>℃</t>
    </r>
    <r>
      <rPr>
        <sz val="10"/>
        <color rgb="FF000000"/>
        <rFont val="Arial"/>
        <family val="2"/>
        <scheme val="minor"/>
      </rPr>
      <t>-</t>
    </r>
    <r>
      <rPr>
        <sz val="10"/>
        <color rgb="FF000000"/>
        <rFont val="Arial"/>
        <family val="3"/>
        <charset val="136"/>
        <scheme val="minor"/>
      </rPr>
      <t>飯糰</t>
    </r>
    <phoneticPr fontId="11" type="noConversion"/>
  </si>
  <si>
    <t>蟹味可樂餅風炸飯糰</t>
  </si>
  <si>
    <r>
      <rPr>
        <sz val="10"/>
        <color rgb="FF000000"/>
        <rFont val="Arial"/>
        <family val="3"/>
        <charset val="136"/>
        <scheme val="minor"/>
      </rPr>
      <t>4℃</t>
    </r>
    <r>
      <rPr>
        <sz val="10"/>
        <color rgb="FF000000"/>
        <rFont val="Arial"/>
        <family val="2"/>
        <scheme val="minor"/>
      </rPr>
      <t>-</t>
    </r>
    <r>
      <rPr>
        <sz val="10"/>
        <color rgb="FF000000"/>
        <rFont val="Arial"/>
        <family val="3"/>
        <charset val="136"/>
        <scheme val="minor"/>
      </rPr>
      <t>壽司手卷</t>
    </r>
    <phoneticPr fontId="11" type="noConversion"/>
  </si>
  <si>
    <t>主食</t>
    <phoneticPr fontId="11" type="noConversion"/>
  </si>
  <si>
    <t>便當</t>
    <phoneticPr fontId="11" type="noConversion"/>
  </si>
  <si>
    <t>好吃雞肉便當</t>
  </si>
  <si>
    <t>熱食義麵</t>
    <phoneticPr fontId="11" type="noConversion"/>
  </si>
  <si>
    <t>季節調理麵</t>
    <phoneticPr fontId="11" type="noConversion"/>
  </si>
  <si>
    <r>
      <t>（７）</t>
    </r>
    <r>
      <rPr>
        <b/>
        <sz val="12"/>
        <color rgb="FF000000"/>
        <rFont val="Meiryo UI"/>
        <family val="2"/>
      </rPr>
      <t>原因別分析(2/1-2/28)</t>
    </r>
    <phoneticPr fontId="11" type="noConversion"/>
  </si>
  <si>
    <t>類型</t>
    <phoneticPr fontId="11" type="noConversion"/>
  </si>
  <si>
    <t>排名</t>
    <phoneticPr fontId="8"/>
  </si>
  <si>
    <t>半成品名</t>
    <phoneticPr fontId="8"/>
  </si>
  <si>
    <t>單價</t>
    <phoneticPr fontId="8"/>
  </si>
  <si>
    <t>報廢率</t>
    <phoneticPr fontId="8"/>
  </si>
  <si>
    <t>數量</t>
    <phoneticPr fontId="8"/>
  </si>
  <si>
    <t>前月比</t>
    <phoneticPr fontId="11" type="noConversion"/>
  </si>
  <si>
    <t>主要原因&amp;對策</t>
    <phoneticPr fontId="8"/>
  </si>
  <si>
    <t>展開量高於１０5％</t>
    <phoneticPr fontId="11" type="noConversion"/>
  </si>
  <si>
    <t>前幾名合計比例</t>
    <phoneticPr fontId="8"/>
  </si>
  <si>
    <t>前幾名合計金額</t>
    <phoneticPr fontId="8"/>
  </si>
  <si>
    <r>
      <t>調理多</t>
    </r>
    <r>
      <rPr>
        <sz val="10"/>
        <color rgb="FF000000"/>
        <rFont val="Arial"/>
        <family val="3"/>
        <charset val="136"/>
      </rPr>
      <t>產</t>
    </r>
    <phoneticPr fontId="11" type="noConversion"/>
  </si>
  <si>
    <t>二配蒸蛤蜊-肉</t>
  </si>
  <si>
    <t>麻油雞湯炒菇-菇</t>
  </si>
  <si>
    <t>二配炒綠咖哩腿肉片</t>
  </si>
  <si>
    <t>炒紅K碎蛋</t>
  </si>
  <si>
    <t>製程不穩</t>
    <phoneticPr fontId="11" type="noConversion"/>
  </si>
  <si>
    <t>確認備料量是否正確，調整出料率</t>
    <phoneticPr fontId="11" type="noConversion"/>
  </si>
  <si>
    <t>炒扁魚紅K白菜</t>
  </si>
  <si>
    <t>增加放料抽秤頻率</t>
    <phoneticPr fontId="11" type="noConversion"/>
  </si>
  <si>
    <t>二配煮麻油雞丁</t>
  </si>
  <si>
    <t>烤BBQ雞丁(112年)</t>
  </si>
  <si>
    <t>製程報廢</t>
    <phoneticPr fontId="11" type="noConversion"/>
  </si>
  <si>
    <t>賣相需求</t>
    <phoneticPr fontId="11" type="noConversion"/>
  </si>
  <si>
    <t>其他原因</t>
    <phoneticPr fontId="11" type="noConversion"/>
  </si>
  <si>
    <t>單價高</t>
    <phoneticPr fontId="11" type="noConversion"/>
  </si>
  <si>
    <t>超用率</t>
    <phoneticPr fontId="8"/>
  </si>
  <si>
    <t>切3cm-炙烤牛五花(飯卷)</t>
  </si>
  <si>
    <t>蒸-醬香雞肉絲CL(全)</t>
  </si>
  <si>
    <t>二配雞肉飯飯糰</t>
  </si>
  <si>
    <t>二配蒸-全熟雞肉絲CL(升)</t>
  </si>
  <si>
    <t>二配鹽蔥燒肉飯糰</t>
  </si>
  <si>
    <t>二配112年拌鹽烤豬肉片</t>
  </si>
  <si>
    <t>賣相設定</t>
    <phoneticPr fontId="11" type="noConversion"/>
  </si>
  <si>
    <t>解凍-醬油漬鮭魚卵</t>
  </si>
  <si>
    <t>半成品結凍強度、濃稠度影響擠醬機出料量</t>
  </si>
  <si>
    <t>使用前進行均勻處理，於生產前及生產過程中持續確認半成品狀態並適時調整</t>
    <phoneticPr fontId="11" type="noConversion"/>
  </si>
  <si>
    <t>半成品均勻度及冰杓滿度差異導致最終放料量差異</t>
    <phoneticPr fontId="11" type="noConversion"/>
  </si>
  <si>
    <t>製成報廢</t>
    <phoneticPr fontId="11" type="noConversion"/>
  </si>
  <si>
    <t>回饋研發，後續開發列入考量</t>
    <phoneticPr fontId="11" type="noConversion"/>
  </si>
  <si>
    <t>農產品原物料的大小差異</t>
    <phoneticPr fontId="11" type="noConversion"/>
  </si>
  <si>
    <t>調理製程確認糖鹽度在合格範圍內，但因監測上下限差異導致最終產出量差異</t>
    <phoneticPr fontId="11" type="noConversion"/>
  </si>
  <si>
    <t>教育人員依循設定進行調理，糖鹽度的檢測以中限為主</t>
    <phoneticPr fontId="11" type="noConversion"/>
  </si>
  <si>
    <t>半成品均勻度及冰杓滿度差異導致最終放料量差異</t>
  </si>
  <si>
    <t>原物料長短、厚薄差異，導致放料量有差異</t>
  </si>
  <si>
    <t>調理製程確認糖鹽度在合格範圍內，但因監測上下限差異導致最終產出量差異</t>
  </si>
  <si>
    <t>教育人員依循設定進行調理，糖鹽度的檢測以中限為主</t>
  </si>
  <si>
    <t>白菜川燙後容易含水，瀝水較不容易瀝除，導致製成差異，協調生產調整用量</t>
  </si>
  <si>
    <t>確認輔助工具型號，使用前進行均勻處理，於生產前及生產過程中持續確認半成品狀態並適時調整</t>
    <phoneticPr fontId="11" type="noConversion"/>
  </si>
  <si>
    <t>半成品糾結，影響放料手感</t>
  </si>
  <si>
    <t>使用前先行把半成品撥散</t>
  </si>
  <si>
    <t>雙倍德腸飯卷</t>
    <phoneticPr fontId="11" type="noConversion"/>
  </si>
  <si>
    <t>品群</t>
    <phoneticPr fontId="8"/>
  </si>
  <si>
    <t>排名</t>
    <phoneticPr fontId="8"/>
  </si>
  <si>
    <t>人數</t>
    <phoneticPr fontId="8"/>
  </si>
  <si>
    <r>
      <rPr>
        <sz val="10"/>
        <color theme="1"/>
        <rFont val="Arial"/>
        <family val="3"/>
        <charset val="136"/>
      </rPr>
      <t>產</t>
    </r>
    <r>
      <rPr>
        <sz val="10"/>
        <color theme="1"/>
        <rFont val="Meiryo UI"/>
        <family val="2"/>
      </rPr>
      <t>能</t>
    </r>
    <phoneticPr fontId="8"/>
  </si>
  <si>
    <r>
      <t>人時生</t>
    </r>
    <r>
      <rPr>
        <sz val="10"/>
        <color theme="1"/>
        <rFont val="Arial"/>
        <family val="3"/>
        <charset val="136"/>
      </rPr>
      <t>產</t>
    </r>
    <r>
      <rPr>
        <sz val="10"/>
        <color theme="1"/>
        <rFont val="Meiryo UI"/>
        <family val="2"/>
      </rPr>
      <t>性</t>
    </r>
    <phoneticPr fontId="8"/>
  </si>
  <si>
    <t>前週比</t>
    <phoneticPr fontId="11" type="noConversion"/>
  </si>
  <si>
    <t>主要原因&amp;對策</t>
    <phoneticPr fontId="8"/>
  </si>
  <si>
    <t>－</t>
    <phoneticPr fontId="11" type="noConversion"/>
  </si>
  <si>
    <t>▲</t>
    <phoneticPr fontId="11" type="noConversion"/>
  </si>
  <si>
    <t>對比上月差異小</t>
    <phoneticPr fontId="11" type="noConversion"/>
  </si>
  <si>
    <t>▼</t>
    <phoneticPr fontId="11" type="noConversion"/>
  </si>
  <si>
    <t>▼1</t>
    <phoneticPr fontId="8"/>
  </si>
  <si>
    <t>▼2</t>
    <phoneticPr fontId="8"/>
  </si>
  <si>
    <t>▼3</t>
    <phoneticPr fontId="8"/>
  </si>
  <si>
    <t>▼4</t>
    <phoneticPr fontId="8"/>
  </si>
  <si>
    <t>▼5</t>
    <phoneticPr fontId="8"/>
  </si>
  <si>
    <t>人員順手度提升，對比上月產能及人時生產性提升</t>
    <phoneticPr fontId="11" type="noConversion"/>
  </si>
  <si>
    <r>
      <t>對比上</t>
    </r>
    <r>
      <rPr>
        <sz val="10"/>
        <color theme="1"/>
        <rFont val="細明體"/>
        <family val="3"/>
        <charset val="136"/>
      </rPr>
      <t>月</t>
    </r>
    <r>
      <rPr>
        <sz val="10"/>
        <color theme="1"/>
        <rFont val="Meiryo UI"/>
        <family val="2"/>
      </rPr>
      <t>差異小</t>
    </r>
    <phoneticPr fontId="11" type="noConversion"/>
  </si>
  <si>
    <t>最後幾名皆為須定位擺放、半成品數較多餐盒類商品，產能及人時生產性較低，且相近</t>
    <phoneticPr fontId="11" type="noConversion"/>
  </si>
  <si>
    <t>嫩烤香料雞胸排蔬滿盒</t>
    <phoneticPr fontId="11" type="noConversion"/>
  </si>
  <si>
    <t>麻婆豆腐波浪麵</t>
    <phoneticPr fontId="11" type="noConversion"/>
  </si>
  <si>
    <t>對比上月，月平均訂單量月平均增加，人員順手度有提升，產能及人時生產性提升</t>
    <phoneticPr fontId="11" type="noConversion"/>
  </si>
  <si>
    <t>前三名皆為同性質涼麵商品，產能及人時生產性接近</t>
    <phoneticPr fontId="11" type="noConversion"/>
  </si>
  <si>
    <t>媽媽煮藝-鹹酥雞</t>
  </si>
  <si>
    <r>
      <rPr>
        <sz val="10"/>
        <color theme="1"/>
        <rFont val="細明體"/>
        <family val="3"/>
        <charset val="136"/>
      </rPr>
      <t>除香滷牛肚絲為直接貼標之外，其餘品項皆為</t>
    </r>
    <r>
      <rPr>
        <sz val="10"/>
        <color theme="1"/>
        <rFont val="Meiryo UI"/>
        <family val="2"/>
      </rPr>
      <t>八爪機作業，</t>
    </r>
    <r>
      <rPr>
        <sz val="10"/>
        <color theme="1"/>
        <rFont val="細明體"/>
        <family val="3"/>
        <charset val="136"/>
      </rPr>
      <t>產</t>
    </r>
    <r>
      <rPr>
        <sz val="10"/>
        <color theme="1"/>
        <rFont val="Meiryo UI"/>
        <family val="2"/>
      </rPr>
      <t>能平均，</t>
    </r>
    <r>
      <rPr>
        <sz val="10"/>
        <color theme="1"/>
        <rFont val="細明體"/>
        <family val="3"/>
        <charset val="136"/>
      </rPr>
      <t>產能及人時生產性差異小</t>
    </r>
    <r>
      <rPr>
        <sz val="10"/>
        <color theme="1"/>
        <rFont val="Meiryo UI"/>
        <family val="2"/>
      </rPr>
      <t>。</t>
    </r>
    <phoneticPr fontId="11" type="noConversion"/>
  </si>
  <si>
    <r>
      <t>媽媽煮藝</t>
    </r>
    <r>
      <rPr>
        <sz val="10"/>
        <color rgb="FF000000"/>
        <rFont val="Arial"/>
        <family val="3"/>
        <charset val="136"/>
        <scheme val="minor"/>
      </rPr>
      <t>-(</t>
    </r>
    <r>
      <rPr>
        <sz val="10"/>
        <color rgb="FF000000"/>
        <rFont val="Arial"/>
        <family val="3"/>
        <charset val="136"/>
        <scheme val="minor"/>
      </rPr>
      <t>區</t>
    </r>
    <r>
      <rPr>
        <sz val="10"/>
        <color rgb="FF000000"/>
        <rFont val="Arial"/>
        <family val="3"/>
        <charset val="136"/>
        <scheme val="minor"/>
      </rPr>
      <t>)</t>
    </r>
    <r>
      <rPr>
        <sz val="10"/>
        <color rgb="FF000000"/>
        <rFont val="Arial"/>
        <family val="3"/>
        <charset val="136"/>
        <scheme val="minor"/>
      </rPr>
      <t>香滷牛肚絲</t>
    </r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</si>
</sst>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4">
    <numFmt numFmtId="42" formatCode="_-&quot;$&quot;* #,##0_-;\-&quot;$&quot;* #,##0_-;_-&quot;$&quot;* &quot;-&quot;_-;_-@_-"/>
    <numFmt numFmtId="44" formatCode="_-&quot;$&quot;* #,##0.00_-;\-&quot;$&quot;* #,##0.00_-;_-&quot;$&quot;* &quot;-&quot;??_-;_-@_-"/>
    <numFmt numFmtId="43" formatCode="_-* #,##0.00_-;\-* #,##0.00_-;_-* &quot;-&quot;??_-;_-@_-"/>
    <numFmt numFmtId="176" formatCode="&quot;NT$&quot;#,##0.0"/>
    <numFmt numFmtId="177" formatCode="0&quot;個&quot;"/>
    <numFmt numFmtId="178" formatCode="&quot;NT$&quot;#,##0.0_);[Red]\(&quot;NT$&quot;#,##0.0\)"/>
    <numFmt numFmtId="179" formatCode="m&quot;月&quot;d&quot;日&quot;"/>
    <numFmt numFmtId="180" formatCode="0.0&quot;個&quot;"/>
    <numFmt numFmtId="181" formatCode="0.0_);[Red]\(0.0\)"/>
    <numFmt numFmtId="182" formatCode="&quot;NT$&quot;#,##0.00_);[Red]\(&quot;NT$&quot;#,##0.00\)"/>
    <numFmt numFmtId="183" formatCode="0.0"/>
    <numFmt numFmtId="184" formatCode="0,000"/>
    <numFmt numFmtId="185" formatCode="0.0%"/>
    <numFmt numFmtId="186" formatCode="&quot;NT$&quot;#,##0_);[Red]\(&quot;NT$&quot;#,##0\)"/>
    <numFmt numFmtId="187" formatCode="&quot;NT$&quot;#,##0"/>
    <numFmt numFmtId="188" formatCode="_-* #,##0_-;\-* #,##0_-;_-* &quot;-&quot;??_-;_-@_-"/>
    <numFmt numFmtId="189" formatCode="0.000%"/>
    <numFmt numFmtId="190" formatCode="_-* #,##0.0_-;\-* #,##0.0_-;_-* &quot;-&quot;??_-;_-@_-"/>
    <numFmt numFmtId="191" formatCode="#,##0.0"/>
    <numFmt numFmtId="192" formatCode="#,##0.0_ "/>
    <numFmt numFmtId="193" formatCode="m/d\ aaaa"/>
    <numFmt numFmtId="194" formatCode="0,000&quot;元&quot;"/>
    <numFmt numFmtId="195" formatCode="000&quot;元&quot;"/>
    <numFmt numFmtId="196" formatCode="0.00_)"/>
  </numFmts>
  <fonts count="111">
    <font>
      <sz val="10"/>
      <color rgb="FF000000"/>
      <name val="Arial"/>
      <scheme val="minor"/>
    </font>
    <font>
      <sz val="12"/>
      <color theme="1"/>
      <name val="Arial"/>
      <family val="2"/>
      <charset val="136"/>
      <scheme val="minor"/>
    </font>
    <font>
      <sz val="12"/>
      <color theme="1"/>
      <name val="Arial"/>
      <family val="2"/>
      <charset val="136"/>
      <scheme val="minor"/>
    </font>
    <font>
      <sz val="12"/>
      <color theme="1"/>
      <name val="Arial"/>
      <family val="2"/>
      <charset val="136"/>
      <scheme val="minor"/>
    </font>
    <font>
      <sz val="12"/>
      <color theme="1"/>
      <name val="Arial"/>
      <family val="2"/>
      <charset val="136"/>
      <scheme val="minor"/>
    </font>
    <font>
      <sz val="11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name val="Arial"/>
      <family val="2"/>
    </font>
    <font>
      <sz val="6"/>
      <name val="Arial"/>
      <family val="3"/>
      <charset val="128"/>
      <scheme val="minor"/>
    </font>
    <font>
      <sz val="11"/>
      <color theme="1"/>
      <name val="Arial"/>
      <family val="3"/>
      <charset val="136"/>
      <scheme val="minor"/>
    </font>
    <font>
      <sz val="10"/>
      <color theme="1"/>
      <name val="Arial"/>
      <family val="3"/>
      <charset val="136"/>
      <scheme val="minor"/>
    </font>
    <font>
      <sz val="9"/>
      <name val="Arial"/>
      <family val="3"/>
      <charset val="136"/>
      <scheme val="minor"/>
    </font>
    <font>
      <sz val="10"/>
      <color rgb="FF000000"/>
      <name val="Meiryo UI"/>
      <family val="2"/>
      <charset val="128"/>
    </font>
    <font>
      <sz val="11"/>
      <color rgb="FF000000"/>
      <name val="Meiryo UI"/>
      <family val="2"/>
      <charset val="128"/>
    </font>
    <font>
      <sz val="11"/>
      <color rgb="FF000000"/>
      <name val="Arial"/>
      <family val="3"/>
      <charset val="136"/>
    </font>
    <font>
      <sz val="11"/>
      <color rgb="FF000000"/>
      <name val="細明體"/>
      <family val="3"/>
      <charset val="136"/>
    </font>
    <font>
      <sz val="18"/>
      <color rgb="FF000000"/>
      <name val="Meiryo UI"/>
      <family val="2"/>
      <charset val="128"/>
    </font>
    <font>
      <b/>
      <sz val="22"/>
      <color rgb="FF000000"/>
      <name val="Meiryo UI"/>
      <family val="2"/>
      <charset val="128"/>
    </font>
    <font>
      <b/>
      <sz val="22"/>
      <color rgb="FF000000"/>
      <name val="細明體"/>
      <family val="3"/>
      <charset val="136"/>
    </font>
    <font>
      <sz val="12"/>
      <color rgb="FF000000"/>
      <name val="Arial"/>
      <family val="3"/>
      <charset val="136"/>
    </font>
    <font>
      <sz val="11"/>
      <color theme="1"/>
      <name val="細明體"/>
      <family val="3"/>
      <charset val="136"/>
    </font>
    <font>
      <b/>
      <sz val="14"/>
      <color rgb="FF000000"/>
      <name val="細明體"/>
      <family val="3"/>
      <charset val="136"/>
    </font>
    <font>
      <sz val="10"/>
      <color rgb="FF000000"/>
      <name val="Arial"/>
      <family val="2"/>
      <scheme val="minor"/>
    </font>
    <font>
      <b/>
      <sz val="22"/>
      <color rgb="FF000000"/>
      <name val="Meiryo UI"/>
      <family val="2"/>
    </font>
    <font>
      <sz val="10"/>
      <color rgb="FF000000"/>
      <name val="Meiryo UI"/>
      <family val="2"/>
    </font>
    <font>
      <sz val="11"/>
      <color rgb="FF000000"/>
      <name val="Meiryo UI"/>
      <family val="2"/>
    </font>
    <font>
      <sz val="11"/>
      <color theme="1"/>
      <name val="Meiryo UI"/>
      <family val="2"/>
    </font>
    <font>
      <sz val="12"/>
      <color rgb="FF000000"/>
      <name val="Meiryo UI"/>
      <family val="2"/>
    </font>
    <font>
      <b/>
      <sz val="14"/>
      <color rgb="FF000000"/>
      <name val="Meiryo UI"/>
      <family val="2"/>
    </font>
    <font>
      <b/>
      <sz val="11.9"/>
      <color rgb="FF000000"/>
      <name val="Meiryo UI"/>
      <family val="2"/>
    </font>
    <font>
      <b/>
      <sz val="16"/>
      <color rgb="FF000000"/>
      <name val="Meiryo UI"/>
      <family val="2"/>
    </font>
    <font>
      <sz val="10"/>
      <color rgb="FF000000"/>
      <name val="Arial"/>
      <family val="3"/>
      <charset val="136"/>
      <scheme val="minor"/>
    </font>
    <font>
      <b/>
      <sz val="12"/>
      <color rgb="FF000000"/>
      <name val="Arial"/>
      <family val="3"/>
      <charset val="136"/>
      <scheme val="minor"/>
    </font>
    <font>
      <b/>
      <sz val="12"/>
      <color rgb="FF000000"/>
      <name val="Arial"/>
      <family val="2"/>
      <scheme val="minor"/>
    </font>
    <font>
      <sz val="12"/>
      <color theme="1"/>
      <name val="Meiryo UI"/>
      <family val="2"/>
    </font>
    <font>
      <sz val="12"/>
      <color theme="1"/>
      <name val="微軟正黑體"/>
      <family val="2"/>
      <charset val="136"/>
    </font>
    <font>
      <sz val="12"/>
      <name val="Meiryo UI"/>
      <family val="2"/>
    </font>
    <font>
      <sz val="12"/>
      <name val="微軟正黑體"/>
      <family val="2"/>
      <charset val="136"/>
    </font>
    <font>
      <b/>
      <sz val="16"/>
      <color rgb="FF000000"/>
      <name val="Meiryo UI"/>
      <family val="2"/>
      <charset val="128"/>
    </font>
    <font>
      <sz val="10"/>
      <color rgb="FF000000"/>
      <name val="Arial"/>
      <family val="3"/>
      <charset val="136"/>
    </font>
    <font>
      <b/>
      <sz val="14"/>
      <color rgb="FF000000"/>
      <name val="Arial"/>
      <family val="3"/>
      <charset val="136"/>
    </font>
    <font>
      <b/>
      <sz val="20"/>
      <color rgb="FF000000"/>
      <name val="Meiryo UI"/>
      <family val="2"/>
      <charset val="128"/>
    </font>
    <font>
      <b/>
      <sz val="20"/>
      <color rgb="FF000000"/>
      <name val="細明體"/>
      <family val="3"/>
      <charset val="136"/>
    </font>
    <font>
      <b/>
      <sz val="20"/>
      <color rgb="FF000000"/>
      <name val="Meiryo UI"/>
      <family val="2"/>
    </font>
    <font>
      <sz val="10"/>
      <color theme="1"/>
      <name val="Meiryo UI"/>
      <family val="2"/>
    </font>
    <font>
      <sz val="11"/>
      <color rgb="FFFF0000"/>
      <name val="Meiryo UI"/>
      <family val="2"/>
    </font>
    <font>
      <sz val="11"/>
      <color theme="1"/>
      <name val="Arial"/>
      <family val="3"/>
      <charset val="136"/>
    </font>
    <font>
      <sz val="10"/>
      <color theme="1"/>
      <name val="Arial"/>
      <family val="3"/>
      <charset val="136"/>
    </font>
    <font>
      <b/>
      <sz val="12"/>
      <color theme="1"/>
      <name val="Meiryo UI"/>
      <family val="2"/>
    </font>
    <font>
      <b/>
      <sz val="12"/>
      <color theme="1"/>
      <name val="Arial"/>
      <family val="3"/>
      <charset val="136"/>
    </font>
    <font>
      <b/>
      <sz val="12"/>
      <color theme="1"/>
      <name val="Meiryo UI"/>
      <family val="2"/>
      <charset val="128"/>
    </font>
    <font>
      <sz val="14"/>
      <color theme="1"/>
      <name val="Meiryo UI"/>
      <family val="2"/>
    </font>
    <font>
      <sz val="10"/>
      <color theme="1"/>
      <name val="細明體"/>
      <family val="3"/>
      <charset val="136"/>
    </font>
    <font>
      <b/>
      <sz val="12"/>
      <color rgb="FF000000"/>
      <name val="Meiryo UI"/>
      <family val="2"/>
      <charset val="128"/>
    </font>
    <font>
      <b/>
      <sz val="12"/>
      <color rgb="FF000000"/>
      <name val="Meiryo UI"/>
      <family val="2"/>
    </font>
    <font>
      <sz val="10"/>
      <name val="Meiryo UI"/>
      <family val="2"/>
    </font>
    <font>
      <b/>
      <sz val="12"/>
      <color rgb="FF000000"/>
      <name val="Arial"/>
      <family val="3"/>
      <charset val="136"/>
    </font>
    <font>
      <sz val="11"/>
      <color theme="1"/>
      <name val="Arial"/>
      <family val="2"/>
    </font>
    <font>
      <sz val="10"/>
      <color rgb="FF000000"/>
      <name val="Arial"/>
      <family val="2"/>
    </font>
    <font>
      <b/>
      <sz val="12"/>
      <color rgb="FF000000"/>
      <name val="細明體"/>
      <family val="3"/>
      <charset val="136"/>
    </font>
    <font>
      <b/>
      <sz val="14"/>
      <color theme="1"/>
      <name val="Meiryo UI"/>
      <family val="2"/>
    </font>
    <font>
      <b/>
      <sz val="14"/>
      <color theme="1"/>
      <name val="Arial"/>
      <family val="3"/>
      <charset val="136"/>
    </font>
    <font>
      <sz val="11"/>
      <color theme="1"/>
      <name val="Meiryo UI"/>
      <family val="2"/>
      <charset val="128"/>
    </font>
    <font>
      <sz val="10"/>
      <color rgb="FFFF0000"/>
      <name val="Meiryo UI"/>
      <family val="2"/>
    </font>
    <font>
      <b/>
      <sz val="16"/>
      <color rgb="FF000000"/>
      <name val="細明體"/>
      <family val="3"/>
      <charset val="136"/>
    </font>
    <font>
      <sz val="12"/>
      <color theme="1"/>
      <name val="細明體"/>
      <family val="3"/>
      <charset val="136"/>
    </font>
    <font>
      <sz val="12"/>
      <color rgb="FFFF0000"/>
      <name val="Meiryo UI"/>
      <family val="2"/>
    </font>
    <font>
      <b/>
      <sz val="20"/>
      <color rgb="FF000000"/>
      <name val="微軟正黑體"/>
      <family val="2"/>
      <charset val="136"/>
    </font>
    <font>
      <sz val="11"/>
      <color theme="1"/>
      <name val="微軟正黑體"/>
      <family val="2"/>
      <charset val="136"/>
    </font>
    <font>
      <sz val="14"/>
      <color theme="1"/>
      <name val="細明體"/>
      <family val="3"/>
      <charset val="136"/>
    </font>
    <font>
      <sz val="10"/>
      <color rgb="FFFF0000"/>
      <name val="Arial"/>
      <family val="3"/>
      <charset val="136"/>
      <scheme val="minor"/>
    </font>
    <font>
      <sz val="12"/>
      <color rgb="FF000000"/>
      <name val="細明體"/>
      <family val="3"/>
      <charset val="136"/>
    </font>
    <font>
      <sz val="10"/>
      <color theme="4"/>
      <name val="Arial"/>
      <family val="3"/>
      <charset val="136"/>
      <scheme val="minor"/>
    </font>
    <font>
      <sz val="6"/>
      <color rgb="FF000000"/>
      <name val="Meiryo UI"/>
      <family val="2"/>
    </font>
    <font>
      <sz val="9"/>
      <color rgb="FF000000"/>
      <name val="Meiryo UI"/>
      <family val="2"/>
    </font>
    <font>
      <sz val="10"/>
      <color rgb="FF000000"/>
      <name val="Arial"/>
      <family val="2"/>
      <scheme val="minor"/>
    </font>
    <font>
      <sz val="11"/>
      <color rgb="FF0070C0"/>
      <name val="新細明體"/>
      <family val="1"/>
      <charset val="136"/>
    </font>
    <font>
      <sz val="11"/>
      <color rgb="FF92D050"/>
      <name val="細明體"/>
      <family val="3"/>
      <charset val="136"/>
    </font>
    <font>
      <sz val="11"/>
      <color rgb="FFFF0000"/>
      <name val="新細明體"/>
      <family val="1"/>
      <charset val="136"/>
    </font>
    <font>
      <sz val="7"/>
      <color rgb="FF000000"/>
      <name val="Meiryo UI"/>
      <family val="2"/>
    </font>
    <font>
      <sz val="10"/>
      <color rgb="FF000000"/>
      <name val="細明體"/>
      <family val="3"/>
      <charset val="136"/>
    </font>
    <font>
      <b/>
      <sz val="12"/>
      <color theme="1"/>
      <name val="細明體"/>
      <family val="3"/>
      <charset val="136"/>
    </font>
    <font>
      <sz val="11"/>
      <color rgb="FFFF0000"/>
      <name val="細明體"/>
      <family val="3"/>
      <charset val="136"/>
    </font>
    <font>
      <sz val="12"/>
      <color theme="1"/>
      <name val="Meiryo UI"/>
      <family val="2"/>
      <charset val="128"/>
    </font>
    <font>
      <sz val="12"/>
      <color rgb="FF000000"/>
      <name val="細明體"/>
      <family val="2"/>
      <charset val="136"/>
    </font>
    <font>
      <sz val="12"/>
      <color theme="1"/>
      <name val="細明體"/>
      <family val="2"/>
      <charset val="136"/>
    </font>
    <font>
      <sz val="12"/>
      <color theme="1"/>
      <name val="Microsoft JhengHei"/>
      <family val="2"/>
    </font>
    <font>
      <b/>
      <sz val="20"/>
      <color theme="1"/>
      <name val="微軟正黑體"/>
      <family val="2"/>
      <charset val="136"/>
    </font>
    <font>
      <b/>
      <sz val="14"/>
      <color theme="1"/>
      <name val="微軟正黑體"/>
      <family val="2"/>
      <charset val="136"/>
    </font>
    <font>
      <sz val="9"/>
      <name val="Arial"/>
      <family val="2"/>
      <charset val="136"/>
      <scheme val="minor"/>
    </font>
    <font>
      <b/>
      <sz val="14"/>
      <color rgb="FFFF0000"/>
      <name val="微軟正黑體"/>
      <family val="2"/>
      <charset val="136"/>
    </font>
    <font>
      <b/>
      <sz val="12"/>
      <color theme="1"/>
      <name val="微軟正黑體"/>
      <family val="2"/>
      <charset val="136"/>
    </font>
    <font>
      <sz val="14"/>
      <color theme="1"/>
      <name val="微軟正黑體"/>
      <family val="2"/>
      <charset val="136"/>
    </font>
    <font>
      <sz val="14"/>
      <name val="微軟正黑體"/>
      <family val="2"/>
      <charset val="136"/>
    </font>
    <font>
      <sz val="14"/>
      <color rgb="FFFF0000"/>
      <name val="微軟正黑體"/>
      <family val="2"/>
      <charset val="136"/>
    </font>
    <font>
      <sz val="12"/>
      <name val="新細明體"/>
      <family val="1"/>
      <charset val="136"/>
    </font>
    <font>
      <sz val="12"/>
      <name val="Times New Roman"/>
      <family val="1"/>
    </font>
    <font>
      <b/>
      <i/>
      <sz val="16"/>
      <name val="Helv"/>
      <family val="2"/>
    </font>
    <font>
      <sz val="12"/>
      <color theme="1"/>
      <name val="Arial"/>
      <family val="1"/>
      <charset val="136"/>
      <scheme val="minor"/>
    </font>
    <font>
      <u/>
      <sz val="12"/>
      <color indexed="12"/>
      <name val="新細明體"/>
      <family val="1"/>
      <charset val="136"/>
    </font>
    <font>
      <sz val="10"/>
      <color indexed="8"/>
      <name val="ARIAL"/>
      <family val="2"/>
    </font>
    <font>
      <sz val="12"/>
      <color theme="1"/>
      <name val="Arial"/>
      <family val="2"/>
      <scheme val="minor"/>
    </font>
    <font>
      <sz val="12"/>
      <color indexed="8"/>
      <name val="新細明體"/>
      <family val="1"/>
      <charset val="136"/>
    </font>
    <font>
      <sz val="12"/>
      <color indexed="17"/>
      <name val="新細明體"/>
      <family val="1"/>
      <charset val="136"/>
    </font>
    <font>
      <sz val="16"/>
      <color indexed="17"/>
      <name val="新細明體"/>
      <family val="1"/>
      <charset val="136"/>
    </font>
    <font>
      <sz val="11"/>
      <name val="ＭＳ Ｐゴシック"/>
      <family val="2"/>
      <charset val="128"/>
    </font>
    <font>
      <sz val="12"/>
      <color indexed="20"/>
      <name val="新細明體"/>
      <family val="1"/>
      <charset val="136"/>
    </font>
    <font>
      <sz val="20"/>
      <color indexed="20"/>
      <name val="新細明體"/>
      <family val="1"/>
      <charset val="136"/>
    </font>
    <font>
      <b/>
      <sz val="10"/>
      <color rgb="FFFF0000"/>
      <name val="Meiryo UI"/>
      <family val="2"/>
      <charset val="128"/>
    </font>
    <font>
      <sz val="10"/>
      <color rgb="FFFF0000"/>
      <name val="Meiryo UI"/>
      <family val="2"/>
      <charset val="128"/>
    </font>
    <font>
      <sz val="10"/>
      <name val="Meiryo UI"/>
      <family val="2"/>
      <charset val="128"/>
    </font>
  </fonts>
  <fills count="20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2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indexed="42"/>
      </patternFill>
    </fill>
    <fill>
      <patternFill patternType="solid">
        <fgColor indexed="45"/>
      </patternFill>
    </fill>
    <fill>
      <patternFill patternType="solid">
        <fgColor rgb="FF92D050"/>
        <bgColor indexed="64"/>
      </patternFill>
    </fill>
    <fill>
      <patternFill patternType="solid">
        <fgColor theme="2" tint="-9.9978637043366805E-2"/>
        <bgColor indexed="64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/>
      <top style="double">
        <color rgb="FF000000"/>
      </top>
      <bottom style="thin">
        <color rgb="FF000000"/>
      </bottom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uble">
        <color rgb="FF000000"/>
      </left>
      <right style="thin">
        <color rgb="FF000000"/>
      </right>
      <top style="double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 style="double">
        <color rgb="FF000000"/>
      </bottom>
      <diagonal/>
    </border>
    <border>
      <left style="thin">
        <color rgb="FF000000"/>
      </left>
      <right style="double">
        <color rgb="FF000000"/>
      </right>
      <top style="double">
        <color rgb="FF000000"/>
      </top>
      <bottom style="double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rgb="FF000000"/>
      </right>
      <top/>
      <bottom/>
      <diagonal/>
    </border>
    <border>
      <left style="double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double">
        <color rgb="FF000000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577">
    <xf numFmtId="0" fontId="0" fillId="0" borderId="0"/>
    <xf numFmtId="0" fontId="4" fillId="0" borderId="0">
      <alignment vertical="center"/>
    </xf>
    <xf numFmtId="43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5" fillId="0" borderId="0"/>
    <xf numFmtId="0" fontId="4" fillId="0" borderId="0">
      <alignment vertical="center"/>
    </xf>
    <xf numFmtId="0" fontId="4" fillId="0" borderId="0">
      <alignment vertical="center"/>
    </xf>
    <xf numFmtId="9" fontId="7" fillId="0" borderId="0" applyFont="0" applyFill="0" applyBorder="0" applyAlignment="0" applyProtection="0">
      <alignment vertical="center"/>
    </xf>
    <xf numFmtId="0" fontId="7" fillId="0" borderId="0"/>
    <xf numFmtId="9" fontId="7" fillId="0" borderId="0" applyFont="0" applyFill="0" applyBorder="0" applyAlignment="0" applyProtection="0"/>
    <xf numFmtId="0" fontId="22" fillId="0" borderId="0"/>
    <xf numFmtId="0" fontId="3" fillId="0" borderId="0">
      <alignment vertical="center"/>
    </xf>
    <xf numFmtId="9" fontId="22" fillId="0" borderId="0" applyFont="0" applyFill="0" applyBorder="0" applyAlignment="0" applyProtection="0">
      <alignment vertical="center"/>
    </xf>
    <xf numFmtId="43" fontId="75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43" fontId="22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0" fontId="1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95" fillId="0" borderId="0"/>
    <xf numFmtId="9" fontId="95" fillId="0" borderId="0" applyFont="0" applyFill="0" applyBorder="0" applyAlignment="0" applyProtection="0"/>
    <xf numFmtId="0" fontId="96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7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196" fontId="97" fillId="0" borderId="0"/>
    <xf numFmtId="0" fontId="7" fillId="0" borderId="0"/>
    <xf numFmtId="0" fontId="95" fillId="0" borderId="0">
      <alignment vertical="center"/>
    </xf>
    <xf numFmtId="0" fontId="98" fillId="0" borderId="0"/>
    <xf numFmtId="42" fontId="96" fillId="0" borderId="0" applyFont="0" applyFill="0" applyBorder="0" applyAlignment="0" applyProtection="0"/>
    <xf numFmtId="0" fontId="99" fillId="0" borderId="0" applyNumberFormat="0" applyFill="0" applyBorder="0" applyAlignment="0" applyProtection="0">
      <alignment vertical="top"/>
      <protection locked="0"/>
    </xf>
    <xf numFmtId="0" fontId="100" fillId="0" borderId="0">
      <alignment vertical="top"/>
    </xf>
    <xf numFmtId="0" fontId="7" fillId="0" borderId="0"/>
    <xf numFmtId="0" fontId="98" fillId="0" borderId="0">
      <alignment vertical="center"/>
    </xf>
    <xf numFmtId="0" fontId="95" fillId="0" borderId="0"/>
    <xf numFmtId="0" fontId="95" fillId="0" borderId="0"/>
    <xf numFmtId="0" fontId="95" fillId="0" borderId="0"/>
    <xf numFmtId="0" fontId="98" fillId="0" borderId="0">
      <alignment vertical="center"/>
    </xf>
    <xf numFmtId="0" fontId="95" fillId="0" borderId="0"/>
    <xf numFmtId="0" fontId="95" fillId="0" borderId="0"/>
    <xf numFmtId="0" fontId="98" fillId="0" borderId="0">
      <alignment vertical="center"/>
    </xf>
    <xf numFmtId="0" fontId="98" fillId="0" borderId="0">
      <alignment vertical="center"/>
    </xf>
    <xf numFmtId="0" fontId="95" fillId="0" borderId="0"/>
    <xf numFmtId="0" fontId="98" fillId="0" borderId="0">
      <alignment vertical="center"/>
    </xf>
    <xf numFmtId="0" fontId="95" fillId="0" borderId="0"/>
    <xf numFmtId="0" fontId="98" fillId="0" borderId="0">
      <alignment vertical="center"/>
    </xf>
    <xf numFmtId="0" fontId="95" fillId="0" borderId="0"/>
    <xf numFmtId="0" fontId="95" fillId="0" borderId="0"/>
    <xf numFmtId="0" fontId="95" fillId="0" borderId="0"/>
    <xf numFmtId="0" fontId="101" fillId="0" borderId="0"/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" fillId="0" borderId="0">
      <alignment vertical="center"/>
    </xf>
    <xf numFmtId="0" fontId="95" fillId="0" borderId="0"/>
    <xf numFmtId="0" fontId="95" fillId="0" borderId="0"/>
    <xf numFmtId="0" fontId="101" fillId="0" borderId="0"/>
    <xf numFmtId="0" fontId="1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98" fillId="0" borderId="0"/>
    <xf numFmtId="0" fontId="95" fillId="0" borderId="0"/>
    <xf numFmtId="0" fontId="1" fillId="0" borderId="0">
      <alignment vertical="center"/>
    </xf>
    <xf numFmtId="0" fontId="98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98" fillId="0" borderId="0">
      <alignment vertical="center"/>
    </xf>
    <xf numFmtId="0" fontId="95" fillId="0" borderId="0"/>
    <xf numFmtId="0" fontId="98" fillId="0" borderId="0">
      <alignment vertical="center"/>
    </xf>
    <xf numFmtId="0" fontId="98" fillId="0" borderId="0">
      <alignment vertical="center"/>
    </xf>
    <xf numFmtId="0" fontId="95" fillId="0" borderId="0"/>
    <xf numFmtId="0" fontId="98" fillId="0" borderId="0">
      <alignment vertical="center"/>
    </xf>
    <xf numFmtId="0" fontId="98" fillId="0" borderId="0">
      <alignment vertical="center"/>
    </xf>
    <xf numFmtId="0" fontId="1" fillId="0" borderId="0">
      <alignment vertical="center"/>
    </xf>
    <xf numFmtId="0" fontId="95" fillId="0" borderId="0"/>
    <xf numFmtId="0" fontId="98" fillId="0" borderId="0">
      <alignment vertical="center"/>
    </xf>
    <xf numFmtId="0" fontId="95" fillId="0" borderId="0"/>
    <xf numFmtId="43" fontId="95" fillId="0" borderId="0" applyFont="0" applyFill="0" applyBorder="0" applyAlignment="0" applyProtection="0"/>
    <xf numFmtId="43" fontId="95" fillId="0" borderId="0" applyFont="0" applyFill="0" applyBorder="0" applyAlignment="0" applyProtection="0"/>
    <xf numFmtId="43" fontId="95" fillId="0" borderId="0" applyFont="0" applyFill="0" applyBorder="0" applyAlignment="0" applyProtection="0"/>
    <xf numFmtId="43" fontId="95" fillId="0" borderId="0" applyFont="0" applyFill="0" applyBorder="0" applyAlignment="0" applyProtection="0"/>
    <xf numFmtId="43" fontId="95" fillId="0" borderId="0" applyFont="0" applyFill="0" applyBorder="0" applyAlignment="0" applyProtection="0"/>
    <xf numFmtId="43" fontId="95" fillId="0" borderId="0" applyFont="0" applyFill="0" applyBorder="0" applyAlignment="0" applyProtection="0"/>
    <xf numFmtId="43" fontId="95" fillId="0" borderId="0" applyFont="0" applyFill="0" applyBorder="0" applyAlignment="0" applyProtection="0"/>
    <xf numFmtId="43" fontId="95" fillId="0" borderId="0" applyFont="0" applyFill="0" applyBorder="0" applyAlignment="0" applyProtection="0"/>
    <xf numFmtId="43" fontId="95" fillId="0" borderId="0" applyFont="0" applyFill="0" applyBorder="0" applyAlignment="0" applyProtection="0"/>
    <xf numFmtId="43" fontId="95" fillId="0" borderId="0" applyFont="0" applyFill="0" applyBorder="0" applyAlignment="0" applyProtection="0"/>
    <xf numFmtId="43" fontId="98" fillId="0" borderId="0" applyFont="0" applyFill="0" applyBorder="0" applyAlignment="0" applyProtection="0">
      <alignment vertical="center"/>
    </xf>
    <xf numFmtId="43" fontId="95" fillId="0" borderId="0" applyFont="0" applyFill="0" applyBorder="0" applyAlignment="0" applyProtection="0"/>
    <xf numFmtId="43" fontId="95" fillId="0" borderId="0" applyFont="0" applyFill="0" applyBorder="0" applyAlignment="0" applyProtection="0"/>
    <xf numFmtId="43" fontId="95" fillId="0" borderId="0" applyFont="0" applyFill="0" applyBorder="0" applyAlignment="0" applyProtection="0"/>
    <xf numFmtId="0" fontId="103" fillId="16" borderId="0" applyNumberFormat="0" applyBorder="0" applyAlignment="0" applyProtection="0">
      <alignment vertical="center"/>
    </xf>
    <xf numFmtId="0" fontId="103" fillId="16" borderId="0" applyNumberFormat="0" applyBorder="0" applyAlignment="0" applyProtection="0">
      <alignment vertical="center"/>
    </xf>
    <xf numFmtId="0" fontId="104" fillId="16" borderId="0" applyNumberFormat="0" applyBorder="0" applyAlignment="0" applyProtection="0">
      <alignment vertical="center"/>
    </xf>
    <xf numFmtId="0" fontId="103" fillId="16" borderId="0" applyNumberFormat="0" applyBorder="0" applyAlignment="0" applyProtection="0">
      <alignment vertical="center"/>
    </xf>
    <xf numFmtId="0" fontId="103" fillId="16" borderId="0" applyNumberFormat="0" applyBorder="0" applyAlignment="0" applyProtection="0">
      <alignment vertical="center"/>
    </xf>
    <xf numFmtId="0" fontId="103" fillId="16" borderId="0" applyNumberFormat="0" applyBorder="0" applyAlignment="0" applyProtection="0">
      <alignment vertical="center"/>
    </xf>
    <xf numFmtId="0" fontId="103" fillId="16" borderId="0" applyNumberFormat="0" applyBorder="0" applyAlignment="0" applyProtection="0">
      <alignment vertical="center"/>
    </xf>
    <xf numFmtId="0" fontId="103" fillId="16" borderId="0" applyNumberFormat="0" applyBorder="0" applyAlignment="0" applyProtection="0">
      <alignment vertical="center"/>
    </xf>
    <xf numFmtId="0" fontId="103" fillId="16" borderId="0" applyNumberFormat="0" applyBorder="0" applyAlignment="0" applyProtection="0">
      <alignment vertical="center"/>
    </xf>
    <xf numFmtId="0" fontId="103" fillId="16" borderId="0" applyNumberFormat="0" applyBorder="0" applyAlignment="0" applyProtection="0">
      <alignment vertical="center"/>
    </xf>
    <xf numFmtId="0" fontId="103" fillId="16" borderId="0" applyNumberFormat="0" applyBorder="0" applyAlignment="0" applyProtection="0">
      <alignment vertical="center"/>
    </xf>
    <xf numFmtId="0" fontId="104" fillId="16" borderId="0" applyNumberFormat="0" applyBorder="0" applyAlignment="0" applyProtection="0">
      <alignment vertical="center"/>
    </xf>
    <xf numFmtId="9" fontId="102" fillId="0" borderId="0" applyFont="0" applyFill="0" applyBorder="0" applyAlignment="0" applyProtection="0">
      <alignment vertical="center"/>
    </xf>
    <xf numFmtId="9" fontId="102" fillId="0" borderId="0" applyFont="0" applyFill="0" applyBorder="0" applyAlignment="0" applyProtection="0">
      <alignment vertical="center"/>
    </xf>
    <xf numFmtId="9" fontId="102" fillId="0" borderId="0" applyFont="0" applyFill="0" applyBorder="0" applyAlignment="0" applyProtection="0">
      <alignment vertical="center"/>
    </xf>
    <xf numFmtId="9" fontId="95" fillId="0" borderId="0" applyFont="0" applyFill="0" applyBorder="0" applyAlignment="0" applyProtection="0"/>
    <xf numFmtId="9" fontId="95" fillId="0" borderId="0" applyFont="0" applyFill="0" applyBorder="0" applyAlignment="0" applyProtection="0"/>
    <xf numFmtId="9" fontId="102" fillId="0" borderId="0" applyFont="0" applyFill="0" applyBorder="0" applyAlignment="0" applyProtection="0">
      <alignment vertical="center"/>
    </xf>
    <xf numFmtId="9" fontId="98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02" fillId="0" borderId="0" applyFont="0" applyFill="0" applyBorder="0" applyAlignment="0" applyProtection="0">
      <alignment vertical="center"/>
    </xf>
    <xf numFmtId="9" fontId="10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02" fillId="0" borderId="0" applyFont="0" applyFill="0" applyBorder="0" applyAlignment="0" applyProtection="0">
      <alignment vertical="center"/>
    </xf>
    <xf numFmtId="9" fontId="95" fillId="0" borderId="0" applyFont="0" applyFill="0" applyBorder="0" applyAlignment="0" applyProtection="0"/>
    <xf numFmtId="9" fontId="102" fillId="0" borderId="0" applyFont="0" applyFill="0" applyBorder="0" applyAlignment="0" applyProtection="0">
      <alignment vertical="center"/>
    </xf>
    <xf numFmtId="9" fontId="102" fillId="0" borderId="0" applyFont="0" applyFill="0" applyBorder="0" applyAlignment="0" applyProtection="0">
      <alignment vertical="center"/>
    </xf>
    <xf numFmtId="9" fontId="95" fillId="0" borderId="0" applyFont="0" applyFill="0" applyBorder="0" applyAlignment="0" applyProtection="0"/>
    <xf numFmtId="9" fontId="95" fillId="0" borderId="0" applyFont="0" applyFill="0" applyBorder="0" applyAlignment="0" applyProtection="0"/>
    <xf numFmtId="44" fontId="101" fillId="0" borderId="0" applyFont="0" applyFill="0" applyBorder="0" applyAlignment="0" applyProtection="0">
      <alignment vertical="center"/>
    </xf>
    <xf numFmtId="0" fontId="105" fillId="0" borderId="0">
      <alignment vertical="center"/>
    </xf>
    <xf numFmtId="0" fontId="106" fillId="17" borderId="0" applyNumberFormat="0" applyBorder="0" applyAlignment="0" applyProtection="0">
      <alignment vertical="center"/>
    </xf>
    <xf numFmtId="0" fontId="106" fillId="17" borderId="0" applyNumberFormat="0" applyBorder="0" applyAlignment="0" applyProtection="0">
      <alignment vertical="center"/>
    </xf>
    <xf numFmtId="0" fontId="107" fillId="17" borderId="0" applyNumberFormat="0" applyBorder="0" applyAlignment="0" applyProtection="0">
      <alignment vertical="center"/>
    </xf>
    <xf numFmtId="0" fontId="106" fillId="17" borderId="0" applyNumberFormat="0" applyBorder="0" applyAlignment="0" applyProtection="0">
      <alignment vertical="center"/>
    </xf>
    <xf numFmtId="0" fontId="106" fillId="17" borderId="0" applyNumberFormat="0" applyBorder="0" applyAlignment="0" applyProtection="0">
      <alignment vertical="center"/>
    </xf>
    <xf numFmtId="0" fontId="106" fillId="17" borderId="0" applyNumberFormat="0" applyBorder="0" applyAlignment="0" applyProtection="0">
      <alignment vertical="center"/>
    </xf>
    <xf numFmtId="0" fontId="106" fillId="17" borderId="0" applyNumberFormat="0" applyBorder="0" applyAlignment="0" applyProtection="0">
      <alignment vertical="center"/>
    </xf>
    <xf numFmtId="0" fontId="106" fillId="17" borderId="0" applyNumberFormat="0" applyBorder="0" applyAlignment="0" applyProtection="0">
      <alignment vertical="center"/>
    </xf>
    <xf numFmtId="0" fontId="106" fillId="17" borderId="0" applyNumberFormat="0" applyBorder="0" applyAlignment="0" applyProtection="0">
      <alignment vertical="center"/>
    </xf>
    <xf numFmtId="0" fontId="106" fillId="17" borderId="0" applyNumberFormat="0" applyBorder="0" applyAlignment="0" applyProtection="0">
      <alignment vertical="center"/>
    </xf>
    <xf numFmtId="0" fontId="106" fillId="17" borderId="0" applyNumberFormat="0" applyBorder="0" applyAlignment="0" applyProtection="0">
      <alignment vertical="center"/>
    </xf>
    <xf numFmtId="0" fontId="107" fillId="17" borderId="0" applyNumberFormat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</cellStyleXfs>
  <cellXfs count="724">
    <xf numFmtId="0" fontId="0" fillId="0" borderId="0" xfId="0"/>
    <xf numFmtId="0" fontId="5" fillId="0" borderId="0" xfId="0" applyFont="1" applyAlignment="1">
      <alignment shrinkToFit="1"/>
    </xf>
    <xf numFmtId="0" fontId="0" fillId="0" borderId="0" xfId="0" applyAlignment="1">
      <alignment shrinkToFit="1"/>
    </xf>
    <xf numFmtId="0" fontId="5" fillId="0" borderId="1" xfId="0" applyFont="1" applyBorder="1" applyAlignment="1">
      <alignment horizontal="right" shrinkToFit="1"/>
    </xf>
    <xf numFmtId="0" fontId="5" fillId="0" borderId="1" xfId="0" applyFont="1" applyBorder="1" applyAlignment="1">
      <alignment shrinkToFit="1"/>
    </xf>
    <xf numFmtId="0" fontId="5" fillId="0" borderId="2" xfId="0" applyFont="1" applyBorder="1" applyAlignment="1">
      <alignment shrinkToFit="1"/>
    </xf>
    <xf numFmtId="0" fontId="6" fillId="0" borderId="3" xfId="0" applyFont="1" applyBorder="1" applyAlignment="1">
      <alignment shrinkToFit="1"/>
    </xf>
    <xf numFmtId="0" fontId="6" fillId="2" borderId="1" xfId="0" applyFont="1" applyFill="1" applyBorder="1" applyAlignment="1">
      <alignment shrinkToFit="1"/>
    </xf>
    <xf numFmtId="0" fontId="5" fillId="2" borderId="1" xfId="0" applyFont="1" applyFill="1" applyBorder="1" applyAlignment="1">
      <alignment shrinkToFit="1"/>
    </xf>
    <xf numFmtId="3" fontId="5" fillId="0" borderId="1" xfId="0" applyNumberFormat="1" applyFont="1" applyBorder="1" applyAlignment="1">
      <alignment shrinkToFit="1"/>
    </xf>
    <xf numFmtId="3" fontId="5" fillId="3" borderId="1" xfId="0" applyNumberFormat="1" applyFont="1" applyFill="1" applyBorder="1" applyAlignment="1">
      <alignment shrinkToFit="1"/>
    </xf>
    <xf numFmtId="4" fontId="5" fillId="0" borderId="1" xfId="0" applyNumberFormat="1" applyFont="1" applyBorder="1" applyAlignment="1">
      <alignment horizontal="right" shrinkToFit="1"/>
    </xf>
    <xf numFmtId="10" fontId="5" fillId="2" borderId="1" xfId="0" applyNumberFormat="1" applyFont="1" applyFill="1" applyBorder="1" applyAlignment="1">
      <alignment horizontal="right" shrinkToFit="1"/>
    </xf>
    <xf numFmtId="10" fontId="5" fillId="3" borderId="1" xfId="0" applyNumberFormat="1" applyFont="1" applyFill="1" applyBorder="1" applyAlignment="1">
      <alignment shrinkToFit="1"/>
    </xf>
    <xf numFmtId="10" fontId="5" fillId="0" borderId="1" xfId="0" applyNumberFormat="1" applyFont="1" applyBorder="1" applyAlignment="1">
      <alignment shrinkToFit="1"/>
    </xf>
    <xf numFmtId="10" fontId="6" fillId="0" borderId="0" xfId="0" applyNumberFormat="1" applyFont="1" applyAlignment="1">
      <alignment shrinkToFit="1"/>
    </xf>
    <xf numFmtId="0" fontId="5" fillId="3" borderId="1" xfId="0" applyFont="1" applyFill="1" applyBorder="1" applyAlignment="1">
      <alignment shrinkToFit="1"/>
    </xf>
    <xf numFmtId="4" fontId="5" fillId="0" borderId="1" xfId="0" applyNumberFormat="1" applyFont="1" applyBorder="1" applyAlignment="1">
      <alignment shrinkToFit="1"/>
    </xf>
    <xf numFmtId="0" fontId="6" fillId="2" borderId="5" xfId="0" applyFont="1" applyFill="1" applyBorder="1" applyAlignment="1">
      <alignment shrinkToFit="1"/>
    </xf>
    <xf numFmtId="0" fontId="6" fillId="2" borderId="3" xfId="0" applyFont="1" applyFill="1" applyBorder="1" applyAlignment="1">
      <alignment shrinkToFit="1"/>
    </xf>
    <xf numFmtId="0" fontId="6" fillId="2" borderId="6" xfId="0" applyFont="1" applyFill="1" applyBorder="1" applyAlignment="1">
      <alignment shrinkToFit="1"/>
    </xf>
    <xf numFmtId="0" fontId="5" fillId="2" borderId="3" xfId="0" applyFont="1" applyFill="1" applyBorder="1" applyAlignment="1">
      <alignment shrinkToFit="1"/>
    </xf>
    <xf numFmtId="0" fontId="5" fillId="2" borderId="6" xfId="0" applyFont="1" applyFill="1" applyBorder="1" applyAlignment="1">
      <alignment shrinkToFit="1"/>
    </xf>
    <xf numFmtId="0" fontId="6" fillId="2" borderId="7" xfId="0" applyFont="1" applyFill="1" applyBorder="1" applyAlignment="1">
      <alignment shrinkToFit="1"/>
    </xf>
    <xf numFmtId="0" fontId="5" fillId="0" borderId="3" xfId="0" applyFont="1" applyBorder="1" applyAlignment="1">
      <alignment shrinkToFit="1"/>
    </xf>
    <xf numFmtId="0" fontId="5" fillId="2" borderId="7" xfId="0" applyFont="1" applyFill="1" applyBorder="1" applyAlignment="1">
      <alignment shrinkToFit="1"/>
    </xf>
    <xf numFmtId="0" fontId="6" fillId="0" borderId="8" xfId="0" applyFont="1" applyBorder="1" applyAlignment="1">
      <alignment shrinkToFit="1"/>
    </xf>
    <xf numFmtId="0" fontId="5" fillId="0" borderId="5" xfId="0" applyFont="1" applyBorder="1" applyAlignment="1">
      <alignment shrinkToFit="1"/>
    </xf>
    <xf numFmtId="0" fontId="5" fillId="0" borderId="14" xfId="0" applyFont="1" applyBorder="1" applyAlignment="1">
      <alignment shrinkToFit="1"/>
    </xf>
    <xf numFmtId="0" fontId="5" fillId="0" borderId="8" xfId="0" applyFont="1" applyBorder="1" applyAlignment="1">
      <alignment shrinkToFit="1"/>
    </xf>
    <xf numFmtId="10" fontId="5" fillId="0" borderId="5" xfId="0" applyNumberFormat="1" applyFont="1" applyBorder="1" applyAlignment="1">
      <alignment shrinkToFit="1"/>
    </xf>
    <xf numFmtId="0" fontId="5" fillId="3" borderId="5" xfId="0" applyFont="1" applyFill="1" applyBorder="1" applyAlignment="1">
      <alignment shrinkToFit="1"/>
    </xf>
    <xf numFmtId="0" fontId="5" fillId="2" borderId="15" xfId="0" applyFont="1" applyFill="1" applyBorder="1" applyAlignment="1">
      <alignment shrinkToFit="1"/>
    </xf>
    <xf numFmtId="10" fontId="5" fillId="3" borderId="17" xfId="0" applyNumberFormat="1" applyFont="1" applyFill="1" applyBorder="1" applyAlignment="1">
      <alignment shrinkToFit="1"/>
    </xf>
    <xf numFmtId="0" fontId="5" fillId="3" borderId="18" xfId="0" applyFont="1" applyFill="1" applyBorder="1" applyAlignment="1">
      <alignment shrinkToFit="1"/>
    </xf>
    <xf numFmtId="0" fontId="5" fillId="0" borderId="6" xfId="0" applyFont="1" applyBorder="1" applyAlignment="1">
      <alignment shrinkToFit="1"/>
    </xf>
    <xf numFmtId="10" fontId="5" fillId="0" borderId="6" xfId="0" applyNumberFormat="1" applyFont="1" applyBorder="1" applyAlignment="1">
      <alignment shrinkToFit="1"/>
    </xf>
    <xf numFmtId="0" fontId="5" fillId="3" borderId="6" xfId="0" applyFont="1" applyFill="1" applyBorder="1" applyAlignment="1">
      <alignment shrinkToFit="1"/>
    </xf>
    <xf numFmtId="10" fontId="5" fillId="0" borderId="0" xfId="0" applyNumberFormat="1" applyFont="1" applyAlignment="1">
      <alignment shrinkToFit="1"/>
    </xf>
    <xf numFmtId="10" fontId="5" fillId="2" borderId="1" xfId="0" applyNumberFormat="1" applyFont="1" applyFill="1" applyBorder="1" applyAlignment="1">
      <alignment shrinkToFit="1"/>
    </xf>
    <xf numFmtId="0" fontId="5" fillId="3" borderId="7" xfId="0" applyFont="1" applyFill="1" applyBorder="1" applyAlignment="1">
      <alignment shrinkToFit="1"/>
    </xf>
    <xf numFmtId="10" fontId="5" fillId="3" borderId="5" xfId="0" applyNumberFormat="1" applyFont="1" applyFill="1" applyBorder="1" applyAlignment="1">
      <alignment shrinkToFit="1"/>
    </xf>
    <xf numFmtId="0" fontId="5" fillId="0" borderId="11" xfId="0" applyFont="1" applyBorder="1" applyAlignment="1">
      <alignment shrinkToFit="1"/>
    </xf>
    <xf numFmtId="10" fontId="5" fillId="0" borderId="14" xfId="0" applyNumberFormat="1" applyFont="1" applyBorder="1" applyAlignment="1">
      <alignment shrinkToFit="1"/>
    </xf>
    <xf numFmtId="10" fontId="5" fillId="3" borderId="14" xfId="0" applyNumberFormat="1" applyFont="1" applyFill="1" applyBorder="1" applyAlignment="1">
      <alignment shrinkToFit="1"/>
    </xf>
    <xf numFmtId="0" fontId="5" fillId="2" borderId="2" xfId="0" applyFont="1" applyFill="1" applyBorder="1" applyAlignment="1">
      <alignment shrinkToFit="1"/>
    </xf>
    <xf numFmtId="0" fontId="5" fillId="2" borderId="4" xfId="0" applyFont="1" applyFill="1" applyBorder="1" applyAlignment="1">
      <alignment shrinkToFit="1"/>
    </xf>
    <xf numFmtId="0" fontId="9" fillId="0" borderId="1" xfId="0" applyFont="1" applyBorder="1" applyAlignment="1">
      <alignment shrinkToFit="1"/>
    </xf>
    <xf numFmtId="0" fontId="9" fillId="2" borderId="1" xfId="0" applyFont="1" applyFill="1" applyBorder="1" applyAlignment="1">
      <alignment horizontal="left" shrinkToFit="1"/>
    </xf>
    <xf numFmtId="0" fontId="10" fillId="2" borderId="1" xfId="0" applyFont="1" applyFill="1" applyBorder="1" applyAlignment="1">
      <alignment shrinkToFit="1"/>
    </xf>
    <xf numFmtId="0" fontId="9" fillId="2" borderId="6" xfId="0" applyFont="1" applyFill="1" applyBorder="1" applyAlignment="1">
      <alignment shrinkToFit="1"/>
    </xf>
    <xf numFmtId="0" fontId="9" fillId="2" borderId="2" xfId="0" applyFont="1" applyFill="1" applyBorder="1" applyAlignment="1">
      <alignment shrinkToFit="1"/>
    </xf>
    <xf numFmtId="0" fontId="10" fillId="2" borderId="5" xfId="0" applyFont="1" applyFill="1" applyBorder="1" applyAlignment="1">
      <alignment shrinkToFit="1"/>
    </xf>
    <xf numFmtId="0" fontId="10" fillId="2" borderId="4" xfId="0" applyFont="1" applyFill="1" applyBorder="1" applyAlignment="1">
      <alignment shrinkToFit="1"/>
    </xf>
    <xf numFmtId="0" fontId="5" fillId="2" borderId="22" xfId="0" applyFont="1" applyFill="1" applyBorder="1" applyAlignment="1">
      <alignment shrinkToFit="1"/>
    </xf>
    <xf numFmtId="0" fontId="5" fillId="2" borderId="23" xfId="0" applyFont="1" applyFill="1" applyBorder="1" applyAlignment="1">
      <alignment shrinkToFit="1"/>
    </xf>
    <xf numFmtId="0" fontId="9" fillId="2" borderId="22" xfId="0" applyFont="1" applyFill="1" applyBorder="1" applyAlignment="1">
      <alignment shrinkToFit="1"/>
    </xf>
    <xf numFmtId="0" fontId="9" fillId="2" borderId="1" xfId="0" applyFont="1" applyFill="1" applyBorder="1" applyAlignment="1">
      <alignment shrinkToFit="1"/>
    </xf>
    <xf numFmtId="0" fontId="9" fillId="2" borderId="4" xfId="0" applyFont="1" applyFill="1" applyBorder="1" applyAlignment="1">
      <alignment shrinkToFit="1"/>
    </xf>
    <xf numFmtId="0" fontId="9" fillId="2" borderId="16" xfId="0" applyFont="1" applyFill="1" applyBorder="1" applyAlignment="1">
      <alignment shrinkToFit="1"/>
    </xf>
    <xf numFmtId="0" fontId="9" fillId="4" borderId="0" xfId="0" applyFont="1" applyFill="1"/>
    <xf numFmtId="0" fontId="10" fillId="4" borderId="0" xfId="0" applyFont="1" applyFill="1" applyAlignment="1">
      <alignment shrinkToFit="1"/>
    </xf>
    <xf numFmtId="0" fontId="9" fillId="4" borderId="0" xfId="0" applyFont="1" applyFill="1" applyAlignment="1">
      <alignment shrinkToFit="1"/>
    </xf>
    <xf numFmtId="0" fontId="6" fillId="4" borderId="0" xfId="0" applyFont="1" applyFill="1" applyAlignment="1">
      <alignment shrinkToFit="1"/>
    </xf>
    <xf numFmtId="0" fontId="5" fillId="4" borderId="0" xfId="0" applyFont="1" applyFill="1"/>
    <xf numFmtId="10" fontId="5" fillId="4" borderId="0" xfId="0" applyNumberFormat="1" applyFont="1" applyFill="1" applyAlignment="1">
      <alignment shrinkToFit="1"/>
    </xf>
    <xf numFmtId="0" fontId="5" fillId="4" borderId="0" xfId="0" applyFont="1" applyFill="1" applyAlignment="1">
      <alignment shrinkToFit="1"/>
    </xf>
    <xf numFmtId="0" fontId="0" fillId="4" borderId="0" xfId="0" applyFill="1" applyAlignment="1">
      <alignment shrinkToFit="1"/>
    </xf>
    <xf numFmtId="0" fontId="5" fillId="2" borderId="24" xfId="0" applyFont="1" applyFill="1" applyBorder="1" applyAlignment="1">
      <alignment shrinkToFit="1"/>
    </xf>
    <xf numFmtId="0" fontId="10" fillId="0" borderId="11" xfId="0" applyFont="1" applyBorder="1" applyAlignment="1">
      <alignment horizontal="right" shrinkToFit="1"/>
    </xf>
    <xf numFmtId="0" fontId="10" fillId="0" borderId="3" xfId="0" applyFont="1" applyBorder="1" applyAlignment="1">
      <alignment horizontal="right" shrinkToFit="1"/>
    </xf>
    <xf numFmtId="0" fontId="12" fillId="0" borderId="0" xfId="0" applyFont="1" applyAlignment="1">
      <alignment horizontal="center"/>
    </xf>
    <xf numFmtId="10" fontId="12" fillId="0" borderId="0" xfId="0" applyNumberFormat="1" applyFont="1"/>
    <xf numFmtId="0" fontId="12" fillId="0" borderId="0" xfId="0" applyFont="1"/>
    <xf numFmtId="0" fontId="16" fillId="0" borderId="0" xfId="0" applyFont="1" applyAlignment="1">
      <alignment horizontal="left" vertical="center"/>
    </xf>
    <xf numFmtId="0" fontId="24" fillId="0" borderId="0" xfId="0" applyFont="1"/>
    <xf numFmtId="176" fontId="25" fillId="5" borderId="0" xfId="0" applyNumberFormat="1" applyFont="1" applyFill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4" fillId="0" borderId="0" xfId="0" applyFont="1" applyAlignment="1">
      <alignment horizontal="center"/>
    </xf>
    <xf numFmtId="0" fontId="24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176" fontId="25" fillId="0" borderId="0" xfId="0" applyNumberFormat="1" applyFont="1" applyAlignment="1">
      <alignment horizontal="center" vertical="center"/>
    </xf>
    <xf numFmtId="179" fontId="24" fillId="0" borderId="0" xfId="0" applyNumberFormat="1" applyFont="1" applyAlignment="1">
      <alignment horizontal="center"/>
    </xf>
    <xf numFmtId="176" fontId="24" fillId="0" borderId="0" xfId="0" applyNumberFormat="1" applyFont="1"/>
    <xf numFmtId="177" fontId="24" fillId="0" borderId="0" xfId="0" applyNumberFormat="1" applyFont="1"/>
    <xf numFmtId="178" fontId="24" fillId="0" borderId="0" xfId="0" applyNumberFormat="1" applyFont="1"/>
    <xf numFmtId="10" fontId="24" fillId="0" borderId="0" xfId="0" applyNumberFormat="1" applyFont="1"/>
    <xf numFmtId="176" fontId="25" fillId="6" borderId="0" xfId="0" applyNumberFormat="1" applyFont="1" applyFill="1" applyAlignment="1">
      <alignment horizontal="center" vertical="center"/>
    </xf>
    <xf numFmtId="176" fontId="25" fillId="7" borderId="0" xfId="0" applyNumberFormat="1" applyFont="1" applyFill="1" applyAlignment="1">
      <alignment horizontal="center" vertical="center"/>
    </xf>
    <xf numFmtId="180" fontId="24" fillId="0" borderId="0" xfId="0" applyNumberFormat="1" applyFont="1"/>
    <xf numFmtId="180" fontId="12" fillId="0" borderId="0" xfId="0" applyNumberFormat="1" applyFont="1"/>
    <xf numFmtId="176" fontId="15" fillId="0" borderId="0" xfId="0" applyNumberFormat="1" applyFont="1" applyAlignment="1">
      <alignment horizontal="center" vertical="center"/>
    </xf>
    <xf numFmtId="180" fontId="15" fillId="0" borderId="0" xfId="0" applyNumberFormat="1" applyFont="1" applyAlignment="1">
      <alignment horizontal="center" vertical="center"/>
    </xf>
    <xf numFmtId="182" fontId="24" fillId="0" borderId="0" xfId="0" applyNumberFormat="1" applyFont="1"/>
    <xf numFmtId="182" fontId="25" fillId="0" borderId="22" xfId="0" applyNumberFormat="1" applyFont="1" applyBorder="1" applyAlignment="1">
      <alignment horizontal="center" vertical="center"/>
    </xf>
    <xf numFmtId="10" fontId="25" fillId="0" borderId="22" xfId="0" applyNumberFormat="1" applyFont="1" applyBorder="1" applyAlignment="1">
      <alignment horizontal="center" vertical="center"/>
    </xf>
    <xf numFmtId="10" fontId="24" fillId="0" borderId="22" xfId="0" applyNumberFormat="1" applyFont="1" applyBorder="1"/>
    <xf numFmtId="182" fontId="24" fillId="0" borderId="0" xfId="0" applyNumberFormat="1" applyFont="1" applyAlignment="1">
      <alignment horizontal="center"/>
    </xf>
    <xf numFmtId="0" fontId="27" fillId="0" borderId="0" xfId="0" applyFont="1"/>
    <xf numFmtId="177" fontId="24" fillId="0" borderId="0" xfId="0" applyNumberFormat="1" applyFont="1" applyAlignment="1">
      <alignment horizontal="center"/>
    </xf>
    <xf numFmtId="177" fontId="15" fillId="0" borderId="22" xfId="0" applyNumberFormat="1" applyFont="1" applyBorder="1" applyAlignment="1">
      <alignment horizontal="center" vertical="center"/>
    </xf>
    <xf numFmtId="177" fontId="24" fillId="0" borderId="22" xfId="0" applyNumberFormat="1" applyFont="1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 shrinkToFit="1"/>
    </xf>
    <xf numFmtId="0" fontId="0" fillId="0" borderId="0" xfId="0" applyAlignment="1">
      <alignment horizontal="center" vertical="center" shrinkToFit="1"/>
    </xf>
    <xf numFmtId="0" fontId="0" fillId="0" borderId="0" xfId="0" applyAlignment="1">
      <alignment wrapText="1" shrinkToFit="1"/>
    </xf>
    <xf numFmtId="0" fontId="5" fillId="0" borderId="3" xfId="0" applyFont="1" applyBorder="1" applyAlignment="1">
      <alignment vertical="center" shrinkToFit="1"/>
    </xf>
    <xf numFmtId="0" fontId="5" fillId="0" borderId="8" xfId="0" applyFont="1" applyBorder="1" applyAlignment="1">
      <alignment vertical="center" shrinkToFit="1"/>
    </xf>
    <xf numFmtId="0" fontId="9" fillId="2" borderId="1" xfId="0" applyFont="1" applyFill="1" applyBorder="1" applyAlignment="1">
      <alignment horizontal="center" vertical="center" shrinkToFit="1"/>
    </xf>
    <xf numFmtId="0" fontId="9" fillId="2" borderId="4" xfId="0" applyFont="1" applyFill="1" applyBorder="1" applyAlignment="1">
      <alignment horizontal="center" vertical="center" shrinkToFit="1"/>
    </xf>
    <xf numFmtId="0" fontId="9" fillId="2" borderId="2" xfId="0" applyFont="1" applyFill="1" applyBorder="1" applyAlignment="1">
      <alignment horizontal="center" vertical="center" shrinkToFit="1"/>
    </xf>
    <xf numFmtId="0" fontId="9" fillId="2" borderId="3" xfId="0" applyFont="1" applyFill="1" applyBorder="1" applyAlignment="1">
      <alignment horizontal="center" vertical="center" shrinkToFit="1"/>
    </xf>
    <xf numFmtId="0" fontId="5" fillId="2" borderId="1" xfId="0" applyFont="1" applyFill="1" applyBorder="1" applyAlignment="1">
      <alignment horizontal="center" vertical="center" shrinkToFit="1"/>
    </xf>
    <xf numFmtId="0" fontId="9" fillId="2" borderId="16" xfId="0" applyFont="1" applyFill="1" applyBorder="1" applyAlignment="1">
      <alignment horizontal="center" shrinkToFit="1"/>
    </xf>
    <xf numFmtId="0" fontId="24" fillId="0" borderId="0" xfId="0" applyFont="1" applyAlignment="1">
      <alignment shrinkToFit="1"/>
    </xf>
    <xf numFmtId="0" fontId="24" fillId="4" borderId="0" xfId="0" applyFont="1" applyFill="1" applyAlignment="1">
      <alignment shrinkToFit="1"/>
    </xf>
    <xf numFmtId="0" fontId="26" fillId="0" borderId="0" xfId="0" applyFont="1" applyAlignment="1">
      <alignment shrinkToFit="1"/>
    </xf>
    <xf numFmtId="0" fontId="44" fillId="0" borderId="0" xfId="0" applyFont="1" applyAlignment="1">
      <alignment shrinkToFit="1"/>
    </xf>
    <xf numFmtId="0" fontId="24" fillId="0" borderId="22" xfId="0" applyFont="1" applyBorder="1" applyAlignment="1">
      <alignment shrinkToFit="1"/>
    </xf>
    <xf numFmtId="0" fontId="24" fillId="0" borderId="0" xfId="0" applyFont="1" applyAlignment="1">
      <alignment horizontal="center" shrinkToFit="1"/>
    </xf>
    <xf numFmtId="0" fontId="26" fillId="0" borderId="0" xfId="0" applyFont="1" applyAlignment="1">
      <alignment horizontal="center" shrinkToFit="1"/>
    </xf>
    <xf numFmtId="0" fontId="24" fillId="0" borderId="0" xfId="0" applyFont="1" applyAlignment="1">
      <alignment horizontal="center" vertical="center" shrinkToFit="1"/>
    </xf>
    <xf numFmtId="0" fontId="44" fillId="0" borderId="22" xfId="0" applyFont="1" applyBorder="1" applyAlignment="1">
      <alignment shrinkToFit="1"/>
    </xf>
    <xf numFmtId="4" fontId="26" fillId="0" borderId="22" xfId="0" applyNumberFormat="1" applyFont="1" applyBorder="1" applyAlignment="1">
      <alignment shrinkToFit="1"/>
    </xf>
    <xf numFmtId="0" fontId="26" fillId="4" borderId="0" xfId="0" applyFont="1" applyFill="1" applyAlignment="1">
      <alignment shrinkToFit="1"/>
    </xf>
    <xf numFmtId="0" fontId="48" fillId="0" borderId="0" xfId="0" applyFont="1"/>
    <xf numFmtId="0" fontId="50" fillId="0" borderId="0" xfId="0" applyFont="1"/>
    <xf numFmtId="10" fontId="44" fillId="0" borderId="0" xfId="0" applyNumberFormat="1" applyFont="1" applyAlignment="1">
      <alignment shrinkToFit="1"/>
    </xf>
    <xf numFmtId="0" fontId="45" fillId="0" borderId="0" xfId="0" applyFont="1"/>
    <xf numFmtId="0" fontId="51" fillId="0" borderId="22" xfId="0" applyFont="1" applyBorder="1" applyAlignment="1">
      <alignment horizontal="center" vertical="center" shrinkToFit="1"/>
    </xf>
    <xf numFmtId="0" fontId="51" fillId="8" borderId="22" xfId="0" applyFont="1" applyFill="1" applyBorder="1" applyAlignment="1">
      <alignment horizontal="center" vertical="center" shrinkToFit="1"/>
    </xf>
    <xf numFmtId="0" fontId="44" fillId="0" borderId="22" xfId="0" applyFont="1" applyBorder="1" applyAlignment="1">
      <alignment horizontal="center" shrinkToFit="1"/>
    </xf>
    <xf numFmtId="3" fontId="26" fillId="0" borderId="22" xfId="0" applyNumberFormat="1" applyFont="1" applyBorder="1" applyAlignment="1">
      <alignment shrinkToFit="1"/>
    </xf>
    <xf numFmtId="10" fontId="26" fillId="0" borderId="22" xfId="0" applyNumberFormat="1" applyFont="1" applyBorder="1" applyAlignment="1">
      <alignment shrinkToFit="1"/>
    </xf>
    <xf numFmtId="4" fontId="26" fillId="0" borderId="22" xfId="0" applyNumberFormat="1" applyFont="1" applyBorder="1" applyAlignment="1">
      <alignment horizontal="right" shrinkToFit="1"/>
    </xf>
    <xf numFmtId="0" fontId="44" fillId="0" borderId="22" xfId="0" applyFont="1" applyBorder="1" applyAlignment="1">
      <alignment horizontal="center" vertical="center" shrinkToFit="1"/>
    </xf>
    <xf numFmtId="0" fontId="52" fillId="0" borderId="22" xfId="0" applyFont="1" applyBorder="1" applyAlignment="1">
      <alignment horizontal="center" shrinkToFit="1"/>
    </xf>
    <xf numFmtId="0" fontId="5" fillId="0" borderId="0" xfId="0" applyFont="1" applyAlignment="1">
      <alignment horizontal="center" vertical="center" shrinkToFit="1"/>
    </xf>
    <xf numFmtId="0" fontId="5" fillId="0" borderId="0" xfId="0" applyFont="1" applyAlignment="1">
      <alignment horizontal="right" shrinkToFit="1"/>
    </xf>
    <xf numFmtId="0" fontId="9" fillId="0" borderId="0" xfId="0" applyFont="1" applyAlignment="1">
      <alignment shrinkToFit="1"/>
    </xf>
    <xf numFmtId="0" fontId="24" fillId="4" borderId="0" xfId="0" applyFont="1" applyFill="1" applyAlignment="1">
      <alignment horizontal="center" vertical="center" shrinkToFit="1"/>
    </xf>
    <xf numFmtId="0" fontId="24" fillId="4" borderId="0" xfId="0" applyFont="1" applyFill="1" applyAlignment="1">
      <alignment horizontal="center" shrinkToFit="1"/>
    </xf>
    <xf numFmtId="0" fontId="26" fillId="0" borderId="22" xfId="0" applyFont="1" applyBorder="1" applyAlignment="1">
      <alignment horizontal="center" vertical="center" shrinkToFit="1"/>
    </xf>
    <xf numFmtId="0" fontId="26" fillId="0" borderId="22" xfId="0" applyFont="1" applyBorder="1" applyAlignment="1">
      <alignment horizontal="center" shrinkToFit="1"/>
    </xf>
    <xf numFmtId="0" fontId="24" fillId="4" borderId="22" xfId="0" applyFont="1" applyFill="1" applyBorder="1" applyAlignment="1">
      <alignment horizontal="center" shrinkToFit="1"/>
    </xf>
    <xf numFmtId="0" fontId="26" fillId="4" borderId="22" xfId="0" applyFont="1" applyFill="1" applyBorder="1" applyAlignment="1">
      <alignment horizontal="center" shrinkToFit="1"/>
    </xf>
    <xf numFmtId="0" fontId="24" fillId="0" borderId="0" xfId="0" applyFont="1" applyAlignment="1">
      <alignment vertical="center" shrinkToFit="1"/>
    </xf>
    <xf numFmtId="0" fontId="26" fillId="2" borderId="22" xfId="0" applyFont="1" applyFill="1" applyBorder="1" applyAlignment="1">
      <alignment horizontal="center" vertical="center" shrinkToFit="1"/>
    </xf>
    <xf numFmtId="0" fontId="26" fillId="0" borderId="22" xfId="0" applyFont="1" applyBorder="1" applyAlignment="1">
      <alignment shrinkToFit="1"/>
    </xf>
    <xf numFmtId="0" fontId="44" fillId="0" borderId="22" xfId="0" applyFont="1" applyBorder="1" applyAlignment="1">
      <alignment horizontal="right" shrinkToFit="1"/>
    </xf>
    <xf numFmtId="0" fontId="26" fillId="5" borderId="22" xfId="0" applyFont="1" applyFill="1" applyBorder="1" applyAlignment="1">
      <alignment horizontal="center" vertical="center" shrinkToFit="1"/>
    </xf>
    <xf numFmtId="0" fontId="26" fillId="5" borderId="22" xfId="0" applyFont="1" applyFill="1" applyBorder="1" applyAlignment="1">
      <alignment horizontal="center" shrinkToFit="1"/>
    </xf>
    <xf numFmtId="0" fontId="44" fillId="5" borderId="22" xfId="0" applyFont="1" applyFill="1" applyBorder="1" applyAlignment="1">
      <alignment horizontal="center" shrinkToFit="1"/>
    </xf>
    <xf numFmtId="0" fontId="24" fillId="5" borderId="22" xfId="0" applyFont="1" applyFill="1" applyBorder="1" applyAlignment="1">
      <alignment horizontal="center" shrinkToFit="1"/>
    </xf>
    <xf numFmtId="0" fontId="26" fillId="2" borderId="1" xfId="0" applyFont="1" applyFill="1" applyBorder="1" applyAlignment="1">
      <alignment horizontal="center" vertical="center" shrinkToFit="1"/>
    </xf>
    <xf numFmtId="0" fontId="26" fillId="0" borderId="3" xfId="0" applyFont="1" applyBorder="1" applyAlignment="1">
      <alignment vertical="center" shrinkToFit="1"/>
    </xf>
    <xf numFmtId="0" fontId="26" fillId="0" borderId="1" xfId="0" applyFont="1" applyBorder="1" applyAlignment="1">
      <alignment shrinkToFit="1"/>
    </xf>
    <xf numFmtId="0" fontId="26" fillId="0" borderId="8" xfId="0" applyFont="1" applyBorder="1" applyAlignment="1">
      <alignment vertical="center" shrinkToFit="1"/>
    </xf>
    <xf numFmtId="0" fontId="26" fillId="0" borderId="5" xfId="0" applyFont="1" applyBorder="1" applyAlignment="1">
      <alignment shrinkToFit="1"/>
    </xf>
    <xf numFmtId="0" fontId="24" fillId="0" borderId="0" xfId="0" applyFont="1" applyAlignment="1">
      <alignment wrapText="1" shrinkToFit="1"/>
    </xf>
    <xf numFmtId="0" fontId="24" fillId="0" borderId="0" xfId="0" applyFont="1" applyAlignment="1">
      <alignment horizontal="center" vertical="center" wrapText="1" shrinkToFit="1"/>
    </xf>
    <xf numFmtId="10" fontId="26" fillId="2" borderId="22" xfId="0" applyNumberFormat="1" applyFont="1" applyFill="1" applyBorder="1" applyAlignment="1">
      <alignment horizontal="center" vertical="center" shrinkToFit="1"/>
    </xf>
    <xf numFmtId="10" fontId="26" fillId="3" borderId="22" xfId="0" applyNumberFormat="1" applyFont="1" applyFill="1" applyBorder="1" applyAlignment="1">
      <alignment shrinkToFit="1"/>
    </xf>
    <xf numFmtId="0" fontId="26" fillId="2" borderId="23" xfId="0" applyFont="1" applyFill="1" applyBorder="1" applyAlignment="1">
      <alignment horizontal="center" vertical="center" shrinkToFit="1"/>
    </xf>
    <xf numFmtId="10" fontId="26" fillId="2" borderId="23" xfId="0" applyNumberFormat="1" applyFont="1" applyFill="1" applyBorder="1" applyAlignment="1">
      <alignment horizontal="center" vertical="center" shrinkToFit="1"/>
    </xf>
    <xf numFmtId="1" fontId="0" fillId="0" borderId="22" xfId="0" applyNumberFormat="1" applyBorder="1" applyAlignment="1">
      <alignment horizontal="center" vertical="center"/>
    </xf>
    <xf numFmtId="0" fontId="24" fillId="0" borderId="0" xfId="11" applyFont="1" applyAlignment="1">
      <alignment shrinkToFit="1"/>
    </xf>
    <xf numFmtId="0" fontId="24" fillId="4" borderId="0" xfId="11" applyFont="1" applyFill="1" applyAlignment="1">
      <alignment shrinkToFit="1"/>
    </xf>
    <xf numFmtId="0" fontId="45" fillId="0" borderId="0" xfId="11" applyFont="1" applyAlignment="1">
      <alignment shrinkToFit="1"/>
    </xf>
    <xf numFmtId="184" fontId="63" fillId="0" borderId="0" xfId="11" applyNumberFormat="1" applyFont="1" applyAlignment="1">
      <alignment shrinkToFit="1"/>
    </xf>
    <xf numFmtId="0" fontId="44" fillId="0" borderId="6" xfId="11" applyFont="1" applyBorder="1" applyAlignment="1">
      <alignment horizontal="center" shrinkToFit="1"/>
    </xf>
    <xf numFmtId="3" fontId="34" fillId="0" borderId="6" xfId="11" applyNumberFormat="1" applyFont="1" applyBorder="1" applyAlignment="1">
      <alignment shrinkToFit="1"/>
    </xf>
    <xf numFmtId="10" fontId="34" fillId="0" borderId="6" xfId="11" applyNumberFormat="1" applyFont="1" applyBorder="1" applyAlignment="1">
      <alignment shrinkToFit="1"/>
    </xf>
    <xf numFmtId="3" fontId="26" fillId="0" borderId="22" xfId="11" applyNumberFormat="1" applyFont="1" applyBorder="1" applyAlignment="1">
      <alignment shrinkToFit="1"/>
    </xf>
    <xf numFmtId="10" fontId="26" fillId="0" borderId="22" xfId="11" applyNumberFormat="1" applyFont="1" applyBorder="1" applyAlignment="1">
      <alignment shrinkToFit="1"/>
    </xf>
    <xf numFmtId="0" fontId="44" fillId="0" borderId="1" xfId="11" applyFont="1" applyBorder="1" applyAlignment="1">
      <alignment horizontal="center" shrinkToFit="1"/>
    </xf>
    <xf numFmtId="3" fontId="34" fillId="0" borderId="1" xfId="11" applyNumberFormat="1" applyFont="1" applyBorder="1" applyAlignment="1">
      <alignment shrinkToFit="1"/>
    </xf>
    <xf numFmtId="0" fontId="33" fillId="0" borderId="34" xfId="0" applyFont="1" applyBorder="1" applyAlignment="1">
      <alignment horizontal="left" vertical="center"/>
    </xf>
    <xf numFmtId="0" fontId="33" fillId="0" borderId="36" xfId="0" applyFont="1" applyBorder="1" applyAlignment="1">
      <alignment horizontal="left" vertical="center"/>
    </xf>
    <xf numFmtId="0" fontId="0" fillId="0" borderId="22" xfId="0" applyBorder="1" applyAlignment="1">
      <alignment horizontal="center" vertical="center"/>
    </xf>
    <xf numFmtId="0" fontId="33" fillId="0" borderId="0" xfId="0" applyFont="1" applyAlignment="1">
      <alignment horizontal="left" vertical="center"/>
    </xf>
    <xf numFmtId="0" fontId="33" fillId="0" borderId="26" xfId="0" applyFont="1" applyBorder="1" applyAlignment="1">
      <alignment horizontal="left" vertical="center"/>
    </xf>
    <xf numFmtId="0" fontId="33" fillId="0" borderId="32" xfId="0" applyFont="1" applyBorder="1" applyAlignment="1">
      <alignment horizontal="left" vertical="center"/>
    </xf>
    <xf numFmtId="0" fontId="33" fillId="0" borderId="37" xfId="0" applyFont="1" applyBorder="1" applyAlignment="1">
      <alignment horizontal="left" vertical="center"/>
    </xf>
    <xf numFmtId="0" fontId="5" fillId="0" borderId="0" xfId="5"/>
    <xf numFmtId="0" fontId="68" fillId="8" borderId="30" xfId="5" applyFont="1" applyFill="1" applyBorder="1"/>
    <xf numFmtId="0" fontId="68" fillId="0" borderId="0" xfId="5" applyFont="1"/>
    <xf numFmtId="0" fontId="68" fillId="0" borderId="22" xfId="5" applyFont="1" applyBorder="1"/>
    <xf numFmtId="0" fontId="68" fillId="8" borderId="22" xfId="5" applyFont="1" applyFill="1" applyBorder="1"/>
    <xf numFmtId="185" fontId="24" fillId="0" borderId="0" xfId="0" applyNumberFormat="1" applyFont="1"/>
    <xf numFmtId="0" fontId="26" fillId="0" borderId="22" xfId="11" applyFont="1" applyBorder="1" applyAlignment="1">
      <alignment horizontal="center" vertical="center" shrinkToFit="1"/>
    </xf>
    <xf numFmtId="0" fontId="69" fillId="0" borderId="22" xfId="0" applyFont="1" applyBorder="1" applyAlignment="1">
      <alignment horizontal="center" vertical="center" shrinkToFit="1"/>
    </xf>
    <xf numFmtId="0" fontId="52" fillId="0" borderId="22" xfId="0" applyFont="1" applyBorder="1" applyAlignment="1">
      <alignment horizontal="center" vertical="center" shrinkToFit="1"/>
    </xf>
    <xf numFmtId="0" fontId="52" fillId="0" borderId="22" xfId="0" applyFont="1" applyBorder="1" applyAlignment="1">
      <alignment shrinkToFit="1"/>
    </xf>
    <xf numFmtId="183" fontId="0" fillId="0" borderId="0" xfId="0" applyNumberFormat="1" applyAlignment="1">
      <alignment horizontal="center" vertical="center"/>
    </xf>
    <xf numFmtId="0" fontId="70" fillId="0" borderId="0" xfId="0" applyFont="1" applyAlignment="1">
      <alignment vertical="center"/>
    </xf>
    <xf numFmtId="0" fontId="62" fillId="2" borderId="22" xfId="0" applyFont="1" applyFill="1" applyBorder="1" applyAlignment="1">
      <alignment horizontal="center" vertical="center" shrinkToFit="1"/>
    </xf>
    <xf numFmtId="0" fontId="27" fillId="5" borderId="23" xfId="11" applyFont="1" applyFill="1" applyBorder="1" applyAlignment="1">
      <alignment horizontal="center" vertical="center"/>
    </xf>
    <xf numFmtId="3" fontId="26" fillId="5" borderId="22" xfId="0" applyNumberFormat="1" applyFont="1" applyFill="1" applyBorder="1" applyAlignment="1">
      <alignment shrinkToFit="1"/>
    </xf>
    <xf numFmtId="10" fontId="26" fillId="5" borderId="22" xfId="0" applyNumberFormat="1" applyFont="1" applyFill="1" applyBorder="1" applyAlignment="1">
      <alignment shrinkToFit="1"/>
    </xf>
    <xf numFmtId="0" fontId="0" fillId="5" borderId="22" xfId="0" applyFill="1" applyBorder="1" applyAlignment="1">
      <alignment horizontal="center" vertical="center"/>
    </xf>
    <xf numFmtId="186" fontId="73" fillId="0" borderId="22" xfId="0" applyNumberFormat="1" applyFont="1" applyBorder="1"/>
    <xf numFmtId="186" fontId="24" fillId="0" borderId="0" xfId="0" applyNumberFormat="1" applyFont="1"/>
    <xf numFmtId="180" fontId="24" fillId="9" borderId="0" xfId="0" applyNumberFormat="1" applyFont="1" applyFill="1"/>
    <xf numFmtId="187" fontId="24" fillId="9" borderId="0" xfId="0" applyNumberFormat="1" applyFont="1" applyFill="1"/>
    <xf numFmtId="177" fontId="24" fillId="9" borderId="0" xfId="0" applyNumberFormat="1" applyFont="1" applyFill="1"/>
    <xf numFmtId="186" fontId="24" fillId="9" borderId="0" xfId="0" applyNumberFormat="1" applyFont="1" applyFill="1"/>
    <xf numFmtId="185" fontId="24" fillId="9" borderId="0" xfId="0" applyNumberFormat="1" applyFont="1" applyFill="1"/>
    <xf numFmtId="186" fontId="73" fillId="9" borderId="22" xfId="0" applyNumberFormat="1" applyFont="1" applyFill="1" applyBorder="1"/>
    <xf numFmtId="177" fontId="24" fillId="9" borderId="22" xfId="0" applyNumberFormat="1" applyFont="1" applyFill="1" applyBorder="1"/>
    <xf numFmtId="188" fontId="26" fillId="0" borderId="22" xfId="14" applyNumberFormat="1" applyFont="1" applyFill="1" applyBorder="1" applyAlignment="1">
      <alignment shrinkToFit="1"/>
    </xf>
    <xf numFmtId="189" fontId="26" fillId="5" borderId="22" xfId="0" applyNumberFormat="1" applyFont="1" applyFill="1" applyBorder="1" applyAlignment="1">
      <alignment shrinkToFit="1"/>
    </xf>
    <xf numFmtId="3" fontId="26" fillId="5" borderId="22" xfId="0" applyNumberFormat="1" applyFont="1" applyFill="1" applyBorder="1" applyAlignment="1">
      <alignment horizontal="right" shrinkToFit="1"/>
    </xf>
    <xf numFmtId="188" fontId="26" fillId="5" borderId="22" xfId="14" applyNumberFormat="1" applyFont="1" applyFill="1" applyBorder="1" applyAlignment="1">
      <alignment shrinkToFit="1"/>
    </xf>
    <xf numFmtId="190" fontId="26" fillId="5" borderId="22" xfId="14" applyNumberFormat="1" applyFont="1" applyFill="1" applyBorder="1" applyAlignment="1">
      <alignment shrinkToFit="1"/>
    </xf>
    <xf numFmtId="191" fontId="26" fillId="0" borderId="22" xfId="0" applyNumberFormat="1" applyFont="1" applyBorder="1" applyAlignment="1">
      <alignment shrinkToFit="1"/>
    </xf>
    <xf numFmtId="10" fontId="26" fillId="3" borderId="22" xfId="0" applyNumberFormat="1" applyFont="1" applyFill="1" applyBorder="1" applyAlignment="1">
      <alignment horizontal="center" shrinkToFit="1"/>
    </xf>
    <xf numFmtId="0" fontId="9" fillId="2" borderId="22" xfId="0" applyFont="1" applyFill="1" applyBorder="1" applyAlignment="1">
      <alignment horizontal="center" shrinkToFit="1"/>
    </xf>
    <xf numFmtId="183" fontId="26" fillId="3" borderId="18" xfId="0" applyNumberFormat="1" applyFont="1" applyFill="1" applyBorder="1" applyAlignment="1">
      <alignment shrinkToFit="1"/>
    </xf>
    <xf numFmtId="189" fontId="24" fillId="9" borderId="0" xfId="0" applyNumberFormat="1" applyFont="1" applyFill="1"/>
    <xf numFmtId="189" fontId="26" fillId="0" borderId="22" xfId="0" applyNumberFormat="1" applyFont="1" applyBorder="1" applyAlignment="1">
      <alignment shrinkToFit="1"/>
    </xf>
    <xf numFmtId="185" fontId="26" fillId="5" borderId="22" xfId="0" applyNumberFormat="1" applyFont="1" applyFill="1" applyBorder="1" applyAlignment="1">
      <alignment shrinkToFit="1"/>
    </xf>
    <xf numFmtId="185" fontId="26" fillId="0" borderId="22" xfId="0" applyNumberFormat="1" applyFont="1" applyBorder="1" applyAlignment="1">
      <alignment shrinkToFit="1"/>
    </xf>
    <xf numFmtId="183" fontId="24" fillId="0" borderId="0" xfId="0" applyNumberFormat="1" applyFont="1" applyAlignment="1">
      <alignment shrinkToFit="1"/>
    </xf>
    <xf numFmtId="9" fontId="26" fillId="5" borderId="22" xfId="0" applyNumberFormat="1" applyFont="1" applyFill="1" applyBorder="1" applyAlignment="1">
      <alignment shrinkToFit="1"/>
    </xf>
    <xf numFmtId="9" fontId="26" fillId="0" borderId="22" xfId="0" applyNumberFormat="1" applyFont="1" applyBorder="1" applyAlignment="1">
      <alignment shrinkToFit="1"/>
    </xf>
    <xf numFmtId="3" fontId="45" fillId="5" borderId="22" xfId="0" applyNumberFormat="1" applyFont="1" applyFill="1" applyBorder="1" applyAlignment="1">
      <alignment shrinkToFit="1"/>
    </xf>
    <xf numFmtId="10" fontId="45" fillId="5" borderId="22" xfId="0" applyNumberFormat="1" applyFont="1" applyFill="1" applyBorder="1" applyAlignment="1">
      <alignment shrinkToFit="1"/>
    </xf>
    <xf numFmtId="189" fontId="45" fillId="5" borderId="22" xfId="0" applyNumberFormat="1" applyFont="1" applyFill="1" applyBorder="1" applyAlignment="1">
      <alignment shrinkToFit="1"/>
    </xf>
    <xf numFmtId="185" fontId="45" fillId="5" borderId="22" xfId="0" applyNumberFormat="1" applyFont="1" applyFill="1" applyBorder="1" applyAlignment="1">
      <alignment shrinkToFit="1"/>
    </xf>
    <xf numFmtId="190" fontId="45" fillId="5" borderId="22" xfId="14" applyNumberFormat="1" applyFont="1" applyFill="1" applyBorder="1" applyAlignment="1">
      <alignment shrinkToFit="1"/>
    </xf>
    <xf numFmtId="191" fontId="26" fillId="0" borderId="22" xfId="0" applyNumberFormat="1" applyFont="1" applyBorder="1" applyAlignment="1">
      <alignment horizontal="right" shrinkToFit="1"/>
    </xf>
    <xf numFmtId="191" fontId="45" fillId="5" borderId="22" xfId="0" applyNumberFormat="1" applyFont="1" applyFill="1" applyBorder="1" applyAlignment="1">
      <alignment horizontal="right" shrinkToFit="1"/>
    </xf>
    <xf numFmtId="190" fontId="26" fillId="0" borderId="22" xfId="14" applyNumberFormat="1" applyFont="1" applyFill="1" applyBorder="1" applyAlignment="1">
      <alignment horizontal="right" shrinkToFit="1"/>
    </xf>
    <xf numFmtId="0" fontId="24" fillId="10" borderId="0" xfId="0" applyFont="1" applyFill="1" applyAlignment="1">
      <alignment shrinkToFit="1"/>
    </xf>
    <xf numFmtId="0" fontId="44" fillId="2" borderId="22" xfId="0" applyFont="1" applyFill="1" applyBorder="1" applyAlignment="1">
      <alignment horizontal="center" shrinkToFit="1"/>
    </xf>
    <xf numFmtId="10" fontId="24" fillId="11" borderId="22" xfId="0" applyNumberFormat="1" applyFont="1" applyFill="1" applyBorder="1"/>
    <xf numFmtId="177" fontId="74" fillId="11" borderId="0" xfId="0" applyNumberFormat="1" applyFont="1" applyFill="1"/>
    <xf numFmtId="177" fontId="74" fillId="0" borderId="0" xfId="0" applyNumberFormat="1" applyFont="1"/>
    <xf numFmtId="10" fontId="79" fillId="11" borderId="22" xfId="0" applyNumberFormat="1" applyFont="1" applyFill="1" applyBorder="1"/>
    <xf numFmtId="177" fontId="79" fillId="0" borderId="0" xfId="0" applyNumberFormat="1" applyFont="1"/>
    <xf numFmtId="10" fontId="79" fillId="0" borderId="0" xfId="0" applyNumberFormat="1" applyFont="1"/>
    <xf numFmtId="3" fontId="79" fillId="0" borderId="0" xfId="0" applyNumberFormat="1" applyFont="1"/>
    <xf numFmtId="186" fontId="73" fillId="11" borderId="22" xfId="0" applyNumberFormat="1" applyFont="1" applyFill="1" applyBorder="1"/>
    <xf numFmtId="3" fontId="26" fillId="12" borderId="22" xfId="0" applyNumberFormat="1" applyFont="1" applyFill="1" applyBorder="1" applyAlignment="1">
      <alignment shrinkToFit="1"/>
    </xf>
    <xf numFmtId="10" fontId="26" fillId="12" borderId="22" xfId="0" applyNumberFormat="1" applyFont="1" applyFill="1" applyBorder="1" applyAlignment="1">
      <alignment shrinkToFit="1"/>
    </xf>
    <xf numFmtId="183" fontId="26" fillId="0" borderId="22" xfId="0" applyNumberFormat="1" applyFont="1" applyBorder="1" applyAlignment="1">
      <alignment shrinkToFit="1"/>
    </xf>
    <xf numFmtId="3" fontId="26" fillId="0" borderId="22" xfId="0" applyNumberFormat="1" applyFont="1" applyBorder="1" applyAlignment="1">
      <alignment horizontal="right" shrinkToFit="1"/>
    </xf>
    <xf numFmtId="180" fontId="24" fillId="10" borderId="0" xfId="0" applyNumberFormat="1" applyFont="1" applyFill="1"/>
    <xf numFmtId="4" fontId="26" fillId="12" borderId="22" xfId="0" applyNumberFormat="1" applyFont="1" applyFill="1" applyBorder="1" applyAlignment="1">
      <alignment horizontal="right" shrinkToFit="1"/>
    </xf>
    <xf numFmtId="189" fontId="26" fillId="12" borderId="22" xfId="0" applyNumberFormat="1" applyFont="1" applyFill="1" applyBorder="1" applyAlignment="1">
      <alignment shrinkToFit="1"/>
    </xf>
    <xf numFmtId="185" fontId="26" fillId="12" borderId="22" xfId="0" applyNumberFormat="1" applyFont="1" applyFill="1" applyBorder="1" applyAlignment="1">
      <alignment shrinkToFit="1"/>
    </xf>
    <xf numFmtId="183" fontId="5" fillId="0" borderId="0" xfId="0" applyNumberFormat="1" applyFont="1" applyAlignment="1">
      <alignment horizontal="right" vertical="center" shrinkToFit="1"/>
    </xf>
    <xf numFmtId="185" fontId="24" fillId="10" borderId="0" xfId="0" applyNumberFormat="1" applyFont="1" applyFill="1"/>
    <xf numFmtId="189" fontId="24" fillId="10" borderId="0" xfId="0" applyNumberFormat="1" applyFont="1" applyFill="1"/>
    <xf numFmtId="191" fontId="24" fillId="0" borderId="0" xfId="0" applyNumberFormat="1" applyFont="1" applyAlignment="1">
      <alignment shrinkToFit="1"/>
    </xf>
    <xf numFmtId="187" fontId="24" fillId="0" borderId="0" xfId="0" applyNumberFormat="1" applyFont="1"/>
    <xf numFmtId="189" fontId="24" fillId="0" borderId="0" xfId="0" applyNumberFormat="1" applyFont="1"/>
    <xf numFmtId="179" fontId="63" fillId="0" borderId="0" xfId="0" applyNumberFormat="1" applyFont="1" applyAlignment="1">
      <alignment horizontal="center"/>
    </xf>
    <xf numFmtId="176" fontId="45" fillId="0" borderId="0" xfId="0" applyNumberFormat="1" applyFont="1" applyAlignment="1">
      <alignment horizontal="center" vertical="center"/>
    </xf>
    <xf numFmtId="183" fontId="5" fillId="3" borderId="1" xfId="0" applyNumberFormat="1" applyFont="1" applyFill="1" applyBorder="1" applyAlignment="1">
      <alignment shrinkToFit="1"/>
    </xf>
    <xf numFmtId="177" fontId="24" fillId="0" borderId="0" xfId="0" applyNumberFormat="1" applyFont="1" applyAlignment="1">
      <alignment horizontal="right"/>
    </xf>
    <xf numFmtId="183" fontId="26" fillId="12" borderId="22" xfId="0" applyNumberFormat="1" applyFont="1" applyFill="1" applyBorder="1" applyAlignment="1">
      <alignment shrinkToFit="1"/>
    </xf>
    <xf numFmtId="0" fontId="31" fillId="0" borderId="22" xfId="0" applyFont="1" applyBorder="1" applyAlignment="1">
      <alignment horizontal="center" vertical="center"/>
    </xf>
    <xf numFmtId="183" fontId="0" fillId="0" borderId="22" xfId="0" applyNumberFormat="1" applyBorder="1" applyAlignment="1">
      <alignment horizontal="center" vertical="center"/>
    </xf>
    <xf numFmtId="0" fontId="33" fillId="13" borderId="37" xfId="0" applyFont="1" applyFill="1" applyBorder="1" applyAlignment="1">
      <alignment horizontal="left" vertical="center"/>
    </xf>
    <xf numFmtId="0" fontId="33" fillId="13" borderId="32" xfId="0" applyFont="1" applyFill="1" applyBorder="1" applyAlignment="1">
      <alignment horizontal="left" vertical="center"/>
    </xf>
    <xf numFmtId="0" fontId="33" fillId="13" borderId="26" xfId="0" applyFont="1" applyFill="1" applyBorder="1" applyAlignment="1">
      <alignment horizontal="left" vertical="center"/>
    </xf>
    <xf numFmtId="0" fontId="33" fillId="13" borderId="36" xfId="0" applyFont="1" applyFill="1" applyBorder="1" applyAlignment="1">
      <alignment horizontal="left" vertical="center"/>
    </xf>
    <xf numFmtId="1" fontId="31" fillId="0" borderId="22" xfId="0" applyNumberFormat="1" applyFont="1" applyBorder="1" applyAlignment="1">
      <alignment horizontal="center" vertical="center"/>
    </xf>
    <xf numFmtId="0" fontId="31" fillId="5" borderId="22" xfId="0" applyFont="1" applyFill="1" applyBorder="1" applyAlignment="1">
      <alignment horizontal="center" vertical="center"/>
    </xf>
    <xf numFmtId="1" fontId="0" fillId="0" borderId="31" xfId="0" applyNumberFormat="1" applyBorder="1" applyAlignment="1">
      <alignment horizontal="center" vertical="center"/>
    </xf>
    <xf numFmtId="186" fontId="74" fillId="0" borderId="32" xfId="0" applyNumberFormat="1" applyFont="1" applyBorder="1" applyAlignment="1">
      <alignment vertical="center"/>
    </xf>
    <xf numFmtId="186" fontId="74" fillId="0" borderId="34" xfId="0" applyNumberFormat="1" applyFont="1" applyBorder="1" applyAlignment="1">
      <alignment vertical="center"/>
    </xf>
    <xf numFmtId="10" fontId="24" fillId="0" borderId="0" xfId="0" applyNumberFormat="1" applyFont="1" applyAlignment="1">
      <alignment vertical="center"/>
    </xf>
    <xf numFmtId="187" fontId="24" fillId="0" borderId="0" xfId="0" applyNumberFormat="1" applyFont="1" applyAlignment="1">
      <alignment vertical="center"/>
    </xf>
    <xf numFmtId="177" fontId="24" fillId="0" borderId="0" xfId="0" applyNumberFormat="1" applyFont="1" applyAlignment="1">
      <alignment vertical="center"/>
    </xf>
    <xf numFmtId="0" fontId="26" fillId="2" borderId="22" xfId="0" applyFont="1" applyFill="1" applyBorder="1" applyAlignment="1">
      <alignment horizontal="center" shrinkToFit="1"/>
    </xf>
    <xf numFmtId="0" fontId="34" fillId="5" borderId="23" xfId="5" applyFont="1" applyFill="1" applyBorder="1" applyAlignment="1">
      <alignment horizontal="center" vertical="center"/>
    </xf>
    <xf numFmtId="0" fontId="62" fillId="2" borderId="1" xfId="0" applyFont="1" applyFill="1" applyBorder="1" applyAlignment="1">
      <alignment horizontal="center" vertical="center" shrinkToFit="1"/>
    </xf>
    <xf numFmtId="183" fontId="5" fillId="0" borderId="1" xfId="0" applyNumberFormat="1" applyFont="1" applyBorder="1" applyAlignment="1">
      <alignment shrinkToFit="1"/>
    </xf>
    <xf numFmtId="0" fontId="24" fillId="0" borderId="0" xfId="11" applyFont="1" applyAlignment="1">
      <alignment horizontal="center" vertical="center" shrinkToFit="1"/>
    </xf>
    <xf numFmtId="0" fontId="24" fillId="0" borderId="0" xfId="11" applyFont="1" applyAlignment="1">
      <alignment wrapText="1" shrinkToFit="1"/>
    </xf>
    <xf numFmtId="0" fontId="24" fillId="0" borderId="0" xfId="11" applyFont="1" applyAlignment="1">
      <alignment vertical="center" shrinkToFit="1"/>
    </xf>
    <xf numFmtId="0" fontId="22" fillId="0" borderId="0" xfId="11" applyAlignment="1">
      <alignment horizontal="center" vertical="center" shrinkToFit="1"/>
    </xf>
    <xf numFmtId="0" fontId="22" fillId="0" borderId="0" xfId="11" applyAlignment="1">
      <alignment shrinkToFit="1"/>
    </xf>
    <xf numFmtId="0" fontId="22" fillId="0" borderId="0" xfId="11" applyAlignment="1">
      <alignment wrapText="1" shrinkToFit="1"/>
    </xf>
    <xf numFmtId="0" fontId="22" fillId="0" borderId="0" xfId="11" applyAlignment="1">
      <alignment vertical="center" shrinkToFit="1"/>
    </xf>
    <xf numFmtId="0" fontId="27" fillId="0" borderId="0" xfId="11" applyFont="1"/>
    <xf numFmtId="0" fontId="27" fillId="0" borderId="0" xfId="11" applyFont="1" applyAlignment="1">
      <alignment vertical="center"/>
    </xf>
    <xf numFmtId="0" fontId="34" fillId="5" borderId="22" xfId="15" applyFont="1" applyFill="1" applyBorder="1" applyAlignment="1">
      <alignment horizontal="center" vertical="center" wrapText="1"/>
    </xf>
    <xf numFmtId="0" fontId="34" fillId="5" borderId="22" xfId="15" applyFont="1" applyFill="1" applyBorder="1" applyAlignment="1">
      <alignment horizontal="center" vertical="center"/>
    </xf>
    <xf numFmtId="0" fontId="27" fillId="0" borderId="22" xfId="11" applyFont="1" applyBorder="1" applyAlignment="1">
      <alignment horizontal="center" vertical="center"/>
    </xf>
    <xf numFmtId="0" fontId="27" fillId="0" borderId="22" xfId="11" applyFont="1" applyBorder="1" applyAlignment="1">
      <alignment horizontal="left" vertical="center"/>
    </xf>
    <xf numFmtId="192" fontId="34" fillId="0" borderId="22" xfId="11" applyNumberFormat="1" applyFont="1" applyBorder="1" applyAlignment="1">
      <alignment horizontal="center" vertical="center"/>
    </xf>
    <xf numFmtId="185" fontId="34" fillId="8" borderId="22" xfId="13" applyNumberFormat="1" applyFont="1" applyFill="1" applyBorder="1" applyAlignment="1">
      <alignment horizontal="center" vertical="center"/>
    </xf>
    <xf numFmtId="192" fontId="34" fillId="8" borderId="22" xfId="11" applyNumberFormat="1" applyFont="1" applyFill="1" applyBorder="1" applyAlignment="1">
      <alignment horizontal="center" vertical="center"/>
    </xf>
    <xf numFmtId="0" fontId="85" fillId="0" borderId="22" xfId="11" applyFont="1" applyBorder="1" applyAlignment="1">
      <alignment horizontal="center" vertical="center"/>
    </xf>
    <xf numFmtId="0" fontId="34" fillId="0" borderId="22" xfId="11" applyFont="1" applyBorder="1" applyAlignment="1">
      <alignment horizontal="center" vertical="center"/>
    </xf>
    <xf numFmtId="0" fontId="83" fillId="0" borderId="22" xfId="11" applyFont="1" applyBorder="1" applyAlignment="1">
      <alignment horizontal="left" vertical="center"/>
    </xf>
    <xf numFmtId="0" fontId="71" fillId="0" borderId="0" xfId="11" applyFont="1" applyAlignment="1">
      <alignment horizontal="center" vertical="center"/>
    </xf>
    <xf numFmtId="1" fontId="27" fillId="0" borderId="41" xfId="11" applyNumberFormat="1" applyFont="1" applyBorder="1" applyAlignment="1">
      <alignment horizontal="center" vertical="center"/>
    </xf>
    <xf numFmtId="0" fontId="27" fillId="0" borderId="41" xfId="11" applyFont="1" applyBorder="1" applyAlignment="1">
      <alignment horizontal="center" vertical="center"/>
    </xf>
    <xf numFmtId="0" fontId="27" fillId="0" borderId="0" xfId="11" applyFont="1" applyAlignment="1">
      <alignment horizontal="center" vertical="center"/>
    </xf>
    <xf numFmtId="0" fontId="86" fillId="0" borderId="22" xfId="11" applyFont="1" applyBorder="1" applyAlignment="1">
      <alignment horizontal="center" vertical="center"/>
    </xf>
    <xf numFmtId="1" fontId="66" fillId="0" borderId="41" xfId="11" applyNumberFormat="1" applyFont="1" applyBorder="1" applyAlignment="1">
      <alignment horizontal="center" vertical="center"/>
    </xf>
    <xf numFmtId="0" fontId="27" fillId="0" borderId="0" xfId="11" applyFont="1" applyAlignment="1">
      <alignment horizontal="left" vertical="center"/>
    </xf>
    <xf numFmtId="0" fontId="71" fillId="0" borderId="0" xfId="11" applyFont="1" applyAlignment="1">
      <alignment horizontal="left" vertical="center"/>
    </xf>
    <xf numFmtId="0" fontId="86" fillId="0" borderId="0" xfId="11" applyFont="1" applyAlignment="1">
      <alignment horizontal="center" vertical="center"/>
    </xf>
    <xf numFmtId="0" fontId="85" fillId="0" borderId="0" xfId="11" applyFont="1" applyAlignment="1">
      <alignment horizontal="center" vertical="center"/>
    </xf>
    <xf numFmtId="0" fontId="27" fillId="0" borderId="0" xfId="11" applyFont="1" applyAlignment="1">
      <alignment horizontal="center"/>
    </xf>
    <xf numFmtId="0" fontId="2" fillId="0" borderId="0" xfId="15">
      <alignment vertical="center"/>
    </xf>
    <xf numFmtId="0" fontId="91" fillId="15" borderId="22" xfId="15" applyFont="1" applyFill="1" applyBorder="1" applyAlignment="1">
      <alignment horizontal="center" vertical="center"/>
    </xf>
    <xf numFmtId="194" fontId="92" fillId="8" borderId="22" xfId="15" applyNumberFormat="1" applyFont="1" applyFill="1" applyBorder="1" applyAlignment="1">
      <alignment horizontal="center" vertical="center"/>
    </xf>
    <xf numFmtId="189" fontId="92" fillId="0" borderId="22" xfId="15" applyNumberFormat="1" applyFont="1" applyBorder="1" applyAlignment="1">
      <alignment horizontal="center" vertical="center"/>
    </xf>
    <xf numFmtId="189" fontId="92" fillId="0" borderId="22" xfId="3" applyNumberFormat="1" applyFont="1" applyBorder="1" applyAlignment="1">
      <alignment horizontal="center" vertical="center"/>
    </xf>
    <xf numFmtId="10" fontId="92" fillId="0" borderId="22" xfId="3" applyNumberFormat="1" applyFont="1" applyBorder="1" applyAlignment="1">
      <alignment horizontal="center" vertical="center"/>
    </xf>
    <xf numFmtId="194" fontId="92" fillId="8" borderId="22" xfId="3" applyNumberFormat="1" applyFont="1" applyFill="1" applyBorder="1" applyAlignment="1">
      <alignment horizontal="center" vertical="center"/>
    </xf>
    <xf numFmtId="10" fontId="92" fillId="0" borderId="22" xfId="15" applyNumberFormat="1" applyFont="1" applyBorder="1" applyAlignment="1">
      <alignment horizontal="center" vertical="center"/>
    </xf>
    <xf numFmtId="193" fontId="93" fillId="0" borderId="22" xfId="5" applyNumberFormat="1" applyFont="1" applyBorder="1" applyAlignment="1">
      <alignment horizontal="center" vertical="center"/>
    </xf>
    <xf numFmtId="189" fontId="94" fillId="0" borderId="22" xfId="20" applyNumberFormat="1" applyFont="1" applyBorder="1" applyAlignment="1">
      <alignment horizontal="center" vertical="center"/>
    </xf>
    <xf numFmtId="10" fontId="92" fillId="0" borderId="22" xfId="20" applyNumberFormat="1" applyFont="1" applyBorder="1" applyAlignment="1">
      <alignment horizontal="center" vertical="center"/>
    </xf>
    <xf numFmtId="0" fontId="92" fillId="0" borderId="0" xfId="15" applyFont="1">
      <alignment vertical="center"/>
    </xf>
    <xf numFmtId="1" fontId="22" fillId="0" borderId="22" xfId="0" applyNumberFormat="1" applyFont="1" applyBorder="1" applyAlignment="1">
      <alignment horizontal="center" vertical="center"/>
    </xf>
    <xf numFmtId="194" fontId="92" fillId="8" borderId="22" xfId="4" applyNumberFormat="1" applyFont="1" applyFill="1" applyBorder="1" applyAlignment="1">
      <alignment horizontal="center" vertical="center"/>
    </xf>
    <xf numFmtId="194" fontId="92" fillId="8" borderId="22" xfId="6" applyNumberFormat="1" applyFont="1" applyFill="1" applyBorder="1" applyAlignment="1">
      <alignment horizontal="center" vertical="center"/>
    </xf>
    <xf numFmtId="195" fontId="92" fillId="8" borderId="22" xfId="4" applyNumberFormat="1" applyFont="1" applyFill="1" applyBorder="1" applyAlignment="1">
      <alignment horizontal="center" vertical="center"/>
    </xf>
    <xf numFmtId="10" fontId="92" fillId="0" borderId="22" xfId="4" applyNumberFormat="1" applyFont="1" applyBorder="1" applyAlignment="1">
      <alignment horizontal="center" vertical="center"/>
    </xf>
    <xf numFmtId="0" fontId="55" fillId="0" borderId="0" xfId="0" applyFont="1" applyAlignment="1">
      <alignment vertical="center"/>
    </xf>
    <xf numFmtId="0" fontId="55" fillId="0" borderId="0" xfId="0" applyFont="1"/>
    <xf numFmtId="177" fontId="55" fillId="0" borderId="0" xfId="0" applyNumberFormat="1" applyFont="1"/>
    <xf numFmtId="177" fontId="55" fillId="0" borderId="0" xfId="0" applyNumberFormat="1" applyFont="1" applyAlignment="1">
      <alignment horizontal="right"/>
    </xf>
    <xf numFmtId="177" fontId="55" fillId="9" borderId="22" xfId="0" applyNumberFormat="1" applyFont="1" applyFill="1" applyBorder="1"/>
    <xf numFmtId="10" fontId="55" fillId="0" borderId="22" xfId="0" applyNumberFormat="1" applyFont="1" applyBorder="1"/>
    <xf numFmtId="177" fontId="55" fillId="0" borderId="22" xfId="0" applyNumberFormat="1" applyFont="1" applyBorder="1"/>
    <xf numFmtId="0" fontId="88" fillId="15" borderId="22" xfId="15" applyFont="1" applyFill="1" applyBorder="1" applyAlignment="1">
      <alignment horizontal="center" vertical="center" wrapText="1"/>
    </xf>
    <xf numFmtId="0" fontId="24" fillId="0" borderId="37" xfId="0" applyFont="1" applyBorder="1" applyAlignment="1">
      <alignment vertical="center"/>
    </xf>
    <xf numFmtId="177" fontId="24" fillId="0" borderId="34" xfId="0" applyNumberFormat="1" applyFont="1" applyBorder="1" applyAlignment="1">
      <alignment vertical="center"/>
    </xf>
    <xf numFmtId="194" fontId="92" fillId="0" borderId="30" xfId="15" applyNumberFormat="1" applyFont="1" applyBorder="1">
      <alignment vertical="center"/>
    </xf>
    <xf numFmtId="189" fontId="92" fillId="0" borderId="22" xfId="4" applyNumberFormat="1" applyFont="1" applyBorder="1" applyAlignment="1">
      <alignment horizontal="center" vertical="center"/>
    </xf>
    <xf numFmtId="0" fontId="22" fillId="0" borderId="27" xfId="11" applyBorder="1" applyAlignment="1">
      <alignment horizontal="left" vertical="center"/>
    </xf>
    <xf numFmtId="0" fontId="76" fillId="0" borderId="22" xfId="11" applyFont="1" applyBorder="1" applyAlignment="1">
      <alignment horizontal="center" vertical="center" shrinkToFit="1"/>
    </xf>
    <xf numFmtId="0" fontId="26" fillId="0" borderId="22" xfId="11" applyFont="1" applyBorder="1" applyAlignment="1">
      <alignment shrinkToFit="1"/>
    </xf>
    <xf numFmtId="0" fontId="45" fillId="0" borderId="46" xfId="11" applyFont="1" applyBorder="1" applyAlignment="1">
      <alignment shrinkToFit="1"/>
    </xf>
    <xf numFmtId="184" fontId="63" fillId="18" borderId="47" xfId="11" applyNumberFormat="1" applyFont="1" applyFill="1" applyBorder="1" applyAlignment="1">
      <alignment shrinkToFit="1"/>
    </xf>
    <xf numFmtId="0" fontId="24" fillId="0" borderId="47" xfId="11" applyFont="1" applyBorder="1" applyAlignment="1">
      <alignment shrinkToFit="1"/>
    </xf>
    <xf numFmtId="0" fontId="26" fillId="0" borderId="50" xfId="11" applyFont="1" applyBorder="1" applyAlignment="1">
      <alignment horizontal="center" vertical="center" shrinkToFit="1"/>
    </xf>
    <xf numFmtId="0" fontId="44" fillId="0" borderId="51" xfId="11" applyFont="1" applyBorder="1" applyAlignment="1">
      <alignment horizontal="center" shrinkToFit="1"/>
    </xf>
    <xf numFmtId="3" fontId="34" fillId="7" borderId="6" xfId="11" applyNumberFormat="1" applyFont="1" applyFill="1" applyBorder="1" applyAlignment="1">
      <alignment shrinkToFit="1"/>
    </xf>
    <xf numFmtId="3" fontId="26" fillId="7" borderId="22" xfId="11" applyNumberFormat="1" applyFont="1" applyFill="1" applyBorder="1" applyAlignment="1">
      <alignment shrinkToFit="1"/>
    </xf>
    <xf numFmtId="10" fontId="26" fillId="0" borderId="50" xfId="11" applyNumberFormat="1" applyFont="1" applyBorder="1" applyAlignment="1">
      <alignment shrinkToFit="1"/>
    </xf>
    <xf numFmtId="0" fontId="44" fillId="0" borderId="52" xfId="11" applyFont="1" applyBorder="1" applyAlignment="1">
      <alignment horizontal="center" shrinkToFit="1"/>
    </xf>
    <xf numFmtId="3" fontId="34" fillId="7" borderId="1" xfId="11" applyNumberFormat="1" applyFont="1" applyFill="1" applyBorder="1" applyAlignment="1">
      <alignment shrinkToFit="1"/>
    </xf>
    <xf numFmtId="0" fontId="24" fillId="0" borderId="53" xfId="11" applyFont="1" applyBorder="1" applyAlignment="1">
      <alignment shrinkToFit="1"/>
    </xf>
    <xf numFmtId="0" fontId="24" fillId="0" borderId="55" xfId="11" applyFont="1" applyBorder="1" applyAlignment="1">
      <alignment shrinkToFit="1"/>
    </xf>
    <xf numFmtId="0" fontId="24" fillId="0" borderId="56" xfId="11" applyFont="1" applyBorder="1" applyAlignment="1">
      <alignment shrinkToFit="1"/>
    </xf>
    <xf numFmtId="0" fontId="44" fillId="0" borderId="57" xfId="11" applyFont="1" applyBorder="1" applyAlignment="1">
      <alignment horizontal="center" shrinkToFit="1"/>
    </xf>
    <xf numFmtId="3" fontId="26" fillId="7" borderId="42" xfId="11" applyNumberFormat="1" applyFont="1" applyFill="1" applyBorder="1" applyAlignment="1">
      <alignment shrinkToFit="1"/>
    </xf>
    <xf numFmtId="10" fontId="26" fillId="0" borderId="42" xfId="11" applyNumberFormat="1" applyFont="1" applyBorder="1" applyAlignment="1">
      <alignment shrinkToFit="1"/>
    </xf>
    <xf numFmtId="10" fontId="26" fillId="0" borderId="58" xfId="11" applyNumberFormat="1" applyFont="1" applyBorder="1" applyAlignment="1">
      <alignment shrinkToFit="1"/>
    </xf>
    <xf numFmtId="193" fontId="94" fillId="0" borderId="22" xfId="5" applyNumberFormat="1" applyFont="1" applyBorder="1" applyAlignment="1">
      <alignment horizontal="center" vertical="center"/>
    </xf>
    <xf numFmtId="194" fontId="92" fillId="0" borderId="29" xfId="15" applyNumberFormat="1" applyFont="1" applyBorder="1">
      <alignment vertical="center"/>
    </xf>
    <xf numFmtId="0" fontId="35" fillId="0" borderId="29" xfId="15" applyFont="1" applyBorder="1">
      <alignment vertical="center"/>
    </xf>
    <xf numFmtId="0" fontId="35" fillId="0" borderId="30" xfId="15" applyFont="1" applyBorder="1">
      <alignment vertical="center"/>
    </xf>
    <xf numFmtId="0" fontId="0" fillId="10" borderId="22" xfId="0" applyFill="1" applyBorder="1" applyAlignment="1">
      <alignment horizontal="center" vertical="center"/>
    </xf>
    <xf numFmtId="179" fontId="55" fillId="0" borderId="0" xfId="0" applyNumberFormat="1" applyFont="1" applyAlignment="1">
      <alignment horizontal="center"/>
    </xf>
    <xf numFmtId="192" fontId="34" fillId="0" borderId="22" xfId="19" applyNumberFormat="1" applyFont="1" applyBorder="1" applyAlignment="1">
      <alignment horizontal="center" vertical="center"/>
    </xf>
    <xf numFmtId="0" fontId="65" fillId="0" borderId="22" xfId="11" applyFont="1" applyBorder="1" applyAlignment="1">
      <alignment horizontal="center" vertical="center"/>
    </xf>
    <xf numFmtId="0" fontId="71" fillId="0" borderId="22" xfId="11" applyFont="1" applyBorder="1" applyAlignment="1">
      <alignment horizontal="center" vertical="center"/>
    </xf>
    <xf numFmtId="0" fontId="65" fillId="0" borderId="22" xfId="11" applyFont="1" applyBorder="1" applyAlignment="1">
      <alignment horizontal="center" vertical="center" shrinkToFit="1"/>
    </xf>
    <xf numFmtId="194" fontId="92" fillId="8" borderId="30" xfId="4" applyNumberFormat="1" applyFont="1" applyFill="1" applyBorder="1" applyAlignment="1">
      <alignment horizontal="center" vertical="center"/>
    </xf>
    <xf numFmtId="189" fontId="92" fillId="0" borderId="30" xfId="4" applyNumberFormat="1" applyFont="1" applyBorder="1" applyAlignment="1">
      <alignment horizontal="center" vertical="center"/>
    </xf>
    <xf numFmtId="194" fontId="92" fillId="8" borderId="30" xfId="6" applyNumberFormat="1" applyFont="1" applyFill="1" applyBorder="1" applyAlignment="1">
      <alignment horizontal="center" vertical="center"/>
    </xf>
    <xf numFmtId="189" fontId="92" fillId="0" borderId="30" xfId="3" applyNumberFormat="1" applyFont="1" applyBorder="1" applyAlignment="1">
      <alignment horizontal="center" vertical="center"/>
    </xf>
    <xf numFmtId="10" fontId="92" fillId="0" borderId="30" xfId="3" applyNumberFormat="1" applyFont="1" applyBorder="1" applyAlignment="1">
      <alignment horizontal="center" vertical="center"/>
    </xf>
    <xf numFmtId="194" fontId="92" fillId="8" borderId="30" xfId="3" applyNumberFormat="1" applyFont="1" applyFill="1" applyBorder="1" applyAlignment="1">
      <alignment horizontal="center" vertical="center"/>
    </xf>
    <xf numFmtId="195" fontId="92" fillId="8" borderId="30" xfId="4" applyNumberFormat="1" applyFont="1" applyFill="1" applyBorder="1" applyAlignment="1">
      <alignment horizontal="center" vertical="center"/>
    </xf>
    <xf numFmtId="10" fontId="92" fillId="0" borderId="30" xfId="4" applyNumberFormat="1" applyFont="1" applyBorder="1" applyAlignment="1">
      <alignment horizontal="center" vertical="center"/>
    </xf>
    <xf numFmtId="179" fontId="109" fillId="0" borderId="0" xfId="0" applyNumberFormat="1" applyFont="1" applyAlignment="1">
      <alignment horizontal="center"/>
    </xf>
    <xf numFmtId="179" fontId="110" fillId="0" borderId="0" xfId="0" applyNumberFormat="1" applyFont="1" applyAlignment="1">
      <alignment horizontal="center"/>
    </xf>
    <xf numFmtId="0" fontId="31" fillId="4" borderId="22" xfId="0" applyFont="1" applyFill="1" applyBorder="1" applyAlignment="1">
      <alignment horizontal="center" vertical="center"/>
    </xf>
    <xf numFmtId="194" fontId="92" fillId="0" borderId="29" xfId="15" applyNumberFormat="1" applyFont="1" applyBorder="1" applyAlignment="1">
      <alignment horizontal="center" vertical="center"/>
    </xf>
    <xf numFmtId="0" fontId="0" fillId="4" borderId="22" xfId="0" applyFill="1" applyBorder="1" applyAlignment="1">
      <alignment horizontal="center" vertical="center"/>
    </xf>
    <xf numFmtId="194" fontId="92" fillId="0" borderId="29" xfId="15" applyNumberFormat="1" applyFont="1" applyBorder="1" applyAlignment="1">
      <alignment horizontal="right" vertical="center"/>
    </xf>
    <xf numFmtId="194" fontId="35" fillId="0" borderId="29" xfId="15" applyNumberFormat="1" applyFont="1" applyBorder="1" applyAlignment="1">
      <alignment horizontal="right" vertical="center"/>
    </xf>
    <xf numFmtId="0" fontId="26" fillId="2" borderId="4" xfId="0" applyFont="1" applyFill="1" applyBorder="1" applyAlignment="1">
      <alignment horizontal="center" vertical="center" shrinkToFit="1"/>
    </xf>
    <xf numFmtId="0" fontId="26" fillId="2" borderId="2" xfId="0" applyFont="1" applyFill="1" applyBorder="1" applyAlignment="1">
      <alignment horizontal="center" vertical="center" shrinkToFit="1"/>
    </xf>
    <xf numFmtId="0" fontId="26" fillId="2" borderId="3" xfId="0" applyFont="1" applyFill="1" applyBorder="1" applyAlignment="1">
      <alignment horizontal="center" vertical="center" shrinkToFit="1"/>
    </xf>
    <xf numFmtId="0" fontId="44" fillId="2" borderId="22" xfId="11" applyFont="1" applyFill="1" applyBorder="1" applyAlignment="1">
      <alignment horizontal="center" vertical="center" shrinkToFit="1"/>
    </xf>
    <xf numFmtId="0" fontId="62" fillId="2" borderId="22" xfId="11" applyFont="1" applyFill="1" applyBorder="1" applyAlignment="1">
      <alignment horizontal="center" vertical="center" shrinkToFit="1"/>
    </xf>
    <xf numFmtId="0" fontId="44" fillId="0" borderId="22" xfId="11" applyFont="1" applyBorder="1" applyAlignment="1">
      <alignment shrinkToFit="1"/>
    </xf>
    <xf numFmtId="0" fontId="22" fillId="0" borderId="27" xfId="11" applyBorder="1" applyAlignment="1">
      <alignment vertical="center"/>
    </xf>
    <xf numFmtId="0" fontId="22" fillId="0" borderId="28" xfId="11" applyBorder="1" applyAlignment="1">
      <alignment vertical="center"/>
    </xf>
    <xf numFmtId="0" fontId="22" fillId="0" borderId="25" xfId="11" applyBorder="1" applyAlignment="1">
      <alignment vertical="center"/>
    </xf>
    <xf numFmtId="1" fontId="26" fillId="0" borderId="22" xfId="11" applyNumberFormat="1" applyFont="1" applyBorder="1" applyAlignment="1">
      <alignment shrinkToFit="1"/>
    </xf>
    <xf numFmtId="0" fontId="44" fillId="0" borderId="22" xfId="11" applyFont="1" applyBorder="1" applyAlignment="1">
      <alignment horizontal="right" shrinkToFit="1"/>
    </xf>
    <xf numFmtId="0" fontId="78" fillId="0" borderId="22" xfId="11" applyFont="1" applyBorder="1" applyAlignment="1">
      <alignment horizontal="center" vertical="center" shrinkToFit="1"/>
    </xf>
    <xf numFmtId="0" fontId="77" fillId="0" borderId="22" xfId="11" applyFont="1" applyBorder="1" applyAlignment="1">
      <alignment horizontal="center" vertical="center" shrinkToFit="1"/>
    </xf>
    <xf numFmtId="0" fontId="44" fillId="2" borderId="22" xfId="11" applyFont="1" applyFill="1" applyBorder="1" applyAlignment="1">
      <alignment horizontal="center" shrinkToFit="1"/>
    </xf>
    <xf numFmtId="0" fontId="31" fillId="0" borderId="27" xfId="11" applyFont="1" applyBorder="1" applyAlignment="1">
      <alignment vertical="center"/>
    </xf>
    <xf numFmtId="3" fontId="26" fillId="6" borderId="22" xfId="0" applyNumberFormat="1" applyFont="1" applyFill="1" applyBorder="1" applyAlignment="1">
      <alignment shrinkToFit="1"/>
    </xf>
    <xf numFmtId="10" fontId="26" fillId="10" borderId="22" xfId="0" applyNumberFormat="1" applyFont="1" applyFill="1" applyBorder="1" applyAlignment="1">
      <alignment shrinkToFit="1"/>
    </xf>
    <xf numFmtId="4" fontId="26" fillId="10" borderId="22" xfId="0" applyNumberFormat="1" applyFont="1" applyFill="1" applyBorder="1" applyAlignment="1">
      <alignment horizontal="right" shrinkToFit="1"/>
    </xf>
    <xf numFmtId="189" fontId="26" fillId="10" borderId="22" xfId="0" applyNumberFormat="1" applyFont="1" applyFill="1" applyBorder="1" applyAlignment="1">
      <alignment shrinkToFit="1"/>
    </xf>
    <xf numFmtId="0" fontId="41" fillId="0" borderId="0" xfId="0" applyFont="1" applyAlignment="1">
      <alignment horizontal="center" vertical="center" shrinkToFit="1"/>
    </xf>
    <xf numFmtId="0" fontId="51" fillId="8" borderId="22" xfId="0" applyFont="1" applyFill="1" applyBorder="1" applyAlignment="1">
      <alignment horizontal="center" vertical="center" shrinkToFit="1"/>
    </xf>
    <xf numFmtId="0" fontId="5" fillId="0" borderId="4" xfId="0" applyFont="1" applyBorder="1" applyAlignment="1">
      <alignment shrinkToFit="1"/>
    </xf>
    <xf numFmtId="0" fontId="7" fillId="0" borderId="3" xfId="0" applyFont="1" applyBorder="1" applyAlignment="1">
      <alignment shrinkToFit="1"/>
    </xf>
    <xf numFmtId="0" fontId="5" fillId="0" borderId="9" xfId="0" applyFont="1" applyBorder="1" applyAlignment="1">
      <alignment shrinkToFit="1"/>
    </xf>
    <xf numFmtId="0" fontId="7" fillId="0" borderId="8" xfId="0" applyFont="1" applyBorder="1" applyAlignment="1">
      <alignment shrinkToFit="1"/>
    </xf>
    <xf numFmtId="0" fontId="5" fillId="2" borderId="2" xfId="0" applyFont="1" applyFill="1" applyBorder="1" applyAlignment="1">
      <alignment shrinkToFit="1"/>
    </xf>
    <xf numFmtId="0" fontId="9" fillId="0" borderId="19" xfId="0" applyFont="1" applyBorder="1" applyAlignment="1">
      <alignment shrinkToFit="1"/>
    </xf>
    <xf numFmtId="0" fontId="7" fillId="0" borderId="21" xfId="0" applyFont="1" applyBorder="1" applyAlignment="1">
      <alignment shrinkToFit="1"/>
    </xf>
    <xf numFmtId="0" fontId="9" fillId="0" borderId="4" xfId="0" applyFont="1" applyBorder="1" applyAlignment="1">
      <alignment shrinkToFit="1"/>
    </xf>
    <xf numFmtId="0" fontId="7" fillId="0" borderId="2" xfId="0" applyFont="1" applyBorder="1" applyAlignment="1">
      <alignment shrinkToFit="1"/>
    </xf>
    <xf numFmtId="0" fontId="7" fillId="0" borderId="10" xfId="0" applyFont="1" applyBorder="1" applyAlignment="1">
      <alignment shrinkToFit="1"/>
    </xf>
    <xf numFmtId="0" fontId="9" fillId="0" borderId="12" xfId="0" applyFont="1" applyBorder="1" applyAlignment="1">
      <alignment shrinkToFit="1"/>
    </xf>
    <xf numFmtId="0" fontId="7" fillId="0" borderId="13" xfId="0" applyFont="1" applyBorder="1" applyAlignment="1">
      <alignment shrinkToFit="1"/>
    </xf>
    <xf numFmtId="0" fontId="7" fillId="0" borderId="11" xfId="0" applyFont="1" applyBorder="1" applyAlignment="1">
      <alignment shrinkToFit="1"/>
    </xf>
    <xf numFmtId="0" fontId="5" fillId="2" borderId="4" xfId="0" applyFont="1" applyFill="1" applyBorder="1" applyAlignment="1">
      <alignment shrinkToFit="1"/>
    </xf>
    <xf numFmtId="0" fontId="5" fillId="2" borderId="3" xfId="0" applyFont="1" applyFill="1" applyBorder="1" applyAlignment="1">
      <alignment shrinkToFit="1"/>
    </xf>
    <xf numFmtId="0" fontId="5" fillId="0" borderId="0" xfId="0" applyFont="1" applyAlignment="1">
      <alignment shrinkToFit="1"/>
    </xf>
    <xf numFmtId="0" fontId="0" fillId="0" borderId="0" xfId="0" applyAlignment="1">
      <alignment shrinkToFit="1"/>
    </xf>
    <xf numFmtId="0" fontId="10" fillId="2" borderId="4" xfId="0" applyFont="1" applyFill="1" applyBorder="1" applyAlignment="1">
      <alignment shrinkToFit="1"/>
    </xf>
    <xf numFmtId="0" fontId="10" fillId="2" borderId="3" xfId="0" applyFont="1" applyFill="1" applyBorder="1" applyAlignment="1">
      <alignment shrinkToFit="1"/>
    </xf>
    <xf numFmtId="0" fontId="9" fillId="2" borderId="4" xfId="0" applyFont="1" applyFill="1" applyBorder="1" applyAlignment="1">
      <alignment shrinkToFit="1"/>
    </xf>
    <xf numFmtId="0" fontId="9" fillId="2" borderId="2" xfId="0" applyFont="1" applyFill="1" applyBorder="1" applyAlignment="1">
      <alignment shrinkToFit="1"/>
    </xf>
    <xf numFmtId="0" fontId="9" fillId="2" borderId="3" xfId="0" applyFont="1" applyFill="1" applyBorder="1" applyAlignment="1">
      <alignment shrinkToFit="1"/>
    </xf>
    <xf numFmtId="0" fontId="6" fillId="0" borderId="4" xfId="0" applyFont="1" applyBorder="1" applyAlignment="1">
      <alignment shrinkToFit="1"/>
    </xf>
    <xf numFmtId="0" fontId="5" fillId="0" borderId="19" xfId="0" applyFont="1" applyBorder="1" applyAlignment="1">
      <alignment shrinkToFit="1"/>
    </xf>
    <xf numFmtId="0" fontId="7" fillId="0" borderId="20" xfId="0" applyFont="1" applyBorder="1" applyAlignment="1">
      <alignment shrinkToFit="1"/>
    </xf>
    <xf numFmtId="0" fontId="6" fillId="2" borderId="4" xfId="0" applyFont="1" applyFill="1" applyBorder="1" applyAlignment="1">
      <alignment shrinkToFit="1"/>
    </xf>
    <xf numFmtId="0" fontId="6" fillId="0" borderId="9" xfId="0" applyFont="1" applyBorder="1" applyAlignment="1">
      <alignment shrinkToFit="1"/>
    </xf>
    <xf numFmtId="10" fontId="25" fillId="0" borderId="0" xfId="0" applyNumberFormat="1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177" fontId="25" fillId="7" borderId="0" xfId="0" applyNumberFormat="1" applyFont="1" applyFill="1" applyAlignment="1">
      <alignment horizontal="center" vertical="center"/>
    </xf>
    <xf numFmtId="178" fontId="25" fillId="6" borderId="0" xfId="0" applyNumberFormat="1" applyFont="1" applyFill="1" applyAlignment="1">
      <alignment horizontal="center" vertical="center"/>
    </xf>
    <xf numFmtId="176" fontId="25" fillId="5" borderId="0" xfId="0" applyNumberFormat="1" applyFont="1" applyFill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6" fillId="0" borderId="0" xfId="0" applyFont="1" applyAlignment="1">
      <alignment horizontal="center" vertical="center" shrinkToFit="1"/>
    </xf>
    <xf numFmtId="178" fontId="25" fillId="0" borderId="0" xfId="0" applyNumberFormat="1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181" fontId="13" fillId="0" borderId="0" xfId="0" applyNumberFormat="1" applyFont="1" applyAlignment="1">
      <alignment horizontal="center" vertical="center"/>
    </xf>
    <xf numFmtId="10" fontId="13" fillId="5" borderId="0" xfId="0" applyNumberFormat="1" applyFont="1" applyFill="1" applyAlignment="1">
      <alignment horizontal="center" vertical="center"/>
    </xf>
    <xf numFmtId="10" fontId="13" fillId="0" borderId="0" xfId="0" applyNumberFormat="1" applyFont="1" applyAlignment="1">
      <alignment horizontal="center" vertical="center"/>
    </xf>
    <xf numFmtId="182" fontId="25" fillId="0" borderId="22" xfId="0" applyNumberFormat="1" applyFont="1" applyBorder="1" applyAlignment="1">
      <alignment horizontal="center" vertical="center"/>
    </xf>
    <xf numFmtId="0" fontId="28" fillId="0" borderId="22" xfId="0" applyFont="1" applyBorder="1" applyAlignment="1">
      <alignment horizontal="center" vertical="center"/>
    </xf>
    <xf numFmtId="0" fontId="21" fillId="0" borderId="22" xfId="0" applyFont="1" applyBorder="1" applyAlignment="1">
      <alignment horizontal="center" vertical="center"/>
    </xf>
    <xf numFmtId="0" fontId="27" fillId="0" borderId="22" xfId="0" applyFont="1" applyBorder="1" applyAlignment="1">
      <alignment horizontal="center" vertical="center"/>
    </xf>
    <xf numFmtId="0" fontId="26" fillId="0" borderId="22" xfId="0" applyFont="1" applyBorder="1" applyAlignment="1">
      <alignment horizontal="center" vertical="center" shrinkToFit="1"/>
    </xf>
    <xf numFmtId="182" fontId="26" fillId="0" borderId="22" xfId="0" applyNumberFormat="1" applyFont="1" applyBorder="1" applyAlignment="1">
      <alignment horizontal="center" vertical="center" shrinkToFit="1"/>
    </xf>
    <xf numFmtId="0" fontId="16" fillId="0" borderId="22" xfId="0" applyFont="1" applyBorder="1" applyAlignment="1">
      <alignment horizontal="center" vertical="center"/>
    </xf>
    <xf numFmtId="177" fontId="28" fillId="0" borderId="22" xfId="0" applyNumberFormat="1" applyFont="1" applyBorder="1" applyAlignment="1">
      <alignment horizontal="center" vertical="center"/>
    </xf>
    <xf numFmtId="177" fontId="21" fillId="0" borderId="22" xfId="0" applyNumberFormat="1" applyFont="1" applyBorder="1" applyAlignment="1">
      <alignment horizontal="center" vertical="center"/>
    </xf>
    <xf numFmtId="177" fontId="25" fillId="0" borderId="22" xfId="0" applyNumberFormat="1" applyFont="1" applyBorder="1" applyAlignment="1">
      <alignment horizontal="center" vertical="center"/>
    </xf>
    <xf numFmtId="177" fontId="16" fillId="0" borderId="22" xfId="0" applyNumberFormat="1" applyFont="1" applyBorder="1" applyAlignment="1">
      <alignment horizontal="center" vertical="center"/>
    </xf>
    <xf numFmtId="177" fontId="20" fillId="0" borderId="22" xfId="0" applyNumberFormat="1" applyFont="1" applyBorder="1" applyAlignment="1">
      <alignment horizontal="center" vertical="center" shrinkToFit="1"/>
    </xf>
    <xf numFmtId="177" fontId="26" fillId="0" borderId="22" xfId="0" applyNumberFormat="1" applyFont="1" applyBorder="1" applyAlignment="1">
      <alignment horizontal="center" vertical="center" shrinkToFit="1"/>
    </xf>
    <xf numFmtId="183" fontId="0" fillId="0" borderId="31" xfId="0" applyNumberFormat="1" applyBorder="1" applyAlignment="1">
      <alignment horizontal="center" vertical="center"/>
    </xf>
    <xf numFmtId="183" fontId="0" fillId="0" borderId="33" xfId="0" applyNumberFormat="1" applyBorder="1" applyAlignment="1">
      <alignment horizontal="center" vertical="center"/>
    </xf>
    <xf numFmtId="183" fontId="0" fillId="0" borderId="35" xfId="0" applyNumberFormat="1" applyBorder="1" applyAlignment="1">
      <alignment horizontal="center" vertical="center"/>
    </xf>
    <xf numFmtId="0" fontId="31" fillId="0" borderId="22" xfId="0" applyFont="1" applyBorder="1" applyAlignment="1">
      <alignment horizontal="center" vertical="center"/>
    </xf>
    <xf numFmtId="0" fontId="31" fillId="0" borderId="31" xfId="0" applyFont="1" applyBorder="1" applyAlignment="1">
      <alignment horizontal="center" vertical="center"/>
    </xf>
    <xf numFmtId="0" fontId="31" fillId="0" borderId="33" xfId="0" applyFont="1" applyBorder="1" applyAlignment="1">
      <alignment horizontal="center" vertical="center"/>
    </xf>
    <xf numFmtId="0" fontId="31" fillId="0" borderId="35" xfId="0" applyFont="1" applyBorder="1" applyAlignment="1">
      <alignment horizontal="center" vertical="center"/>
    </xf>
    <xf numFmtId="0" fontId="31" fillId="0" borderId="27" xfId="0" applyFont="1" applyBorder="1" applyAlignment="1">
      <alignment horizontal="center" vertical="center"/>
    </xf>
    <xf numFmtId="0" fontId="31" fillId="0" borderId="28" xfId="0" applyFont="1" applyBorder="1" applyAlignment="1">
      <alignment horizontal="center" vertical="center"/>
    </xf>
    <xf numFmtId="0" fontId="31" fillId="0" borderId="25" xfId="0" applyFont="1" applyBorder="1" applyAlignment="1">
      <alignment horizontal="center" vertical="center"/>
    </xf>
    <xf numFmtId="0" fontId="31" fillId="0" borderId="23" xfId="0" applyFont="1" applyBorder="1" applyAlignment="1">
      <alignment horizontal="center" vertical="center"/>
    </xf>
    <xf numFmtId="0" fontId="31" fillId="0" borderId="29" xfId="0" applyFont="1" applyBorder="1" applyAlignment="1">
      <alignment horizontal="center" vertical="center"/>
    </xf>
    <xf numFmtId="0" fontId="31" fillId="0" borderId="30" xfId="0" applyFont="1" applyBorder="1" applyAlignment="1">
      <alignment horizontal="center" vertical="center"/>
    </xf>
    <xf numFmtId="183" fontId="0" fillId="0" borderId="23" xfId="0" applyNumberFormat="1" applyBorder="1" applyAlignment="1">
      <alignment horizontal="center" vertical="center"/>
    </xf>
    <xf numFmtId="183" fontId="0" fillId="0" borderId="29" xfId="0" applyNumberFormat="1" applyBorder="1" applyAlignment="1">
      <alignment horizontal="center" vertical="center"/>
    </xf>
    <xf numFmtId="183" fontId="0" fillId="0" borderId="30" xfId="0" applyNumberFormat="1" applyBorder="1" applyAlignment="1">
      <alignment horizontal="center" vertical="center"/>
    </xf>
    <xf numFmtId="179" fontId="31" fillId="0" borderId="27" xfId="0" applyNumberFormat="1" applyFont="1" applyBorder="1" applyAlignment="1">
      <alignment horizontal="center" vertical="center"/>
    </xf>
    <xf numFmtId="179" fontId="31" fillId="0" borderId="28" xfId="0" applyNumberFormat="1" applyFont="1" applyBorder="1" applyAlignment="1">
      <alignment horizontal="center" vertical="center"/>
    </xf>
    <xf numFmtId="179" fontId="31" fillId="0" borderId="25" xfId="0" applyNumberFormat="1" applyFont="1" applyBorder="1" applyAlignment="1">
      <alignment horizontal="center" vertical="center"/>
    </xf>
    <xf numFmtId="179" fontId="31" fillId="0" borderId="22" xfId="0" applyNumberFormat="1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32" fillId="0" borderId="0" xfId="0" applyFont="1" applyAlignment="1">
      <alignment horizontal="left" vertical="center"/>
    </xf>
    <xf numFmtId="0" fontId="33" fillId="0" borderId="0" xfId="0" applyFont="1" applyAlignment="1">
      <alignment horizontal="left" vertical="center"/>
    </xf>
    <xf numFmtId="0" fontId="33" fillId="0" borderId="26" xfId="0" applyFont="1" applyBorder="1" applyAlignment="1">
      <alignment horizontal="left" vertical="center"/>
    </xf>
    <xf numFmtId="0" fontId="31" fillId="0" borderId="32" xfId="0" applyFont="1" applyBorder="1" applyAlignment="1">
      <alignment horizontal="center" vertical="center"/>
    </xf>
    <xf numFmtId="0" fontId="31" fillId="0" borderId="34" xfId="0" applyFont="1" applyBorder="1" applyAlignment="1">
      <alignment horizontal="center" vertical="center"/>
    </xf>
    <xf numFmtId="0" fontId="31" fillId="0" borderId="36" xfId="0" applyFont="1" applyBorder="1" applyAlignment="1">
      <alignment horizontal="center" vertical="center"/>
    </xf>
    <xf numFmtId="183" fontId="0" fillId="0" borderId="22" xfId="0" applyNumberFormat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32" fillId="0" borderId="37" xfId="0" applyFont="1" applyBorder="1" applyAlignment="1">
      <alignment horizontal="left" vertical="center"/>
    </xf>
    <xf numFmtId="0" fontId="33" fillId="0" borderId="37" xfId="0" applyFont="1" applyBorder="1" applyAlignment="1">
      <alignment horizontal="left" vertical="center"/>
    </xf>
    <xf numFmtId="179" fontId="72" fillId="5" borderId="27" xfId="0" applyNumberFormat="1" applyFont="1" applyFill="1" applyBorder="1" applyAlignment="1">
      <alignment horizontal="center" vertical="center"/>
    </xf>
    <xf numFmtId="179" fontId="72" fillId="5" borderId="28" xfId="0" applyNumberFormat="1" applyFont="1" applyFill="1" applyBorder="1" applyAlignment="1">
      <alignment horizontal="center" vertical="center"/>
    </xf>
    <xf numFmtId="179" fontId="72" fillId="5" borderId="25" xfId="0" applyNumberFormat="1" applyFont="1" applyFill="1" applyBorder="1" applyAlignment="1">
      <alignment horizontal="center" vertical="center"/>
    </xf>
    <xf numFmtId="0" fontId="32" fillId="0" borderId="26" xfId="0" applyFont="1" applyBorder="1" applyAlignment="1">
      <alignment horizontal="left" vertical="center"/>
    </xf>
    <xf numFmtId="0" fontId="22" fillId="0" borderId="22" xfId="0" applyFont="1" applyBorder="1" applyAlignment="1">
      <alignment horizontal="center" vertical="center" wrapText="1"/>
    </xf>
    <xf numFmtId="0" fontId="31" fillId="4" borderId="27" xfId="0" applyFont="1" applyFill="1" applyBorder="1" applyAlignment="1">
      <alignment horizontal="center" vertical="center"/>
    </xf>
    <xf numFmtId="0" fontId="31" fillId="4" borderId="28" xfId="0" applyFont="1" applyFill="1" applyBorder="1" applyAlignment="1">
      <alignment horizontal="center" vertical="center"/>
    </xf>
    <xf numFmtId="0" fontId="31" fillId="4" borderId="25" xfId="0" applyFont="1" applyFill="1" applyBorder="1" applyAlignment="1">
      <alignment horizontal="center" vertical="center"/>
    </xf>
    <xf numFmtId="0" fontId="31" fillId="4" borderId="22" xfId="0" applyFont="1" applyFill="1" applyBorder="1" applyAlignment="1">
      <alignment horizontal="center" vertical="center"/>
    </xf>
    <xf numFmtId="183" fontId="0" fillId="4" borderId="22" xfId="0" applyNumberFormat="1" applyFill="1" applyBorder="1" applyAlignment="1">
      <alignment horizontal="center" vertical="center"/>
    </xf>
    <xf numFmtId="0" fontId="32" fillId="13" borderId="0" xfId="0" applyFont="1" applyFill="1" applyAlignment="1">
      <alignment horizontal="left" vertical="center"/>
    </xf>
    <xf numFmtId="0" fontId="33" fillId="13" borderId="0" xfId="0" applyFont="1" applyFill="1" applyAlignment="1">
      <alignment horizontal="left" vertical="center"/>
    </xf>
    <xf numFmtId="0" fontId="33" fillId="13" borderId="26" xfId="0" applyFont="1" applyFill="1" applyBorder="1" applyAlignment="1">
      <alignment horizontal="left" vertical="center"/>
    </xf>
    <xf numFmtId="1" fontId="31" fillId="0" borderId="22" xfId="0" applyNumberFormat="1" applyFont="1" applyBorder="1" applyAlignment="1">
      <alignment horizontal="center" vertical="center"/>
    </xf>
    <xf numFmtId="1" fontId="0" fillId="0" borderId="22" xfId="0" applyNumberFormat="1" applyBorder="1" applyAlignment="1">
      <alignment horizontal="center" vertical="center"/>
    </xf>
    <xf numFmtId="0" fontId="22" fillId="0" borderId="22" xfId="0" applyFont="1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179" fontId="72" fillId="5" borderId="22" xfId="0" applyNumberFormat="1" applyFont="1" applyFill="1" applyBorder="1" applyAlignment="1">
      <alignment horizontal="center" vertical="center"/>
    </xf>
    <xf numFmtId="0" fontId="72" fillId="5" borderId="22" xfId="0" applyFont="1" applyFill="1" applyBorder="1" applyAlignment="1">
      <alignment horizontal="center" vertical="center"/>
    </xf>
    <xf numFmtId="179" fontId="31" fillId="14" borderId="27" xfId="0" applyNumberFormat="1" applyFont="1" applyFill="1" applyBorder="1" applyAlignment="1">
      <alignment horizontal="center" vertical="center"/>
    </xf>
    <xf numFmtId="179" fontId="31" fillId="14" borderId="28" xfId="0" applyNumberFormat="1" applyFont="1" applyFill="1" applyBorder="1" applyAlignment="1">
      <alignment horizontal="center" vertical="center"/>
    </xf>
    <xf numFmtId="179" fontId="31" fillId="14" borderId="25" xfId="0" applyNumberFormat="1" applyFont="1" applyFill="1" applyBorder="1" applyAlignment="1">
      <alignment horizontal="center" vertical="center"/>
    </xf>
    <xf numFmtId="1" fontId="0" fillId="0" borderId="31" xfId="0" applyNumberFormat="1" applyBorder="1" applyAlignment="1">
      <alignment horizontal="center" vertical="center"/>
    </xf>
    <xf numFmtId="1" fontId="0" fillId="0" borderId="33" xfId="0" applyNumberFormat="1" applyBorder="1" applyAlignment="1">
      <alignment horizontal="center" vertical="center"/>
    </xf>
    <xf numFmtId="1" fontId="0" fillId="0" borderId="35" xfId="0" applyNumberFormat="1" applyBorder="1" applyAlignment="1">
      <alignment horizontal="center" vertical="center"/>
    </xf>
    <xf numFmtId="1" fontId="31" fillId="0" borderId="31" xfId="0" applyNumberFormat="1" applyFont="1" applyBorder="1" applyAlignment="1">
      <alignment horizontal="center" vertical="center"/>
    </xf>
    <xf numFmtId="1" fontId="31" fillId="0" borderId="33" xfId="0" applyNumberFormat="1" applyFont="1" applyBorder="1" applyAlignment="1">
      <alignment horizontal="center" vertical="center"/>
    </xf>
    <xf numFmtId="1" fontId="31" fillId="0" borderId="35" xfId="0" applyNumberFormat="1" applyFont="1" applyBorder="1" applyAlignment="1">
      <alignment horizontal="center" vertical="center"/>
    </xf>
    <xf numFmtId="1" fontId="31" fillId="0" borderId="23" xfId="0" applyNumberFormat="1" applyFont="1" applyBorder="1" applyAlignment="1">
      <alignment horizontal="center" vertical="center"/>
    </xf>
    <xf numFmtId="1" fontId="31" fillId="0" borderId="29" xfId="0" applyNumberFormat="1" applyFont="1" applyBorder="1" applyAlignment="1">
      <alignment horizontal="center" vertical="center"/>
    </xf>
    <xf numFmtId="1" fontId="31" fillId="0" borderId="30" xfId="0" applyNumberFormat="1" applyFont="1" applyBorder="1" applyAlignment="1">
      <alignment horizontal="center" vertical="center"/>
    </xf>
    <xf numFmtId="2" fontId="0" fillId="0" borderId="22" xfId="0" applyNumberFormat="1" applyBorder="1" applyAlignment="1">
      <alignment horizontal="center" vertical="center"/>
    </xf>
    <xf numFmtId="0" fontId="44" fillId="2" borderId="22" xfId="11" applyFont="1" applyFill="1" applyBorder="1" applyAlignment="1">
      <alignment horizontal="center" shrinkToFit="1"/>
    </xf>
    <xf numFmtId="0" fontId="55" fillId="0" borderId="22" xfId="11" applyFont="1" applyBorder="1" applyAlignment="1">
      <alignment horizontal="center" shrinkToFit="1"/>
    </xf>
    <xf numFmtId="0" fontId="24" fillId="0" borderId="22" xfId="11" applyFont="1" applyBorder="1" applyAlignment="1">
      <alignment horizontal="center" vertical="center" shrinkToFit="1"/>
    </xf>
    <xf numFmtId="0" fontId="44" fillId="0" borderId="22" xfId="11" applyFont="1" applyBorder="1" applyAlignment="1">
      <alignment horizontal="center" vertical="center" shrinkToFit="1"/>
    </xf>
    <xf numFmtId="0" fontId="55" fillId="0" borderId="22" xfId="11" applyFont="1" applyBorder="1" applyAlignment="1">
      <alignment horizontal="center" vertical="center" shrinkToFit="1"/>
    </xf>
    <xf numFmtId="0" fontId="44" fillId="2" borderId="22" xfId="11" applyFont="1" applyFill="1" applyBorder="1" applyAlignment="1">
      <alignment horizontal="center" vertical="center" shrinkToFit="1"/>
    </xf>
    <xf numFmtId="0" fontId="26" fillId="0" borderId="22" xfId="11" applyFont="1" applyBorder="1" applyAlignment="1">
      <alignment horizontal="center" vertical="center" shrinkToFit="1"/>
    </xf>
    <xf numFmtId="0" fontId="52" fillId="0" borderId="22" xfId="11" applyFont="1" applyBorder="1" applyAlignment="1">
      <alignment horizontal="center" vertical="center" shrinkToFit="1"/>
    </xf>
    <xf numFmtId="0" fontId="24" fillId="0" borderId="22" xfId="0" applyFont="1" applyBorder="1" applyAlignment="1">
      <alignment horizontal="center" vertical="center" shrinkToFit="1"/>
    </xf>
    <xf numFmtId="0" fontId="53" fillId="0" borderId="0" xfId="0" applyFont="1" applyAlignment="1">
      <alignment horizontal="left" vertical="center" shrinkToFit="1"/>
    </xf>
    <xf numFmtId="0" fontId="54" fillId="0" borderId="0" xfId="0" applyFont="1" applyAlignment="1">
      <alignment horizontal="left" vertical="center" shrinkToFit="1"/>
    </xf>
    <xf numFmtId="0" fontId="20" fillId="0" borderId="22" xfId="11" applyFont="1" applyBorder="1" applyAlignment="1">
      <alignment horizontal="center" vertical="center" shrinkToFit="1"/>
    </xf>
    <xf numFmtId="0" fontId="52" fillId="0" borderId="31" xfId="11" applyFont="1" applyBorder="1" applyAlignment="1">
      <alignment horizontal="center" vertical="center" shrinkToFit="1"/>
    </xf>
    <xf numFmtId="0" fontId="52" fillId="0" borderId="32" xfId="11" applyFont="1" applyBorder="1" applyAlignment="1">
      <alignment horizontal="center" vertical="center" shrinkToFit="1"/>
    </xf>
    <xf numFmtId="0" fontId="52" fillId="0" borderId="35" xfId="11" applyFont="1" applyBorder="1" applyAlignment="1">
      <alignment horizontal="center" vertical="center" shrinkToFit="1"/>
    </xf>
    <xf numFmtId="0" fontId="52" fillId="0" borderId="36" xfId="11" applyFont="1" applyBorder="1" applyAlignment="1">
      <alignment horizontal="center" vertical="center" shrinkToFit="1"/>
    </xf>
    <xf numFmtId="0" fontId="44" fillId="0" borderId="32" xfId="11" applyFont="1" applyBorder="1" applyAlignment="1">
      <alignment horizontal="center" vertical="center" shrinkToFit="1"/>
    </xf>
    <xf numFmtId="0" fontId="44" fillId="0" borderId="33" xfId="11" applyFont="1" applyBorder="1" applyAlignment="1">
      <alignment horizontal="center" vertical="center" shrinkToFit="1"/>
    </xf>
    <xf numFmtId="0" fontId="44" fillId="0" borderId="34" xfId="11" applyFont="1" applyBorder="1" applyAlignment="1">
      <alignment horizontal="center" vertical="center" shrinkToFit="1"/>
    </xf>
    <xf numFmtId="0" fontId="44" fillId="0" borderId="35" xfId="11" applyFont="1" applyBorder="1" applyAlignment="1">
      <alignment horizontal="center" vertical="center" shrinkToFit="1"/>
    </xf>
    <xf numFmtId="0" fontId="44" fillId="0" borderId="36" xfId="11" applyFont="1" applyBorder="1" applyAlignment="1">
      <alignment horizontal="center" vertical="center" shrinkToFit="1"/>
    </xf>
    <xf numFmtId="0" fontId="44" fillId="0" borderId="22" xfId="11" applyFont="1" applyBorder="1" applyAlignment="1">
      <alignment shrinkToFit="1"/>
    </xf>
    <xf numFmtId="0" fontId="55" fillId="0" borderId="22" xfId="11" applyFont="1" applyBorder="1" applyAlignment="1">
      <alignment shrinkToFit="1"/>
    </xf>
    <xf numFmtId="0" fontId="26" fillId="0" borderId="22" xfId="11" applyFont="1" applyBorder="1" applyAlignment="1">
      <alignment shrinkToFit="1"/>
    </xf>
    <xf numFmtId="0" fontId="52" fillId="0" borderId="31" xfId="11" applyFont="1" applyBorder="1" applyAlignment="1">
      <alignment horizontal="left" vertical="center" wrapText="1" shrinkToFit="1"/>
    </xf>
    <xf numFmtId="0" fontId="52" fillId="0" borderId="32" xfId="11" applyFont="1" applyBorder="1" applyAlignment="1">
      <alignment horizontal="left" vertical="center" wrapText="1" shrinkToFit="1"/>
    </xf>
    <xf numFmtId="0" fontId="52" fillId="0" borderId="33" xfId="11" applyFont="1" applyBorder="1" applyAlignment="1">
      <alignment horizontal="left" vertical="center" wrapText="1" shrinkToFit="1"/>
    </xf>
    <xf numFmtId="0" fontId="52" fillId="0" borderId="34" xfId="11" applyFont="1" applyBorder="1" applyAlignment="1">
      <alignment horizontal="left" vertical="center" wrapText="1" shrinkToFit="1"/>
    </xf>
    <xf numFmtId="0" fontId="52" fillId="0" borderId="35" xfId="11" applyFont="1" applyBorder="1" applyAlignment="1">
      <alignment horizontal="left" vertical="center" wrapText="1" shrinkToFit="1"/>
    </xf>
    <xf numFmtId="0" fontId="52" fillId="0" borderId="36" xfId="11" applyFont="1" applyBorder="1" applyAlignment="1">
      <alignment horizontal="left" vertical="center" wrapText="1" shrinkToFit="1"/>
    </xf>
    <xf numFmtId="0" fontId="44" fillId="0" borderId="31" xfId="11" applyFont="1" applyBorder="1" applyAlignment="1">
      <alignment horizontal="center" vertical="center" shrinkToFit="1"/>
    </xf>
    <xf numFmtId="0" fontId="26" fillId="0" borderId="31" xfId="11" applyFont="1" applyBorder="1" applyAlignment="1">
      <alignment horizontal="center" vertical="center" shrinkToFit="1"/>
    </xf>
    <xf numFmtId="0" fontId="26" fillId="0" borderId="32" xfId="11" applyFont="1" applyBorder="1" applyAlignment="1">
      <alignment horizontal="center" vertical="center" shrinkToFit="1"/>
    </xf>
    <xf numFmtId="0" fontId="26" fillId="0" borderId="35" xfId="11" applyFont="1" applyBorder="1" applyAlignment="1">
      <alignment horizontal="center" vertical="center" shrinkToFit="1"/>
    </xf>
    <xf numFmtId="0" fontId="26" fillId="0" borderId="36" xfId="11" applyFont="1" applyBorder="1" applyAlignment="1">
      <alignment horizontal="center" vertical="center" shrinkToFit="1"/>
    </xf>
    <xf numFmtId="0" fontId="52" fillId="0" borderId="27" xfId="11" applyFont="1" applyBorder="1" applyAlignment="1">
      <alignment horizontal="center" vertical="center" shrinkToFit="1"/>
    </xf>
    <xf numFmtId="0" fontId="44" fillId="0" borderId="25" xfId="11" applyFont="1" applyBorder="1" applyAlignment="1">
      <alignment horizontal="center" vertical="center" shrinkToFit="1"/>
    </xf>
    <xf numFmtId="0" fontId="26" fillId="0" borderId="27" xfId="11" applyFont="1" applyBorder="1" applyAlignment="1">
      <alignment horizontal="center" vertical="center" shrinkToFit="1"/>
    </xf>
    <xf numFmtId="0" fontId="26" fillId="0" borderId="25" xfId="11" applyFont="1" applyBorder="1" applyAlignment="1">
      <alignment horizontal="center" vertical="center" shrinkToFit="1"/>
    </xf>
    <xf numFmtId="0" fontId="44" fillId="0" borderId="27" xfId="11" applyFont="1" applyBorder="1" applyAlignment="1">
      <alignment horizontal="center" vertical="center" shrinkToFit="1"/>
    </xf>
    <xf numFmtId="0" fontId="24" fillId="0" borderId="23" xfId="0" applyFont="1" applyBorder="1" applyAlignment="1">
      <alignment horizontal="center" vertical="center" shrinkToFit="1"/>
    </xf>
    <xf numFmtId="0" fontId="24" fillId="0" borderId="30" xfId="0" applyFont="1" applyBorder="1" applyAlignment="1">
      <alignment horizontal="center" vertical="center" shrinkToFit="1"/>
    </xf>
    <xf numFmtId="0" fontId="44" fillId="2" borderId="27" xfId="0" applyFont="1" applyFill="1" applyBorder="1" applyAlignment="1">
      <alignment horizontal="center" vertical="center" shrinkToFit="1"/>
    </xf>
    <xf numFmtId="0" fontId="44" fillId="2" borderId="25" xfId="0" applyFont="1" applyFill="1" applyBorder="1" applyAlignment="1">
      <alignment horizontal="center" vertical="center" shrinkToFit="1"/>
    </xf>
    <xf numFmtId="0" fontId="44" fillId="2" borderId="27" xfId="11" applyFont="1" applyFill="1" applyBorder="1" applyAlignment="1">
      <alignment horizontal="center" vertical="center" shrinkToFit="1"/>
    </xf>
    <xf numFmtId="0" fontId="44" fillId="2" borderId="28" xfId="11" applyFont="1" applyFill="1" applyBorder="1" applyAlignment="1">
      <alignment horizontal="center" vertical="center" shrinkToFit="1"/>
    </xf>
    <xf numFmtId="0" fontId="44" fillId="2" borderId="25" xfId="11" applyFont="1" applyFill="1" applyBorder="1" applyAlignment="1">
      <alignment horizontal="center" vertical="center" shrinkToFit="1"/>
    </xf>
    <xf numFmtId="0" fontId="24" fillId="0" borderId="29" xfId="0" applyFont="1" applyBorder="1" applyAlignment="1">
      <alignment horizontal="center" vertical="center" shrinkToFit="1"/>
    </xf>
    <xf numFmtId="0" fontId="44" fillId="2" borderId="23" xfId="0" applyFont="1" applyFill="1" applyBorder="1" applyAlignment="1">
      <alignment horizontal="center" vertical="center" shrinkToFit="1"/>
    </xf>
    <xf numFmtId="0" fontId="44" fillId="2" borderId="29" xfId="0" applyFont="1" applyFill="1" applyBorder="1" applyAlignment="1">
      <alignment horizontal="center" vertical="center" shrinkToFit="1"/>
    </xf>
    <xf numFmtId="0" fontId="44" fillId="2" borderId="30" xfId="0" applyFont="1" applyFill="1" applyBorder="1" applyAlignment="1">
      <alignment horizontal="center" vertical="center" shrinkToFit="1"/>
    </xf>
    <xf numFmtId="0" fontId="44" fillId="2" borderId="27" xfId="0" applyFont="1" applyFill="1" applyBorder="1" applyAlignment="1">
      <alignment horizontal="center" shrinkToFit="1"/>
    </xf>
    <xf numFmtId="0" fontId="44" fillId="2" borderId="25" xfId="0" applyFont="1" applyFill="1" applyBorder="1" applyAlignment="1">
      <alignment horizontal="center" shrinkToFit="1"/>
    </xf>
    <xf numFmtId="0" fontId="44" fillId="2" borderId="27" xfId="11" applyFont="1" applyFill="1" applyBorder="1" applyAlignment="1">
      <alignment horizontal="center" shrinkToFit="1"/>
    </xf>
    <xf numFmtId="0" fontId="44" fillId="2" borderId="28" xfId="11" applyFont="1" applyFill="1" applyBorder="1" applyAlignment="1">
      <alignment horizontal="center" shrinkToFit="1"/>
    </xf>
    <xf numFmtId="0" fontId="44" fillId="2" borderId="25" xfId="11" applyFont="1" applyFill="1" applyBorder="1" applyAlignment="1">
      <alignment horizontal="center" shrinkToFit="1"/>
    </xf>
    <xf numFmtId="0" fontId="44" fillId="0" borderId="27" xfId="11" applyFont="1" applyBorder="1" applyAlignment="1">
      <alignment vertical="center" shrinkToFit="1"/>
    </xf>
    <xf numFmtId="0" fontId="44" fillId="0" borderId="25" xfId="11" applyFont="1" applyBorder="1" applyAlignment="1">
      <alignment vertical="center" shrinkToFit="1"/>
    </xf>
    <xf numFmtId="0" fontId="26" fillId="0" borderId="27" xfId="11" applyFont="1" applyBorder="1" applyAlignment="1">
      <alignment vertical="center" shrinkToFit="1"/>
    </xf>
    <xf numFmtId="0" fontId="26" fillId="0" borderId="25" xfId="11" applyFont="1" applyBorder="1" applyAlignment="1">
      <alignment vertical="center" shrinkToFit="1"/>
    </xf>
    <xf numFmtId="0" fontId="20" fillId="0" borderId="31" xfId="11" applyFont="1" applyBorder="1" applyAlignment="1">
      <alignment horizontal="center" vertical="center" wrapText="1" shrinkToFit="1"/>
    </xf>
    <xf numFmtId="0" fontId="26" fillId="0" borderId="32" xfId="11" applyFont="1" applyBorder="1" applyAlignment="1">
      <alignment horizontal="center" vertical="center" wrapText="1" shrinkToFit="1"/>
    </xf>
    <xf numFmtId="0" fontId="26" fillId="0" borderId="33" xfId="11" applyFont="1" applyBorder="1" applyAlignment="1">
      <alignment horizontal="center" vertical="center" wrapText="1" shrinkToFit="1"/>
    </xf>
    <xf numFmtId="0" fontId="26" fillId="0" borderId="34" xfId="11" applyFont="1" applyBorder="1" applyAlignment="1">
      <alignment horizontal="center" vertical="center" wrapText="1" shrinkToFit="1"/>
    </xf>
    <xf numFmtId="0" fontId="26" fillId="0" borderId="35" xfId="11" applyFont="1" applyBorder="1" applyAlignment="1">
      <alignment horizontal="center" vertical="center" wrapText="1" shrinkToFit="1"/>
    </xf>
    <xf numFmtId="0" fontId="26" fillId="0" borderId="36" xfId="11" applyFont="1" applyBorder="1" applyAlignment="1">
      <alignment horizontal="center" vertical="center" wrapText="1" shrinkToFit="1"/>
    </xf>
    <xf numFmtId="0" fontId="44" fillId="0" borderId="31" xfId="11" applyFont="1" applyBorder="1" applyAlignment="1">
      <alignment horizontal="left" vertical="center" wrapText="1" shrinkToFit="1"/>
    </xf>
    <xf numFmtId="0" fontId="44" fillId="0" borderId="32" xfId="11" applyFont="1" applyBorder="1" applyAlignment="1">
      <alignment horizontal="left" vertical="center" wrapText="1" shrinkToFit="1"/>
    </xf>
    <xf numFmtId="0" fontId="44" fillId="0" borderId="33" xfId="11" applyFont="1" applyBorder="1" applyAlignment="1">
      <alignment horizontal="left" vertical="center" wrapText="1" shrinkToFit="1"/>
    </xf>
    <xf numFmtId="0" fontId="44" fillId="0" borderId="34" xfId="11" applyFont="1" applyBorder="1" applyAlignment="1">
      <alignment horizontal="left" vertical="center" wrapText="1" shrinkToFit="1"/>
    </xf>
    <xf numFmtId="0" fontId="44" fillId="0" borderId="35" xfId="11" applyFont="1" applyBorder="1" applyAlignment="1">
      <alignment horizontal="left" vertical="center" wrapText="1" shrinkToFit="1"/>
    </xf>
    <xf numFmtId="0" fontId="44" fillId="0" borderId="36" xfId="11" applyFont="1" applyBorder="1" applyAlignment="1">
      <alignment horizontal="left" vertical="center" wrapText="1" shrinkToFit="1"/>
    </xf>
    <xf numFmtId="0" fontId="26" fillId="0" borderId="27" xfId="0" applyFont="1" applyBorder="1" applyAlignment="1">
      <alignment shrinkToFit="1"/>
    </xf>
    <xf numFmtId="0" fontId="26" fillId="0" borderId="25" xfId="0" applyFont="1" applyBorder="1" applyAlignment="1">
      <alignment shrinkToFit="1"/>
    </xf>
    <xf numFmtId="0" fontId="44" fillId="0" borderId="27" xfId="0" applyFont="1" applyBorder="1" applyAlignment="1">
      <alignment shrinkToFit="1"/>
    </xf>
    <xf numFmtId="0" fontId="44" fillId="0" borderId="28" xfId="0" applyFont="1" applyBorder="1" applyAlignment="1">
      <alignment shrinkToFit="1"/>
    </xf>
    <xf numFmtId="0" fontId="44" fillId="0" borderId="25" xfId="0" applyFont="1" applyBorder="1" applyAlignment="1">
      <alignment shrinkToFit="1"/>
    </xf>
    <xf numFmtId="0" fontId="44" fillId="2" borderId="28" xfId="0" applyFont="1" applyFill="1" applyBorder="1" applyAlignment="1">
      <alignment horizontal="center" shrinkToFit="1"/>
    </xf>
    <xf numFmtId="0" fontId="26" fillId="0" borderId="28" xfId="0" applyFont="1" applyBorder="1" applyAlignment="1">
      <alignment shrinkToFit="1"/>
    </xf>
    <xf numFmtId="0" fontId="60" fillId="0" borderId="22" xfId="11" applyFont="1" applyBorder="1" applyAlignment="1">
      <alignment horizontal="center" vertical="center" shrinkToFit="1"/>
    </xf>
    <xf numFmtId="0" fontId="28" fillId="0" borderId="22" xfId="11" applyFont="1" applyBorder="1" applyAlignment="1">
      <alignment horizontal="center" vertical="center" shrinkToFit="1"/>
    </xf>
    <xf numFmtId="0" fontId="41" fillId="0" borderId="0" xfId="11" applyFont="1" applyAlignment="1">
      <alignment horizontal="center" vertical="center" shrinkToFit="1"/>
    </xf>
    <xf numFmtId="0" fontId="53" fillId="0" borderId="0" xfId="11" applyFont="1" applyAlignment="1">
      <alignment horizontal="left" vertical="center" shrinkToFit="1"/>
    </xf>
    <xf numFmtId="0" fontId="45" fillId="0" borderId="22" xfId="11" applyFont="1" applyBorder="1" applyAlignment="1">
      <alignment horizontal="center" vertical="center"/>
    </xf>
    <xf numFmtId="0" fontId="26" fillId="0" borderId="37" xfId="11" applyFont="1" applyBorder="1" applyAlignment="1">
      <alignment horizontal="center" vertical="center" shrinkToFit="1"/>
    </xf>
    <xf numFmtId="0" fontId="26" fillId="0" borderId="0" xfId="11" applyFont="1" applyAlignment="1">
      <alignment horizontal="center" vertical="center" shrinkToFit="1"/>
    </xf>
    <xf numFmtId="0" fontId="24" fillId="0" borderId="22" xfId="11" applyFont="1" applyBorder="1" applyAlignment="1">
      <alignment horizontal="center" shrinkToFit="1"/>
    </xf>
    <xf numFmtId="0" fontId="24" fillId="0" borderId="27" xfId="11" applyFont="1" applyBorder="1" applyAlignment="1">
      <alignment horizontal="center" vertical="center" shrinkToFit="1"/>
    </xf>
    <xf numFmtId="0" fontId="24" fillId="0" borderId="25" xfId="11" applyFont="1" applyBorder="1" applyAlignment="1">
      <alignment horizontal="center" vertical="center" shrinkToFit="1"/>
    </xf>
    <xf numFmtId="0" fontId="24" fillId="0" borderId="27" xfId="11" applyFont="1" applyBorder="1" applyAlignment="1">
      <alignment horizontal="center" shrinkToFit="1"/>
    </xf>
    <xf numFmtId="0" fontId="24" fillId="0" borderId="54" xfId="11" applyFont="1" applyBorder="1" applyAlignment="1">
      <alignment horizontal="center" shrinkToFit="1"/>
    </xf>
    <xf numFmtId="0" fontId="60" fillId="0" borderId="27" xfId="11" applyFont="1" applyBorder="1" applyAlignment="1">
      <alignment horizontal="center" vertical="center" shrinkToFit="1"/>
    </xf>
    <xf numFmtId="0" fontId="60" fillId="0" borderId="25" xfId="11" applyFont="1" applyBorder="1" applyAlignment="1">
      <alignment horizontal="center" vertical="center" shrinkToFit="1"/>
    </xf>
    <xf numFmtId="0" fontId="28" fillId="0" borderId="27" xfId="11" applyFont="1" applyBorder="1" applyAlignment="1">
      <alignment horizontal="center" vertical="center" shrinkToFit="1"/>
    </xf>
    <xf numFmtId="0" fontId="28" fillId="0" borderId="54" xfId="11" applyFont="1" applyBorder="1" applyAlignment="1">
      <alignment horizontal="center" vertical="center" shrinkToFit="1"/>
    </xf>
    <xf numFmtId="0" fontId="45" fillId="0" borderId="49" xfId="11" applyFont="1" applyBorder="1" applyAlignment="1">
      <alignment horizontal="center" vertical="center"/>
    </xf>
    <xf numFmtId="0" fontId="26" fillId="0" borderId="56" xfId="11" applyFont="1" applyBorder="1" applyAlignment="1">
      <alignment horizontal="center" vertical="center" shrinkToFit="1"/>
    </xf>
    <xf numFmtId="0" fontId="12" fillId="19" borderId="47" xfId="11" applyFont="1" applyFill="1" applyBorder="1" applyAlignment="1">
      <alignment horizontal="center" vertical="center" shrinkToFit="1"/>
    </xf>
    <xf numFmtId="0" fontId="12" fillId="19" borderId="48" xfId="11" applyFont="1" applyFill="1" applyBorder="1" applyAlignment="1">
      <alignment horizontal="center" vertical="center" shrinkToFit="1"/>
    </xf>
    <xf numFmtId="0" fontId="60" fillId="0" borderId="50" xfId="11" applyFont="1" applyBorder="1" applyAlignment="1">
      <alignment horizontal="center" vertical="center" shrinkToFit="1"/>
    </xf>
    <xf numFmtId="0" fontId="24" fillId="0" borderId="50" xfId="11" applyFont="1" applyBorder="1" applyAlignment="1">
      <alignment horizontal="center" vertical="center" shrinkToFit="1"/>
    </xf>
    <xf numFmtId="0" fontId="26" fillId="2" borderId="27" xfId="0" applyFont="1" applyFill="1" applyBorder="1" applyAlignment="1">
      <alignment horizontal="center" vertical="center" shrinkToFit="1"/>
    </xf>
    <xf numFmtId="0" fontId="26" fillId="2" borderId="28" xfId="0" applyFont="1" applyFill="1" applyBorder="1" applyAlignment="1">
      <alignment horizontal="center" vertical="center" shrinkToFit="1"/>
    </xf>
    <xf numFmtId="0" fontId="26" fillId="2" borderId="25" xfId="0" applyFont="1" applyFill="1" applyBorder="1" applyAlignment="1">
      <alignment horizontal="center" vertical="center" shrinkToFit="1"/>
    </xf>
    <xf numFmtId="0" fontId="26" fillId="2" borderId="27" xfId="0" applyFont="1" applyFill="1" applyBorder="1" applyAlignment="1">
      <alignment horizontal="center" shrinkToFit="1"/>
    </xf>
    <xf numFmtId="0" fontId="26" fillId="2" borderId="28" xfId="0" applyFont="1" applyFill="1" applyBorder="1" applyAlignment="1">
      <alignment horizontal="center" shrinkToFit="1"/>
    </xf>
    <xf numFmtId="0" fontId="26" fillId="2" borderId="25" xfId="0" applyFont="1" applyFill="1" applyBorder="1" applyAlignment="1">
      <alignment horizontal="center" shrinkToFit="1"/>
    </xf>
    <xf numFmtId="0" fontId="24" fillId="0" borderId="23" xfId="0" applyFont="1" applyBorder="1" applyAlignment="1">
      <alignment horizontal="center" vertical="center" wrapText="1" shrinkToFit="1"/>
    </xf>
    <xf numFmtId="0" fontId="24" fillId="0" borderId="29" xfId="0" applyFont="1" applyBorder="1" applyAlignment="1">
      <alignment horizontal="center" vertical="center" wrapText="1" shrinkToFit="1"/>
    </xf>
    <xf numFmtId="0" fontId="24" fillId="0" borderId="30" xfId="0" applyFont="1" applyBorder="1" applyAlignment="1">
      <alignment horizontal="center" vertical="center" wrapText="1" shrinkToFit="1"/>
    </xf>
    <xf numFmtId="0" fontId="5" fillId="0" borderId="2" xfId="0" applyFont="1" applyBorder="1" applyAlignment="1">
      <alignment shrinkToFit="1"/>
    </xf>
    <xf numFmtId="0" fontId="5" fillId="0" borderId="3" xfId="0" applyFont="1" applyBorder="1" applyAlignment="1">
      <alignment shrinkToFit="1"/>
    </xf>
    <xf numFmtId="0" fontId="26" fillId="2" borderId="35" xfId="0" applyFont="1" applyFill="1" applyBorder="1" applyAlignment="1">
      <alignment horizontal="center" vertical="center" shrinkToFit="1"/>
    </xf>
    <xf numFmtId="0" fontId="26" fillId="2" borderId="26" xfId="0" applyFont="1" applyFill="1" applyBorder="1" applyAlignment="1">
      <alignment horizontal="center" vertical="center" shrinkToFit="1"/>
    </xf>
    <xf numFmtId="0" fontId="26" fillId="2" borderId="36" xfId="0" applyFont="1" applyFill="1" applyBorder="1" applyAlignment="1">
      <alignment horizontal="center" vertical="center" shrinkToFit="1"/>
    </xf>
    <xf numFmtId="0" fontId="5" fillId="0" borderId="43" xfId="0" applyFont="1" applyBorder="1" applyAlignment="1">
      <alignment shrinkToFit="1"/>
    </xf>
    <xf numFmtId="0" fontId="5" fillId="0" borderId="45" xfId="0" applyFont="1" applyBorder="1" applyAlignment="1">
      <alignment shrinkToFit="1"/>
    </xf>
    <xf numFmtId="0" fontId="5" fillId="0" borderId="44" xfId="0" applyFont="1" applyBorder="1" applyAlignment="1">
      <alignment shrinkToFit="1"/>
    </xf>
    <xf numFmtId="0" fontId="9" fillId="0" borderId="4" xfId="0" applyFont="1" applyBorder="1" applyAlignment="1">
      <alignment horizontal="center" shrinkToFit="1"/>
    </xf>
    <xf numFmtId="0" fontId="9" fillId="0" borderId="3" xfId="0" applyFont="1" applyBorder="1" applyAlignment="1">
      <alignment horizontal="center" shrinkToFit="1"/>
    </xf>
    <xf numFmtId="0" fontId="24" fillId="0" borderId="27" xfId="0" applyFont="1" applyBorder="1" applyAlignment="1">
      <alignment horizontal="center" vertical="center" shrinkToFit="1"/>
    </xf>
    <xf numFmtId="0" fontId="24" fillId="0" borderId="25" xfId="0" applyFont="1" applyBorder="1" applyAlignment="1">
      <alignment horizontal="center" vertical="center" shrinkToFit="1"/>
    </xf>
    <xf numFmtId="0" fontId="26" fillId="2" borderId="4" xfId="0" applyFont="1" applyFill="1" applyBorder="1" applyAlignment="1">
      <alignment horizontal="center" vertical="center" shrinkToFit="1"/>
    </xf>
    <xf numFmtId="0" fontId="26" fillId="2" borderId="2" xfId="0" applyFont="1" applyFill="1" applyBorder="1" applyAlignment="1">
      <alignment horizontal="center" vertical="center" shrinkToFit="1"/>
    </xf>
    <xf numFmtId="0" fontId="26" fillId="2" borderId="3" xfId="0" applyFont="1" applyFill="1" applyBorder="1" applyAlignment="1">
      <alignment horizontal="center" vertical="center" shrinkToFit="1"/>
    </xf>
    <xf numFmtId="0" fontId="44" fillId="2" borderId="4" xfId="0" applyFont="1" applyFill="1" applyBorder="1" applyAlignment="1">
      <alignment horizontal="center" vertical="center" shrinkToFit="1"/>
    </xf>
    <xf numFmtId="0" fontId="44" fillId="2" borderId="3" xfId="0" applyFont="1" applyFill="1" applyBorder="1" applyAlignment="1">
      <alignment horizontal="center" vertical="center" shrinkToFit="1"/>
    </xf>
    <xf numFmtId="0" fontId="9" fillId="0" borderId="43" xfId="0" applyFont="1" applyBorder="1" applyAlignment="1">
      <alignment horizontal="center" shrinkToFit="1"/>
    </xf>
    <xf numFmtId="0" fontId="9" fillId="0" borderId="44" xfId="0" applyFont="1" applyBorder="1" applyAlignment="1">
      <alignment horizontal="center" shrinkToFit="1"/>
    </xf>
    <xf numFmtId="0" fontId="62" fillId="0" borderId="22" xfId="0" applyFont="1" applyBorder="1" applyAlignment="1">
      <alignment horizontal="center" vertical="center" shrinkToFit="1"/>
    </xf>
    <xf numFmtId="0" fontId="24" fillId="8" borderId="22" xfId="0" applyFont="1" applyFill="1" applyBorder="1" applyAlignment="1">
      <alignment horizontal="center" vertical="center" shrinkToFit="1"/>
    </xf>
    <xf numFmtId="0" fontId="26" fillId="8" borderId="22" xfId="0" applyFont="1" applyFill="1" applyBorder="1" applyAlignment="1">
      <alignment horizontal="center" vertical="center" shrinkToFit="1"/>
    </xf>
    <xf numFmtId="0" fontId="31" fillId="0" borderId="22" xfId="0" applyFont="1" applyBorder="1" applyAlignment="1">
      <alignment horizontal="center" vertical="center" shrinkToFit="1"/>
    </xf>
    <xf numFmtId="0" fontId="0" fillId="0" borderId="22" xfId="0" applyBorder="1" applyAlignment="1">
      <alignment horizontal="center" vertical="center" shrinkToFit="1"/>
    </xf>
    <xf numFmtId="0" fontId="5" fillId="2" borderId="4" xfId="0" applyFont="1" applyFill="1" applyBorder="1" applyAlignment="1">
      <alignment horizontal="center" vertical="center" shrinkToFit="1"/>
    </xf>
    <xf numFmtId="0" fontId="5" fillId="2" borderId="2" xfId="0" applyFont="1" applyFill="1" applyBorder="1" applyAlignment="1">
      <alignment horizontal="center" vertical="center" shrinkToFit="1"/>
    </xf>
    <xf numFmtId="0" fontId="5" fillId="2" borderId="3" xfId="0" applyFont="1" applyFill="1" applyBorder="1" applyAlignment="1">
      <alignment horizontal="center" vertical="center" shrinkToFit="1"/>
    </xf>
    <xf numFmtId="0" fontId="10" fillId="2" borderId="4" xfId="0" applyFont="1" applyFill="1" applyBorder="1" applyAlignment="1">
      <alignment horizontal="center" vertical="center" shrinkToFit="1"/>
    </xf>
    <xf numFmtId="0" fontId="10" fillId="2" borderId="3" xfId="0" applyFont="1" applyFill="1" applyBorder="1" applyAlignment="1">
      <alignment horizontal="center" vertical="center" shrinkToFit="1"/>
    </xf>
    <xf numFmtId="0" fontId="31" fillId="0" borderId="22" xfId="0" applyFont="1" applyBorder="1" applyAlignment="1">
      <alignment horizontal="center" vertical="center" wrapText="1" shrinkToFit="1"/>
    </xf>
    <xf numFmtId="0" fontId="0" fillId="0" borderId="22" xfId="0" applyBorder="1" applyAlignment="1">
      <alignment horizontal="center" vertical="center" wrapText="1" shrinkToFit="1"/>
    </xf>
    <xf numFmtId="0" fontId="5" fillId="2" borderId="0" xfId="0" applyFont="1" applyFill="1" applyAlignment="1">
      <alignment horizontal="center" vertical="center" shrinkToFit="1"/>
    </xf>
    <xf numFmtId="0" fontId="5" fillId="2" borderId="40" xfId="0" applyFont="1" applyFill="1" applyBorder="1" applyAlignment="1">
      <alignment horizontal="center" vertical="center" shrinkToFit="1"/>
    </xf>
    <xf numFmtId="0" fontId="5" fillId="2" borderId="39" xfId="0" applyFont="1" applyFill="1" applyBorder="1" applyAlignment="1">
      <alignment horizontal="center" shrinkToFit="1"/>
    </xf>
    <xf numFmtId="0" fontId="5" fillId="2" borderId="2" xfId="0" applyFont="1" applyFill="1" applyBorder="1" applyAlignment="1">
      <alignment horizontal="center" shrinkToFit="1"/>
    </xf>
    <xf numFmtId="0" fontId="5" fillId="2" borderId="3" xfId="0" applyFont="1" applyFill="1" applyBorder="1" applyAlignment="1">
      <alignment horizontal="center" shrinkToFit="1"/>
    </xf>
    <xf numFmtId="0" fontId="5" fillId="0" borderId="3" xfId="0" applyFont="1" applyBorder="1" applyAlignment="1">
      <alignment horizontal="center" shrinkToFit="1"/>
    </xf>
    <xf numFmtId="0" fontId="5" fillId="2" borderId="22" xfId="0" applyFont="1" applyFill="1" applyBorder="1" applyAlignment="1">
      <alignment horizontal="center" shrinkToFit="1"/>
    </xf>
    <xf numFmtId="0" fontId="5" fillId="2" borderId="22" xfId="0" applyFont="1" applyFill="1" applyBorder="1" applyAlignment="1">
      <alignment horizontal="center" vertical="center" shrinkToFit="1"/>
    </xf>
    <xf numFmtId="0" fontId="62" fillId="0" borderId="22" xfId="11" applyFont="1" applyBorder="1" applyAlignment="1">
      <alignment horizontal="center" vertical="center" shrinkToFit="1"/>
    </xf>
    <xf numFmtId="0" fontId="24" fillId="8" borderId="22" xfId="11" applyFont="1" applyFill="1" applyBorder="1" applyAlignment="1">
      <alignment horizontal="center" vertical="center" shrinkToFit="1"/>
    </xf>
    <xf numFmtId="0" fontId="26" fillId="8" borderId="22" xfId="11" applyFont="1" applyFill="1" applyBorder="1" applyAlignment="1">
      <alignment horizontal="center" vertical="center" shrinkToFit="1"/>
    </xf>
    <xf numFmtId="0" fontId="62" fillId="8" borderId="22" xfId="11" applyFont="1" applyFill="1" applyBorder="1" applyAlignment="1">
      <alignment horizontal="center" vertical="center" shrinkToFit="1"/>
    </xf>
    <xf numFmtId="0" fontId="26" fillId="0" borderId="22" xfId="0" applyFont="1" applyBorder="1" applyAlignment="1">
      <alignment shrinkToFit="1"/>
    </xf>
    <xf numFmtId="0" fontId="55" fillId="0" borderId="22" xfId="0" applyFont="1" applyBorder="1" applyAlignment="1">
      <alignment shrinkToFit="1"/>
    </xf>
    <xf numFmtId="0" fontId="26" fillId="2" borderId="22" xfId="0" applyFont="1" applyFill="1" applyBorder="1" applyAlignment="1">
      <alignment horizontal="center" vertical="center" shrinkToFit="1"/>
    </xf>
    <xf numFmtId="0" fontId="26" fillId="0" borderId="0" xfId="0" applyFont="1" applyAlignment="1">
      <alignment horizontal="center" shrinkToFit="1"/>
    </xf>
    <xf numFmtId="0" fontId="26" fillId="0" borderId="38" xfId="0" applyFont="1" applyBorder="1" applyAlignment="1">
      <alignment horizontal="center" shrinkToFit="1"/>
    </xf>
    <xf numFmtId="0" fontId="26" fillId="2" borderId="23" xfId="0" applyFont="1" applyFill="1" applyBorder="1" applyAlignment="1">
      <alignment horizontal="center" vertical="center" shrinkToFit="1"/>
    </xf>
    <xf numFmtId="0" fontId="26" fillId="2" borderId="29" xfId="0" applyFont="1" applyFill="1" applyBorder="1" applyAlignment="1">
      <alignment horizontal="center" vertical="center" shrinkToFit="1"/>
    </xf>
    <xf numFmtId="0" fontId="53" fillId="0" borderId="26" xfId="0" applyFont="1" applyBorder="1" applyAlignment="1">
      <alignment horizontal="left" vertical="center" shrinkToFit="1"/>
    </xf>
    <xf numFmtId="0" fontId="26" fillId="2" borderId="33" xfId="0" applyFont="1" applyFill="1" applyBorder="1" applyAlignment="1">
      <alignment horizontal="center" vertical="center" shrinkToFit="1"/>
    </xf>
    <xf numFmtId="0" fontId="26" fillId="2" borderId="0" xfId="0" applyFont="1" applyFill="1" applyAlignment="1">
      <alignment horizontal="center" vertical="center" shrinkToFit="1"/>
    </xf>
    <xf numFmtId="0" fontId="84" fillId="0" borderId="31" xfId="11" applyFont="1" applyBorder="1" applyAlignment="1">
      <alignment horizontal="center" vertical="center"/>
    </xf>
    <xf numFmtId="0" fontId="84" fillId="0" borderId="32" xfId="11" applyFont="1" applyBorder="1" applyAlignment="1">
      <alignment horizontal="center" vertical="center"/>
    </xf>
    <xf numFmtId="0" fontId="84" fillId="0" borderId="33" xfId="11" applyFont="1" applyBorder="1" applyAlignment="1">
      <alignment horizontal="center" vertical="center"/>
    </xf>
    <xf numFmtId="0" fontId="84" fillId="0" borderId="34" xfId="11" applyFont="1" applyBorder="1" applyAlignment="1">
      <alignment horizontal="center" vertical="center"/>
    </xf>
    <xf numFmtId="0" fontId="84" fillId="0" borderId="35" xfId="11" applyFont="1" applyBorder="1" applyAlignment="1">
      <alignment horizontal="center" vertical="center"/>
    </xf>
    <xf numFmtId="0" fontId="84" fillId="0" borderId="36" xfId="11" applyFont="1" applyBorder="1" applyAlignment="1">
      <alignment horizontal="center" vertical="center"/>
    </xf>
    <xf numFmtId="0" fontId="27" fillId="0" borderId="0" xfId="11" applyFont="1" applyAlignment="1">
      <alignment horizontal="center" vertical="center"/>
    </xf>
    <xf numFmtId="0" fontId="34" fillId="5" borderId="22" xfId="5" applyFont="1" applyFill="1" applyBorder="1" applyAlignment="1">
      <alignment horizontal="center" vertical="center"/>
    </xf>
    <xf numFmtId="0" fontId="34" fillId="5" borderId="22" xfId="15" applyFont="1" applyFill="1" applyBorder="1" applyAlignment="1">
      <alignment horizontal="center" vertical="center"/>
    </xf>
    <xf numFmtId="0" fontId="34" fillId="5" borderId="22" xfId="15" applyFont="1" applyFill="1" applyBorder="1" applyAlignment="1">
      <alignment horizontal="center" vertical="center" wrapText="1"/>
    </xf>
    <xf numFmtId="0" fontId="36" fillId="5" borderId="22" xfId="15" applyFont="1" applyFill="1" applyBorder="1" applyAlignment="1">
      <alignment horizontal="center"/>
    </xf>
    <xf numFmtId="0" fontId="38" fillId="0" borderId="26" xfId="11" applyFont="1" applyBorder="1" applyAlignment="1">
      <alignment horizontal="center" vertical="center"/>
    </xf>
    <xf numFmtId="0" fontId="30" fillId="0" borderId="26" xfId="11" applyFont="1" applyBorder="1" applyAlignment="1">
      <alignment horizontal="center" vertical="center"/>
    </xf>
    <xf numFmtId="0" fontId="71" fillId="5" borderId="31" xfId="11" applyFont="1" applyFill="1" applyBorder="1" applyAlignment="1">
      <alignment horizontal="center" vertical="center"/>
    </xf>
    <xf numFmtId="0" fontId="27" fillId="5" borderId="32" xfId="11" applyFont="1" applyFill="1" applyBorder="1" applyAlignment="1">
      <alignment horizontal="center" vertical="center"/>
    </xf>
    <xf numFmtId="0" fontId="27" fillId="5" borderId="33" xfId="11" applyFont="1" applyFill="1" applyBorder="1" applyAlignment="1">
      <alignment horizontal="center" vertical="center"/>
    </xf>
    <xf numFmtId="0" fontId="27" fillId="5" borderId="34" xfId="11" applyFont="1" applyFill="1" applyBorder="1" applyAlignment="1">
      <alignment horizontal="center" vertical="center"/>
    </xf>
    <xf numFmtId="0" fontId="27" fillId="5" borderId="35" xfId="11" applyFont="1" applyFill="1" applyBorder="1" applyAlignment="1">
      <alignment horizontal="center" vertical="center"/>
    </xf>
    <xf numFmtId="0" fontId="27" fillId="5" borderId="36" xfId="11" applyFont="1" applyFill="1" applyBorder="1" applyAlignment="1">
      <alignment horizontal="center" vertical="center"/>
    </xf>
    <xf numFmtId="0" fontId="34" fillId="5" borderId="31" xfId="5" applyFont="1" applyFill="1" applyBorder="1" applyAlignment="1">
      <alignment horizontal="center" vertical="center"/>
    </xf>
    <xf numFmtId="0" fontId="34" fillId="5" borderId="33" xfId="5" applyFont="1" applyFill="1" applyBorder="1" applyAlignment="1">
      <alignment horizontal="center" vertical="center"/>
    </xf>
    <xf numFmtId="0" fontId="34" fillId="5" borderId="35" xfId="5" applyFont="1" applyFill="1" applyBorder="1" applyAlignment="1">
      <alignment horizontal="center" vertical="center"/>
    </xf>
    <xf numFmtId="0" fontId="83" fillId="5" borderId="23" xfId="5" applyFont="1" applyFill="1" applyBorder="1" applyAlignment="1">
      <alignment horizontal="center" vertical="center"/>
    </xf>
    <xf numFmtId="0" fontId="83" fillId="5" borderId="29" xfId="5" applyFont="1" applyFill="1" applyBorder="1" applyAlignment="1">
      <alignment horizontal="center" vertical="center"/>
    </xf>
    <xf numFmtId="0" fontId="83" fillId="5" borderId="30" xfId="5" applyFont="1" applyFill="1" applyBorder="1" applyAlignment="1">
      <alignment horizontal="center" vertical="center"/>
    </xf>
    <xf numFmtId="0" fontId="34" fillId="5" borderId="23" xfId="5" applyFont="1" applyFill="1" applyBorder="1" applyAlignment="1">
      <alignment horizontal="center" vertical="center"/>
    </xf>
    <xf numFmtId="0" fontId="34" fillId="5" borderId="29" xfId="5" applyFont="1" applyFill="1" applyBorder="1" applyAlignment="1">
      <alignment horizontal="center" vertical="center"/>
    </xf>
    <xf numFmtId="0" fontId="34" fillId="5" borderId="30" xfId="5" applyFont="1" applyFill="1" applyBorder="1" applyAlignment="1">
      <alignment horizontal="center" vertical="center"/>
    </xf>
    <xf numFmtId="0" fontId="65" fillId="5" borderId="23" xfId="5" applyFont="1" applyFill="1" applyBorder="1" applyAlignment="1">
      <alignment horizontal="center" vertical="center"/>
    </xf>
    <xf numFmtId="0" fontId="65" fillId="5" borderId="29" xfId="5" applyFont="1" applyFill="1" applyBorder="1" applyAlignment="1">
      <alignment horizontal="center" vertical="center"/>
    </xf>
    <xf numFmtId="0" fontId="65" fillId="5" borderId="30" xfId="5" applyFont="1" applyFill="1" applyBorder="1" applyAlignment="1">
      <alignment horizontal="center" vertical="center"/>
    </xf>
    <xf numFmtId="0" fontId="87" fillId="5" borderId="22" xfId="15" applyFont="1" applyFill="1" applyBorder="1" applyAlignment="1">
      <alignment horizontal="center" vertical="center"/>
    </xf>
    <xf numFmtId="0" fontId="88" fillId="15" borderId="22" xfId="15" applyFont="1" applyFill="1" applyBorder="1" applyAlignment="1">
      <alignment horizontal="center" vertical="center" wrapText="1"/>
    </xf>
    <xf numFmtId="0" fontId="91" fillId="15" borderId="22" xfId="15" applyFont="1" applyFill="1" applyBorder="1" applyAlignment="1">
      <alignment horizontal="center" vertical="center"/>
    </xf>
    <xf numFmtId="0" fontId="35" fillId="5" borderId="22" xfId="5" applyFont="1" applyFill="1" applyBorder="1" applyAlignment="1">
      <alignment horizontal="center"/>
    </xf>
  </cellXfs>
  <cellStyles count="577">
    <cellStyle name="??_x000c_鞜_x0007__x000d_槉U_x0001_??_x0007__x0001__x0001_" xfId="25" xr:uid="{00000000-0005-0000-0000-000000000000}"/>
    <cellStyle name="_98-春節暫停營業明細-ToDC" xfId="26" xr:uid="{00000000-0005-0000-0000-000001000000}"/>
    <cellStyle name="_98-春節暫停營業明細-ToDC_1-晉欣鮮食廠-2012年春節作業體制" xfId="27" xr:uid="{00000000-0005-0000-0000-000002000000}"/>
    <cellStyle name="_excel報告書" xfId="28" xr:uid="{00000000-0005-0000-0000-000003000000}"/>
    <cellStyle name="_excel報告書_1-晉欣鮮食廠-2012年春節作業體制" xfId="29" xr:uid="{00000000-0005-0000-0000-000004000000}"/>
    <cellStyle name="_excel報告書_96年月餅預購競賽獎勵案" xfId="30" xr:uid="{00000000-0005-0000-0000-000005000000}"/>
    <cellStyle name="_excel報告書_96年月餅預購競賽獎勵案_1-晉欣鮮食廠-2012年春節作業體制" xfId="31" xr:uid="{00000000-0005-0000-0000-000006000000}"/>
    <cellStyle name="_excel報告書_96年月餅預購競賽獎勵案_97年春節保全回收報告書" xfId="32" xr:uid="{00000000-0005-0000-0000-000007000000}"/>
    <cellStyle name="_excel報告書_96年月餅預購競賽獎勵案_97年春節保全回收報告書_1-晉欣鮮食廠-2012年春節作業體制" xfId="33" xr:uid="{00000000-0005-0000-0000-000008000000}"/>
    <cellStyle name="_excel報告書_96年月餅預購競賽獎勵案_97年春節保全回收報告書_Book1" xfId="34" xr:uid="{00000000-0005-0000-0000-000009000000}"/>
    <cellStyle name="_excel報告書_96年月餅預購競賽獎勵案_97年春節保全回收報告書_Book1_1-晉欣鮮食廠-2012年春節作業體制" xfId="35" xr:uid="{00000000-0005-0000-0000-00000A000000}"/>
    <cellStyle name="_excel報告書_96年月餅預購競賽獎勵案_97年春節保全回收報告書_春節作業手冊-981217" xfId="36" xr:uid="{00000000-0005-0000-0000-00000B000000}"/>
    <cellStyle name="_excel報告書_96年月餅預購競賽獎勵案_97年春節保全回收報告書_春節作業手冊-981217_1-晉欣鮮食廠-2012年春節作業體制" xfId="37" xr:uid="{00000000-0005-0000-0000-00000C000000}"/>
    <cellStyle name="_excel報告書_96年月餅預購競賽獎勵案_97年營業競賽提案報告書" xfId="38" xr:uid="{00000000-0005-0000-0000-00000D000000}"/>
    <cellStyle name="_excel報告書_96年月餅預購競賽獎勵案_97年營業競賽提案報告書_1-晉欣鮮食廠-2012年春節作業體制" xfId="39" xr:uid="{00000000-0005-0000-0000-00000E000000}"/>
    <cellStyle name="_excel報告書_96年月餅預購競賽獎勵案_97年營業競賽提案報告書_97年春節保全回收報告書" xfId="40" xr:uid="{00000000-0005-0000-0000-00000F000000}"/>
    <cellStyle name="_excel報告書_96年月餅預購競賽獎勵案_97年營業競賽提案報告書_97年春節保全回收報告書_1-晉欣鮮食廠-2012年春節作業體制" xfId="41" xr:uid="{00000000-0005-0000-0000-000010000000}"/>
    <cellStyle name="_excel報告書_96年月餅預購競賽獎勵案_97年營業競賽提案報告書_97年春節保全回收報告書_Book1" xfId="42" xr:uid="{00000000-0005-0000-0000-000011000000}"/>
    <cellStyle name="_excel報告書_96年月餅預購競賽獎勵案_97年營業競賽提案報告書_97年春節保全回收報告書_Book1_1-晉欣鮮食廠-2012年春節作業體制" xfId="43" xr:uid="{00000000-0005-0000-0000-000012000000}"/>
    <cellStyle name="_excel報告書_96年月餅預購競賽獎勵案_97年營業競賽提案報告書_97年春節保全回收報告書_春節作業手冊-981217" xfId="44" xr:uid="{00000000-0005-0000-0000-000013000000}"/>
    <cellStyle name="_excel報告書_96年月餅預購競賽獎勵案_97年營業競賽提案報告書_97年春節保全回收報告書_春節作業手冊-981217_1-晉欣鮮食廠-2012年春節作業體制" xfId="45" xr:uid="{00000000-0005-0000-0000-000014000000}"/>
    <cellStyle name="_excel報告書_96年月餅預購競賽獎勵案_97年營業競賽提案報告書_97年營業競賽提案報告書" xfId="46" xr:uid="{00000000-0005-0000-0000-000015000000}"/>
    <cellStyle name="_excel報告書_96年月餅預購競賽獎勵案_97年營業競賽提案報告書_97年營業競賽提案報告書_1-晉欣鮮食廠-2012年春節作業體制" xfId="47" xr:uid="{00000000-0005-0000-0000-000016000000}"/>
    <cellStyle name="_excel報告書_96年月餅預購競賽獎勵案_97年營業競賽提案報告書_97年營業競賽提案報告書_97年春節保全回收報告書" xfId="48" xr:uid="{00000000-0005-0000-0000-000017000000}"/>
    <cellStyle name="_excel報告書_96年月餅預購競賽獎勵案_97年營業競賽提案報告書_97年營業競賽提案報告書_97年春節保全回收報告書_1-晉欣鮮食廠-2012年春節作業體制" xfId="49" xr:uid="{00000000-0005-0000-0000-000018000000}"/>
    <cellStyle name="_excel報告書_96年月餅預購競賽獎勵案_97年營業競賽提案報告書_97年營業競賽提案報告書_97年春節保全回收報告書_Book1" xfId="50" xr:uid="{00000000-0005-0000-0000-000019000000}"/>
    <cellStyle name="_excel報告書_96年月餅預購競賽獎勵案_97年營業競賽提案報告書_97年營業競賽提案報告書_97年春節保全回收報告書_Book1_1-晉欣鮮食廠-2012年春節作業體制" xfId="51" xr:uid="{00000000-0005-0000-0000-00001A000000}"/>
    <cellStyle name="_excel報告書_96年月餅預購競賽獎勵案_97年營業競賽提案報告書_97年營業競賽提案報告書_97年春節保全回收報告書_春節作業手冊-981217" xfId="52" xr:uid="{00000000-0005-0000-0000-00001B000000}"/>
    <cellStyle name="_excel報告書_96年月餅預購競賽獎勵案_97年營業競賽提案報告書_97年營業競賽提案報告書_97年春節保全回收報告書_春節作業手冊-981217_1-晉欣鮮食廠-2012年春節作業體制" xfId="53" xr:uid="{00000000-0005-0000-0000-00001C000000}"/>
    <cellStyle name="_excel報告書_96年月餅預購競賽獎勵案_97年營業競賽提案報告書_97年營業競賽提案報告書_97年營業競賽提案報告書" xfId="54" xr:uid="{00000000-0005-0000-0000-00001D000000}"/>
    <cellStyle name="_excel報告書_96年月餅預購競賽獎勵案_97年營業競賽提案報告書_97年營業競賽提案報告書_97年營業競賽提案報告書_1-晉欣鮮食廠-2012年春節作業體制" xfId="55" xr:uid="{00000000-0005-0000-0000-00001E000000}"/>
    <cellStyle name="_excel報告書_96年月餅預購競賽獎勵案_97年營業競賽提案報告書_97年營業競賽提案報告書_97年營業競賽提案報告書_97年春節保全回收報告書" xfId="56" xr:uid="{00000000-0005-0000-0000-00001F000000}"/>
    <cellStyle name="_excel報告書_96年月餅預購競賽獎勵案_97年營業競賽提案報告書_97年營業競賽提案報告書_97年營業競賽提案報告書_97年春節保全回收報告書_1-晉欣鮮食廠-2012年春節作業體制" xfId="57" xr:uid="{00000000-0005-0000-0000-000020000000}"/>
    <cellStyle name="_excel報告書_96年月餅預購競賽獎勵案_97年營業競賽提案報告書_97年營業競賽提案報告書_97年營業競賽提案報告書_97年春節保全回收報告書_Book1" xfId="58" xr:uid="{00000000-0005-0000-0000-000021000000}"/>
    <cellStyle name="_excel報告書_96年月餅預購競賽獎勵案_97年營業競賽提案報告書_97年營業競賽提案報告書_97年營業競賽提案報告書_97年春節保全回收報告書_Book1_1-晉欣鮮食廠-2012年春節作業體制" xfId="59" xr:uid="{00000000-0005-0000-0000-000022000000}"/>
    <cellStyle name="_excel報告書_96年月餅預購競賽獎勵案_97年營業競賽提案報告書_97年營業競賽提案報告書_97年營業競賽提案報告書_97年春節保全回收報告書_春節作業手冊-981217" xfId="60" xr:uid="{00000000-0005-0000-0000-000023000000}"/>
    <cellStyle name="_excel報告書_96年月餅預購競賽獎勵案_97年營業競賽提案報告書_97年營業競賽提案報告書_97年營業競賽提案報告書_97年春節保全回收報告書_春節作業手冊-981217_1-晉欣鮮食廠-2012年春節作業體制" xfId="61" xr:uid="{00000000-0005-0000-0000-000024000000}"/>
    <cellStyle name="_excel報告書_96年月餅預購競賽獎勵案_97年營業競賽提案報告書_97年營業競賽提案報告書_97年營業競賽提案報告書_Book1" xfId="62" xr:uid="{00000000-0005-0000-0000-000025000000}"/>
    <cellStyle name="_excel報告書_96年月餅預購競賽獎勵案_97年營業競賽提案報告書_97年營業競賽提案報告書_97年營業競賽提案報告書_Book1_1-晉欣鮮食廠-2012年春節作業體制" xfId="63" xr:uid="{00000000-0005-0000-0000-000026000000}"/>
    <cellStyle name="_excel報告書_96年月餅預購競賽獎勵案_97年營業競賽提案報告書_97年營業競賽提案報告書_97年營業競賽提案報告書_春節作業手冊-981217" xfId="64" xr:uid="{00000000-0005-0000-0000-000027000000}"/>
    <cellStyle name="_excel報告書_96年月餅預購競賽獎勵案_97年營業競賽提案報告書_97年營業競賽提案報告書_97年營業競賽提案報告書_春節作業手冊-981217_1-晉欣鮮食廠-2012年春節作業體制" xfId="65" xr:uid="{00000000-0005-0000-0000-000028000000}"/>
    <cellStyle name="_excel報告書_96年月餅預購競賽獎勵案_97年營業競賽提案報告書_97年營業競賽提案報告書_Book1" xfId="66" xr:uid="{00000000-0005-0000-0000-000029000000}"/>
    <cellStyle name="_excel報告書_96年月餅預購競賽獎勵案_97年營業競賽提案報告書_97年營業競賽提案報告書_Book1_1-晉欣鮮食廠-2012年春節作業體制" xfId="67" xr:uid="{00000000-0005-0000-0000-00002A000000}"/>
    <cellStyle name="_excel報告書_96年月餅預購競賽獎勵案_97年營業競賽提案報告書_97年營業競賽提案報告書_春節作業手冊-981217" xfId="68" xr:uid="{00000000-0005-0000-0000-00002B000000}"/>
    <cellStyle name="_excel報告書_96年月餅預購競賽獎勵案_97年營業競賽提案報告書_97年營業競賽提案報告書_春節作業手冊-981217_1-晉欣鮮食廠-2012年春節作業體制" xfId="69" xr:uid="{00000000-0005-0000-0000-00002C000000}"/>
    <cellStyle name="_excel報告書_96年月餅預購競賽獎勵案_97年營業競賽提案報告書_Book1" xfId="70" xr:uid="{00000000-0005-0000-0000-00002D000000}"/>
    <cellStyle name="_excel報告書_96年月餅預購競賽獎勵案_97年營業競賽提案報告書_Book1_1-晉欣鮮食廠-2012年春節作業體制" xfId="71" xr:uid="{00000000-0005-0000-0000-00002E000000}"/>
    <cellStyle name="_excel報告書_96年月餅預購競賽獎勵案_97年營業競賽提案報告書_春節作業手冊-981217" xfId="72" xr:uid="{00000000-0005-0000-0000-00002F000000}"/>
    <cellStyle name="_excel報告書_96年月餅預購競賽獎勵案_97年營業競賽提案報告書_春節作業手冊-981217_1-晉欣鮮食廠-2012年春節作業體制" xfId="73" xr:uid="{00000000-0005-0000-0000-000030000000}"/>
    <cellStyle name="_excel報告書_96年月餅預購競賽獎勵案_Book1" xfId="74" xr:uid="{00000000-0005-0000-0000-000031000000}"/>
    <cellStyle name="_excel報告書_96年月餅預購競賽獎勵案_Book1_1-晉欣鮮食廠-2012年春節作業體制" xfId="75" xr:uid="{00000000-0005-0000-0000-000032000000}"/>
    <cellStyle name="_excel報告書_96年月餅預購競賽獎勵案_春節作業手冊-981217" xfId="76" xr:uid="{00000000-0005-0000-0000-000033000000}"/>
    <cellStyle name="_excel報告書_96年月餅預購競賽獎勵案_春節作業手冊-981217_1-晉欣鮮食廠-2012年春節作業體制" xfId="77" xr:uid="{00000000-0005-0000-0000-000034000000}"/>
    <cellStyle name="_excel報告書_97年春節保全回收報告書" xfId="78" xr:uid="{00000000-0005-0000-0000-000035000000}"/>
    <cellStyle name="_excel報告書_97年春節保全回收報告書_1-晉欣鮮食廠-2012年春節作業體制" xfId="79" xr:uid="{00000000-0005-0000-0000-000036000000}"/>
    <cellStyle name="_excel報告書_97年春節保全回收報告書_Book1" xfId="80" xr:uid="{00000000-0005-0000-0000-000037000000}"/>
    <cellStyle name="_excel報告書_97年春節保全回收報告書_Book1_1-晉欣鮮食廠-2012年春節作業體制" xfId="81" xr:uid="{00000000-0005-0000-0000-000038000000}"/>
    <cellStyle name="_excel報告書_97年春節保全回收報告書_春節作業手冊-981217" xfId="82" xr:uid="{00000000-0005-0000-0000-000039000000}"/>
    <cellStyle name="_excel報告書_97年春節保全回收報告書_春節作業手冊-981217_1-晉欣鮮食廠-2012年春節作業體制" xfId="83" xr:uid="{00000000-0005-0000-0000-00003A000000}"/>
    <cellStyle name="_excel報告書_97年營業競賽提案報告書" xfId="84" xr:uid="{00000000-0005-0000-0000-00003B000000}"/>
    <cellStyle name="_excel報告書_97年營業競賽提案報告書_1-晉欣鮮食廠-2012年春節作業體制" xfId="85" xr:uid="{00000000-0005-0000-0000-00003C000000}"/>
    <cellStyle name="_excel報告書_97年營業競賽提案報告書_97年春節保全回收報告書" xfId="86" xr:uid="{00000000-0005-0000-0000-00003D000000}"/>
    <cellStyle name="_excel報告書_97年營業競賽提案報告書_97年春節保全回收報告書_1-晉欣鮮食廠-2012年春節作業體制" xfId="87" xr:uid="{00000000-0005-0000-0000-00003E000000}"/>
    <cellStyle name="_excel報告書_97年營業競賽提案報告書_97年春節保全回收報告書_Book1" xfId="88" xr:uid="{00000000-0005-0000-0000-00003F000000}"/>
    <cellStyle name="_excel報告書_97年營業競賽提案報告書_97年春節保全回收報告書_Book1_1-晉欣鮮食廠-2012年春節作業體制" xfId="89" xr:uid="{00000000-0005-0000-0000-000040000000}"/>
    <cellStyle name="_excel報告書_97年營業競賽提案報告書_97年春節保全回收報告書_春節作業手冊-981217" xfId="90" xr:uid="{00000000-0005-0000-0000-000041000000}"/>
    <cellStyle name="_excel報告書_97年營業競賽提案報告書_97年春節保全回收報告書_春節作業手冊-981217_1-晉欣鮮食廠-2012年春節作業體制" xfId="91" xr:uid="{00000000-0005-0000-0000-000042000000}"/>
    <cellStyle name="_excel報告書_97年營業競賽提案報告書_97年營業競賽提案報告書" xfId="92" xr:uid="{00000000-0005-0000-0000-000043000000}"/>
    <cellStyle name="_excel報告書_97年營業競賽提案報告書_97年營業競賽提案報告書_1-晉欣鮮食廠-2012年春節作業體制" xfId="93" xr:uid="{00000000-0005-0000-0000-000044000000}"/>
    <cellStyle name="_excel報告書_97年營業競賽提案報告書_97年營業競賽提案報告書_97年春節保全回收報告書" xfId="94" xr:uid="{00000000-0005-0000-0000-000045000000}"/>
    <cellStyle name="_excel報告書_97年營業競賽提案報告書_97年營業競賽提案報告書_97年春節保全回收報告書_1-晉欣鮮食廠-2012年春節作業體制" xfId="95" xr:uid="{00000000-0005-0000-0000-000046000000}"/>
    <cellStyle name="_excel報告書_97年營業競賽提案報告書_97年營業競賽提案報告書_97年春節保全回收報告書_Book1" xfId="96" xr:uid="{00000000-0005-0000-0000-000047000000}"/>
    <cellStyle name="_excel報告書_97年營業競賽提案報告書_97年營業競賽提案報告書_97年春節保全回收報告書_Book1_1-晉欣鮮食廠-2012年春節作業體制" xfId="97" xr:uid="{00000000-0005-0000-0000-000048000000}"/>
    <cellStyle name="_excel報告書_97年營業競賽提案報告書_97年營業競賽提案報告書_97年春節保全回收報告書_春節作業手冊-981217" xfId="98" xr:uid="{00000000-0005-0000-0000-000049000000}"/>
    <cellStyle name="_excel報告書_97年營業競賽提案報告書_97年營業競賽提案報告書_97年春節保全回收報告書_春節作業手冊-981217_1-晉欣鮮食廠-2012年春節作業體制" xfId="99" xr:uid="{00000000-0005-0000-0000-00004A000000}"/>
    <cellStyle name="_excel報告書_97年營業競賽提案報告書_97年營業競賽提案報告書_97年營業競賽提案報告書" xfId="100" xr:uid="{00000000-0005-0000-0000-00004B000000}"/>
    <cellStyle name="_excel報告書_97年營業競賽提案報告書_97年營業競賽提案報告書_97年營業競賽提案報告書_1-晉欣鮮食廠-2012年春節作業體制" xfId="101" xr:uid="{00000000-0005-0000-0000-00004C000000}"/>
    <cellStyle name="_excel報告書_97年營業競賽提案報告書_97年營業競賽提案報告書_97年營業競賽提案報告書_97年春節保全回收報告書" xfId="102" xr:uid="{00000000-0005-0000-0000-00004D000000}"/>
    <cellStyle name="_excel報告書_97年營業競賽提案報告書_97年營業競賽提案報告書_97年營業競賽提案報告書_97年春節保全回收報告書_1-晉欣鮮食廠-2012年春節作業體制" xfId="103" xr:uid="{00000000-0005-0000-0000-00004E000000}"/>
    <cellStyle name="_excel報告書_97年營業競賽提案報告書_97年營業競賽提案報告書_97年營業競賽提案報告書_97年春節保全回收報告書_Book1" xfId="104" xr:uid="{00000000-0005-0000-0000-00004F000000}"/>
    <cellStyle name="_excel報告書_97年營業競賽提案報告書_97年營業競賽提案報告書_97年營業競賽提案報告書_97年春節保全回收報告書_Book1_1-晉欣鮮食廠-2012年春節作業體制" xfId="105" xr:uid="{00000000-0005-0000-0000-000050000000}"/>
    <cellStyle name="_excel報告書_97年營業競賽提案報告書_97年營業競賽提案報告書_97年營業競賽提案報告書_97年春節保全回收報告書_春節作業手冊-981217" xfId="106" xr:uid="{00000000-0005-0000-0000-000051000000}"/>
    <cellStyle name="_excel報告書_97年營業競賽提案報告書_97年營業競賽提案報告書_97年營業競賽提案報告書_97年春節保全回收報告書_春節作業手冊-981217_1-晉欣鮮食廠-2012年春節作業體制" xfId="107" xr:uid="{00000000-0005-0000-0000-000052000000}"/>
    <cellStyle name="_excel報告書_97年營業競賽提案報告書_97年營業競賽提案報告書_97年營業競賽提案報告書_Book1" xfId="108" xr:uid="{00000000-0005-0000-0000-000053000000}"/>
    <cellStyle name="_excel報告書_97年營業競賽提案報告書_97年營業競賽提案報告書_97年營業競賽提案報告書_Book1_1-晉欣鮮食廠-2012年春節作業體制" xfId="109" xr:uid="{00000000-0005-0000-0000-000054000000}"/>
    <cellStyle name="_excel報告書_97年營業競賽提案報告書_97年營業競賽提案報告書_97年營業競賽提案報告書_春節作業手冊-981217" xfId="110" xr:uid="{00000000-0005-0000-0000-000055000000}"/>
    <cellStyle name="_excel報告書_97年營業競賽提案報告書_97年營業競賽提案報告書_97年營業競賽提案報告書_春節作業手冊-981217_1-晉欣鮮食廠-2012年春節作業體制" xfId="111" xr:uid="{00000000-0005-0000-0000-000056000000}"/>
    <cellStyle name="_excel報告書_97年營業競賽提案報告書_97年營業競賽提案報告書_Book1" xfId="112" xr:uid="{00000000-0005-0000-0000-000057000000}"/>
    <cellStyle name="_excel報告書_97年營業競賽提案報告書_97年營業競賽提案報告書_Book1_1-晉欣鮮食廠-2012年春節作業體制" xfId="113" xr:uid="{00000000-0005-0000-0000-000058000000}"/>
    <cellStyle name="_excel報告書_97年營業競賽提案報告書_97年營業競賽提案報告書_春節作業手冊-981217" xfId="114" xr:uid="{00000000-0005-0000-0000-000059000000}"/>
    <cellStyle name="_excel報告書_97年營業競賽提案報告書_97年營業競賽提案報告書_春節作業手冊-981217_1-晉欣鮮食廠-2012年春節作業體制" xfId="115" xr:uid="{00000000-0005-0000-0000-00005A000000}"/>
    <cellStyle name="_excel報告書_97年營業競賽提案報告書_Book1" xfId="116" xr:uid="{00000000-0005-0000-0000-00005B000000}"/>
    <cellStyle name="_excel報告書_97年營業競賽提案報告書_Book1_1-晉欣鮮食廠-2012年春節作業體制" xfId="117" xr:uid="{00000000-0005-0000-0000-00005C000000}"/>
    <cellStyle name="_excel報告書_97年營業競賽提案報告書_春節作業手冊-981217" xfId="118" xr:uid="{00000000-0005-0000-0000-00005D000000}"/>
    <cellStyle name="_excel報告書_97年營業競賽提案報告書_春節作業手冊-981217_1-晉欣鮮食廠-2012年春節作業體制" xfId="119" xr:uid="{00000000-0005-0000-0000-00005E000000}"/>
    <cellStyle name="_excel報告書_Book1" xfId="120" xr:uid="{00000000-0005-0000-0000-00005F000000}"/>
    <cellStyle name="_excel報告書_Book1_1-晉欣鮮食廠-2012年春節作業體制" xfId="121" xr:uid="{00000000-0005-0000-0000-000060000000}"/>
    <cellStyle name="_excel報告書_春節作業手冊-981217" xfId="122" xr:uid="{00000000-0005-0000-0000-000061000000}"/>
    <cellStyle name="_excel報告書_春節作業手冊-981217_1-晉欣鮮食廠-2012年春節作業體制" xfId="123" xr:uid="{00000000-0005-0000-0000-000062000000}"/>
    <cellStyle name="_日翊98年春節作業-To毓琦" xfId="124" xr:uid="{00000000-0005-0000-0000-000063000000}"/>
    <cellStyle name="_封閉型商圈日商" xfId="125" xr:uid="{00000000-0005-0000-0000-000064000000}"/>
    <cellStyle name="_封閉型商圈日商_1-晉欣鮮食廠-2012年春節作業體制" xfId="126" xr:uid="{00000000-0005-0000-0000-000065000000}"/>
    <cellStyle name="_封閉型商圈日商_97年春節保全回收報告書" xfId="127" xr:uid="{00000000-0005-0000-0000-000066000000}"/>
    <cellStyle name="_封閉型商圈日商_97年春節保全回收報告書_1-晉欣鮮食廠-2012年春節作業體制" xfId="128" xr:uid="{00000000-0005-0000-0000-000067000000}"/>
    <cellStyle name="_封閉型商圈日商_97年春節保全回收報告書_Book1" xfId="129" xr:uid="{00000000-0005-0000-0000-000068000000}"/>
    <cellStyle name="_封閉型商圈日商_97年春節保全回收報告書_Book1_1-晉欣鮮食廠-2012年春節作業體制" xfId="130" xr:uid="{00000000-0005-0000-0000-000069000000}"/>
    <cellStyle name="_封閉型商圈日商_97年春節保全回收報告書_春節作業手冊-981217" xfId="131" xr:uid="{00000000-0005-0000-0000-00006A000000}"/>
    <cellStyle name="_封閉型商圈日商_97年春節保全回收報告書_春節作業手冊-981217_1-晉欣鮮食廠-2012年春節作業體制" xfId="132" xr:uid="{00000000-0005-0000-0000-00006B000000}"/>
    <cellStyle name="_封閉型商圈日商_97年營業競賽提案報告書" xfId="133" xr:uid="{00000000-0005-0000-0000-00006C000000}"/>
    <cellStyle name="_封閉型商圈日商_97年營業競賽提案報告書_1-晉欣鮮食廠-2012年春節作業體制" xfId="134" xr:uid="{00000000-0005-0000-0000-00006D000000}"/>
    <cellStyle name="_封閉型商圈日商_97年營業競賽提案報告書_97年春節保全回收報告書" xfId="135" xr:uid="{00000000-0005-0000-0000-00006E000000}"/>
    <cellStyle name="_封閉型商圈日商_97年營業競賽提案報告書_97年春節保全回收報告書_1-晉欣鮮食廠-2012年春節作業體制" xfId="136" xr:uid="{00000000-0005-0000-0000-00006F000000}"/>
    <cellStyle name="_封閉型商圈日商_97年營業競賽提案報告書_97年春節保全回收報告書_Book1" xfId="137" xr:uid="{00000000-0005-0000-0000-000070000000}"/>
    <cellStyle name="_封閉型商圈日商_97年營業競賽提案報告書_97年春節保全回收報告書_Book1_1-晉欣鮮食廠-2012年春節作業體制" xfId="138" xr:uid="{00000000-0005-0000-0000-000071000000}"/>
    <cellStyle name="_封閉型商圈日商_97年營業競賽提案報告書_97年春節保全回收報告書_春節作業手冊-981217" xfId="139" xr:uid="{00000000-0005-0000-0000-000072000000}"/>
    <cellStyle name="_封閉型商圈日商_97年營業競賽提案報告書_97年春節保全回收報告書_春節作業手冊-981217_1-晉欣鮮食廠-2012年春節作業體制" xfId="140" xr:uid="{00000000-0005-0000-0000-000073000000}"/>
    <cellStyle name="_封閉型商圈日商_97年營業競賽提案報告書_97年營業競賽提案報告書" xfId="141" xr:uid="{00000000-0005-0000-0000-000074000000}"/>
    <cellStyle name="_封閉型商圈日商_97年營業競賽提案報告書_97年營業競賽提案報告書_1-晉欣鮮食廠-2012年春節作業體制" xfId="142" xr:uid="{00000000-0005-0000-0000-000075000000}"/>
    <cellStyle name="_封閉型商圈日商_97年營業競賽提案報告書_97年營業競賽提案報告書_97年春節保全回收報告書" xfId="143" xr:uid="{00000000-0005-0000-0000-000076000000}"/>
    <cellStyle name="_封閉型商圈日商_97年營業競賽提案報告書_97年營業競賽提案報告書_97年春節保全回收報告書_1-晉欣鮮食廠-2012年春節作業體制" xfId="144" xr:uid="{00000000-0005-0000-0000-000077000000}"/>
    <cellStyle name="_封閉型商圈日商_97年營業競賽提案報告書_97年營業競賽提案報告書_97年春節保全回收報告書_Book1" xfId="145" xr:uid="{00000000-0005-0000-0000-000078000000}"/>
    <cellStyle name="_封閉型商圈日商_97年營業競賽提案報告書_97年營業競賽提案報告書_97年春節保全回收報告書_Book1_1-晉欣鮮食廠-2012年春節作業體制" xfId="146" xr:uid="{00000000-0005-0000-0000-000079000000}"/>
    <cellStyle name="_封閉型商圈日商_97年營業競賽提案報告書_97年營業競賽提案報告書_97年春節保全回收報告書_春節作業手冊-981217" xfId="147" xr:uid="{00000000-0005-0000-0000-00007A000000}"/>
    <cellStyle name="_封閉型商圈日商_97年營業競賽提案報告書_97年營業競賽提案報告書_97年春節保全回收報告書_春節作業手冊-981217_1-晉欣鮮食廠-2012年春節作業體制" xfId="148" xr:uid="{00000000-0005-0000-0000-00007B000000}"/>
    <cellStyle name="_封閉型商圈日商_97年營業競賽提案報告書_97年營業競賽提案報告書_97年營業競賽提案報告書" xfId="149" xr:uid="{00000000-0005-0000-0000-00007C000000}"/>
    <cellStyle name="_封閉型商圈日商_97年營業競賽提案報告書_97年營業競賽提案報告書_97年營業競賽提案報告書_1-晉欣鮮食廠-2012年春節作業體制" xfId="150" xr:uid="{00000000-0005-0000-0000-00007D000000}"/>
    <cellStyle name="_封閉型商圈日商_97年營業競賽提案報告書_97年營業競賽提案報告書_97年營業競賽提案報告書_97年春節保全回收報告書" xfId="151" xr:uid="{00000000-0005-0000-0000-00007E000000}"/>
    <cellStyle name="_封閉型商圈日商_97年營業競賽提案報告書_97年營業競賽提案報告書_97年營業競賽提案報告書_97年春節保全回收報告書_1-晉欣鮮食廠-2012年春節作業體制" xfId="152" xr:uid="{00000000-0005-0000-0000-00007F000000}"/>
    <cellStyle name="_封閉型商圈日商_97年營業競賽提案報告書_97年營業競賽提案報告書_97年營業競賽提案報告書_97年春節保全回收報告書_Book1" xfId="153" xr:uid="{00000000-0005-0000-0000-000080000000}"/>
    <cellStyle name="_封閉型商圈日商_97年營業競賽提案報告書_97年營業競賽提案報告書_97年營業競賽提案報告書_97年春節保全回收報告書_Book1_1-晉欣鮮食廠-2012年春節作業體制" xfId="154" xr:uid="{00000000-0005-0000-0000-000081000000}"/>
    <cellStyle name="_封閉型商圈日商_97年營業競賽提案報告書_97年營業競賽提案報告書_97年營業競賽提案報告書_97年春節保全回收報告書_春節作業手冊-981217" xfId="155" xr:uid="{00000000-0005-0000-0000-000082000000}"/>
    <cellStyle name="_封閉型商圈日商_97年營業競賽提案報告書_97年營業競賽提案報告書_97年營業競賽提案報告書_97年春節保全回收報告書_春節作業手冊-981217_1-晉欣鮮食廠-2012年春節作業體制" xfId="156" xr:uid="{00000000-0005-0000-0000-000083000000}"/>
    <cellStyle name="_封閉型商圈日商_97年營業競賽提案報告書_97年營業競賽提案報告書_97年營業競賽提案報告書_Book1" xfId="157" xr:uid="{00000000-0005-0000-0000-000084000000}"/>
    <cellStyle name="_封閉型商圈日商_97年營業競賽提案報告書_97年營業競賽提案報告書_97年營業競賽提案報告書_Book1_1-晉欣鮮食廠-2012年春節作業體制" xfId="158" xr:uid="{00000000-0005-0000-0000-000085000000}"/>
    <cellStyle name="_封閉型商圈日商_97年營業競賽提案報告書_97年營業競賽提案報告書_97年營業競賽提案報告書_春節作業手冊-981217" xfId="159" xr:uid="{00000000-0005-0000-0000-000086000000}"/>
    <cellStyle name="_封閉型商圈日商_97年營業競賽提案報告書_97年營業競賽提案報告書_97年營業競賽提案報告書_春節作業手冊-981217_1-晉欣鮮食廠-2012年春節作業體制" xfId="160" xr:uid="{00000000-0005-0000-0000-000087000000}"/>
    <cellStyle name="_封閉型商圈日商_97年營業競賽提案報告書_97年營業競賽提案報告書_Book1" xfId="161" xr:uid="{00000000-0005-0000-0000-000088000000}"/>
    <cellStyle name="_封閉型商圈日商_97年營業競賽提案報告書_97年營業競賽提案報告書_Book1_1-晉欣鮮食廠-2012年春節作業體制" xfId="162" xr:uid="{00000000-0005-0000-0000-000089000000}"/>
    <cellStyle name="_封閉型商圈日商_97年營業競賽提案報告書_97年營業競賽提案報告書_春節作業手冊-981217" xfId="163" xr:uid="{00000000-0005-0000-0000-00008A000000}"/>
    <cellStyle name="_封閉型商圈日商_97年營業競賽提案報告書_97年營業競賽提案報告書_春節作業手冊-981217_1-晉欣鮮食廠-2012年春節作業體制" xfId="164" xr:uid="{00000000-0005-0000-0000-00008B000000}"/>
    <cellStyle name="_封閉型商圈日商_97年營業競賽提案報告書_Book1" xfId="165" xr:uid="{00000000-0005-0000-0000-00008C000000}"/>
    <cellStyle name="_封閉型商圈日商_97年營業競賽提案報告書_Book1_1-晉欣鮮食廠-2012年春節作業體制" xfId="166" xr:uid="{00000000-0005-0000-0000-00008D000000}"/>
    <cellStyle name="_封閉型商圈日商_97年營業競賽提案報告書_春節作業手冊-981217" xfId="167" xr:uid="{00000000-0005-0000-0000-00008E000000}"/>
    <cellStyle name="_封閉型商圈日商_97年營業競賽提案報告書_春節作業手冊-981217_1-晉欣鮮食廠-2012年春節作業體制" xfId="168" xr:uid="{00000000-0005-0000-0000-00008F000000}"/>
    <cellStyle name="_封閉型商圈日商_Book1" xfId="169" xr:uid="{00000000-0005-0000-0000-000090000000}"/>
    <cellStyle name="_封閉型商圈日商_Book1_1-晉欣鮮食廠-2012年春節作業體制" xfId="170" xr:uid="{00000000-0005-0000-0000-000091000000}"/>
    <cellStyle name="_封閉型商圈日商_春節作業手冊-981217" xfId="171" xr:uid="{00000000-0005-0000-0000-000092000000}"/>
    <cellStyle name="_封閉型商圈日商_春節作業手冊-981217_1-晉欣鮮食廠-2012年春節作業體制" xfId="172" xr:uid="{00000000-0005-0000-0000-000093000000}"/>
    <cellStyle name="_封閉型商圈日商-1" xfId="173" xr:uid="{00000000-0005-0000-0000-000094000000}"/>
    <cellStyle name="_封閉型商圈日商-1_1-晉欣鮮食廠-2012年春節作業體制" xfId="174" xr:uid="{00000000-0005-0000-0000-000095000000}"/>
    <cellStyle name="_封閉型商圈日商-1_97年春節保全回收報告書" xfId="175" xr:uid="{00000000-0005-0000-0000-000096000000}"/>
    <cellStyle name="_封閉型商圈日商-1_97年春節保全回收報告書_1-晉欣鮮食廠-2012年春節作業體制" xfId="176" xr:uid="{00000000-0005-0000-0000-000097000000}"/>
    <cellStyle name="_封閉型商圈日商-1_97年春節保全回收報告書_Book1" xfId="177" xr:uid="{00000000-0005-0000-0000-000098000000}"/>
    <cellStyle name="_封閉型商圈日商-1_97年春節保全回收報告書_Book1_1-晉欣鮮食廠-2012年春節作業體制" xfId="178" xr:uid="{00000000-0005-0000-0000-000099000000}"/>
    <cellStyle name="_封閉型商圈日商-1_97年春節保全回收報告書_春節作業手冊-981217" xfId="179" xr:uid="{00000000-0005-0000-0000-00009A000000}"/>
    <cellStyle name="_封閉型商圈日商-1_97年春節保全回收報告書_春節作業手冊-981217_1-晉欣鮮食廠-2012年春節作業體制" xfId="180" xr:uid="{00000000-0005-0000-0000-00009B000000}"/>
    <cellStyle name="_封閉型商圈日商-1_97年營業競賽提案報告書" xfId="181" xr:uid="{00000000-0005-0000-0000-00009C000000}"/>
    <cellStyle name="_封閉型商圈日商-1_97年營業競賽提案報告書_1-晉欣鮮食廠-2012年春節作業體制" xfId="182" xr:uid="{00000000-0005-0000-0000-00009D000000}"/>
    <cellStyle name="_封閉型商圈日商-1_97年營業競賽提案報告書_97年春節保全回收報告書" xfId="183" xr:uid="{00000000-0005-0000-0000-00009E000000}"/>
    <cellStyle name="_封閉型商圈日商-1_97年營業競賽提案報告書_97年春節保全回收報告書_1-晉欣鮮食廠-2012年春節作業體制" xfId="184" xr:uid="{00000000-0005-0000-0000-00009F000000}"/>
    <cellStyle name="_封閉型商圈日商-1_97年營業競賽提案報告書_97年春節保全回收報告書_Book1" xfId="185" xr:uid="{00000000-0005-0000-0000-0000A0000000}"/>
    <cellStyle name="_封閉型商圈日商-1_97年營業競賽提案報告書_97年春節保全回收報告書_Book1_1-晉欣鮮食廠-2012年春節作業體制" xfId="186" xr:uid="{00000000-0005-0000-0000-0000A1000000}"/>
    <cellStyle name="_封閉型商圈日商-1_97年營業競賽提案報告書_97年春節保全回收報告書_春節作業手冊-981217" xfId="187" xr:uid="{00000000-0005-0000-0000-0000A2000000}"/>
    <cellStyle name="_封閉型商圈日商-1_97年營業競賽提案報告書_97年春節保全回收報告書_春節作業手冊-981217_1-晉欣鮮食廠-2012年春節作業體制" xfId="188" xr:uid="{00000000-0005-0000-0000-0000A3000000}"/>
    <cellStyle name="_封閉型商圈日商-1_97年營業競賽提案報告書_97年營業競賽提案報告書" xfId="189" xr:uid="{00000000-0005-0000-0000-0000A4000000}"/>
    <cellStyle name="_封閉型商圈日商-1_97年營業競賽提案報告書_97年營業競賽提案報告書_1-晉欣鮮食廠-2012年春節作業體制" xfId="190" xr:uid="{00000000-0005-0000-0000-0000A5000000}"/>
    <cellStyle name="_封閉型商圈日商-1_97年營業競賽提案報告書_97年營業競賽提案報告書_97年春節保全回收報告書" xfId="191" xr:uid="{00000000-0005-0000-0000-0000A6000000}"/>
    <cellStyle name="_封閉型商圈日商-1_97年營業競賽提案報告書_97年營業競賽提案報告書_97年春節保全回收報告書_1-晉欣鮮食廠-2012年春節作業體制" xfId="192" xr:uid="{00000000-0005-0000-0000-0000A7000000}"/>
    <cellStyle name="_封閉型商圈日商-1_97年營業競賽提案報告書_97年營業競賽提案報告書_97年春節保全回收報告書_Book1" xfId="193" xr:uid="{00000000-0005-0000-0000-0000A8000000}"/>
    <cellStyle name="_封閉型商圈日商-1_97年營業競賽提案報告書_97年營業競賽提案報告書_97年春節保全回收報告書_Book1_1-晉欣鮮食廠-2012年春節作業體制" xfId="194" xr:uid="{00000000-0005-0000-0000-0000A9000000}"/>
    <cellStyle name="_封閉型商圈日商-1_97年營業競賽提案報告書_97年營業競賽提案報告書_97年春節保全回收報告書_春節作業手冊-981217" xfId="195" xr:uid="{00000000-0005-0000-0000-0000AA000000}"/>
    <cellStyle name="_封閉型商圈日商-1_97年營業競賽提案報告書_97年營業競賽提案報告書_97年春節保全回收報告書_春節作業手冊-981217_1-晉欣鮮食廠-2012年春節作業體制" xfId="196" xr:uid="{00000000-0005-0000-0000-0000AB000000}"/>
    <cellStyle name="_封閉型商圈日商-1_97年營業競賽提案報告書_97年營業競賽提案報告書_97年營業競賽提案報告書" xfId="197" xr:uid="{00000000-0005-0000-0000-0000AC000000}"/>
    <cellStyle name="_封閉型商圈日商-1_97年營業競賽提案報告書_97年營業競賽提案報告書_97年營業競賽提案報告書_1-晉欣鮮食廠-2012年春節作業體制" xfId="198" xr:uid="{00000000-0005-0000-0000-0000AD000000}"/>
    <cellStyle name="_封閉型商圈日商-1_97年營業競賽提案報告書_97年營業競賽提案報告書_97年營業競賽提案報告書_97年春節保全回收報告書" xfId="199" xr:uid="{00000000-0005-0000-0000-0000AE000000}"/>
    <cellStyle name="_封閉型商圈日商-1_97年營業競賽提案報告書_97年營業競賽提案報告書_97年營業競賽提案報告書_97年春節保全回收報告書_1-晉欣鮮食廠-2012年春節作業體制" xfId="200" xr:uid="{00000000-0005-0000-0000-0000AF000000}"/>
    <cellStyle name="_封閉型商圈日商-1_97年營業競賽提案報告書_97年營業競賽提案報告書_97年營業競賽提案報告書_97年春節保全回收報告書_Book1" xfId="201" xr:uid="{00000000-0005-0000-0000-0000B0000000}"/>
    <cellStyle name="_封閉型商圈日商-1_97年營業競賽提案報告書_97年營業競賽提案報告書_97年營業競賽提案報告書_97年春節保全回收報告書_Book1_1-晉欣鮮食廠-2012年春節作業體制" xfId="202" xr:uid="{00000000-0005-0000-0000-0000B1000000}"/>
    <cellStyle name="_封閉型商圈日商-1_97年營業競賽提案報告書_97年營業競賽提案報告書_97年營業競賽提案報告書_97年春節保全回收報告書_春節作業手冊-981217" xfId="203" xr:uid="{00000000-0005-0000-0000-0000B2000000}"/>
    <cellStyle name="_封閉型商圈日商-1_97年營業競賽提案報告書_97年營業競賽提案報告書_97年營業競賽提案報告書_97年春節保全回收報告書_春節作業手冊-981217_1-晉欣鮮食廠-2012年春節作業體制" xfId="204" xr:uid="{00000000-0005-0000-0000-0000B3000000}"/>
    <cellStyle name="_封閉型商圈日商-1_97年營業競賽提案報告書_97年營業競賽提案報告書_97年營業競賽提案報告書_Book1" xfId="205" xr:uid="{00000000-0005-0000-0000-0000B4000000}"/>
    <cellStyle name="_封閉型商圈日商-1_97年營業競賽提案報告書_97年營業競賽提案報告書_97年營業競賽提案報告書_Book1_1-晉欣鮮食廠-2012年春節作業體制" xfId="206" xr:uid="{00000000-0005-0000-0000-0000B5000000}"/>
    <cellStyle name="_封閉型商圈日商-1_97年營業競賽提案報告書_97年營業競賽提案報告書_97年營業競賽提案報告書_春節作業手冊-981217" xfId="207" xr:uid="{00000000-0005-0000-0000-0000B6000000}"/>
    <cellStyle name="_封閉型商圈日商-1_97年營業競賽提案報告書_97年營業競賽提案報告書_97年營業競賽提案報告書_春節作業手冊-981217_1-晉欣鮮食廠-2012年春節作業體制" xfId="208" xr:uid="{00000000-0005-0000-0000-0000B7000000}"/>
    <cellStyle name="_封閉型商圈日商-1_97年營業競賽提案報告書_97年營業競賽提案報告書_Book1" xfId="209" xr:uid="{00000000-0005-0000-0000-0000B8000000}"/>
    <cellStyle name="_封閉型商圈日商-1_97年營業競賽提案報告書_97年營業競賽提案報告書_Book1_1-晉欣鮮食廠-2012年春節作業體制" xfId="210" xr:uid="{00000000-0005-0000-0000-0000B9000000}"/>
    <cellStyle name="_封閉型商圈日商-1_97年營業競賽提案報告書_97年營業競賽提案報告書_春節作業手冊-981217" xfId="211" xr:uid="{00000000-0005-0000-0000-0000BA000000}"/>
    <cellStyle name="_封閉型商圈日商-1_97年營業競賽提案報告書_97年營業競賽提案報告書_春節作業手冊-981217_1-晉欣鮮食廠-2012年春節作業體制" xfId="212" xr:uid="{00000000-0005-0000-0000-0000BB000000}"/>
    <cellStyle name="_封閉型商圈日商-1_97年營業競賽提案報告書_Book1" xfId="213" xr:uid="{00000000-0005-0000-0000-0000BC000000}"/>
    <cellStyle name="_封閉型商圈日商-1_97年營業競賽提案報告書_Book1_1-晉欣鮮食廠-2012年春節作業體制" xfId="214" xr:uid="{00000000-0005-0000-0000-0000BD000000}"/>
    <cellStyle name="_封閉型商圈日商-1_97年營業競賽提案報告書_春節作業手冊-981217" xfId="215" xr:uid="{00000000-0005-0000-0000-0000BE000000}"/>
    <cellStyle name="_封閉型商圈日商-1_97年營業競賽提案報告書_春節作業手冊-981217_1-晉欣鮮食廠-2012年春節作業體制" xfId="216" xr:uid="{00000000-0005-0000-0000-0000BF000000}"/>
    <cellStyle name="_封閉型商圈日商-1_Book1" xfId="217" xr:uid="{00000000-0005-0000-0000-0000C0000000}"/>
    <cellStyle name="_封閉型商圈日商-1_Book1_1-晉欣鮮食廠-2012年春節作業體制" xfId="218" xr:uid="{00000000-0005-0000-0000-0000C1000000}"/>
    <cellStyle name="_封閉型商圈日商-1_春節作業手冊-981217" xfId="219" xr:uid="{00000000-0005-0000-0000-0000C2000000}"/>
    <cellStyle name="_封閉型商圈日商-1_春節作業手冊-981217_1-晉欣鮮食廠-2012年春節作業體制" xfId="220" xr:uid="{00000000-0005-0000-0000-0000C3000000}"/>
    <cellStyle name="_封閉型商圈店舖明細" xfId="221" xr:uid="{00000000-0005-0000-0000-0000C4000000}"/>
    <cellStyle name="_封閉型商圈店舖明細_1-晉欣鮮食廠-2012年春節作業體制" xfId="222" xr:uid="{00000000-0005-0000-0000-0000C5000000}"/>
    <cellStyle name="_封閉型商圈店舖明細_97年春節保全回收報告書" xfId="223" xr:uid="{00000000-0005-0000-0000-0000C6000000}"/>
    <cellStyle name="_封閉型商圈店舖明細_97年春節保全回收報告書_1-晉欣鮮食廠-2012年春節作業體制" xfId="224" xr:uid="{00000000-0005-0000-0000-0000C7000000}"/>
    <cellStyle name="_封閉型商圈店舖明細_97年春節保全回收報告書_Book1" xfId="225" xr:uid="{00000000-0005-0000-0000-0000C8000000}"/>
    <cellStyle name="_封閉型商圈店舖明細_97年春節保全回收報告書_Book1_1-晉欣鮮食廠-2012年春節作業體制" xfId="226" xr:uid="{00000000-0005-0000-0000-0000C9000000}"/>
    <cellStyle name="_封閉型商圈店舖明細_97年春節保全回收報告書_春節作業手冊-981217" xfId="227" xr:uid="{00000000-0005-0000-0000-0000CA000000}"/>
    <cellStyle name="_封閉型商圈店舖明細_97年春節保全回收報告書_春節作業手冊-981217_1-晉欣鮮食廠-2012年春節作業體制" xfId="228" xr:uid="{00000000-0005-0000-0000-0000CB000000}"/>
    <cellStyle name="_封閉型商圈店舖明細_97年營業競賽提案報告書" xfId="229" xr:uid="{00000000-0005-0000-0000-0000CC000000}"/>
    <cellStyle name="_封閉型商圈店舖明細_97年營業競賽提案報告書_1-晉欣鮮食廠-2012年春節作業體制" xfId="230" xr:uid="{00000000-0005-0000-0000-0000CD000000}"/>
    <cellStyle name="_封閉型商圈店舖明細_97年營業競賽提案報告書_97年春節保全回收報告書" xfId="231" xr:uid="{00000000-0005-0000-0000-0000CE000000}"/>
    <cellStyle name="_封閉型商圈店舖明細_97年營業競賽提案報告書_97年春節保全回收報告書_1-晉欣鮮食廠-2012年春節作業體制" xfId="232" xr:uid="{00000000-0005-0000-0000-0000CF000000}"/>
    <cellStyle name="_封閉型商圈店舖明細_97年營業競賽提案報告書_97年春節保全回收報告書_Book1" xfId="233" xr:uid="{00000000-0005-0000-0000-0000D0000000}"/>
    <cellStyle name="_封閉型商圈店舖明細_97年營業競賽提案報告書_97年春節保全回收報告書_Book1_1-晉欣鮮食廠-2012年春節作業體制" xfId="234" xr:uid="{00000000-0005-0000-0000-0000D1000000}"/>
    <cellStyle name="_封閉型商圈店舖明細_97年營業競賽提案報告書_97年春節保全回收報告書_春節作業手冊-981217" xfId="235" xr:uid="{00000000-0005-0000-0000-0000D2000000}"/>
    <cellStyle name="_封閉型商圈店舖明細_97年營業競賽提案報告書_97年春節保全回收報告書_春節作業手冊-981217_1-晉欣鮮食廠-2012年春節作業體制" xfId="236" xr:uid="{00000000-0005-0000-0000-0000D3000000}"/>
    <cellStyle name="_封閉型商圈店舖明細_97年營業競賽提案報告書_97年營業競賽提案報告書" xfId="237" xr:uid="{00000000-0005-0000-0000-0000D4000000}"/>
    <cellStyle name="_封閉型商圈店舖明細_97年營業競賽提案報告書_97年營業競賽提案報告書_1-晉欣鮮食廠-2012年春節作業體制" xfId="238" xr:uid="{00000000-0005-0000-0000-0000D5000000}"/>
    <cellStyle name="_封閉型商圈店舖明細_97年營業競賽提案報告書_97年營業競賽提案報告書_97年春節保全回收報告書" xfId="239" xr:uid="{00000000-0005-0000-0000-0000D6000000}"/>
    <cellStyle name="_封閉型商圈店舖明細_97年營業競賽提案報告書_97年營業競賽提案報告書_97年春節保全回收報告書_1-晉欣鮮食廠-2012年春節作業體制" xfId="240" xr:uid="{00000000-0005-0000-0000-0000D7000000}"/>
    <cellStyle name="_封閉型商圈店舖明細_97年營業競賽提案報告書_97年營業競賽提案報告書_97年春節保全回收報告書_Book1" xfId="241" xr:uid="{00000000-0005-0000-0000-0000D8000000}"/>
    <cellStyle name="_封閉型商圈店舖明細_97年營業競賽提案報告書_97年營業競賽提案報告書_97年春節保全回收報告書_Book1_1-晉欣鮮食廠-2012年春節作業體制" xfId="242" xr:uid="{00000000-0005-0000-0000-0000D9000000}"/>
    <cellStyle name="_封閉型商圈店舖明細_97年營業競賽提案報告書_97年營業競賽提案報告書_97年春節保全回收報告書_春節作業手冊-981217" xfId="243" xr:uid="{00000000-0005-0000-0000-0000DA000000}"/>
    <cellStyle name="_封閉型商圈店舖明細_97年營業競賽提案報告書_97年營業競賽提案報告書_97年春節保全回收報告書_春節作業手冊-981217_1-晉欣鮮食廠-2012年春節作業體制" xfId="244" xr:uid="{00000000-0005-0000-0000-0000DB000000}"/>
    <cellStyle name="_封閉型商圈店舖明細_97年營業競賽提案報告書_97年營業競賽提案報告書_97年營業競賽提案報告書" xfId="245" xr:uid="{00000000-0005-0000-0000-0000DC000000}"/>
    <cellStyle name="_封閉型商圈店舖明細_97年營業競賽提案報告書_97年營業競賽提案報告書_97年營業競賽提案報告書_1-晉欣鮮食廠-2012年春節作業體制" xfId="246" xr:uid="{00000000-0005-0000-0000-0000DD000000}"/>
    <cellStyle name="_封閉型商圈店舖明細_97年營業競賽提案報告書_97年營業競賽提案報告書_97年營業競賽提案報告書_97年春節保全回收報告書" xfId="247" xr:uid="{00000000-0005-0000-0000-0000DE000000}"/>
    <cellStyle name="_封閉型商圈店舖明細_97年營業競賽提案報告書_97年營業競賽提案報告書_97年營業競賽提案報告書_97年春節保全回收報告書_1-晉欣鮮食廠-2012年春節作業體制" xfId="248" xr:uid="{00000000-0005-0000-0000-0000DF000000}"/>
    <cellStyle name="_封閉型商圈店舖明細_97年營業競賽提案報告書_97年營業競賽提案報告書_97年營業競賽提案報告書_97年春節保全回收報告書_Book1" xfId="249" xr:uid="{00000000-0005-0000-0000-0000E0000000}"/>
    <cellStyle name="_封閉型商圈店舖明細_97年營業競賽提案報告書_97年營業競賽提案報告書_97年營業競賽提案報告書_97年春節保全回收報告書_Book1_1-晉欣鮮食廠-2012年春節作業體制" xfId="250" xr:uid="{00000000-0005-0000-0000-0000E1000000}"/>
    <cellStyle name="_封閉型商圈店舖明細_97年營業競賽提案報告書_97年營業競賽提案報告書_97年營業競賽提案報告書_97年春節保全回收報告書_春節作業手冊-981217" xfId="251" xr:uid="{00000000-0005-0000-0000-0000E2000000}"/>
    <cellStyle name="_封閉型商圈店舖明細_97年營業競賽提案報告書_97年營業競賽提案報告書_97年營業競賽提案報告書_97年春節保全回收報告書_春節作業手冊-981217_1-晉欣鮮食廠-2012年春節作業體制" xfId="252" xr:uid="{00000000-0005-0000-0000-0000E3000000}"/>
    <cellStyle name="_封閉型商圈店舖明細_97年營業競賽提案報告書_97年營業競賽提案報告書_97年營業競賽提案報告書_Book1" xfId="253" xr:uid="{00000000-0005-0000-0000-0000E4000000}"/>
    <cellStyle name="_封閉型商圈店舖明細_97年營業競賽提案報告書_97年營業競賽提案報告書_97年營業競賽提案報告書_Book1_1-晉欣鮮食廠-2012年春節作業體制" xfId="254" xr:uid="{00000000-0005-0000-0000-0000E5000000}"/>
    <cellStyle name="_封閉型商圈店舖明細_97年營業競賽提案報告書_97年營業競賽提案報告書_97年營業競賽提案報告書_春節作業手冊-981217" xfId="255" xr:uid="{00000000-0005-0000-0000-0000E6000000}"/>
    <cellStyle name="_封閉型商圈店舖明細_97年營業競賽提案報告書_97年營業競賽提案報告書_97年營業競賽提案報告書_春節作業手冊-981217_1-晉欣鮮食廠-2012年春節作業體制" xfId="256" xr:uid="{00000000-0005-0000-0000-0000E7000000}"/>
    <cellStyle name="_封閉型商圈店舖明細_97年營業競賽提案報告書_97年營業競賽提案報告書_Book1" xfId="257" xr:uid="{00000000-0005-0000-0000-0000E8000000}"/>
    <cellStyle name="_封閉型商圈店舖明細_97年營業競賽提案報告書_97年營業競賽提案報告書_Book1_1-晉欣鮮食廠-2012年春節作業體制" xfId="258" xr:uid="{00000000-0005-0000-0000-0000E9000000}"/>
    <cellStyle name="_封閉型商圈店舖明細_97年營業競賽提案報告書_97年營業競賽提案報告書_春節作業手冊-981217" xfId="259" xr:uid="{00000000-0005-0000-0000-0000EA000000}"/>
    <cellStyle name="_封閉型商圈店舖明細_97年營業競賽提案報告書_97年營業競賽提案報告書_春節作業手冊-981217_1-晉欣鮮食廠-2012年春節作業體制" xfId="260" xr:uid="{00000000-0005-0000-0000-0000EB000000}"/>
    <cellStyle name="_封閉型商圈店舖明細_97年營業競賽提案報告書_Book1" xfId="261" xr:uid="{00000000-0005-0000-0000-0000EC000000}"/>
    <cellStyle name="_封閉型商圈店舖明細_97年營業競賽提案報告書_Book1_1-晉欣鮮食廠-2012年春節作業體制" xfId="262" xr:uid="{00000000-0005-0000-0000-0000ED000000}"/>
    <cellStyle name="_封閉型商圈店舖明細_97年營業競賽提案報告書_春節作業手冊-981217" xfId="263" xr:uid="{00000000-0005-0000-0000-0000EE000000}"/>
    <cellStyle name="_封閉型商圈店舖明細_97年營業競賽提案報告書_春節作業手冊-981217_1-晉欣鮮食廠-2012年春節作業體制" xfId="264" xr:uid="{00000000-0005-0000-0000-0000EF000000}"/>
    <cellStyle name="_封閉型商圈店舖明細_Book1" xfId="265" xr:uid="{00000000-0005-0000-0000-0000F0000000}"/>
    <cellStyle name="_封閉型商圈店舖明細_Book1_1-晉欣鮮食廠-2012年春節作業體制" xfId="266" xr:uid="{00000000-0005-0000-0000-0000F1000000}"/>
    <cellStyle name="_封閉型商圈店舖明細_春節作業手冊-981217" xfId="267" xr:uid="{00000000-0005-0000-0000-0000F2000000}"/>
    <cellStyle name="_封閉型商圈店舖明細_春節作業手冊-981217_1-晉欣鮮食廠-2012年春節作業體制" xfId="268" xr:uid="{00000000-0005-0000-0000-0000F3000000}"/>
    <cellStyle name="_封閉型商圈建議台整品項" xfId="269" xr:uid="{00000000-0005-0000-0000-0000F4000000}"/>
    <cellStyle name="_封閉型商圈建議台整品項_1-晉欣鮮食廠-2012年春節作業體制" xfId="270" xr:uid="{00000000-0005-0000-0000-0000F5000000}"/>
    <cellStyle name="_封閉型商圈建議台整品項_97年春節保全回收報告書" xfId="271" xr:uid="{00000000-0005-0000-0000-0000F6000000}"/>
    <cellStyle name="_封閉型商圈建議台整品項_97年春節保全回收報告書_1-晉欣鮮食廠-2012年春節作業體制" xfId="272" xr:uid="{00000000-0005-0000-0000-0000F7000000}"/>
    <cellStyle name="_封閉型商圈建議台整品項_97年春節保全回收報告書_Book1" xfId="273" xr:uid="{00000000-0005-0000-0000-0000F8000000}"/>
    <cellStyle name="_封閉型商圈建議台整品項_97年春節保全回收報告書_Book1_1-晉欣鮮食廠-2012年春節作業體制" xfId="274" xr:uid="{00000000-0005-0000-0000-0000F9000000}"/>
    <cellStyle name="_封閉型商圈建議台整品項_97年春節保全回收報告書_春節作業手冊-981217" xfId="275" xr:uid="{00000000-0005-0000-0000-0000FA000000}"/>
    <cellStyle name="_封閉型商圈建議台整品項_97年春節保全回收報告書_春節作業手冊-981217_1-晉欣鮮食廠-2012年春節作業體制" xfId="276" xr:uid="{00000000-0005-0000-0000-0000FB000000}"/>
    <cellStyle name="_封閉型商圈建議台整品項_97年營業競賽提案報告書" xfId="277" xr:uid="{00000000-0005-0000-0000-0000FC000000}"/>
    <cellStyle name="_封閉型商圈建議台整品項_97年營業競賽提案報告書_1-晉欣鮮食廠-2012年春節作業體制" xfId="278" xr:uid="{00000000-0005-0000-0000-0000FD000000}"/>
    <cellStyle name="_封閉型商圈建議台整品項_97年營業競賽提案報告書_97年春節保全回收報告書" xfId="279" xr:uid="{00000000-0005-0000-0000-0000FE000000}"/>
    <cellStyle name="_封閉型商圈建議台整品項_97年營業競賽提案報告書_97年春節保全回收報告書_1-晉欣鮮食廠-2012年春節作業體制" xfId="280" xr:uid="{00000000-0005-0000-0000-0000FF000000}"/>
    <cellStyle name="_封閉型商圈建議台整品項_97年營業競賽提案報告書_97年春節保全回收報告書_Book1" xfId="281" xr:uid="{00000000-0005-0000-0000-000000010000}"/>
    <cellStyle name="_封閉型商圈建議台整品項_97年營業競賽提案報告書_97年春節保全回收報告書_Book1_1-晉欣鮮食廠-2012年春節作業體制" xfId="282" xr:uid="{00000000-0005-0000-0000-000001010000}"/>
    <cellStyle name="_封閉型商圈建議台整品項_97年營業競賽提案報告書_97年春節保全回收報告書_春節作業手冊-981217" xfId="283" xr:uid="{00000000-0005-0000-0000-000002010000}"/>
    <cellStyle name="_封閉型商圈建議台整品項_97年營業競賽提案報告書_97年春節保全回收報告書_春節作業手冊-981217_1-晉欣鮮食廠-2012年春節作業體制" xfId="284" xr:uid="{00000000-0005-0000-0000-000003010000}"/>
    <cellStyle name="_封閉型商圈建議台整品項_97年營業競賽提案報告書_97年營業競賽提案報告書" xfId="285" xr:uid="{00000000-0005-0000-0000-000004010000}"/>
    <cellStyle name="_封閉型商圈建議台整品項_97年營業競賽提案報告書_97年營業競賽提案報告書_1-晉欣鮮食廠-2012年春節作業體制" xfId="286" xr:uid="{00000000-0005-0000-0000-000005010000}"/>
    <cellStyle name="_封閉型商圈建議台整品項_97年營業競賽提案報告書_97年營業競賽提案報告書_97年春節保全回收報告書" xfId="287" xr:uid="{00000000-0005-0000-0000-000006010000}"/>
    <cellStyle name="_封閉型商圈建議台整品項_97年營業競賽提案報告書_97年營業競賽提案報告書_97年春節保全回收報告書_1-晉欣鮮食廠-2012年春節作業體制" xfId="288" xr:uid="{00000000-0005-0000-0000-000007010000}"/>
    <cellStyle name="_封閉型商圈建議台整品項_97年營業競賽提案報告書_97年營業競賽提案報告書_97年春節保全回收報告書_Book1" xfId="289" xr:uid="{00000000-0005-0000-0000-000008010000}"/>
    <cellStyle name="_封閉型商圈建議台整品項_97年營業競賽提案報告書_97年營業競賽提案報告書_97年春節保全回收報告書_Book1_1-晉欣鮮食廠-2012年春節作業體制" xfId="290" xr:uid="{00000000-0005-0000-0000-000009010000}"/>
    <cellStyle name="_封閉型商圈建議台整品項_97年營業競賽提案報告書_97年營業競賽提案報告書_97年春節保全回收報告書_春節作業手冊-981217" xfId="291" xr:uid="{00000000-0005-0000-0000-00000A010000}"/>
    <cellStyle name="_封閉型商圈建議台整品項_97年營業競賽提案報告書_97年營業競賽提案報告書_97年春節保全回收報告書_春節作業手冊-981217_1-晉欣鮮食廠-2012年春節作業體制" xfId="292" xr:uid="{00000000-0005-0000-0000-00000B010000}"/>
    <cellStyle name="_封閉型商圈建議台整品項_97年營業競賽提案報告書_97年營業競賽提案報告書_97年營業競賽提案報告書" xfId="293" xr:uid="{00000000-0005-0000-0000-00000C010000}"/>
    <cellStyle name="_封閉型商圈建議台整品項_97年營業競賽提案報告書_97年營業競賽提案報告書_97年營業競賽提案報告書_1-晉欣鮮食廠-2012年春節作業體制" xfId="294" xr:uid="{00000000-0005-0000-0000-00000D010000}"/>
    <cellStyle name="_封閉型商圈建議台整品項_97年營業競賽提案報告書_97年營業競賽提案報告書_97年營業競賽提案報告書_97年春節保全回收報告書" xfId="295" xr:uid="{00000000-0005-0000-0000-00000E010000}"/>
    <cellStyle name="_封閉型商圈建議台整品項_97年營業競賽提案報告書_97年營業競賽提案報告書_97年營業競賽提案報告書_97年春節保全回收報告書_1-晉欣鮮食廠-2012年春節作業體制" xfId="296" xr:uid="{00000000-0005-0000-0000-00000F010000}"/>
    <cellStyle name="_封閉型商圈建議台整品項_97年營業競賽提案報告書_97年營業競賽提案報告書_97年營業競賽提案報告書_97年春節保全回收報告書_Book1" xfId="297" xr:uid="{00000000-0005-0000-0000-000010010000}"/>
    <cellStyle name="_封閉型商圈建議台整品項_97年營業競賽提案報告書_97年營業競賽提案報告書_97年營業競賽提案報告書_97年春節保全回收報告書_Book1_1-晉欣鮮食廠-2012年春節作業體制" xfId="298" xr:uid="{00000000-0005-0000-0000-000011010000}"/>
    <cellStyle name="_封閉型商圈建議台整品項_97年營業競賽提案報告書_97年營業競賽提案報告書_97年營業競賽提案報告書_97年春節保全回收報告書_春節作業手冊-981217" xfId="299" xr:uid="{00000000-0005-0000-0000-000012010000}"/>
    <cellStyle name="_封閉型商圈建議台整品項_97年營業競賽提案報告書_97年營業競賽提案報告書_97年營業競賽提案報告書_97年春節保全回收報告書_春節作業手冊-981217_1-晉欣鮮食廠-2012年春節作業體制" xfId="300" xr:uid="{00000000-0005-0000-0000-000013010000}"/>
    <cellStyle name="_封閉型商圈建議台整品項_97年營業競賽提案報告書_97年營業競賽提案報告書_97年營業競賽提案報告書_Book1" xfId="301" xr:uid="{00000000-0005-0000-0000-000014010000}"/>
    <cellStyle name="_封閉型商圈建議台整品項_97年營業競賽提案報告書_97年營業競賽提案報告書_97年營業競賽提案報告書_Book1_1-晉欣鮮食廠-2012年春節作業體制" xfId="302" xr:uid="{00000000-0005-0000-0000-000015010000}"/>
    <cellStyle name="_封閉型商圈建議台整品項_97年營業競賽提案報告書_97年營業競賽提案報告書_97年營業競賽提案報告書_春節作業手冊-981217" xfId="303" xr:uid="{00000000-0005-0000-0000-000016010000}"/>
    <cellStyle name="_封閉型商圈建議台整品項_97年營業競賽提案報告書_97年營業競賽提案報告書_97年營業競賽提案報告書_春節作業手冊-981217_1-晉欣鮮食廠-2012年春節作業體制" xfId="304" xr:uid="{00000000-0005-0000-0000-000017010000}"/>
    <cellStyle name="_封閉型商圈建議台整品項_97年營業競賽提案報告書_97年營業競賽提案報告書_Book1" xfId="305" xr:uid="{00000000-0005-0000-0000-000018010000}"/>
    <cellStyle name="_封閉型商圈建議台整品項_97年營業競賽提案報告書_97年營業競賽提案報告書_Book1_1-晉欣鮮食廠-2012年春節作業體制" xfId="306" xr:uid="{00000000-0005-0000-0000-000019010000}"/>
    <cellStyle name="_封閉型商圈建議台整品項_97年營業競賽提案報告書_97年營業競賽提案報告書_春節作業手冊-981217" xfId="307" xr:uid="{00000000-0005-0000-0000-00001A010000}"/>
    <cellStyle name="_封閉型商圈建議台整品項_97年營業競賽提案報告書_97年營業競賽提案報告書_春節作業手冊-981217_1-晉欣鮮食廠-2012年春節作業體制" xfId="308" xr:uid="{00000000-0005-0000-0000-00001B010000}"/>
    <cellStyle name="_封閉型商圈建議台整品項_97年營業競賽提案報告書_Book1" xfId="309" xr:uid="{00000000-0005-0000-0000-00001C010000}"/>
    <cellStyle name="_封閉型商圈建議台整品項_97年營業競賽提案報告書_Book1_1-晉欣鮮食廠-2012年春節作業體制" xfId="310" xr:uid="{00000000-0005-0000-0000-00001D010000}"/>
    <cellStyle name="_封閉型商圈建議台整品項_97年營業競賽提案報告書_春節作業手冊-981217" xfId="311" xr:uid="{00000000-0005-0000-0000-00001E010000}"/>
    <cellStyle name="_封閉型商圈建議台整品項_97年營業競賽提案報告書_春節作業手冊-981217_1-晉欣鮮食廠-2012年春節作業體制" xfId="312" xr:uid="{00000000-0005-0000-0000-00001F010000}"/>
    <cellStyle name="_封閉型商圈建議台整品項_Book1" xfId="313" xr:uid="{00000000-0005-0000-0000-000020010000}"/>
    <cellStyle name="_封閉型商圈建議台整品項_Book1_1-晉欣鮮食廠-2012年春節作業體制" xfId="314" xr:uid="{00000000-0005-0000-0000-000021010000}"/>
    <cellStyle name="_封閉型商圈建議台整品項_春節作業手冊-981217" xfId="315" xr:uid="{00000000-0005-0000-0000-000022010000}"/>
    <cellStyle name="_封閉型商圈建議台整品項_春節作業手冊-981217_1-晉欣鮮食廠-2012年春節作業體制" xfId="316" xr:uid="{00000000-0005-0000-0000-000023010000}"/>
    <cellStyle name="_樂清9507租賃用品申請" xfId="317" xr:uid="{00000000-0005-0000-0000-000024010000}"/>
    <cellStyle name="_樂清9507租賃用品申請_1-晉欣鮮食廠-2012年春節作業體制" xfId="318" xr:uid="{00000000-0005-0000-0000-000025010000}"/>
    <cellStyle name="_樂清9507租賃用品申請_96年月餅預購競賽獎勵案" xfId="319" xr:uid="{00000000-0005-0000-0000-000026010000}"/>
    <cellStyle name="_樂清9507租賃用品申請_96年月餅預購競賽獎勵案_1-晉欣鮮食廠-2012年春節作業體制" xfId="320" xr:uid="{00000000-0005-0000-0000-000027010000}"/>
    <cellStyle name="_樂清9507租賃用品申請_96年月餅預購競賽獎勵案_96年月餅預購競賽獎勵案" xfId="321" xr:uid="{00000000-0005-0000-0000-000028010000}"/>
    <cellStyle name="_樂清9507租賃用品申請_96年月餅預購競賽獎勵案_96年月餅預購競賽獎勵案_1-晉欣鮮食廠-2012年春節作業體制" xfId="322" xr:uid="{00000000-0005-0000-0000-000029010000}"/>
    <cellStyle name="_樂清9507租賃用品申請_96年月餅預購競賽獎勵案_96年月餅預購競賽獎勵案_97年春節保全回收報告書" xfId="323" xr:uid="{00000000-0005-0000-0000-00002A010000}"/>
    <cellStyle name="_樂清9507租賃用品申請_96年月餅預購競賽獎勵案_96年月餅預購競賽獎勵案_97年春節保全回收報告書_1-晉欣鮮食廠-2012年春節作業體制" xfId="324" xr:uid="{00000000-0005-0000-0000-00002B010000}"/>
    <cellStyle name="_樂清9507租賃用品申請_96年月餅預購競賽獎勵案_96年月餅預購競賽獎勵案_97年春節保全回收報告書_Book1" xfId="325" xr:uid="{00000000-0005-0000-0000-00002C010000}"/>
    <cellStyle name="_樂清9507租賃用品申請_96年月餅預購競賽獎勵案_96年月餅預購競賽獎勵案_97年春節保全回收報告書_Book1_1-晉欣鮮食廠-2012年春節作業體制" xfId="326" xr:uid="{00000000-0005-0000-0000-00002D010000}"/>
    <cellStyle name="_樂清9507租賃用品申請_96年月餅預購競賽獎勵案_96年月餅預購競賽獎勵案_97年春節保全回收報告書_春節作業手冊-981217" xfId="327" xr:uid="{00000000-0005-0000-0000-00002E010000}"/>
    <cellStyle name="_樂清9507租賃用品申請_96年月餅預購競賽獎勵案_96年月餅預購競賽獎勵案_97年春節保全回收報告書_春節作業手冊-981217_1-晉欣鮮食廠-2012年春節作業體制" xfId="328" xr:uid="{00000000-0005-0000-0000-00002F010000}"/>
    <cellStyle name="_樂清9507租賃用品申請_96年月餅預購競賽獎勵案_96年月餅預購競賽獎勵案_97年營業競賽提案報告書" xfId="329" xr:uid="{00000000-0005-0000-0000-000030010000}"/>
    <cellStyle name="_樂清9507租賃用品申請_96年月餅預購競賽獎勵案_96年月餅預購競賽獎勵案_97年營業競賽提案報告書_1-晉欣鮮食廠-2012年春節作業體制" xfId="330" xr:uid="{00000000-0005-0000-0000-000031010000}"/>
    <cellStyle name="_樂清9507租賃用品申請_96年月餅預購競賽獎勵案_96年月餅預購競賽獎勵案_97年營業競賽提案報告書_97年春節保全回收報告書" xfId="331" xr:uid="{00000000-0005-0000-0000-000032010000}"/>
    <cellStyle name="_樂清9507租賃用品申請_96年月餅預購競賽獎勵案_96年月餅預購競賽獎勵案_97年營業競賽提案報告書_97年春節保全回收報告書_1-晉欣鮮食廠-2012年春節作業體制" xfId="332" xr:uid="{00000000-0005-0000-0000-000033010000}"/>
    <cellStyle name="_樂清9507租賃用品申請_96年月餅預購競賽獎勵案_96年月餅預購競賽獎勵案_97年營業競賽提案報告書_97年春節保全回收報告書_Book1" xfId="333" xr:uid="{00000000-0005-0000-0000-000034010000}"/>
    <cellStyle name="_樂清9507租賃用品申請_96年月餅預購競賽獎勵案_96年月餅預購競賽獎勵案_97年營業競賽提案報告書_97年春節保全回收報告書_Book1_1-晉欣鮮食廠-2012年春節作業體制" xfId="334" xr:uid="{00000000-0005-0000-0000-000035010000}"/>
    <cellStyle name="_樂清9507租賃用品申請_96年月餅預購競賽獎勵案_96年月餅預購競賽獎勵案_97年營業競賽提案報告書_97年春節保全回收報告書_春節作業手冊-981217" xfId="335" xr:uid="{00000000-0005-0000-0000-000036010000}"/>
    <cellStyle name="_樂清9507租賃用品申請_96年月餅預購競賽獎勵案_96年月餅預購競賽獎勵案_97年營業競賽提案報告書_97年春節保全回收報告書_春節作業手冊-981217_1-晉欣鮮食廠-2012年春節作業體制" xfId="336" xr:uid="{00000000-0005-0000-0000-000037010000}"/>
    <cellStyle name="_樂清9507租賃用品申請_96年月餅預購競賽獎勵案_96年月餅預購競賽獎勵案_97年營業競賽提案報告書_97年營業競賽提案報告書" xfId="337" xr:uid="{00000000-0005-0000-0000-000038010000}"/>
    <cellStyle name="_樂清9507租賃用品申請_96年月餅預購競賽獎勵案_96年月餅預購競賽獎勵案_97年營業競賽提案報告書_97年營業競賽提案報告書_1-晉欣鮮食廠-2012年春節作業體制" xfId="338" xr:uid="{00000000-0005-0000-0000-000039010000}"/>
    <cellStyle name="_樂清9507租賃用品申請_96年月餅預購競賽獎勵案_96年月餅預購競賽獎勵案_97年營業競賽提案報告書_97年營業競賽提案報告書_97年春節保全回收報告書" xfId="339" xr:uid="{00000000-0005-0000-0000-00003A010000}"/>
    <cellStyle name="_樂清9507租賃用品申請_96年月餅預購競賽獎勵案_96年月餅預購競賽獎勵案_97年營業競賽提案報告書_97年營業競賽提案報告書_97年春節保全回收報告書_1-晉欣鮮食廠-2012年春節作業體制" xfId="340" xr:uid="{00000000-0005-0000-0000-00003B010000}"/>
    <cellStyle name="_樂清9507租賃用品申請_96年月餅預購競賽獎勵案_96年月餅預購競賽獎勵案_97年營業競賽提案報告書_97年營業競賽提案報告書_97年春節保全回收報告書_Book1" xfId="341" xr:uid="{00000000-0005-0000-0000-00003C010000}"/>
    <cellStyle name="_樂清9507租賃用品申請_96年月餅預購競賽獎勵案_96年月餅預購競賽獎勵案_97年營業競賽提案報告書_97年營業競賽提案報告書_97年春節保全回收報告書_Book1_1-晉欣鮮食廠-2012年春節作業體制" xfId="342" xr:uid="{00000000-0005-0000-0000-00003D010000}"/>
    <cellStyle name="_樂清9507租賃用品申請_96年月餅預購競賽獎勵案_96年月餅預購競賽獎勵案_97年營業競賽提案報告書_97年營業競賽提案報告書_97年春節保全回收報告書_春節作業手冊-981217" xfId="343" xr:uid="{00000000-0005-0000-0000-00003E010000}"/>
    <cellStyle name="_樂清9507租賃用品申請_96年月餅預購競賽獎勵案_96年月餅預購競賽獎勵案_97年營業競賽提案報告書_97年營業競賽提案報告書_97年春節保全回收報告書_春節作業手冊-981217_1-晉欣鮮食廠-2012年春節作業體制" xfId="344" xr:uid="{00000000-0005-0000-0000-00003F010000}"/>
    <cellStyle name="_樂清9507租賃用品申請_96年月餅預購競賽獎勵案_96年月餅預購競賽獎勵案_97年營業競賽提案報告書_97年營業競賽提案報告書_97年營業競賽提案報告書" xfId="345" xr:uid="{00000000-0005-0000-0000-000040010000}"/>
    <cellStyle name="_樂清9507租賃用品申請_96年月餅預購競賽獎勵案_96年月餅預購競賽獎勵案_97年營業競賽提案報告書_97年營業競賽提案報告書_97年營業競賽提案報告書_1-晉欣鮮食廠-2012年春節作業體制" xfId="346" xr:uid="{00000000-0005-0000-0000-000041010000}"/>
    <cellStyle name="_樂清9507租賃用品申請_96年月餅預購競賽獎勵案_96年月餅預購競賽獎勵案_97年營業競賽提案報告書_97年營業競賽提案報告書_97年營業競賽提案報告書_97年春節保全回收報告書" xfId="347" xr:uid="{00000000-0005-0000-0000-000042010000}"/>
    <cellStyle name="_樂清9507租賃用品申請_96年月餅預購競賽獎勵案_96年月餅預購競賽獎勵案_97年營業競賽提案報告書_97年營業競賽提案報告書_97年營業競賽提案報告書_97年春節保全回收報告書_1-晉欣鮮食廠-2012年春節作業體制" xfId="348" xr:uid="{00000000-0005-0000-0000-000043010000}"/>
    <cellStyle name="_樂清9507租賃用品申請_96年月餅預購競賽獎勵案_96年月餅預購競賽獎勵案_97年營業競賽提案報告書_97年營業競賽提案報告書_97年營業競賽提案報告書_97年春節保全回收報告書_Book1" xfId="349" xr:uid="{00000000-0005-0000-0000-000044010000}"/>
    <cellStyle name="_樂清9507租賃用品申請_96年月餅預購競賽獎勵案_96年月餅預購競賽獎勵案_97年營業競賽提案報告書_97年營業競賽提案報告書_97年營業競賽提案報告書_97年春節保全回收報告書_Book1_1-晉欣鮮食廠-2012年春節作業體制" xfId="350" xr:uid="{00000000-0005-0000-0000-000045010000}"/>
    <cellStyle name="_樂清9507租賃用品申請_96年月餅預購競賽獎勵案_96年月餅預購競賽獎勵案_97年營業競賽提案報告書_97年營業競賽提案報告書_97年營業競賽提案報告書_97年春節保全回收報告書_春節作業手冊-981217" xfId="351" xr:uid="{00000000-0005-0000-0000-000046010000}"/>
    <cellStyle name="_樂清9507租賃用品申請_96年月餅預購競賽獎勵案_96年月餅預購競賽獎勵案_97年營業競賽提案報告書_97年營業競賽提案報告書_97年營業競賽提案報告書_97年春節保全回收報告書_春節作業手冊-981217_1-晉欣鮮食廠-2012年春節作業體制" xfId="352" xr:uid="{00000000-0005-0000-0000-000047010000}"/>
    <cellStyle name="_樂清9507租賃用品申請_96年月餅預購競賽獎勵案_96年月餅預購競賽獎勵案_97年營業競賽提案報告書_97年營業競賽提案報告書_97年營業競賽提案報告書_Book1" xfId="353" xr:uid="{00000000-0005-0000-0000-000048010000}"/>
    <cellStyle name="_樂清9507租賃用品申請_96年月餅預購競賽獎勵案_96年月餅預購競賽獎勵案_97年營業競賽提案報告書_97年營業競賽提案報告書_97年營業競賽提案報告書_Book1_1-晉欣鮮食廠-2012年春節作業體制" xfId="354" xr:uid="{00000000-0005-0000-0000-000049010000}"/>
    <cellStyle name="_樂清9507租賃用品申請_96年月餅預購競賽獎勵案_96年月餅預購競賽獎勵案_97年營業競賽提案報告書_97年營業競賽提案報告書_97年營業競賽提案報告書_春節作業手冊-981217" xfId="355" xr:uid="{00000000-0005-0000-0000-00004A010000}"/>
    <cellStyle name="_樂清9507租賃用品申請_96年月餅預購競賽獎勵案_96年月餅預購競賽獎勵案_97年營業競賽提案報告書_97年營業競賽提案報告書_97年營業競賽提案報告書_春節作業手冊-981217_1-晉欣鮮食廠-2012年春節作業體制" xfId="356" xr:uid="{00000000-0005-0000-0000-00004B010000}"/>
    <cellStyle name="_樂清9507租賃用品申請_96年月餅預購競賽獎勵案_96年月餅預購競賽獎勵案_97年營業競賽提案報告書_97年營業競賽提案報告書_Book1" xfId="357" xr:uid="{00000000-0005-0000-0000-00004C010000}"/>
    <cellStyle name="_樂清9507租賃用品申請_96年月餅預購競賽獎勵案_96年月餅預購競賽獎勵案_97年營業競賽提案報告書_97年營業競賽提案報告書_Book1_1-晉欣鮮食廠-2012年春節作業體制" xfId="358" xr:uid="{00000000-0005-0000-0000-00004D010000}"/>
    <cellStyle name="_樂清9507租賃用品申請_96年月餅預購競賽獎勵案_96年月餅預購競賽獎勵案_97年營業競賽提案報告書_97年營業競賽提案報告書_春節作業手冊-981217" xfId="359" xr:uid="{00000000-0005-0000-0000-00004E010000}"/>
    <cellStyle name="_樂清9507租賃用品申請_96年月餅預購競賽獎勵案_96年月餅預購競賽獎勵案_97年營業競賽提案報告書_97年營業競賽提案報告書_春節作業手冊-981217_1-晉欣鮮食廠-2012年春節作業體制" xfId="360" xr:uid="{00000000-0005-0000-0000-00004F010000}"/>
    <cellStyle name="_樂清9507租賃用品申請_96年月餅預購競賽獎勵案_96年月餅預購競賽獎勵案_97年營業競賽提案報告書_Book1" xfId="361" xr:uid="{00000000-0005-0000-0000-000050010000}"/>
    <cellStyle name="_樂清9507租賃用品申請_96年月餅預購競賽獎勵案_96年月餅預購競賽獎勵案_97年營業競賽提案報告書_Book1_1-晉欣鮮食廠-2012年春節作業體制" xfId="362" xr:uid="{00000000-0005-0000-0000-000051010000}"/>
    <cellStyle name="_樂清9507租賃用品申請_96年月餅預購競賽獎勵案_96年月餅預購競賽獎勵案_97年營業競賽提案報告書_春節作業手冊-981217" xfId="363" xr:uid="{00000000-0005-0000-0000-000052010000}"/>
    <cellStyle name="_樂清9507租賃用品申請_96年月餅預購競賽獎勵案_96年月餅預購競賽獎勵案_97年營業競賽提案報告書_春節作業手冊-981217_1-晉欣鮮食廠-2012年春節作業體制" xfId="364" xr:uid="{00000000-0005-0000-0000-000053010000}"/>
    <cellStyle name="_樂清9507租賃用品申請_96年月餅預購競賽獎勵案_96年月餅預購競賽獎勵案_Book1" xfId="365" xr:uid="{00000000-0005-0000-0000-000054010000}"/>
    <cellStyle name="_樂清9507租賃用品申請_96年月餅預購競賽獎勵案_96年月餅預購競賽獎勵案_Book1_1-晉欣鮮食廠-2012年春節作業體制" xfId="366" xr:uid="{00000000-0005-0000-0000-000055010000}"/>
    <cellStyle name="_樂清9507租賃用品申請_96年月餅預購競賽獎勵案_96年月餅預購競賽獎勵案_春節作業手冊-981217" xfId="367" xr:uid="{00000000-0005-0000-0000-000056010000}"/>
    <cellStyle name="_樂清9507租賃用品申請_96年月餅預購競賽獎勵案_96年月餅預購競賽獎勵案_春節作業手冊-981217_1-晉欣鮮食廠-2012年春節作業體制" xfId="368" xr:uid="{00000000-0005-0000-0000-000057010000}"/>
    <cellStyle name="_樂清9507租賃用品申請_96年月餅預購競賽獎勵案_97年春節保全回收報告書" xfId="369" xr:uid="{00000000-0005-0000-0000-000058010000}"/>
    <cellStyle name="_樂清9507租賃用品申請_96年月餅預購競賽獎勵案_97年春節保全回收報告書_1-晉欣鮮食廠-2012年春節作業體制" xfId="370" xr:uid="{00000000-0005-0000-0000-000059010000}"/>
    <cellStyle name="_樂清9507租賃用品申請_96年月餅預購競賽獎勵案_97年春節保全回收報告書_Book1" xfId="371" xr:uid="{00000000-0005-0000-0000-00005A010000}"/>
    <cellStyle name="_樂清9507租賃用品申請_96年月餅預購競賽獎勵案_97年春節保全回收報告書_Book1_1-晉欣鮮食廠-2012年春節作業體制" xfId="372" xr:uid="{00000000-0005-0000-0000-00005B010000}"/>
    <cellStyle name="_樂清9507租賃用品申請_96年月餅預購競賽獎勵案_97年春節保全回收報告書_春節作業手冊-981217" xfId="373" xr:uid="{00000000-0005-0000-0000-00005C010000}"/>
    <cellStyle name="_樂清9507租賃用品申請_96年月餅預購競賽獎勵案_97年春節保全回收報告書_春節作業手冊-981217_1-晉欣鮮食廠-2012年春節作業體制" xfId="374" xr:uid="{00000000-0005-0000-0000-00005D010000}"/>
    <cellStyle name="_樂清9507租賃用品申請_96年月餅預購競賽獎勵案_97年營業競賽提案報告書" xfId="375" xr:uid="{00000000-0005-0000-0000-00005E010000}"/>
    <cellStyle name="_樂清9507租賃用品申請_96年月餅預購競賽獎勵案_97年營業競賽提案報告書_1-晉欣鮮食廠-2012年春節作業體制" xfId="376" xr:uid="{00000000-0005-0000-0000-00005F010000}"/>
    <cellStyle name="_樂清9507租賃用品申請_96年月餅預購競賽獎勵案_97年營業競賽提案報告書_97年春節保全回收報告書" xfId="377" xr:uid="{00000000-0005-0000-0000-000060010000}"/>
    <cellStyle name="_樂清9507租賃用品申請_96年月餅預購競賽獎勵案_97年營業競賽提案報告書_97年春節保全回收報告書_1-晉欣鮮食廠-2012年春節作業體制" xfId="378" xr:uid="{00000000-0005-0000-0000-000061010000}"/>
    <cellStyle name="_樂清9507租賃用品申請_96年月餅預購競賽獎勵案_97年營業競賽提案報告書_97年春節保全回收報告書_Book1" xfId="379" xr:uid="{00000000-0005-0000-0000-000062010000}"/>
    <cellStyle name="_樂清9507租賃用品申請_96年月餅預購競賽獎勵案_97年營業競賽提案報告書_97年春節保全回收報告書_Book1_1-晉欣鮮食廠-2012年春節作業體制" xfId="380" xr:uid="{00000000-0005-0000-0000-000063010000}"/>
    <cellStyle name="_樂清9507租賃用品申請_96年月餅預購競賽獎勵案_97年營業競賽提案報告書_97年春節保全回收報告書_春節作業手冊-981217" xfId="381" xr:uid="{00000000-0005-0000-0000-000064010000}"/>
    <cellStyle name="_樂清9507租賃用品申請_96年月餅預購競賽獎勵案_97年營業競賽提案報告書_97年春節保全回收報告書_春節作業手冊-981217_1-晉欣鮮食廠-2012年春節作業體制" xfId="382" xr:uid="{00000000-0005-0000-0000-000065010000}"/>
    <cellStyle name="_樂清9507租賃用品申請_96年月餅預購競賽獎勵案_97年營業競賽提案報告書_97年營業競賽提案報告書" xfId="383" xr:uid="{00000000-0005-0000-0000-000066010000}"/>
    <cellStyle name="_樂清9507租賃用品申請_96年月餅預購競賽獎勵案_97年營業競賽提案報告書_97年營業競賽提案報告書_1-晉欣鮮食廠-2012年春節作業體制" xfId="384" xr:uid="{00000000-0005-0000-0000-000067010000}"/>
    <cellStyle name="_樂清9507租賃用品申請_96年月餅預購競賽獎勵案_97年營業競賽提案報告書_97年營業競賽提案報告書_97年春節保全回收報告書" xfId="385" xr:uid="{00000000-0005-0000-0000-000068010000}"/>
    <cellStyle name="_樂清9507租賃用品申請_96年月餅預購競賽獎勵案_97年營業競賽提案報告書_97年營業競賽提案報告書_97年春節保全回收報告書_1-晉欣鮮食廠-2012年春節作業體制" xfId="386" xr:uid="{00000000-0005-0000-0000-000069010000}"/>
    <cellStyle name="_樂清9507租賃用品申請_96年月餅預購競賽獎勵案_97年營業競賽提案報告書_97年營業競賽提案報告書_97年春節保全回收報告書_Book1" xfId="387" xr:uid="{00000000-0005-0000-0000-00006A010000}"/>
    <cellStyle name="_樂清9507租賃用品申請_96年月餅預購競賽獎勵案_97年營業競賽提案報告書_97年營業競賽提案報告書_97年春節保全回收報告書_Book1_1-晉欣鮮食廠-2012年春節作業體制" xfId="388" xr:uid="{00000000-0005-0000-0000-00006B010000}"/>
    <cellStyle name="_樂清9507租賃用品申請_96年月餅預購競賽獎勵案_97年營業競賽提案報告書_97年營業競賽提案報告書_97年春節保全回收報告書_春節作業手冊-981217" xfId="389" xr:uid="{00000000-0005-0000-0000-00006C010000}"/>
    <cellStyle name="_樂清9507租賃用品申請_96年月餅預購競賽獎勵案_97年營業競賽提案報告書_97年營業競賽提案報告書_97年春節保全回收報告書_春節作業手冊-981217_1-晉欣鮮食廠-2012年春節作業體制" xfId="390" xr:uid="{00000000-0005-0000-0000-00006D010000}"/>
    <cellStyle name="_樂清9507租賃用品申請_96年月餅預購競賽獎勵案_97年營業競賽提案報告書_97年營業競賽提案報告書_97年營業競賽提案報告書" xfId="391" xr:uid="{00000000-0005-0000-0000-00006E010000}"/>
    <cellStyle name="_樂清9507租賃用品申請_96年月餅預購競賽獎勵案_97年營業競賽提案報告書_97年營業競賽提案報告書_97年營業競賽提案報告書_1-晉欣鮮食廠-2012年春節作業體制" xfId="392" xr:uid="{00000000-0005-0000-0000-00006F010000}"/>
    <cellStyle name="_樂清9507租賃用品申請_96年月餅預購競賽獎勵案_97年營業競賽提案報告書_97年營業競賽提案報告書_97年營業競賽提案報告書_97年春節保全回收報告書" xfId="393" xr:uid="{00000000-0005-0000-0000-000070010000}"/>
    <cellStyle name="_樂清9507租賃用品申請_96年月餅預購競賽獎勵案_97年營業競賽提案報告書_97年營業競賽提案報告書_97年營業競賽提案報告書_97年春節保全回收報告書_1-晉欣鮮食廠-2012年春節作業體制" xfId="394" xr:uid="{00000000-0005-0000-0000-000071010000}"/>
    <cellStyle name="_樂清9507租賃用品申請_96年月餅預購競賽獎勵案_97年營業競賽提案報告書_97年營業競賽提案報告書_97年營業競賽提案報告書_97年春節保全回收報告書_Book1" xfId="395" xr:uid="{00000000-0005-0000-0000-000072010000}"/>
    <cellStyle name="_樂清9507租賃用品申請_96年月餅預購競賽獎勵案_97年營業競賽提案報告書_97年營業競賽提案報告書_97年營業競賽提案報告書_97年春節保全回收報告書_Book1_1-晉欣鮮食廠-2012年春節作業體制" xfId="396" xr:uid="{00000000-0005-0000-0000-000073010000}"/>
    <cellStyle name="_樂清9507租賃用品申請_96年月餅預購競賽獎勵案_97年營業競賽提案報告書_97年營業競賽提案報告書_97年營業競賽提案報告書_97年春節保全回收報告書_春節作業手冊-981217" xfId="397" xr:uid="{00000000-0005-0000-0000-000074010000}"/>
    <cellStyle name="_樂清9507租賃用品申請_96年月餅預購競賽獎勵案_97年營業競賽提案報告書_97年營業競賽提案報告書_97年營業競賽提案報告書_97年春節保全回收報告書_春節作業手冊-981217_1-晉欣鮮食廠-2012年春節作業體制" xfId="398" xr:uid="{00000000-0005-0000-0000-000075010000}"/>
    <cellStyle name="_樂清9507租賃用品申請_96年月餅預購競賽獎勵案_97年營業競賽提案報告書_97年營業競賽提案報告書_97年營業競賽提案報告書_Book1" xfId="399" xr:uid="{00000000-0005-0000-0000-000076010000}"/>
    <cellStyle name="_樂清9507租賃用品申請_96年月餅預購競賽獎勵案_97年營業競賽提案報告書_97年營業競賽提案報告書_97年營業競賽提案報告書_Book1_1-晉欣鮮食廠-2012年春節作業體制" xfId="400" xr:uid="{00000000-0005-0000-0000-000077010000}"/>
    <cellStyle name="_樂清9507租賃用品申請_96年月餅預購競賽獎勵案_97年營業競賽提案報告書_97年營業競賽提案報告書_97年營業競賽提案報告書_春節作業手冊-981217" xfId="401" xr:uid="{00000000-0005-0000-0000-000078010000}"/>
    <cellStyle name="_樂清9507租賃用品申請_96年月餅預購競賽獎勵案_97年營業競賽提案報告書_97年營業競賽提案報告書_97年營業競賽提案報告書_春節作業手冊-981217_1-晉欣鮮食廠-2012年春節作業體制" xfId="402" xr:uid="{00000000-0005-0000-0000-000079010000}"/>
    <cellStyle name="_樂清9507租賃用品申請_96年月餅預購競賽獎勵案_97年營業競賽提案報告書_97年營業競賽提案報告書_Book1" xfId="403" xr:uid="{00000000-0005-0000-0000-00007A010000}"/>
    <cellStyle name="_樂清9507租賃用品申請_96年月餅預購競賽獎勵案_97年營業競賽提案報告書_97年營業競賽提案報告書_Book1_1-晉欣鮮食廠-2012年春節作業體制" xfId="404" xr:uid="{00000000-0005-0000-0000-00007B010000}"/>
    <cellStyle name="_樂清9507租賃用品申請_96年月餅預購競賽獎勵案_97年營業競賽提案報告書_97年營業競賽提案報告書_春節作業手冊-981217" xfId="405" xr:uid="{00000000-0005-0000-0000-00007C010000}"/>
    <cellStyle name="_樂清9507租賃用品申請_96年月餅預購競賽獎勵案_97年營業競賽提案報告書_97年營業競賽提案報告書_春節作業手冊-981217_1-晉欣鮮食廠-2012年春節作業體制" xfId="406" xr:uid="{00000000-0005-0000-0000-00007D010000}"/>
    <cellStyle name="_樂清9507租賃用品申請_96年月餅預購競賽獎勵案_97年營業競賽提案報告書_Book1" xfId="407" xr:uid="{00000000-0005-0000-0000-00007E010000}"/>
    <cellStyle name="_樂清9507租賃用品申請_96年月餅預購競賽獎勵案_97年營業競賽提案報告書_Book1_1-晉欣鮮食廠-2012年春節作業體制" xfId="408" xr:uid="{00000000-0005-0000-0000-00007F010000}"/>
    <cellStyle name="_樂清9507租賃用品申請_96年月餅預購競賽獎勵案_97年營業競賽提案報告書_春節作業手冊-981217" xfId="409" xr:uid="{00000000-0005-0000-0000-000080010000}"/>
    <cellStyle name="_樂清9507租賃用品申請_96年月餅預購競賽獎勵案_97年營業競賽提案報告書_春節作業手冊-981217_1-晉欣鮮食廠-2012年春節作業體制" xfId="410" xr:uid="{00000000-0005-0000-0000-000081010000}"/>
    <cellStyle name="_樂清9507租賃用品申請_96年月餅預購競賽獎勵案_Book1" xfId="411" xr:uid="{00000000-0005-0000-0000-000082010000}"/>
    <cellStyle name="_樂清9507租賃用品申請_96年月餅預購競賽獎勵案_Book1_1-晉欣鮮食廠-2012年春節作業體制" xfId="412" xr:uid="{00000000-0005-0000-0000-000083010000}"/>
    <cellStyle name="_樂清9507租賃用品申請_96年月餅預購競賽獎勵案_春節作業手冊-981217" xfId="413" xr:uid="{00000000-0005-0000-0000-000084010000}"/>
    <cellStyle name="_樂清9507租賃用品申請_96年月餅預購競賽獎勵案_春節作業手冊-981217_1-晉欣鮮食廠-2012年春節作業體制" xfId="414" xr:uid="{00000000-0005-0000-0000-000085010000}"/>
    <cellStyle name="_樂清9507租賃用品申請_97年春節保全回收報告書" xfId="415" xr:uid="{00000000-0005-0000-0000-000086010000}"/>
    <cellStyle name="_樂清9507租賃用品申請_97年春節保全回收報告書_1-晉欣鮮食廠-2012年春節作業體制" xfId="416" xr:uid="{00000000-0005-0000-0000-000087010000}"/>
    <cellStyle name="_樂清9507租賃用品申請_97年春節保全回收報告書_Book1" xfId="417" xr:uid="{00000000-0005-0000-0000-000088010000}"/>
    <cellStyle name="_樂清9507租賃用品申請_97年春節保全回收報告書_Book1_1-晉欣鮮食廠-2012年春節作業體制" xfId="418" xr:uid="{00000000-0005-0000-0000-000089010000}"/>
    <cellStyle name="_樂清9507租賃用品申請_97年春節保全回收報告書_春節作業手冊-981217" xfId="419" xr:uid="{00000000-0005-0000-0000-00008A010000}"/>
    <cellStyle name="_樂清9507租賃用品申請_97年春節保全回收報告書_春節作業手冊-981217_1-晉欣鮮食廠-2012年春節作業體制" xfId="420" xr:uid="{00000000-0005-0000-0000-00008B010000}"/>
    <cellStyle name="_樂清9507租賃用品申請_97年營業競賽提案報告書" xfId="421" xr:uid="{00000000-0005-0000-0000-00008C010000}"/>
    <cellStyle name="_樂清9507租賃用品申請_97年營業競賽提案報告書_1-晉欣鮮食廠-2012年春節作業體制" xfId="422" xr:uid="{00000000-0005-0000-0000-00008D010000}"/>
    <cellStyle name="_樂清9507租賃用品申請_97年營業競賽提案報告書_97年春節保全回收報告書" xfId="423" xr:uid="{00000000-0005-0000-0000-00008E010000}"/>
    <cellStyle name="_樂清9507租賃用品申請_97年營業競賽提案報告書_97年春節保全回收報告書_1-晉欣鮮食廠-2012年春節作業體制" xfId="424" xr:uid="{00000000-0005-0000-0000-00008F010000}"/>
    <cellStyle name="_樂清9507租賃用品申請_97年營業競賽提案報告書_97年春節保全回收報告書_Book1" xfId="425" xr:uid="{00000000-0005-0000-0000-000090010000}"/>
    <cellStyle name="_樂清9507租賃用品申請_97年營業競賽提案報告書_97年春節保全回收報告書_Book1_1-晉欣鮮食廠-2012年春節作業體制" xfId="426" xr:uid="{00000000-0005-0000-0000-000091010000}"/>
    <cellStyle name="_樂清9507租賃用品申請_97年營業競賽提案報告書_97年春節保全回收報告書_春節作業手冊-981217" xfId="427" xr:uid="{00000000-0005-0000-0000-000092010000}"/>
    <cellStyle name="_樂清9507租賃用品申請_97年營業競賽提案報告書_97年春節保全回收報告書_春節作業手冊-981217_1-晉欣鮮食廠-2012年春節作業體制" xfId="428" xr:uid="{00000000-0005-0000-0000-000093010000}"/>
    <cellStyle name="_樂清9507租賃用品申請_97年營業競賽提案報告書_97年營業競賽提案報告書" xfId="429" xr:uid="{00000000-0005-0000-0000-000094010000}"/>
    <cellStyle name="_樂清9507租賃用品申請_97年營業競賽提案報告書_97年營業競賽提案報告書_1-晉欣鮮食廠-2012年春節作業體制" xfId="430" xr:uid="{00000000-0005-0000-0000-000095010000}"/>
    <cellStyle name="_樂清9507租賃用品申請_97年營業競賽提案報告書_97年營業競賽提案報告書_97年春節保全回收報告書" xfId="431" xr:uid="{00000000-0005-0000-0000-000096010000}"/>
    <cellStyle name="_樂清9507租賃用品申請_97年營業競賽提案報告書_97年營業競賽提案報告書_97年春節保全回收報告書_1-晉欣鮮食廠-2012年春節作業體制" xfId="432" xr:uid="{00000000-0005-0000-0000-000097010000}"/>
    <cellStyle name="_樂清9507租賃用品申請_97年營業競賽提案報告書_97年營業競賽提案報告書_97年春節保全回收報告書_Book1" xfId="433" xr:uid="{00000000-0005-0000-0000-000098010000}"/>
    <cellStyle name="_樂清9507租賃用品申請_97年營業競賽提案報告書_97年營業競賽提案報告書_97年春節保全回收報告書_Book1_1-晉欣鮮食廠-2012年春節作業體制" xfId="434" xr:uid="{00000000-0005-0000-0000-000099010000}"/>
    <cellStyle name="_樂清9507租賃用品申請_97年營業競賽提案報告書_97年營業競賽提案報告書_97年春節保全回收報告書_春節作業手冊-981217" xfId="435" xr:uid="{00000000-0005-0000-0000-00009A010000}"/>
    <cellStyle name="_樂清9507租賃用品申請_97年營業競賽提案報告書_97年營業競賽提案報告書_97年春節保全回收報告書_春節作業手冊-981217_1-晉欣鮮食廠-2012年春節作業體制" xfId="436" xr:uid="{00000000-0005-0000-0000-00009B010000}"/>
    <cellStyle name="_樂清9507租賃用品申請_97年營業競賽提案報告書_97年營業競賽提案報告書_97年營業競賽提案報告書" xfId="437" xr:uid="{00000000-0005-0000-0000-00009C010000}"/>
    <cellStyle name="_樂清9507租賃用品申請_97年營業競賽提案報告書_97年營業競賽提案報告書_97年營業競賽提案報告書_1-晉欣鮮食廠-2012年春節作業體制" xfId="438" xr:uid="{00000000-0005-0000-0000-00009D010000}"/>
    <cellStyle name="_樂清9507租賃用品申請_97年營業競賽提案報告書_97年營業競賽提案報告書_97年營業競賽提案報告書_97年春節保全回收報告書" xfId="439" xr:uid="{00000000-0005-0000-0000-00009E010000}"/>
    <cellStyle name="_樂清9507租賃用品申請_97年營業競賽提案報告書_97年營業競賽提案報告書_97年營業競賽提案報告書_97年春節保全回收報告書_1-晉欣鮮食廠-2012年春節作業體制" xfId="440" xr:uid="{00000000-0005-0000-0000-00009F010000}"/>
    <cellStyle name="_樂清9507租賃用品申請_97年營業競賽提案報告書_97年營業競賽提案報告書_97年營業競賽提案報告書_97年春節保全回收報告書_Book1" xfId="441" xr:uid="{00000000-0005-0000-0000-0000A0010000}"/>
    <cellStyle name="_樂清9507租賃用品申請_97年營業競賽提案報告書_97年營業競賽提案報告書_97年營業競賽提案報告書_97年春節保全回收報告書_Book1_1-晉欣鮮食廠-2012年春節作業體制" xfId="442" xr:uid="{00000000-0005-0000-0000-0000A1010000}"/>
    <cellStyle name="_樂清9507租賃用品申請_97年營業競賽提案報告書_97年營業競賽提案報告書_97年營業競賽提案報告書_97年春節保全回收報告書_春節作業手冊-981217" xfId="443" xr:uid="{00000000-0005-0000-0000-0000A2010000}"/>
    <cellStyle name="_樂清9507租賃用品申請_97年營業競賽提案報告書_97年營業競賽提案報告書_97年營業競賽提案報告書_97年春節保全回收報告書_春節作業手冊-981217_1-晉欣鮮食廠-2012年春節作業體制" xfId="444" xr:uid="{00000000-0005-0000-0000-0000A3010000}"/>
    <cellStyle name="_樂清9507租賃用品申請_97年營業競賽提案報告書_97年營業競賽提案報告書_97年營業競賽提案報告書_Book1" xfId="445" xr:uid="{00000000-0005-0000-0000-0000A4010000}"/>
    <cellStyle name="_樂清9507租賃用品申請_97年營業競賽提案報告書_97年營業競賽提案報告書_97年營業競賽提案報告書_Book1_1-晉欣鮮食廠-2012年春節作業體制" xfId="446" xr:uid="{00000000-0005-0000-0000-0000A5010000}"/>
    <cellStyle name="_樂清9507租賃用品申請_97年營業競賽提案報告書_97年營業競賽提案報告書_97年營業競賽提案報告書_春節作業手冊-981217" xfId="447" xr:uid="{00000000-0005-0000-0000-0000A6010000}"/>
    <cellStyle name="_樂清9507租賃用品申請_97年營業競賽提案報告書_97年營業競賽提案報告書_97年營業競賽提案報告書_春節作業手冊-981217_1-晉欣鮮食廠-2012年春節作業體制" xfId="448" xr:uid="{00000000-0005-0000-0000-0000A7010000}"/>
    <cellStyle name="_樂清9507租賃用品申請_97年營業競賽提案報告書_97年營業競賽提案報告書_Book1" xfId="449" xr:uid="{00000000-0005-0000-0000-0000A8010000}"/>
    <cellStyle name="_樂清9507租賃用品申請_97年營業競賽提案報告書_97年營業競賽提案報告書_Book1_1-晉欣鮮食廠-2012年春節作業體制" xfId="450" xr:uid="{00000000-0005-0000-0000-0000A9010000}"/>
    <cellStyle name="_樂清9507租賃用品申請_97年營業競賽提案報告書_97年營業競賽提案報告書_春節作業手冊-981217" xfId="451" xr:uid="{00000000-0005-0000-0000-0000AA010000}"/>
    <cellStyle name="_樂清9507租賃用品申請_97年營業競賽提案報告書_97年營業競賽提案報告書_春節作業手冊-981217_1-晉欣鮮食廠-2012年春節作業體制" xfId="452" xr:uid="{00000000-0005-0000-0000-0000AB010000}"/>
    <cellStyle name="_樂清9507租賃用品申請_97年營業競賽提案報告書_Book1" xfId="453" xr:uid="{00000000-0005-0000-0000-0000AC010000}"/>
    <cellStyle name="_樂清9507租賃用品申請_97年營業競賽提案報告書_Book1_1-晉欣鮮食廠-2012年春節作業體制" xfId="454" xr:uid="{00000000-0005-0000-0000-0000AD010000}"/>
    <cellStyle name="_樂清9507租賃用品申請_97年營業競賽提案報告書_春節作業手冊-981217" xfId="455" xr:uid="{00000000-0005-0000-0000-0000AE010000}"/>
    <cellStyle name="_樂清9507租賃用品申請_97年營業競賽提案報告書_春節作業手冊-981217_1-晉欣鮮食廠-2012年春節作業體制" xfId="456" xr:uid="{00000000-0005-0000-0000-0000AF010000}"/>
    <cellStyle name="_樂清9507租賃用品申請_Book1" xfId="457" xr:uid="{00000000-0005-0000-0000-0000B0010000}"/>
    <cellStyle name="_樂清9507租賃用品申請_Book1_1-晉欣鮮食廠-2012年春節作業體制" xfId="458" xr:uid="{00000000-0005-0000-0000-0000B1010000}"/>
    <cellStyle name="_樂清9507租賃用品申請_春節作業手冊-981217" xfId="459" xr:uid="{00000000-0005-0000-0000-0000B2010000}"/>
    <cellStyle name="_樂清9507租賃用品申請_春節作業手冊-981217_1-晉欣鮮食廠-2012年春節作業體制" xfId="460" xr:uid="{00000000-0005-0000-0000-0000B3010000}"/>
    <cellStyle name="Normal - Style1" xfId="461" xr:uid="{00000000-0005-0000-0000-0000B4010000}"/>
    <cellStyle name="Normal_Co-wide Monthly" xfId="462" xr:uid="{00000000-0005-0000-0000-0000B5010000}"/>
    <cellStyle name="一般" xfId="0" builtinId="0"/>
    <cellStyle name="一般 10" xfId="469" xr:uid="{00000000-0005-0000-0000-0000B7010000}"/>
    <cellStyle name="一般 10 2" xfId="470" xr:uid="{00000000-0005-0000-0000-0000B8010000}"/>
    <cellStyle name="一般 11" xfId="471" xr:uid="{00000000-0005-0000-0000-0000B9010000}"/>
    <cellStyle name="一般 12" xfId="472" xr:uid="{00000000-0005-0000-0000-0000BA010000}"/>
    <cellStyle name="一般 13" xfId="473" xr:uid="{00000000-0005-0000-0000-0000BB010000}"/>
    <cellStyle name="一般 14" xfId="474" xr:uid="{00000000-0005-0000-0000-0000BC010000}"/>
    <cellStyle name="一般 15" xfId="475" xr:uid="{00000000-0005-0000-0000-0000BD010000}"/>
    <cellStyle name="一般 15 2" xfId="476" xr:uid="{00000000-0005-0000-0000-0000BE010000}"/>
    <cellStyle name="一般 16" xfId="477" xr:uid="{00000000-0005-0000-0000-0000BF010000}"/>
    <cellStyle name="一般 17" xfId="478" xr:uid="{00000000-0005-0000-0000-0000C0010000}"/>
    <cellStyle name="一般 18" xfId="479" xr:uid="{00000000-0005-0000-0000-0000C1010000}"/>
    <cellStyle name="一般 19" xfId="480" xr:uid="{00000000-0005-0000-0000-0000C2010000}"/>
    <cellStyle name="一般 2" xfId="1" xr:uid="{00000000-0005-0000-0000-0000C3010000}"/>
    <cellStyle name="一般 2 2" xfId="481" xr:uid="{00000000-0005-0000-0000-0000C4010000}"/>
    <cellStyle name="一般 2 2 2" xfId="9" xr:uid="{00000000-0005-0000-0000-0000C5010000}"/>
    <cellStyle name="一般 2 2 2 2" xfId="482" xr:uid="{00000000-0005-0000-0000-0000C6010000}"/>
    <cellStyle name="一般 2 2 3" xfId="483" xr:uid="{00000000-0005-0000-0000-0000C7010000}"/>
    <cellStyle name="一般 2 2 30 2 2 30 2" xfId="4" xr:uid="{00000000-0005-0000-0000-0000C8010000}"/>
    <cellStyle name="一般 2 2 30 2 2 30 2 2" xfId="12" xr:uid="{00000000-0005-0000-0000-0000C9010000}"/>
    <cellStyle name="一般 2 2 30 2 2 30 2 2 2" xfId="15" xr:uid="{00000000-0005-0000-0000-0000CA010000}"/>
    <cellStyle name="一般 2 2 30 2 2 30 2 2 3" xfId="16" xr:uid="{00000000-0005-0000-0000-0000CB010000}"/>
    <cellStyle name="一般 2 2 30 2 2 30 2 2 4" xfId="17" xr:uid="{00000000-0005-0000-0000-0000CC010000}"/>
    <cellStyle name="一般 2 2 30 2 3 2" xfId="6" xr:uid="{00000000-0005-0000-0000-0000CD010000}"/>
    <cellStyle name="一般 2 2 30 2 3 2 2 2" xfId="18" xr:uid="{00000000-0005-0000-0000-0000CE010000}"/>
    <cellStyle name="一般 2 2 30 3 30" xfId="7" xr:uid="{00000000-0005-0000-0000-0000CF010000}"/>
    <cellStyle name="一般 2 3" xfId="484" xr:uid="{00000000-0005-0000-0000-0000D0010000}"/>
    <cellStyle name="一般 2 4" xfId="485" xr:uid="{00000000-0005-0000-0000-0000D1010000}"/>
    <cellStyle name="一般 2 5" xfId="486" xr:uid="{00000000-0005-0000-0000-0000D2010000}"/>
    <cellStyle name="一般 2 6" xfId="487" xr:uid="{00000000-0005-0000-0000-0000D3010000}"/>
    <cellStyle name="一般 2 7" xfId="488" xr:uid="{00000000-0005-0000-0000-0000D4010000}"/>
    <cellStyle name="一般 2 8" xfId="489" xr:uid="{00000000-0005-0000-0000-0000D5010000}"/>
    <cellStyle name="一般 2 9" xfId="23" xr:uid="{00000000-0005-0000-0000-0000D6010000}"/>
    <cellStyle name="一般 20" xfId="490" xr:uid="{00000000-0005-0000-0000-0000D7010000}"/>
    <cellStyle name="一般 21" xfId="491" xr:uid="{00000000-0005-0000-0000-0000D8010000}"/>
    <cellStyle name="一般 22" xfId="492" xr:uid="{00000000-0005-0000-0000-0000D9010000}"/>
    <cellStyle name="一般 23" xfId="493" xr:uid="{00000000-0005-0000-0000-0000DA010000}"/>
    <cellStyle name="一般 24" xfId="21" xr:uid="{00000000-0005-0000-0000-0000DB010000}"/>
    <cellStyle name="一般 3" xfId="11" xr:uid="{00000000-0005-0000-0000-0000DC010000}"/>
    <cellStyle name="一般 3 2" xfId="494" xr:uid="{00000000-0005-0000-0000-0000DD010000}"/>
    <cellStyle name="一般 3 2 2" xfId="495" xr:uid="{00000000-0005-0000-0000-0000DE010000}"/>
    <cellStyle name="一般 3 3" xfId="496" xr:uid="{00000000-0005-0000-0000-0000DF010000}"/>
    <cellStyle name="一般 3 4" xfId="497" xr:uid="{00000000-0005-0000-0000-0000E0010000}"/>
    <cellStyle name="一般 3 5" xfId="498" xr:uid="{00000000-0005-0000-0000-0000E1010000}"/>
    <cellStyle name="一般 3 5 2" xfId="499" xr:uid="{00000000-0005-0000-0000-0000E2010000}"/>
    <cellStyle name="一般 3 6" xfId="500" xr:uid="{00000000-0005-0000-0000-0000E3010000}"/>
    <cellStyle name="一般 3 7" xfId="501" xr:uid="{00000000-0005-0000-0000-0000E4010000}"/>
    <cellStyle name="一般 3 8" xfId="463" xr:uid="{00000000-0005-0000-0000-0000E5010000}"/>
    <cellStyle name="一般 4" xfId="5" xr:uid="{00000000-0005-0000-0000-0000E6010000}"/>
    <cellStyle name="一般 4 2" xfId="502" xr:uid="{00000000-0005-0000-0000-0000E7010000}"/>
    <cellStyle name="一般 4 3" xfId="503" xr:uid="{00000000-0005-0000-0000-0000E8010000}"/>
    <cellStyle name="一般 4 4" xfId="464" xr:uid="{00000000-0005-0000-0000-0000E9010000}"/>
    <cellStyle name="一般 5" xfId="504" xr:uid="{00000000-0005-0000-0000-0000EA010000}"/>
    <cellStyle name="一般 5 2" xfId="505" xr:uid="{00000000-0005-0000-0000-0000EB010000}"/>
    <cellStyle name="一般 6" xfId="506" xr:uid="{00000000-0005-0000-0000-0000EC010000}"/>
    <cellStyle name="一般 6 2" xfId="507" xr:uid="{00000000-0005-0000-0000-0000ED010000}"/>
    <cellStyle name="一般 7" xfId="508" xr:uid="{00000000-0005-0000-0000-0000EE010000}"/>
    <cellStyle name="一般 8" xfId="509" xr:uid="{00000000-0005-0000-0000-0000EF010000}"/>
    <cellStyle name="一般 8 2" xfId="510" xr:uid="{00000000-0005-0000-0000-0000F0010000}"/>
    <cellStyle name="一般 9" xfId="511" xr:uid="{00000000-0005-0000-0000-0000F1010000}"/>
    <cellStyle name="一般 9 2" xfId="512" xr:uid="{00000000-0005-0000-0000-0000F2010000}"/>
    <cellStyle name="千分位" xfId="14" builtinId="3"/>
    <cellStyle name="千分位 2" xfId="2" xr:uid="{00000000-0005-0000-0000-0000F4010000}"/>
    <cellStyle name="千分位 2 2" xfId="514" xr:uid="{00000000-0005-0000-0000-0000F5010000}"/>
    <cellStyle name="千分位 2 3" xfId="515" xr:uid="{00000000-0005-0000-0000-0000F6010000}"/>
    <cellStyle name="千分位 2 4" xfId="516" xr:uid="{00000000-0005-0000-0000-0000F7010000}"/>
    <cellStyle name="千分位 2 5" xfId="517" xr:uid="{00000000-0005-0000-0000-0000F8010000}"/>
    <cellStyle name="千分位 2 6" xfId="518" xr:uid="{00000000-0005-0000-0000-0000F9010000}"/>
    <cellStyle name="千分位 2 7" xfId="519" xr:uid="{00000000-0005-0000-0000-0000FA010000}"/>
    <cellStyle name="千分位 2 8" xfId="513" xr:uid="{00000000-0005-0000-0000-0000FB010000}"/>
    <cellStyle name="千分位 3" xfId="19" xr:uid="{00000000-0005-0000-0000-0000FC010000}"/>
    <cellStyle name="千分位 3 2" xfId="520" xr:uid="{00000000-0005-0000-0000-0000FD010000}"/>
    <cellStyle name="千分位 4" xfId="521" xr:uid="{00000000-0005-0000-0000-0000FE010000}"/>
    <cellStyle name="千分位 5" xfId="522" xr:uid="{00000000-0005-0000-0000-0000FF010000}"/>
    <cellStyle name="千分位 5 2" xfId="523" xr:uid="{00000000-0005-0000-0000-000000020000}"/>
    <cellStyle name="千分位 6" xfId="524" xr:uid="{00000000-0005-0000-0000-000001020000}"/>
    <cellStyle name="千分位 7" xfId="525" xr:uid="{00000000-0005-0000-0000-000002020000}"/>
    <cellStyle name="千分位 8" xfId="526" xr:uid="{00000000-0005-0000-0000-000003020000}"/>
    <cellStyle name="千分位 9" xfId="576" xr:uid="{00000000-0005-0000-0000-000004020000}"/>
    <cellStyle name="好_1001024-晉欣重要管制流程 (3)" xfId="527" xr:uid="{00000000-0005-0000-0000-000005020000}"/>
    <cellStyle name="好_Sheet1" xfId="528" xr:uid="{00000000-0005-0000-0000-000006020000}"/>
    <cellStyle name="好_工作日報表---" xfId="529" xr:uid="{00000000-0005-0000-0000-000007020000}"/>
    <cellStyle name="好_晉欣重要管制流程-油炸作業" xfId="530" xr:uid="{00000000-0005-0000-0000-000008020000}"/>
    <cellStyle name="好_晉欣重要管制流程-原物料驗收" xfId="531" xr:uid="{00000000-0005-0000-0000-000009020000}"/>
    <cellStyle name="好_晉欣重要管制流程-烤箱作業" xfId="532" xr:uid="{00000000-0005-0000-0000-00000A020000}"/>
    <cellStyle name="好_晉欣重要管制流程-理貨作業" xfId="533" xr:uid="{00000000-0005-0000-0000-00000B020000}"/>
    <cellStyle name="好_晉欣重要管制流程-煮麵作業" xfId="534" xr:uid="{00000000-0005-0000-0000-00000C020000}"/>
    <cellStyle name="好_晉欣重要管制流程-飯糰機操作&amp;丼飯作業&amp;三明治&amp;標籤&amp;炊飯&amp;美生菜" xfId="535" xr:uid="{00000000-0005-0000-0000-00000D020000}"/>
    <cellStyle name="好_晉欣重要管制流程-準備室作業" xfId="536" xr:uid="{00000000-0005-0000-0000-00000E020000}"/>
    <cellStyle name="好_晉欣重要管制流程-補料作業" xfId="537" xr:uid="{00000000-0005-0000-0000-00000F020000}"/>
    <cellStyle name="好_配料相關一、二--------" xfId="538" xr:uid="{00000000-0005-0000-0000-000010020000}"/>
    <cellStyle name="百分比 2" xfId="8" xr:uid="{00000000-0005-0000-0000-000011020000}"/>
    <cellStyle name="百分比 2 2" xfId="10" xr:uid="{00000000-0005-0000-0000-000012020000}"/>
    <cellStyle name="百分比 2 2 2" xfId="20" xr:uid="{00000000-0005-0000-0000-000013020000}"/>
    <cellStyle name="百分比 2 2 2 2" xfId="540" xr:uid="{00000000-0005-0000-0000-000014020000}"/>
    <cellStyle name="百分比 2 2 3" xfId="539" xr:uid="{00000000-0005-0000-0000-000015020000}"/>
    <cellStyle name="百分比 2 3" xfId="541" xr:uid="{00000000-0005-0000-0000-000016020000}"/>
    <cellStyle name="百分比 2 4" xfId="542" xr:uid="{00000000-0005-0000-0000-000017020000}"/>
    <cellStyle name="百分比 2 5" xfId="24" xr:uid="{00000000-0005-0000-0000-000018020000}"/>
    <cellStyle name="百分比 3" xfId="3" xr:uid="{00000000-0005-0000-0000-000019020000}"/>
    <cellStyle name="百分比 3 2" xfId="544" xr:uid="{00000000-0005-0000-0000-00001A020000}"/>
    <cellStyle name="百分比 3 3" xfId="545" xr:uid="{00000000-0005-0000-0000-00001B020000}"/>
    <cellStyle name="百分比 3 4" xfId="543" xr:uid="{00000000-0005-0000-0000-00001C020000}"/>
    <cellStyle name="百分比 4" xfId="13" xr:uid="{00000000-0005-0000-0000-00001D020000}"/>
    <cellStyle name="百分比 4 2" xfId="547" xr:uid="{00000000-0005-0000-0000-00001E020000}"/>
    <cellStyle name="百分比 4 2 2" xfId="548" xr:uid="{00000000-0005-0000-0000-00001F020000}"/>
    <cellStyle name="百分比 4 2 2 2" xfId="549" xr:uid="{00000000-0005-0000-0000-000020020000}"/>
    <cellStyle name="百分比 4 2 3" xfId="550" xr:uid="{00000000-0005-0000-0000-000021020000}"/>
    <cellStyle name="百分比 4 3" xfId="551" xr:uid="{00000000-0005-0000-0000-000022020000}"/>
    <cellStyle name="百分比 4 3 2" xfId="552" xr:uid="{00000000-0005-0000-0000-000023020000}"/>
    <cellStyle name="百分比 4 3 2 2" xfId="553" xr:uid="{00000000-0005-0000-0000-000024020000}"/>
    <cellStyle name="百分比 4 3 2 2 2" xfId="554" xr:uid="{00000000-0005-0000-0000-000025020000}"/>
    <cellStyle name="百分比 4 3 2 2 2 2" xfId="555" xr:uid="{00000000-0005-0000-0000-000026020000}"/>
    <cellStyle name="百分比 4 3 2 2 2 2 2" xfId="556" xr:uid="{00000000-0005-0000-0000-000027020000}"/>
    <cellStyle name="百分比 4 4" xfId="557" xr:uid="{00000000-0005-0000-0000-000028020000}"/>
    <cellStyle name="百分比 4 5" xfId="546" xr:uid="{00000000-0005-0000-0000-000029020000}"/>
    <cellStyle name="百分比 5" xfId="558" xr:uid="{00000000-0005-0000-0000-00002A020000}"/>
    <cellStyle name="百分比 5 2" xfId="559" xr:uid="{00000000-0005-0000-0000-00002B020000}"/>
    <cellStyle name="百分比 5 3" xfId="560" xr:uid="{00000000-0005-0000-0000-00002C020000}"/>
    <cellStyle name="百分比 6" xfId="561" xr:uid="{00000000-0005-0000-0000-00002D020000}"/>
    <cellStyle name="百分比 7" xfId="22" xr:uid="{00000000-0005-0000-0000-00002E020000}"/>
    <cellStyle name="貨幣 2" xfId="562" xr:uid="{00000000-0005-0000-0000-00002F020000}"/>
    <cellStyle name="貨幣[0]_ AUDIT" xfId="465" xr:uid="{00000000-0005-0000-0000-000030020000}"/>
    <cellStyle name="超連結 2" xfId="466" xr:uid="{00000000-0005-0000-0000-000031020000}"/>
    <cellStyle name="標準 2_關所SOP" xfId="563" xr:uid="{00000000-0005-0000-0000-000032020000}"/>
    <cellStyle name="樣式 1" xfId="467" xr:uid="{00000000-0005-0000-0000-000033020000}"/>
    <cellStyle name="樣式 2" xfId="468" xr:uid="{00000000-0005-0000-0000-000034020000}"/>
    <cellStyle name="壞_1001024-晉欣重要管制流程 (3)" xfId="564" xr:uid="{00000000-0005-0000-0000-000035020000}"/>
    <cellStyle name="壞_Sheet1" xfId="565" xr:uid="{00000000-0005-0000-0000-000036020000}"/>
    <cellStyle name="壞_工作日報表---" xfId="566" xr:uid="{00000000-0005-0000-0000-000037020000}"/>
    <cellStyle name="壞_晉欣重要管制流程-油炸作業" xfId="567" xr:uid="{00000000-0005-0000-0000-000038020000}"/>
    <cellStyle name="壞_晉欣重要管制流程-原物料驗收" xfId="568" xr:uid="{00000000-0005-0000-0000-000039020000}"/>
    <cellStyle name="壞_晉欣重要管制流程-烤箱作業" xfId="569" xr:uid="{00000000-0005-0000-0000-00003A020000}"/>
    <cellStyle name="壞_晉欣重要管制流程-理貨作業" xfId="570" xr:uid="{00000000-0005-0000-0000-00003B020000}"/>
    <cellStyle name="壞_晉欣重要管制流程-煮麵作業" xfId="571" xr:uid="{00000000-0005-0000-0000-00003C020000}"/>
    <cellStyle name="壞_晉欣重要管制流程-飯糰機操作&amp;丼飯作業&amp;三明治&amp;標籤&amp;炊飯&amp;美生菜" xfId="572" xr:uid="{00000000-0005-0000-0000-00003D020000}"/>
    <cellStyle name="壞_晉欣重要管制流程-準備室作業" xfId="573" xr:uid="{00000000-0005-0000-0000-00003E020000}"/>
    <cellStyle name="壞_晉欣重要管制流程-補料作業" xfId="574" xr:uid="{00000000-0005-0000-0000-00003F020000}"/>
    <cellStyle name="壞_配料相關一、二--------" xfId="575" xr:uid="{00000000-0005-0000-0000-000040020000}"/>
  </cellStyles>
  <dxfs count="4">
    <dxf>
      <font>
        <color rgb="FFFF0000"/>
      </font>
      <fill>
        <patternFill>
          <bgColor rgb="FFFFFF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66259</xdr:colOff>
      <xdr:row>15</xdr:row>
      <xdr:rowOff>74543</xdr:rowOff>
    </xdr:from>
    <xdr:to>
      <xdr:col>12</xdr:col>
      <xdr:colOff>627283</xdr:colOff>
      <xdr:row>29</xdr:row>
      <xdr:rowOff>132521</xdr:rowOff>
    </xdr:to>
    <xdr:pic>
      <xdr:nvPicPr>
        <xdr:cNvPr id="2" name="圖片 1">
          <a:extLst>
            <a:ext uri="{FF2B5EF4-FFF2-40B4-BE49-F238E27FC236}">
              <a16:creationId xmlns:a16="http://schemas.microsoft.com/office/drawing/2014/main" id="{00000000-0008-0000-1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259" y="3602934"/>
          <a:ext cx="8934741" cy="2840935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9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AA55"/>
  <sheetViews>
    <sheetView zoomScaleNormal="100" workbookViewId="0">
      <selection activeCell="E17" sqref="E17"/>
    </sheetView>
  </sheetViews>
  <sheetFormatPr defaultColWidth="12.5703125" defaultRowHeight="15.75" customHeight="1"/>
  <cols>
    <col min="1" max="2" width="12.5703125" style="2" customWidth="1"/>
    <col min="3" max="16384" width="12.5703125" style="2"/>
  </cols>
  <sheetData>
    <row r="1" spans="1:23" ht="15.75" customHeight="1">
      <c r="A1" s="1"/>
      <c r="G1" s="1"/>
      <c r="M1" s="1"/>
      <c r="S1" s="1"/>
    </row>
    <row r="2" spans="1:23" ht="15.75" customHeight="1">
      <c r="A2" s="3">
        <v>7</v>
      </c>
      <c r="B2" s="48" t="s">
        <v>73</v>
      </c>
      <c r="C2" s="47" t="s">
        <v>74</v>
      </c>
      <c r="D2" s="5" t="s">
        <v>0</v>
      </c>
      <c r="E2" s="6"/>
      <c r="G2" s="1"/>
      <c r="M2" s="1"/>
      <c r="S2" s="1"/>
    </row>
    <row r="3" spans="1:23" ht="15.75" customHeight="1">
      <c r="A3" s="1"/>
      <c r="G3" s="1"/>
      <c r="M3" s="1"/>
      <c r="S3" s="1"/>
    </row>
    <row r="4" spans="1:23" ht="15.75" customHeight="1">
      <c r="A4" s="60" t="s">
        <v>21</v>
      </c>
      <c r="B4" s="67"/>
      <c r="C4" s="67"/>
      <c r="D4" s="67"/>
      <c r="E4" s="61" t="s">
        <v>23</v>
      </c>
      <c r="G4" s="60" t="s">
        <v>71</v>
      </c>
      <c r="H4" s="67"/>
      <c r="I4" s="67"/>
      <c r="J4" s="67"/>
      <c r="K4" s="67"/>
      <c r="M4" s="60" t="s">
        <v>32</v>
      </c>
      <c r="N4" s="67"/>
      <c r="O4" s="67"/>
      <c r="P4" s="67"/>
      <c r="Q4" s="67"/>
      <c r="R4" s="67"/>
      <c r="S4" s="60" t="s">
        <v>33</v>
      </c>
      <c r="T4" s="67"/>
      <c r="U4" s="67"/>
      <c r="V4" s="67"/>
      <c r="W4" s="67"/>
    </row>
    <row r="5" spans="1:23" ht="15.75" customHeight="1">
      <c r="A5" s="7"/>
      <c r="B5" s="49" t="s">
        <v>22</v>
      </c>
      <c r="C5" s="7" t="s">
        <v>1</v>
      </c>
      <c r="D5" s="7" t="s">
        <v>2</v>
      </c>
      <c r="E5" s="7" t="s">
        <v>3</v>
      </c>
      <c r="G5" s="7"/>
      <c r="H5" s="49" t="s">
        <v>69</v>
      </c>
      <c r="I5" s="49" t="s">
        <v>70</v>
      </c>
      <c r="J5" s="49" t="s">
        <v>67</v>
      </c>
      <c r="K5" s="7" t="s">
        <v>3</v>
      </c>
      <c r="L5" s="62" t="s">
        <v>60</v>
      </c>
      <c r="M5" s="7"/>
      <c r="N5" s="49" t="s">
        <v>22</v>
      </c>
      <c r="O5" s="49" t="s">
        <v>66</v>
      </c>
      <c r="P5" s="49" t="s">
        <v>67</v>
      </c>
      <c r="Q5" s="49" t="s">
        <v>68</v>
      </c>
      <c r="R5" s="67"/>
      <c r="S5" s="7"/>
      <c r="T5" s="49" t="s">
        <v>22</v>
      </c>
      <c r="U5" s="49" t="s">
        <v>66</v>
      </c>
      <c r="V5" s="49" t="s">
        <v>67</v>
      </c>
      <c r="W5" s="49" t="s">
        <v>68</v>
      </c>
    </row>
    <row r="6" spans="1:23" ht="15.75" customHeight="1">
      <c r="A6" s="49" t="s">
        <v>24</v>
      </c>
      <c r="B6" s="9">
        <v>500000</v>
      </c>
      <c r="C6" s="9">
        <v>510000</v>
      </c>
      <c r="D6" s="10">
        <f t="shared" ref="D6:D11" si="0">B6-C6</f>
        <v>-10000</v>
      </c>
      <c r="E6" s="9">
        <f>B6+C6</f>
        <v>1010000</v>
      </c>
      <c r="G6" s="49" t="s">
        <v>30</v>
      </c>
      <c r="H6" s="11">
        <v>110</v>
      </c>
      <c r="I6" s="11">
        <v>100</v>
      </c>
      <c r="J6" s="11">
        <v>90</v>
      </c>
      <c r="K6" s="12"/>
      <c r="L6" s="62" t="s">
        <v>61</v>
      </c>
      <c r="M6" s="49" t="s">
        <v>34</v>
      </c>
      <c r="N6" s="9">
        <v>150000</v>
      </c>
      <c r="O6" s="13">
        <f t="shared" ref="O6:O13" si="1">IFERROR(N6/$B$6,"")</f>
        <v>0.3</v>
      </c>
      <c r="P6" s="14">
        <v>0.4</v>
      </c>
      <c r="Q6" s="13">
        <f t="shared" ref="Q6:Q13" si="2">IFERROR(O6-P6,"")</f>
        <v>-0.10000000000000003</v>
      </c>
      <c r="S6" s="49" t="s">
        <v>34</v>
      </c>
      <c r="T6" s="9">
        <v>35000</v>
      </c>
      <c r="U6" s="13">
        <f t="shared" ref="U6:U13" si="3">IFERROR(T6/$B$7,"")</f>
        <v>0.35</v>
      </c>
      <c r="V6" s="14">
        <v>0.3</v>
      </c>
      <c r="W6" s="13">
        <f t="shared" ref="W6:W13" si="4">IFERROR(U6-V6,"")</f>
        <v>4.9999999999999989E-2</v>
      </c>
    </row>
    <row r="7" spans="1:23" ht="15.75" customHeight="1">
      <c r="A7" s="49" t="s">
        <v>25</v>
      </c>
      <c r="B7" s="9">
        <v>100000</v>
      </c>
      <c r="C7" s="9">
        <v>110000</v>
      </c>
      <c r="D7" s="10">
        <f t="shared" si="0"/>
        <v>-10000</v>
      </c>
      <c r="E7" s="9">
        <f>B7+C7</f>
        <v>210000</v>
      </c>
      <c r="G7" s="53" t="s">
        <v>31</v>
      </c>
      <c r="H7" s="14">
        <v>0.8</v>
      </c>
      <c r="I7" s="14">
        <v>0.85</v>
      </c>
      <c r="J7" s="14">
        <v>0.81</v>
      </c>
      <c r="K7" s="14">
        <v>0.84</v>
      </c>
      <c r="L7" s="66" t="s">
        <v>4</v>
      </c>
      <c r="M7" s="49" t="s">
        <v>35</v>
      </c>
      <c r="N7" s="9">
        <v>100000</v>
      </c>
      <c r="O7" s="13">
        <f t="shared" si="1"/>
        <v>0.2</v>
      </c>
      <c r="P7" s="14">
        <v>0.15</v>
      </c>
      <c r="Q7" s="13">
        <f t="shared" si="2"/>
        <v>5.0000000000000017E-2</v>
      </c>
      <c r="S7" s="49" t="s">
        <v>35</v>
      </c>
      <c r="T7" s="9">
        <v>30000</v>
      </c>
      <c r="U7" s="13">
        <f t="shared" si="3"/>
        <v>0.3</v>
      </c>
      <c r="V7" s="14">
        <v>0.15</v>
      </c>
      <c r="W7" s="13">
        <f t="shared" si="4"/>
        <v>0.15</v>
      </c>
    </row>
    <row r="8" spans="1:23" ht="15.75" customHeight="1">
      <c r="A8" s="7" t="s">
        <v>5</v>
      </c>
      <c r="B8" s="9">
        <v>250000</v>
      </c>
      <c r="C8" s="9">
        <v>260000</v>
      </c>
      <c r="D8" s="10">
        <f t="shared" si="0"/>
        <v>-10000</v>
      </c>
      <c r="E8" s="9">
        <f>B8+C8</f>
        <v>510000</v>
      </c>
      <c r="G8" s="49" t="s">
        <v>26</v>
      </c>
      <c r="H8" s="14">
        <v>2.5000000000000001E-3</v>
      </c>
      <c r="I8" s="14">
        <v>2.3999999999999998E-3</v>
      </c>
      <c r="J8" s="14">
        <v>2.3E-3</v>
      </c>
      <c r="K8" s="14">
        <v>2.3500000000000001E-3</v>
      </c>
      <c r="L8" s="62" t="s">
        <v>55</v>
      </c>
      <c r="M8" s="49" t="s">
        <v>36</v>
      </c>
      <c r="N8" s="9">
        <v>160000</v>
      </c>
      <c r="O8" s="13">
        <f t="shared" si="1"/>
        <v>0.32</v>
      </c>
      <c r="P8" s="14">
        <v>0.28000000000000003</v>
      </c>
      <c r="Q8" s="13">
        <f t="shared" si="2"/>
        <v>3.999999999999998E-2</v>
      </c>
      <c r="S8" s="49" t="s">
        <v>36</v>
      </c>
      <c r="T8" s="9">
        <v>20000</v>
      </c>
      <c r="U8" s="13">
        <f t="shared" si="3"/>
        <v>0.2</v>
      </c>
      <c r="V8" s="14">
        <v>0.28000000000000003</v>
      </c>
      <c r="W8" s="13">
        <f t="shared" si="4"/>
        <v>-8.0000000000000016E-2</v>
      </c>
    </row>
    <row r="9" spans="1:23" ht="15.75" customHeight="1">
      <c r="A9" s="7" t="s">
        <v>6</v>
      </c>
      <c r="B9" s="14">
        <f>B8/B6</f>
        <v>0.5</v>
      </c>
      <c r="C9" s="14">
        <f>C8/C6</f>
        <v>0.50980392156862742</v>
      </c>
      <c r="D9" s="13">
        <f t="shared" si="0"/>
        <v>-9.8039215686274161E-3</v>
      </c>
      <c r="E9" s="14">
        <f>(B9+C9)/2</f>
        <v>0.50490196078431371</v>
      </c>
      <c r="G9" s="49" t="s">
        <v>27</v>
      </c>
      <c r="H9" s="14">
        <v>6.0000000000000001E-3</v>
      </c>
      <c r="I9" s="14">
        <v>8.9999999999999993E-3</v>
      </c>
      <c r="J9" s="14">
        <v>9.4999999999999998E-3</v>
      </c>
      <c r="K9" s="14">
        <v>9.1999999999999998E-3</v>
      </c>
      <c r="L9" s="62" t="s">
        <v>104</v>
      </c>
      <c r="M9" s="49" t="s">
        <v>44</v>
      </c>
      <c r="N9" s="9">
        <v>90000</v>
      </c>
      <c r="O9" s="13">
        <f t="shared" si="1"/>
        <v>0.18</v>
      </c>
      <c r="P9" s="14">
        <v>0.17</v>
      </c>
      <c r="Q9" s="13">
        <f t="shared" si="2"/>
        <v>9.9999999999999811E-3</v>
      </c>
      <c r="S9" s="49" t="s">
        <v>44</v>
      </c>
      <c r="T9" s="9">
        <v>15000</v>
      </c>
      <c r="U9" s="13">
        <f t="shared" si="3"/>
        <v>0.15</v>
      </c>
      <c r="V9" s="14">
        <v>0.27</v>
      </c>
      <c r="W9" s="13">
        <f t="shared" si="4"/>
        <v>-0.12000000000000002</v>
      </c>
    </row>
    <row r="10" spans="1:23" ht="15.75" customHeight="1">
      <c r="A10" s="49" t="s">
        <v>64</v>
      </c>
      <c r="B10" s="9">
        <v>100000</v>
      </c>
      <c r="C10" s="9">
        <v>105000</v>
      </c>
      <c r="D10" s="10">
        <f t="shared" si="0"/>
        <v>-5000</v>
      </c>
      <c r="E10" s="9">
        <f>B10+C10</f>
        <v>205000</v>
      </c>
      <c r="G10" s="49" t="s">
        <v>28</v>
      </c>
      <c r="H10" s="14">
        <v>0.95</v>
      </c>
      <c r="I10" s="14">
        <v>0.9</v>
      </c>
      <c r="J10" s="14">
        <v>0.92</v>
      </c>
      <c r="K10" s="14">
        <v>0.91</v>
      </c>
      <c r="L10" s="66" t="s">
        <v>7</v>
      </c>
      <c r="M10" s="49" t="s">
        <v>37</v>
      </c>
      <c r="N10" s="9" t="s">
        <v>8</v>
      </c>
      <c r="O10" s="13" t="str">
        <f t="shared" si="1"/>
        <v/>
      </c>
      <c r="P10" s="4" t="s">
        <v>9</v>
      </c>
      <c r="Q10" s="13" t="str">
        <f t="shared" si="2"/>
        <v/>
      </c>
      <c r="S10" s="49" t="s">
        <v>37</v>
      </c>
      <c r="T10" s="9" t="s">
        <v>8</v>
      </c>
      <c r="U10" s="13" t="str">
        <f t="shared" si="3"/>
        <v/>
      </c>
      <c r="V10" s="4" t="s">
        <v>9</v>
      </c>
      <c r="W10" s="13" t="str">
        <f t="shared" si="4"/>
        <v/>
      </c>
    </row>
    <row r="11" spans="1:23" ht="15.75" customHeight="1">
      <c r="A11" s="49" t="s">
        <v>65</v>
      </c>
      <c r="B11" s="14">
        <f>B10/B6</f>
        <v>0.2</v>
      </c>
      <c r="C11" s="14">
        <f>C10/C6</f>
        <v>0.20588235294117646</v>
      </c>
      <c r="D11" s="13">
        <f t="shared" si="0"/>
        <v>-5.8823529411764497E-3</v>
      </c>
      <c r="E11" s="14">
        <f>(B11+C11)/2</f>
        <v>0.20294117647058824</v>
      </c>
      <c r="G11" s="49" t="s">
        <v>29</v>
      </c>
      <c r="H11" s="14">
        <v>0.8</v>
      </c>
      <c r="I11" s="14">
        <v>0.85</v>
      </c>
      <c r="J11" s="14">
        <v>1</v>
      </c>
      <c r="K11" s="14">
        <v>0.92</v>
      </c>
      <c r="L11" s="62" t="s">
        <v>62</v>
      </c>
      <c r="M11" s="49" t="s">
        <v>38</v>
      </c>
      <c r="N11" s="9" t="s">
        <v>8</v>
      </c>
      <c r="O11" s="13" t="str">
        <f t="shared" si="1"/>
        <v/>
      </c>
      <c r="P11" s="4" t="s">
        <v>9</v>
      </c>
      <c r="Q11" s="13" t="str">
        <f t="shared" si="2"/>
        <v/>
      </c>
      <c r="S11" s="49" t="s">
        <v>38</v>
      </c>
      <c r="T11" s="9" t="s">
        <v>8</v>
      </c>
      <c r="U11" s="13" t="str">
        <f t="shared" si="3"/>
        <v/>
      </c>
      <c r="V11" s="4" t="s">
        <v>9</v>
      </c>
      <c r="W11" s="13" t="str">
        <f t="shared" si="4"/>
        <v/>
      </c>
    </row>
    <row r="12" spans="1:23" ht="15.75" customHeight="1">
      <c r="M12" s="49" t="s">
        <v>39</v>
      </c>
      <c r="N12" s="9" t="s">
        <v>8</v>
      </c>
      <c r="O12" s="13" t="str">
        <f t="shared" si="1"/>
        <v/>
      </c>
      <c r="P12" s="4" t="s">
        <v>9</v>
      </c>
      <c r="Q12" s="13" t="str">
        <f t="shared" si="2"/>
        <v/>
      </c>
      <c r="S12" s="49" t="s">
        <v>39</v>
      </c>
      <c r="T12" s="9" t="s">
        <v>8</v>
      </c>
      <c r="U12" s="13" t="str">
        <f t="shared" si="3"/>
        <v/>
      </c>
      <c r="V12" s="4" t="s">
        <v>9</v>
      </c>
      <c r="W12" s="13" t="str">
        <f t="shared" si="4"/>
        <v/>
      </c>
    </row>
    <row r="13" spans="1:23" ht="15.75" customHeight="1">
      <c r="A13" s="60" t="s">
        <v>63</v>
      </c>
      <c r="B13" s="67"/>
      <c r="C13" s="67"/>
      <c r="D13" s="67"/>
      <c r="E13" s="67"/>
      <c r="F13" s="67"/>
      <c r="M13" s="49" t="s">
        <v>40</v>
      </c>
      <c r="N13" s="9" t="s">
        <v>8</v>
      </c>
      <c r="O13" s="13" t="str">
        <f t="shared" si="1"/>
        <v/>
      </c>
      <c r="P13" s="4" t="s">
        <v>9</v>
      </c>
      <c r="Q13" s="13" t="str">
        <f t="shared" si="2"/>
        <v/>
      </c>
      <c r="S13" s="49" t="s">
        <v>40</v>
      </c>
      <c r="T13" s="9" t="s">
        <v>8</v>
      </c>
      <c r="U13" s="13" t="str">
        <f t="shared" si="3"/>
        <v/>
      </c>
      <c r="V13" s="4" t="s">
        <v>9</v>
      </c>
      <c r="W13" s="13" t="str">
        <f t="shared" si="4"/>
        <v/>
      </c>
    </row>
    <row r="14" spans="1:23" ht="12.75">
      <c r="A14" s="7"/>
      <c r="B14" s="49" t="s">
        <v>22</v>
      </c>
      <c r="C14" s="7" t="s">
        <v>1</v>
      </c>
      <c r="D14" s="7" t="s">
        <v>2</v>
      </c>
      <c r="E14" s="7" t="s">
        <v>3</v>
      </c>
      <c r="F14" s="67"/>
      <c r="G14" s="7"/>
      <c r="H14" s="49" t="s">
        <v>22</v>
      </c>
      <c r="I14" s="7" t="s">
        <v>1</v>
      </c>
      <c r="J14" s="7" t="s">
        <v>2</v>
      </c>
      <c r="K14" s="7" t="s">
        <v>3</v>
      </c>
      <c r="O14" s="15">
        <f>SUM(O6:O13)</f>
        <v>1</v>
      </c>
      <c r="P14" s="15">
        <f>SUM(P6:P13)</f>
        <v>1</v>
      </c>
      <c r="U14" s="15">
        <f>SUM(U6:U13)</f>
        <v>0.99999999999999989</v>
      </c>
      <c r="V14" s="15">
        <f>SUM(V6:V13)</f>
        <v>1</v>
      </c>
    </row>
    <row r="15" spans="1:23" ht="15.75" customHeight="1">
      <c r="A15" s="49" t="s">
        <v>34</v>
      </c>
      <c r="B15" s="4">
        <v>600</v>
      </c>
      <c r="C15" s="4">
        <v>660</v>
      </c>
      <c r="D15" s="16">
        <f>B15-C15</f>
        <v>-60</v>
      </c>
      <c r="E15" s="17">
        <f>(B15+C15)/2</f>
        <v>630</v>
      </c>
      <c r="G15" s="49" t="s">
        <v>37</v>
      </c>
      <c r="H15" s="4"/>
      <c r="I15" s="4"/>
      <c r="J15" s="16">
        <f>H15-I15</f>
        <v>0</v>
      </c>
      <c r="K15" s="17"/>
      <c r="M15" s="60" t="s">
        <v>72</v>
      </c>
      <c r="N15" s="67"/>
      <c r="O15" s="67"/>
      <c r="P15" s="67"/>
      <c r="Q15" s="67"/>
      <c r="R15" s="67"/>
      <c r="S15" s="67"/>
    </row>
    <row r="16" spans="1:23" ht="15.75" customHeight="1">
      <c r="A16" s="49" t="s">
        <v>35</v>
      </c>
      <c r="B16" s="4">
        <v>800</v>
      </c>
      <c r="C16" s="4">
        <v>780</v>
      </c>
      <c r="D16" s="16">
        <f>B16-C16</f>
        <v>20</v>
      </c>
      <c r="E16" s="17">
        <f>(B16+C16)/2</f>
        <v>790</v>
      </c>
      <c r="G16" s="49" t="s">
        <v>38</v>
      </c>
      <c r="H16" s="4"/>
      <c r="I16" s="4"/>
      <c r="J16" s="16">
        <f>H16-I16</f>
        <v>0</v>
      </c>
      <c r="K16" s="17"/>
      <c r="M16" s="18"/>
      <c r="N16" s="46" t="s">
        <v>10</v>
      </c>
      <c r="O16" s="19"/>
      <c r="P16" s="58" t="s">
        <v>42</v>
      </c>
      <c r="Q16" s="19"/>
      <c r="R16" s="51" t="s">
        <v>43</v>
      </c>
      <c r="S16" s="19"/>
    </row>
    <row r="17" spans="1:27" ht="15.75" customHeight="1">
      <c r="A17" s="49" t="s">
        <v>36</v>
      </c>
      <c r="B17" s="4">
        <v>130</v>
      </c>
      <c r="C17" s="4">
        <v>111</v>
      </c>
      <c r="D17" s="16">
        <f>B17-C17</f>
        <v>19</v>
      </c>
      <c r="E17" s="17">
        <f>(B17+C17)/2</f>
        <v>120.5</v>
      </c>
      <c r="G17" s="49" t="s">
        <v>39</v>
      </c>
      <c r="H17" s="4"/>
      <c r="I17" s="4"/>
      <c r="J17" s="16">
        <f>H17-I17</f>
        <v>0</v>
      </c>
      <c r="K17" s="17"/>
      <c r="M17" s="20"/>
      <c r="N17" s="21" t="s">
        <v>11</v>
      </c>
      <c r="O17" s="50" t="s">
        <v>41</v>
      </c>
      <c r="P17" s="8" t="s">
        <v>11</v>
      </c>
      <c r="Q17" s="50" t="s">
        <v>41</v>
      </c>
      <c r="R17" s="8" t="s">
        <v>11</v>
      </c>
      <c r="S17" s="50" t="s">
        <v>41</v>
      </c>
    </row>
    <row r="18" spans="1:27" ht="15.75" customHeight="1">
      <c r="A18" s="49" t="s">
        <v>44</v>
      </c>
      <c r="B18" s="4">
        <v>140</v>
      </c>
      <c r="C18" s="4">
        <v>165</v>
      </c>
      <c r="D18" s="16">
        <f>B18-C18</f>
        <v>-25</v>
      </c>
      <c r="E18" s="17">
        <f>(B18+C18)/2</f>
        <v>152.5</v>
      </c>
      <c r="G18" s="49" t="s">
        <v>40</v>
      </c>
      <c r="H18" s="4"/>
      <c r="I18" s="4"/>
      <c r="J18" s="16">
        <f>H18-I18</f>
        <v>0</v>
      </c>
      <c r="K18" s="17"/>
      <c r="M18" s="49" t="s">
        <v>26</v>
      </c>
      <c r="N18" s="9">
        <v>1200</v>
      </c>
      <c r="O18" s="13">
        <f>N18/$B$6</f>
        <v>2.3999999999999998E-3</v>
      </c>
      <c r="P18" s="9">
        <v>900</v>
      </c>
      <c r="Q18" s="13">
        <f>IFERROR(P18/$B$6,"")</f>
        <v>1.8E-3</v>
      </c>
      <c r="R18" s="9">
        <v>300</v>
      </c>
      <c r="S18" s="13">
        <f>IFERROR(R18/$B$6,"")</f>
        <v>5.9999999999999995E-4</v>
      </c>
    </row>
    <row r="19" spans="1:27" ht="15.75" customHeight="1">
      <c r="M19" s="49" t="s">
        <v>27</v>
      </c>
      <c r="N19" s="9">
        <v>4500</v>
      </c>
      <c r="O19" s="13">
        <f>N19/$B$6</f>
        <v>8.9999999999999993E-3</v>
      </c>
      <c r="P19" s="9">
        <v>3500</v>
      </c>
      <c r="Q19" s="13">
        <f>IFERROR(P19/$B$6,"")</f>
        <v>7.0000000000000001E-3</v>
      </c>
      <c r="R19" s="9">
        <v>1000</v>
      </c>
      <c r="S19" s="13">
        <f>IFERROR(R19/$B$6,"")</f>
        <v>2E-3</v>
      </c>
    </row>
    <row r="20" spans="1:27" ht="15.75" customHeight="1">
      <c r="A20" s="60" t="s">
        <v>45</v>
      </c>
      <c r="B20" s="67"/>
      <c r="C20" s="63"/>
      <c r="D20" s="67"/>
      <c r="E20" s="67"/>
      <c r="F20" s="63"/>
      <c r="G20" s="63"/>
      <c r="H20" s="63"/>
      <c r="I20" s="63"/>
      <c r="J20" s="67"/>
      <c r="K20" s="67"/>
    </row>
    <row r="21" spans="1:27" ht="15.75" customHeight="1">
      <c r="A21" s="18"/>
      <c r="B21" s="49" t="s">
        <v>47</v>
      </c>
      <c r="C21" s="432" t="s">
        <v>12</v>
      </c>
      <c r="D21" s="415"/>
      <c r="E21" s="408"/>
      <c r="F21" s="49" t="s">
        <v>46</v>
      </c>
      <c r="G21" s="49" t="s">
        <v>48</v>
      </c>
      <c r="H21" s="49" t="s">
        <v>49</v>
      </c>
      <c r="I21" s="8" t="s">
        <v>13</v>
      </c>
      <c r="J21" s="424" t="s">
        <v>51</v>
      </c>
      <c r="K21" s="408"/>
      <c r="M21" s="60" t="s">
        <v>52</v>
      </c>
      <c r="N21" s="67"/>
      <c r="O21" s="63"/>
      <c r="P21" s="67"/>
      <c r="Q21" s="67"/>
      <c r="R21" s="63"/>
      <c r="S21" s="63"/>
      <c r="T21" s="63"/>
      <c r="U21" s="63"/>
      <c r="V21" s="63"/>
      <c r="W21" s="63"/>
      <c r="X21" s="63"/>
      <c r="Y21" s="63"/>
      <c r="Z21" s="67"/>
      <c r="AA21" s="67"/>
    </row>
    <row r="22" spans="1:27" ht="15.75" customHeight="1">
      <c r="A22" s="52" t="s">
        <v>34</v>
      </c>
      <c r="B22" s="6">
        <v>1</v>
      </c>
      <c r="C22" s="407" t="s">
        <v>14</v>
      </c>
      <c r="D22" s="415"/>
      <c r="E22" s="408"/>
      <c r="F22" s="4">
        <v>3</v>
      </c>
      <c r="G22" s="4">
        <v>3000</v>
      </c>
      <c r="H22" s="4">
        <v>1000</v>
      </c>
      <c r="I22" s="4">
        <v>10</v>
      </c>
      <c r="J22" s="414" t="s">
        <v>76</v>
      </c>
      <c r="K22" s="408"/>
      <c r="M22" s="52" t="s">
        <v>26</v>
      </c>
      <c r="N22" s="57" t="s">
        <v>47</v>
      </c>
      <c r="O22" s="420" t="s">
        <v>12</v>
      </c>
      <c r="P22" s="415"/>
      <c r="Q22" s="408"/>
      <c r="R22" s="426" t="s">
        <v>53</v>
      </c>
      <c r="S22" s="415"/>
      <c r="T22" s="408"/>
      <c r="U22" s="57" t="s">
        <v>54</v>
      </c>
      <c r="V22" s="57" t="s">
        <v>55</v>
      </c>
      <c r="W22" s="57" t="s">
        <v>56</v>
      </c>
      <c r="X22" s="8" t="s">
        <v>11</v>
      </c>
      <c r="Y22" s="8" t="s">
        <v>13</v>
      </c>
      <c r="Z22" s="424" t="s">
        <v>51</v>
      </c>
      <c r="AA22" s="408"/>
    </row>
    <row r="23" spans="1:27" ht="15.75" customHeight="1">
      <c r="A23" s="23"/>
      <c r="B23" s="6">
        <v>2</v>
      </c>
      <c r="C23" s="429"/>
      <c r="D23" s="415"/>
      <c r="E23" s="408"/>
      <c r="F23" s="4"/>
      <c r="G23" s="4"/>
      <c r="H23" s="4"/>
      <c r="I23" s="4"/>
      <c r="J23" s="429"/>
      <c r="K23" s="408"/>
      <c r="M23" s="56" t="s">
        <v>42</v>
      </c>
      <c r="N23" s="24">
        <v>1</v>
      </c>
      <c r="O23" s="414" t="s">
        <v>82</v>
      </c>
      <c r="P23" s="415"/>
      <c r="Q23" s="408"/>
      <c r="R23" s="414" t="s">
        <v>85</v>
      </c>
      <c r="S23" s="415"/>
      <c r="T23" s="408"/>
      <c r="U23" s="4">
        <v>10</v>
      </c>
      <c r="V23" s="14">
        <v>0.15</v>
      </c>
      <c r="W23" s="4">
        <v>10</v>
      </c>
      <c r="X23" s="16">
        <f>W23*U23</f>
        <v>100</v>
      </c>
      <c r="Y23" s="4">
        <v>80</v>
      </c>
      <c r="Z23" s="414" t="s">
        <v>86</v>
      </c>
      <c r="AA23" s="408"/>
    </row>
    <row r="24" spans="1:27" ht="15.75" customHeight="1">
      <c r="A24" s="23"/>
      <c r="B24" s="6">
        <v>3</v>
      </c>
      <c r="C24" s="429"/>
      <c r="D24" s="415"/>
      <c r="E24" s="408"/>
      <c r="F24" s="4"/>
      <c r="G24" s="4"/>
      <c r="H24" s="4"/>
      <c r="I24" s="4"/>
      <c r="J24" s="429"/>
      <c r="K24" s="408"/>
      <c r="M24" s="25"/>
      <c r="N24" s="24">
        <v>2</v>
      </c>
      <c r="O24" s="407"/>
      <c r="P24" s="415"/>
      <c r="Q24" s="408"/>
      <c r="R24" s="407"/>
      <c r="S24" s="415"/>
      <c r="T24" s="408"/>
      <c r="U24" s="4"/>
      <c r="V24" s="14"/>
      <c r="W24" s="4"/>
      <c r="X24" s="16">
        <f>W24*U24</f>
        <v>0</v>
      </c>
      <c r="Y24" s="4"/>
      <c r="Z24" s="407"/>
      <c r="AA24" s="408"/>
    </row>
    <row r="25" spans="1:27" ht="15.75" customHeight="1">
      <c r="A25" s="23"/>
      <c r="B25" s="6">
        <v>4</v>
      </c>
      <c r="C25" s="429"/>
      <c r="D25" s="415"/>
      <c r="E25" s="408"/>
      <c r="F25" s="4"/>
      <c r="G25" s="4"/>
      <c r="H25" s="4"/>
      <c r="I25" s="4"/>
      <c r="J25" s="429"/>
      <c r="K25" s="408"/>
      <c r="M25" s="25"/>
      <c r="N25" s="24">
        <v>3</v>
      </c>
      <c r="O25" s="407"/>
      <c r="P25" s="415"/>
      <c r="Q25" s="408"/>
      <c r="R25" s="407"/>
      <c r="S25" s="415"/>
      <c r="T25" s="408"/>
      <c r="U25" s="4"/>
      <c r="V25" s="14"/>
      <c r="W25" s="4"/>
      <c r="X25" s="16">
        <f>W25*U25</f>
        <v>0</v>
      </c>
      <c r="Y25" s="4"/>
      <c r="Z25" s="407"/>
      <c r="AA25" s="408"/>
    </row>
    <row r="26" spans="1:27" ht="15.75" customHeight="1">
      <c r="A26" s="23"/>
      <c r="B26" s="26">
        <v>5</v>
      </c>
      <c r="C26" s="433"/>
      <c r="D26" s="416"/>
      <c r="E26" s="410"/>
      <c r="F26" s="27"/>
      <c r="G26" s="27"/>
      <c r="H26" s="27"/>
      <c r="I26" s="27"/>
      <c r="J26" s="433"/>
      <c r="K26" s="410"/>
      <c r="M26" s="25"/>
      <c r="N26" s="24">
        <v>4</v>
      </c>
      <c r="O26" s="407"/>
      <c r="P26" s="415"/>
      <c r="Q26" s="408"/>
      <c r="R26" s="407"/>
      <c r="S26" s="415"/>
      <c r="T26" s="408"/>
      <c r="U26" s="4"/>
      <c r="V26" s="14"/>
      <c r="W26" s="4"/>
      <c r="X26" s="16">
        <f>W26*U26</f>
        <v>0</v>
      </c>
      <c r="Y26" s="4"/>
      <c r="Z26" s="407"/>
      <c r="AA26" s="408"/>
    </row>
    <row r="27" spans="1:27" ht="15.75" customHeight="1">
      <c r="A27" s="23"/>
      <c r="B27" s="69" t="s">
        <v>101</v>
      </c>
      <c r="C27" s="417" t="s">
        <v>75</v>
      </c>
      <c r="D27" s="418"/>
      <c r="E27" s="419"/>
      <c r="F27" s="28">
        <v>4</v>
      </c>
      <c r="G27" s="28">
        <v>2800</v>
      </c>
      <c r="H27" s="28">
        <v>700</v>
      </c>
      <c r="I27" s="28" t="s">
        <v>15</v>
      </c>
      <c r="J27" s="417" t="s">
        <v>77</v>
      </c>
      <c r="K27" s="419"/>
      <c r="M27" s="25"/>
      <c r="N27" s="29">
        <v>5</v>
      </c>
      <c r="O27" s="409"/>
      <c r="P27" s="416"/>
      <c r="Q27" s="410"/>
      <c r="R27" s="409"/>
      <c r="S27" s="416"/>
      <c r="T27" s="410"/>
      <c r="U27" s="27"/>
      <c r="V27" s="30"/>
      <c r="W27" s="27"/>
      <c r="X27" s="31">
        <f>W27*U27</f>
        <v>0</v>
      </c>
      <c r="Y27" s="4"/>
      <c r="Z27" s="409"/>
      <c r="AA27" s="410"/>
    </row>
    <row r="28" spans="1:27" ht="15.75" customHeight="1">
      <c r="A28" s="23"/>
      <c r="B28" s="70" t="s">
        <v>102</v>
      </c>
      <c r="C28" s="429"/>
      <c r="D28" s="415"/>
      <c r="E28" s="408"/>
      <c r="F28" s="4"/>
      <c r="G28" s="4"/>
      <c r="H28" s="4"/>
      <c r="I28" s="4"/>
      <c r="J28" s="429"/>
      <c r="K28" s="408"/>
      <c r="M28" s="32"/>
      <c r="N28" s="55"/>
      <c r="O28" s="411"/>
      <c r="P28" s="415"/>
      <c r="Q28" s="415"/>
      <c r="R28" s="411"/>
      <c r="S28" s="415"/>
      <c r="T28" s="415"/>
      <c r="U28" s="59" t="s">
        <v>58</v>
      </c>
      <c r="V28" s="33">
        <f>X28/N18</f>
        <v>8.3333333333333329E-2</v>
      </c>
      <c r="W28" s="59" t="s">
        <v>59</v>
      </c>
      <c r="X28" s="34">
        <f>SUM(X23:X27)</f>
        <v>100</v>
      </c>
      <c r="Y28" s="45"/>
      <c r="Z28" s="411"/>
      <c r="AA28" s="408"/>
    </row>
    <row r="29" spans="1:27" ht="15.75" customHeight="1">
      <c r="A29" s="23"/>
      <c r="B29" s="70" t="s">
        <v>100</v>
      </c>
      <c r="C29" s="429"/>
      <c r="D29" s="415"/>
      <c r="E29" s="408"/>
      <c r="F29" s="4"/>
      <c r="G29" s="4"/>
      <c r="H29" s="4"/>
      <c r="I29" s="4"/>
      <c r="J29" s="429"/>
      <c r="K29" s="408"/>
      <c r="M29" s="56" t="s">
        <v>43</v>
      </c>
      <c r="N29" s="24">
        <v>1</v>
      </c>
      <c r="O29" s="430" t="s">
        <v>16</v>
      </c>
      <c r="P29" s="431"/>
      <c r="Q29" s="413"/>
      <c r="R29" s="412" t="s">
        <v>87</v>
      </c>
      <c r="S29" s="431"/>
      <c r="T29" s="413"/>
      <c r="U29" s="35">
        <v>5.55</v>
      </c>
      <c r="V29" s="36">
        <v>0.21</v>
      </c>
      <c r="W29" s="35">
        <v>50</v>
      </c>
      <c r="X29" s="37">
        <f>W29*U29</f>
        <v>277.5</v>
      </c>
      <c r="Y29" s="4">
        <v>35</v>
      </c>
      <c r="Z29" s="412" t="s">
        <v>88</v>
      </c>
      <c r="AA29" s="413"/>
    </row>
    <row r="30" spans="1:27" ht="15.75" customHeight="1">
      <c r="A30" s="23"/>
      <c r="B30" s="70" t="s">
        <v>99</v>
      </c>
      <c r="C30" s="429"/>
      <c r="D30" s="415"/>
      <c r="E30" s="408"/>
      <c r="F30" s="4"/>
      <c r="G30" s="4"/>
      <c r="H30" s="4"/>
      <c r="I30" s="4"/>
      <c r="J30" s="429"/>
      <c r="K30" s="408"/>
      <c r="M30" s="25"/>
      <c r="N30" s="24">
        <v>2</v>
      </c>
      <c r="O30" s="407"/>
      <c r="P30" s="415"/>
      <c r="Q30" s="408"/>
      <c r="R30" s="407"/>
      <c r="S30" s="415"/>
      <c r="T30" s="408"/>
      <c r="U30" s="4"/>
      <c r="V30" s="14"/>
      <c r="W30" s="4"/>
      <c r="X30" s="16">
        <f>W30*U30</f>
        <v>0</v>
      </c>
      <c r="Y30" s="4"/>
      <c r="Z30" s="407"/>
      <c r="AA30" s="408"/>
    </row>
    <row r="31" spans="1:27" ht="15.75" customHeight="1">
      <c r="A31" s="20"/>
      <c r="B31" s="70" t="s">
        <v>103</v>
      </c>
      <c r="C31" s="429"/>
      <c r="D31" s="415"/>
      <c r="E31" s="408"/>
      <c r="F31" s="4"/>
      <c r="G31" s="4"/>
      <c r="H31" s="4"/>
      <c r="I31" s="4"/>
      <c r="J31" s="429"/>
      <c r="K31" s="408"/>
      <c r="M31" s="25"/>
      <c r="N31" s="24">
        <v>3</v>
      </c>
      <c r="O31" s="407"/>
      <c r="P31" s="415"/>
      <c r="Q31" s="408"/>
      <c r="R31" s="407"/>
      <c r="S31" s="415"/>
      <c r="T31" s="408"/>
      <c r="U31" s="4"/>
      <c r="V31" s="14"/>
      <c r="W31" s="4"/>
      <c r="X31" s="16">
        <f>W31*U31</f>
        <v>0</v>
      </c>
      <c r="Y31" s="4"/>
      <c r="Z31" s="407"/>
      <c r="AA31" s="408"/>
    </row>
    <row r="32" spans="1:27" ht="15.75" customHeight="1">
      <c r="A32" s="67"/>
      <c r="M32" s="25"/>
      <c r="N32" s="24">
        <v>4</v>
      </c>
      <c r="O32" s="407"/>
      <c r="P32" s="415"/>
      <c r="Q32" s="408"/>
      <c r="R32" s="407"/>
      <c r="S32" s="415"/>
      <c r="T32" s="408"/>
      <c r="U32" s="4"/>
      <c r="V32" s="14"/>
      <c r="W32" s="4"/>
      <c r="X32" s="16">
        <f>W32*U32</f>
        <v>0</v>
      </c>
      <c r="Y32" s="4"/>
      <c r="Z32" s="407"/>
      <c r="AA32" s="408"/>
    </row>
    <row r="33" spans="1:27" ht="15.75" customHeight="1">
      <c r="A33" s="18"/>
      <c r="B33" s="49" t="s">
        <v>47</v>
      </c>
      <c r="C33" s="432" t="s">
        <v>12</v>
      </c>
      <c r="D33" s="415"/>
      <c r="E33" s="408"/>
      <c r="F33" s="49" t="s">
        <v>46</v>
      </c>
      <c r="G33" s="49" t="s">
        <v>48</v>
      </c>
      <c r="H33" s="49" t="s">
        <v>49</v>
      </c>
      <c r="I33" s="8" t="s">
        <v>13</v>
      </c>
      <c r="J33" s="424" t="s">
        <v>51</v>
      </c>
      <c r="K33" s="408"/>
      <c r="M33" s="25"/>
      <c r="N33" s="29">
        <v>5</v>
      </c>
      <c r="O33" s="407"/>
      <c r="P33" s="415"/>
      <c r="Q33" s="408"/>
      <c r="R33" s="407"/>
      <c r="S33" s="415"/>
      <c r="T33" s="408"/>
      <c r="U33" s="27"/>
      <c r="V33" s="30"/>
      <c r="W33" s="27"/>
      <c r="X33" s="31">
        <f>W33*U33</f>
        <v>0</v>
      </c>
      <c r="Y33" s="4"/>
      <c r="Z33" s="407"/>
      <c r="AA33" s="408"/>
    </row>
    <row r="34" spans="1:27" ht="15.75" customHeight="1">
      <c r="A34" s="52" t="s">
        <v>35</v>
      </c>
      <c r="B34" s="6">
        <v>1</v>
      </c>
      <c r="C34" s="414" t="s">
        <v>79</v>
      </c>
      <c r="D34" s="415"/>
      <c r="E34" s="408"/>
      <c r="F34" s="4">
        <v>3</v>
      </c>
      <c r="G34" s="4">
        <v>2500</v>
      </c>
      <c r="H34" s="4">
        <v>833.33</v>
      </c>
      <c r="I34" s="4">
        <v>20</v>
      </c>
      <c r="J34" s="414" t="s">
        <v>78</v>
      </c>
      <c r="K34" s="408"/>
      <c r="M34" s="68"/>
      <c r="N34" s="45"/>
      <c r="O34" s="411"/>
      <c r="P34" s="415"/>
      <c r="Q34" s="415"/>
      <c r="R34" s="411"/>
      <c r="S34" s="415"/>
      <c r="T34" s="415"/>
      <c r="U34" s="59" t="s">
        <v>58</v>
      </c>
      <c r="V34" s="33">
        <f>X34/N18</f>
        <v>0.23125000000000001</v>
      </c>
      <c r="W34" s="59" t="s">
        <v>59</v>
      </c>
      <c r="X34" s="34">
        <f>SUM(X29:X33)</f>
        <v>277.5</v>
      </c>
      <c r="Y34" s="45"/>
      <c r="Z34" s="411"/>
      <c r="AA34" s="408"/>
    </row>
    <row r="35" spans="1:27" ht="15.75" customHeight="1">
      <c r="A35" s="23"/>
      <c r="B35" s="6">
        <v>2</v>
      </c>
      <c r="C35" s="407"/>
      <c r="D35" s="415"/>
      <c r="E35" s="408"/>
      <c r="F35" s="4"/>
      <c r="G35" s="4"/>
      <c r="H35" s="4"/>
      <c r="I35" s="4"/>
      <c r="J35" s="407"/>
      <c r="K35" s="408"/>
      <c r="M35" s="1"/>
      <c r="N35" s="1"/>
      <c r="O35" s="422"/>
      <c r="P35" s="423"/>
      <c r="Q35" s="423"/>
      <c r="R35" s="422"/>
      <c r="S35" s="423"/>
      <c r="T35" s="423"/>
      <c r="U35" s="1"/>
      <c r="V35" s="38"/>
      <c r="W35" s="1"/>
      <c r="X35" s="1"/>
      <c r="Y35" s="422"/>
      <c r="Z35" s="423"/>
      <c r="AA35" s="423"/>
    </row>
    <row r="36" spans="1:27" ht="15.75" customHeight="1">
      <c r="A36" s="23"/>
      <c r="B36" s="6">
        <v>3</v>
      </c>
      <c r="C36" s="407"/>
      <c r="D36" s="415"/>
      <c r="E36" s="408"/>
      <c r="F36" s="4"/>
      <c r="G36" s="4"/>
      <c r="H36" s="4"/>
      <c r="I36" s="4"/>
      <c r="J36" s="407"/>
      <c r="K36" s="408"/>
      <c r="M36" s="52" t="s">
        <v>27</v>
      </c>
      <c r="N36" s="57" t="s">
        <v>47</v>
      </c>
      <c r="O36" s="420" t="s">
        <v>12</v>
      </c>
      <c r="P36" s="411"/>
      <c r="Q36" s="421"/>
      <c r="R36" s="426" t="s">
        <v>53</v>
      </c>
      <c r="S36" s="427"/>
      <c r="T36" s="428"/>
      <c r="U36" s="57" t="s">
        <v>54</v>
      </c>
      <c r="V36" s="57" t="s">
        <v>55</v>
      </c>
      <c r="W36" s="57" t="s">
        <v>56</v>
      </c>
      <c r="X36" s="8" t="s">
        <v>11</v>
      </c>
      <c r="Y36" s="8" t="s">
        <v>13</v>
      </c>
      <c r="Z36" s="424" t="s">
        <v>51</v>
      </c>
      <c r="AA36" s="425"/>
    </row>
    <row r="37" spans="1:27" ht="15.75" customHeight="1">
      <c r="A37" s="23"/>
      <c r="B37" s="6">
        <v>4</v>
      </c>
      <c r="C37" s="407"/>
      <c r="D37" s="415"/>
      <c r="E37" s="408"/>
      <c r="F37" s="4"/>
      <c r="G37" s="4"/>
      <c r="H37" s="4"/>
      <c r="I37" s="4"/>
      <c r="J37" s="407"/>
      <c r="K37" s="408"/>
      <c r="M37" s="56" t="s">
        <v>42</v>
      </c>
      <c r="N37" s="24">
        <v>1</v>
      </c>
      <c r="O37" s="414" t="s">
        <v>89</v>
      </c>
      <c r="P37" s="415"/>
      <c r="Q37" s="408"/>
      <c r="R37" s="414" t="s">
        <v>90</v>
      </c>
      <c r="S37" s="415"/>
      <c r="T37" s="408"/>
      <c r="U37" s="4">
        <v>25</v>
      </c>
      <c r="V37" s="14">
        <v>0.25</v>
      </c>
      <c r="W37" s="4">
        <v>10</v>
      </c>
      <c r="X37" s="16">
        <f>W37*U37</f>
        <v>250</v>
      </c>
      <c r="Y37" s="4">
        <v>150</v>
      </c>
      <c r="Z37" s="414" t="s">
        <v>91</v>
      </c>
      <c r="AA37" s="408"/>
    </row>
    <row r="38" spans="1:27" ht="15.75" customHeight="1">
      <c r="A38" s="23"/>
      <c r="B38" s="26">
        <v>5</v>
      </c>
      <c r="C38" s="409"/>
      <c r="D38" s="416"/>
      <c r="E38" s="410"/>
      <c r="F38" s="27"/>
      <c r="G38" s="27"/>
      <c r="H38" s="27"/>
      <c r="I38" s="27"/>
      <c r="J38" s="409"/>
      <c r="K38" s="410"/>
      <c r="M38" s="25"/>
      <c r="N38" s="24">
        <v>2</v>
      </c>
      <c r="O38" s="407"/>
      <c r="P38" s="415"/>
      <c r="Q38" s="408"/>
      <c r="R38" s="407"/>
      <c r="S38" s="415"/>
      <c r="T38" s="408"/>
      <c r="U38" s="4"/>
      <c r="V38" s="14"/>
      <c r="W38" s="4"/>
      <c r="X38" s="16">
        <f>W38*U38</f>
        <v>0</v>
      </c>
      <c r="Y38" s="4"/>
      <c r="Z38" s="407"/>
      <c r="AA38" s="408"/>
    </row>
    <row r="39" spans="1:27" ht="14.25">
      <c r="A39" s="23"/>
      <c r="B39" s="69" t="s">
        <v>101</v>
      </c>
      <c r="C39" s="417" t="s">
        <v>80</v>
      </c>
      <c r="D39" s="418"/>
      <c r="E39" s="419"/>
      <c r="F39" s="28">
        <v>7</v>
      </c>
      <c r="G39" s="28">
        <v>2200</v>
      </c>
      <c r="H39" s="28">
        <v>314.29000000000002</v>
      </c>
      <c r="I39" s="28">
        <v>-15</v>
      </c>
      <c r="J39" s="417" t="s">
        <v>81</v>
      </c>
      <c r="K39" s="419"/>
      <c r="M39" s="25"/>
      <c r="N39" s="24">
        <v>3</v>
      </c>
      <c r="O39" s="407"/>
      <c r="P39" s="415"/>
      <c r="Q39" s="408"/>
      <c r="R39" s="407"/>
      <c r="S39" s="415"/>
      <c r="T39" s="408"/>
      <c r="U39" s="4"/>
      <c r="V39" s="14"/>
      <c r="W39" s="4"/>
      <c r="X39" s="16">
        <f>W39*U39</f>
        <v>0</v>
      </c>
      <c r="Y39" s="4"/>
      <c r="Z39" s="407"/>
      <c r="AA39" s="408"/>
    </row>
    <row r="40" spans="1:27" ht="14.25">
      <c r="A40" s="23"/>
      <c r="B40" s="70" t="s">
        <v>102</v>
      </c>
      <c r="C40" s="407"/>
      <c r="D40" s="415"/>
      <c r="E40" s="408"/>
      <c r="F40" s="4"/>
      <c r="G40" s="4"/>
      <c r="H40" s="4"/>
      <c r="I40" s="4"/>
      <c r="J40" s="407"/>
      <c r="K40" s="408"/>
      <c r="M40" s="25"/>
      <c r="N40" s="24">
        <v>4</v>
      </c>
      <c r="O40" s="407"/>
      <c r="P40" s="415"/>
      <c r="Q40" s="408"/>
      <c r="R40" s="407"/>
      <c r="S40" s="415"/>
      <c r="T40" s="408"/>
      <c r="U40" s="4"/>
      <c r="V40" s="14"/>
      <c r="W40" s="4"/>
      <c r="X40" s="16">
        <f>W40*U40</f>
        <v>0</v>
      </c>
      <c r="Y40" s="4"/>
      <c r="Z40" s="407"/>
      <c r="AA40" s="408"/>
    </row>
    <row r="41" spans="1:27" ht="14.25">
      <c r="A41" s="23"/>
      <c r="B41" s="70" t="s">
        <v>100</v>
      </c>
      <c r="C41" s="407"/>
      <c r="D41" s="415"/>
      <c r="E41" s="408"/>
      <c r="F41" s="4"/>
      <c r="G41" s="4"/>
      <c r="H41" s="4"/>
      <c r="I41" s="4"/>
      <c r="J41" s="407"/>
      <c r="K41" s="408"/>
      <c r="M41" s="25"/>
      <c r="N41" s="29">
        <v>5</v>
      </c>
      <c r="O41" s="409"/>
      <c r="P41" s="416"/>
      <c r="Q41" s="410"/>
      <c r="R41" s="409"/>
      <c r="S41" s="416"/>
      <c r="T41" s="410"/>
      <c r="U41" s="27"/>
      <c r="V41" s="30"/>
      <c r="W41" s="27"/>
      <c r="X41" s="31">
        <f>W41*U41</f>
        <v>0</v>
      </c>
      <c r="Y41" s="4"/>
      <c r="Z41" s="407"/>
      <c r="AA41" s="408"/>
    </row>
    <row r="42" spans="1:27" ht="14.25">
      <c r="A42" s="23"/>
      <c r="B42" s="70" t="s">
        <v>99</v>
      </c>
      <c r="C42" s="407"/>
      <c r="D42" s="415"/>
      <c r="E42" s="408"/>
      <c r="F42" s="4"/>
      <c r="G42" s="4"/>
      <c r="H42" s="4"/>
      <c r="I42" s="4"/>
      <c r="J42" s="407"/>
      <c r="K42" s="408"/>
      <c r="M42" s="32"/>
      <c r="N42" s="54"/>
      <c r="O42" s="411"/>
      <c r="P42" s="415"/>
      <c r="Q42" s="415"/>
      <c r="R42" s="411"/>
      <c r="S42" s="415"/>
      <c r="T42" s="415"/>
      <c r="U42" s="59" t="s">
        <v>58</v>
      </c>
      <c r="V42" s="33">
        <f>X42/N19</f>
        <v>5.5555555555555552E-2</v>
      </c>
      <c r="W42" s="59" t="s">
        <v>59</v>
      </c>
      <c r="X42" s="34">
        <f>SUM(X37:X41)</f>
        <v>250</v>
      </c>
      <c r="Y42" s="45"/>
      <c r="Z42" s="411"/>
      <c r="AA42" s="408"/>
    </row>
    <row r="43" spans="1:27" ht="14.25">
      <c r="A43" s="20"/>
      <c r="B43" s="70" t="s">
        <v>103</v>
      </c>
      <c r="C43" s="407"/>
      <c r="D43" s="415"/>
      <c r="E43" s="408"/>
      <c r="F43" s="4"/>
      <c r="G43" s="4"/>
      <c r="H43" s="4"/>
      <c r="I43" s="4"/>
      <c r="J43" s="407"/>
      <c r="K43" s="408"/>
      <c r="M43" s="56" t="s">
        <v>43</v>
      </c>
      <c r="N43" s="24">
        <v>1</v>
      </c>
      <c r="O43" s="414" t="s">
        <v>89</v>
      </c>
      <c r="P43" s="415"/>
      <c r="Q43" s="408"/>
      <c r="R43" s="412" t="s">
        <v>93</v>
      </c>
      <c r="S43" s="431"/>
      <c r="T43" s="413"/>
      <c r="U43" s="35">
        <v>30</v>
      </c>
      <c r="V43" s="36">
        <v>0.1</v>
      </c>
      <c r="W43" s="35">
        <v>20</v>
      </c>
      <c r="X43" s="37">
        <f>W43*U43</f>
        <v>600</v>
      </c>
      <c r="Y43" s="4">
        <v>400</v>
      </c>
      <c r="Z43" s="414" t="s">
        <v>92</v>
      </c>
      <c r="AA43" s="408"/>
    </row>
    <row r="44" spans="1:27" ht="14.25">
      <c r="A44" s="67"/>
      <c r="M44" s="25"/>
      <c r="N44" s="24">
        <v>2</v>
      </c>
      <c r="O44" s="407"/>
      <c r="P44" s="415"/>
      <c r="Q44" s="408"/>
      <c r="R44" s="407"/>
      <c r="S44" s="415"/>
      <c r="T44" s="408"/>
      <c r="U44" s="4"/>
      <c r="V44" s="14"/>
      <c r="W44" s="4"/>
      <c r="X44" s="37">
        <f>W44*U44</f>
        <v>0</v>
      </c>
      <c r="Y44" s="4"/>
      <c r="Z44" s="407"/>
      <c r="AA44" s="408"/>
    </row>
    <row r="45" spans="1:27" ht="14.25">
      <c r="A45" s="18"/>
      <c r="B45" s="49" t="s">
        <v>47</v>
      </c>
      <c r="C45" s="432" t="s">
        <v>12</v>
      </c>
      <c r="D45" s="415"/>
      <c r="E45" s="408"/>
      <c r="F45" s="49" t="s">
        <v>46</v>
      </c>
      <c r="G45" s="49" t="s">
        <v>48</v>
      </c>
      <c r="H45" s="49" t="s">
        <v>49</v>
      </c>
      <c r="I45" s="8" t="s">
        <v>13</v>
      </c>
      <c r="J45" s="424" t="s">
        <v>51</v>
      </c>
      <c r="K45" s="408"/>
      <c r="M45" s="25"/>
      <c r="N45" s="24">
        <v>3</v>
      </c>
      <c r="O45" s="407"/>
      <c r="P45" s="415"/>
      <c r="Q45" s="408"/>
      <c r="R45" s="407"/>
      <c r="S45" s="415"/>
      <c r="T45" s="408"/>
      <c r="U45" s="4"/>
      <c r="V45" s="14"/>
      <c r="W45" s="4"/>
      <c r="X45" s="37">
        <f>W45*U45</f>
        <v>0</v>
      </c>
      <c r="Y45" s="4"/>
      <c r="Z45" s="407"/>
      <c r="AA45" s="408"/>
    </row>
    <row r="46" spans="1:27" ht="14.25">
      <c r="A46" s="52" t="s">
        <v>36</v>
      </c>
      <c r="B46" s="6">
        <v>1</v>
      </c>
      <c r="C46" s="414" t="s">
        <v>82</v>
      </c>
      <c r="D46" s="415"/>
      <c r="E46" s="408"/>
      <c r="F46" s="4">
        <v>15</v>
      </c>
      <c r="G46" s="4">
        <v>1200</v>
      </c>
      <c r="H46" s="4">
        <v>80</v>
      </c>
      <c r="I46" s="4">
        <v>5</v>
      </c>
      <c r="J46" s="414" t="s">
        <v>83</v>
      </c>
      <c r="K46" s="408"/>
      <c r="M46" s="25"/>
      <c r="N46" s="24">
        <v>4</v>
      </c>
      <c r="O46" s="407"/>
      <c r="P46" s="415"/>
      <c r="Q46" s="408"/>
      <c r="R46" s="407"/>
      <c r="S46" s="415"/>
      <c r="T46" s="408"/>
      <c r="U46" s="4"/>
      <c r="V46" s="14"/>
      <c r="W46" s="4"/>
      <c r="X46" s="37">
        <f>W46*U46</f>
        <v>0</v>
      </c>
      <c r="Y46" s="4"/>
      <c r="Z46" s="407"/>
      <c r="AA46" s="408"/>
    </row>
    <row r="47" spans="1:27" ht="14.25">
      <c r="A47" s="23"/>
      <c r="B47" s="6">
        <v>2</v>
      </c>
      <c r="C47" s="407"/>
      <c r="D47" s="415"/>
      <c r="E47" s="408"/>
      <c r="F47" s="4"/>
      <c r="G47" s="4"/>
      <c r="H47" s="4"/>
      <c r="I47" s="4"/>
      <c r="J47" s="407"/>
      <c r="K47" s="408"/>
      <c r="M47" s="25"/>
      <c r="N47" s="29">
        <v>5</v>
      </c>
      <c r="O47" s="407"/>
      <c r="P47" s="415"/>
      <c r="Q47" s="408"/>
      <c r="R47" s="407"/>
      <c r="S47" s="415"/>
      <c r="T47" s="408"/>
      <c r="U47" s="27"/>
      <c r="V47" s="30"/>
      <c r="W47" s="27"/>
      <c r="X47" s="40">
        <f>W47*U47</f>
        <v>0</v>
      </c>
      <c r="Y47" s="4"/>
      <c r="Z47" s="407"/>
      <c r="AA47" s="408"/>
    </row>
    <row r="48" spans="1:27" ht="14.25">
      <c r="A48" s="23"/>
      <c r="B48" s="6">
        <v>3</v>
      </c>
      <c r="C48" s="407"/>
      <c r="D48" s="415"/>
      <c r="E48" s="408"/>
      <c r="F48" s="4"/>
      <c r="G48" s="4"/>
      <c r="H48" s="4"/>
      <c r="I48" s="4"/>
      <c r="J48" s="407"/>
      <c r="K48" s="408"/>
      <c r="M48" s="68"/>
      <c r="N48" s="45"/>
      <c r="O48" s="411"/>
      <c r="P48" s="415"/>
      <c r="Q48" s="415"/>
      <c r="R48" s="411"/>
      <c r="S48" s="415"/>
      <c r="T48" s="415"/>
      <c r="U48" s="59" t="s">
        <v>58</v>
      </c>
      <c r="V48" s="33">
        <f>X48/N19</f>
        <v>0.13333333333333333</v>
      </c>
      <c r="W48" s="59" t="s">
        <v>59</v>
      </c>
      <c r="X48" s="34">
        <f>SUM(X43:X47)</f>
        <v>600</v>
      </c>
      <c r="Y48" s="45"/>
      <c r="Z48" s="411"/>
      <c r="AA48" s="408"/>
    </row>
    <row r="49" spans="1:27" ht="14.25">
      <c r="A49" s="23"/>
      <c r="B49" s="6">
        <v>4</v>
      </c>
      <c r="C49" s="407"/>
      <c r="D49" s="415"/>
      <c r="E49" s="408"/>
      <c r="F49" s="4"/>
      <c r="G49" s="4"/>
      <c r="H49" s="4"/>
      <c r="I49" s="4"/>
      <c r="J49" s="407"/>
      <c r="K49" s="408"/>
      <c r="M49" s="1"/>
      <c r="N49" s="1"/>
      <c r="O49" s="1"/>
      <c r="P49" s="1"/>
      <c r="Q49" s="1"/>
      <c r="R49" s="1"/>
      <c r="S49" s="1"/>
      <c r="T49" s="1"/>
      <c r="U49" s="1"/>
      <c r="V49" s="38"/>
      <c r="W49" s="1"/>
      <c r="X49" s="1"/>
      <c r="Y49" s="1"/>
      <c r="Z49" s="1"/>
      <c r="AA49" s="1"/>
    </row>
    <row r="50" spans="1:27" ht="14.25">
      <c r="A50" s="23"/>
      <c r="B50" s="26">
        <v>5</v>
      </c>
      <c r="C50" s="409"/>
      <c r="D50" s="416"/>
      <c r="E50" s="410"/>
      <c r="F50" s="27"/>
      <c r="G50" s="27"/>
      <c r="H50" s="27"/>
      <c r="I50" s="27"/>
      <c r="J50" s="409"/>
      <c r="K50" s="410"/>
      <c r="M50" s="64" t="s">
        <v>17</v>
      </c>
      <c r="N50" s="66"/>
      <c r="O50" s="66"/>
      <c r="P50" s="66"/>
      <c r="Q50" s="66"/>
      <c r="R50" s="66"/>
      <c r="S50" s="66"/>
      <c r="T50" s="66"/>
      <c r="U50" s="66"/>
      <c r="V50" s="65"/>
      <c r="W50" s="66"/>
      <c r="X50" s="66"/>
      <c r="Y50" s="66"/>
      <c r="Z50" s="66"/>
      <c r="AA50" s="66"/>
    </row>
    <row r="51" spans="1:27" ht="14.25">
      <c r="A51" s="23"/>
      <c r="B51" s="69" t="s">
        <v>101</v>
      </c>
      <c r="C51" s="417" t="s">
        <v>89</v>
      </c>
      <c r="D51" s="418"/>
      <c r="E51" s="419"/>
      <c r="F51" s="28">
        <v>18</v>
      </c>
      <c r="G51" s="28">
        <v>800</v>
      </c>
      <c r="H51" s="28">
        <v>44.44</v>
      </c>
      <c r="I51" s="28">
        <v>-15</v>
      </c>
      <c r="J51" s="417" t="s">
        <v>84</v>
      </c>
      <c r="K51" s="419"/>
      <c r="M51" s="8"/>
      <c r="N51" s="8" t="s">
        <v>18</v>
      </c>
      <c r="O51" s="420" t="s">
        <v>12</v>
      </c>
      <c r="P51" s="411"/>
      <c r="Q51" s="421"/>
      <c r="R51" s="426" t="s">
        <v>53</v>
      </c>
      <c r="S51" s="427"/>
      <c r="T51" s="428"/>
      <c r="U51" s="57" t="s">
        <v>54</v>
      </c>
      <c r="V51" s="39" t="s">
        <v>19</v>
      </c>
      <c r="W51" s="57" t="s">
        <v>57</v>
      </c>
      <c r="X51" s="8" t="s">
        <v>2</v>
      </c>
      <c r="Y51" s="420" t="s">
        <v>50</v>
      </c>
      <c r="Z51" s="411"/>
      <c r="AA51" s="421"/>
    </row>
    <row r="52" spans="1:27" ht="14.25">
      <c r="A52" s="23"/>
      <c r="B52" s="70" t="s">
        <v>102</v>
      </c>
      <c r="C52" s="407"/>
      <c r="D52" s="415"/>
      <c r="E52" s="408"/>
      <c r="F52" s="4"/>
      <c r="G52" s="4"/>
      <c r="H52" s="4"/>
      <c r="I52" s="4"/>
      <c r="J52" s="407"/>
      <c r="K52" s="408"/>
      <c r="M52" s="56" t="s">
        <v>42</v>
      </c>
      <c r="N52" s="24">
        <v>1</v>
      </c>
      <c r="O52" s="414" t="s">
        <v>89</v>
      </c>
      <c r="P52" s="415"/>
      <c r="Q52" s="408"/>
      <c r="R52" s="412" t="s">
        <v>93</v>
      </c>
      <c r="S52" s="431"/>
      <c r="T52" s="413"/>
      <c r="U52" s="4">
        <v>30</v>
      </c>
      <c r="V52" s="14">
        <v>0.62</v>
      </c>
      <c r="W52" s="14">
        <v>0.57999999999999996</v>
      </c>
      <c r="X52" s="13">
        <f>W52-V52</f>
        <v>-4.0000000000000036E-2</v>
      </c>
      <c r="Y52" s="414" t="s">
        <v>97</v>
      </c>
      <c r="Z52" s="415"/>
      <c r="AA52" s="408"/>
    </row>
    <row r="53" spans="1:27" ht="14.25">
      <c r="A53" s="23"/>
      <c r="B53" s="70" t="s">
        <v>100</v>
      </c>
      <c r="C53" s="407"/>
      <c r="D53" s="415"/>
      <c r="E53" s="408"/>
      <c r="F53" s="4"/>
      <c r="G53" s="4"/>
      <c r="H53" s="4"/>
      <c r="I53" s="4"/>
      <c r="J53" s="407"/>
      <c r="K53" s="408"/>
      <c r="M53" s="25"/>
      <c r="N53" s="29">
        <v>2</v>
      </c>
      <c r="O53" s="409"/>
      <c r="P53" s="416"/>
      <c r="Q53" s="410"/>
      <c r="R53" s="409"/>
      <c r="S53" s="416"/>
      <c r="T53" s="410"/>
      <c r="U53" s="27"/>
      <c r="V53" s="30"/>
      <c r="W53" s="30"/>
      <c r="X53" s="41">
        <f>W53-V53</f>
        <v>0</v>
      </c>
      <c r="Y53" s="409"/>
      <c r="Z53" s="416"/>
      <c r="AA53" s="410"/>
    </row>
    <row r="54" spans="1:27" ht="14.25">
      <c r="A54" s="23"/>
      <c r="B54" s="70" t="s">
        <v>99</v>
      </c>
      <c r="C54" s="407"/>
      <c r="D54" s="415"/>
      <c r="E54" s="408"/>
      <c r="F54" s="4"/>
      <c r="G54" s="4"/>
      <c r="H54" s="4"/>
      <c r="I54" s="4"/>
      <c r="J54" s="407"/>
      <c r="K54" s="408"/>
      <c r="M54" s="56" t="s">
        <v>43</v>
      </c>
      <c r="N54" s="42">
        <v>1</v>
      </c>
      <c r="O54" s="417" t="s">
        <v>94</v>
      </c>
      <c r="P54" s="418"/>
      <c r="Q54" s="419"/>
      <c r="R54" s="417" t="s">
        <v>95</v>
      </c>
      <c r="S54" s="418"/>
      <c r="T54" s="419"/>
      <c r="U54" s="28">
        <v>20</v>
      </c>
      <c r="V54" s="43">
        <v>0.9</v>
      </c>
      <c r="W54" s="43">
        <v>0.82</v>
      </c>
      <c r="X54" s="44">
        <f>W54-V54</f>
        <v>-8.0000000000000071E-2</v>
      </c>
      <c r="Y54" s="417" t="s">
        <v>96</v>
      </c>
      <c r="Z54" s="418"/>
      <c r="AA54" s="419"/>
    </row>
    <row r="55" spans="1:27" ht="14.25">
      <c r="A55" s="20"/>
      <c r="B55" s="70" t="s">
        <v>103</v>
      </c>
      <c r="C55" s="407"/>
      <c r="D55" s="415"/>
      <c r="E55" s="408"/>
      <c r="F55" s="4"/>
      <c r="G55" s="4"/>
      <c r="H55" s="4"/>
      <c r="I55" s="4"/>
      <c r="J55" s="407"/>
      <c r="K55" s="408"/>
      <c r="M55" s="22"/>
      <c r="N55" s="24">
        <v>2</v>
      </c>
      <c r="O55" s="407"/>
      <c r="P55" s="415"/>
      <c r="Q55" s="408"/>
      <c r="R55" s="407"/>
      <c r="S55" s="415"/>
      <c r="T55" s="408"/>
      <c r="U55" s="4"/>
      <c r="V55" s="14"/>
      <c r="W55" s="14"/>
      <c r="X55" s="13">
        <f>W55-V55</f>
        <v>0</v>
      </c>
      <c r="Y55" s="407"/>
      <c r="Z55" s="415"/>
      <c r="AA55" s="408"/>
    </row>
  </sheetData>
  <mergeCells count="162">
    <mergeCell ref="C29:E29"/>
    <mergeCell ref="C30:E30"/>
    <mergeCell ref="C31:E31"/>
    <mergeCell ref="C33:E33"/>
    <mergeCell ref="Z37:AA37"/>
    <mergeCell ref="Z38:AA38"/>
    <mergeCell ref="Z39:AA39"/>
    <mergeCell ref="Z40:AA40"/>
    <mergeCell ref="Z41:AA41"/>
    <mergeCell ref="J38:K38"/>
    <mergeCell ref="J39:K39"/>
    <mergeCell ref="O39:Q39"/>
    <mergeCell ref="R39:T39"/>
    <mergeCell ref="O40:Q40"/>
    <mergeCell ref="R40:T40"/>
    <mergeCell ref="R41:T41"/>
    <mergeCell ref="O41:Q41"/>
    <mergeCell ref="O36:Q36"/>
    <mergeCell ref="O37:Q37"/>
    <mergeCell ref="R37:T37"/>
    <mergeCell ref="O38:Q38"/>
    <mergeCell ref="R38:T38"/>
    <mergeCell ref="O34:Q34"/>
    <mergeCell ref="R34:T34"/>
    <mergeCell ref="J26:K26"/>
    <mergeCell ref="O25:Q25"/>
    <mergeCell ref="O26:Q26"/>
    <mergeCell ref="R26:T26"/>
    <mergeCell ref="O27:Q27"/>
    <mergeCell ref="R27:T27"/>
    <mergeCell ref="O28:Q28"/>
    <mergeCell ref="R28:T28"/>
    <mergeCell ref="C26:E26"/>
    <mergeCell ref="C27:E27"/>
    <mergeCell ref="C28:E28"/>
    <mergeCell ref="O24:Q24"/>
    <mergeCell ref="R24:T24"/>
    <mergeCell ref="Z24:AA24"/>
    <mergeCell ref="R25:T25"/>
    <mergeCell ref="Z25:AA25"/>
    <mergeCell ref="J22:K22"/>
    <mergeCell ref="J23:K23"/>
    <mergeCell ref="C24:E24"/>
    <mergeCell ref="J24:K24"/>
    <mergeCell ref="C25:E25"/>
    <mergeCell ref="J25:K25"/>
    <mergeCell ref="C21:E21"/>
    <mergeCell ref="J21:K21"/>
    <mergeCell ref="C22:E22"/>
    <mergeCell ref="O22:Q22"/>
    <mergeCell ref="R22:T22"/>
    <mergeCell ref="Z22:AA22"/>
    <mergeCell ref="C23:E23"/>
    <mergeCell ref="Z23:AA23"/>
    <mergeCell ref="O23:Q23"/>
    <mergeCell ref="R23:T23"/>
    <mergeCell ref="O46:Q46"/>
    <mergeCell ref="R46:T46"/>
    <mergeCell ref="O47:Q47"/>
    <mergeCell ref="R47:T47"/>
    <mergeCell ref="R48:T48"/>
    <mergeCell ref="O54:Q54"/>
    <mergeCell ref="R54:T54"/>
    <mergeCell ref="O55:Q55"/>
    <mergeCell ref="R55:T55"/>
    <mergeCell ref="O48:Q48"/>
    <mergeCell ref="O51:Q51"/>
    <mergeCell ref="R51:T51"/>
    <mergeCell ref="O52:Q52"/>
    <mergeCell ref="R52:T52"/>
    <mergeCell ref="O53:Q53"/>
    <mergeCell ref="R53:T53"/>
    <mergeCell ref="O42:Q42"/>
    <mergeCell ref="R42:T42"/>
    <mergeCell ref="O43:Q43"/>
    <mergeCell ref="R43:T43"/>
    <mergeCell ref="O44:Q44"/>
    <mergeCell ref="R44:T44"/>
    <mergeCell ref="O45:Q45"/>
    <mergeCell ref="R45:T45"/>
    <mergeCell ref="C55:E55"/>
    <mergeCell ref="C43:E43"/>
    <mergeCell ref="C45:E45"/>
    <mergeCell ref="C46:E46"/>
    <mergeCell ref="C47:E47"/>
    <mergeCell ref="C48:E48"/>
    <mergeCell ref="C49:E49"/>
    <mergeCell ref="C50:E50"/>
    <mergeCell ref="J52:K52"/>
    <mergeCell ref="J53:K53"/>
    <mergeCell ref="J54:K54"/>
    <mergeCell ref="J55:K55"/>
    <mergeCell ref="J45:K45"/>
    <mergeCell ref="J46:K46"/>
    <mergeCell ref="J47:K47"/>
    <mergeCell ref="J48:K48"/>
    <mergeCell ref="C52:E52"/>
    <mergeCell ref="C53:E53"/>
    <mergeCell ref="C54:E54"/>
    <mergeCell ref="C34:E34"/>
    <mergeCell ref="C35:E35"/>
    <mergeCell ref="C36:E36"/>
    <mergeCell ref="C37:E37"/>
    <mergeCell ref="J37:K37"/>
    <mergeCell ref="C38:E38"/>
    <mergeCell ref="C39:E39"/>
    <mergeCell ref="C40:E40"/>
    <mergeCell ref="J40:K40"/>
    <mergeCell ref="J49:K49"/>
    <mergeCell ref="J50:K50"/>
    <mergeCell ref="J51:K51"/>
    <mergeCell ref="C41:E41"/>
    <mergeCell ref="J41:K41"/>
    <mergeCell ref="C42:E42"/>
    <mergeCell ref="J42:K42"/>
    <mergeCell ref="J43:K43"/>
    <mergeCell ref="C51:E51"/>
    <mergeCell ref="O35:Q35"/>
    <mergeCell ref="R35:T35"/>
    <mergeCell ref="R36:T36"/>
    <mergeCell ref="J35:K35"/>
    <mergeCell ref="J36:K36"/>
    <mergeCell ref="J27:K27"/>
    <mergeCell ref="J28:K28"/>
    <mergeCell ref="J29:K29"/>
    <mergeCell ref="J30:K30"/>
    <mergeCell ref="J31:K31"/>
    <mergeCell ref="J33:K33"/>
    <mergeCell ref="J34:K34"/>
    <mergeCell ref="O32:Q32"/>
    <mergeCell ref="O33:Q33"/>
    <mergeCell ref="O29:Q29"/>
    <mergeCell ref="R29:T29"/>
    <mergeCell ref="O30:Q30"/>
    <mergeCell ref="R30:T30"/>
    <mergeCell ref="O31:Q31"/>
    <mergeCell ref="R31:T31"/>
    <mergeCell ref="R32:T32"/>
    <mergeCell ref="R33:T33"/>
    <mergeCell ref="Y54:AA54"/>
    <mergeCell ref="Y55:AA55"/>
    <mergeCell ref="Z33:AA33"/>
    <mergeCell ref="Z34:AA34"/>
    <mergeCell ref="Z45:AA45"/>
    <mergeCell ref="Z46:AA46"/>
    <mergeCell ref="Z47:AA47"/>
    <mergeCell ref="Z48:AA48"/>
    <mergeCell ref="Y51:AA51"/>
    <mergeCell ref="Y35:AA35"/>
    <mergeCell ref="Z36:AA36"/>
    <mergeCell ref="Z42:AA42"/>
    <mergeCell ref="Z43:AA43"/>
    <mergeCell ref="Z44:AA44"/>
    <mergeCell ref="Z26:AA26"/>
    <mergeCell ref="Z27:AA27"/>
    <mergeCell ref="Z28:AA28"/>
    <mergeCell ref="Z29:AA29"/>
    <mergeCell ref="Z30:AA30"/>
    <mergeCell ref="Z31:AA31"/>
    <mergeCell ref="Z32:AA32"/>
    <mergeCell ref="Y52:AA52"/>
    <mergeCell ref="Y53:AA53"/>
  </mergeCells>
  <phoneticPr fontId="8"/>
  <printOptions horizontalCentered="1" gridLines="1"/>
  <pageMargins left="0.7" right="0.7" top="0.75" bottom="0.75" header="0" footer="0"/>
  <pageSetup paperSize="9" fitToHeight="0" pageOrder="overThenDown" orientation="landscape" cellComments="atEnd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  <outlinePr summaryBelow="0" summaryRight="0"/>
  </sheetPr>
  <dimension ref="A1:U38"/>
  <sheetViews>
    <sheetView tabSelected="1" topLeftCell="A3" zoomScale="90" zoomScaleNormal="90" zoomScaleSheetLayoutView="115" workbookViewId="0">
      <selection activeCell="B28" sqref="B28:B36"/>
    </sheetView>
  </sheetViews>
  <sheetFormatPr defaultColWidth="12.5703125" defaultRowHeight="15.75" customHeight="1"/>
  <cols>
    <col min="1" max="1" width="27.42578125" style="115" bestFit="1" customWidth="1"/>
    <col min="2" max="2" width="12.5703125" style="115" customWidth="1"/>
    <col min="3" max="4" width="12.5703125" style="115"/>
    <col min="5" max="5" width="16.42578125" style="115" customWidth="1"/>
    <col min="6" max="6" width="2.42578125" style="115" customWidth="1"/>
    <col min="7" max="7" width="24.85546875" style="115" bestFit="1" customWidth="1"/>
    <col min="8" max="10" width="12.5703125" style="115"/>
    <col min="11" max="11" width="16.42578125" style="115" customWidth="1"/>
    <col min="12" max="12" width="12.5703125" style="116"/>
    <col min="13" max="16384" width="12.5703125" style="115"/>
  </cols>
  <sheetData>
    <row r="1" spans="1:12" ht="15.75" customHeight="1">
      <c r="A1" s="405" t="s">
        <v>394</v>
      </c>
      <c r="B1" s="405"/>
      <c r="C1" s="405"/>
      <c r="D1" s="405"/>
      <c r="E1" s="405"/>
      <c r="F1" s="405"/>
      <c r="G1" s="405"/>
      <c r="H1" s="405"/>
      <c r="I1" s="405"/>
      <c r="J1" s="405"/>
      <c r="K1" s="405"/>
      <c r="L1" s="115"/>
    </row>
    <row r="2" spans="1:12" s="116" customFormat="1" ht="15.75" customHeight="1">
      <c r="A2" s="405"/>
      <c r="B2" s="405"/>
      <c r="C2" s="405"/>
      <c r="D2" s="405"/>
      <c r="E2" s="405"/>
      <c r="F2" s="405"/>
      <c r="G2" s="405"/>
      <c r="H2" s="405"/>
      <c r="I2" s="405"/>
      <c r="J2" s="405"/>
      <c r="K2" s="405"/>
    </row>
    <row r="3" spans="1:12" ht="21.6" customHeight="1">
      <c r="A3" s="130" t="s">
        <v>321</v>
      </c>
      <c r="B3" s="131">
        <v>2</v>
      </c>
      <c r="C3" s="130" t="s">
        <v>20</v>
      </c>
      <c r="D3" s="406" t="s">
        <v>393</v>
      </c>
      <c r="E3" s="406"/>
      <c r="F3" s="116"/>
      <c r="G3" s="125"/>
      <c r="H3" s="116"/>
      <c r="I3" s="116"/>
      <c r="J3" s="116"/>
      <c r="K3" s="116"/>
    </row>
    <row r="4" spans="1:12" ht="15.75" customHeight="1">
      <c r="A4" s="126" t="s">
        <v>193</v>
      </c>
      <c r="E4" s="118" t="s">
        <v>23</v>
      </c>
      <c r="G4" s="127" t="s">
        <v>125</v>
      </c>
      <c r="L4" s="115"/>
    </row>
    <row r="5" spans="1:12" s="120" customFormat="1" ht="15.75" customHeight="1">
      <c r="A5" s="137" t="s">
        <v>195</v>
      </c>
      <c r="B5" s="132" t="s">
        <v>22</v>
      </c>
      <c r="C5" s="132" t="s">
        <v>1</v>
      </c>
      <c r="D5" s="132" t="s">
        <v>2</v>
      </c>
      <c r="E5" s="132" t="s">
        <v>3</v>
      </c>
      <c r="G5" s="137" t="s">
        <v>195</v>
      </c>
      <c r="H5" s="132" t="s">
        <v>69</v>
      </c>
      <c r="I5" s="132" t="s">
        <v>22</v>
      </c>
      <c r="J5" s="132" t="s">
        <v>67</v>
      </c>
      <c r="K5" s="132" t="s">
        <v>3</v>
      </c>
      <c r="L5" s="121" t="s">
        <v>60</v>
      </c>
    </row>
    <row r="6" spans="1:12" ht="18" customHeight="1">
      <c r="A6" s="123" t="s">
        <v>24</v>
      </c>
      <c r="B6" s="133">
        <f>'（１）收支狀況'!H9/1000</f>
        <v>192546.05300000001</v>
      </c>
      <c r="C6" s="245">
        <v>204598.72399999999</v>
      </c>
      <c r="D6" s="133">
        <f t="shared" ref="D6:D11" si="0">B6-C6</f>
        <v>-12052.670999999973</v>
      </c>
      <c r="E6" s="401">
        <f>B6+C6</f>
        <v>397144.777</v>
      </c>
      <c r="G6" s="123" t="s">
        <v>196</v>
      </c>
      <c r="H6" s="248">
        <v>366</v>
      </c>
      <c r="I6" s="135">
        <f>'（２）ＫＰＩ達成進度'!H9</f>
        <v>348.55662461829377</v>
      </c>
      <c r="J6" s="250">
        <v>325.42302479491974</v>
      </c>
      <c r="K6" s="403">
        <f>(I6+J6)/2</f>
        <v>336.98982470660678</v>
      </c>
      <c r="L6" s="117" t="s">
        <v>192</v>
      </c>
    </row>
    <row r="7" spans="1:12" ht="18" customHeight="1">
      <c r="A7" s="123" t="s">
        <v>25</v>
      </c>
      <c r="B7" s="133">
        <f>'（１）收支狀況'!K9</f>
        <v>5860836</v>
      </c>
      <c r="C7" s="245">
        <v>6333014</v>
      </c>
      <c r="D7" s="133">
        <f t="shared" si="0"/>
        <v>-472178</v>
      </c>
      <c r="E7" s="401">
        <f>B7+C7</f>
        <v>12193850</v>
      </c>
      <c r="G7" s="123" t="s">
        <v>197</v>
      </c>
      <c r="H7" s="226">
        <v>0.8</v>
      </c>
      <c r="I7" s="134">
        <f>'（２）ＫＰＩ達成進度'!K9</f>
        <v>0.88885113746012978</v>
      </c>
      <c r="J7" s="246">
        <v>0.88947795387430384</v>
      </c>
      <c r="K7" s="402">
        <f>(I7+J7)/2</f>
        <v>0.88916454566721681</v>
      </c>
      <c r="L7" s="117" t="s">
        <v>4</v>
      </c>
    </row>
    <row r="8" spans="1:12" ht="18" customHeight="1">
      <c r="A8" s="123" t="s">
        <v>5</v>
      </c>
      <c r="B8" s="133">
        <f>'（１）收支狀況'!N9/1000</f>
        <v>127549.685</v>
      </c>
      <c r="C8" s="245">
        <v>138760.36300000001</v>
      </c>
      <c r="D8" s="133">
        <f>B8-C8</f>
        <v>-11210.678000000014</v>
      </c>
      <c r="E8" s="401">
        <f>B8+C8</f>
        <v>266310.04800000001</v>
      </c>
      <c r="G8" s="123" t="s">
        <v>198</v>
      </c>
      <c r="H8" s="221">
        <v>2.5000000000000001E-3</v>
      </c>
      <c r="I8" s="221">
        <f>'（２）ＫＰＩ達成進度'!N9</f>
        <v>2.4352109892720377E-3</v>
      </c>
      <c r="J8" s="251">
        <v>2.4547774366926165E-3</v>
      </c>
      <c r="K8" s="404">
        <f>(I8+J8)/2</f>
        <v>2.4449942129823269E-3</v>
      </c>
      <c r="L8" s="117" t="s">
        <v>55</v>
      </c>
    </row>
    <row r="9" spans="1:12" ht="18" customHeight="1">
      <c r="A9" s="123" t="s">
        <v>6</v>
      </c>
      <c r="B9" s="134">
        <f>'（１）收支狀況'!Q9</f>
        <v>0.66243728714605232</v>
      </c>
      <c r="C9" s="246">
        <v>0.67820737239788453</v>
      </c>
      <c r="D9" s="134">
        <f t="shared" si="0"/>
        <v>-1.5770085251832211E-2</v>
      </c>
      <c r="E9" s="402">
        <f>E8/E6</f>
        <v>0.67056162745406067</v>
      </c>
      <c r="G9" s="123" t="s">
        <v>199</v>
      </c>
      <c r="H9" s="221">
        <v>2.5999999999999999E-3</v>
      </c>
      <c r="I9" s="221">
        <f>'（２）ＫＰＩ達成進度'!Q9</f>
        <v>1.9856446031897793E-3</v>
      </c>
      <c r="J9" s="251">
        <v>2.234630637964113E-3</v>
      </c>
      <c r="K9" s="404">
        <f>(I9+J9)/2</f>
        <v>2.1101376205769464E-3</v>
      </c>
      <c r="L9" s="117" t="s">
        <v>98</v>
      </c>
    </row>
    <row r="10" spans="1:12" ht="18" customHeight="1">
      <c r="A10" s="123" t="s">
        <v>64</v>
      </c>
      <c r="B10" s="133">
        <f>'（１）收支狀況'!T9/1000</f>
        <v>30046.480786666682</v>
      </c>
      <c r="C10" s="245">
        <v>30102.781930346478</v>
      </c>
      <c r="D10" s="133">
        <f t="shared" si="0"/>
        <v>-56.301143679796951</v>
      </c>
      <c r="E10" s="401">
        <f>B10+C10</f>
        <v>60149.26271701316</v>
      </c>
      <c r="G10" s="123" t="s">
        <v>200</v>
      </c>
      <c r="H10" s="223">
        <v>0.8</v>
      </c>
      <c r="I10" s="223">
        <f>'（２）ＫＰＩ達成進度'!T9</f>
        <v>0.91666666666666696</v>
      </c>
      <c r="J10" s="252">
        <v>0.91666666666666707</v>
      </c>
      <c r="K10" s="223"/>
      <c r="L10" s="117" t="s">
        <v>7</v>
      </c>
    </row>
    <row r="11" spans="1:12" ht="18" customHeight="1">
      <c r="A11" s="123" t="s">
        <v>65</v>
      </c>
      <c r="B11" s="134">
        <f>'（１）收支狀況'!W9</f>
        <v>0.15604828205264057</v>
      </c>
      <c r="C11" s="246">
        <v>0.14713083904837293</v>
      </c>
      <c r="D11" s="134">
        <f t="shared" si="0"/>
        <v>8.9174430042676389E-3</v>
      </c>
      <c r="E11" s="402">
        <f>E10/E6</f>
        <v>0.15145424590844653</v>
      </c>
      <c r="G11" s="123" t="s">
        <v>201</v>
      </c>
      <c r="H11" s="223">
        <v>1</v>
      </c>
      <c r="I11" s="134">
        <f>'（２）ＫＰＩ達成進度'!W9</f>
        <v>0.11421428571428573</v>
      </c>
      <c r="J11" s="246">
        <v>4.1290322580645168E-2</v>
      </c>
      <c r="K11" s="134"/>
      <c r="L11" s="117" t="s">
        <v>62</v>
      </c>
    </row>
    <row r="12" spans="1:12" ht="9.6" customHeight="1">
      <c r="L12" s="115"/>
    </row>
    <row r="13" spans="1:12" ht="15.75" customHeight="1">
      <c r="A13" s="126" t="s">
        <v>32</v>
      </c>
      <c r="G13" s="126" t="s">
        <v>147</v>
      </c>
      <c r="L13" s="115"/>
    </row>
    <row r="14" spans="1:12" s="122" customFormat="1" ht="14.25">
      <c r="A14" s="136"/>
      <c r="B14" s="136" t="s">
        <v>22</v>
      </c>
      <c r="C14" s="136" t="s">
        <v>66</v>
      </c>
      <c r="D14" s="136" t="s">
        <v>67</v>
      </c>
      <c r="E14" s="136" t="s">
        <v>68</v>
      </c>
      <c r="G14" s="136"/>
      <c r="H14" s="136" t="s">
        <v>22</v>
      </c>
      <c r="I14" s="136" t="s">
        <v>66</v>
      </c>
      <c r="J14" s="136" t="s">
        <v>67</v>
      </c>
      <c r="K14" s="136" t="s">
        <v>68</v>
      </c>
    </row>
    <row r="15" spans="1:12" ht="18" customHeight="1">
      <c r="A15" s="123" t="s">
        <v>575</v>
      </c>
      <c r="B15" s="133">
        <f>'（３）業績構成比'!M46/1000</f>
        <v>32243.965426878331</v>
      </c>
      <c r="C15" s="134">
        <f>IFERROR(B15/$B$6,"")</f>
        <v>0.16746105632650038</v>
      </c>
      <c r="D15" s="246">
        <v>0.18698602206552067</v>
      </c>
      <c r="E15" s="134">
        <f>IFERROR(C15-D15,"")</f>
        <v>-1.9524965739020295E-2</v>
      </c>
      <c r="G15" s="123" t="s">
        <v>574</v>
      </c>
      <c r="H15" s="133">
        <f>'（４）訂單數量構成比'!M46</f>
        <v>1709515</v>
      </c>
      <c r="I15" s="134">
        <f t="shared" ref="I15:I23" si="1">IFERROR(H15/$B$7,"")</f>
        <v>0.29168449688747478</v>
      </c>
      <c r="J15" s="246">
        <v>0.31798445416353099</v>
      </c>
      <c r="K15" s="134">
        <f t="shared" ref="K15:K23" si="2">IFERROR(I15-J15,"")</f>
        <v>-2.6299957276056218E-2</v>
      </c>
      <c r="L15" s="115"/>
    </row>
    <row r="16" spans="1:12" ht="18" customHeight="1">
      <c r="A16" s="123" t="s">
        <v>220</v>
      </c>
      <c r="B16" s="133">
        <f>'（３）業績構成比'!S46/1000</f>
        <v>5717.0660033993245</v>
      </c>
      <c r="C16" s="134">
        <f t="shared" ref="C16:C23" si="3">IFERROR(B16/$B$6,"")</f>
        <v>2.9691940781561094E-2</v>
      </c>
      <c r="D16" s="246">
        <v>2.8608731590487959E-2</v>
      </c>
      <c r="E16" s="134">
        <f t="shared" ref="E16:E23" si="4">IFERROR(C16-D16,"")</f>
        <v>1.0832091910731347E-3</v>
      </c>
      <c r="G16" s="123" t="s">
        <v>247</v>
      </c>
      <c r="H16" s="133">
        <f>'（４）訂單數量構成比'!S47</f>
        <v>219169</v>
      </c>
      <c r="I16" s="134">
        <f t="shared" si="1"/>
        <v>3.7395518318547045E-2</v>
      </c>
      <c r="J16" s="246">
        <v>3.4872495150018619E-2</v>
      </c>
      <c r="K16" s="134">
        <f t="shared" si="2"/>
        <v>2.5230231685284266E-3</v>
      </c>
      <c r="L16" s="115"/>
    </row>
    <row r="17" spans="1:21" ht="18" customHeight="1">
      <c r="A17" s="123" t="s">
        <v>216</v>
      </c>
      <c r="B17" s="133">
        <f>'（３）業績構成比'!U46/1000</f>
        <v>31137.720292669899</v>
      </c>
      <c r="C17" s="134">
        <f t="shared" si="3"/>
        <v>0.16171570285405901</v>
      </c>
      <c r="D17" s="246">
        <v>0.17005072946883293</v>
      </c>
      <c r="E17" s="134">
        <f t="shared" si="4"/>
        <v>-8.3350266147739216E-3</v>
      </c>
      <c r="G17" s="123" t="s">
        <v>229</v>
      </c>
      <c r="H17" s="133">
        <f>'（４）訂單數量構成比'!U46</f>
        <v>943317</v>
      </c>
      <c r="I17" s="134">
        <f t="shared" si="1"/>
        <v>0.16095263542607233</v>
      </c>
      <c r="J17" s="246">
        <v>0.16988672376217706</v>
      </c>
      <c r="K17" s="134">
        <f t="shared" si="2"/>
        <v>-8.9340883361047341E-3</v>
      </c>
      <c r="L17" s="115"/>
    </row>
    <row r="18" spans="1:21" ht="18" customHeight="1">
      <c r="A18" s="123" t="s">
        <v>218</v>
      </c>
      <c r="B18" s="133">
        <f>'（３）業績構成比'!W46/1000</f>
        <v>3062.9921705759402</v>
      </c>
      <c r="C18" s="134">
        <f t="shared" si="3"/>
        <v>1.5907841905104855E-2</v>
      </c>
      <c r="D18" s="246">
        <v>7.8821608632043873E-3</v>
      </c>
      <c r="E18" s="134">
        <f t="shared" si="4"/>
        <v>8.0256810419004673E-3</v>
      </c>
      <c r="G18" s="123" t="s">
        <v>217</v>
      </c>
      <c r="H18" s="133">
        <f>'（４）訂單數量構成比'!W46</f>
        <v>88906</v>
      </c>
      <c r="I18" s="134">
        <f t="shared" si="1"/>
        <v>1.5169508240803872E-2</v>
      </c>
      <c r="J18" s="246">
        <v>8.4681638158387151E-3</v>
      </c>
      <c r="K18" s="134">
        <f t="shared" si="2"/>
        <v>6.7013444249651565E-3</v>
      </c>
      <c r="L18" s="115"/>
    </row>
    <row r="19" spans="1:21" ht="18" customHeight="1">
      <c r="A19" s="123" t="s">
        <v>222</v>
      </c>
      <c r="B19" s="133">
        <f>'（３）業績構成比'!AC46/1000</f>
        <v>53211.94221811834</v>
      </c>
      <c r="C19" s="134">
        <f t="shared" si="3"/>
        <v>0.27635955860449829</v>
      </c>
      <c r="D19" s="246">
        <v>0.27795493808629423</v>
      </c>
      <c r="E19" s="134">
        <f t="shared" si="4"/>
        <v>-1.5953794817959444E-3</v>
      </c>
      <c r="G19" s="123" t="s">
        <v>221</v>
      </c>
      <c r="H19" s="133">
        <f>'（４）訂單數量構成比'!AC46</f>
        <v>1297993</v>
      </c>
      <c r="I19" s="134">
        <f t="shared" si="1"/>
        <v>0.22146891672109575</v>
      </c>
      <c r="J19" s="246">
        <v>0.22194866456950829</v>
      </c>
      <c r="K19" s="134">
        <f t="shared" si="2"/>
        <v>-4.7974784841253726E-4</v>
      </c>
      <c r="L19" s="115"/>
    </row>
    <row r="20" spans="1:21" ht="18" customHeight="1">
      <c r="A20" s="123" t="s">
        <v>224</v>
      </c>
      <c r="B20" s="133">
        <f>'（３）業績構成比'!AE46/1000</f>
        <v>29879.080018094257</v>
      </c>
      <c r="C20" s="134">
        <f t="shared" si="3"/>
        <v>0.15517887566406907</v>
      </c>
      <c r="D20" s="246">
        <v>0.12835791823730655</v>
      </c>
      <c r="E20" s="134">
        <f t="shared" si="4"/>
        <v>2.6820957426762521E-2</v>
      </c>
      <c r="G20" s="123" t="s">
        <v>223</v>
      </c>
      <c r="H20" s="133">
        <f>'（４）訂單數量構成比'!AE46</f>
        <v>544770</v>
      </c>
      <c r="I20" s="134">
        <f t="shared" si="1"/>
        <v>9.2950903249980038E-2</v>
      </c>
      <c r="J20" s="246">
        <v>7.3945517884533338E-2</v>
      </c>
      <c r="K20" s="134">
        <f t="shared" si="2"/>
        <v>1.90053853654467E-2</v>
      </c>
      <c r="L20" s="115"/>
    </row>
    <row r="21" spans="1:21" ht="18" customHeight="1">
      <c r="A21" s="123" t="s">
        <v>225</v>
      </c>
      <c r="B21" s="133">
        <f>'（３）業績構成比'!AG46/1000</f>
        <v>9460.8793722587234</v>
      </c>
      <c r="C21" s="134">
        <f>IFERROR(B21/$B$6,"")</f>
        <v>4.9135670271354369E-2</v>
      </c>
      <c r="D21" s="246">
        <v>7.8128544222803978E-2</v>
      </c>
      <c r="E21" s="134">
        <f>IFERROR(C21-D21,"")</f>
        <v>-2.8992873951449609E-2</v>
      </c>
      <c r="G21" s="123" t="s">
        <v>230</v>
      </c>
      <c r="H21" s="133">
        <f>'（４）訂單數量構成比'!AG46</f>
        <v>195498</v>
      </c>
      <c r="I21" s="134">
        <f>IFERROR(H21/$B$7,"")</f>
        <v>3.335667471330029E-2</v>
      </c>
      <c r="J21" s="246">
        <v>5.076855980422592E-2</v>
      </c>
      <c r="K21" s="134">
        <f>IFERROR(I21-J21,"")</f>
        <v>-1.741188509092563E-2</v>
      </c>
      <c r="L21" s="115"/>
    </row>
    <row r="22" spans="1:21" ht="18" customHeight="1">
      <c r="A22" s="123" t="s">
        <v>226</v>
      </c>
      <c r="B22" s="133">
        <f>'（３）業績構成比'!AI46/1000</f>
        <v>14569.80738854744</v>
      </c>
      <c r="C22" s="134">
        <f t="shared" si="3"/>
        <v>7.5669208283108455E-2</v>
      </c>
      <c r="D22" s="246">
        <v>6.1349255457968127E-2</v>
      </c>
      <c r="E22" s="134">
        <f t="shared" si="4"/>
        <v>1.4319952825140328E-2</v>
      </c>
      <c r="G22" s="123" t="s">
        <v>231</v>
      </c>
      <c r="H22" s="133">
        <f>'（４）訂單數量構成比'!AI46</f>
        <v>393920</v>
      </c>
      <c r="I22" s="134">
        <f t="shared" si="1"/>
        <v>6.7212254360981952E-2</v>
      </c>
      <c r="J22" s="246">
        <v>5.3541173286526765E-2</v>
      </c>
      <c r="K22" s="134">
        <f t="shared" si="2"/>
        <v>1.3671081074455187E-2</v>
      </c>
      <c r="L22" s="115"/>
    </row>
    <row r="23" spans="1:21" ht="18" customHeight="1">
      <c r="A23" s="123" t="s">
        <v>228</v>
      </c>
      <c r="B23" s="133">
        <f>'（３）業績構成比'!AK46/1000</f>
        <v>13262.600109457717</v>
      </c>
      <c r="C23" s="134">
        <f t="shared" si="3"/>
        <v>6.8880145309744234E-2</v>
      </c>
      <c r="D23" s="246">
        <v>6.0681700007581253E-2</v>
      </c>
      <c r="E23" s="134">
        <f t="shared" si="4"/>
        <v>8.1984453021629808E-3</v>
      </c>
      <c r="G23" s="123" t="s">
        <v>227</v>
      </c>
      <c r="H23" s="133">
        <f>'（４）訂單數量構成比'!AK46</f>
        <v>467748</v>
      </c>
      <c r="I23" s="134">
        <f t="shared" si="1"/>
        <v>7.9809092081743971E-2</v>
      </c>
      <c r="J23" s="246">
        <v>6.8584247563640316E-2</v>
      </c>
      <c r="K23" s="134">
        <f t="shared" si="2"/>
        <v>1.1224844518103655E-2</v>
      </c>
      <c r="L23" s="115"/>
    </row>
    <row r="24" spans="1:21" ht="15.75" customHeight="1">
      <c r="C24" s="128">
        <f>SUM(C15:C23)</f>
        <v>0.99999999999999956</v>
      </c>
      <c r="D24" s="128">
        <f>SUM(D15:D23)</f>
        <v>1.0000000000000002</v>
      </c>
      <c r="I24" s="128">
        <f>SUM(I15:I23)</f>
        <v>1</v>
      </c>
      <c r="J24" s="128">
        <f>SUM(J15:J23)</f>
        <v>0.99999999999999989</v>
      </c>
      <c r="L24" s="115"/>
    </row>
    <row r="25" spans="1:21" ht="9.6" customHeight="1">
      <c r="A25" s="129"/>
      <c r="L25" s="115"/>
    </row>
    <row r="26" spans="1:21" ht="15.75" customHeight="1">
      <c r="A26" s="126" t="s">
        <v>194</v>
      </c>
      <c r="L26" s="115"/>
    </row>
    <row r="27" spans="1:21" ht="15.75" customHeight="1">
      <c r="A27" s="123" t="s">
        <v>184</v>
      </c>
      <c r="B27" s="123" t="s">
        <v>22</v>
      </c>
      <c r="C27" s="123" t="s">
        <v>1</v>
      </c>
      <c r="D27" s="123" t="s">
        <v>2</v>
      </c>
      <c r="E27" s="123" t="s">
        <v>3</v>
      </c>
      <c r="L27" s="115"/>
      <c r="M27" s="120" t="s">
        <v>422</v>
      </c>
      <c r="N27" s="120" t="s">
        <v>423</v>
      </c>
      <c r="O27" s="120" t="s">
        <v>424</v>
      </c>
      <c r="P27" s="120" t="s">
        <v>425</v>
      </c>
      <c r="Q27" s="120" t="s">
        <v>426</v>
      </c>
      <c r="R27" s="120" t="s">
        <v>718</v>
      </c>
      <c r="S27" s="120" t="s">
        <v>719</v>
      </c>
    </row>
    <row r="28" spans="1:21" ht="18" customHeight="1">
      <c r="A28" s="123" t="s">
        <v>574</v>
      </c>
      <c r="B28" s="247">
        <f>'（５-1）品群別人時生產性（18℃-飯糰）'!$C$1</f>
        <v>793.91002640854322</v>
      </c>
      <c r="C28" s="263">
        <v>793.68170694178502</v>
      </c>
      <c r="D28" s="216">
        <f t="shared" ref="D28:D36" si="5">B28-C28</f>
        <v>0.22831946675819381</v>
      </c>
      <c r="E28" s="247">
        <f t="shared" ref="E28:E36" si="6">U28</f>
        <v>762.89343291369187</v>
      </c>
      <c r="G28" s="138"/>
      <c r="H28" s="138"/>
      <c r="I28" s="138"/>
      <c r="L28" s="115"/>
      <c r="M28" s="247">
        <v>717.52753492795955</v>
      </c>
      <c r="N28" s="247">
        <f>B28</f>
        <v>793.91002640854322</v>
      </c>
      <c r="O28" s="247">
        <v>756.20246993670457</v>
      </c>
      <c r="P28" s="247">
        <v>760.86067130293975</v>
      </c>
      <c r="Q28" s="247">
        <v>785.96646199231202</v>
      </c>
      <c r="R28" s="247">
        <v>793.68170694178502</v>
      </c>
      <c r="S28" s="247"/>
      <c r="U28" s="253">
        <f t="shared" ref="U28:U36" si="7">AVERAGE(M28:Q28)</f>
        <v>762.89343291369187</v>
      </c>
    </row>
    <row r="29" spans="1:21" ht="18" customHeight="1">
      <c r="A29" s="123" t="s">
        <v>219</v>
      </c>
      <c r="B29" s="247">
        <f>'（５-2）品群別人時生產性（18-壽司手卷)'!$C$1</f>
        <v>188.87834023020704</v>
      </c>
      <c r="C29" s="263">
        <v>171.43329270106761</v>
      </c>
      <c r="D29" s="216">
        <f t="shared" si="5"/>
        <v>17.44504752913943</v>
      </c>
      <c r="E29" s="247">
        <f>U29</f>
        <v>190.36089431931822</v>
      </c>
      <c r="G29" s="139"/>
      <c r="H29" s="139"/>
      <c r="I29" s="139"/>
      <c r="L29" s="115"/>
      <c r="M29" s="247">
        <v>197.63271688630809</v>
      </c>
      <c r="N29" s="247">
        <f t="shared" ref="N29:N36" si="8">B29</f>
        <v>188.87834023020704</v>
      </c>
      <c r="O29" s="247">
        <v>198.82982221081653</v>
      </c>
      <c r="P29" s="247">
        <v>181.47824031686287</v>
      </c>
      <c r="Q29" s="247">
        <v>184.98535195239651</v>
      </c>
      <c r="R29" s="247">
        <v>171.43329270106761</v>
      </c>
      <c r="S29" s="247"/>
      <c r="U29" s="253">
        <f t="shared" si="7"/>
        <v>190.36089431931822</v>
      </c>
    </row>
    <row r="30" spans="1:21" ht="18" customHeight="1">
      <c r="A30" s="123" t="s">
        <v>229</v>
      </c>
      <c r="B30" s="247">
        <f>'（５-3）品群別人時生產性（4℃-飯糰)'!$C$1</f>
        <v>249.81281035213033</v>
      </c>
      <c r="C30" s="263">
        <v>255.36298275117537</v>
      </c>
      <c r="D30" s="216">
        <f t="shared" si="5"/>
        <v>-5.5501723990450387</v>
      </c>
      <c r="E30" s="247">
        <f t="shared" si="6"/>
        <v>258.20350758837765</v>
      </c>
      <c r="L30" s="115"/>
      <c r="M30" s="247">
        <v>240.45857137830325</v>
      </c>
      <c r="N30" s="247">
        <f t="shared" si="8"/>
        <v>249.81281035213033</v>
      </c>
      <c r="O30" s="247">
        <v>253.36933201602551</v>
      </c>
      <c r="P30" s="247">
        <v>278.36245799577375</v>
      </c>
      <c r="Q30" s="247">
        <v>269.01436619965523</v>
      </c>
      <c r="R30" s="247">
        <v>255.36298275117537</v>
      </c>
      <c r="S30" s="247"/>
      <c r="U30" s="253">
        <f t="shared" si="7"/>
        <v>258.20350758837765</v>
      </c>
    </row>
    <row r="31" spans="1:21" ht="18" customHeight="1">
      <c r="A31" s="123" t="s">
        <v>217</v>
      </c>
      <c r="B31" s="247">
        <f>'（５-4）品群別人時生產性（4℃-壽司手卷)'!$C$1</f>
        <v>122.98264299131024</v>
      </c>
      <c r="C31" s="263">
        <v>118.36196777858777</v>
      </c>
      <c r="D31" s="216">
        <f t="shared" si="5"/>
        <v>4.6206752127224746</v>
      </c>
      <c r="E31" s="247">
        <f t="shared" si="6"/>
        <v>114.53285758427634</v>
      </c>
      <c r="L31" s="115"/>
      <c r="M31" s="247">
        <v>106.86512290813759</v>
      </c>
      <c r="N31" s="247">
        <f t="shared" si="8"/>
        <v>122.98264299131024</v>
      </c>
      <c r="O31" s="247">
        <v>112.99131142028241</v>
      </c>
      <c r="P31" s="247">
        <v>115.55878144079566</v>
      </c>
      <c r="Q31" s="247">
        <v>114.26642916085584</v>
      </c>
      <c r="R31" s="247">
        <v>118.36196777858777</v>
      </c>
      <c r="S31" s="247"/>
      <c r="U31" s="253">
        <f t="shared" si="7"/>
        <v>114.53285758427634</v>
      </c>
    </row>
    <row r="32" spans="1:21" ht="18" customHeight="1">
      <c r="A32" s="123" t="s">
        <v>221</v>
      </c>
      <c r="B32" s="247">
        <f>'（５-5）品群別人時生產性(主食) '!$C$1</f>
        <v>82.248071504989312</v>
      </c>
      <c r="C32" s="263">
        <v>82.894643494802764</v>
      </c>
      <c r="D32" s="216">
        <f t="shared" si="5"/>
        <v>-0.64657198981345232</v>
      </c>
      <c r="E32" s="247">
        <f t="shared" si="6"/>
        <v>85.925351695061266</v>
      </c>
      <c r="L32" s="115"/>
      <c r="M32" s="247">
        <v>89.310428404733287</v>
      </c>
      <c r="N32" s="247">
        <f t="shared" si="8"/>
        <v>82.248071504989312</v>
      </c>
      <c r="O32" s="247">
        <v>85.495684450909806</v>
      </c>
      <c r="P32" s="247">
        <v>86.850172380247415</v>
      </c>
      <c r="Q32" s="247">
        <v>85.722401734426455</v>
      </c>
      <c r="R32" s="247">
        <v>82.894643494802764</v>
      </c>
      <c r="S32" s="247"/>
      <c r="U32" s="253">
        <f t="shared" si="7"/>
        <v>85.925351695061266</v>
      </c>
    </row>
    <row r="33" spans="1:21" ht="18" customHeight="1">
      <c r="A33" s="123" t="s">
        <v>223</v>
      </c>
      <c r="B33" s="247">
        <f>'（５-6）品群別人時生產性(便當)'!$C$1</f>
        <v>66.758428134453652</v>
      </c>
      <c r="C33" s="263">
        <v>68.391794846661682</v>
      </c>
      <c r="D33" s="216">
        <f t="shared" si="5"/>
        <v>-1.63336671220803</v>
      </c>
      <c r="E33" s="247">
        <f t="shared" si="6"/>
        <v>67.932833541109943</v>
      </c>
      <c r="L33" s="115"/>
      <c r="M33" s="247">
        <v>65.67274245927976</v>
      </c>
      <c r="N33" s="247">
        <f t="shared" si="8"/>
        <v>66.758428134453652</v>
      </c>
      <c r="O33" s="247">
        <v>66.943613625537381</v>
      </c>
      <c r="P33" s="247">
        <v>69.876515233145781</v>
      </c>
      <c r="Q33" s="247">
        <v>70.412868253133169</v>
      </c>
      <c r="R33" s="247">
        <v>68.391794846661682</v>
      </c>
      <c r="S33" s="247"/>
      <c r="U33" s="253">
        <f t="shared" si="7"/>
        <v>67.932833541109943</v>
      </c>
    </row>
    <row r="34" spans="1:21" ht="18" customHeight="1">
      <c r="A34" s="123" t="s">
        <v>230</v>
      </c>
      <c r="B34" s="247">
        <f>'（５-7）品群別人時生產性(熱食義麵) '!$C$1</f>
        <v>74.884976507910679</v>
      </c>
      <c r="C34" s="263">
        <v>70.145844555570179</v>
      </c>
      <c r="D34" s="216">
        <f t="shared" si="5"/>
        <v>4.7391319523405002</v>
      </c>
      <c r="E34" s="247">
        <f t="shared" si="6"/>
        <v>75.921503416380148</v>
      </c>
      <c r="L34" s="115"/>
      <c r="M34" s="247">
        <v>75.478569021952779</v>
      </c>
      <c r="N34" s="247">
        <f t="shared" si="8"/>
        <v>74.884976507910679</v>
      </c>
      <c r="O34" s="247">
        <v>80.555861357885718</v>
      </c>
      <c r="P34" s="247">
        <v>77.759992314606578</v>
      </c>
      <c r="Q34" s="247">
        <v>70.92811787954497</v>
      </c>
      <c r="R34" s="247">
        <v>70.145844555570179</v>
      </c>
      <c r="S34" s="247"/>
      <c r="U34" s="253">
        <f t="shared" si="7"/>
        <v>75.921503416380148</v>
      </c>
    </row>
    <row r="35" spans="1:21" ht="18" customHeight="1">
      <c r="A35" s="123" t="s">
        <v>231</v>
      </c>
      <c r="B35" s="247">
        <f>'（５-8）品群別人時生產性(季節調理麵) '!$C$1</f>
        <v>120.92495988708211</v>
      </c>
      <c r="C35" s="263">
        <v>122.33833293709185</v>
      </c>
      <c r="D35" s="216">
        <f t="shared" si="5"/>
        <v>-1.4133730500097386</v>
      </c>
      <c r="E35" s="247">
        <f t="shared" si="6"/>
        <v>119.39084787972101</v>
      </c>
      <c r="L35" s="115"/>
      <c r="M35" s="247">
        <v>114.50557202660302</v>
      </c>
      <c r="N35" s="247">
        <f t="shared" si="8"/>
        <v>120.92495988708211</v>
      </c>
      <c r="O35" s="247">
        <v>121.13262609451999</v>
      </c>
      <c r="P35" s="247">
        <v>119.84367219418827</v>
      </c>
      <c r="Q35" s="247">
        <v>120.54740919621163</v>
      </c>
      <c r="R35" s="247">
        <v>122.33833293709185</v>
      </c>
      <c r="S35" s="247"/>
      <c r="U35" s="253">
        <f t="shared" si="7"/>
        <v>119.39084787972101</v>
      </c>
    </row>
    <row r="36" spans="1:21" ht="18" customHeight="1">
      <c r="A36" s="119" t="s">
        <v>227</v>
      </c>
      <c r="B36" s="247">
        <f>'（５-9）品群別人時生產性(微波小吃)'!$C$1</f>
        <v>124.77437732057501</v>
      </c>
      <c r="C36" s="263">
        <v>124.77437732057501</v>
      </c>
      <c r="D36" s="216">
        <f t="shared" si="5"/>
        <v>0</v>
      </c>
      <c r="E36" s="247">
        <f t="shared" si="6"/>
        <v>114.05811209869375</v>
      </c>
      <c r="L36" s="115"/>
      <c r="M36" s="247">
        <v>99.648342041865732</v>
      </c>
      <c r="N36" s="247">
        <f t="shared" si="8"/>
        <v>124.77437732057501</v>
      </c>
      <c r="O36" s="247">
        <v>115.3662253913358</v>
      </c>
      <c r="P36" s="247">
        <v>111.38791463699506</v>
      </c>
      <c r="Q36" s="247">
        <v>119.11370110269712</v>
      </c>
      <c r="R36" s="247">
        <v>124.77437732057501</v>
      </c>
      <c r="S36" s="247"/>
      <c r="U36" s="253">
        <f t="shared" si="7"/>
        <v>114.05811209869375</v>
      </c>
    </row>
    <row r="37" spans="1:21" ht="15.75" customHeight="1">
      <c r="L37" s="115"/>
      <c r="M37" s="224">
        <v>331.32088360675885</v>
      </c>
      <c r="N37" s="224">
        <v>330.69214552972534</v>
      </c>
      <c r="O37" s="224">
        <v>330.21457859125206</v>
      </c>
      <c r="P37" s="224">
        <v>337.28291759813658</v>
      </c>
      <c r="Q37" s="224">
        <v>328.81665999046396</v>
      </c>
      <c r="R37" s="224">
        <v>325.42302479491974</v>
      </c>
      <c r="S37" s="224"/>
    </row>
    <row r="38" spans="1:21" ht="15.75" customHeight="1">
      <c r="L38" s="115"/>
    </row>
  </sheetData>
  <mergeCells count="2">
    <mergeCell ref="A1:K2"/>
    <mergeCell ref="D3:E3"/>
  </mergeCells>
  <phoneticPr fontId="11" type="noConversion"/>
  <printOptions horizontalCentered="1" gridLines="1"/>
  <pageMargins left="0.39370078740157483" right="0.39370078740157483" top="0.39370078740157483" bottom="0.19685039370078741" header="0" footer="0"/>
  <pageSetup paperSize="9" scale="86" fitToWidth="0" fitToHeight="0" pageOrder="overThenDown" orientation="landscape" cellComments="atEnd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  <outlinePr summaryBelow="0" summaryRight="0"/>
  </sheetPr>
  <dimension ref="A1:R38"/>
  <sheetViews>
    <sheetView zoomScale="90" zoomScaleNormal="90" zoomScaleSheetLayoutView="100" workbookViewId="0">
      <selection activeCell="B10" sqref="B10"/>
    </sheetView>
  </sheetViews>
  <sheetFormatPr defaultColWidth="12.5703125" defaultRowHeight="15.75" customHeight="1"/>
  <cols>
    <col min="1" max="1" width="27.42578125" style="115" bestFit="1" customWidth="1"/>
    <col min="2" max="2" width="12.5703125" style="115" customWidth="1"/>
    <col min="3" max="4" width="12.5703125" style="115"/>
    <col min="5" max="5" width="16.42578125" style="115" customWidth="1"/>
    <col min="6" max="6" width="2.42578125" style="115" customWidth="1"/>
    <col min="7" max="7" width="24.85546875" style="115" bestFit="1" customWidth="1"/>
    <col min="8" max="10" width="12.5703125" style="115"/>
    <col min="11" max="11" width="16.42578125" style="115" customWidth="1"/>
    <col min="12" max="12" width="12.5703125" style="116"/>
    <col min="13" max="16384" width="12.5703125" style="115"/>
  </cols>
  <sheetData>
    <row r="1" spans="1:18" ht="15.75" customHeight="1">
      <c r="A1" s="405" t="s">
        <v>394</v>
      </c>
      <c r="B1" s="405"/>
      <c r="C1" s="405"/>
      <c r="D1" s="405"/>
      <c r="E1" s="405"/>
      <c r="F1" s="405"/>
      <c r="G1" s="405"/>
      <c r="H1" s="405"/>
      <c r="I1" s="405"/>
      <c r="J1" s="405"/>
      <c r="K1" s="405"/>
      <c r="L1" s="115"/>
    </row>
    <row r="2" spans="1:18" s="116" customFormat="1" ht="15.75" customHeight="1">
      <c r="A2" s="405"/>
      <c r="B2" s="405"/>
      <c r="C2" s="405"/>
      <c r="D2" s="405"/>
      <c r="E2" s="405"/>
      <c r="F2" s="405"/>
      <c r="G2" s="405"/>
      <c r="H2" s="405"/>
      <c r="I2" s="405"/>
      <c r="J2" s="405"/>
      <c r="K2" s="405"/>
    </row>
    <row r="3" spans="1:18" ht="21.6" customHeight="1">
      <c r="A3" s="130" t="s">
        <v>321</v>
      </c>
      <c r="B3" s="131">
        <v>11</v>
      </c>
      <c r="C3" s="192" t="s">
        <v>322</v>
      </c>
      <c r="D3" s="131" t="s">
        <v>564</v>
      </c>
      <c r="E3" s="130" t="s">
        <v>20</v>
      </c>
      <c r="F3" s="406" t="s">
        <v>393</v>
      </c>
      <c r="G3" s="406"/>
      <c r="H3" s="116"/>
      <c r="I3" s="125"/>
      <c r="J3" s="116"/>
      <c r="K3" s="116"/>
      <c r="M3" s="116"/>
      <c r="N3" s="116"/>
    </row>
    <row r="4" spans="1:18" ht="15.75" customHeight="1">
      <c r="A4" s="126" t="s">
        <v>193</v>
      </c>
      <c r="E4" s="118" t="s">
        <v>23</v>
      </c>
      <c r="G4" s="127" t="s">
        <v>125</v>
      </c>
      <c r="L4" s="115"/>
    </row>
    <row r="5" spans="1:18" s="120" customFormat="1" ht="15.75" customHeight="1">
      <c r="A5" s="137" t="s">
        <v>195</v>
      </c>
      <c r="B5" s="137" t="s">
        <v>324</v>
      </c>
      <c r="C5" s="137" t="s">
        <v>326</v>
      </c>
      <c r="D5" s="132" t="s">
        <v>2</v>
      </c>
      <c r="E5" s="132" t="s">
        <v>3</v>
      </c>
      <c r="G5" s="137" t="s">
        <v>195</v>
      </c>
      <c r="H5" s="132" t="s">
        <v>69</v>
      </c>
      <c r="I5" s="132" t="s">
        <v>323</v>
      </c>
      <c r="J5" s="132" t="s">
        <v>325</v>
      </c>
      <c r="K5" s="132" t="s">
        <v>3</v>
      </c>
      <c r="L5" s="121" t="s">
        <v>60</v>
      </c>
    </row>
    <row r="6" spans="1:18" ht="18" customHeight="1">
      <c r="A6" s="123" t="s">
        <v>24</v>
      </c>
      <c r="B6" s="199">
        <f>'（１）收支狀況'!G33/1000</f>
        <v>0</v>
      </c>
      <c r="C6" s="227">
        <v>48568.542999999998</v>
      </c>
      <c r="D6" s="133">
        <f t="shared" ref="D6:D11" si="0">B6-C6</f>
        <v>-48568.542999999998</v>
      </c>
      <c r="E6" s="211">
        <f>'（１）收支狀況'!H9/1000</f>
        <v>192546.05300000001</v>
      </c>
      <c r="G6" s="123" t="s">
        <v>196</v>
      </c>
      <c r="H6" s="213">
        <v>366</v>
      </c>
      <c r="I6" s="232">
        <f>'（２）ＫＰＩ達成進度'!G33</f>
        <v>0</v>
      </c>
      <c r="J6" s="233">
        <v>342.32011489371604</v>
      </c>
      <c r="K6" s="234">
        <f>'（２）ＫＰＩ達成進度'!H9</f>
        <v>348.55662461829377</v>
      </c>
      <c r="L6" s="117" t="s">
        <v>192</v>
      </c>
    </row>
    <row r="7" spans="1:18" ht="18" customHeight="1">
      <c r="A7" s="123" t="s">
        <v>25</v>
      </c>
      <c r="B7" s="199">
        <f>'（１）收支狀況'!J33</f>
        <v>0</v>
      </c>
      <c r="C7" s="227">
        <v>1467152</v>
      </c>
      <c r="D7" s="133">
        <f t="shared" si="0"/>
        <v>-1467152</v>
      </c>
      <c r="E7" s="211">
        <f>'（１）收支狀況'!K9</f>
        <v>5860836</v>
      </c>
      <c r="G7" s="123" t="s">
        <v>197</v>
      </c>
      <c r="H7" s="225">
        <v>0.8</v>
      </c>
      <c r="I7" s="223">
        <f>'（２）ＫＰＩ達成進度'!J33</f>
        <v>0</v>
      </c>
      <c r="J7" s="230">
        <v>0.93530086036534432</v>
      </c>
      <c r="K7" s="226">
        <f>'（２）ＫＰＩ達成進度'!K9</f>
        <v>0.88885113746012978</v>
      </c>
      <c r="L7" s="117" t="s">
        <v>4</v>
      </c>
    </row>
    <row r="8" spans="1:18" ht="18" customHeight="1">
      <c r="A8" s="123" t="s">
        <v>5</v>
      </c>
      <c r="B8" s="199">
        <f>'（１）收支狀況'!M33/1000</f>
        <v>0</v>
      </c>
      <c r="C8" s="227">
        <v>32511.102999999999</v>
      </c>
      <c r="D8" s="133">
        <f>B8-C8</f>
        <v>-32511.102999999999</v>
      </c>
      <c r="E8" s="211">
        <f>'（１）收支狀況'!N9/1000</f>
        <v>127549.685</v>
      </c>
      <c r="G8" s="123" t="s">
        <v>198</v>
      </c>
      <c r="H8" s="212">
        <v>2.5000000000000001E-3</v>
      </c>
      <c r="I8" s="221">
        <f>'（２）ＫＰＩ達成進度'!M33</f>
        <v>0</v>
      </c>
      <c r="J8" s="229">
        <v>2.44992700831204E-3</v>
      </c>
      <c r="K8" s="221">
        <f>'（２）ＫＰＩ達成進度'!N9</f>
        <v>2.4352109892720377E-3</v>
      </c>
      <c r="L8" s="117" t="s">
        <v>55</v>
      </c>
    </row>
    <row r="9" spans="1:18" ht="18" customHeight="1">
      <c r="A9" s="123" t="s">
        <v>6</v>
      </c>
      <c r="B9" s="200">
        <f>'（１）收支狀況'!P33</f>
        <v>0</v>
      </c>
      <c r="C9" s="228">
        <v>0.66938600567037809</v>
      </c>
      <c r="D9" s="134">
        <f t="shared" si="0"/>
        <v>-0.66938600567037809</v>
      </c>
      <c r="E9" s="134">
        <f>'（１）收支狀況'!Q9</f>
        <v>0.66243728714605232</v>
      </c>
      <c r="G9" s="123" t="s">
        <v>199</v>
      </c>
      <c r="H9" s="212">
        <v>2.5999999999999999E-3</v>
      </c>
      <c r="I9" s="221">
        <f>'（２）ＫＰＩ達成進度'!P33</f>
        <v>0</v>
      </c>
      <c r="J9" s="229">
        <v>2.2296455419316499E-3</v>
      </c>
      <c r="K9" s="221">
        <f>'（２）ＫＰＩ達成進度'!Q9</f>
        <v>1.9856446031897793E-3</v>
      </c>
      <c r="L9" s="117" t="s">
        <v>98</v>
      </c>
    </row>
    <row r="10" spans="1:18" ht="18" customHeight="1">
      <c r="A10" s="123" t="s">
        <v>64</v>
      </c>
      <c r="B10" s="199">
        <f>'（１）收支狀況'!S33/1000</f>
        <v>0</v>
      </c>
      <c r="C10" s="227">
        <f>7059638.28/1000</f>
        <v>7059.6382800000001</v>
      </c>
      <c r="D10" s="133">
        <f t="shared" si="0"/>
        <v>-7059.6382800000001</v>
      </c>
      <c r="E10" s="211">
        <f>'（１）收支狀況'!T9/1000</f>
        <v>30046.480786666682</v>
      </c>
      <c r="G10" s="123" t="s">
        <v>200</v>
      </c>
      <c r="H10" s="222">
        <v>0.8</v>
      </c>
      <c r="I10" s="223">
        <v>0.91700000000000004</v>
      </c>
      <c r="J10" s="230">
        <v>0.91700000000000004</v>
      </c>
      <c r="K10" s="223">
        <v>0.91700000000000004</v>
      </c>
      <c r="L10" s="117" t="s">
        <v>7</v>
      </c>
    </row>
    <row r="11" spans="1:18" ht="18" customHeight="1">
      <c r="A11" s="123" t="s">
        <v>65</v>
      </c>
      <c r="B11" s="200">
        <f>'（１）收支狀況'!V33</f>
        <v>0</v>
      </c>
      <c r="C11" s="228">
        <v>0.14535412931781796</v>
      </c>
      <c r="D11" s="134">
        <f t="shared" si="0"/>
        <v>-0.14535412931781796</v>
      </c>
      <c r="E11" s="134">
        <f>'（１）收支狀況'!W9</f>
        <v>0.15604828205264057</v>
      </c>
      <c r="G11" s="123" t="s">
        <v>201</v>
      </c>
      <c r="H11" s="222">
        <v>1</v>
      </c>
      <c r="I11" s="223">
        <f>'（２）ＫＰＩ達成進度'!V33</f>
        <v>0</v>
      </c>
      <c r="J11" s="230">
        <v>0.90285714285714291</v>
      </c>
      <c r="K11" s="223">
        <f>'（２）ＫＰＩ達成進度'!W9</f>
        <v>0.11421428571428573</v>
      </c>
      <c r="L11" s="117" t="s">
        <v>62</v>
      </c>
    </row>
    <row r="12" spans="1:18" ht="9.6" customHeight="1">
      <c r="L12" s="115"/>
    </row>
    <row r="13" spans="1:18" ht="15.75" customHeight="1">
      <c r="A13" s="126" t="s">
        <v>32</v>
      </c>
      <c r="G13" s="126" t="s">
        <v>147</v>
      </c>
      <c r="L13" s="115"/>
    </row>
    <row r="14" spans="1:18" s="122" customFormat="1" ht="14.25">
      <c r="A14" s="136"/>
      <c r="B14" s="193" t="s">
        <v>324</v>
      </c>
      <c r="C14" s="136" t="s">
        <v>66</v>
      </c>
      <c r="D14" s="193" t="s">
        <v>327</v>
      </c>
      <c r="E14" s="136" t="s">
        <v>68</v>
      </c>
      <c r="G14" s="136"/>
      <c r="H14" s="193" t="s">
        <v>324</v>
      </c>
      <c r="I14" s="136" t="s">
        <v>66</v>
      </c>
      <c r="J14" s="193" t="s">
        <v>327</v>
      </c>
      <c r="K14" s="136" t="s">
        <v>68</v>
      </c>
      <c r="M14" s="115"/>
      <c r="N14" s="115"/>
      <c r="O14" s="115"/>
      <c r="P14" s="115"/>
      <c r="Q14" s="115"/>
      <c r="R14" s="115"/>
    </row>
    <row r="15" spans="1:18" ht="18" customHeight="1">
      <c r="A15" s="123" t="s">
        <v>330</v>
      </c>
      <c r="B15" s="214">
        <f>SUM('（３）業績構成比'!I35:I41,'（３）業績構成比'!K35:K41)/1000</f>
        <v>4678.1263782085161</v>
      </c>
      <c r="C15" s="134" t="str">
        <f>IFERROR(B15/$B$6,"")</f>
        <v/>
      </c>
      <c r="D15" s="228">
        <v>0.18934667782754822</v>
      </c>
      <c r="E15" s="134" t="str">
        <f>IFERROR(C15-D15,"")</f>
        <v/>
      </c>
      <c r="G15" s="123" t="s">
        <v>330</v>
      </c>
      <c r="H15" s="214">
        <f>SUM(,'（４）訂單數量構成比'!I35:I41,'（４）訂單數量構成比'!K35:K41)</f>
        <v>249255</v>
      </c>
      <c r="I15" s="134" t="str">
        <f t="shared" ref="I15:I23" si="1">IFERROR(H15/$B$7,"")</f>
        <v/>
      </c>
      <c r="J15" s="228">
        <v>0.32807711811727758</v>
      </c>
      <c r="K15" s="134" t="str">
        <f t="shared" ref="K15:K23" si="2">IFERROR(I15-J15,"")</f>
        <v/>
      </c>
      <c r="L15" s="115"/>
    </row>
    <row r="16" spans="1:18" ht="18" customHeight="1">
      <c r="A16" s="123" t="s">
        <v>220</v>
      </c>
      <c r="B16" s="214">
        <f>SUM('（３）業績構成比'!O35:O41,'（３）業績構成比'!Q35:Q41)/1000</f>
        <v>867.88492954022001</v>
      </c>
      <c r="C16" s="134" t="str">
        <f t="shared" ref="C16:C23" si="3">IFERROR(B16/$B$6,"")</f>
        <v/>
      </c>
      <c r="D16" s="228">
        <v>3.5232688102032263E-2</v>
      </c>
      <c r="E16" s="134" t="str">
        <f t="shared" ref="E16:E23" si="4">IFERROR(C16-D16,"")</f>
        <v/>
      </c>
      <c r="G16" s="123" t="s">
        <v>247</v>
      </c>
      <c r="H16" s="214">
        <f>SUM('（４）訂單數量構成比'!O35:O41,'（４）訂單數量構成比'!Q35:Q41)</f>
        <v>33232</v>
      </c>
      <c r="I16" s="134" t="str">
        <f t="shared" si="1"/>
        <v/>
      </c>
      <c r="J16" s="228">
        <v>4.6813145468226874E-2</v>
      </c>
      <c r="K16" s="134" t="str">
        <f t="shared" si="2"/>
        <v/>
      </c>
      <c r="L16" s="115"/>
    </row>
    <row r="17" spans="1:11" s="115" customFormat="1" ht="18" customHeight="1">
      <c r="A17" s="123" t="s">
        <v>216</v>
      </c>
      <c r="B17" s="214">
        <f>SUM('（３）業績構成比'!U35:U41)/1000</f>
        <v>4087.3765844244026</v>
      </c>
      <c r="C17" s="134" t="str">
        <f t="shared" si="3"/>
        <v/>
      </c>
      <c r="D17" s="228">
        <v>9.0034971565151903E-2</v>
      </c>
      <c r="E17" s="134" t="str">
        <f t="shared" si="4"/>
        <v/>
      </c>
      <c r="G17" s="123" t="s">
        <v>229</v>
      </c>
      <c r="H17" s="214">
        <f>SUM('（４）訂單數量構成比'!U35:U41)</f>
        <v>125836</v>
      </c>
      <c r="I17" s="134" t="str">
        <f t="shared" si="1"/>
        <v/>
      </c>
      <c r="J17" s="228">
        <v>8.4512034199592134E-2</v>
      </c>
      <c r="K17" s="134" t="str">
        <f t="shared" si="2"/>
        <v/>
      </c>
    </row>
    <row r="18" spans="1:11" s="115" customFormat="1" ht="18" customHeight="1">
      <c r="A18" s="123" t="s">
        <v>218</v>
      </c>
      <c r="B18" s="214">
        <f>SUM('（３）業績構成比'!W35:W41)/1000</f>
        <v>267.79541536870903</v>
      </c>
      <c r="C18" s="134" t="str">
        <f t="shared" si="3"/>
        <v/>
      </c>
      <c r="D18" s="228">
        <v>1.1775084230339142E-2</v>
      </c>
      <c r="E18" s="134" t="str">
        <f t="shared" si="4"/>
        <v/>
      </c>
      <c r="G18" s="123" t="s">
        <v>217</v>
      </c>
      <c r="H18" s="214">
        <f>SUM('（４）訂單數量構成比'!W35:W41)</f>
        <v>7830</v>
      </c>
      <c r="I18" s="134" t="str">
        <f t="shared" si="1"/>
        <v/>
      </c>
      <c r="J18" s="228">
        <v>1.917865360916933E-2</v>
      </c>
      <c r="K18" s="134" t="str">
        <f t="shared" si="2"/>
        <v/>
      </c>
    </row>
    <row r="19" spans="1:11" s="115" customFormat="1" ht="18" customHeight="1">
      <c r="A19" s="123" t="s">
        <v>222</v>
      </c>
      <c r="B19" s="214">
        <f>SUM('（３）業績構成比'!Y35:Y41,'（３）業績構成比'!AA35:AA41)/1000</f>
        <v>6748.203580367629</v>
      </c>
      <c r="C19" s="134" t="str">
        <f t="shared" si="3"/>
        <v/>
      </c>
      <c r="D19" s="228">
        <v>0.28328980102486256</v>
      </c>
      <c r="E19" s="134" t="str">
        <f t="shared" si="4"/>
        <v/>
      </c>
      <c r="G19" s="123" t="s">
        <v>221</v>
      </c>
      <c r="H19" s="214">
        <f>SUM('（４）訂單數量構成比'!Y35:Y41,'（４）訂單數量構成比'!AA35:AA41)</f>
        <v>168538</v>
      </c>
      <c r="I19" s="134" t="str">
        <f t="shared" si="1"/>
        <v/>
      </c>
      <c r="J19" s="228">
        <v>0.22873430973750505</v>
      </c>
      <c r="K19" s="134" t="str">
        <f t="shared" si="2"/>
        <v/>
      </c>
    </row>
    <row r="20" spans="1:11" s="115" customFormat="1" ht="18" customHeight="1">
      <c r="A20" s="123" t="s">
        <v>224</v>
      </c>
      <c r="B20" s="214">
        <f>SUM('（３）業績構成比'!AE35:AE41)/1000</f>
        <v>4379.5839386922335</v>
      </c>
      <c r="C20" s="134" t="str">
        <f t="shared" si="3"/>
        <v/>
      </c>
      <c r="D20" s="228">
        <v>0.1504046846615002</v>
      </c>
      <c r="E20" s="134" t="str">
        <f t="shared" si="4"/>
        <v/>
      </c>
      <c r="G20" s="123" t="s">
        <v>223</v>
      </c>
      <c r="H20" s="214">
        <f>SUM('（４）訂單數量構成比'!AE35:AE41)</f>
        <v>79394</v>
      </c>
      <c r="I20" s="134" t="str">
        <f t="shared" si="1"/>
        <v/>
      </c>
      <c r="J20" s="228">
        <v>8.9526511227193906E-2</v>
      </c>
      <c r="K20" s="134" t="str">
        <f t="shared" si="2"/>
        <v/>
      </c>
    </row>
    <row r="21" spans="1:11" s="115" customFormat="1" ht="18" customHeight="1">
      <c r="A21" s="123" t="s">
        <v>225</v>
      </c>
      <c r="B21" s="214">
        <f>SUM('（３）業績構成比'!AG35:AG41)/1000</f>
        <v>1115.3113582758237</v>
      </c>
      <c r="C21" s="134" t="str">
        <f t="shared" si="3"/>
        <v/>
      </c>
      <c r="D21" s="228">
        <v>0.11116644166551118</v>
      </c>
      <c r="E21" s="134" t="str">
        <f t="shared" si="4"/>
        <v/>
      </c>
      <c r="G21" s="123" t="s">
        <v>230</v>
      </c>
      <c r="H21" s="214">
        <f>SUM('（４）訂單數量構成比'!AG35:AG41)</f>
        <v>23503</v>
      </c>
      <c r="I21" s="134" t="str">
        <f t="shared" si="1"/>
        <v/>
      </c>
      <c r="J21" s="228">
        <v>7.3652218720350715E-2</v>
      </c>
      <c r="K21" s="134" t="str">
        <f t="shared" si="2"/>
        <v/>
      </c>
    </row>
    <row r="22" spans="1:11" s="115" customFormat="1" ht="18" customHeight="1">
      <c r="A22" s="123" t="s">
        <v>226</v>
      </c>
      <c r="B22" s="214">
        <f>SUM('（３）業績構成比'!AI35:AI41)/1000</f>
        <v>2677.9855473398497</v>
      </c>
      <c r="C22" s="134" t="str">
        <f t="shared" si="3"/>
        <v/>
      </c>
      <c r="D22" s="228">
        <v>4.6912393901251959E-2</v>
      </c>
      <c r="E22" s="134" t="str">
        <f t="shared" si="4"/>
        <v/>
      </c>
      <c r="G22" s="123" t="s">
        <v>231</v>
      </c>
      <c r="H22" s="214">
        <f>SUM('（４）訂單數量構成比'!AI35:AI41)</f>
        <v>72548</v>
      </c>
      <c r="I22" s="134" t="str">
        <f t="shared" si="1"/>
        <v/>
      </c>
      <c r="J22" s="228">
        <v>4.1703245471498521E-2</v>
      </c>
      <c r="K22" s="134" t="str">
        <f t="shared" si="2"/>
        <v/>
      </c>
    </row>
    <row r="23" spans="1:11" s="115" customFormat="1" ht="18" customHeight="1">
      <c r="A23" s="123" t="s">
        <v>228</v>
      </c>
      <c r="B23" s="214">
        <f>SUM('（３）業績構成比'!AK35:AK41)/1000</f>
        <v>1768.6432677826156</v>
      </c>
      <c r="C23" s="134" t="str">
        <f t="shared" si="3"/>
        <v/>
      </c>
      <c r="D23" s="228">
        <v>8.1837257021802626E-2</v>
      </c>
      <c r="E23" s="134" t="str">
        <f t="shared" si="4"/>
        <v/>
      </c>
      <c r="G23" s="123" t="s">
        <v>227</v>
      </c>
      <c r="H23" s="214">
        <f>SUM('（４）訂單數量構成比'!AK35:AK41)</f>
        <v>62902</v>
      </c>
      <c r="I23" s="134" t="str">
        <f t="shared" si="1"/>
        <v/>
      </c>
      <c r="J23" s="228">
        <v>8.7802763449185903E-2</v>
      </c>
      <c r="K23" s="134" t="str">
        <f t="shared" si="2"/>
        <v/>
      </c>
    </row>
    <row r="24" spans="1:11" s="115" customFormat="1" ht="15.75" customHeight="1">
      <c r="C24" s="128">
        <f>SUM(C15:C23)</f>
        <v>0</v>
      </c>
      <c r="D24" s="128">
        <f>SUM(D15:D23)</f>
        <v>1</v>
      </c>
      <c r="I24" s="128">
        <f>SUM(I15:I23)</f>
        <v>0</v>
      </c>
      <c r="J24" s="128">
        <f>SUM(J15:J23)</f>
        <v>1</v>
      </c>
    </row>
    <row r="25" spans="1:11" s="115" customFormat="1" ht="9.6" customHeight="1">
      <c r="A25" s="129"/>
    </row>
    <row r="26" spans="1:11" s="115" customFormat="1" ht="15.75" customHeight="1">
      <c r="A26" s="126" t="s">
        <v>430</v>
      </c>
    </row>
    <row r="27" spans="1:11" s="115" customFormat="1" ht="15.75" customHeight="1">
      <c r="A27" s="123" t="s">
        <v>184</v>
      </c>
      <c r="B27" s="194" t="s">
        <v>324</v>
      </c>
      <c r="C27" s="194" t="s">
        <v>326</v>
      </c>
      <c r="D27" s="123" t="s">
        <v>2</v>
      </c>
      <c r="E27" s="123" t="s">
        <v>395</v>
      </c>
    </row>
    <row r="28" spans="1:11" s="115" customFormat="1" ht="18" customHeight="1">
      <c r="A28" s="123" t="s">
        <v>330</v>
      </c>
      <c r="B28" s="215">
        <f>'（５-1）品群別人時生產性（18℃-飯糰）'!L147</f>
        <v>796.04842857918493</v>
      </c>
      <c r="C28" s="231">
        <v>773.28751168276119</v>
      </c>
      <c r="D28" s="216">
        <f t="shared" ref="D28:D36" si="5">B28-C28</f>
        <v>22.760916896423737</v>
      </c>
      <c r="E28" s="124">
        <f>'（５-1）品群別人時生產性（18℃-飯糰）'!C1</f>
        <v>793.91002640854322</v>
      </c>
      <c r="F28" s="235">
        <v>147</v>
      </c>
      <c r="G28" s="138"/>
      <c r="H28" s="138"/>
      <c r="I28" s="138"/>
      <c r="J28" s="138"/>
    </row>
    <row r="29" spans="1:11" s="115" customFormat="1" ht="18" customHeight="1">
      <c r="A29" s="123" t="s">
        <v>219</v>
      </c>
      <c r="B29" s="215">
        <f>'（５-2）品群別人時生產性（18-壽司手卷)'!L87</f>
        <v>198.79571266001955</v>
      </c>
      <c r="C29" s="231">
        <v>182.60763657644188</v>
      </c>
      <c r="D29" s="216">
        <f t="shared" si="5"/>
        <v>16.18807608357767</v>
      </c>
      <c r="E29" s="124">
        <f>'（５-2）品群別人時生產性（18-壽司手卷)'!C1</f>
        <v>188.87834023020704</v>
      </c>
      <c r="F29" s="115">
        <v>87</v>
      </c>
      <c r="G29" s="139"/>
      <c r="H29" s="139"/>
      <c r="I29" s="140"/>
      <c r="J29" s="1"/>
    </row>
    <row r="30" spans="1:11" s="115" customFormat="1" ht="18" customHeight="1">
      <c r="A30" s="123" t="s">
        <v>229</v>
      </c>
      <c r="B30" s="215">
        <f>'（５-3）品群別人時生產性（4℃-飯糰)'!L87</f>
        <v>254.67593664356252</v>
      </c>
      <c r="C30" s="231">
        <v>272.74108911147209</v>
      </c>
      <c r="D30" s="216">
        <f t="shared" si="5"/>
        <v>-18.06515246790957</v>
      </c>
      <c r="E30" s="124">
        <f>'（５-3）品群別人時生產性（4℃-飯糰)'!C1</f>
        <v>249.81281035213033</v>
      </c>
    </row>
    <row r="31" spans="1:11" s="115" customFormat="1" ht="18" customHeight="1">
      <c r="A31" s="123" t="s">
        <v>217</v>
      </c>
      <c r="B31" s="215">
        <f>'（５-4）品群別人時生產性（4℃-壽司手卷)'!L87</f>
        <v>131.86341588966593</v>
      </c>
      <c r="C31" s="231">
        <v>113.81516387747592</v>
      </c>
      <c r="D31" s="216">
        <f t="shared" si="5"/>
        <v>18.048252012190005</v>
      </c>
      <c r="E31" s="124">
        <f>'（５-4）品群別人時生產性（4℃-壽司手卷)'!C1</f>
        <v>122.98264299131024</v>
      </c>
    </row>
    <row r="32" spans="1:11" s="115" customFormat="1" ht="18" customHeight="1">
      <c r="A32" s="123" t="s">
        <v>221</v>
      </c>
      <c r="B32" s="215">
        <f>'（５-5）品群別人時生產性(主食) '!L147</f>
        <v>80.276843929871902</v>
      </c>
      <c r="C32" s="231">
        <v>86.027649035293493</v>
      </c>
      <c r="D32" s="216">
        <f t="shared" si="5"/>
        <v>-5.7508051054215912</v>
      </c>
      <c r="E32" s="124">
        <f>'（５-5）品群別人時生產性(主食) '!C1</f>
        <v>82.248071504989312</v>
      </c>
      <c r="F32" s="235"/>
    </row>
    <row r="33" spans="1:5" s="115" customFormat="1" ht="18" customHeight="1">
      <c r="A33" s="123" t="s">
        <v>223</v>
      </c>
      <c r="B33" s="215">
        <f>'（５-6）品群別人時生產性(便當)'!L87</f>
        <v>65.615186730777992</v>
      </c>
      <c r="C33" s="231">
        <v>67.317862575497216</v>
      </c>
      <c r="D33" s="216">
        <f t="shared" si="5"/>
        <v>-1.7026758447192236</v>
      </c>
      <c r="E33" s="124">
        <f>'（５-6）品群別人時生產性(便當)'!C1</f>
        <v>66.758428134453652</v>
      </c>
    </row>
    <row r="34" spans="1:5" s="115" customFormat="1" ht="18" customHeight="1">
      <c r="A34" s="123" t="s">
        <v>230</v>
      </c>
      <c r="B34" s="215">
        <f>'（５-7）品群別人時生產性(熱食義麵) '!L87</f>
        <v>75.769229482232333</v>
      </c>
      <c r="C34" s="231">
        <v>77.436510262417258</v>
      </c>
      <c r="D34" s="216">
        <f t="shared" si="5"/>
        <v>-1.6672807801849245</v>
      </c>
      <c r="E34" s="124">
        <f>'（５-7）品群別人時生產性(熱食義麵) '!C1</f>
        <v>74.884976507910679</v>
      </c>
    </row>
    <row r="35" spans="1:5" s="115" customFormat="1" ht="18" customHeight="1">
      <c r="A35" s="123" t="s">
        <v>231</v>
      </c>
      <c r="B35" s="215">
        <f>'（５-8）品群別人時生產性(季節調理麵) '!L87</f>
        <v>118.91485319479241</v>
      </c>
      <c r="C35" s="231">
        <v>121.87280560095473</v>
      </c>
      <c r="D35" s="216">
        <f t="shared" si="5"/>
        <v>-2.9579524061623204</v>
      </c>
      <c r="E35" s="124">
        <f>'（５-8）品群別人時生產性(季節調理麵) '!C1</f>
        <v>120.92495988708211</v>
      </c>
    </row>
    <row r="36" spans="1:5" s="115" customFormat="1" ht="18" customHeight="1">
      <c r="A36" s="119" t="s">
        <v>227</v>
      </c>
      <c r="B36" s="215">
        <f>'（５-9）品群別人時生產性(微波小吃)'!L87</f>
        <v>144.79668821138463</v>
      </c>
      <c r="C36" s="231">
        <v>115.15834330868617</v>
      </c>
      <c r="D36" s="216">
        <f t="shared" si="5"/>
        <v>29.638344902698464</v>
      </c>
      <c r="E36" s="124">
        <f>'（５-9）品群別人時生產性(微波小吃)'!C1</f>
        <v>124.77437732057501</v>
      </c>
    </row>
    <row r="37" spans="1:5" s="115" customFormat="1" ht="15.75" customHeight="1">
      <c r="D37" s="256">
        <f>SUM(D28:D36)</f>
        <v>56.491723290492246</v>
      </c>
    </row>
    <row r="38" spans="1:5" s="115" customFormat="1" ht="15.75" customHeight="1"/>
  </sheetData>
  <mergeCells count="2">
    <mergeCell ref="A1:K2"/>
    <mergeCell ref="F3:G3"/>
  </mergeCells>
  <phoneticPr fontId="11" type="noConversion"/>
  <printOptions horizontalCentered="1" gridLines="1"/>
  <pageMargins left="0.39370078740157483" right="0.39370078740157483" top="0.39370078740157483" bottom="0.19685039370078741" header="0" footer="0"/>
  <pageSetup paperSize="9" scale="86" fitToWidth="0" fitToHeight="0" pageOrder="overThenDown" orientation="landscape" cellComments="atEnd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CC"/>
  </sheetPr>
  <dimension ref="B2:W57"/>
  <sheetViews>
    <sheetView zoomScale="65" zoomScaleNormal="65" workbookViewId="0">
      <pane xSplit="5" ySplit="4" topLeftCell="F5" activePane="bottomRight" state="frozen"/>
      <selection pane="topRight" activeCell="F1" sqref="F1"/>
      <selection pane="bottomLeft" activeCell="A5" sqref="A5"/>
      <selection pane="bottomRight" activeCell="D9" sqref="D9"/>
    </sheetView>
  </sheetViews>
  <sheetFormatPr defaultColWidth="8.85546875" defaultRowHeight="14.25"/>
  <cols>
    <col min="1" max="1" width="8.85546875" style="75"/>
    <col min="2" max="2" width="12.5703125" style="80" customWidth="1"/>
    <col min="3" max="3" width="8.85546875" style="75"/>
    <col min="4" max="4" width="17.42578125" style="78" customWidth="1"/>
    <col min="5" max="5" width="4.42578125" style="78" customWidth="1"/>
    <col min="6" max="8" width="19.5703125" style="83" customWidth="1"/>
    <col min="9" max="13" width="19.5703125" style="84" customWidth="1"/>
    <col min="14" max="14" width="19.5703125" style="85" customWidth="1"/>
    <col min="15" max="17" width="19.5703125" style="86" customWidth="1"/>
    <col min="18" max="20" width="19.5703125" style="85" customWidth="1"/>
    <col min="21" max="21" width="19.5703125" style="86" customWidth="1"/>
    <col min="22" max="23" width="19.5703125" style="75" customWidth="1"/>
    <col min="24" max="16384" width="8.85546875" style="75"/>
  </cols>
  <sheetData>
    <row r="2" spans="2:23" ht="38.1" customHeight="1">
      <c r="B2" s="435" t="s">
        <v>121</v>
      </c>
      <c r="C2" s="435"/>
      <c r="D2" s="435"/>
      <c r="E2" s="435"/>
      <c r="F2" s="435"/>
      <c r="G2" s="435"/>
      <c r="H2" s="435"/>
      <c r="I2" s="435"/>
      <c r="J2" s="435"/>
      <c r="K2" s="435"/>
      <c r="L2" s="435"/>
      <c r="M2" s="435"/>
      <c r="N2" s="435"/>
      <c r="O2" s="435"/>
      <c r="P2" s="435"/>
      <c r="Q2" s="435"/>
      <c r="R2" s="435"/>
      <c r="S2" s="435"/>
      <c r="T2" s="435"/>
      <c r="U2" s="435"/>
      <c r="V2" s="435"/>
      <c r="W2" s="435"/>
    </row>
    <row r="3" spans="2:23" s="78" customFormat="1" ht="23.45" customHeight="1">
      <c r="B3" s="79"/>
      <c r="C3" s="439" t="s">
        <v>116</v>
      </c>
      <c r="D3" s="440" t="s">
        <v>105</v>
      </c>
      <c r="E3" s="440"/>
      <c r="F3" s="438" t="s">
        <v>345</v>
      </c>
      <c r="G3" s="438"/>
      <c r="H3" s="438"/>
      <c r="I3" s="436" t="s">
        <v>119</v>
      </c>
      <c r="J3" s="436"/>
      <c r="K3" s="436"/>
      <c r="L3" s="437" t="s">
        <v>120</v>
      </c>
      <c r="M3" s="437"/>
      <c r="N3" s="437"/>
      <c r="O3" s="434" t="s">
        <v>122</v>
      </c>
      <c r="P3" s="434"/>
      <c r="Q3" s="434"/>
      <c r="R3" s="441" t="s">
        <v>123</v>
      </c>
      <c r="S3" s="441"/>
      <c r="T3" s="441"/>
      <c r="U3" s="434" t="s">
        <v>124</v>
      </c>
      <c r="V3" s="434"/>
      <c r="W3" s="434"/>
    </row>
    <row r="4" spans="2:23" s="78" customFormat="1" ht="23.45" customHeight="1">
      <c r="B4" s="79"/>
      <c r="C4" s="439"/>
      <c r="D4" s="440"/>
      <c r="E4" s="440"/>
      <c r="F4" s="76" t="s">
        <v>115</v>
      </c>
      <c r="G4" s="76" t="s">
        <v>117</v>
      </c>
      <c r="H4" s="76" t="s">
        <v>118</v>
      </c>
      <c r="I4" s="88" t="s">
        <v>115</v>
      </c>
      <c r="J4" s="88" t="s">
        <v>117</v>
      </c>
      <c r="K4" s="88" t="s">
        <v>118</v>
      </c>
      <c r="L4" s="87" t="s">
        <v>115</v>
      </c>
      <c r="M4" s="87" t="s">
        <v>117</v>
      </c>
      <c r="N4" s="87" t="s">
        <v>118</v>
      </c>
      <c r="O4" s="81" t="s">
        <v>115</v>
      </c>
      <c r="P4" s="81" t="s">
        <v>117</v>
      </c>
      <c r="Q4" s="260" t="s">
        <v>438</v>
      </c>
      <c r="R4" s="81" t="s">
        <v>115</v>
      </c>
      <c r="S4" s="81" t="s">
        <v>117</v>
      </c>
      <c r="T4" s="81" t="s">
        <v>118</v>
      </c>
      <c r="U4" s="81" t="s">
        <v>115</v>
      </c>
      <c r="V4" s="81" t="s">
        <v>117</v>
      </c>
      <c r="W4" s="260" t="s">
        <v>438</v>
      </c>
    </row>
    <row r="5" spans="2:23">
      <c r="B5" s="79"/>
      <c r="C5" s="79"/>
      <c r="D5" s="82"/>
      <c r="E5" s="82"/>
      <c r="F5" s="257"/>
      <c r="G5" s="257"/>
      <c r="H5" s="276"/>
      <c r="K5" s="277"/>
      <c r="L5" s="257"/>
      <c r="M5" s="257"/>
      <c r="N5" s="276"/>
      <c r="Q5" s="275"/>
      <c r="R5" s="203"/>
      <c r="S5" s="257"/>
      <c r="T5" s="276"/>
      <c r="V5" s="86"/>
      <c r="W5" s="275"/>
    </row>
    <row r="6" spans="2:23" ht="16.5" customHeight="1">
      <c r="B6" s="79"/>
      <c r="C6" s="79"/>
      <c r="D6" s="82"/>
      <c r="E6" s="82"/>
      <c r="F6" s="257"/>
      <c r="G6" s="257"/>
      <c r="L6" s="257"/>
      <c r="M6" s="257"/>
      <c r="R6" s="203"/>
      <c r="S6" s="257"/>
      <c r="V6" s="86"/>
    </row>
    <row r="7" spans="2:23" ht="16.5" customHeight="1">
      <c r="B7" s="79"/>
      <c r="C7" s="79"/>
      <c r="D7" s="82"/>
      <c r="E7" s="82"/>
      <c r="F7" s="257"/>
      <c r="G7" s="257"/>
      <c r="H7" s="276"/>
      <c r="K7" s="277"/>
      <c r="L7" s="257"/>
      <c r="M7" s="257"/>
      <c r="N7" s="276"/>
      <c r="Q7" s="275"/>
      <c r="R7" s="203"/>
      <c r="S7" s="257"/>
      <c r="T7" s="276"/>
      <c r="V7" s="86"/>
      <c r="W7" s="275"/>
    </row>
    <row r="8" spans="2:23" ht="16.5" customHeight="1">
      <c r="B8" s="79"/>
      <c r="C8" s="79"/>
      <c r="D8" s="82"/>
      <c r="E8" s="82"/>
      <c r="F8" s="257"/>
      <c r="G8" s="257"/>
      <c r="H8" s="276"/>
      <c r="K8" s="277"/>
      <c r="L8" s="257"/>
      <c r="M8" s="257"/>
      <c r="N8" s="276"/>
      <c r="Q8" s="275"/>
      <c r="R8" s="203"/>
      <c r="S8" s="257"/>
      <c r="T8" s="276"/>
      <c r="V8" s="86"/>
      <c r="W8" s="275"/>
    </row>
    <row r="9" spans="2:23" ht="16.5" customHeight="1">
      <c r="B9" s="79"/>
      <c r="C9" s="79"/>
      <c r="D9" s="82">
        <v>46054</v>
      </c>
      <c r="E9" s="82" t="s">
        <v>437</v>
      </c>
      <c r="F9" s="205">
        <v>6940443</v>
      </c>
      <c r="G9" s="257"/>
      <c r="H9" s="276">
        <f>SUM(F9:F39)</f>
        <v>192546053</v>
      </c>
      <c r="I9" s="206">
        <v>213372</v>
      </c>
      <c r="K9" s="277">
        <f>SUM(I9:I39)</f>
        <v>5860836</v>
      </c>
      <c r="L9" s="205">
        <v>4404292</v>
      </c>
      <c r="M9" s="257"/>
      <c r="N9" s="276">
        <f>SUM(L9:L39)</f>
        <v>127549685</v>
      </c>
      <c r="O9" s="86">
        <f t="shared" ref="O9:O39" si="0">L9/F9</f>
        <v>0.63458370020472754</v>
      </c>
      <c r="Q9" s="275">
        <f>N9/H9</f>
        <v>0.66243728714605232</v>
      </c>
      <c r="R9" s="207">
        <v>1018517.1304761906</v>
      </c>
      <c r="S9" s="257"/>
      <c r="T9" s="276">
        <f>SUM(R9:R39)</f>
        <v>30046480.78666668</v>
      </c>
      <c r="U9" s="86">
        <f t="shared" ref="U9:U40" si="1">R9/F9</f>
        <v>0.14675102590370537</v>
      </c>
      <c r="V9" s="86"/>
      <c r="W9" s="275">
        <f>T9/H9</f>
        <v>0.15604828205264057</v>
      </c>
    </row>
    <row r="10" spans="2:23" ht="16.5" customHeight="1">
      <c r="B10" s="79"/>
      <c r="C10" s="79"/>
      <c r="D10" s="82">
        <f t="shared" ref="D10:D36" si="2">D9+1</f>
        <v>46055</v>
      </c>
      <c r="E10" s="366" t="s">
        <v>431</v>
      </c>
      <c r="F10" s="205">
        <v>6628151</v>
      </c>
      <c r="G10" s="257">
        <f>SUM(F9:F10)</f>
        <v>13568594</v>
      </c>
      <c r="H10" s="276"/>
      <c r="I10" s="206">
        <v>202479</v>
      </c>
      <c r="J10" s="84">
        <f>SUM(I9:I10)</f>
        <v>415851</v>
      </c>
      <c r="K10" s="277"/>
      <c r="L10" s="205">
        <v>4536979</v>
      </c>
      <c r="M10" s="257">
        <f>SUM(L9:L10)</f>
        <v>8941271</v>
      </c>
      <c r="N10" s="276"/>
      <c r="O10" s="86">
        <f t="shared" si="0"/>
        <v>0.68450145447802868</v>
      </c>
      <c r="P10" s="86">
        <f>M10/G10</f>
        <v>0.65896812890119638</v>
      </c>
      <c r="Q10" s="275"/>
      <c r="R10" s="207">
        <v>1149105.7971428577</v>
      </c>
      <c r="S10" s="257">
        <f>SUM(R9:R10)</f>
        <v>2167622.9276190484</v>
      </c>
      <c r="T10" s="276"/>
      <c r="U10" s="86">
        <f t="shared" si="1"/>
        <v>0.17336747414819875</v>
      </c>
      <c r="V10" s="86">
        <f t="shared" ref="V10:V11" si="3">S10/G10</f>
        <v>0.1597529506461059</v>
      </c>
      <c r="W10" s="275"/>
    </row>
    <row r="11" spans="2:23" ht="16.5" customHeight="1">
      <c r="B11" s="79"/>
      <c r="C11" s="79"/>
      <c r="D11" s="259">
        <f t="shared" si="2"/>
        <v>46056</v>
      </c>
      <c r="E11" s="259" t="s">
        <v>432</v>
      </c>
      <c r="F11" s="205">
        <v>7316700</v>
      </c>
      <c r="G11" s="257">
        <f>SUM(F11:F17)</f>
        <v>47419360</v>
      </c>
      <c r="H11" s="276"/>
      <c r="I11" s="206">
        <v>221093</v>
      </c>
      <c r="J11" s="84">
        <f>SUM(I11:I17)</f>
        <v>1439164</v>
      </c>
      <c r="K11" s="277"/>
      <c r="L11" s="205">
        <v>4959178</v>
      </c>
      <c r="M11" s="257">
        <f>SUM(L11:L17)</f>
        <v>31794253</v>
      </c>
      <c r="N11" s="276"/>
      <c r="O11" s="86">
        <f t="shared" si="0"/>
        <v>0.67778889390025554</v>
      </c>
      <c r="P11" s="86">
        <f>M11/G11</f>
        <v>0.67049097668125424</v>
      </c>
      <c r="Q11" s="275"/>
      <c r="R11" s="207">
        <v>1179589.9304761919</v>
      </c>
      <c r="S11" s="257">
        <f>SUM(R11:R17)</f>
        <v>8002678.7400000058</v>
      </c>
      <c r="T11" s="276"/>
      <c r="U11" s="86">
        <f t="shared" si="1"/>
        <v>0.16121884599289188</v>
      </c>
      <c r="V11" s="86">
        <f t="shared" si="3"/>
        <v>0.16876395505970571</v>
      </c>
      <c r="W11" s="275"/>
    </row>
    <row r="12" spans="2:23" ht="16.5" customHeight="1">
      <c r="B12" s="79"/>
      <c r="C12" s="79"/>
      <c r="D12" s="379">
        <f t="shared" si="2"/>
        <v>46057</v>
      </c>
      <c r="E12" s="379" t="s">
        <v>433</v>
      </c>
      <c r="F12" s="205">
        <v>6974914</v>
      </c>
      <c r="G12" s="257"/>
      <c r="H12" s="276"/>
      <c r="I12" s="206">
        <v>212942</v>
      </c>
      <c r="K12" s="277"/>
      <c r="L12" s="205">
        <v>4716785</v>
      </c>
      <c r="M12" s="257"/>
      <c r="N12" s="276"/>
      <c r="O12" s="86">
        <f t="shared" si="0"/>
        <v>0.67624991505271603</v>
      </c>
      <c r="Q12" s="275"/>
      <c r="R12" s="207">
        <v>1154788.3438095246</v>
      </c>
      <c r="S12" s="257"/>
      <c r="T12" s="276"/>
      <c r="U12" s="86">
        <f t="shared" si="1"/>
        <v>0.1655630942273302</v>
      </c>
      <c r="V12" s="86"/>
      <c r="W12" s="275"/>
    </row>
    <row r="13" spans="2:23" ht="16.5" customHeight="1">
      <c r="B13" s="79"/>
      <c r="C13" s="79"/>
      <c r="D13" s="379">
        <f t="shared" si="2"/>
        <v>46058</v>
      </c>
      <c r="E13" s="379" t="s">
        <v>434</v>
      </c>
      <c r="F13" s="205">
        <v>6570703</v>
      </c>
      <c r="G13" s="257"/>
      <c r="H13" s="276"/>
      <c r="I13" s="206">
        <v>201476</v>
      </c>
      <c r="K13" s="277"/>
      <c r="L13" s="205">
        <v>4496489</v>
      </c>
      <c r="M13" s="257"/>
      <c r="N13" s="276"/>
      <c r="O13" s="86">
        <f t="shared" si="0"/>
        <v>0.68432388436975466</v>
      </c>
      <c r="Q13" s="275"/>
      <c r="R13" s="207">
        <v>1125501.2638095247</v>
      </c>
      <c r="S13" s="257"/>
      <c r="T13" s="276"/>
      <c r="U13" s="86">
        <f t="shared" si="1"/>
        <v>0.17129084419270277</v>
      </c>
      <c r="V13" s="86"/>
      <c r="W13" s="275"/>
    </row>
    <row r="14" spans="2:23" ht="16.5" customHeight="1">
      <c r="B14" s="79"/>
      <c r="C14" s="79"/>
      <c r="D14" s="379">
        <f t="shared" si="2"/>
        <v>46059</v>
      </c>
      <c r="E14" s="379" t="s">
        <v>435</v>
      </c>
      <c r="F14" s="205">
        <v>6000072</v>
      </c>
      <c r="G14" s="257"/>
      <c r="H14" s="276"/>
      <c r="I14" s="206">
        <v>182653</v>
      </c>
      <c r="K14" s="277"/>
      <c r="L14" s="205">
        <v>4113039</v>
      </c>
      <c r="M14" s="257"/>
      <c r="N14" s="276"/>
      <c r="O14" s="86">
        <f t="shared" si="0"/>
        <v>0.68549827402071173</v>
      </c>
      <c r="Q14" s="275"/>
      <c r="R14" s="207">
        <v>1122545.3838095241</v>
      </c>
      <c r="S14" s="257"/>
      <c r="T14" s="276"/>
      <c r="U14" s="86">
        <f t="shared" si="1"/>
        <v>0.1870886522377605</v>
      </c>
      <c r="V14" s="86"/>
      <c r="W14" s="275"/>
    </row>
    <row r="15" spans="2:23" ht="16.5" customHeight="1">
      <c r="B15" s="79"/>
      <c r="C15" s="79"/>
      <c r="D15" s="379">
        <f t="shared" si="2"/>
        <v>46060</v>
      </c>
      <c r="E15" s="379" t="s">
        <v>436</v>
      </c>
      <c r="F15" s="205">
        <v>6372390</v>
      </c>
      <c r="G15" s="257"/>
      <c r="H15" s="276"/>
      <c r="I15" s="206">
        <v>191738</v>
      </c>
      <c r="K15" s="277"/>
      <c r="L15" s="205">
        <v>4263315</v>
      </c>
      <c r="M15" s="257"/>
      <c r="N15" s="276"/>
      <c r="O15" s="86">
        <f t="shared" si="0"/>
        <v>0.66902920254410037</v>
      </c>
      <c r="Q15" s="275"/>
      <c r="R15" s="207">
        <v>1118191.0504761911</v>
      </c>
      <c r="S15" s="257"/>
      <c r="T15" s="276"/>
      <c r="U15" s="86">
        <f t="shared" si="1"/>
        <v>0.17547435898872968</v>
      </c>
      <c r="V15" s="86"/>
      <c r="W15" s="275"/>
    </row>
    <row r="16" spans="2:23" ht="16.5" customHeight="1">
      <c r="B16" s="79"/>
      <c r="C16" s="79"/>
      <c r="D16" s="379">
        <f t="shared" si="2"/>
        <v>46061</v>
      </c>
      <c r="E16" s="379" t="s">
        <v>437</v>
      </c>
      <c r="F16" s="205">
        <v>7231076</v>
      </c>
      <c r="G16" s="257"/>
      <c r="H16" s="276"/>
      <c r="I16" s="206">
        <v>218352</v>
      </c>
      <c r="K16" s="277"/>
      <c r="L16" s="205">
        <v>4640613</v>
      </c>
      <c r="M16" s="257"/>
      <c r="N16" s="276"/>
      <c r="O16" s="86">
        <f t="shared" si="0"/>
        <v>0.64175967725964989</v>
      </c>
      <c r="Q16" s="275"/>
      <c r="R16" s="207">
        <v>1158743.6771428576</v>
      </c>
      <c r="S16" s="257"/>
      <c r="T16" s="276"/>
      <c r="U16" s="86">
        <f t="shared" si="1"/>
        <v>0.16024498665798251</v>
      </c>
      <c r="V16" s="86"/>
      <c r="W16" s="275"/>
    </row>
    <row r="17" spans="2:23" ht="16.5" customHeight="1">
      <c r="B17" s="79"/>
      <c r="C17" s="79"/>
      <c r="D17" s="379">
        <f t="shared" si="2"/>
        <v>46062</v>
      </c>
      <c r="E17" s="379" t="s">
        <v>431</v>
      </c>
      <c r="F17" s="205">
        <v>6953505</v>
      </c>
      <c r="G17" s="257"/>
      <c r="H17" s="276"/>
      <c r="I17" s="206">
        <v>210910</v>
      </c>
      <c r="K17" s="277"/>
      <c r="L17" s="205">
        <v>4604834</v>
      </c>
      <c r="M17" s="257"/>
      <c r="N17" s="276"/>
      <c r="O17" s="86">
        <f t="shared" si="0"/>
        <v>0.66223206857548822</v>
      </c>
      <c r="Q17" s="275"/>
      <c r="R17" s="205">
        <v>1143319.0904761914</v>
      </c>
      <c r="S17" s="257"/>
      <c r="T17" s="276"/>
      <c r="U17" s="86">
        <f t="shared" si="1"/>
        <v>0.16442342250076636</v>
      </c>
      <c r="V17" s="86"/>
      <c r="W17" s="275"/>
    </row>
    <row r="18" spans="2:23" ht="16.5" customHeight="1">
      <c r="B18" s="79"/>
      <c r="C18" s="79"/>
      <c r="D18" s="366">
        <f t="shared" si="2"/>
        <v>46063</v>
      </c>
      <c r="E18" s="366" t="s">
        <v>432</v>
      </c>
      <c r="F18" s="205">
        <v>6822744</v>
      </c>
      <c r="G18" s="257">
        <f>SUM(F18:F24)</f>
        <v>46841477</v>
      </c>
      <c r="H18" s="276"/>
      <c r="I18" s="206">
        <v>208026</v>
      </c>
      <c r="J18" s="84">
        <f>SUM(I18:I24)</f>
        <v>1411398</v>
      </c>
      <c r="K18" s="277"/>
      <c r="L18" s="205">
        <v>4499537</v>
      </c>
      <c r="M18" s="257">
        <f>SUM(L18:L24)</f>
        <v>30527908</v>
      </c>
      <c r="N18" s="276"/>
      <c r="O18" s="86">
        <f t="shared" si="0"/>
        <v>0.65949081483930805</v>
      </c>
      <c r="P18" s="86">
        <f>M18/G18</f>
        <v>0.65172812548161108</v>
      </c>
      <c r="Q18" s="275"/>
      <c r="R18" s="205">
        <v>1102695.863809525</v>
      </c>
      <c r="S18" s="257">
        <f>SUM(R18:R24)</f>
        <v>7351617.5933333375</v>
      </c>
      <c r="T18" s="276"/>
      <c r="U18" s="86">
        <f t="shared" si="1"/>
        <v>0.1616205831274814</v>
      </c>
      <c r="V18" s="86">
        <f>S18/G18</f>
        <v>0.15694675027718144</v>
      </c>
      <c r="W18" s="275"/>
    </row>
    <row r="19" spans="2:23" ht="16.5" customHeight="1">
      <c r="B19" s="79"/>
      <c r="C19" s="79"/>
      <c r="D19" s="380">
        <f t="shared" si="2"/>
        <v>46064</v>
      </c>
      <c r="E19" s="380" t="s">
        <v>433</v>
      </c>
      <c r="F19" s="205">
        <v>6624486</v>
      </c>
      <c r="G19" s="257"/>
      <c r="H19" s="276"/>
      <c r="I19" s="206">
        <v>201231</v>
      </c>
      <c r="K19" s="277"/>
      <c r="L19" s="205">
        <v>4384850</v>
      </c>
      <c r="M19" s="257"/>
      <c r="N19" s="276"/>
      <c r="O19" s="86">
        <f t="shared" si="0"/>
        <v>0.66191550559545298</v>
      </c>
      <c r="Q19" s="275"/>
      <c r="R19" s="205">
        <v>1060424.8904761912</v>
      </c>
      <c r="S19" s="257"/>
      <c r="T19" s="276"/>
      <c r="U19" s="86">
        <f t="shared" si="1"/>
        <v>0.16007655393583611</v>
      </c>
      <c r="V19" s="86"/>
      <c r="W19" s="275"/>
    </row>
    <row r="20" spans="2:23" ht="16.5" customHeight="1">
      <c r="B20" s="79"/>
      <c r="C20" s="79"/>
      <c r="D20" s="380">
        <f t="shared" si="2"/>
        <v>46065</v>
      </c>
      <c r="E20" s="380" t="s">
        <v>434</v>
      </c>
      <c r="F20" s="205">
        <v>6520982</v>
      </c>
      <c r="G20" s="257"/>
      <c r="H20" s="276"/>
      <c r="I20" s="206">
        <v>195501</v>
      </c>
      <c r="K20" s="277"/>
      <c r="L20" s="205">
        <v>4297786</v>
      </c>
      <c r="M20" s="257"/>
      <c r="N20" s="276"/>
      <c r="O20" s="86">
        <f t="shared" si="0"/>
        <v>0.65907036700914068</v>
      </c>
      <c r="Q20" s="275"/>
      <c r="R20" s="205">
        <v>1033897.7571428579</v>
      </c>
      <c r="S20" s="257"/>
      <c r="T20" s="276"/>
      <c r="U20" s="86">
        <f t="shared" si="1"/>
        <v>0.1585493959564461</v>
      </c>
      <c r="V20" s="86"/>
      <c r="W20" s="275"/>
    </row>
    <row r="21" spans="2:23" ht="16.5" customHeight="1">
      <c r="B21" s="79"/>
      <c r="C21" s="79"/>
      <c r="D21" s="380">
        <f t="shared" si="2"/>
        <v>46066</v>
      </c>
      <c r="E21" s="380" t="s">
        <v>435</v>
      </c>
      <c r="F21" s="205">
        <v>6287200</v>
      </c>
      <c r="G21" s="257"/>
      <c r="H21" s="276"/>
      <c r="I21" s="206">
        <v>188964</v>
      </c>
      <c r="K21" s="277"/>
      <c r="L21" s="205">
        <v>4157276</v>
      </c>
      <c r="M21" s="257"/>
      <c r="N21" s="276"/>
      <c r="O21" s="86">
        <f t="shared" si="0"/>
        <v>0.66122852780251939</v>
      </c>
      <c r="Q21" s="275"/>
      <c r="R21" s="205">
        <v>1046688.290476191</v>
      </c>
      <c r="S21" s="257"/>
      <c r="T21" s="276"/>
      <c r="U21" s="86">
        <f t="shared" si="1"/>
        <v>0.16647924202764203</v>
      </c>
      <c r="V21" s="86"/>
      <c r="W21" s="275"/>
    </row>
    <row r="22" spans="2:23" ht="16.5" customHeight="1">
      <c r="B22" s="79"/>
      <c r="C22" s="79"/>
      <c r="D22" s="380">
        <f t="shared" si="2"/>
        <v>46067</v>
      </c>
      <c r="E22" s="380" t="s">
        <v>436</v>
      </c>
      <c r="F22" s="205">
        <v>6831701</v>
      </c>
      <c r="G22" s="257"/>
      <c r="H22" s="276"/>
      <c r="I22" s="206">
        <v>202302</v>
      </c>
      <c r="K22" s="277"/>
      <c r="L22" s="205">
        <v>4449159</v>
      </c>
      <c r="M22" s="257"/>
      <c r="N22" s="276"/>
      <c r="O22" s="86">
        <f t="shared" si="0"/>
        <v>0.65125200883352474</v>
      </c>
      <c r="Q22" s="275"/>
      <c r="R22" s="205">
        <v>1058290.4371428583</v>
      </c>
      <c r="S22" s="257"/>
      <c r="T22" s="276"/>
      <c r="U22" s="86">
        <f t="shared" si="1"/>
        <v>0.15490877559525193</v>
      </c>
      <c r="V22" s="86"/>
      <c r="W22" s="275"/>
    </row>
    <row r="23" spans="2:23" ht="16.5" customHeight="1">
      <c r="B23" s="79"/>
      <c r="C23" s="79"/>
      <c r="D23" s="380">
        <f t="shared" si="2"/>
        <v>46068</v>
      </c>
      <c r="E23" s="380" t="s">
        <v>437</v>
      </c>
      <c r="F23" s="205">
        <v>6930409</v>
      </c>
      <c r="G23" s="257"/>
      <c r="H23" s="276"/>
      <c r="I23" s="206">
        <v>207251</v>
      </c>
      <c r="K23" s="277"/>
      <c r="L23" s="205">
        <v>4268783</v>
      </c>
      <c r="M23" s="257"/>
      <c r="N23" s="276"/>
      <c r="O23" s="86">
        <f t="shared" si="0"/>
        <v>0.61594965030202398</v>
      </c>
      <c r="Q23" s="275"/>
      <c r="R23" s="205">
        <v>1042217.0904761909</v>
      </c>
      <c r="S23" s="257"/>
      <c r="T23" s="276"/>
      <c r="U23" s="86">
        <f t="shared" si="1"/>
        <v>0.15038320111788364</v>
      </c>
      <c r="V23" s="86"/>
      <c r="W23" s="275"/>
    </row>
    <row r="24" spans="2:23" ht="16.5" customHeight="1">
      <c r="B24" s="79"/>
      <c r="C24" s="79"/>
      <c r="D24" s="380">
        <f t="shared" si="2"/>
        <v>46069</v>
      </c>
      <c r="E24" s="380" t="s">
        <v>431</v>
      </c>
      <c r="F24" s="205">
        <v>6823955</v>
      </c>
      <c r="G24" s="257"/>
      <c r="H24" s="276"/>
      <c r="I24" s="206">
        <v>208123</v>
      </c>
      <c r="K24" s="277"/>
      <c r="L24" s="205">
        <v>4470517</v>
      </c>
      <c r="M24" s="257"/>
      <c r="N24" s="276"/>
      <c r="O24" s="86">
        <f t="shared" si="0"/>
        <v>0.65512111378225679</v>
      </c>
      <c r="Q24" s="275"/>
      <c r="R24" s="205">
        <v>1007403.263809524</v>
      </c>
      <c r="S24" s="257"/>
      <c r="T24" s="276"/>
      <c r="U24" s="86">
        <f t="shared" si="1"/>
        <v>0.14762747758587563</v>
      </c>
      <c r="V24" s="86"/>
      <c r="W24" s="275"/>
    </row>
    <row r="25" spans="2:23" ht="16.5" customHeight="1">
      <c r="B25" s="79"/>
      <c r="C25" s="79"/>
      <c r="D25" s="259">
        <f t="shared" si="2"/>
        <v>46070</v>
      </c>
      <c r="E25" s="259" t="s">
        <v>432</v>
      </c>
      <c r="F25" s="205">
        <v>7088240</v>
      </c>
      <c r="G25" s="257">
        <f>SUM(F25:F31)</f>
        <v>50338515</v>
      </c>
      <c r="H25" s="276"/>
      <c r="I25" s="206">
        <v>215712</v>
      </c>
      <c r="J25" s="84">
        <f>SUM(I25:I31)</f>
        <v>1532885</v>
      </c>
      <c r="K25" s="277"/>
      <c r="L25" s="205">
        <v>4526289</v>
      </c>
      <c r="M25" s="257">
        <f>SUM(L25:L31)</f>
        <v>33036774</v>
      </c>
      <c r="N25" s="276"/>
      <c r="O25" s="86">
        <f t="shared" si="0"/>
        <v>0.63856316941864266</v>
      </c>
      <c r="P25" s="86">
        <f>M25/G25</f>
        <v>0.65629218501976072</v>
      </c>
      <c r="Q25" s="275"/>
      <c r="R25" s="205">
        <v>1027388.9971428571</v>
      </c>
      <c r="S25" s="257">
        <f>SUM(R25:R31)</f>
        <v>7295661.1666666698</v>
      </c>
      <c r="T25" s="276"/>
      <c r="U25" s="86">
        <f t="shared" si="1"/>
        <v>0.14494274984239489</v>
      </c>
      <c r="V25" s="86">
        <f>S25/G25</f>
        <v>0.14493199027954379</v>
      </c>
      <c r="W25" s="275"/>
    </row>
    <row r="26" spans="2:23">
      <c r="B26" s="79"/>
      <c r="C26" s="79"/>
      <c r="D26" s="379">
        <f t="shared" si="2"/>
        <v>46071</v>
      </c>
      <c r="E26" s="379" t="s">
        <v>433</v>
      </c>
      <c r="F26" s="205">
        <v>6877528</v>
      </c>
      <c r="G26" s="257"/>
      <c r="H26" s="276"/>
      <c r="I26" s="206">
        <v>209717</v>
      </c>
      <c r="K26" s="277"/>
      <c r="L26" s="205">
        <v>4673971</v>
      </c>
      <c r="M26" s="257"/>
      <c r="N26" s="276"/>
      <c r="O26" s="86">
        <f t="shared" si="0"/>
        <v>0.67960043201568932</v>
      </c>
      <c r="Q26" s="275"/>
      <c r="R26" s="205">
        <v>1021910.6771428573</v>
      </c>
      <c r="S26" s="257"/>
      <c r="T26" s="276"/>
      <c r="U26" s="86">
        <f t="shared" si="1"/>
        <v>0.1485869162790551</v>
      </c>
      <c r="V26" s="86"/>
      <c r="W26" s="275"/>
    </row>
    <row r="27" spans="2:23">
      <c r="B27" s="79"/>
      <c r="C27" s="79"/>
      <c r="D27" s="379">
        <f t="shared" si="2"/>
        <v>46072</v>
      </c>
      <c r="E27" s="379" t="s">
        <v>434</v>
      </c>
      <c r="F27" s="205">
        <v>6573692</v>
      </c>
      <c r="G27" s="257"/>
      <c r="H27" s="276"/>
      <c r="I27" s="206">
        <v>201362</v>
      </c>
      <c r="K27" s="277"/>
      <c r="L27" s="205">
        <v>4435282</v>
      </c>
      <c r="M27" s="257"/>
      <c r="N27" s="276"/>
      <c r="O27" s="86">
        <f t="shared" si="0"/>
        <v>0.67470182661432876</v>
      </c>
      <c r="Q27" s="275"/>
      <c r="R27" s="205">
        <v>1016291.9438095239</v>
      </c>
      <c r="S27" s="257"/>
      <c r="T27" s="276"/>
      <c r="U27" s="86">
        <f t="shared" si="1"/>
        <v>0.15459987231064734</v>
      </c>
      <c r="V27" s="86"/>
      <c r="W27" s="275"/>
    </row>
    <row r="28" spans="2:23">
      <c r="B28" s="79"/>
      <c r="C28" s="79"/>
      <c r="D28" s="379">
        <f t="shared" si="2"/>
        <v>46073</v>
      </c>
      <c r="E28" s="379" t="s">
        <v>435</v>
      </c>
      <c r="F28" s="205">
        <v>6579672</v>
      </c>
      <c r="G28" s="257"/>
      <c r="H28" s="276"/>
      <c r="I28" s="206">
        <v>199321</v>
      </c>
      <c r="K28" s="277"/>
      <c r="L28" s="205">
        <v>4163008</v>
      </c>
      <c r="M28" s="257"/>
      <c r="N28" s="276"/>
      <c r="O28" s="86">
        <f t="shared" si="0"/>
        <v>0.63270752706213929</v>
      </c>
      <c r="Q28" s="275"/>
      <c r="R28" s="205">
        <v>1016332.5704761905</v>
      </c>
      <c r="S28" s="257"/>
      <c r="T28" s="276"/>
      <c r="U28" s="86">
        <f t="shared" si="1"/>
        <v>0.15446553726024498</v>
      </c>
      <c r="V28" s="86"/>
      <c r="W28" s="275"/>
    </row>
    <row r="29" spans="2:23">
      <c r="B29" s="79"/>
      <c r="C29" s="79"/>
      <c r="D29" s="379">
        <f t="shared" si="2"/>
        <v>46074</v>
      </c>
      <c r="E29" s="379" t="s">
        <v>436</v>
      </c>
      <c r="F29" s="205">
        <v>7184913</v>
      </c>
      <c r="G29" s="257"/>
      <c r="H29" s="276"/>
      <c r="I29" s="206">
        <v>217412</v>
      </c>
      <c r="K29" s="277"/>
      <c r="L29" s="205">
        <v>4634198</v>
      </c>
      <c r="M29" s="257"/>
      <c r="N29" s="276"/>
      <c r="O29" s="86">
        <f t="shared" si="0"/>
        <v>0.64499013418812445</v>
      </c>
      <c r="Q29" s="275"/>
      <c r="R29" s="205">
        <v>1036185.5171428577</v>
      </c>
      <c r="S29" s="257"/>
      <c r="T29" s="276"/>
      <c r="U29" s="86">
        <f t="shared" si="1"/>
        <v>0.14421684954888914</v>
      </c>
      <c r="V29" s="86"/>
      <c r="W29" s="275"/>
    </row>
    <row r="30" spans="2:23">
      <c r="B30" s="79"/>
      <c r="C30" s="79"/>
      <c r="D30" s="379">
        <f t="shared" si="2"/>
        <v>46075</v>
      </c>
      <c r="E30" s="379" t="s">
        <v>437</v>
      </c>
      <c r="F30" s="205">
        <v>8119330</v>
      </c>
      <c r="G30" s="257"/>
      <c r="H30" s="276"/>
      <c r="I30" s="206">
        <v>248303</v>
      </c>
      <c r="K30" s="277"/>
      <c r="L30" s="205">
        <v>5375035</v>
      </c>
      <c r="M30" s="257"/>
      <c r="N30" s="276"/>
      <c r="O30" s="86">
        <f t="shared" si="0"/>
        <v>0.66200474669707965</v>
      </c>
      <c r="Q30" s="275"/>
      <c r="R30" s="205">
        <v>1083740.3971428582</v>
      </c>
      <c r="S30" s="257"/>
      <c r="T30" s="276"/>
      <c r="U30" s="86">
        <f t="shared" si="1"/>
        <v>0.13347657961221657</v>
      </c>
      <c r="V30" s="86"/>
      <c r="W30" s="275"/>
    </row>
    <row r="31" spans="2:23">
      <c r="B31" s="79"/>
      <c r="C31" s="79"/>
      <c r="D31" s="379">
        <f t="shared" si="2"/>
        <v>46076</v>
      </c>
      <c r="E31" s="379" t="s">
        <v>431</v>
      </c>
      <c r="F31" s="205">
        <v>7915140</v>
      </c>
      <c r="G31" s="257"/>
      <c r="H31" s="276"/>
      <c r="I31" s="206">
        <v>241058</v>
      </c>
      <c r="K31" s="277"/>
      <c r="L31" s="205">
        <v>5228991</v>
      </c>
      <c r="M31" s="257"/>
      <c r="N31" s="276"/>
      <c r="O31" s="86">
        <f t="shared" si="0"/>
        <v>0.66063152388965951</v>
      </c>
      <c r="Q31" s="275"/>
      <c r="R31" s="205">
        <v>1093811.0638095248</v>
      </c>
      <c r="S31" s="257"/>
      <c r="T31" s="276"/>
      <c r="U31" s="86">
        <f t="shared" si="1"/>
        <v>0.13819225734598817</v>
      </c>
      <c r="V31" s="86"/>
      <c r="W31" s="275"/>
    </row>
    <row r="32" spans="2:23">
      <c r="B32" s="79"/>
      <c r="C32" s="79"/>
      <c r="D32" s="366">
        <f t="shared" si="2"/>
        <v>46077</v>
      </c>
      <c r="E32" s="366" t="s">
        <v>432</v>
      </c>
      <c r="F32" s="205">
        <v>7787196</v>
      </c>
      <c r="G32" s="257">
        <f>SUM(F32:F38)</f>
        <v>34378107</v>
      </c>
      <c r="H32" s="276"/>
      <c r="I32" s="206">
        <v>238500</v>
      </c>
      <c r="J32" s="84">
        <f>SUM(I32:I38)</f>
        <v>1061538</v>
      </c>
      <c r="K32" s="277"/>
      <c r="L32" s="205">
        <v>5293634</v>
      </c>
      <c r="M32" s="257">
        <f>SUM(L32:L38)</f>
        <v>23249479</v>
      </c>
      <c r="N32" s="276"/>
      <c r="O32" s="86">
        <f t="shared" si="0"/>
        <v>0.6797869220191709</v>
      </c>
      <c r="P32" s="86">
        <f>M32/G32</f>
        <v>0.67628735346015412</v>
      </c>
      <c r="Q32" s="275"/>
      <c r="R32" s="205">
        <v>1092095.7038095254</v>
      </c>
      <c r="S32" s="257">
        <f>SUM(R32:R38)</f>
        <v>5228900.3590476196</v>
      </c>
      <c r="T32" s="276"/>
      <c r="U32" s="86">
        <f t="shared" si="1"/>
        <v>0.14024248314920099</v>
      </c>
      <c r="V32" s="86">
        <f>S32/G32</f>
        <v>0.15209971738838382</v>
      </c>
      <c r="W32" s="275"/>
    </row>
    <row r="33" spans="2:23">
      <c r="B33" s="79"/>
      <c r="C33" s="79"/>
      <c r="D33" s="380">
        <f t="shared" si="2"/>
        <v>46078</v>
      </c>
      <c r="E33" s="380" t="s">
        <v>433</v>
      </c>
      <c r="F33" s="205">
        <v>7117740</v>
      </c>
      <c r="G33" s="257"/>
      <c r="H33" s="276"/>
      <c r="I33" s="206">
        <v>220012</v>
      </c>
      <c r="K33" s="277"/>
      <c r="L33" s="205">
        <v>4906615</v>
      </c>
      <c r="M33" s="257"/>
      <c r="N33" s="276"/>
      <c r="O33" s="86">
        <f t="shared" si="0"/>
        <v>0.68935013079994489</v>
      </c>
      <c r="Q33" s="275"/>
      <c r="R33" s="205">
        <v>1086520.3838095225</v>
      </c>
      <c r="S33" s="257"/>
      <c r="T33" s="276"/>
      <c r="U33" s="86">
        <f t="shared" si="1"/>
        <v>0.15264963089541378</v>
      </c>
      <c r="V33" s="86"/>
      <c r="W33" s="275"/>
    </row>
    <row r="34" spans="2:23">
      <c r="B34" s="79"/>
      <c r="C34" s="79"/>
      <c r="D34" s="380">
        <f t="shared" si="2"/>
        <v>46079</v>
      </c>
      <c r="E34" s="380" t="s">
        <v>434</v>
      </c>
      <c r="F34" s="205">
        <v>6605721</v>
      </c>
      <c r="G34" s="257"/>
      <c r="H34" s="276"/>
      <c r="I34" s="206">
        <v>203308</v>
      </c>
      <c r="K34" s="277"/>
      <c r="L34" s="205">
        <v>4370994</v>
      </c>
      <c r="M34" s="257"/>
      <c r="N34" s="276"/>
      <c r="O34" s="86">
        <f t="shared" si="0"/>
        <v>0.66169824611121175</v>
      </c>
      <c r="Q34" s="275"/>
      <c r="R34" s="205">
        <v>1022471.1838095236</v>
      </c>
      <c r="S34" s="257"/>
      <c r="T34" s="276"/>
      <c r="U34" s="86">
        <f t="shared" si="1"/>
        <v>0.1547857052711617</v>
      </c>
      <c r="V34" s="86"/>
      <c r="W34" s="275"/>
    </row>
    <row r="35" spans="2:23">
      <c r="B35" s="79"/>
      <c r="C35" s="79"/>
      <c r="D35" s="380">
        <f t="shared" si="2"/>
        <v>46080</v>
      </c>
      <c r="E35" s="380" t="s">
        <v>435</v>
      </c>
      <c r="F35" s="205">
        <v>6179335</v>
      </c>
      <c r="G35" s="257"/>
      <c r="H35" s="276"/>
      <c r="I35" s="206">
        <v>192545</v>
      </c>
      <c r="K35" s="277"/>
      <c r="L35" s="205">
        <v>4262264</v>
      </c>
      <c r="M35" s="257"/>
      <c r="N35" s="276"/>
      <c r="O35" s="86">
        <f t="shared" si="0"/>
        <v>0.68976095324173237</v>
      </c>
      <c r="Q35" s="275"/>
      <c r="R35" s="205">
        <v>1006991.7571428574</v>
      </c>
      <c r="S35" s="257"/>
      <c r="T35" s="276"/>
      <c r="U35" s="86">
        <f t="shared" si="1"/>
        <v>0.16296118549048683</v>
      </c>
      <c r="V35" s="86"/>
      <c r="W35" s="275"/>
    </row>
    <row r="36" spans="2:23">
      <c r="B36" s="79"/>
      <c r="D36" s="380">
        <f t="shared" si="2"/>
        <v>46081</v>
      </c>
      <c r="E36" s="380" t="s">
        <v>436</v>
      </c>
      <c r="F36" s="205">
        <v>6688115</v>
      </c>
      <c r="G36" s="257"/>
      <c r="I36" s="206">
        <v>207173</v>
      </c>
      <c r="L36" s="205">
        <v>4415972</v>
      </c>
      <c r="M36" s="257"/>
      <c r="N36" s="83"/>
      <c r="O36" s="86">
        <f t="shared" si="0"/>
        <v>0.66027154138348398</v>
      </c>
      <c r="Q36" s="83"/>
      <c r="R36" s="205">
        <v>1020821.3304761904</v>
      </c>
      <c r="S36" s="257"/>
      <c r="T36" s="83"/>
      <c r="U36" s="86">
        <f t="shared" si="1"/>
        <v>0.15263214380676624</v>
      </c>
      <c r="V36" s="86"/>
      <c r="W36" s="83"/>
    </row>
    <row r="37" spans="2:23">
      <c r="B37" s="79"/>
      <c r="D37" s="366"/>
      <c r="E37" s="366"/>
      <c r="F37" s="257"/>
      <c r="G37" s="257"/>
      <c r="L37" s="257"/>
      <c r="M37" s="257"/>
      <c r="N37" s="83"/>
      <c r="O37" s="86" t="e">
        <f t="shared" si="0"/>
        <v>#DIV/0!</v>
      </c>
      <c r="Q37" s="83"/>
      <c r="R37" s="257"/>
      <c r="S37" s="257"/>
      <c r="T37" s="83"/>
      <c r="U37" s="86" t="e">
        <f t="shared" si="1"/>
        <v>#DIV/0!</v>
      </c>
      <c r="V37" s="86"/>
      <c r="W37" s="83"/>
    </row>
    <row r="38" spans="2:23">
      <c r="B38" s="79"/>
      <c r="D38" s="366"/>
      <c r="E38" s="366"/>
      <c r="F38" s="257"/>
      <c r="G38" s="257"/>
      <c r="L38" s="257"/>
      <c r="M38" s="257"/>
      <c r="N38" s="83"/>
      <c r="O38" s="86" t="e">
        <f t="shared" si="0"/>
        <v>#DIV/0!</v>
      </c>
      <c r="Q38" s="83"/>
      <c r="R38" s="257"/>
      <c r="S38" s="257"/>
      <c r="T38" s="83"/>
      <c r="U38" s="86" t="e">
        <f t="shared" si="1"/>
        <v>#DIV/0!</v>
      </c>
      <c r="V38" s="86"/>
      <c r="W38" s="83"/>
    </row>
    <row r="39" spans="2:23">
      <c r="B39" s="79"/>
      <c r="D39" s="366"/>
      <c r="E39" s="366"/>
      <c r="F39" s="257"/>
      <c r="G39" s="257"/>
      <c r="L39" s="257"/>
      <c r="M39" s="257"/>
      <c r="N39" s="83"/>
      <c r="O39" s="86" t="e">
        <f t="shared" si="0"/>
        <v>#DIV/0!</v>
      </c>
      <c r="Q39" s="83"/>
      <c r="R39" s="257"/>
      <c r="S39" s="257"/>
      <c r="T39" s="83"/>
      <c r="U39" s="86" t="e">
        <f t="shared" si="1"/>
        <v>#DIV/0!</v>
      </c>
      <c r="V39" s="86"/>
      <c r="W39" s="83"/>
    </row>
    <row r="40" spans="2:23">
      <c r="B40" s="79"/>
      <c r="D40" s="82"/>
      <c r="E40" s="82"/>
      <c r="F40" s="257"/>
      <c r="G40" s="257"/>
      <c r="L40" s="257"/>
      <c r="M40" s="257"/>
      <c r="N40" s="83"/>
      <c r="O40" s="86" t="e">
        <f>L40/F40</f>
        <v>#DIV/0!</v>
      </c>
      <c r="Q40" s="83"/>
      <c r="R40" s="203"/>
      <c r="S40" s="257"/>
      <c r="T40" s="83"/>
      <c r="U40" s="86" t="e">
        <f t="shared" si="1"/>
        <v>#DIV/0!</v>
      </c>
      <c r="V40" s="86"/>
      <c r="W40" s="83"/>
    </row>
    <row r="41" spans="2:23">
      <c r="B41" s="79"/>
      <c r="D41" s="82"/>
      <c r="E41" s="82"/>
      <c r="G41" s="257"/>
      <c r="M41" s="257"/>
      <c r="N41" s="83"/>
      <c r="Q41" s="83"/>
      <c r="S41" s="257"/>
      <c r="T41" s="83"/>
      <c r="V41" s="86"/>
      <c r="W41" s="83"/>
    </row>
    <row r="42" spans="2:23">
      <c r="B42" s="79"/>
      <c r="D42" s="82"/>
      <c r="E42" s="82"/>
      <c r="G42" s="257"/>
      <c r="M42" s="257"/>
      <c r="N42" s="83"/>
      <c r="Q42" s="83"/>
      <c r="S42" s="257"/>
      <c r="T42" s="83"/>
      <c r="V42" s="86"/>
      <c r="W42" s="83"/>
    </row>
    <row r="43" spans="2:23">
      <c r="B43" s="79"/>
      <c r="D43" s="82"/>
      <c r="E43" s="82"/>
      <c r="G43" s="257"/>
      <c r="M43" s="257"/>
      <c r="N43" s="83"/>
      <c r="Q43" s="83"/>
      <c r="S43" s="257"/>
      <c r="T43" s="83"/>
      <c r="V43" s="86"/>
      <c r="W43" s="83"/>
    </row>
    <row r="44" spans="2:23">
      <c r="B44" s="79"/>
      <c r="M44" s="83"/>
      <c r="S44" s="83"/>
    </row>
    <row r="45" spans="2:23">
      <c r="B45" s="79"/>
      <c r="M45" s="83"/>
    </row>
    <row r="46" spans="2:23">
      <c r="B46" s="79"/>
      <c r="M46" s="83"/>
    </row>
    <row r="47" spans="2:23">
      <c r="B47" s="79"/>
      <c r="M47" s="83"/>
    </row>
    <row r="48" spans="2:23">
      <c r="B48" s="79"/>
      <c r="M48" s="83"/>
    </row>
    <row r="49" spans="2:13">
      <c r="B49" s="79"/>
      <c r="M49" s="83"/>
    </row>
    <row r="50" spans="2:13">
      <c r="M50" s="83"/>
    </row>
    <row r="51" spans="2:13">
      <c r="M51" s="83"/>
    </row>
    <row r="52" spans="2:13">
      <c r="M52" s="83"/>
    </row>
    <row r="53" spans="2:13">
      <c r="M53" s="83"/>
    </row>
    <row r="54" spans="2:13">
      <c r="M54" s="83"/>
    </row>
    <row r="55" spans="2:13">
      <c r="M55" s="83"/>
    </row>
    <row r="56" spans="2:13">
      <c r="M56" s="83"/>
    </row>
    <row r="57" spans="2:13">
      <c r="M57" s="83"/>
    </row>
  </sheetData>
  <mergeCells count="9">
    <mergeCell ref="O3:Q3"/>
    <mergeCell ref="B2:W2"/>
    <mergeCell ref="I3:K3"/>
    <mergeCell ref="L3:N3"/>
    <mergeCell ref="F3:H3"/>
    <mergeCell ref="C3:C4"/>
    <mergeCell ref="D3:E4"/>
    <mergeCell ref="R3:T3"/>
    <mergeCell ref="U3:W3"/>
  </mergeCells>
  <phoneticPr fontId="11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CC"/>
  </sheetPr>
  <dimension ref="B1:W49"/>
  <sheetViews>
    <sheetView zoomScale="75" zoomScaleNormal="75" workbookViewId="0">
      <pane xSplit="5" ySplit="4" topLeftCell="F5" activePane="bottomRight" state="frozen"/>
      <selection pane="topRight" activeCell="F1" sqref="F1"/>
      <selection pane="bottomLeft" activeCell="A5" sqref="A5"/>
      <selection pane="bottomRight" activeCell="G11" sqref="G11"/>
    </sheetView>
  </sheetViews>
  <sheetFormatPr defaultColWidth="8.85546875" defaultRowHeight="14.25"/>
  <cols>
    <col min="1" max="1" width="4.42578125" style="73" customWidth="1"/>
    <col min="2" max="2" width="12.5703125" style="80" customWidth="1"/>
    <col min="3" max="3" width="8.85546875" style="75"/>
    <col min="4" max="4" width="17.42578125" style="78" customWidth="1"/>
    <col min="5" max="5" width="4.42578125" style="78" customWidth="1"/>
    <col min="6" max="8" width="25.5703125" style="90" customWidth="1"/>
    <col min="9" max="11" width="15" style="72" customWidth="1"/>
    <col min="12" max="17" width="14.5703125" style="72" customWidth="1"/>
    <col min="18" max="21" width="14.140625" style="72" customWidth="1"/>
    <col min="22" max="23" width="14.140625" style="73" customWidth="1"/>
    <col min="24" max="16384" width="8.85546875" style="73"/>
  </cols>
  <sheetData>
    <row r="1" spans="2:23">
      <c r="B1" s="80" t="s">
        <v>329</v>
      </c>
      <c r="C1" s="75">
        <v>366</v>
      </c>
    </row>
    <row r="2" spans="2:23" ht="38.1" customHeight="1">
      <c r="B2" s="435" t="s">
        <v>126</v>
      </c>
      <c r="C2" s="442"/>
      <c r="D2" s="442"/>
      <c r="E2" s="442"/>
      <c r="F2" s="442"/>
      <c r="G2" s="442"/>
      <c r="H2" s="442"/>
      <c r="I2" s="442"/>
      <c r="J2" s="442"/>
      <c r="K2" s="442"/>
      <c r="L2" s="442"/>
      <c r="M2" s="442"/>
      <c r="N2" s="442"/>
      <c r="O2" s="442"/>
      <c r="P2" s="442"/>
      <c r="Q2" s="442"/>
      <c r="R2" s="442"/>
      <c r="S2" s="442"/>
      <c r="T2" s="442"/>
      <c r="U2" s="442"/>
    </row>
    <row r="3" spans="2:23" s="71" customFormat="1" ht="23.45" customHeight="1">
      <c r="B3" s="79"/>
      <c r="C3" s="439" t="s">
        <v>116</v>
      </c>
      <c r="D3" s="440" t="s">
        <v>105</v>
      </c>
      <c r="E3" s="440"/>
      <c r="F3" s="443" t="s">
        <v>107</v>
      </c>
      <c r="G3" s="443"/>
      <c r="H3" s="443"/>
      <c r="I3" s="445" t="s">
        <v>108</v>
      </c>
      <c r="J3" s="445"/>
      <c r="K3" s="445"/>
      <c r="L3" s="444" t="s">
        <v>320</v>
      </c>
      <c r="M3" s="444"/>
      <c r="N3" s="444"/>
      <c r="O3" s="444" t="s">
        <v>106</v>
      </c>
      <c r="P3" s="444"/>
      <c r="Q3" s="444"/>
      <c r="R3" s="444" t="s">
        <v>109</v>
      </c>
      <c r="S3" s="444"/>
      <c r="T3" s="444"/>
      <c r="U3" s="444" t="s">
        <v>110</v>
      </c>
      <c r="V3" s="444"/>
      <c r="W3" s="444"/>
    </row>
    <row r="4" spans="2:23" ht="15.75">
      <c r="B4" s="79"/>
      <c r="C4" s="439"/>
      <c r="D4" s="440"/>
      <c r="E4" s="440"/>
      <c r="F4" s="81" t="s">
        <v>115</v>
      </c>
      <c r="G4" s="92" t="s">
        <v>127</v>
      </c>
      <c r="H4" s="92" t="s">
        <v>128</v>
      </c>
      <c r="I4" s="81" t="s">
        <v>115</v>
      </c>
      <c r="J4" s="91" t="s">
        <v>127</v>
      </c>
      <c r="K4" s="91" t="s">
        <v>128</v>
      </c>
      <c r="L4" s="81" t="s">
        <v>115</v>
      </c>
      <c r="M4" s="91" t="s">
        <v>127</v>
      </c>
      <c r="N4" s="91" t="s">
        <v>128</v>
      </c>
      <c r="O4" s="81" t="s">
        <v>115</v>
      </c>
      <c r="P4" s="91" t="s">
        <v>127</v>
      </c>
      <c r="Q4" s="91" t="s">
        <v>128</v>
      </c>
      <c r="R4" s="81" t="s">
        <v>115</v>
      </c>
      <c r="S4" s="91" t="s">
        <v>127</v>
      </c>
      <c r="T4" s="91" t="s">
        <v>128</v>
      </c>
      <c r="U4" s="81" t="s">
        <v>115</v>
      </c>
      <c r="V4" s="91" t="s">
        <v>127</v>
      </c>
      <c r="W4" s="91" t="s">
        <v>128</v>
      </c>
    </row>
    <row r="5" spans="2:23" ht="14.45" customHeight="1">
      <c r="B5" s="79"/>
      <c r="C5" s="79"/>
      <c r="D5" s="82"/>
      <c r="E5" s="82"/>
      <c r="F5" s="204"/>
      <c r="G5" s="89"/>
      <c r="H5" s="89"/>
      <c r="I5" s="86"/>
      <c r="J5" s="190"/>
      <c r="K5" s="190"/>
      <c r="L5" s="220"/>
      <c r="M5" s="258"/>
      <c r="N5" s="258"/>
      <c r="O5" s="220"/>
      <c r="P5" s="258"/>
      <c r="Q5" s="258"/>
      <c r="R5" s="220"/>
      <c r="S5" s="258"/>
      <c r="T5" s="258"/>
      <c r="U5" s="220"/>
      <c r="V5" s="258"/>
      <c r="W5" s="258"/>
    </row>
    <row r="6" spans="2:23" ht="14.45" customHeight="1">
      <c r="B6" s="79"/>
      <c r="C6" s="79"/>
      <c r="D6" s="82"/>
      <c r="E6" s="82"/>
      <c r="F6" s="204"/>
      <c r="G6" s="89"/>
      <c r="I6" s="86"/>
      <c r="J6" s="190"/>
      <c r="L6" s="220"/>
      <c r="M6" s="258"/>
      <c r="O6" s="220"/>
      <c r="P6" s="258"/>
      <c r="R6" s="220"/>
      <c r="S6" s="258"/>
      <c r="U6" s="220"/>
      <c r="V6" s="258"/>
    </row>
    <row r="7" spans="2:23" ht="14.45" customHeight="1">
      <c r="B7" s="79"/>
      <c r="C7" s="79"/>
      <c r="D7" s="82"/>
      <c r="E7" s="82"/>
      <c r="F7" s="204"/>
      <c r="G7" s="89"/>
      <c r="H7" s="89"/>
      <c r="I7" s="86"/>
      <c r="J7" s="190"/>
      <c r="K7" s="190"/>
      <c r="L7" s="220"/>
      <c r="M7" s="258"/>
      <c r="N7" s="258"/>
      <c r="O7" s="220"/>
      <c r="P7" s="258"/>
      <c r="Q7" s="258"/>
      <c r="R7" s="220"/>
      <c r="S7" s="258"/>
      <c r="T7" s="258"/>
      <c r="U7" s="220"/>
      <c r="V7" s="258"/>
      <c r="W7" s="258"/>
    </row>
    <row r="8" spans="2:23" ht="14.45" customHeight="1">
      <c r="B8" s="79"/>
      <c r="C8" s="79"/>
      <c r="D8" s="82"/>
      <c r="E8" s="82"/>
      <c r="F8" s="204"/>
      <c r="G8" s="89"/>
      <c r="H8" s="89"/>
      <c r="I8" s="86"/>
      <c r="J8" s="190"/>
      <c r="K8" s="190"/>
      <c r="L8" s="220"/>
      <c r="M8" s="258"/>
      <c r="N8" s="258"/>
      <c r="O8" s="220"/>
      <c r="P8" s="258"/>
      <c r="Q8" s="258"/>
      <c r="R8" s="220"/>
      <c r="S8" s="258"/>
      <c r="T8" s="258"/>
      <c r="U8" s="220"/>
      <c r="V8" s="258"/>
      <c r="W8" s="258"/>
    </row>
    <row r="9" spans="2:23" ht="14.45" customHeight="1">
      <c r="B9" s="79"/>
      <c r="C9" s="79"/>
      <c r="D9" s="82">
        <v>46054</v>
      </c>
      <c r="E9" s="82" t="s">
        <v>437</v>
      </c>
      <c r="F9" s="204">
        <v>342.49586045812316</v>
      </c>
      <c r="G9" s="89"/>
      <c r="H9" s="89">
        <f>AVERAGE(F9:F39)</f>
        <v>348.55662461829377</v>
      </c>
      <c r="I9" s="86">
        <f t="shared" ref="I9:I38" si="0">F9/$C$1</f>
        <v>0.93578103950306879</v>
      </c>
      <c r="J9" s="190">
        <f>AVERAGE(I9:I10)</f>
        <v>0.9392309839640931</v>
      </c>
      <c r="K9" s="190">
        <f>AVERAGE(I9:I39)</f>
        <v>0.88885113746012978</v>
      </c>
      <c r="L9" s="220">
        <v>2.4214592641997059E-3</v>
      </c>
      <c r="M9" s="190">
        <f>AVERAGE(L9:L10)</f>
        <v>2.424718269353289E-3</v>
      </c>
      <c r="N9" s="258">
        <f>AVERAGE(L9:L39)</f>
        <v>2.4352109892720377E-3</v>
      </c>
      <c r="O9" s="220">
        <v>1.8847340641129035E-3</v>
      </c>
      <c r="P9" s="190">
        <f>AVERAGE(O9:O10)</f>
        <v>2.0505169194068367E-3</v>
      </c>
      <c r="Q9" s="258">
        <f>AVERAGE(O9:O39)</f>
        <v>1.9856446031897793E-3</v>
      </c>
      <c r="R9" s="208">
        <v>0.91666666666666663</v>
      </c>
      <c r="S9" s="190">
        <f>AVERAGE(R9:R10)</f>
        <v>0.91666666666666663</v>
      </c>
      <c r="T9" s="190">
        <f>AVERAGE(R9:R39)</f>
        <v>0.91666666666666696</v>
      </c>
      <c r="U9" s="208">
        <v>8.2000000000000003E-2</v>
      </c>
      <c r="V9" s="190">
        <f>AVERAGE(U9:U10)</f>
        <v>8.3000000000000004E-2</v>
      </c>
      <c r="W9" s="190">
        <f>AVERAGE(U9:U39)</f>
        <v>0.11421428571428573</v>
      </c>
    </row>
    <row r="10" spans="2:23" ht="14.45" customHeight="1">
      <c r="B10" s="79"/>
      <c r="C10" s="79"/>
      <c r="D10" s="82">
        <f t="shared" ref="D10:D36" si="1">D9+1</f>
        <v>46055</v>
      </c>
      <c r="E10" s="366" t="s">
        <v>431</v>
      </c>
      <c r="F10" s="204">
        <v>345.021219803593</v>
      </c>
      <c r="G10" s="90">
        <f>AVERAGE(F9:F10)</f>
        <v>343.75854013085808</v>
      </c>
      <c r="H10" s="89"/>
      <c r="I10" s="86">
        <f t="shared" si="0"/>
        <v>0.94268092842511753</v>
      </c>
      <c r="J10" s="190"/>
      <c r="K10" s="190"/>
      <c r="L10" s="220">
        <v>2.4279772745068721E-3</v>
      </c>
      <c r="M10" s="190"/>
      <c r="N10" s="258"/>
      <c r="O10" s="220">
        <v>2.2162997747007702E-3</v>
      </c>
      <c r="P10" s="190"/>
      <c r="Q10" s="258"/>
      <c r="R10" s="208">
        <v>0.91666666666666663</v>
      </c>
      <c r="S10" s="190"/>
      <c r="T10" s="258"/>
      <c r="U10" s="208">
        <v>8.4000000000000005E-2</v>
      </c>
      <c r="V10" s="190"/>
      <c r="W10" s="258"/>
    </row>
    <row r="11" spans="2:23" ht="14.45" customHeight="1">
      <c r="B11" s="79"/>
      <c r="C11" s="79"/>
      <c r="D11" s="259">
        <f t="shared" si="1"/>
        <v>46056</v>
      </c>
      <c r="E11" s="259" t="s">
        <v>432</v>
      </c>
      <c r="F11" s="204">
        <v>359.34913441365444</v>
      </c>
      <c r="G11" s="89">
        <f>AVERAGE(F11:F17)</f>
        <v>352.08910841809217</v>
      </c>
      <c r="H11" s="89"/>
      <c r="I11" s="86">
        <f t="shared" si="0"/>
        <v>0.98182823610288095</v>
      </c>
      <c r="J11" s="190">
        <f>AVERAGE(I11:I17)</f>
        <v>0.96199209950298403</v>
      </c>
      <c r="K11" s="190"/>
      <c r="L11" s="220">
        <v>2.4228135634917379E-3</v>
      </c>
      <c r="M11" s="190">
        <f>AVERAGE(L11:L17)</f>
        <v>2.4321591984267435E-3</v>
      </c>
      <c r="N11" s="258"/>
      <c r="O11" s="220">
        <v>1.8216541502930788E-3</v>
      </c>
      <c r="P11" s="190">
        <f>AVERAGE(O11:O17)</f>
        <v>2.035712054743719E-3</v>
      </c>
      <c r="Q11" s="258"/>
      <c r="R11" s="208">
        <v>0.91666666666666663</v>
      </c>
      <c r="S11" s="190">
        <f>AVERAGE(R11:R17)</f>
        <v>0.91666666666666674</v>
      </c>
      <c r="T11" s="258"/>
      <c r="U11" s="208">
        <v>8.5999999999999993E-2</v>
      </c>
      <c r="V11" s="190">
        <f>AVERAGE(U11:U17)</f>
        <v>9.3428571428571416E-2</v>
      </c>
      <c r="W11" s="258"/>
    </row>
    <row r="12" spans="2:23" ht="14.45" customHeight="1">
      <c r="B12" s="79"/>
      <c r="C12" s="79"/>
      <c r="D12" s="379">
        <f t="shared" si="1"/>
        <v>46057</v>
      </c>
      <c r="E12" s="379" t="s">
        <v>433</v>
      </c>
      <c r="F12" s="204">
        <v>346.0512451600311</v>
      </c>
      <c r="G12" s="89"/>
      <c r="H12" s="89"/>
      <c r="I12" s="86">
        <f t="shared" si="0"/>
        <v>0.9454952053552762</v>
      </c>
      <c r="J12" s="190"/>
      <c r="K12" s="190"/>
      <c r="L12" s="220">
        <v>2.4406035687321737E-3</v>
      </c>
      <c r="M12" s="190"/>
      <c r="N12" s="258"/>
      <c r="O12" s="220">
        <v>1.8920317479522114E-3</v>
      </c>
      <c r="P12" s="190"/>
      <c r="Q12" s="258"/>
      <c r="R12" s="208">
        <v>0.91666666666666663</v>
      </c>
      <c r="S12" s="190"/>
      <c r="T12" s="258"/>
      <c r="U12" s="208">
        <v>0.09</v>
      </c>
      <c r="V12" s="190"/>
      <c r="W12" s="258"/>
    </row>
    <row r="13" spans="2:23" ht="14.45" customHeight="1">
      <c r="B13" s="79"/>
      <c r="C13" s="79"/>
      <c r="D13" s="379">
        <f t="shared" si="1"/>
        <v>46058</v>
      </c>
      <c r="E13" s="379" t="s">
        <v>434</v>
      </c>
      <c r="F13" s="204">
        <v>357.33433865438781</v>
      </c>
      <c r="G13" s="89"/>
      <c r="H13" s="89"/>
      <c r="I13" s="86">
        <f t="shared" si="0"/>
        <v>0.97632332965679725</v>
      </c>
      <c r="J13" s="190"/>
      <c r="K13" s="190"/>
      <c r="L13" s="220">
        <v>2.4215064963368457E-3</v>
      </c>
      <c r="M13" s="190"/>
      <c r="N13" s="258"/>
      <c r="O13" s="220">
        <v>2.1779171616208444E-3</v>
      </c>
      <c r="P13" s="190"/>
      <c r="Q13" s="258"/>
      <c r="R13" s="208">
        <v>0.91666666666666663</v>
      </c>
      <c r="S13" s="190"/>
      <c r="T13" s="258"/>
      <c r="U13" s="208">
        <v>9.1999999999999998E-2</v>
      </c>
      <c r="V13" s="190"/>
      <c r="W13" s="258"/>
    </row>
    <row r="14" spans="2:23" ht="14.45" customHeight="1">
      <c r="B14" s="79"/>
      <c r="C14" s="79"/>
      <c r="D14" s="379">
        <f t="shared" si="1"/>
        <v>46059</v>
      </c>
      <c r="E14" s="379" t="s">
        <v>435</v>
      </c>
      <c r="F14" s="204">
        <v>358.88144115914378</v>
      </c>
      <c r="G14" s="89"/>
      <c r="H14" s="89"/>
      <c r="I14" s="86">
        <f t="shared" si="0"/>
        <v>0.98055038568072073</v>
      </c>
      <c r="J14" s="190"/>
      <c r="K14" s="190"/>
      <c r="L14" s="220">
        <v>2.4294708463498439E-3</v>
      </c>
      <c r="M14" s="190"/>
      <c r="N14" s="258"/>
      <c r="O14" s="220">
        <v>2.4178253168523835E-3</v>
      </c>
      <c r="P14" s="190"/>
      <c r="Q14" s="258"/>
      <c r="R14" s="208">
        <v>0.91666666666666663</v>
      </c>
      <c r="S14" s="190"/>
      <c r="T14" s="258"/>
      <c r="U14" s="208">
        <v>9.1999999999999998E-2</v>
      </c>
      <c r="V14" s="190"/>
      <c r="W14" s="258"/>
    </row>
    <row r="15" spans="2:23" ht="14.45" customHeight="1">
      <c r="B15" s="79"/>
      <c r="C15" s="79"/>
      <c r="D15" s="379">
        <f t="shared" si="1"/>
        <v>46060</v>
      </c>
      <c r="E15" s="379" t="s">
        <v>436</v>
      </c>
      <c r="F15" s="204">
        <v>353.71723312947501</v>
      </c>
      <c r="G15" s="89"/>
      <c r="H15" s="89"/>
      <c r="I15" s="86">
        <f t="shared" si="0"/>
        <v>0.96644052767616118</v>
      </c>
      <c r="J15" s="190"/>
      <c r="K15" s="190"/>
      <c r="L15" s="220">
        <v>2.4086724133331452E-3</v>
      </c>
      <c r="M15" s="190"/>
      <c r="N15" s="258"/>
      <c r="O15" s="220">
        <v>2.2596868399695665E-3</v>
      </c>
      <c r="P15" s="190"/>
      <c r="Q15" s="258"/>
      <c r="R15" s="208">
        <v>0.91666666666666663</v>
      </c>
      <c r="S15" s="190"/>
      <c r="T15" s="258"/>
      <c r="U15" s="208">
        <v>9.6000000000000002E-2</v>
      </c>
      <c r="V15" s="190"/>
      <c r="W15" s="258"/>
    </row>
    <row r="16" spans="2:23" ht="14.45" customHeight="1">
      <c r="B16" s="79"/>
      <c r="C16" s="79"/>
      <c r="D16" s="379">
        <f t="shared" si="1"/>
        <v>46061</v>
      </c>
      <c r="E16" s="379" t="s">
        <v>437</v>
      </c>
      <c r="F16" s="204">
        <v>343.07174005129997</v>
      </c>
      <c r="G16" s="89"/>
      <c r="H16" s="89"/>
      <c r="I16" s="86">
        <f t="shared" si="0"/>
        <v>0.93735448101448082</v>
      </c>
      <c r="J16" s="190"/>
      <c r="K16" s="190"/>
      <c r="L16" s="220">
        <v>2.4618392892012207E-3</v>
      </c>
      <c r="M16" s="190"/>
      <c r="N16" s="258"/>
      <c r="O16" s="220">
        <v>1.9072107127944293E-3</v>
      </c>
      <c r="P16" s="190"/>
      <c r="Q16" s="258"/>
      <c r="R16" s="208">
        <v>0.91666666666666663</v>
      </c>
      <c r="S16" s="190"/>
      <c r="T16" s="258"/>
      <c r="U16" s="208">
        <v>9.8000000000000004E-2</v>
      </c>
      <c r="V16" s="190"/>
      <c r="W16" s="258"/>
    </row>
    <row r="17" spans="2:23" ht="14.45" customHeight="1">
      <c r="B17" s="79"/>
      <c r="C17" s="79"/>
      <c r="D17" s="379">
        <f t="shared" si="1"/>
        <v>46062</v>
      </c>
      <c r="E17" s="379" t="s">
        <v>431</v>
      </c>
      <c r="F17" s="204">
        <v>346.21862635865307</v>
      </c>
      <c r="H17" s="89"/>
      <c r="I17" s="86">
        <f t="shared" si="0"/>
        <v>0.94595253103457122</v>
      </c>
      <c r="J17" s="190"/>
      <c r="K17" s="190"/>
      <c r="L17" s="220">
        <v>2.4402082115422366E-3</v>
      </c>
      <c r="M17" s="190"/>
      <c r="N17" s="258"/>
      <c r="O17" s="220">
        <v>1.7736584537235182E-3</v>
      </c>
      <c r="P17" s="190"/>
      <c r="Q17" s="258"/>
      <c r="R17" s="208">
        <v>0.91666666666666663</v>
      </c>
      <c r="S17" s="190"/>
      <c r="T17" s="258"/>
      <c r="U17" s="208">
        <v>0.1</v>
      </c>
      <c r="V17" s="190"/>
      <c r="W17" s="258"/>
    </row>
    <row r="18" spans="2:23" ht="14.45" customHeight="1">
      <c r="B18" s="79"/>
      <c r="C18" s="79"/>
      <c r="D18" s="366">
        <f t="shared" si="1"/>
        <v>46063</v>
      </c>
      <c r="E18" s="366" t="s">
        <v>432</v>
      </c>
      <c r="F18" s="204">
        <v>360.64322706479692</v>
      </c>
      <c r="G18" s="89">
        <f>AVERAGE(F18:F24)</f>
        <v>348.79318181017499</v>
      </c>
      <c r="H18" s="89"/>
      <c r="I18" s="86">
        <f t="shared" si="0"/>
        <v>0.98536400837376203</v>
      </c>
      <c r="J18" s="190">
        <f>AVERAGE(I18:I24)</f>
        <v>0.9529868355469262</v>
      </c>
      <c r="K18" s="190"/>
      <c r="L18" s="220">
        <v>2.4403671015650009E-3</v>
      </c>
      <c r="M18" s="190">
        <f>AVERAGE(L18:L24)</f>
        <v>2.4361097007369742E-3</v>
      </c>
      <c r="N18" s="258"/>
      <c r="O18" s="220">
        <v>2.2025453561799906E-3</v>
      </c>
      <c r="P18" s="190">
        <f>AVERAGE(O18:O24)</f>
        <v>2.0768652263756368E-3</v>
      </c>
      <c r="Q18" s="258"/>
      <c r="R18" s="208">
        <v>0.91666666666666663</v>
      </c>
      <c r="S18" s="190">
        <f>AVERAGE(R18:R24)</f>
        <v>0.91666666666666674</v>
      </c>
      <c r="T18" s="258"/>
      <c r="U18" s="208">
        <v>0.11</v>
      </c>
      <c r="V18" s="190">
        <f>AVERAGE(U18:U24)</f>
        <v>0.11528571428571428</v>
      </c>
      <c r="W18" s="258"/>
    </row>
    <row r="19" spans="2:23" ht="14.45" customHeight="1">
      <c r="B19" s="79"/>
      <c r="C19" s="79"/>
      <c r="D19" s="380">
        <f t="shared" si="1"/>
        <v>46064</v>
      </c>
      <c r="E19" s="380" t="s">
        <v>433</v>
      </c>
      <c r="F19" s="204">
        <v>350.00859338769925</v>
      </c>
      <c r="G19" s="89"/>
      <c r="H19" s="89"/>
      <c r="I19" s="86">
        <f t="shared" si="0"/>
        <v>0.95630763220682857</v>
      </c>
      <c r="J19" s="190"/>
      <c r="K19" s="190"/>
      <c r="L19" s="220">
        <v>2.4291695989696409E-3</v>
      </c>
      <c r="M19" s="190"/>
      <c r="N19" s="258"/>
      <c r="O19" s="220">
        <v>2.1457755867691944E-3</v>
      </c>
      <c r="P19" s="190"/>
      <c r="Q19" s="258"/>
      <c r="R19" s="208">
        <v>0.91666666666666663</v>
      </c>
      <c r="S19" s="190"/>
      <c r="T19" s="258"/>
      <c r="U19" s="208">
        <v>0.112</v>
      </c>
      <c r="V19" s="190"/>
      <c r="W19" s="258"/>
    </row>
    <row r="20" spans="2:23" ht="14.45" customHeight="1">
      <c r="B20" s="79"/>
      <c r="C20" s="79"/>
      <c r="D20" s="380">
        <f t="shared" si="1"/>
        <v>46065</v>
      </c>
      <c r="E20" s="380" t="s">
        <v>434</v>
      </c>
      <c r="F20" s="204">
        <v>339.0890525050857</v>
      </c>
      <c r="G20" s="89"/>
      <c r="H20" s="89"/>
      <c r="I20" s="86">
        <f t="shared" si="0"/>
        <v>0.92647282105214668</v>
      </c>
      <c r="J20" s="190"/>
      <c r="K20" s="190"/>
      <c r="L20" s="220">
        <v>2.4408900377274464E-3</v>
      </c>
      <c r="M20" s="190"/>
      <c r="N20" s="258"/>
      <c r="O20" s="220">
        <v>2.1437911801747162E-3</v>
      </c>
      <c r="P20" s="190"/>
      <c r="Q20" s="258"/>
      <c r="R20" s="208">
        <v>0.91666666666666663</v>
      </c>
      <c r="S20" s="190"/>
      <c r="T20" s="258"/>
      <c r="U20" s="208">
        <v>0.112</v>
      </c>
      <c r="V20" s="190"/>
      <c r="W20" s="258"/>
    </row>
    <row r="21" spans="2:23" ht="14.45" customHeight="1">
      <c r="B21" s="79"/>
      <c r="C21" s="79"/>
      <c r="D21" s="380">
        <f t="shared" si="1"/>
        <v>46066</v>
      </c>
      <c r="E21" s="380" t="s">
        <v>435</v>
      </c>
      <c r="F21" s="204">
        <v>348.21131529625109</v>
      </c>
      <c r="G21" s="89"/>
      <c r="H21" s="89"/>
      <c r="I21" s="86">
        <f t="shared" si="0"/>
        <v>0.95139703632855488</v>
      </c>
      <c r="J21" s="190"/>
      <c r="K21" s="190"/>
      <c r="L21" s="220">
        <v>2.4513296857106501E-3</v>
      </c>
      <c r="M21" s="190"/>
      <c r="N21" s="258"/>
      <c r="O21" s="220">
        <v>2.1559003978587421E-3</v>
      </c>
      <c r="P21" s="190"/>
      <c r="Q21" s="258"/>
      <c r="R21" s="208">
        <v>0.91666666666666663</v>
      </c>
      <c r="S21" s="190"/>
      <c r="T21" s="258"/>
      <c r="U21" s="208">
        <v>0.115</v>
      </c>
      <c r="V21" s="190"/>
      <c r="W21" s="258"/>
    </row>
    <row r="22" spans="2:23" ht="14.45" customHeight="1">
      <c r="B22" s="79"/>
      <c r="C22" s="79"/>
      <c r="D22" s="380">
        <f t="shared" si="1"/>
        <v>46067</v>
      </c>
      <c r="E22" s="380" t="s">
        <v>436</v>
      </c>
      <c r="F22" s="204">
        <v>347.29024570946837</v>
      </c>
      <c r="G22" s="89"/>
      <c r="H22" s="89"/>
      <c r="I22" s="86">
        <f t="shared" si="0"/>
        <v>0.94888045275811028</v>
      </c>
      <c r="J22" s="190"/>
      <c r="K22" s="190"/>
      <c r="L22" s="220">
        <v>2.4206270151460084E-3</v>
      </c>
      <c r="M22" s="190"/>
      <c r="N22" s="258"/>
      <c r="O22" s="220">
        <v>2.058236320840403E-3</v>
      </c>
      <c r="P22" s="190"/>
      <c r="Q22" s="258"/>
      <c r="R22" s="208">
        <v>0.91666666666666663</v>
      </c>
      <c r="S22" s="190"/>
      <c r="T22" s="258"/>
      <c r="U22" s="208">
        <v>0.11799999999999999</v>
      </c>
      <c r="V22" s="190"/>
      <c r="W22" s="258"/>
    </row>
    <row r="23" spans="2:23" ht="14.45" customHeight="1">
      <c r="B23" s="79"/>
      <c r="C23" s="79"/>
      <c r="D23" s="380">
        <f t="shared" si="1"/>
        <v>46068</v>
      </c>
      <c r="E23" s="380" t="s">
        <v>437</v>
      </c>
      <c r="F23" s="204">
        <v>346.23865581506476</v>
      </c>
      <c r="G23" s="89"/>
      <c r="H23" s="89"/>
      <c r="I23" s="86">
        <f t="shared" si="0"/>
        <v>0.94600725632531357</v>
      </c>
      <c r="J23" s="190"/>
      <c r="K23" s="190"/>
      <c r="L23" s="220">
        <v>2.4303038969272954E-3</v>
      </c>
      <c r="M23" s="190"/>
      <c r="N23" s="258"/>
      <c r="O23" s="220">
        <v>1.9145252567064051E-3</v>
      </c>
      <c r="P23" s="190"/>
      <c r="Q23" s="258"/>
      <c r="R23" s="208">
        <v>0.91666666666666663</v>
      </c>
      <c r="S23" s="190"/>
      <c r="T23" s="258"/>
      <c r="U23" s="208">
        <v>0.12</v>
      </c>
      <c r="V23" s="190"/>
      <c r="W23" s="258"/>
    </row>
    <row r="24" spans="2:23" ht="14.45" customHeight="1">
      <c r="B24" s="79"/>
      <c r="C24" s="79"/>
      <c r="D24" s="380">
        <f t="shared" si="1"/>
        <v>46069</v>
      </c>
      <c r="E24" s="380" t="s">
        <v>431</v>
      </c>
      <c r="F24" s="204">
        <v>350.07118289285887</v>
      </c>
      <c r="G24" s="89"/>
      <c r="H24" s="89"/>
      <c r="I24" s="86">
        <f t="shared" si="0"/>
        <v>0.9564786417837674</v>
      </c>
      <c r="J24" s="190"/>
      <c r="K24" s="190"/>
      <c r="L24" s="220">
        <v>2.4400805691127798E-3</v>
      </c>
      <c r="M24" s="190"/>
      <c r="N24" s="258"/>
      <c r="O24" s="220">
        <v>1.9172824861000064E-3</v>
      </c>
      <c r="P24" s="190"/>
      <c r="Q24" s="258"/>
      <c r="R24" s="208">
        <v>0.91666666666666663</v>
      </c>
      <c r="S24" s="190"/>
      <c r="T24" s="258"/>
      <c r="U24" s="208">
        <v>0.12</v>
      </c>
      <c r="V24" s="190"/>
      <c r="W24" s="258"/>
    </row>
    <row r="25" spans="2:23" ht="14.45" customHeight="1">
      <c r="B25" s="79"/>
      <c r="C25" s="79"/>
      <c r="D25" s="259">
        <f t="shared" si="1"/>
        <v>46070</v>
      </c>
      <c r="E25" s="259" t="s">
        <v>432</v>
      </c>
      <c r="F25" s="204">
        <v>350.34551166295603</v>
      </c>
      <c r="G25" s="89">
        <f>AVERAGE(F25:F31)</f>
        <v>346.73389407473394</v>
      </c>
      <c r="H25" s="89"/>
      <c r="I25" s="86">
        <f t="shared" si="0"/>
        <v>0.95722817394250281</v>
      </c>
      <c r="J25" s="190">
        <f>AVERAGE(I25:I31)</f>
        <v>0.94736036632440968</v>
      </c>
      <c r="K25" s="190"/>
      <c r="L25" s="220">
        <v>2.4302224529643467E-3</v>
      </c>
      <c r="M25" s="190">
        <f>AVERAGE(L25:L31)</f>
        <v>2.4398505736200277E-3</v>
      </c>
      <c r="N25" s="258"/>
      <c r="O25" s="220">
        <v>1.901297799494546E-3</v>
      </c>
      <c r="P25" s="190">
        <f>AVERAGE(O25:O31)</f>
        <v>1.9167181139946694E-3</v>
      </c>
      <c r="Q25" s="258"/>
      <c r="R25" s="208">
        <v>0.91666666666666663</v>
      </c>
      <c r="S25" s="190">
        <f>AVERAGE(R25:R31)</f>
        <v>0.91666666666666674</v>
      </c>
      <c r="T25" s="258"/>
      <c r="U25" s="208">
        <v>0.12</v>
      </c>
      <c r="V25" s="190">
        <f>AVERAGE(U25:U31)</f>
        <v>0.12357142857142857</v>
      </c>
      <c r="W25" s="258"/>
    </row>
    <row r="26" spans="2:23" ht="14.45" customHeight="1">
      <c r="B26" s="79"/>
      <c r="C26" s="79"/>
      <c r="D26" s="379">
        <f t="shared" si="1"/>
        <v>46071</v>
      </c>
      <c r="E26" s="379" t="s">
        <v>433</v>
      </c>
      <c r="F26" s="204">
        <v>326.60988470970921</v>
      </c>
      <c r="G26" s="89"/>
      <c r="H26" s="89"/>
      <c r="I26" s="86">
        <f t="shared" si="0"/>
        <v>0.89237673417953334</v>
      </c>
      <c r="J26" s="190"/>
      <c r="K26" s="190"/>
      <c r="L26" s="220">
        <v>2.4279072364372782E-3</v>
      </c>
      <c r="M26" s="190"/>
      <c r="N26" s="258"/>
      <c r="O26" s="220">
        <v>2.0379798912479648E-3</v>
      </c>
      <c r="P26" s="190"/>
      <c r="Q26" s="258"/>
      <c r="R26" s="208">
        <v>0.91666666666666663</v>
      </c>
      <c r="S26" s="190"/>
      <c r="T26" s="258"/>
      <c r="U26" s="208">
        <v>0.12</v>
      </c>
      <c r="V26" s="190"/>
      <c r="W26" s="258"/>
    </row>
    <row r="27" spans="2:23" ht="14.45" customHeight="1">
      <c r="B27" s="79"/>
      <c r="C27" s="79"/>
      <c r="D27" s="379">
        <f t="shared" si="1"/>
        <v>46072</v>
      </c>
      <c r="E27" s="379" t="s">
        <v>434</v>
      </c>
      <c r="F27" s="204">
        <v>351.19781727607455</v>
      </c>
      <c r="G27" s="89"/>
      <c r="H27" s="89"/>
      <c r="I27" s="86">
        <f t="shared" si="0"/>
        <v>0.95955687780348231</v>
      </c>
      <c r="J27" s="190"/>
      <c r="K27" s="190"/>
      <c r="L27" s="220">
        <v>2.4499170329245726E-3</v>
      </c>
      <c r="M27" s="190"/>
      <c r="N27" s="258"/>
      <c r="O27" s="220">
        <v>2.0454030921770389E-3</v>
      </c>
      <c r="P27" s="190"/>
      <c r="Q27" s="258"/>
      <c r="R27" s="208">
        <v>0.91666666666666663</v>
      </c>
      <c r="S27" s="190"/>
      <c r="T27" s="258"/>
      <c r="U27" s="208">
        <v>0.12</v>
      </c>
      <c r="V27" s="190"/>
      <c r="W27" s="258"/>
    </row>
    <row r="28" spans="2:23" ht="14.45" customHeight="1">
      <c r="B28" s="79"/>
      <c r="C28" s="79"/>
      <c r="D28" s="379">
        <f t="shared" si="1"/>
        <v>46073</v>
      </c>
      <c r="E28" s="379" t="s">
        <v>435</v>
      </c>
      <c r="F28" s="204">
        <v>344.5915716192286</v>
      </c>
      <c r="G28" s="89"/>
      <c r="H28" s="89"/>
      <c r="I28" s="86">
        <f t="shared" si="0"/>
        <v>0.94150702628204541</v>
      </c>
      <c r="J28" s="190"/>
      <c r="K28" s="190"/>
      <c r="L28" s="220">
        <v>2.4204853980563166E-3</v>
      </c>
      <c r="M28" s="190"/>
      <c r="N28" s="258"/>
      <c r="O28" s="220">
        <v>2.179753639044255E-3</v>
      </c>
      <c r="P28" s="190"/>
      <c r="Q28" s="258"/>
      <c r="R28" s="208">
        <v>0.91666666666666663</v>
      </c>
      <c r="S28" s="190"/>
      <c r="T28" s="258"/>
      <c r="U28" s="208">
        <v>0.12</v>
      </c>
      <c r="V28" s="190"/>
      <c r="W28" s="258"/>
    </row>
    <row r="29" spans="2:23" ht="14.45" customHeight="1">
      <c r="B29" s="79"/>
      <c r="C29" s="79"/>
      <c r="D29" s="379">
        <f t="shared" si="1"/>
        <v>46074</v>
      </c>
      <c r="E29" s="379" t="s">
        <v>436</v>
      </c>
      <c r="F29" s="204">
        <v>351.74675759276022</v>
      </c>
      <c r="G29" s="89"/>
      <c r="H29" s="89"/>
      <c r="I29" s="86">
        <f t="shared" si="0"/>
        <v>0.96105671473431753</v>
      </c>
      <c r="J29" s="190"/>
      <c r="K29" s="190"/>
      <c r="L29" s="220">
        <v>2.4401130535609827E-3</v>
      </c>
      <c r="M29" s="190"/>
      <c r="N29" s="258"/>
      <c r="O29" s="220">
        <v>1.7551544101370878E-3</v>
      </c>
      <c r="P29" s="190"/>
      <c r="Q29" s="258"/>
      <c r="R29" s="208">
        <v>0.91666666666666663</v>
      </c>
      <c r="S29" s="190"/>
      <c r="T29" s="258"/>
      <c r="U29" s="208">
        <v>0.125</v>
      </c>
      <c r="V29" s="190"/>
      <c r="W29" s="258"/>
    </row>
    <row r="30" spans="2:23" ht="14.45" customHeight="1">
      <c r="B30" s="79"/>
      <c r="C30" s="79"/>
      <c r="D30" s="379">
        <f t="shared" si="1"/>
        <v>46075</v>
      </c>
      <c r="E30" s="379" t="s">
        <v>437</v>
      </c>
      <c r="F30" s="204">
        <v>351.95769302072318</v>
      </c>
      <c r="G30" s="89"/>
      <c r="H30" s="89"/>
      <c r="I30" s="86">
        <f t="shared" si="0"/>
        <v>0.96163304104022729</v>
      </c>
      <c r="J30" s="190"/>
      <c r="K30" s="190"/>
      <c r="L30" s="220">
        <v>2.4595625501118933E-3</v>
      </c>
      <c r="M30" s="190"/>
      <c r="N30" s="258"/>
      <c r="O30" s="220">
        <v>1.7182178979182193E-3</v>
      </c>
      <c r="P30" s="190"/>
      <c r="Q30" s="258"/>
      <c r="R30" s="208">
        <v>0.91666666666666663</v>
      </c>
      <c r="S30" s="190"/>
      <c r="T30" s="258"/>
      <c r="U30" s="208">
        <v>0.13</v>
      </c>
      <c r="V30" s="190"/>
      <c r="W30" s="258"/>
    </row>
    <row r="31" spans="2:23" ht="14.45" customHeight="1">
      <c r="B31" s="79"/>
      <c r="C31" s="79"/>
      <c r="D31" s="379">
        <f t="shared" si="1"/>
        <v>46076</v>
      </c>
      <c r="E31" s="379" t="s">
        <v>431</v>
      </c>
      <c r="F31" s="204">
        <v>350.68802264168568</v>
      </c>
      <c r="G31" s="89"/>
      <c r="H31" s="89"/>
      <c r="I31" s="86">
        <f t="shared" si="0"/>
        <v>0.9581639962887587</v>
      </c>
      <c r="J31" s="190"/>
      <c r="K31" s="190"/>
      <c r="L31" s="220">
        <v>2.4507462912848037E-3</v>
      </c>
      <c r="M31" s="190"/>
      <c r="N31" s="258"/>
      <c r="O31" s="220">
        <v>1.7792200679435746E-3</v>
      </c>
      <c r="P31" s="190"/>
      <c r="Q31" s="258"/>
      <c r="R31" s="208">
        <v>0.91666666666666663</v>
      </c>
      <c r="S31" s="190"/>
      <c r="T31" s="258"/>
      <c r="U31" s="208">
        <v>0.13</v>
      </c>
      <c r="V31" s="190"/>
      <c r="W31" s="258"/>
    </row>
    <row r="32" spans="2:23" ht="14.45" customHeight="1">
      <c r="B32" s="79"/>
      <c r="C32" s="79"/>
      <c r="D32" s="366">
        <f t="shared" si="1"/>
        <v>46077</v>
      </c>
      <c r="E32" s="366" t="s">
        <v>432</v>
      </c>
      <c r="F32" s="204">
        <v>357.94594692595683</v>
      </c>
      <c r="G32" s="89">
        <f>AVERAGE(F32:F38)</f>
        <v>347.75102378590043</v>
      </c>
      <c r="H32" s="89"/>
      <c r="I32" s="86">
        <f t="shared" si="0"/>
        <v>0.97799439050807879</v>
      </c>
      <c r="J32" s="190">
        <f>AVERAGE(I32:I38)</f>
        <v>0.67867100660792445</v>
      </c>
      <c r="K32" s="190"/>
      <c r="L32" s="220">
        <v>2.4410583732578455E-3</v>
      </c>
      <c r="M32" s="190">
        <f>AVERAGE(L32:L38)</f>
        <v>2.4357224042811888E-3</v>
      </c>
      <c r="N32" s="258"/>
      <c r="O32" s="220">
        <v>1.7682270203205194E-3</v>
      </c>
      <c r="P32" s="190">
        <f>AVERAGE(O32:O38)</f>
        <v>1.8947480701545054E-3</v>
      </c>
      <c r="Q32" s="258"/>
      <c r="R32" s="208">
        <v>0.91666666666666663</v>
      </c>
      <c r="S32" s="190">
        <f>AVERAGE(R32:R38)</f>
        <v>0.91666666666666663</v>
      </c>
      <c r="T32" s="258"/>
      <c r="U32" s="208">
        <v>0.13400000000000001</v>
      </c>
      <c r="V32" s="190">
        <f>AVERAGE(U32:U38)</f>
        <v>0.14120000000000002</v>
      </c>
      <c r="W32" s="258"/>
    </row>
    <row r="33" spans="2:23" ht="14.45" customHeight="1">
      <c r="B33" s="79"/>
      <c r="C33" s="79"/>
      <c r="D33" s="380">
        <f t="shared" si="1"/>
        <v>46078</v>
      </c>
      <c r="E33" s="380" t="s">
        <v>433</v>
      </c>
      <c r="F33" s="204">
        <v>326.18616418942446</v>
      </c>
      <c r="G33" s="89"/>
      <c r="H33" s="89"/>
      <c r="I33" s="86">
        <f t="shared" si="0"/>
        <v>0.89121902783995754</v>
      </c>
      <c r="J33" s="190"/>
      <c r="K33" s="190"/>
      <c r="L33" s="220">
        <v>2.4294228224127322E-3</v>
      </c>
      <c r="M33" s="190"/>
      <c r="N33" s="258"/>
      <c r="O33" s="220">
        <v>1.8851450217776799E-3</v>
      </c>
      <c r="P33" s="190"/>
      <c r="Q33" s="258"/>
      <c r="R33" s="208">
        <v>0.91666666666666663</v>
      </c>
      <c r="S33" s="190"/>
      <c r="T33" s="258"/>
      <c r="U33" s="208">
        <v>0.13600000000000001</v>
      </c>
      <c r="V33" s="190"/>
      <c r="W33" s="258"/>
    </row>
    <row r="34" spans="2:23" ht="14.45" customHeight="1">
      <c r="B34" s="79"/>
      <c r="C34" s="79"/>
      <c r="D34" s="380">
        <f t="shared" si="1"/>
        <v>46079</v>
      </c>
      <c r="E34" s="380" t="s">
        <v>434</v>
      </c>
      <c r="F34" s="204">
        <v>353.84674477242748</v>
      </c>
      <c r="G34" s="89"/>
      <c r="H34" s="89"/>
      <c r="I34" s="86">
        <f t="shared" si="0"/>
        <v>0.96679438462411882</v>
      </c>
      <c r="J34" s="190"/>
      <c r="K34" s="190"/>
      <c r="L34" s="220">
        <v>2.4192665721122645E-3</v>
      </c>
      <c r="M34" s="190"/>
      <c r="N34" s="258"/>
      <c r="O34" s="220">
        <v>1.9462104638772214E-3</v>
      </c>
      <c r="P34" s="190"/>
      <c r="Q34" s="258"/>
      <c r="R34" s="208">
        <v>0.91666666666666663</v>
      </c>
      <c r="S34" s="190"/>
      <c r="T34" s="258"/>
      <c r="U34" s="208">
        <v>0.14000000000000001</v>
      </c>
      <c r="V34" s="190"/>
      <c r="W34" s="258"/>
    </row>
    <row r="35" spans="2:23">
      <c r="B35" s="79"/>
      <c r="C35" s="79"/>
      <c r="D35" s="380">
        <f t="shared" si="1"/>
        <v>46080</v>
      </c>
      <c r="E35" s="380" t="s">
        <v>435</v>
      </c>
      <c r="F35" s="204">
        <v>348.83725356314875</v>
      </c>
      <c r="G35" s="89"/>
      <c r="H35" s="89"/>
      <c r="I35" s="86">
        <f t="shared" si="0"/>
        <v>0.95310725017253761</v>
      </c>
      <c r="J35" s="190"/>
      <c r="K35" s="190"/>
      <c r="L35" s="220">
        <v>2.4399065595246089E-3</v>
      </c>
      <c r="M35" s="190"/>
      <c r="N35" s="258"/>
      <c r="O35" s="220">
        <v>2.0851490758452482E-3</v>
      </c>
      <c r="P35" s="190"/>
      <c r="Q35" s="258"/>
      <c r="R35" s="208">
        <v>0.91666666666666663</v>
      </c>
      <c r="S35" s="190"/>
      <c r="T35" s="190"/>
      <c r="U35" s="208">
        <v>0.14599999999999999</v>
      </c>
      <c r="V35" s="190"/>
      <c r="W35" s="190"/>
    </row>
    <row r="36" spans="2:23">
      <c r="B36" s="79"/>
      <c r="D36" s="380">
        <f t="shared" si="1"/>
        <v>46081</v>
      </c>
      <c r="E36" s="380" t="s">
        <v>436</v>
      </c>
      <c r="F36" s="204">
        <v>351.93900947854473</v>
      </c>
      <c r="G36" s="89"/>
      <c r="H36" s="89"/>
      <c r="I36" s="86">
        <f t="shared" si="0"/>
        <v>0.96158199311077797</v>
      </c>
      <c r="J36" s="190"/>
      <c r="K36" s="83"/>
      <c r="L36" s="220">
        <v>2.4503167185372858E-3</v>
      </c>
      <c r="M36" s="190"/>
      <c r="N36" s="86"/>
      <c r="O36" s="220">
        <v>1.9655331442363613E-3</v>
      </c>
      <c r="P36" s="190"/>
      <c r="Q36" s="86"/>
      <c r="R36" s="208">
        <v>0.91666666666666663</v>
      </c>
      <c r="S36" s="190"/>
      <c r="T36" s="190"/>
      <c r="U36" s="208">
        <v>0.15</v>
      </c>
      <c r="V36" s="190"/>
      <c r="W36" s="190"/>
    </row>
    <row r="37" spans="2:23">
      <c r="B37" s="79"/>
      <c r="D37" s="366"/>
      <c r="E37" s="366"/>
      <c r="F37" s="204"/>
      <c r="G37" s="89"/>
      <c r="H37" s="89"/>
      <c r="I37" s="86">
        <f t="shared" si="0"/>
        <v>0</v>
      </c>
      <c r="J37" s="190"/>
      <c r="K37" s="83"/>
      <c r="L37" s="220">
        <v>2.4201733354687928E-3</v>
      </c>
      <c r="M37" s="190"/>
      <c r="N37" s="86"/>
      <c r="O37" s="220">
        <v>1.6691286685492409E-3</v>
      </c>
      <c r="P37" s="190"/>
      <c r="Q37" s="86"/>
      <c r="R37" s="208"/>
      <c r="S37" s="190"/>
      <c r="T37" s="190"/>
      <c r="U37" s="208"/>
      <c r="V37" s="190"/>
      <c r="W37" s="190"/>
    </row>
    <row r="38" spans="2:23">
      <c r="B38" s="79"/>
      <c r="D38" s="366"/>
      <c r="E38" s="366"/>
      <c r="F38" s="204"/>
      <c r="G38" s="89"/>
      <c r="H38" s="89"/>
      <c r="I38" s="86">
        <f t="shared" si="0"/>
        <v>0</v>
      </c>
      <c r="J38" s="190"/>
      <c r="K38" s="83"/>
      <c r="L38" s="220">
        <v>2.4499124486547907E-3</v>
      </c>
      <c r="M38" s="190"/>
      <c r="N38" s="86"/>
      <c r="O38" s="220">
        <v>1.9438430964752661E-3</v>
      </c>
      <c r="P38" s="190"/>
      <c r="Q38" s="86"/>
      <c r="R38" s="208"/>
      <c r="S38" s="190"/>
      <c r="T38" s="190"/>
      <c r="U38" s="208"/>
      <c r="V38" s="190"/>
      <c r="W38" s="190"/>
    </row>
    <row r="39" spans="2:23">
      <c r="B39" s="79"/>
      <c r="D39" s="366"/>
      <c r="E39" s="366"/>
      <c r="F39" s="204"/>
      <c r="G39" s="89"/>
      <c r="H39" s="89"/>
      <c r="I39" s="86"/>
      <c r="K39" s="83"/>
      <c r="L39" s="220"/>
      <c r="M39" s="86"/>
      <c r="N39" s="86"/>
      <c r="O39" s="220"/>
      <c r="P39" s="86"/>
      <c r="Q39" s="86"/>
      <c r="R39" s="208"/>
      <c r="S39" s="190"/>
      <c r="T39" s="190"/>
      <c r="U39" s="208"/>
      <c r="V39" s="190"/>
      <c r="W39" s="190"/>
    </row>
    <row r="40" spans="2:23">
      <c r="B40" s="79"/>
    </row>
    <row r="41" spans="2:23">
      <c r="B41" s="79"/>
      <c r="D41" s="82"/>
      <c r="E41" s="82"/>
      <c r="F41" s="249"/>
      <c r="G41" s="89"/>
      <c r="H41" s="89"/>
      <c r="I41" s="86"/>
      <c r="J41" s="190"/>
      <c r="K41" s="83"/>
      <c r="L41" s="255"/>
      <c r="M41" s="86"/>
      <c r="N41" s="86"/>
      <c r="O41" s="255"/>
      <c r="P41" s="86"/>
      <c r="Q41" s="86"/>
      <c r="R41" s="254"/>
      <c r="S41" s="190"/>
      <c r="T41" s="190"/>
      <c r="U41" s="254"/>
      <c r="V41" s="190"/>
      <c r="W41" s="190"/>
    </row>
    <row r="42" spans="2:23">
      <c r="B42" s="79"/>
      <c r="D42" s="82"/>
      <c r="E42" s="82"/>
      <c r="F42" s="249"/>
      <c r="G42" s="89"/>
      <c r="H42" s="89"/>
      <c r="I42" s="86"/>
      <c r="J42" s="190"/>
      <c r="K42" s="83"/>
      <c r="L42" s="255"/>
      <c r="M42" s="86"/>
      <c r="N42" s="86"/>
      <c r="O42" s="255"/>
      <c r="P42" s="86"/>
      <c r="Q42" s="86"/>
      <c r="R42" s="254"/>
      <c r="S42" s="190"/>
      <c r="T42" s="190"/>
      <c r="U42" s="254"/>
      <c r="V42" s="190"/>
      <c r="W42" s="190"/>
    </row>
    <row r="43" spans="2:23">
      <c r="B43" s="79"/>
      <c r="D43" s="82"/>
      <c r="E43" s="82"/>
      <c r="F43" s="249"/>
      <c r="G43" s="89"/>
      <c r="H43" s="89"/>
      <c r="I43" s="86"/>
      <c r="J43" s="190"/>
      <c r="K43" s="83"/>
      <c r="L43" s="255"/>
      <c r="M43" s="86"/>
      <c r="N43" s="86"/>
      <c r="O43" s="255"/>
      <c r="P43" s="86"/>
      <c r="Q43" s="86"/>
      <c r="R43" s="254"/>
      <c r="S43" s="190"/>
      <c r="T43" s="190"/>
      <c r="U43" s="254"/>
      <c r="V43" s="190"/>
      <c r="W43" s="190"/>
    </row>
    <row r="44" spans="2:23">
      <c r="B44" s="79"/>
    </row>
    <row r="45" spans="2:23">
      <c r="B45" s="79"/>
    </row>
    <row r="46" spans="2:23">
      <c r="B46" s="79"/>
    </row>
    <row r="47" spans="2:23">
      <c r="B47" s="79"/>
    </row>
    <row r="48" spans="2:23">
      <c r="B48" s="79"/>
    </row>
    <row r="49" spans="2:2">
      <c r="B49" s="79"/>
    </row>
  </sheetData>
  <mergeCells count="9">
    <mergeCell ref="B2:U2"/>
    <mergeCell ref="F3:H3"/>
    <mergeCell ref="L3:N3"/>
    <mergeCell ref="R3:T3"/>
    <mergeCell ref="C3:C4"/>
    <mergeCell ref="D3:E4"/>
    <mergeCell ref="I3:K3"/>
    <mergeCell ref="O3:Q3"/>
    <mergeCell ref="U3:W3"/>
  </mergeCells>
  <phoneticPr fontId="1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CC"/>
  </sheetPr>
  <dimension ref="A2:AT102"/>
  <sheetViews>
    <sheetView zoomScale="75" zoomScaleNormal="75" workbookViewId="0">
      <pane xSplit="5" ySplit="6" topLeftCell="N7" activePane="bottomRight" state="frozen"/>
      <selection pane="topRight" activeCell="F1" sqref="F1"/>
      <selection pane="bottomLeft" activeCell="A7" sqref="A7"/>
      <selection pane="bottomRight" activeCell="AK11" sqref="AK11:AK38"/>
    </sheetView>
  </sheetViews>
  <sheetFormatPr defaultColWidth="8.85546875" defaultRowHeight="16.5"/>
  <cols>
    <col min="1" max="1" width="0" style="75" hidden="1" customWidth="1"/>
    <col min="2" max="2" width="13.140625" style="75" hidden="1" customWidth="1"/>
    <col min="3" max="3" width="0" style="98" hidden="1" customWidth="1"/>
    <col min="4" max="4" width="11" style="98" bestFit="1" customWidth="1"/>
    <col min="5" max="5" width="4.140625" style="78" bestFit="1" customWidth="1"/>
    <col min="6" max="8" width="17.42578125" style="97" customWidth="1"/>
    <col min="9" max="9" width="10.5703125" style="93" customWidth="1"/>
    <col min="10" max="10" width="10.5703125" style="86" customWidth="1"/>
    <col min="11" max="11" width="10.5703125" style="93" customWidth="1"/>
    <col min="12" max="14" width="10.5703125" style="86" customWidth="1"/>
    <col min="15" max="15" width="10.5703125" style="93" customWidth="1"/>
    <col min="16" max="16" width="10.5703125" style="86" customWidth="1"/>
    <col min="17" max="17" width="10.5703125" style="93" customWidth="1"/>
    <col min="18" max="18" width="10.5703125" style="86" customWidth="1"/>
    <col min="19" max="19" width="10.5703125" style="93" customWidth="1"/>
    <col min="20" max="20" width="10.5703125" style="86" customWidth="1"/>
    <col min="21" max="21" width="10.5703125" style="93" customWidth="1"/>
    <col min="22" max="22" width="10.5703125" style="86" customWidth="1"/>
    <col min="23" max="23" width="10.5703125" style="93" customWidth="1"/>
    <col min="24" max="24" width="10.5703125" style="86" customWidth="1"/>
    <col min="25" max="25" width="10.5703125" style="93" customWidth="1"/>
    <col min="26" max="26" width="10.5703125" style="86" customWidth="1"/>
    <col min="27" max="27" width="10.5703125" style="93" customWidth="1"/>
    <col min="28" max="28" width="10.5703125" style="86" customWidth="1"/>
    <col min="29" max="29" width="10.5703125" style="93" customWidth="1"/>
    <col min="30" max="30" width="10.5703125" style="86" customWidth="1"/>
    <col min="31" max="31" width="10.5703125" style="93" customWidth="1"/>
    <col min="32" max="32" width="10.5703125" style="86" customWidth="1"/>
    <col min="33" max="33" width="10.42578125" style="93" customWidth="1"/>
    <col min="34" max="34" width="10.42578125" style="86" customWidth="1"/>
    <col min="35" max="35" width="10.42578125" style="93" customWidth="1"/>
    <col min="36" max="36" width="10.42578125" style="86" customWidth="1"/>
    <col min="37" max="37" width="10.42578125" style="93" customWidth="1"/>
    <col min="38" max="38" width="10.42578125" style="86" customWidth="1"/>
    <col min="39" max="16384" width="8.85546875" style="75"/>
  </cols>
  <sheetData>
    <row r="2" spans="1:38" ht="38.1" customHeight="1">
      <c r="A2" s="74"/>
      <c r="B2" s="435" t="s">
        <v>315</v>
      </c>
      <c r="C2" s="435"/>
      <c r="D2" s="435"/>
      <c r="E2" s="435"/>
      <c r="F2" s="435"/>
      <c r="G2" s="435"/>
      <c r="H2" s="435"/>
      <c r="I2" s="435"/>
      <c r="J2" s="435"/>
      <c r="K2" s="435"/>
      <c r="L2" s="435"/>
      <c r="M2" s="435"/>
      <c r="N2" s="435"/>
      <c r="O2" s="435"/>
      <c r="P2" s="435"/>
      <c r="Q2" s="435"/>
      <c r="R2" s="435"/>
      <c r="S2" s="435"/>
      <c r="T2" s="435"/>
      <c r="U2" s="435"/>
      <c r="V2" s="435"/>
      <c r="W2" s="435"/>
      <c r="X2" s="435"/>
      <c r="Y2" s="435"/>
      <c r="Z2" s="435"/>
      <c r="AA2" s="435"/>
      <c r="AB2" s="435"/>
      <c r="AC2" s="435"/>
      <c r="AD2" s="435"/>
      <c r="AE2" s="435"/>
      <c r="AF2" s="435"/>
      <c r="AG2" s="435"/>
      <c r="AH2" s="435"/>
      <c r="AI2" s="435"/>
      <c r="AJ2" s="435"/>
      <c r="AK2" s="435"/>
      <c r="AL2" s="435"/>
    </row>
    <row r="3" spans="1:38" ht="25.35" customHeight="1">
      <c r="B3" s="79"/>
      <c r="C3" s="449" t="s">
        <v>139</v>
      </c>
      <c r="D3" s="450" t="s">
        <v>105</v>
      </c>
      <c r="E3" s="450"/>
      <c r="F3" s="451" t="s">
        <v>346</v>
      </c>
      <c r="G3" s="451"/>
      <c r="H3" s="451"/>
      <c r="I3" s="452" t="s">
        <v>111</v>
      </c>
      <c r="J3" s="452"/>
      <c r="K3" s="452"/>
      <c r="L3" s="452"/>
      <c r="M3" s="452"/>
      <c r="N3" s="452"/>
      <c r="O3" s="452"/>
      <c r="P3" s="452"/>
      <c r="Q3" s="452"/>
      <c r="R3" s="452"/>
      <c r="S3" s="452"/>
      <c r="T3" s="452"/>
      <c r="U3" s="452"/>
      <c r="V3" s="452"/>
      <c r="W3" s="452"/>
      <c r="X3" s="452"/>
      <c r="Y3" s="452"/>
      <c r="Z3" s="452"/>
      <c r="AA3" s="452"/>
      <c r="AB3" s="452"/>
      <c r="AC3" s="452"/>
      <c r="AD3" s="452"/>
      <c r="AE3" s="452"/>
      <c r="AF3" s="452"/>
      <c r="AG3" s="452"/>
      <c r="AH3" s="452"/>
      <c r="AI3" s="452"/>
      <c r="AJ3" s="452"/>
      <c r="AK3" s="452"/>
      <c r="AL3" s="452"/>
    </row>
    <row r="4" spans="1:38" ht="25.35" customHeight="1">
      <c r="B4" s="79"/>
      <c r="C4" s="449"/>
      <c r="D4" s="450"/>
      <c r="E4" s="450"/>
      <c r="F4" s="451"/>
      <c r="G4" s="451"/>
      <c r="H4" s="451"/>
      <c r="I4" s="447" t="s">
        <v>140</v>
      </c>
      <c r="J4" s="447"/>
      <c r="K4" s="447"/>
      <c r="L4" s="447"/>
      <c r="M4" s="447"/>
      <c r="N4" s="447"/>
      <c r="O4" s="447" t="s">
        <v>141</v>
      </c>
      <c r="P4" s="447"/>
      <c r="Q4" s="447"/>
      <c r="R4" s="447"/>
      <c r="S4" s="447"/>
      <c r="T4" s="447"/>
      <c r="U4" s="447" t="s">
        <v>331</v>
      </c>
      <c r="V4" s="447"/>
      <c r="W4" s="447" t="s">
        <v>143</v>
      </c>
      <c r="X4" s="447"/>
      <c r="Y4" s="447" t="s">
        <v>134</v>
      </c>
      <c r="Z4" s="447"/>
      <c r="AA4" s="447"/>
      <c r="AB4" s="447"/>
      <c r="AC4" s="447"/>
      <c r="AD4" s="447"/>
      <c r="AE4" s="447" t="s">
        <v>132</v>
      </c>
      <c r="AF4" s="447"/>
      <c r="AG4" s="447" t="s">
        <v>144</v>
      </c>
      <c r="AH4" s="447"/>
      <c r="AI4" s="447" t="s">
        <v>145</v>
      </c>
      <c r="AJ4" s="447"/>
      <c r="AK4" s="447" t="s">
        <v>138</v>
      </c>
      <c r="AL4" s="447"/>
    </row>
    <row r="5" spans="1:38" ht="25.35" customHeight="1">
      <c r="B5" s="79"/>
      <c r="C5" s="449"/>
      <c r="D5" s="450"/>
      <c r="E5" s="450"/>
      <c r="F5" s="446" t="s">
        <v>115</v>
      </c>
      <c r="G5" s="446" t="s">
        <v>117</v>
      </c>
      <c r="H5" s="446" t="s">
        <v>118</v>
      </c>
      <c r="I5" s="447" t="s">
        <v>129</v>
      </c>
      <c r="J5" s="447"/>
      <c r="K5" s="447" t="s">
        <v>130</v>
      </c>
      <c r="L5" s="447"/>
      <c r="M5" s="448" t="s">
        <v>146</v>
      </c>
      <c r="N5" s="447"/>
      <c r="O5" s="447" t="s">
        <v>129</v>
      </c>
      <c r="P5" s="447"/>
      <c r="Q5" s="447" t="s">
        <v>130</v>
      </c>
      <c r="R5" s="447"/>
      <c r="S5" s="448" t="s">
        <v>146</v>
      </c>
      <c r="T5" s="447"/>
      <c r="U5" s="447" t="s">
        <v>129</v>
      </c>
      <c r="V5" s="447"/>
      <c r="W5" s="447" t="s">
        <v>129</v>
      </c>
      <c r="X5" s="447"/>
      <c r="Y5" s="447" t="s">
        <v>129</v>
      </c>
      <c r="Z5" s="447"/>
      <c r="AA5" s="447" t="s">
        <v>130</v>
      </c>
      <c r="AB5" s="447"/>
      <c r="AC5" s="448" t="s">
        <v>146</v>
      </c>
      <c r="AD5" s="447"/>
      <c r="AE5" s="447" t="s">
        <v>129</v>
      </c>
      <c r="AF5" s="447"/>
      <c r="AG5" s="447" t="s">
        <v>129</v>
      </c>
      <c r="AH5" s="447"/>
      <c r="AI5" s="447" t="s">
        <v>129</v>
      </c>
      <c r="AJ5" s="447"/>
      <c r="AK5" s="447" t="s">
        <v>129</v>
      </c>
      <c r="AL5" s="447"/>
    </row>
    <row r="6" spans="1:38" s="78" customFormat="1" ht="23.45" customHeight="1">
      <c r="B6" s="79"/>
      <c r="C6" s="449"/>
      <c r="D6" s="450"/>
      <c r="E6" s="450"/>
      <c r="F6" s="446"/>
      <c r="G6" s="446"/>
      <c r="H6" s="446"/>
      <c r="I6" s="94" t="s">
        <v>112</v>
      </c>
      <c r="J6" s="95" t="s">
        <v>113</v>
      </c>
      <c r="K6" s="94" t="s">
        <v>112</v>
      </c>
      <c r="L6" s="95" t="s">
        <v>113</v>
      </c>
      <c r="M6" s="94" t="s">
        <v>112</v>
      </c>
      <c r="N6" s="95" t="s">
        <v>113</v>
      </c>
      <c r="O6" s="94" t="s">
        <v>112</v>
      </c>
      <c r="P6" s="95" t="s">
        <v>113</v>
      </c>
      <c r="Q6" s="94" t="s">
        <v>112</v>
      </c>
      <c r="R6" s="95" t="s">
        <v>113</v>
      </c>
      <c r="S6" s="94" t="s">
        <v>112</v>
      </c>
      <c r="T6" s="95" t="s">
        <v>113</v>
      </c>
      <c r="U6" s="94" t="s">
        <v>112</v>
      </c>
      <c r="V6" s="95" t="s">
        <v>113</v>
      </c>
      <c r="W6" s="94" t="s">
        <v>112</v>
      </c>
      <c r="X6" s="95" t="s">
        <v>113</v>
      </c>
      <c r="Y6" s="94" t="s">
        <v>112</v>
      </c>
      <c r="Z6" s="95" t="s">
        <v>113</v>
      </c>
      <c r="AA6" s="94" t="s">
        <v>112</v>
      </c>
      <c r="AB6" s="95" t="s">
        <v>113</v>
      </c>
      <c r="AC6" s="94" t="s">
        <v>112</v>
      </c>
      <c r="AD6" s="95" t="s">
        <v>113</v>
      </c>
      <c r="AE6" s="94" t="s">
        <v>112</v>
      </c>
      <c r="AF6" s="95" t="s">
        <v>113</v>
      </c>
      <c r="AG6" s="94" t="s">
        <v>112</v>
      </c>
      <c r="AH6" s="95" t="s">
        <v>113</v>
      </c>
      <c r="AI6" s="94" t="s">
        <v>112</v>
      </c>
      <c r="AJ6" s="95" t="s">
        <v>113</v>
      </c>
      <c r="AK6" s="94" t="s">
        <v>112</v>
      </c>
      <c r="AL6" s="95" t="s">
        <v>113</v>
      </c>
    </row>
    <row r="7" spans="1:38" ht="14.25">
      <c r="B7" s="79"/>
      <c r="C7" s="337"/>
      <c r="D7" s="82"/>
      <c r="E7" s="82"/>
      <c r="F7" s="203"/>
      <c r="G7" s="257"/>
      <c r="H7" s="273"/>
      <c r="I7" s="209"/>
      <c r="J7" s="96"/>
      <c r="K7" s="209"/>
      <c r="L7" s="96"/>
      <c r="M7" s="202"/>
      <c r="N7" s="96"/>
      <c r="O7" s="209"/>
      <c r="P7" s="96"/>
      <c r="Q7" s="209"/>
      <c r="R7" s="96"/>
      <c r="S7" s="202"/>
      <c r="T7" s="96"/>
      <c r="U7" s="209"/>
      <c r="V7" s="96"/>
      <c r="W7" s="209"/>
      <c r="X7" s="96"/>
      <c r="Y7" s="209"/>
      <c r="Z7" s="96"/>
      <c r="AA7" s="209"/>
      <c r="AB7" s="96"/>
      <c r="AC7" s="202"/>
      <c r="AD7" s="96"/>
      <c r="AE7" s="209"/>
      <c r="AF7" s="96"/>
      <c r="AG7" s="209"/>
      <c r="AH7" s="96"/>
      <c r="AI7" s="209"/>
      <c r="AJ7" s="96"/>
      <c r="AK7" s="209"/>
      <c r="AL7" s="96"/>
    </row>
    <row r="8" spans="1:38" ht="14.25">
      <c r="B8" s="79"/>
      <c r="C8" s="79"/>
      <c r="D8" s="82"/>
      <c r="E8" s="82"/>
      <c r="F8" s="203"/>
      <c r="G8" s="257"/>
      <c r="I8" s="209"/>
      <c r="J8" s="96"/>
      <c r="K8" s="209"/>
      <c r="L8" s="96"/>
      <c r="M8" s="202"/>
      <c r="N8" s="96"/>
      <c r="O8" s="209"/>
      <c r="P8" s="96"/>
      <c r="Q8" s="209"/>
      <c r="R8" s="96"/>
      <c r="S8" s="202"/>
      <c r="T8" s="96"/>
      <c r="U8" s="209"/>
      <c r="V8" s="96"/>
      <c r="W8" s="209"/>
      <c r="X8" s="96"/>
      <c r="Y8" s="209"/>
      <c r="Z8" s="96"/>
      <c r="AA8" s="209"/>
      <c r="AB8" s="96"/>
      <c r="AC8" s="202"/>
      <c r="AD8" s="96"/>
      <c r="AE8" s="209"/>
      <c r="AF8" s="96"/>
      <c r="AG8" s="209"/>
      <c r="AH8" s="96"/>
      <c r="AI8" s="209"/>
      <c r="AJ8" s="96"/>
      <c r="AK8" s="209"/>
      <c r="AL8" s="96"/>
    </row>
    <row r="9" spans="1:38" ht="14.25">
      <c r="B9" s="79"/>
      <c r="C9" s="79"/>
      <c r="D9" s="82"/>
      <c r="E9" s="82"/>
      <c r="F9" s="203"/>
      <c r="G9" s="257"/>
      <c r="H9" s="274"/>
      <c r="I9" s="209"/>
      <c r="J9" s="96"/>
      <c r="K9" s="209"/>
      <c r="L9" s="96"/>
      <c r="M9" s="202"/>
      <c r="N9" s="96"/>
      <c r="O9" s="209"/>
      <c r="P9" s="96"/>
      <c r="Q9" s="209"/>
      <c r="R9" s="96"/>
      <c r="S9" s="202"/>
      <c r="T9" s="96"/>
      <c r="U9" s="209"/>
      <c r="V9" s="96"/>
      <c r="W9" s="209"/>
      <c r="X9" s="96"/>
      <c r="Y9" s="209"/>
      <c r="Z9" s="96"/>
      <c r="AA9" s="209"/>
      <c r="AB9" s="96"/>
      <c r="AC9" s="202"/>
      <c r="AD9" s="96"/>
      <c r="AE9" s="209"/>
      <c r="AF9" s="96"/>
      <c r="AG9" s="209"/>
      <c r="AH9" s="96"/>
      <c r="AI9" s="209"/>
      <c r="AJ9" s="96"/>
      <c r="AK9" s="209"/>
      <c r="AL9" s="96"/>
    </row>
    <row r="10" spans="1:38" ht="14.25">
      <c r="B10" s="79"/>
      <c r="C10" s="79"/>
      <c r="D10" s="82"/>
      <c r="E10" s="82"/>
      <c r="F10" s="203"/>
      <c r="G10" s="257"/>
      <c r="H10" s="274"/>
      <c r="I10" s="209"/>
      <c r="J10" s="96"/>
      <c r="K10" s="209"/>
      <c r="L10" s="96"/>
      <c r="M10" s="202"/>
      <c r="N10" s="96"/>
      <c r="O10" s="209"/>
      <c r="P10" s="96"/>
      <c r="Q10" s="209"/>
      <c r="R10" s="96"/>
      <c r="S10" s="202"/>
      <c r="T10" s="96"/>
      <c r="U10" s="209"/>
      <c r="V10" s="96"/>
      <c r="W10" s="209"/>
      <c r="X10" s="96"/>
      <c r="Y10" s="209"/>
      <c r="Z10" s="96"/>
      <c r="AA10" s="209"/>
      <c r="AB10" s="96"/>
      <c r="AC10" s="202"/>
      <c r="AD10" s="96"/>
      <c r="AE10" s="209"/>
      <c r="AF10" s="96"/>
      <c r="AG10" s="209"/>
      <c r="AH10" s="96"/>
      <c r="AI10" s="209"/>
      <c r="AJ10" s="96"/>
      <c r="AK10" s="209"/>
      <c r="AL10" s="96"/>
    </row>
    <row r="11" spans="1:38" ht="14.25">
      <c r="B11" s="79"/>
      <c r="C11" s="79"/>
      <c r="D11" s="82">
        <v>46054</v>
      </c>
      <c r="E11" s="82" t="s">
        <v>437</v>
      </c>
      <c r="F11" s="203">
        <f t="shared" ref="F11:F45" si="0">SUM(M11,S11,U11,W11,AC11,AE11,AG11,AI11,AK11)</f>
        <v>6940443.0000000009</v>
      </c>
      <c r="G11" s="257"/>
      <c r="H11" s="274">
        <f>SUM(F11:F41)</f>
        <v>192546053</v>
      </c>
      <c r="I11" s="209">
        <v>539916.47267635853</v>
      </c>
      <c r="J11" s="96">
        <f t="shared" ref="J11:J12" si="1">I11/F11</f>
        <v>7.7792796897310224E-2</v>
      </c>
      <c r="K11" s="209">
        <v>674880.79821207945</v>
      </c>
      <c r="L11" s="96">
        <f t="shared" ref="L11:L12" si="2">K11/F11</f>
        <v>9.723886475432178E-2</v>
      </c>
      <c r="M11" s="202">
        <f t="shared" ref="M11:M12" si="3">SUM(I11+K11)</f>
        <v>1214797.270888438</v>
      </c>
      <c r="N11" s="96">
        <f t="shared" ref="N11:N12" si="4">M11/F11</f>
        <v>0.175031661651632</v>
      </c>
      <c r="O11" s="209">
        <v>105678.18510939245</v>
      </c>
      <c r="P11" s="96">
        <f t="shared" ref="P11:P12" si="5">O11/F11</f>
        <v>1.5226432247825165E-2</v>
      </c>
      <c r="Q11" s="209">
        <v>78454.278806507791</v>
      </c>
      <c r="R11" s="96">
        <f t="shared" ref="R11:R13" si="6">Q11/$F11</f>
        <v>1.1303929562782632E-2</v>
      </c>
      <c r="S11" s="202">
        <f t="shared" ref="S11:S13" si="7">SUM(O11+Q11)</f>
        <v>184132.46391590024</v>
      </c>
      <c r="T11" s="96">
        <f t="shared" ref="T11:T12" si="8">S11/F11</f>
        <v>2.6530361810607798E-2</v>
      </c>
      <c r="U11" s="209">
        <v>1196835.9337648738</v>
      </c>
      <c r="V11" s="96">
        <f t="shared" ref="V11:V12" si="9">U11/F11</f>
        <v>0.17244373792348322</v>
      </c>
      <c r="W11" s="209">
        <v>245158.97627293746</v>
      </c>
      <c r="X11" s="96">
        <f t="shared" ref="X11:X12" si="10">W11/F11</f>
        <v>3.5323246120303478E-2</v>
      </c>
      <c r="Y11" s="209">
        <v>603906.95655072958</v>
      </c>
      <c r="Z11" s="96">
        <f t="shared" ref="Z11:Z12" si="11">Y11/F11</f>
        <v>8.7012739179722312E-2</v>
      </c>
      <c r="AA11" s="209">
        <v>1315164.3175850846</v>
      </c>
      <c r="AB11" s="96">
        <f t="shared" ref="AB11:AB13" si="12">AA11/$F11</f>
        <v>0.18949284902780478</v>
      </c>
      <c r="AC11" s="202">
        <f t="shared" ref="AC11:AC12" si="13">SUM(Y11+AA11)</f>
        <v>1919071.274135814</v>
      </c>
      <c r="AD11" s="96">
        <f t="shared" ref="AD11:AD12" si="14">AC11/F11</f>
        <v>0.27650558820752708</v>
      </c>
      <c r="AE11" s="209">
        <v>896775.99342307553</v>
      </c>
      <c r="AF11" s="96">
        <f t="shared" ref="AF11:AF12" si="15">AE11/F11</f>
        <v>0.12921019500096398</v>
      </c>
      <c r="AG11" s="209">
        <v>444742.25344316894</v>
      </c>
      <c r="AH11" s="96">
        <f t="shared" ref="AH11:AH12" si="16">AG11/F11</f>
        <v>6.407980779370552E-2</v>
      </c>
      <c r="AI11" s="209">
        <v>419263.83312506514</v>
      </c>
      <c r="AJ11" s="96">
        <f t="shared" ref="AJ11:AJ12" si="17">AI11/F11</f>
        <v>6.0408800003841988E-2</v>
      </c>
      <c r="AK11" s="209">
        <v>419665.00103072805</v>
      </c>
      <c r="AL11" s="96">
        <f t="shared" ref="AL11:AL12" si="18">AK11/F11</f>
        <v>6.0466601487934993E-2</v>
      </c>
    </row>
    <row r="12" spans="1:38" ht="14.25">
      <c r="B12" s="79"/>
      <c r="C12" s="79"/>
      <c r="D12" s="82">
        <f t="shared" ref="D12:D38" si="19">D11+1</f>
        <v>46055</v>
      </c>
      <c r="E12" s="366" t="s">
        <v>431</v>
      </c>
      <c r="F12" s="203">
        <f t="shared" si="0"/>
        <v>6628150.9999999991</v>
      </c>
      <c r="G12" s="257"/>
      <c r="H12" s="274"/>
      <c r="I12" s="209">
        <v>522832.64683963376</v>
      </c>
      <c r="J12" s="96">
        <f t="shared" si="1"/>
        <v>7.8880617964140198E-2</v>
      </c>
      <c r="K12" s="209">
        <v>668113.06617913174</v>
      </c>
      <c r="L12" s="96">
        <f t="shared" si="2"/>
        <v>0.10079931283688796</v>
      </c>
      <c r="M12" s="202">
        <f t="shared" si="3"/>
        <v>1190945.7130187654</v>
      </c>
      <c r="N12" s="96">
        <f t="shared" si="4"/>
        <v>0.17967993080102815</v>
      </c>
      <c r="O12" s="209">
        <v>101888.32743018056</v>
      </c>
      <c r="P12" s="96">
        <f t="shared" si="5"/>
        <v>1.5372058878891048E-2</v>
      </c>
      <c r="Q12" s="209">
        <v>79423.346887309759</v>
      </c>
      <c r="R12" s="96">
        <f t="shared" si="6"/>
        <v>1.1982730460924891E-2</v>
      </c>
      <c r="S12" s="202">
        <f t="shared" si="7"/>
        <v>181311.67431749031</v>
      </c>
      <c r="T12" s="96">
        <f t="shared" si="8"/>
        <v>2.7354789339815937E-2</v>
      </c>
      <c r="U12" s="209">
        <v>1147564.1965757203</v>
      </c>
      <c r="V12" s="96">
        <f t="shared" si="9"/>
        <v>0.1731348903450933</v>
      </c>
      <c r="W12" s="209">
        <v>175354.0013335518</v>
      </c>
      <c r="X12" s="96">
        <f t="shared" si="10"/>
        <v>2.6455945456515976E-2</v>
      </c>
      <c r="Y12" s="209">
        <v>574289.71672664676</v>
      </c>
      <c r="Z12" s="96">
        <f t="shared" si="11"/>
        <v>8.6644030398017005E-2</v>
      </c>
      <c r="AA12" s="209">
        <v>1230820.4478830644</v>
      </c>
      <c r="AB12" s="96">
        <f t="shared" si="12"/>
        <v>0.18569589737516007</v>
      </c>
      <c r="AC12" s="202">
        <f t="shared" si="13"/>
        <v>1805110.1646097112</v>
      </c>
      <c r="AD12" s="96">
        <f t="shared" si="14"/>
        <v>0.27233992777317706</v>
      </c>
      <c r="AE12" s="209">
        <v>835758.38434176357</v>
      </c>
      <c r="AF12" s="96">
        <f t="shared" si="15"/>
        <v>0.12609223663458538</v>
      </c>
      <c r="AG12" s="209">
        <v>437086.15504808887</v>
      </c>
      <c r="AH12" s="96">
        <f t="shared" si="16"/>
        <v>6.5943904272562429E-2</v>
      </c>
      <c r="AI12" s="209">
        <v>424529.52836666506</v>
      </c>
      <c r="AJ12" s="96">
        <f t="shared" si="17"/>
        <v>6.404946543412561E-2</v>
      </c>
      <c r="AK12" s="209">
        <v>430491.18238824268</v>
      </c>
      <c r="AL12" s="96">
        <f t="shared" si="18"/>
        <v>6.4948909943096156E-2</v>
      </c>
    </row>
    <row r="13" spans="1:38" ht="14.25">
      <c r="B13" s="79"/>
      <c r="C13" s="79"/>
      <c r="D13" s="259">
        <f t="shared" si="19"/>
        <v>46056</v>
      </c>
      <c r="E13" s="259" t="s">
        <v>432</v>
      </c>
      <c r="F13" s="203">
        <f t="shared" si="0"/>
        <v>7316700</v>
      </c>
      <c r="G13" s="257"/>
      <c r="H13" s="274"/>
      <c r="I13" s="209">
        <v>535868.8994291157</v>
      </c>
      <c r="J13" s="96">
        <f>I13/F13</f>
        <v>7.3239151452036536E-2</v>
      </c>
      <c r="K13" s="209">
        <v>670774.66829810699</v>
      </c>
      <c r="L13" s="96">
        <f>K13/F13</f>
        <v>9.1677213538631758E-2</v>
      </c>
      <c r="M13" s="202">
        <f>SUM(I13+K13)</f>
        <v>1206643.5677272226</v>
      </c>
      <c r="N13" s="96">
        <f>M13/F13</f>
        <v>0.16491636499066828</v>
      </c>
      <c r="O13" s="209">
        <v>106444.88089468241</v>
      </c>
      <c r="P13" s="96">
        <f>O13/F13</f>
        <v>1.4548209014266324E-2</v>
      </c>
      <c r="Q13" s="209">
        <v>84110.77013721806</v>
      </c>
      <c r="R13" s="96">
        <f t="shared" si="6"/>
        <v>1.1495724867388039E-2</v>
      </c>
      <c r="S13" s="202">
        <f t="shared" si="7"/>
        <v>190555.65103190049</v>
      </c>
      <c r="T13" s="96">
        <f>S13/F13</f>
        <v>2.6043933881654366E-2</v>
      </c>
      <c r="U13" s="209">
        <v>1073750.6068545966</v>
      </c>
      <c r="V13" s="96">
        <f>U13/F13</f>
        <v>0.14675340069356357</v>
      </c>
      <c r="W13" s="209">
        <v>156793.71224775494</v>
      </c>
      <c r="X13" s="96">
        <f>W13/F13</f>
        <v>2.1429566915105846E-2</v>
      </c>
      <c r="Y13" s="209">
        <v>569885.78628534556</v>
      </c>
      <c r="Z13" s="96">
        <f>Y13/F13</f>
        <v>7.7888363098848598E-2</v>
      </c>
      <c r="AA13" s="209">
        <v>1269672.1782869808</v>
      </c>
      <c r="AB13" s="96">
        <f t="shared" si="12"/>
        <v>0.17353071443232343</v>
      </c>
      <c r="AC13" s="202">
        <f>SUM(Y13+AA13)</f>
        <v>1839557.9645723263</v>
      </c>
      <c r="AD13" s="96">
        <f>AC13/F13</f>
        <v>0.25141907753117204</v>
      </c>
      <c r="AE13" s="209">
        <v>1297448.5655675877</v>
      </c>
      <c r="AF13" s="96">
        <f>AE13/F13</f>
        <v>0.1773270143052999</v>
      </c>
      <c r="AG13" s="209">
        <v>408027.82848806994</v>
      </c>
      <c r="AH13" s="96">
        <f>AG13/F13</f>
        <v>5.5766647325716505E-2</v>
      </c>
      <c r="AI13" s="209">
        <v>412055.2169679362</v>
      </c>
      <c r="AJ13" s="96">
        <f>AI13/F13</f>
        <v>5.6317085156960954E-2</v>
      </c>
      <c r="AK13" s="209">
        <v>731866.88654260512</v>
      </c>
      <c r="AL13" s="96">
        <f>AK13/F13</f>
        <v>0.10002690919985856</v>
      </c>
    </row>
    <row r="14" spans="1:38" ht="14.25">
      <c r="B14" s="79"/>
      <c r="C14" s="79"/>
      <c r="D14" s="379">
        <f t="shared" si="19"/>
        <v>46057</v>
      </c>
      <c r="E14" s="379" t="s">
        <v>433</v>
      </c>
      <c r="F14" s="203">
        <f t="shared" si="0"/>
        <v>6974914.0000000019</v>
      </c>
      <c r="G14" s="257">
        <f>SUM(F14:F20)</f>
        <v>46925404.000000007</v>
      </c>
      <c r="H14" s="274"/>
      <c r="I14" s="209">
        <v>538786.21190713602</v>
      </c>
      <c r="J14" s="96">
        <f t="shared" ref="J14" si="20">I14/F14</f>
        <v>7.7246287467793273E-2</v>
      </c>
      <c r="K14" s="209">
        <v>665112.57148152252</v>
      </c>
      <c r="L14" s="96">
        <f t="shared" ref="L14" si="21">K14/F14</f>
        <v>9.5357816810576063E-2</v>
      </c>
      <c r="M14" s="202">
        <f t="shared" ref="M14" si="22">SUM(I14+K14)</f>
        <v>1203898.7833886584</v>
      </c>
      <c r="N14" s="96">
        <f t="shared" ref="N14" si="23">M14/F14</f>
        <v>0.17260410427836934</v>
      </c>
      <c r="O14" s="209">
        <v>116131.30023622957</v>
      </c>
      <c r="P14" s="96">
        <f t="shared" ref="P14" si="24">O14/F14</f>
        <v>1.6649854067911023E-2</v>
      </c>
      <c r="Q14" s="209">
        <v>87555.806444305374</v>
      </c>
      <c r="R14" s="96">
        <f t="shared" ref="R14" si="25">Q14/$F14</f>
        <v>1.2552958566127891E-2</v>
      </c>
      <c r="S14" s="202">
        <f t="shared" ref="S14" si="26">SUM(O14+Q14)</f>
        <v>203687.10668053495</v>
      </c>
      <c r="T14" s="96">
        <f t="shared" ref="T14" si="27">S14/F14</f>
        <v>2.9202812634038913E-2</v>
      </c>
      <c r="U14" s="209">
        <v>1068468.3732219788</v>
      </c>
      <c r="V14" s="96">
        <f t="shared" ref="V14" si="28">U14/F14</f>
        <v>0.15318731861381782</v>
      </c>
      <c r="W14" s="209">
        <v>117671.51876854144</v>
      </c>
      <c r="X14" s="96">
        <f t="shared" ref="X14" si="29">W14/F14</f>
        <v>1.6870676651861431E-2</v>
      </c>
      <c r="Y14" s="209">
        <v>577562.66987274273</v>
      </c>
      <c r="Z14" s="96">
        <f t="shared" ref="Z14" si="30">Y14/F14</f>
        <v>8.2805704826287838E-2</v>
      </c>
      <c r="AA14" s="209">
        <v>1255657.5742128282</v>
      </c>
      <c r="AB14" s="96">
        <f t="shared" ref="AB14" si="31">AA14/$F14</f>
        <v>0.18002481094574468</v>
      </c>
      <c r="AC14" s="202">
        <f t="shared" ref="AC14" si="32">SUM(Y14+AA14)</f>
        <v>1833220.2440855708</v>
      </c>
      <c r="AD14" s="96">
        <f t="shared" ref="AD14" si="33">AC14/F14</f>
        <v>0.26283051577203248</v>
      </c>
      <c r="AE14" s="209">
        <v>1067001.8713077614</v>
      </c>
      <c r="AF14" s="96">
        <f t="shared" ref="AF14" si="34">AE14/F14</f>
        <v>0.15297706485094456</v>
      </c>
      <c r="AG14" s="209">
        <v>459685.96523143433</v>
      </c>
      <c r="AH14" s="96">
        <f t="shared" ref="AH14" si="35">AG14/F14</f>
        <v>6.5905610482284688E-2</v>
      </c>
      <c r="AI14" s="209">
        <v>459496.85484977806</v>
      </c>
      <c r="AJ14" s="96">
        <f t="shared" ref="AJ14" si="36">AI14/F14</f>
        <v>6.5878497548468404E-2</v>
      </c>
      <c r="AK14" s="209">
        <v>561783.28246574255</v>
      </c>
      <c r="AL14" s="96">
        <f t="shared" ref="AL14" si="37">AK14/F14</f>
        <v>8.0543399168182206E-2</v>
      </c>
    </row>
    <row r="15" spans="1:38" ht="14.25">
      <c r="B15" s="79"/>
      <c r="C15" s="79"/>
      <c r="D15" s="379">
        <f t="shared" si="19"/>
        <v>46058</v>
      </c>
      <c r="E15" s="379" t="s">
        <v>434</v>
      </c>
      <c r="F15" s="203">
        <f t="shared" si="0"/>
        <v>6570703</v>
      </c>
      <c r="G15" s="257"/>
      <c r="H15" s="274"/>
      <c r="I15" s="209">
        <v>502646.74009423557</v>
      </c>
      <c r="J15" s="96">
        <f t="shared" ref="J15:J41" si="38">I15/F15</f>
        <v>7.6498167714205853E-2</v>
      </c>
      <c r="K15" s="209">
        <v>622892.07738986425</v>
      </c>
      <c r="L15" s="96">
        <f t="shared" ref="L15:L41" si="39">K15/F15</f>
        <v>9.4798391799152129E-2</v>
      </c>
      <c r="M15" s="202">
        <f t="shared" ref="M15:M41" si="40">SUM(I15+K15)</f>
        <v>1125538.8174840999</v>
      </c>
      <c r="N15" s="96">
        <f t="shared" ref="N15:N41" si="41">M15/F15</f>
        <v>0.17129655951335798</v>
      </c>
      <c r="O15" s="209">
        <v>113127.44365871989</v>
      </c>
      <c r="P15" s="96">
        <f t="shared" ref="P15:P41" si="42">O15/F15</f>
        <v>1.7216946749643056E-2</v>
      </c>
      <c r="Q15" s="209">
        <v>88087.604164620061</v>
      </c>
      <c r="R15" s="96">
        <f t="shared" ref="R15:R45" si="43">Q15/$F15</f>
        <v>1.3406115626382758E-2</v>
      </c>
      <c r="S15" s="202">
        <f t="shared" ref="S15:S45" si="44">SUM(O15+Q15)</f>
        <v>201215.04782333993</v>
      </c>
      <c r="T15" s="96">
        <f t="shared" ref="T15:T41" si="45">S15/F15</f>
        <v>3.0623062376025811E-2</v>
      </c>
      <c r="U15" s="209">
        <v>1023043.4220539016</v>
      </c>
      <c r="V15" s="96">
        <f t="shared" ref="V15:V41" si="46">U15/F15</f>
        <v>0.15569771180555592</v>
      </c>
      <c r="W15" s="209">
        <v>129445.80872902019</v>
      </c>
      <c r="X15" s="96">
        <f t="shared" ref="X15:X41" si="47">W15/F15</f>
        <v>1.9700450428062292E-2</v>
      </c>
      <c r="Y15" s="209">
        <v>560632.6538664843</v>
      </c>
      <c r="Z15" s="96">
        <f t="shared" ref="Z15:Z41" si="48">Y15/F15</f>
        <v>8.5323085500361884E-2</v>
      </c>
      <c r="AA15" s="209">
        <v>1080737.144325813</v>
      </c>
      <c r="AB15" s="96">
        <f t="shared" ref="AB15:AB45" si="49">AA15/$F15</f>
        <v>0.16447816075780827</v>
      </c>
      <c r="AC15" s="202">
        <f t="shared" ref="AC15:AC41" si="50">SUM(Y15+AA15)</f>
        <v>1641369.7981922973</v>
      </c>
      <c r="AD15" s="96">
        <f t="shared" ref="AD15:AD41" si="51">AC15/F15</f>
        <v>0.24980124625817016</v>
      </c>
      <c r="AE15" s="209">
        <v>1042774.5416724643</v>
      </c>
      <c r="AF15" s="96">
        <f t="shared" ref="AF15:AF41" si="52">AE15/F15</f>
        <v>0.15870060504522338</v>
      </c>
      <c r="AG15" s="209">
        <v>433809.60680347617</v>
      </c>
      <c r="AH15" s="96">
        <f t="shared" ref="AH15:AH41" si="53">AG15/F15</f>
        <v>6.6021795050465099E-2</v>
      </c>
      <c r="AI15" s="209">
        <v>441448.53623261419</v>
      </c>
      <c r="AJ15" s="96">
        <f t="shared" ref="AJ15:AJ41" si="54">AI15/F15</f>
        <v>6.7184369196509747E-2</v>
      </c>
      <c r="AK15" s="209">
        <v>532057.42100878619</v>
      </c>
      <c r="AL15" s="96">
        <f t="shared" ref="AL15:AL41" si="55">AK15/F15</f>
        <v>8.0974200326629608E-2</v>
      </c>
    </row>
    <row r="16" spans="1:38" ht="14.25">
      <c r="B16" s="79"/>
      <c r="C16" s="79"/>
      <c r="D16" s="379">
        <f t="shared" si="19"/>
        <v>46059</v>
      </c>
      <c r="E16" s="379" t="s">
        <v>435</v>
      </c>
      <c r="F16" s="203">
        <f t="shared" si="0"/>
        <v>6000072.0000000009</v>
      </c>
      <c r="G16" s="257"/>
      <c r="H16" s="274"/>
      <c r="I16" s="209">
        <v>448847.29595207301</v>
      </c>
      <c r="J16" s="96">
        <f t="shared" si="38"/>
        <v>7.4806984974859131E-2</v>
      </c>
      <c r="K16" s="209">
        <v>603064.94154209853</v>
      </c>
      <c r="L16" s="96">
        <f t="shared" si="39"/>
        <v>0.10050961747494004</v>
      </c>
      <c r="M16" s="202">
        <f t="shared" si="40"/>
        <v>1051912.2374941716</v>
      </c>
      <c r="N16" s="96">
        <f t="shared" si="41"/>
        <v>0.17531660244979919</v>
      </c>
      <c r="O16" s="209">
        <v>88253.658437561913</v>
      </c>
      <c r="P16" s="96">
        <f t="shared" si="42"/>
        <v>1.470876656772817E-2</v>
      </c>
      <c r="Q16" s="209">
        <v>74256.584895265114</v>
      </c>
      <c r="R16" s="96">
        <f t="shared" si="43"/>
        <v>1.237594897115653E-2</v>
      </c>
      <c r="S16" s="202">
        <f t="shared" si="44"/>
        <v>162510.24333282703</v>
      </c>
      <c r="T16" s="96">
        <f t="shared" si="45"/>
        <v>2.70847155388847E-2</v>
      </c>
      <c r="U16" s="209">
        <v>887971.01015530282</v>
      </c>
      <c r="V16" s="96">
        <f t="shared" si="46"/>
        <v>0.14799339243850784</v>
      </c>
      <c r="W16" s="209">
        <v>121738.12229992718</v>
      </c>
      <c r="X16" s="96">
        <f t="shared" si="47"/>
        <v>2.0289443576664942E-2</v>
      </c>
      <c r="Y16" s="209">
        <v>492969.79929839983</v>
      </c>
      <c r="Z16" s="96">
        <f t="shared" si="48"/>
        <v>8.2160647288632496E-2</v>
      </c>
      <c r="AA16" s="209">
        <v>1176798.8853896491</v>
      </c>
      <c r="AB16" s="96">
        <f t="shared" si="49"/>
        <v>0.19613079399541353</v>
      </c>
      <c r="AC16" s="202">
        <f t="shared" si="50"/>
        <v>1669768.6846880489</v>
      </c>
      <c r="AD16" s="96">
        <f t="shared" si="51"/>
        <v>0.27829144128404604</v>
      </c>
      <c r="AE16" s="209">
        <v>959483.26611513412</v>
      </c>
      <c r="AF16" s="96">
        <f t="shared" si="52"/>
        <v>0.15991195874235076</v>
      </c>
      <c r="AG16" s="209">
        <v>325856.9112124907</v>
      </c>
      <c r="AH16" s="96">
        <f t="shared" si="53"/>
        <v>5.4308833496079824E-2</v>
      </c>
      <c r="AI16" s="209">
        <v>414640.89249813237</v>
      </c>
      <c r="AJ16" s="96">
        <f t="shared" si="54"/>
        <v>6.9105986144521653E-2</v>
      </c>
      <c r="AK16" s="209">
        <v>406190.6322039651</v>
      </c>
      <c r="AL16" s="96">
        <f t="shared" si="55"/>
        <v>6.7697626329144889E-2</v>
      </c>
    </row>
    <row r="17" spans="2:38" ht="14.25">
      <c r="B17" s="79"/>
      <c r="C17" s="79"/>
      <c r="D17" s="379">
        <f t="shared" si="19"/>
        <v>46060</v>
      </c>
      <c r="E17" s="379" t="s">
        <v>436</v>
      </c>
      <c r="F17" s="203">
        <f t="shared" si="0"/>
        <v>6372390</v>
      </c>
      <c r="G17" s="257"/>
      <c r="H17" s="274"/>
      <c r="I17" s="209">
        <v>433293.69491693209</v>
      </c>
      <c r="J17" s="96">
        <f t="shared" si="38"/>
        <v>6.799547656639536E-2</v>
      </c>
      <c r="K17" s="209">
        <v>648107.00828501675</v>
      </c>
      <c r="L17" s="96">
        <f t="shared" si="39"/>
        <v>0.10170548385849214</v>
      </c>
      <c r="M17" s="202">
        <f t="shared" si="40"/>
        <v>1081400.7032019489</v>
      </c>
      <c r="N17" s="96">
        <f t="shared" si="41"/>
        <v>0.1697009604248875</v>
      </c>
      <c r="O17" s="209">
        <v>82091.694569574116</v>
      </c>
      <c r="P17" s="96">
        <f t="shared" si="42"/>
        <v>1.2882402767183759E-2</v>
      </c>
      <c r="Q17" s="209">
        <v>69098.76439354154</v>
      </c>
      <c r="R17" s="96">
        <f t="shared" si="43"/>
        <v>1.08434613062825E-2</v>
      </c>
      <c r="S17" s="202">
        <f t="shared" si="44"/>
        <v>151190.45896311564</v>
      </c>
      <c r="T17" s="96">
        <f t="shared" si="45"/>
        <v>2.3725864073466257E-2</v>
      </c>
      <c r="U17" s="209">
        <v>964707.41451466619</v>
      </c>
      <c r="V17" s="96">
        <f t="shared" si="46"/>
        <v>0.15138863354481855</v>
      </c>
      <c r="W17" s="209">
        <v>107300.12574677118</v>
      </c>
      <c r="X17" s="96">
        <f t="shared" si="47"/>
        <v>1.6838286066416398E-2</v>
      </c>
      <c r="Y17" s="209">
        <v>534070.86451533763</v>
      </c>
      <c r="Z17" s="96">
        <f t="shared" si="48"/>
        <v>8.3810134739922951E-2</v>
      </c>
      <c r="AA17" s="209">
        <v>1189482.6163548988</v>
      </c>
      <c r="AB17" s="96">
        <f t="shared" si="49"/>
        <v>0.18666193003800752</v>
      </c>
      <c r="AC17" s="202">
        <f t="shared" si="50"/>
        <v>1723553.4808702364</v>
      </c>
      <c r="AD17" s="96">
        <f t="shared" si="51"/>
        <v>0.27047206477793045</v>
      </c>
      <c r="AE17" s="209">
        <v>1135028.2769247899</v>
      </c>
      <c r="AF17" s="96">
        <f t="shared" si="52"/>
        <v>0.17811657430332886</v>
      </c>
      <c r="AG17" s="209">
        <v>360416.99696415383</v>
      </c>
      <c r="AH17" s="96">
        <f t="shared" si="53"/>
        <v>5.6559155507455418E-2</v>
      </c>
      <c r="AI17" s="209">
        <v>405504.38561962586</v>
      </c>
      <c r="AJ17" s="96">
        <f t="shared" si="54"/>
        <v>6.363458382484842E-2</v>
      </c>
      <c r="AK17" s="209">
        <v>443288.15719469299</v>
      </c>
      <c r="AL17" s="96">
        <f t="shared" si="55"/>
        <v>6.9563877476848252E-2</v>
      </c>
    </row>
    <row r="18" spans="2:38" ht="14.25">
      <c r="B18" s="79"/>
      <c r="C18" s="79"/>
      <c r="D18" s="379">
        <f t="shared" si="19"/>
        <v>46061</v>
      </c>
      <c r="E18" s="379" t="s">
        <v>437</v>
      </c>
      <c r="F18" s="203">
        <f t="shared" si="0"/>
        <v>7231075.9999999991</v>
      </c>
      <c r="G18" s="257"/>
      <c r="H18" s="274"/>
      <c r="I18" s="209">
        <v>518525.02927042748</v>
      </c>
      <c r="J18" s="96">
        <f t="shared" si="38"/>
        <v>7.1707866058996969E-2</v>
      </c>
      <c r="K18" s="209">
        <v>682632.99614938919</v>
      </c>
      <c r="L18" s="96">
        <f t="shared" si="39"/>
        <v>9.4402685872668091E-2</v>
      </c>
      <c r="M18" s="202">
        <f t="shared" si="40"/>
        <v>1201158.0254198166</v>
      </c>
      <c r="N18" s="96">
        <f t="shared" si="41"/>
        <v>0.16611055193166505</v>
      </c>
      <c r="O18" s="209">
        <v>110471.8943097408</v>
      </c>
      <c r="P18" s="96">
        <f t="shared" si="42"/>
        <v>1.5277379785489853E-2</v>
      </c>
      <c r="Q18" s="209">
        <v>81251.401129969236</v>
      </c>
      <c r="R18" s="96">
        <f t="shared" si="43"/>
        <v>1.1236419189892244E-2</v>
      </c>
      <c r="S18" s="202">
        <f t="shared" si="44"/>
        <v>191723.29543971003</v>
      </c>
      <c r="T18" s="96">
        <f t="shared" si="45"/>
        <v>2.6513798975382093E-2</v>
      </c>
      <c r="U18" s="209">
        <v>1160061.8428876793</v>
      </c>
      <c r="V18" s="96">
        <f t="shared" si="46"/>
        <v>0.16042727844205751</v>
      </c>
      <c r="W18" s="209">
        <v>125909.6206887263</v>
      </c>
      <c r="X18" s="96">
        <f t="shared" si="47"/>
        <v>1.7412293922609349E-2</v>
      </c>
      <c r="Y18" s="209">
        <v>572925.22380713536</v>
      </c>
      <c r="Z18" s="96">
        <f t="shared" si="48"/>
        <v>7.9230978046301193E-2</v>
      </c>
      <c r="AA18" s="209">
        <v>1314188.5637405096</v>
      </c>
      <c r="AB18" s="96">
        <f t="shared" si="49"/>
        <v>0.18174177172809547</v>
      </c>
      <c r="AC18" s="202">
        <f t="shared" si="50"/>
        <v>1887113.7875476449</v>
      </c>
      <c r="AD18" s="96">
        <f t="shared" si="51"/>
        <v>0.26097274977439666</v>
      </c>
      <c r="AE18" s="209">
        <v>1264749.0532900118</v>
      </c>
      <c r="AF18" s="96">
        <f t="shared" si="52"/>
        <v>0.17490468269037859</v>
      </c>
      <c r="AG18" s="209">
        <v>403502.32655978168</v>
      </c>
      <c r="AH18" s="96">
        <f t="shared" si="53"/>
        <v>5.5801145854335057E-2</v>
      </c>
      <c r="AI18" s="209">
        <v>445153.92100301245</v>
      </c>
      <c r="AJ18" s="96">
        <f t="shared" si="54"/>
        <v>6.1561228370855529E-2</v>
      </c>
      <c r="AK18" s="209">
        <v>551704.12716361601</v>
      </c>
      <c r="AL18" s="96">
        <f t="shared" si="55"/>
        <v>7.6296270038320166E-2</v>
      </c>
    </row>
    <row r="19" spans="2:38" ht="14.25">
      <c r="B19" s="79"/>
      <c r="C19" s="79"/>
      <c r="D19" s="379">
        <f t="shared" si="19"/>
        <v>46062</v>
      </c>
      <c r="E19" s="379" t="s">
        <v>431</v>
      </c>
      <c r="F19" s="203">
        <f t="shared" si="0"/>
        <v>6953505.0000000009</v>
      </c>
      <c r="G19" s="257"/>
      <c r="H19" s="274"/>
      <c r="I19" s="209">
        <v>502959.83491837321</v>
      </c>
      <c r="J19" s="96">
        <f t="shared" si="38"/>
        <v>7.2331843425491621E-2</v>
      </c>
      <c r="K19" s="209">
        <v>672765.86959604453</v>
      </c>
      <c r="L19" s="96">
        <f t="shared" si="39"/>
        <v>9.675205088599842E-2</v>
      </c>
      <c r="M19" s="202">
        <f t="shared" si="40"/>
        <v>1175725.7045144178</v>
      </c>
      <c r="N19" s="96">
        <f t="shared" si="41"/>
        <v>0.16908389431149004</v>
      </c>
      <c r="O19" s="209">
        <v>106518.79093316385</v>
      </c>
      <c r="P19" s="96">
        <f t="shared" si="42"/>
        <v>1.5318719254989222E-2</v>
      </c>
      <c r="Q19" s="209">
        <v>81040.513032270261</v>
      </c>
      <c r="R19" s="96">
        <f t="shared" si="43"/>
        <v>1.1654627850597685E-2</v>
      </c>
      <c r="S19" s="202">
        <f t="shared" si="44"/>
        <v>187559.30396543411</v>
      </c>
      <c r="T19" s="96">
        <f t="shared" si="45"/>
        <v>2.6973347105586905E-2</v>
      </c>
      <c r="U19" s="209">
        <v>1156260.2312686036</v>
      </c>
      <c r="V19" s="96">
        <f t="shared" si="46"/>
        <v>0.16628451856561596</v>
      </c>
      <c r="W19" s="209">
        <v>127463.39349480598</v>
      </c>
      <c r="X19" s="96">
        <f t="shared" si="47"/>
        <v>1.8330812086107071E-2</v>
      </c>
      <c r="Y19" s="209">
        <v>570294.95921710168</v>
      </c>
      <c r="Z19" s="96">
        <f t="shared" si="48"/>
        <v>8.2015466907279372E-2</v>
      </c>
      <c r="AA19" s="209">
        <v>1239367.9518025683</v>
      </c>
      <c r="AB19" s="96">
        <f t="shared" si="49"/>
        <v>0.17823643641624881</v>
      </c>
      <c r="AC19" s="202">
        <f t="shared" si="50"/>
        <v>1809662.9110196698</v>
      </c>
      <c r="AD19" s="96">
        <f t="shared" si="51"/>
        <v>0.26025190332352816</v>
      </c>
      <c r="AE19" s="209">
        <v>1109763.6370063319</v>
      </c>
      <c r="AF19" s="96">
        <f t="shared" si="52"/>
        <v>0.15959773337422375</v>
      </c>
      <c r="AG19" s="209">
        <v>418299.2207025183</v>
      </c>
      <c r="AH19" s="96">
        <f t="shared" si="53"/>
        <v>6.0156600261669226E-2</v>
      </c>
      <c r="AI19" s="209">
        <v>462462.82728281064</v>
      </c>
      <c r="AJ19" s="96">
        <f t="shared" si="54"/>
        <v>6.6507872976694568E-2</v>
      </c>
      <c r="AK19" s="209">
        <v>506307.77074540907</v>
      </c>
      <c r="AL19" s="96">
        <f t="shared" si="55"/>
        <v>7.2813317995084351E-2</v>
      </c>
    </row>
    <row r="20" spans="2:38" ht="14.25">
      <c r="B20" s="79"/>
      <c r="C20" s="79"/>
      <c r="D20" s="366">
        <f t="shared" si="19"/>
        <v>46063</v>
      </c>
      <c r="E20" s="366" t="s">
        <v>432</v>
      </c>
      <c r="F20" s="203">
        <f t="shared" si="0"/>
        <v>6822744</v>
      </c>
      <c r="G20" s="257"/>
      <c r="H20" s="274"/>
      <c r="I20" s="209">
        <v>501483.23581478017</v>
      </c>
      <c r="J20" s="96">
        <f t="shared" si="38"/>
        <v>7.3501693133258439E-2</v>
      </c>
      <c r="K20" s="209">
        <v>661441.07637413056</v>
      </c>
      <c r="L20" s="96">
        <f t="shared" si="39"/>
        <v>9.6946489033463742E-2</v>
      </c>
      <c r="M20" s="202">
        <f t="shared" si="40"/>
        <v>1162924.3121889108</v>
      </c>
      <c r="N20" s="96">
        <f t="shared" si="41"/>
        <v>0.1704481821667222</v>
      </c>
      <c r="O20" s="209">
        <v>103837.39469706042</v>
      </c>
      <c r="P20" s="96">
        <f t="shared" si="42"/>
        <v>1.5219301016872451E-2</v>
      </c>
      <c r="Q20" s="209">
        <v>81270.91077909329</v>
      </c>
      <c r="R20" s="96">
        <f t="shared" si="43"/>
        <v>1.1911763181953375E-2</v>
      </c>
      <c r="S20" s="202">
        <f t="shared" si="44"/>
        <v>185108.30547615371</v>
      </c>
      <c r="T20" s="96">
        <f t="shared" si="45"/>
        <v>2.7131064198825824E-2</v>
      </c>
      <c r="U20" s="209">
        <v>1124896.9213556468</v>
      </c>
      <c r="V20" s="96">
        <f t="shared" si="46"/>
        <v>0.16487456093261696</v>
      </c>
      <c r="W20" s="209">
        <v>131981.28825196077</v>
      </c>
      <c r="X20" s="96">
        <f t="shared" si="47"/>
        <v>1.9344311944279421E-2</v>
      </c>
      <c r="Y20" s="209">
        <v>570393.50210784434</v>
      </c>
      <c r="Z20" s="96">
        <f t="shared" si="48"/>
        <v>8.360177402344926E-2</v>
      </c>
      <c r="AA20" s="209">
        <v>1257083.3535786469</v>
      </c>
      <c r="AB20" s="96">
        <f t="shared" si="49"/>
        <v>0.18424894054044047</v>
      </c>
      <c r="AC20" s="202">
        <f t="shared" si="50"/>
        <v>1827476.8556864914</v>
      </c>
      <c r="AD20" s="96">
        <f t="shared" si="51"/>
        <v>0.26785071456388976</v>
      </c>
      <c r="AE20" s="209">
        <v>1142087.7758778632</v>
      </c>
      <c r="AF20" s="96">
        <f t="shared" si="52"/>
        <v>0.16739420032143418</v>
      </c>
      <c r="AG20" s="209">
        <v>387338.52169364796</v>
      </c>
      <c r="AH20" s="96">
        <f t="shared" si="53"/>
        <v>5.6771662793393386E-2</v>
      </c>
      <c r="AI20" s="209">
        <v>400884.80981749046</v>
      </c>
      <c r="AJ20" s="96">
        <f t="shared" si="54"/>
        <v>5.87571232069517E-2</v>
      </c>
      <c r="AK20" s="209">
        <v>460045.20965183497</v>
      </c>
      <c r="AL20" s="96">
        <f t="shared" si="55"/>
        <v>6.7428179871886582E-2</v>
      </c>
    </row>
    <row r="21" spans="2:38" ht="14.25">
      <c r="B21" s="79"/>
      <c r="C21" s="79"/>
      <c r="D21" s="380">
        <f t="shared" si="19"/>
        <v>46064</v>
      </c>
      <c r="E21" s="380" t="s">
        <v>433</v>
      </c>
      <c r="F21" s="203">
        <f t="shared" si="0"/>
        <v>6624486.0000000019</v>
      </c>
      <c r="G21" s="257">
        <f>SUM(F21:F27)</f>
        <v>47106973</v>
      </c>
      <c r="H21" s="274"/>
      <c r="I21" s="209">
        <v>489879.85755042412</v>
      </c>
      <c r="J21" s="96">
        <f t="shared" si="38"/>
        <v>7.3949866835015421E-2</v>
      </c>
      <c r="K21" s="209">
        <v>621873.1816320112</v>
      </c>
      <c r="L21" s="96">
        <f t="shared" si="39"/>
        <v>9.3874933335508753E-2</v>
      </c>
      <c r="M21" s="202">
        <f t="shared" si="40"/>
        <v>1111753.0391824353</v>
      </c>
      <c r="N21" s="96">
        <f t="shared" si="41"/>
        <v>0.16782480017052417</v>
      </c>
      <c r="O21" s="209">
        <v>115920.42378959323</v>
      </c>
      <c r="P21" s="96">
        <f t="shared" si="42"/>
        <v>1.7498780100009752E-2</v>
      </c>
      <c r="Q21" s="209">
        <v>86902.950702843678</v>
      </c>
      <c r="R21" s="96">
        <f t="shared" si="43"/>
        <v>1.3118444314448495E-2</v>
      </c>
      <c r="S21" s="202">
        <f t="shared" si="44"/>
        <v>202823.37449243691</v>
      </c>
      <c r="T21" s="96">
        <f t="shared" si="45"/>
        <v>3.0617224414458247E-2</v>
      </c>
      <c r="U21" s="209">
        <v>1062800.6755350102</v>
      </c>
      <c r="V21" s="96">
        <f t="shared" si="46"/>
        <v>0.16043519082612748</v>
      </c>
      <c r="W21" s="209">
        <v>144581.23700241005</v>
      </c>
      <c r="X21" s="96">
        <f t="shared" si="47"/>
        <v>2.1825276255759318E-2</v>
      </c>
      <c r="Y21" s="209">
        <v>546572.24244415108</v>
      </c>
      <c r="Z21" s="96">
        <f t="shared" si="48"/>
        <v>8.2507871923067078E-2</v>
      </c>
      <c r="AA21" s="209">
        <v>1344484.4363932887</v>
      </c>
      <c r="AB21" s="96">
        <f t="shared" si="49"/>
        <v>0.20295679338642852</v>
      </c>
      <c r="AC21" s="202">
        <f t="shared" si="50"/>
        <v>1891056.6788374397</v>
      </c>
      <c r="AD21" s="96">
        <f t="shared" si="51"/>
        <v>0.2854646653094956</v>
      </c>
      <c r="AE21" s="209">
        <v>1030116.852145495</v>
      </c>
      <c r="AF21" s="96">
        <f t="shared" si="52"/>
        <v>0.15550140073441091</v>
      </c>
      <c r="AG21" s="209">
        <v>359546.43011923222</v>
      </c>
      <c r="AH21" s="96">
        <f t="shared" si="53"/>
        <v>5.427537021275796E-2</v>
      </c>
      <c r="AI21" s="209">
        <v>384392.51573642518</v>
      </c>
      <c r="AJ21" s="96">
        <f t="shared" si="54"/>
        <v>5.8026013752074508E-2</v>
      </c>
      <c r="AK21" s="209">
        <v>437415.19694911648</v>
      </c>
      <c r="AL21" s="96">
        <f t="shared" si="55"/>
        <v>6.6030058324391711E-2</v>
      </c>
    </row>
    <row r="22" spans="2:38" ht="14.25">
      <c r="B22" s="79"/>
      <c r="C22" s="79"/>
      <c r="D22" s="380">
        <f t="shared" si="19"/>
        <v>46065</v>
      </c>
      <c r="E22" s="380" t="s">
        <v>434</v>
      </c>
      <c r="F22" s="203">
        <f t="shared" si="0"/>
        <v>6520981.9999999991</v>
      </c>
      <c r="G22" s="257"/>
      <c r="H22" s="274"/>
      <c r="I22" s="209">
        <v>443756.31163249636</v>
      </c>
      <c r="J22" s="96">
        <f t="shared" si="38"/>
        <v>6.8050534663720352E-2</v>
      </c>
      <c r="K22" s="209">
        <v>577781.1699528473</v>
      </c>
      <c r="L22" s="96">
        <f t="shared" si="39"/>
        <v>8.8603398990036678E-2</v>
      </c>
      <c r="M22" s="202">
        <f t="shared" si="40"/>
        <v>1021537.4815853436</v>
      </c>
      <c r="N22" s="96">
        <f t="shared" si="41"/>
        <v>0.15665393365375702</v>
      </c>
      <c r="O22" s="209">
        <v>115895.89777792458</v>
      </c>
      <c r="P22" s="96">
        <f t="shared" si="42"/>
        <v>1.7772767625784672E-2</v>
      </c>
      <c r="Q22" s="209">
        <v>91564.496615713666</v>
      </c>
      <c r="R22" s="96">
        <f t="shared" si="43"/>
        <v>1.4041519607892444E-2</v>
      </c>
      <c r="S22" s="202">
        <f t="shared" si="44"/>
        <v>207460.39439363824</v>
      </c>
      <c r="T22" s="96">
        <f t="shared" si="45"/>
        <v>3.1814287233677116E-2</v>
      </c>
      <c r="U22" s="209">
        <v>1136269.9052149593</v>
      </c>
      <c r="V22" s="96">
        <f t="shared" si="46"/>
        <v>0.17424828119675217</v>
      </c>
      <c r="W22" s="209">
        <v>94208.689430164028</v>
      </c>
      <c r="X22" s="96">
        <f t="shared" si="47"/>
        <v>1.4447009580790753E-2</v>
      </c>
      <c r="Y22" s="209">
        <v>539696.38304725941</v>
      </c>
      <c r="Z22" s="96">
        <f t="shared" si="48"/>
        <v>8.2763053639353629E-2</v>
      </c>
      <c r="AA22" s="209">
        <v>1272389.7163873932</v>
      </c>
      <c r="AB22" s="96">
        <f t="shared" si="49"/>
        <v>0.19512240892359362</v>
      </c>
      <c r="AC22" s="202">
        <f t="shared" si="50"/>
        <v>1812086.0994346526</v>
      </c>
      <c r="AD22" s="96">
        <f t="shared" si="51"/>
        <v>0.27788546256294727</v>
      </c>
      <c r="AE22" s="209">
        <v>1004083.5310342648</v>
      </c>
      <c r="AF22" s="96">
        <f t="shared" si="52"/>
        <v>0.15397735050246497</v>
      </c>
      <c r="AG22" s="209">
        <v>335847.93700915016</v>
      </c>
      <c r="AH22" s="96">
        <f t="shared" si="53"/>
        <v>5.150266279053526E-2</v>
      </c>
      <c r="AI22" s="209">
        <v>468355.49229734374</v>
      </c>
      <c r="AJ22" s="96">
        <f t="shared" si="54"/>
        <v>7.1822846972640589E-2</v>
      </c>
      <c r="AK22" s="209">
        <v>441132.46960048319</v>
      </c>
      <c r="AL22" s="96">
        <f t="shared" si="55"/>
        <v>6.764816550643496E-2</v>
      </c>
    </row>
    <row r="23" spans="2:38" ht="14.25">
      <c r="B23" s="79"/>
      <c r="C23" s="79"/>
      <c r="D23" s="380">
        <f t="shared" si="19"/>
        <v>46066</v>
      </c>
      <c r="E23" s="380" t="s">
        <v>435</v>
      </c>
      <c r="F23" s="203">
        <f t="shared" si="0"/>
        <v>6287199.9999999991</v>
      </c>
      <c r="G23" s="257"/>
      <c r="H23" s="274"/>
      <c r="I23" s="209">
        <v>436072.58184061013</v>
      </c>
      <c r="J23" s="96">
        <f t="shared" si="38"/>
        <v>6.9358789578923871E-2</v>
      </c>
      <c r="K23" s="209">
        <v>565939.74738742458</v>
      </c>
      <c r="L23" s="96">
        <f t="shared" si="39"/>
        <v>9.001459272608231E-2</v>
      </c>
      <c r="M23" s="202">
        <f t="shared" si="40"/>
        <v>1002012.3292280347</v>
      </c>
      <c r="N23" s="96">
        <f t="shared" si="41"/>
        <v>0.15937338230500617</v>
      </c>
      <c r="O23" s="209">
        <v>111877.87277941762</v>
      </c>
      <c r="P23" s="96">
        <f t="shared" si="42"/>
        <v>1.7794546503915518E-2</v>
      </c>
      <c r="Q23" s="209">
        <v>73399.434328659117</v>
      </c>
      <c r="R23" s="96">
        <f t="shared" si="43"/>
        <v>1.1674423324955326E-2</v>
      </c>
      <c r="S23" s="202">
        <f t="shared" si="44"/>
        <v>185277.30710807675</v>
      </c>
      <c r="T23" s="96">
        <f t="shared" si="45"/>
        <v>2.9468969828870845E-2</v>
      </c>
      <c r="U23" s="209">
        <v>1019281.5412304194</v>
      </c>
      <c r="V23" s="96">
        <f t="shared" si="46"/>
        <v>0.16212010771574303</v>
      </c>
      <c r="W23" s="209">
        <v>79404.578114909731</v>
      </c>
      <c r="X23" s="96">
        <f t="shared" si="47"/>
        <v>1.2629561349234913E-2</v>
      </c>
      <c r="Y23" s="209">
        <v>523490.73135211464</v>
      </c>
      <c r="Z23" s="96">
        <f t="shared" si="48"/>
        <v>8.3262936021140529E-2</v>
      </c>
      <c r="AA23" s="209">
        <v>1421755.0019819702</v>
      </c>
      <c r="AB23" s="96">
        <f t="shared" si="49"/>
        <v>0.22613484571541709</v>
      </c>
      <c r="AC23" s="202">
        <f t="shared" si="50"/>
        <v>1945245.7333340847</v>
      </c>
      <c r="AD23" s="96">
        <f t="shared" si="51"/>
        <v>0.30939778173655763</v>
      </c>
      <c r="AE23" s="209">
        <v>911062.89115167595</v>
      </c>
      <c r="AF23" s="96">
        <f t="shared" si="52"/>
        <v>0.14490757271148938</v>
      </c>
      <c r="AG23" s="209">
        <v>234534.46748791277</v>
      </c>
      <c r="AH23" s="96">
        <f t="shared" si="53"/>
        <v>3.7303484458568646E-2</v>
      </c>
      <c r="AI23" s="209">
        <v>475621.55016762059</v>
      </c>
      <c r="AJ23" s="96">
        <f t="shared" si="54"/>
        <v>7.5649184083156365E-2</v>
      </c>
      <c r="AK23" s="209">
        <v>434759.60217726533</v>
      </c>
      <c r="AL23" s="96">
        <f t="shared" si="55"/>
        <v>6.9149955811373176E-2</v>
      </c>
    </row>
    <row r="24" spans="2:38" ht="14.25">
      <c r="B24" s="79"/>
      <c r="C24" s="79"/>
      <c r="D24" s="380">
        <f t="shared" si="19"/>
        <v>46067</v>
      </c>
      <c r="E24" s="380" t="s">
        <v>436</v>
      </c>
      <c r="F24" s="203">
        <f t="shared" si="0"/>
        <v>6831701</v>
      </c>
      <c r="G24" s="257"/>
      <c r="H24" s="274"/>
      <c r="I24" s="209">
        <v>427794.03244710941</v>
      </c>
      <c r="J24" s="96">
        <f t="shared" si="38"/>
        <v>6.2618963044066098E-2</v>
      </c>
      <c r="K24" s="209">
        <v>571544.84473500343</v>
      </c>
      <c r="L24" s="96">
        <f t="shared" si="39"/>
        <v>8.3660693688878282E-2</v>
      </c>
      <c r="M24" s="202">
        <f t="shared" si="40"/>
        <v>999338.87718211277</v>
      </c>
      <c r="N24" s="96">
        <f t="shared" si="41"/>
        <v>0.14627965673294438</v>
      </c>
      <c r="O24" s="209">
        <v>108315.94550302232</v>
      </c>
      <c r="P24" s="96">
        <f t="shared" si="42"/>
        <v>1.5854901363953476E-2</v>
      </c>
      <c r="Q24" s="209">
        <v>73601.901343411213</v>
      </c>
      <c r="R24" s="96">
        <f t="shared" si="43"/>
        <v>1.0773583525305223E-2</v>
      </c>
      <c r="S24" s="202">
        <f t="shared" si="44"/>
        <v>181917.84684643353</v>
      </c>
      <c r="T24" s="96">
        <f t="shared" si="45"/>
        <v>2.6628484889258699E-2</v>
      </c>
      <c r="U24" s="209">
        <v>1125137.798119003</v>
      </c>
      <c r="V24" s="96">
        <f t="shared" si="46"/>
        <v>0.16469365361847702</v>
      </c>
      <c r="W24" s="209">
        <v>84694.134246931237</v>
      </c>
      <c r="X24" s="96">
        <f t="shared" si="47"/>
        <v>1.2397224973243302E-2</v>
      </c>
      <c r="Y24" s="209">
        <v>597074.75008280866</v>
      </c>
      <c r="Z24" s="96">
        <f t="shared" si="48"/>
        <v>8.7397670079941828E-2</v>
      </c>
      <c r="AA24" s="209">
        <v>1519564.7879469155</v>
      </c>
      <c r="AB24" s="96">
        <f t="shared" si="49"/>
        <v>0.22242846809995279</v>
      </c>
      <c r="AC24" s="202">
        <f t="shared" si="50"/>
        <v>2116639.5380297243</v>
      </c>
      <c r="AD24" s="96">
        <f t="shared" si="51"/>
        <v>0.30982613817989463</v>
      </c>
      <c r="AE24" s="209">
        <v>983366.33380179538</v>
      </c>
      <c r="AF24" s="96">
        <f t="shared" si="52"/>
        <v>0.14394165286241237</v>
      </c>
      <c r="AG24" s="209">
        <v>301020.88642478822</v>
      </c>
      <c r="AH24" s="96">
        <f t="shared" si="53"/>
        <v>4.4062362568969018E-2</v>
      </c>
      <c r="AI24" s="209">
        <v>582647.15151019557</v>
      </c>
      <c r="AJ24" s="96">
        <f t="shared" si="54"/>
        <v>8.5285809714183272E-2</v>
      </c>
      <c r="AK24" s="209">
        <v>456938.43383901584</v>
      </c>
      <c r="AL24" s="96">
        <f t="shared" si="55"/>
        <v>6.6885016460617328E-2</v>
      </c>
    </row>
    <row r="25" spans="2:38" ht="14.25">
      <c r="B25" s="79"/>
      <c r="C25" s="79"/>
      <c r="D25" s="380">
        <f t="shared" si="19"/>
        <v>46068</v>
      </c>
      <c r="E25" s="380" t="s">
        <v>437</v>
      </c>
      <c r="F25" s="203">
        <f t="shared" si="0"/>
        <v>6930409</v>
      </c>
      <c r="G25" s="257"/>
      <c r="H25" s="274"/>
      <c r="I25" s="209">
        <v>437348.16883778613</v>
      </c>
      <c r="J25" s="96">
        <f t="shared" si="38"/>
        <v>6.3105679453808017E-2</v>
      </c>
      <c r="K25" s="209">
        <v>615340.56347607076</v>
      </c>
      <c r="L25" s="96">
        <f t="shared" si="39"/>
        <v>8.8788491916721043E-2</v>
      </c>
      <c r="M25" s="202">
        <f t="shared" si="40"/>
        <v>1052688.7323138569</v>
      </c>
      <c r="N25" s="96">
        <f t="shared" si="41"/>
        <v>0.15189417137052907</v>
      </c>
      <c r="O25" s="209">
        <v>105261.50957593814</v>
      </c>
      <c r="P25" s="96">
        <f t="shared" si="42"/>
        <v>1.5188354623217494E-2</v>
      </c>
      <c r="Q25" s="209">
        <v>74978.046092127828</v>
      </c>
      <c r="R25" s="96">
        <f t="shared" si="43"/>
        <v>1.0818704363931167E-2</v>
      </c>
      <c r="S25" s="202">
        <f t="shared" si="44"/>
        <v>180239.55566806596</v>
      </c>
      <c r="T25" s="96">
        <f t="shared" si="45"/>
        <v>2.6007058987148661E-2</v>
      </c>
      <c r="U25" s="209">
        <v>1163813.4255772626</v>
      </c>
      <c r="V25" s="96">
        <f t="shared" si="46"/>
        <v>0.16792853431554511</v>
      </c>
      <c r="W25" s="209">
        <v>85115.302569639229</v>
      </c>
      <c r="X25" s="96">
        <f t="shared" si="47"/>
        <v>1.2281425608450991E-2</v>
      </c>
      <c r="Y25" s="209">
        <v>593365.59622526087</v>
      </c>
      <c r="Z25" s="96">
        <f t="shared" si="48"/>
        <v>8.5617688108344095E-2</v>
      </c>
      <c r="AA25" s="209">
        <v>1508357.8574954977</v>
      </c>
      <c r="AB25" s="96">
        <f t="shared" si="49"/>
        <v>0.2176434114488045</v>
      </c>
      <c r="AC25" s="202">
        <f t="shared" si="50"/>
        <v>2101723.4537207587</v>
      </c>
      <c r="AD25" s="96">
        <f t="shared" si="51"/>
        <v>0.30326109955714858</v>
      </c>
      <c r="AE25" s="209">
        <v>1097847.9670066377</v>
      </c>
      <c r="AF25" s="96">
        <f t="shared" si="52"/>
        <v>0.15841027088107465</v>
      </c>
      <c r="AG25" s="209">
        <v>257056.61717552174</v>
      </c>
      <c r="AH25" s="96">
        <f t="shared" si="53"/>
        <v>3.709111787998684E-2</v>
      </c>
      <c r="AI25" s="209">
        <v>561068.62642688875</v>
      </c>
      <c r="AJ25" s="96">
        <f t="shared" si="54"/>
        <v>8.0957505744161523E-2</v>
      </c>
      <c r="AK25" s="209">
        <v>430855.31954136834</v>
      </c>
      <c r="AL25" s="96">
        <f t="shared" si="55"/>
        <v>6.2168815655954557E-2</v>
      </c>
    </row>
    <row r="26" spans="2:38" ht="14.25">
      <c r="B26" s="79"/>
      <c r="C26" s="79"/>
      <c r="D26" s="380">
        <f t="shared" si="19"/>
        <v>46069</v>
      </c>
      <c r="E26" s="380" t="s">
        <v>431</v>
      </c>
      <c r="F26" s="203">
        <f t="shared" si="0"/>
        <v>6823954.9999999991</v>
      </c>
      <c r="G26" s="257"/>
      <c r="H26" s="274"/>
      <c r="I26" s="209">
        <v>479223.98969444819</v>
      </c>
      <c r="J26" s="96">
        <f t="shared" si="38"/>
        <v>7.0226721848905549E-2</v>
      </c>
      <c r="K26" s="209">
        <v>669030.06571645604</v>
      </c>
      <c r="L26" s="96">
        <f t="shared" si="39"/>
        <v>9.8041394721456412E-2</v>
      </c>
      <c r="M26" s="202">
        <f t="shared" si="40"/>
        <v>1148254.0554109043</v>
      </c>
      <c r="N26" s="96">
        <f t="shared" si="41"/>
        <v>0.16826811657036198</v>
      </c>
      <c r="O26" s="209">
        <v>123178.40986970962</v>
      </c>
      <c r="P26" s="96">
        <f t="shared" si="42"/>
        <v>1.8050882496984468E-2</v>
      </c>
      <c r="Q26" s="209">
        <v>94673.994422410353</v>
      </c>
      <c r="R26" s="96">
        <f t="shared" si="43"/>
        <v>1.3873771796914014E-2</v>
      </c>
      <c r="S26" s="202">
        <f t="shared" si="44"/>
        <v>217852.40429211996</v>
      </c>
      <c r="T26" s="96">
        <f t="shared" si="45"/>
        <v>3.1924654293898479E-2</v>
      </c>
      <c r="U26" s="209">
        <v>1194895.6451643838</v>
      </c>
      <c r="V26" s="96">
        <f t="shared" si="46"/>
        <v>0.17510309566290869</v>
      </c>
      <c r="W26" s="209">
        <v>94031.650684019638</v>
      </c>
      <c r="X26" s="96">
        <f t="shared" si="47"/>
        <v>1.3779641085561034E-2</v>
      </c>
      <c r="Y26" s="209">
        <v>573813.6804095119</v>
      </c>
      <c r="Z26" s="96">
        <f t="shared" si="48"/>
        <v>8.4088139562689374E-2</v>
      </c>
      <c r="AA26" s="209">
        <v>1473699.3512124054</v>
      </c>
      <c r="AB26" s="96">
        <f t="shared" si="49"/>
        <v>0.21595971122500157</v>
      </c>
      <c r="AC26" s="202">
        <f t="shared" si="50"/>
        <v>2047513.0316219172</v>
      </c>
      <c r="AD26" s="96">
        <f t="shared" si="51"/>
        <v>0.30004785078769092</v>
      </c>
      <c r="AE26" s="209">
        <v>957214.32103666337</v>
      </c>
      <c r="AF26" s="96">
        <f t="shared" si="52"/>
        <v>0.14027266021488469</v>
      </c>
      <c r="AG26" s="209">
        <v>255375.69901917723</v>
      </c>
      <c r="AH26" s="96">
        <f t="shared" si="53"/>
        <v>3.7423414869995078E-2</v>
      </c>
      <c r="AI26" s="209">
        <v>486919.71416776418</v>
      </c>
      <c r="AJ26" s="96">
        <f t="shared" si="54"/>
        <v>7.1354473200330934E-2</v>
      </c>
      <c r="AK26" s="209">
        <v>421898.47860304941</v>
      </c>
      <c r="AL26" s="96">
        <f t="shared" si="55"/>
        <v>6.1826093314368204E-2</v>
      </c>
    </row>
    <row r="27" spans="2:38" ht="14.25">
      <c r="B27" s="79"/>
      <c r="C27" s="79"/>
      <c r="D27" s="259">
        <f t="shared" si="19"/>
        <v>46070</v>
      </c>
      <c r="E27" s="259" t="s">
        <v>432</v>
      </c>
      <c r="F27" s="203">
        <f t="shared" si="0"/>
        <v>7088240</v>
      </c>
      <c r="G27" s="257"/>
      <c r="H27" s="274"/>
      <c r="I27" s="209">
        <v>505563.75181864703</v>
      </c>
      <c r="J27" s="96">
        <f t="shared" si="38"/>
        <v>7.1324299377369699E-2</v>
      </c>
      <c r="K27" s="209">
        <v>681898.95494718628</v>
      </c>
      <c r="L27" s="96">
        <f t="shared" si="39"/>
        <v>9.6201448448019006E-2</v>
      </c>
      <c r="M27" s="202">
        <f t="shared" si="40"/>
        <v>1187462.7067658333</v>
      </c>
      <c r="N27" s="96">
        <f t="shared" si="41"/>
        <v>0.1675257478253887</v>
      </c>
      <c r="O27" s="209">
        <v>135680.30178540983</v>
      </c>
      <c r="P27" s="96">
        <f t="shared" si="42"/>
        <v>1.914160663089989E-2</v>
      </c>
      <c r="Q27" s="209">
        <v>103564.93589031427</v>
      </c>
      <c r="R27" s="96">
        <f t="shared" si="43"/>
        <v>1.4610811130875121E-2</v>
      </c>
      <c r="S27" s="202">
        <f t="shared" si="44"/>
        <v>239245.23767572409</v>
      </c>
      <c r="T27" s="96">
        <f t="shared" si="45"/>
        <v>3.3752417761775011E-2</v>
      </c>
      <c r="U27" s="209">
        <v>1174300.6980466801</v>
      </c>
      <c r="V27" s="96">
        <f t="shared" si="46"/>
        <v>0.16566886816003409</v>
      </c>
      <c r="W27" s="209">
        <v>96767.418717856955</v>
      </c>
      <c r="X27" s="96">
        <f t="shared" si="47"/>
        <v>1.3651825942385832E-2</v>
      </c>
      <c r="Y27" s="209">
        <v>602268.79127223056</v>
      </c>
      <c r="Z27" s="96">
        <f t="shared" si="48"/>
        <v>8.496732493146826E-2</v>
      </c>
      <c r="AA27" s="209">
        <v>1576876.7282035179</v>
      </c>
      <c r="AB27" s="96">
        <f t="shared" si="49"/>
        <v>0.22246378906520065</v>
      </c>
      <c r="AC27" s="202">
        <f t="shared" si="50"/>
        <v>2179145.5194757483</v>
      </c>
      <c r="AD27" s="96">
        <f t="shared" si="51"/>
        <v>0.30743111399666889</v>
      </c>
      <c r="AE27" s="209">
        <v>1019566.5403908701</v>
      </c>
      <c r="AF27" s="96">
        <f t="shared" si="52"/>
        <v>0.14383916746482484</v>
      </c>
      <c r="AG27" s="209">
        <v>270697.20269051846</v>
      </c>
      <c r="AH27" s="96">
        <f t="shared" si="53"/>
        <v>3.8189621498498708E-2</v>
      </c>
      <c r="AI27" s="209">
        <v>498356.68848339125</v>
      </c>
      <c r="AJ27" s="96">
        <f t="shared" si="54"/>
        <v>7.0307535930413084E-2</v>
      </c>
      <c r="AK27" s="209">
        <v>422697.98775337706</v>
      </c>
      <c r="AL27" s="96">
        <f t="shared" si="55"/>
        <v>5.963370142001076E-2</v>
      </c>
    </row>
    <row r="28" spans="2:38" ht="14.25">
      <c r="B28" s="79"/>
      <c r="C28" s="79"/>
      <c r="D28" s="379">
        <f t="shared" si="19"/>
        <v>46071</v>
      </c>
      <c r="E28" s="379" t="s">
        <v>433</v>
      </c>
      <c r="F28" s="203">
        <f t="shared" si="0"/>
        <v>6877527.9999999991</v>
      </c>
      <c r="G28" s="257">
        <f>SUM(F28:F34)</f>
        <v>51037471</v>
      </c>
      <c r="H28" s="274"/>
      <c r="I28" s="209">
        <v>506660.74904826691</v>
      </c>
      <c r="J28" s="96">
        <f t="shared" si="38"/>
        <v>7.3669020184035164E-2</v>
      </c>
      <c r="K28" s="209">
        <v>661305.00684107374</v>
      </c>
      <c r="L28" s="96">
        <f t="shared" si="39"/>
        <v>9.6154462306961716E-2</v>
      </c>
      <c r="M28" s="202">
        <f t="shared" si="40"/>
        <v>1167965.7558893408</v>
      </c>
      <c r="N28" s="96">
        <f t="shared" si="41"/>
        <v>0.16982348249099691</v>
      </c>
      <c r="O28" s="209">
        <v>136171.64206100939</v>
      </c>
      <c r="P28" s="96">
        <f t="shared" si="42"/>
        <v>1.9799503842224911E-2</v>
      </c>
      <c r="Q28" s="209">
        <v>97338.973571087117</v>
      </c>
      <c r="R28" s="96">
        <f t="shared" si="43"/>
        <v>1.4153191898468044E-2</v>
      </c>
      <c r="S28" s="202">
        <f t="shared" si="44"/>
        <v>233510.61563209651</v>
      </c>
      <c r="T28" s="96">
        <f t="shared" si="45"/>
        <v>3.3952695740692956E-2</v>
      </c>
      <c r="U28" s="209">
        <v>1178764.2702363073</v>
      </c>
      <c r="V28" s="96">
        <f t="shared" si="46"/>
        <v>0.17139359814112098</v>
      </c>
      <c r="W28" s="209">
        <v>95054.311936772399</v>
      </c>
      <c r="X28" s="96">
        <f t="shared" si="47"/>
        <v>1.3820999629048753E-2</v>
      </c>
      <c r="Y28" s="209">
        <v>590308.78777276701</v>
      </c>
      <c r="Z28" s="96">
        <f t="shared" si="48"/>
        <v>8.5831535367470277E-2</v>
      </c>
      <c r="AA28" s="209">
        <v>1498863.275651688</v>
      </c>
      <c r="AB28" s="96">
        <f t="shared" si="49"/>
        <v>0.21793633928523273</v>
      </c>
      <c r="AC28" s="202">
        <f t="shared" si="50"/>
        <v>2089172.063424455</v>
      </c>
      <c r="AD28" s="96">
        <f t="shared" si="51"/>
        <v>0.303767874652703</v>
      </c>
      <c r="AE28" s="209">
        <v>955205.50658259261</v>
      </c>
      <c r="AF28" s="96">
        <f t="shared" si="52"/>
        <v>0.13888791242763282</v>
      </c>
      <c r="AG28" s="209">
        <v>272859.07961890078</v>
      </c>
      <c r="AH28" s="96">
        <f t="shared" si="53"/>
        <v>3.9674004906835827E-2</v>
      </c>
      <c r="AI28" s="209">
        <v>464953.1544431767</v>
      </c>
      <c r="AJ28" s="96">
        <f t="shared" si="54"/>
        <v>6.7604690877765494E-2</v>
      </c>
      <c r="AK28" s="209">
        <v>420043.24223635724</v>
      </c>
      <c r="AL28" s="96">
        <f t="shared" si="55"/>
        <v>6.1074741133203284E-2</v>
      </c>
    </row>
    <row r="29" spans="2:38" ht="14.25">
      <c r="B29" s="79"/>
      <c r="C29" s="79"/>
      <c r="D29" s="379">
        <f t="shared" si="19"/>
        <v>46072</v>
      </c>
      <c r="E29" s="379" t="s">
        <v>434</v>
      </c>
      <c r="F29" s="203">
        <f t="shared" si="0"/>
        <v>6573692.0000000009</v>
      </c>
      <c r="G29" s="257"/>
      <c r="H29" s="274"/>
      <c r="I29" s="209">
        <v>486873.36198931938</v>
      </c>
      <c r="J29" s="96">
        <f t="shared" si="38"/>
        <v>7.4063914462271632E-2</v>
      </c>
      <c r="K29" s="209">
        <v>631190.81896420312</v>
      </c>
      <c r="L29" s="96">
        <f t="shared" si="39"/>
        <v>9.6017704961565434E-2</v>
      </c>
      <c r="M29" s="202">
        <f t="shared" si="40"/>
        <v>1118064.1809535224</v>
      </c>
      <c r="N29" s="96">
        <f t="shared" si="41"/>
        <v>0.17008161942383707</v>
      </c>
      <c r="O29" s="209">
        <v>131751.22617556097</v>
      </c>
      <c r="P29" s="96">
        <f t="shared" si="42"/>
        <v>2.0042196405849397E-2</v>
      </c>
      <c r="Q29" s="209">
        <v>94746.962639931269</v>
      </c>
      <c r="R29" s="96">
        <f t="shared" si="43"/>
        <v>1.4413051697574401E-2</v>
      </c>
      <c r="S29" s="202">
        <f t="shared" si="44"/>
        <v>226498.18881549223</v>
      </c>
      <c r="T29" s="96">
        <f t="shared" si="45"/>
        <v>3.4455248103423798E-2</v>
      </c>
      <c r="U29" s="209">
        <v>1098062.7055083043</v>
      </c>
      <c r="V29" s="96">
        <f t="shared" si="46"/>
        <v>0.16703896463483597</v>
      </c>
      <c r="W29" s="209">
        <v>89291.730290387815</v>
      </c>
      <c r="X29" s="96">
        <f t="shared" si="47"/>
        <v>1.3583193476419005E-2</v>
      </c>
      <c r="Y29" s="209">
        <v>590745.80397311959</v>
      </c>
      <c r="Z29" s="96">
        <f t="shared" si="48"/>
        <v>8.9865147921916563E-2</v>
      </c>
      <c r="AA29" s="209">
        <v>1334577.2504572764</v>
      </c>
      <c r="AB29" s="96">
        <f t="shared" si="49"/>
        <v>0.2030179160291167</v>
      </c>
      <c r="AC29" s="202">
        <f t="shared" si="50"/>
        <v>1925323.0544303958</v>
      </c>
      <c r="AD29" s="96">
        <f t="shared" si="51"/>
        <v>0.29288306395103325</v>
      </c>
      <c r="AE29" s="209">
        <v>938470.88550982263</v>
      </c>
      <c r="AF29" s="96">
        <f t="shared" si="52"/>
        <v>0.14276161485962874</v>
      </c>
      <c r="AG29" s="209">
        <v>287529.45800366037</v>
      </c>
      <c r="AH29" s="96">
        <f t="shared" si="53"/>
        <v>4.3739417362976596E-2</v>
      </c>
      <c r="AI29" s="209">
        <v>454349.23858493165</v>
      </c>
      <c r="AJ29" s="96">
        <f t="shared" si="54"/>
        <v>6.9116295467589836E-2</v>
      </c>
      <c r="AK29" s="209">
        <v>436102.55790348287</v>
      </c>
      <c r="AL29" s="96">
        <f t="shared" si="55"/>
        <v>6.6340582720255656E-2</v>
      </c>
    </row>
    <row r="30" spans="2:38" ht="14.25">
      <c r="B30" s="79"/>
      <c r="C30" s="79"/>
      <c r="D30" s="379">
        <f t="shared" si="19"/>
        <v>46073</v>
      </c>
      <c r="E30" s="379" t="s">
        <v>435</v>
      </c>
      <c r="F30" s="203">
        <f t="shared" si="0"/>
        <v>6579672</v>
      </c>
      <c r="G30" s="257"/>
      <c r="H30" s="274"/>
      <c r="I30" s="209">
        <v>432639.76075901365</v>
      </c>
      <c r="J30" s="96">
        <f t="shared" si="38"/>
        <v>6.5754001226658962E-2</v>
      </c>
      <c r="K30" s="209">
        <v>603017.73276310042</v>
      </c>
      <c r="L30" s="96">
        <f t="shared" si="39"/>
        <v>9.1648600836500727E-2</v>
      </c>
      <c r="M30" s="202">
        <f t="shared" si="40"/>
        <v>1035657.4935221141</v>
      </c>
      <c r="N30" s="96">
        <f t="shared" si="41"/>
        <v>0.1574026020631597</v>
      </c>
      <c r="O30" s="209">
        <v>112441.22474825548</v>
      </c>
      <c r="P30" s="96">
        <f t="shared" si="42"/>
        <v>1.708918389066438E-2</v>
      </c>
      <c r="Q30" s="209">
        <v>82998.21255194438</v>
      </c>
      <c r="R30" s="96">
        <f t="shared" si="43"/>
        <v>1.2614338914150185E-2</v>
      </c>
      <c r="S30" s="202">
        <f t="shared" si="44"/>
        <v>195439.43730019988</v>
      </c>
      <c r="T30" s="96">
        <f t="shared" si="45"/>
        <v>2.9703522804814569E-2</v>
      </c>
      <c r="U30" s="209">
        <v>1102160.1438612579</v>
      </c>
      <c r="V30" s="96">
        <f t="shared" si="46"/>
        <v>0.16750989165740449</v>
      </c>
      <c r="W30" s="209">
        <v>84091.721786712355</v>
      </c>
      <c r="X30" s="96">
        <f t="shared" si="47"/>
        <v>1.2780534012442011E-2</v>
      </c>
      <c r="Y30" s="209">
        <v>572658.59005265182</v>
      </c>
      <c r="Z30" s="96">
        <f t="shared" si="48"/>
        <v>8.703451935790292E-2</v>
      </c>
      <c r="AA30" s="209">
        <v>1462337.3332354783</v>
      </c>
      <c r="AB30" s="96">
        <f t="shared" si="49"/>
        <v>0.22225079506022158</v>
      </c>
      <c r="AC30" s="202">
        <f t="shared" si="50"/>
        <v>2034995.9232881302</v>
      </c>
      <c r="AD30" s="96">
        <f t="shared" si="51"/>
        <v>0.30928531441812451</v>
      </c>
      <c r="AE30" s="209">
        <v>949609.86285072763</v>
      </c>
      <c r="AF30" s="96">
        <f t="shared" si="52"/>
        <v>0.14432480264224837</v>
      </c>
      <c r="AG30" s="209">
        <v>259027.58834510305</v>
      </c>
      <c r="AH30" s="96">
        <f t="shared" si="53"/>
        <v>3.9367857295181746E-2</v>
      </c>
      <c r="AI30" s="209">
        <v>478498.36077742314</v>
      </c>
      <c r="AJ30" s="96">
        <f t="shared" si="54"/>
        <v>7.2723740754466651E-2</v>
      </c>
      <c r="AK30" s="209">
        <v>440191.46826833219</v>
      </c>
      <c r="AL30" s="96">
        <f t="shared" si="55"/>
        <v>6.6901734352158002E-2</v>
      </c>
    </row>
    <row r="31" spans="2:38" ht="14.25">
      <c r="B31" s="79"/>
      <c r="C31" s="79"/>
      <c r="D31" s="379">
        <f t="shared" si="19"/>
        <v>46074</v>
      </c>
      <c r="E31" s="379" t="s">
        <v>436</v>
      </c>
      <c r="F31" s="203">
        <f t="shared" si="0"/>
        <v>7184913.0000000009</v>
      </c>
      <c r="G31" s="257"/>
      <c r="H31" s="274"/>
      <c r="I31" s="209">
        <v>429770.97888083389</v>
      </c>
      <c r="J31" s="96">
        <f t="shared" si="38"/>
        <v>5.981575265849897E-2</v>
      </c>
      <c r="K31" s="209">
        <v>691102.28326990909</v>
      </c>
      <c r="L31" s="96">
        <f t="shared" si="39"/>
        <v>9.6187982132825964E-2</v>
      </c>
      <c r="M31" s="202">
        <f t="shared" si="40"/>
        <v>1120873.262150743</v>
      </c>
      <c r="N31" s="96">
        <f t="shared" si="41"/>
        <v>0.15600373479132496</v>
      </c>
      <c r="O31" s="209">
        <v>112919.95875519568</v>
      </c>
      <c r="P31" s="96">
        <f t="shared" si="42"/>
        <v>1.5716259717437869E-2</v>
      </c>
      <c r="Q31" s="209">
        <v>87599.665056808954</v>
      </c>
      <c r="R31" s="96">
        <f t="shared" si="43"/>
        <v>1.2192167818428553E-2</v>
      </c>
      <c r="S31" s="202">
        <f t="shared" si="44"/>
        <v>200519.62381200463</v>
      </c>
      <c r="T31" s="96">
        <f t="shared" si="45"/>
        <v>2.790842753586642E-2</v>
      </c>
      <c r="U31" s="209">
        <v>1222782.6172279427</v>
      </c>
      <c r="V31" s="96">
        <f t="shared" si="46"/>
        <v>0.17018753285223392</v>
      </c>
      <c r="W31" s="209">
        <v>100789.43856452209</v>
      </c>
      <c r="X31" s="96">
        <f t="shared" si="47"/>
        <v>1.4027927487016485E-2</v>
      </c>
      <c r="Y31" s="209">
        <v>642789.85381922754</v>
      </c>
      <c r="Z31" s="96">
        <f t="shared" si="48"/>
        <v>8.9463832591880718E-2</v>
      </c>
      <c r="AA31" s="209">
        <v>1419458.4983442542</v>
      </c>
      <c r="AB31" s="96">
        <f t="shared" si="49"/>
        <v>0.19756098624217913</v>
      </c>
      <c r="AC31" s="202">
        <f t="shared" si="50"/>
        <v>2062248.3521634818</v>
      </c>
      <c r="AD31" s="96">
        <f t="shared" si="51"/>
        <v>0.28702481883405984</v>
      </c>
      <c r="AE31" s="209">
        <v>1059872.0297681359</v>
      </c>
      <c r="AF31" s="96">
        <f t="shared" si="52"/>
        <v>0.14751355093209004</v>
      </c>
      <c r="AG31" s="209">
        <v>329811.3914564419</v>
      </c>
      <c r="AH31" s="96">
        <f t="shared" si="53"/>
        <v>4.5903324293062681E-2</v>
      </c>
      <c r="AI31" s="209">
        <v>583162.51917843695</v>
      </c>
      <c r="AJ31" s="96">
        <f t="shared" si="54"/>
        <v>8.116486854864309E-2</v>
      </c>
      <c r="AK31" s="209">
        <v>504853.76567829121</v>
      </c>
      <c r="AL31" s="96">
        <f t="shared" si="55"/>
        <v>7.026581472570248E-2</v>
      </c>
    </row>
    <row r="32" spans="2:38" ht="14.25">
      <c r="B32" s="79"/>
      <c r="C32" s="79"/>
      <c r="D32" s="379">
        <f t="shared" si="19"/>
        <v>46075</v>
      </c>
      <c r="E32" s="379" t="s">
        <v>437</v>
      </c>
      <c r="F32" s="203">
        <f t="shared" si="0"/>
        <v>8119330.0000000019</v>
      </c>
      <c r="G32" s="257"/>
      <c r="H32" s="274"/>
      <c r="I32" s="209">
        <v>570244.21717991517</v>
      </c>
      <c r="J32" s="96">
        <f t="shared" si="38"/>
        <v>7.0232915422813832E-2</v>
      </c>
      <c r="K32" s="209">
        <v>778557.01837838895</v>
      </c>
      <c r="L32" s="96">
        <f t="shared" si="39"/>
        <v>9.5889318253893949E-2</v>
      </c>
      <c r="M32" s="202">
        <f t="shared" si="40"/>
        <v>1348801.235558304</v>
      </c>
      <c r="N32" s="96">
        <f t="shared" si="41"/>
        <v>0.16612223367670778</v>
      </c>
      <c r="O32" s="209">
        <v>144135.82760406891</v>
      </c>
      <c r="P32" s="96">
        <f t="shared" si="42"/>
        <v>1.7752182458905953E-2</v>
      </c>
      <c r="Q32" s="209">
        <v>111623.13153774307</v>
      </c>
      <c r="R32" s="96">
        <f t="shared" si="43"/>
        <v>1.3747825440983807E-2</v>
      </c>
      <c r="S32" s="202">
        <f t="shared" si="44"/>
        <v>255758.959141812</v>
      </c>
      <c r="T32" s="96">
        <f t="shared" si="45"/>
        <v>3.1500007899889763E-2</v>
      </c>
      <c r="U32" s="209">
        <v>1325249.84708994</v>
      </c>
      <c r="V32" s="96">
        <f t="shared" si="46"/>
        <v>0.16322157703775309</v>
      </c>
      <c r="W32" s="209">
        <v>110963.20785676796</v>
      </c>
      <c r="X32" s="96">
        <f t="shared" si="47"/>
        <v>1.3666547345257298E-2</v>
      </c>
      <c r="Y32" s="209">
        <v>651526.40617364494</v>
      </c>
      <c r="Z32" s="96">
        <f t="shared" si="48"/>
        <v>8.0243863246554178E-2</v>
      </c>
      <c r="AA32" s="209">
        <v>1536642.9729833934</v>
      </c>
      <c r="AB32" s="96">
        <f t="shared" si="49"/>
        <v>0.18925736150438435</v>
      </c>
      <c r="AC32" s="202">
        <f t="shared" si="50"/>
        <v>2188169.3791570384</v>
      </c>
      <c r="AD32" s="96">
        <f t="shared" si="51"/>
        <v>0.26950122475093857</v>
      </c>
      <c r="AE32" s="209">
        <v>1280754.3432120706</v>
      </c>
      <c r="AF32" s="96">
        <f t="shared" si="52"/>
        <v>0.15774138299737422</v>
      </c>
      <c r="AG32" s="209">
        <v>367475.88966822776</v>
      </c>
      <c r="AH32" s="96">
        <f t="shared" si="53"/>
        <v>4.5259385893691682E-2</v>
      </c>
      <c r="AI32" s="209">
        <v>699519.72169909975</v>
      </c>
      <c r="AJ32" s="96">
        <f t="shared" si="54"/>
        <v>8.6154857814511737E-2</v>
      </c>
      <c r="AK32" s="209">
        <v>542637.41661674087</v>
      </c>
      <c r="AL32" s="96">
        <f t="shared" si="55"/>
        <v>6.6832782583875858E-2</v>
      </c>
    </row>
    <row r="33" spans="2:38" ht="14.25">
      <c r="B33" s="79"/>
      <c r="C33" s="79"/>
      <c r="D33" s="379">
        <f t="shared" si="19"/>
        <v>46076</v>
      </c>
      <c r="E33" s="379" t="s">
        <v>431</v>
      </c>
      <c r="F33" s="203">
        <f t="shared" si="0"/>
        <v>7915140.0000000009</v>
      </c>
      <c r="G33" s="257"/>
      <c r="H33" s="274"/>
      <c r="I33" s="209">
        <v>556075.72491270897</v>
      </c>
      <c r="J33" s="96">
        <f t="shared" si="38"/>
        <v>7.025469226226054E-2</v>
      </c>
      <c r="K33" s="209">
        <v>767869.17256036494</v>
      </c>
      <c r="L33" s="96">
        <f t="shared" si="39"/>
        <v>9.7012708879484738E-2</v>
      </c>
      <c r="M33" s="202">
        <f t="shared" si="40"/>
        <v>1323944.897473074</v>
      </c>
      <c r="N33" s="96">
        <f t="shared" si="41"/>
        <v>0.16726740114174529</v>
      </c>
      <c r="O33" s="209">
        <v>137861.56294841965</v>
      </c>
      <c r="P33" s="96">
        <f t="shared" si="42"/>
        <v>1.7417450979820906E-2</v>
      </c>
      <c r="Q33" s="209">
        <v>111667.99116642504</v>
      </c>
      <c r="R33" s="96">
        <f t="shared" si="43"/>
        <v>1.4108151108688542E-2</v>
      </c>
      <c r="S33" s="202">
        <f t="shared" si="44"/>
        <v>249529.55411484471</v>
      </c>
      <c r="T33" s="96">
        <f t="shared" si="45"/>
        <v>3.152560208850945E-2</v>
      </c>
      <c r="U33" s="209">
        <v>1241782.5542056412</v>
      </c>
      <c r="V33" s="96">
        <f t="shared" si="46"/>
        <v>0.15688699810813719</v>
      </c>
      <c r="W33" s="209">
        <v>111795.0490856408</v>
      </c>
      <c r="X33" s="96">
        <f t="shared" si="47"/>
        <v>1.4124203625664333E-2</v>
      </c>
      <c r="Y33" s="209">
        <v>643530.27554907883</v>
      </c>
      <c r="Z33" s="96">
        <f t="shared" si="48"/>
        <v>8.1303713585492959E-2</v>
      </c>
      <c r="AA33" s="209">
        <v>1466184.6885407281</v>
      </c>
      <c r="AB33" s="96">
        <f t="shared" si="49"/>
        <v>0.18523799813278449</v>
      </c>
      <c r="AC33" s="202">
        <f t="shared" si="50"/>
        <v>2109714.9640898071</v>
      </c>
      <c r="AD33" s="96">
        <f t="shared" si="51"/>
        <v>0.26654171171827751</v>
      </c>
      <c r="AE33" s="209">
        <v>1238528.6732354206</v>
      </c>
      <c r="AF33" s="96">
        <f t="shared" si="52"/>
        <v>0.15647590228794694</v>
      </c>
      <c r="AG33" s="209">
        <v>377417.42583805107</v>
      </c>
      <c r="AH33" s="96">
        <f t="shared" si="53"/>
        <v>4.7682975391218733E-2</v>
      </c>
      <c r="AI33" s="209">
        <v>721903.56985670025</v>
      </c>
      <c r="AJ33" s="96">
        <f t="shared" si="54"/>
        <v>9.1205407593131671E-2</v>
      </c>
      <c r="AK33" s="209">
        <v>540523.31210082013</v>
      </c>
      <c r="AL33" s="96">
        <f t="shared" si="55"/>
        <v>6.8289798045368763E-2</v>
      </c>
    </row>
    <row r="34" spans="2:38" ht="14.25">
      <c r="B34" s="79"/>
      <c r="C34" s="79"/>
      <c r="D34" s="366">
        <f t="shared" si="19"/>
        <v>46077</v>
      </c>
      <c r="E34" s="366" t="s">
        <v>432</v>
      </c>
      <c r="F34" s="203">
        <f t="shared" si="0"/>
        <v>7787195.9999999991</v>
      </c>
      <c r="G34" s="257"/>
      <c r="H34" s="274"/>
      <c r="I34" s="209">
        <v>561628.40673440206</v>
      </c>
      <c r="J34" s="96">
        <f t="shared" si="38"/>
        <v>7.212203298008707E-2</v>
      </c>
      <c r="K34" s="209">
        <v>750911.45939334424</v>
      </c>
      <c r="L34" s="96">
        <f t="shared" si="39"/>
        <v>9.6428991821105356E-2</v>
      </c>
      <c r="M34" s="202">
        <f t="shared" si="40"/>
        <v>1312539.8661277462</v>
      </c>
      <c r="N34" s="96">
        <f t="shared" si="41"/>
        <v>0.16855102480119241</v>
      </c>
      <c r="O34" s="209">
        <v>130174.08236673138</v>
      </c>
      <c r="P34" s="96">
        <f t="shared" si="42"/>
        <v>1.6716425574331426E-2</v>
      </c>
      <c r="Q34" s="209">
        <v>103940.9412530221</v>
      </c>
      <c r="R34" s="96">
        <f t="shared" si="43"/>
        <v>1.334767241674951E-2</v>
      </c>
      <c r="S34" s="202">
        <f t="shared" si="44"/>
        <v>234115.02361975348</v>
      </c>
      <c r="T34" s="96">
        <f t="shared" si="45"/>
        <v>3.0064097991080937E-2</v>
      </c>
      <c r="U34" s="209">
        <v>1201481.9285754226</v>
      </c>
      <c r="V34" s="96">
        <f t="shared" si="46"/>
        <v>0.15428941670087959</v>
      </c>
      <c r="W34" s="209">
        <v>85591.717086499717</v>
      </c>
      <c r="X34" s="96">
        <f t="shared" si="47"/>
        <v>1.0991339769346979E-2</v>
      </c>
      <c r="Y34" s="209">
        <v>630451.95658883767</v>
      </c>
      <c r="Z34" s="96">
        <f t="shared" si="48"/>
        <v>8.0960072995316643E-2</v>
      </c>
      <c r="AA34" s="209">
        <v>1374347.7247464501</v>
      </c>
      <c r="AB34" s="96">
        <f t="shared" si="49"/>
        <v>0.1764881383165969</v>
      </c>
      <c r="AC34" s="202">
        <f t="shared" si="50"/>
        <v>2004799.6813352876</v>
      </c>
      <c r="AD34" s="96">
        <f t="shared" si="51"/>
        <v>0.25744821131191353</v>
      </c>
      <c r="AE34" s="209">
        <v>1322924.976149068</v>
      </c>
      <c r="AF34" s="96">
        <f t="shared" si="52"/>
        <v>0.16988463834081846</v>
      </c>
      <c r="AG34" s="209">
        <v>358602.15497938241</v>
      </c>
      <c r="AH34" s="96">
        <f t="shared" si="53"/>
        <v>4.6050228474971283E-2</v>
      </c>
      <c r="AI34" s="209">
        <v>746632.73211506382</v>
      </c>
      <c r="AJ34" s="96">
        <f t="shared" si="54"/>
        <v>9.587953508747743E-2</v>
      </c>
      <c r="AK34" s="209">
        <v>520507.92001177423</v>
      </c>
      <c r="AL34" s="96">
        <f t="shared" si="55"/>
        <v>6.6841507522319238E-2</v>
      </c>
    </row>
    <row r="35" spans="2:38" ht="14.25">
      <c r="B35" s="79"/>
      <c r="C35" s="79"/>
      <c r="D35" s="380">
        <f t="shared" si="19"/>
        <v>46078</v>
      </c>
      <c r="E35" s="380" t="s">
        <v>433</v>
      </c>
      <c r="F35" s="203">
        <f t="shared" si="0"/>
        <v>7117740.0000000009</v>
      </c>
      <c r="G35" s="257">
        <f>SUM(F35:F41)</f>
        <v>26590911</v>
      </c>
      <c r="H35" s="274"/>
      <c r="I35" s="209">
        <v>555357.36769380944</v>
      </c>
      <c r="J35" s="96">
        <f t="shared" si="38"/>
        <v>7.8024396464862353E-2</v>
      </c>
      <c r="K35" s="209">
        <v>709582.53764828097</v>
      </c>
      <c r="L35" s="96">
        <f t="shared" si="39"/>
        <v>9.9692112615560685E-2</v>
      </c>
      <c r="M35" s="202">
        <f t="shared" si="40"/>
        <v>1264939.9053420904</v>
      </c>
      <c r="N35" s="96">
        <f t="shared" si="41"/>
        <v>0.17771650908042302</v>
      </c>
      <c r="O35" s="209">
        <v>131376.35909476344</v>
      </c>
      <c r="P35" s="96">
        <f t="shared" si="42"/>
        <v>1.8457594558773348E-2</v>
      </c>
      <c r="Q35" s="209">
        <v>101763.09890594757</v>
      </c>
      <c r="R35" s="96">
        <f t="shared" si="43"/>
        <v>1.4297108198100459E-2</v>
      </c>
      <c r="S35" s="202">
        <f t="shared" si="44"/>
        <v>233139.45800071099</v>
      </c>
      <c r="T35" s="96">
        <f t="shared" si="45"/>
        <v>3.2754702756873803E-2</v>
      </c>
      <c r="U35" s="209">
        <v>1029762.6271336209</v>
      </c>
      <c r="V35" s="96">
        <f t="shared" si="46"/>
        <v>0.14467550474358726</v>
      </c>
      <c r="W35" s="209">
        <v>68555.800458718382</v>
      </c>
      <c r="X35" s="96">
        <f t="shared" si="47"/>
        <v>9.631680906961813E-3</v>
      </c>
      <c r="Y35" s="209">
        <v>575302.53878260043</v>
      </c>
      <c r="Z35" s="96">
        <f t="shared" si="48"/>
        <v>8.0826573994357803E-2</v>
      </c>
      <c r="AA35" s="209">
        <v>1205943.5581835052</v>
      </c>
      <c r="AB35" s="96">
        <f t="shared" si="49"/>
        <v>0.16942787432295997</v>
      </c>
      <c r="AC35" s="202">
        <f t="shared" si="50"/>
        <v>1781246.0969661055</v>
      </c>
      <c r="AD35" s="96">
        <f t="shared" si="51"/>
        <v>0.25025444831731775</v>
      </c>
      <c r="AE35" s="209">
        <v>1248696.2403536336</v>
      </c>
      <c r="AF35" s="96">
        <f t="shared" si="52"/>
        <v>0.17543437107194607</v>
      </c>
      <c r="AG35" s="209">
        <v>317509.6448185179</v>
      </c>
      <c r="AH35" s="96">
        <f t="shared" si="53"/>
        <v>4.4608210586298158E-2</v>
      </c>
      <c r="AI35" s="209">
        <v>699611.60405682307</v>
      </c>
      <c r="AJ35" s="96">
        <f t="shared" si="54"/>
        <v>9.8291255940343839E-2</v>
      </c>
      <c r="AK35" s="209">
        <v>474278.62286977965</v>
      </c>
      <c r="AL35" s="96">
        <f t="shared" si="55"/>
        <v>6.6633316596248188E-2</v>
      </c>
    </row>
    <row r="36" spans="2:38" ht="14.25">
      <c r="B36" s="79"/>
      <c r="C36" s="79"/>
      <c r="D36" s="380">
        <f t="shared" si="19"/>
        <v>46079</v>
      </c>
      <c r="E36" s="380" t="s">
        <v>434</v>
      </c>
      <c r="F36" s="203">
        <f t="shared" si="0"/>
        <v>6605720.9999999991</v>
      </c>
      <c r="G36" s="257"/>
      <c r="H36" s="274"/>
      <c r="I36" s="209">
        <v>471729.96782259049</v>
      </c>
      <c r="J36" s="96">
        <f t="shared" si="38"/>
        <v>7.1412336037593865E-2</v>
      </c>
      <c r="K36" s="209">
        <v>667062.27314337168</v>
      </c>
      <c r="L36" s="96">
        <f t="shared" si="39"/>
        <v>0.10098250791145612</v>
      </c>
      <c r="M36" s="202">
        <f t="shared" si="40"/>
        <v>1138792.2409659622</v>
      </c>
      <c r="N36" s="96">
        <f t="shared" si="41"/>
        <v>0.17239484394904997</v>
      </c>
      <c r="O36" s="209">
        <v>125975.74740828988</v>
      </c>
      <c r="P36" s="96">
        <f t="shared" si="42"/>
        <v>1.9070703623160878E-2</v>
      </c>
      <c r="Q36" s="209">
        <v>93313.572406240361</v>
      </c>
      <c r="R36" s="96">
        <f t="shared" si="43"/>
        <v>1.4126175236017443E-2</v>
      </c>
      <c r="S36" s="202">
        <f t="shared" si="44"/>
        <v>219289.31981453026</v>
      </c>
      <c r="T36" s="96">
        <f t="shared" si="45"/>
        <v>3.3196878859178325E-2</v>
      </c>
      <c r="U36" s="209">
        <v>1008279.5615256017</v>
      </c>
      <c r="V36" s="96">
        <f t="shared" si="46"/>
        <v>0.15263732172848382</v>
      </c>
      <c r="W36" s="209">
        <v>68274.330942755303</v>
      </c>
      <c r="X36" s="96">
        <f t="shared" si="47"/>
        <v>1.0335636479765844E-2</v>
      </c>
      <c r="Y36" s="209">
        <v>557641.40605058242</v>
      </c>
      <c r="Z36" s="96">
        <f t="shared" si="48"/>
        <v>8.4417947117442965E-2</v>
      </c>
      <c r="AA36" s="209">
        <v>1060523.4416857616</v>
      </c>
      <c r="AB36" s="96">
        <f t="shared" si="49"/>
        <v>0.16054620558236743</v>
      </c>
      <c r="AC36" s="202">
        <f t="shared" si="50"/>
        <v>1618164.847736344</v>
      </c>
      <c r="AD36" s="96">
        <f t="shared" si="51"/>
        <v>0.24496415269981039</v>
      </c>
      <c r="AE36" s="209">
        <v>1137311.4740455644</v>
      </c>
      <c r="AF36" s="96">
        <f t="shared" si="52"/>
        <v>0.1721706796344509</v>
      </c>
      <c r="AG36" s="209">
        <v>284975.1312633917</v>
      </c>
      <c r="AH36" s="96">
        <f t="shared" si="53"/>
        <v>4.3140655087217844E-2</v>
      </c>
      <c r="AI36" s="209">
        <v>699430.24683039763</v>
      </c>
      <c r="AJ36" s="96">
        <f t="shared" si="54"/>
        <v>0.10588249894756344</v>
      </c>
      <c r="AK36" s="209">
        <v>431203.84687545273</v>
      </c>
      <c r="AL36" s="96">
        <f t="shared" si="55"/>
        <v>6.52773326144796E-2</v>
      </c>
    </row>
    <row r="37" spans="2:38" ht="14.25">
      <c r="B37" s="79"/>
      <c r="C37" s="79"/>
      <c r="D37" s="380">
        <f t="shared" si="19"/>
        <v>46080</v>
      </c>
      <c r="E37" s="380" t="s">
        <v>435</v>
      </c>
      <c r="F37" s="203">
        <f t="shared" si="0"/>
        <v>6179335.0000000009</v>
      </c>
      <c r="G37" s="257"/>
      <c r="H37" s="274"/>
      <c r="I37" s="209">
        <v>455101.27197645436</v>
      </c>
      <c r="J37" s="96">
        <f t="shared" si="38"/>
        <v>7.3648907524265034E-2</v>
      </c>
      <c r="K37" s="209">
        <v>654029.99931401282</v>
      </c>
      <c r="L37" s="96">
        <f t="shared" si="39"/>
        <v>0.10584148606832494</v>
      </c>
      <c r="M37" s="202">
        <f t="shared" si="40"/>
        <v>1109131.2712904671</v>
      </c>
      <c r="N37" s="96">
        <f t="shared" si="41"/>
        <v>0.17949039359258998</v>
      </c>
      <c r="O37" s="209">
        <v>120090.59314417893</v>
      </c>
      <c r="P37" s="96">
        <f t="shared" si="42"/>
        <v>1.943422603632574E-2</v>
      </c>
      <c r="Q37" s="209">
        <v>90569.630395138534</v>
      </c>
      <c r="R37" s="96">
        <f t="shared" si="43"/>
        <v>1.4656857152936121E-2</v>
      </c>
      <c r="S37" s="202">
        <f t="shared" si="44"/>
        <v>210660.22353931746</v>
      </c>
      <c r="T37" s="96">
        <f t="shared" si="45"/>
        <v>3.4091083189261857E-2</v>
      </c>
      <c r="U37" s="209">
        <v>976148.15663793625</v>
      </c>
      <c r="V37" s="96">
        <f t="shared" si="46"/>
        <v>0.15796977452071073</v>
      </c>
      <c r="W37" s="209">
        <v>59562.00384462424</v>
      </c>
      <c r="X37" s="96">
        <f t="shared" si="47"/>
        <v>9.6389018955315136E-3</v>
      </c>
      <c r="Y37" s="209">
        <v>485178.27600697888</v>
      </c>
      <c r="Z37" s="96">
        <f t="shared" si="48"/>
        <v>7.8516260407791263E-2</v>
      </c>
      <c r="AA37" s="209">
        <v>1141034.5877607509</v>
      </c>
      <c r="AB37" s="96">
        <f t="shared" si="49"/>
        <v>0.18465329809125913</v>
      </c>
      <c r="AC37" s="202">
        <f t="shared" si="50"/>
        <v>1626212.8637677298</v>
      </c>
      <c r="AD37" s="96">
        <f t="shared" si="51"/>
        <v>0.26316955849905038</v>
      </c>
      <c r="AE37" s="209">
        <v>950010.06172461028</v>
      </c>
      <c r="AF37" s="96">
        <f t="shared" si="52"/>
        <v>0.1537398541630467</v>
      </c>
      <c r="AG37" s="209">
        <v>239944.13856251063</v>
      </c>
      <c r="AH37" s="96">
        <f t="shared" si="53"/>
        <v>3.8830090707577855E-2</v>
      </c>
      <c r="AI37" s="209">
        <v>608046.47238589136</v>
      </c>
      <c r="AJ37" s="96">
        <f t="shared" si="54"/>
        <v>9.8399985174115218E-2</v>
      </c>
      <c r="AK37" s="209">
        <v>399619.80824691238</v>
      </c>
      <c r="AL37" s="96">
        <f t="shared" si="55"/>
        <v>6.4670358258115526E-2</v>
      </c>
    </row>
    <row r="38" spans="2:38" ht="14.25">
      <c r="B38" s="79"/>
      <c r="C38" s="75"/>
      <c r="D38" s="380">
        <f t="shared" si="19"/>
        <v>46081</v>
      </c>
      <c r="E38" s="380" t="s">
        <v>436</v>
      </c>
      <c r="F38" s="203">
        <f t="shared" si="0"/>
        <v>6688114.9999999991</v>
      </c>
      <c r="G38" s="257"/>
      <c r="H38" s="93"/>
      <c r="I38" s="209">
        <v>450620.9675951777</v>
      </c>
      <c r="J38" s="96">
        <f t="shared" si="38"/>
        <v>6.7376378485593885E-2</v>
      </c>
      <c r="K38" s="209">
        <v>714641.99301481864</v>
      </c>
      <c r="L38" s="96">
        <f t="shared" si="39"/>
        <v>0.10685252765761634</v>
      </c>
      <c r="M38" s="202">
        <f t="shared" si="40"/>
        <v>1165262.9606099962</v>
      </c>
      <c r="N38" s="96">
        <f t="shared" si="41"/>
        <v>0.17422890614321021</v>
      </c>
      <c r="O38" s="209">
        <v>116013.96596760569</v>
      </c>
      <c r="P38" s="96">
        <f t="shared" si="42"/>
        <v>1.7346287551515741E-2</v>
      </c>
      <c r="Q38" s="209">
        <v>88781.962218055574</v>
      </c>
      <c r="R38" s="96">
        <f t="shared" si="43"/>
        <v>1.3274586668748308E-2</v>
      </c>
      <c r="S38" s="202">
        <f t="shared" si="44"/>
        <v>204795.92818566127</v>
      </c>
      <c r="T38" s="96">
        <f t="shared" si="45"/>
        <v>3.0620874220264049E-2</v>
      </c>
      <c r="U38" s="209">
        <v>1073186.2391272436</v>
      </c>
      <c r="V38" s="96">
        <f t="shared" si="46"/>
        <v>0.16046169049534043</v>
      </c>
      <c r="W38" s="209">
        <v>71403.280122611075</v>
      </c>
      <c r="X38" s="96">
        <f t="shared" si="47"/>
        <v>1.0676144193485173E-2</v>
      </c>
      <c r="Y38" s="209">
        <v>538437.0722877963</v>
      </c>
      <c r="Z38" s="96">
        <f t="shared" si="48"/>
        <v>8.0506551141509439E-2</v>
      </c>
      <c r="AA38" s="209">
        <v>1184142.6996096538</v>
      </c>
      <c r="AB38" s="96">
        <f t="shared" si="49"/>
        <v>0.17705178508588054</v>
      </c>
      <c r="AC38" s="202">
        <f t="shared" si="50"/>
        <v>1722579.7718974501</v>
      </c>
      <c r="AD38" s="96">
        <f t="shared" si="51"/>
        <v>0.25755833622738999</v>
      </c>
      <c r="AE38" s="209">
        <v>1043566.1625684253</v>
      </c>
      <c r="AF38" s="96">
        <f t="shared" si="52"/>
        <v>0.15603292744942715</v>
      </c>
      <c r="AG38" s="209">
        <v>272882.44363140338</v>
      </c>
      <c r="AH38" s="96">
        <f t="shared" si="53"/>
        <v>4.0801099208282662E-2</v>
      </c>
      <c r="AI38" s="209">
        <v>670897.22406673757</v>
      </c>
      <c r="AJ38" s="96">
        <f t="shared" si="54"/>
        <v>0.10031185529356743</v>
      </c>
      <c r="AK38" s="209">
        <v>463540.98979047075</v>
      </c>
      <c r="AL38" s="96">
        <f t="shared" si="55"/>
        <v>6.9308166769032953E-2</v>
      </c>
    </row>
    <row r="39" spans="2:38" ht="14.25">
      <c r="B39" s="79"/>
      <c r="C39" s="75"/>
      <c r="D39" s="366"/>
      <c r="E39" s="366"/>
      <c r="F39" s="203">
        <f t="shared" si="0"/>
        <v>0</v>
      </c>
      <c r="G39" s="257"/>
      <c r="H39" s="93"/>
      <c r="I39" s="209"/>
      <c r="J39" s="96" t="e">
        <f t="shared" si="38"/>
        <v>#DIV/0!</v>
      </c>
      <c r="K39" s="209"/>
      <c r="L39" s="96" t="e">
        <f t="shared" si="39"/>
        <v>#DIV/0!</v>
      </c>
      <c r="M39" s="202">
        <f t="shared" si="40"/>
        <v>0</v>
      </c>
      <c r="N39" s="96" t="e">
        <f t="shared" si="41"/>
        <v>#DIV/0!</v>
      </c>
      <c r="O39" s="209"/>
      <c r="P39" s="96" t="e">
        <f t="shared" si="42"/>
        <v>#DIV/0!</v>
      </c>
      <c r="Q39" s="209"/>
      <c r="R39" s="96" t="e">
        <f t="shared" si="43"/>
        <v>#DIV/0!</v>
      </c>
      <c r="S39" s="202">
        <f t="shared" si="44"/>
        <v>0</v>
      </c>
      <c r="T39" s="96" t="e">
        <f t="shared" si="45"/>
        <v>#DIV/0!</v>
      </c>
      <c r="U39" s="209"/>
      <c r="V39" s="96" t="e">
        <f t="shared" si="46"/>
        <v>#DIV/0!</v>
      </c>
      <c r="W39" s="209"/>
      <c r="X39" s="96" t="e">
        <f t="shared" si="47"/>
        <v>#DIV/0!</v>
      </c>
      <c r="Y39" s="209"/>
      <c r="Z39" s="96" t="e">
        <f t="shared" si="48"/>
        <v>#DIV/0!</v>
      </c>
      <c r="AA39" s="209"/>
      <c r="AB39" s="96" t="e">
        <f t="shared" si="49"/>
        <v>#DIV/0!</v>
      </c>
      <c r="AC39" s="202">
        <f t="shared" si="50"/>
        <v>0</v>
      </c>
      <c r="AD39" s="96" t="e">
        <f t="shared" si="51"/>
        <v>#DIV/0!</v>
      </c>
      <c r="AE39" s="209"/>
      <c r="AF39" s="96" t="e">
        <f t="shared" si="52"/>
        <v>#DIV/0!</v>
      </c>
      <c r="AG39" s="209"/>
      <c r="AH39" s="96" t="e">
        <f t="shared" si="53"/>
        <v>#DIV/0!</v>
      </c>
      <c r="AI39" s="209"/>
      <c r="AJ39" s="96" t="e">
        <f t="shared" si="54"/>
        <v>#DIV/0!</v>
      </c>
      <c r="AK39" s="209"/>
      <c r="AL39" s="96" t="e">
        <f t="shared" si="55"/>
        <v>#DIV/0!</v>
      </c>
    </row>
    <row r="40" spans="2:38" ht="14.25">
      <c r="B40" s="79"/>
      <c r="C40" s="75"/>
      <c r="D40" s="366"/>
      <c r="E40" s="366"/>
      <c r="F40" s="203">
        <f t="shared" si="0"/>
        <v>0</v>
      </c>
      <c r="G40" s="257"/>
      <c r="H40" s="93"/>
      <c r="I40" s="209"/>
      <c r="J40" s="96" t="e">
        <f t="shared" si="38"/>
        <v>#DIV/0!</v>
      </c>
      <c r="K40" s="209"/>
      <c r="L40" s="96" t="e">
        <f t="shared" si="39"/>
        <v>#DIV/0!</v>
      </c>
      <c r="M40" s="202">
        <f t="shared" si="40"/>
        <v>0</v>
      </c>
      <c r="N40" s="96" t="e">
        <f t="shared" si="41"/>
        <v>#DIV/0!</v>
      </c>
      <c r="O40" s="209"/>
      <c r="P40" s="96" t="e">
        <f t="shared" si="42"/>
        <v>#DIV/0!</v>
      </c>
      <c r="Q40" s="209"/>
      <c r="R40" s="96" t="e">
        <f t="shared" si="43"/>
        <v>#DIV/0!</v>
      </c>
      <c r="S40" s="202">
        <f t="shared" si="44"/>
        <v>0</v>
      </c>
      <c r="T40" s="96" t="e">
        <f t="shared" si="45"/>
        <v>#DIV/0!</v>
      </c>
      <c r="U40" s="209"/>
      <c r="V40" s="96" t="e">
        <f t="shared" si="46"/>
        <v>#DIV/0!</v>
      </c>
      <c r="W40" s="209"/>
      <c r="X40" s="96" t="e">
        <f t="shared" si="47"/>
        <v>#DIV/0!</v>
      </c>
      <c r="Y40" s="209"/>
      <c r="Z40" s="96" t="e">
        <f t="shared" si="48"/>
        <v>#DIV/0!</v>
      </c>
      <c r="AA40" s="209"/>
      <c r="AB40" s="96" t="e">
        <f t="shared" si="49"/>
        <v>#DIV/0!</v>
      </c>
      <c r="AC40" s="202">
        <f t="shared" si="50"/>
        <v>0</v>
      </c>
      <c r="AD40" s="96" t="e">
        <f t="shared" si="51"/>
        <v>#DIV/0!</v>
      </c>
      <c r="AE40" s="209"/>
      <c r="AF40" s="96" t="e">
        <f t="shared" si="52"/>
        <v>#DIV/0!</v>
      </c>
      <c r="AG40" s="209"/>
      <c r="AH40" s="96" t="e">
        <f t="shared" si="53"/>
        <v>#DIV/0!</v>
      </c>
      <c r="AI40" s="209"/>
      <c r="AJ40" s="96" t="e">
        <f t="shared" si="54"/>
        <v>#DIV/0!</v>
      </c>
      <c r="AK40" s="209"/>
      <c r="AL40" s="96" t="e">
        <f t="shared" si="55"/>
        <v>#DIV/0!</v>
      </c>
    </row>
    <row r="41" spans="2:38" ht="14.25">
      <c r="B41" s="79"/>
      <c r="C41" s="75"/>
      <c r="D41" s="366"/>
      <c r="E41" s="366"/>
      <c r="F41" s="203">
        <f t="shared" si="0"/>
        <v>0</v>
      </c>
      <c r="G41" s="257"/>
      <c r="H41" s="93"/>
      <c r="I41" s="209"/>
      <c r="J41" s="96" t="e">
        <f t="shared" si="38"/>
        <v>#DIV/0!</v>
      </c>
      <c r="K41" s="209"/>
      <c r="L41" s="96" t="e">
        <f t="shared" si="39"/>
        <v>#DIV/0!</v>
      </c>
      <c r="M41" s="202">
        <f t="shared" si="40"/>
        <v>0</v>
      </c>
      <c r="N41" s="96" t="e">
        <f t="shared" si="41"/>
        <v>#DIV/0!</v>
      </c>
      <c r="O41" s="209"/>
      <c r="P41" s="96" t="e">
        <f t="shared" si="42"/>
        <v>#DIV/0!</v>
      </c>
      <c r="Q41" s="209"/>
      <c r="R41" s="96" t="e">
        <f t="shared" si="43"/>
        <v>#DIV/0!</v>
      </c>
      <c r="S41" s="202">
        <f t="shared" si="44"/>
        <v>0</v>
      </c>
      <c r="T41" s="96" t="e">
        <f t="shared" si="45"/>
        <v>#DIV/0!</v>
      </c>
      <c r="U41" s="209"/>
      <c r="V41" s="96" t="e">
        <f t="shared" si="46"/>
        <v>#DIV/0!</v>
      </c>
      <c r="W41" s="209"/>
      <c r="X41" s="96" t="e">
        <f t="shared" si="47"/>
        <v>#DIV/0!</v>
      </c>
      <c r="Y41" s="209"/>
      <c r="Z41" s="96" t="e">
        <f t="shared" si="48"/>
        <v>#DIV/0!</v>
      </c>
      <c r="AA41" s="209"/>
      <c r="AB41" s="96" t="e">
        <f t="shared" si="49"/>
        <v>#DIV/0!</v>
      </c>
      <c r="AC41" s="202">
        <f t="shared" si="50"/>
        <v>0</v>
      </c>
      <c r="AD41" s="96" t="e">
        <f t="shared" si="51"/>
        <v>#DIV/0!</v>
      </c>
      <c r="AE41" s="209"/>
      <c r="AF41" s="96" t="e">
        <f t="shared" si="52"/>
        <v>#DIV/0!</v>
      </c>
      <c r="AG41" s="209"/>
      <c r="AH41" s="96" t="e">
        <f t="shared" si="53"/>
        <v>#DIV/0!</v>
      </c>
      <c r="AI41" s="209"/>
      <c r="AJ41" s="96" t="e">
        <f t="shared" si="54"/>
        <v>#DIV/0!</v>
      </c>
      <c r="AK41" s="209"/>
      <c r="AL41" s="96" t="e">
        <f t="shared" si="55"/>
        <v>#DIV/0!</v>
      </c>
    </row>
    <row r="42" spans="2:38" ht="14.25">
      <c r="B42" s="79"/>
      <c r="C42" s="75"/>
      <c r="D42" s="82"/>
      <c r="E42" s="82"/>
      <c r="F42" s="203">
        <f t="shared" si="0"/>
        <v>0</v>
      </c>
      <c r="G42" s="257"/>
      <c r="H42" s="93"/>
      <c r="I42" s="209"/>
      <c r="J42" s="96" t="e">
        <f>I42/F42</f>
        <v>#DIV/0!</v>
      </c>
      <c r="K42" s="209"/>
      <c r="L42" s="96" t="e">
        <f>K42/F42</f>
        <v>#DIV/0!</v>
      </c>
      <c r="M42" s="202">
        <f>SUM(I42+K42)</f>
        <v>0</v>
      </c>
      <c r="N42" s="96" t="e">
        <f>M42/F42</f>
        <v>#DIV/0!</v>
      </c>
      <c r="O42" s="209"/>
      <c r="P42" s="96" t="e">
        <f>O42/F42</f>
        <v>#DIV/0!</v>
      </c>
      <c r="Q42" s="209"/>
      <c r="R42" s="96" t="e">
        <f t="shared" si="43"/>
        <v>#DIV/0!</v>
      </c>
      <c r="S42" s="202">
        <f t="shared" si="44"/>
        <v>0</v>
      </c>
      <c r="T42" s="96" t="e">
        <f>S42/F42</f>
        <v>#DIV/0!</v>
      </c>
      <c r="U42" s="209"/>
      <c r="V42" s="96" t="e">
        <f>U42/F42</f>
        <v>#DIV/0!</v>
      </c>
      <c r="W42" s="209"/>
      <c r="X42" s="96" t="e">
        <f>W42/F42</f>
        <v>#DIV/0!</v>
      </c>
      <c r="Y42" s="209"/>
      <c r="Z42" s="96" t="e">
        <f>Y42/F42</f>
        <v>#DIV/0!</v>
      </c>
      <c r="AA42" s="209"/>
      <c r="AB42" s="96" t="e">
        <f t="shared" si="49"/>
        <v>#DIV/0!</v>
      </c>
      <c r="AC42" s="202">
        <f>SUM(Y42+AA42)</f>
        <v>0</v>
      </c>
      <c r="AD42" s="96" t="e">
        <f>AC42/F42</f>
        <v>#DIV/0!</v>
      </c>
      <c r="AE42" s="209"/>
      <c r="AF42" s="96" t="e">
        <f>AE42/F42</f>
        <v>#DIV/0!</v>
      </c>
      <c r="AG42" s="209"/>
      <c r="AH42" s="96" t="e">
        <f>AG42/F42</f>
        <v>#DIV/0!</v>
      </c>
      <c r="AI42" s="209"/>
      <c r="AJ42" s="96" t="e">
        <f>AI42/F42</f>
        <v>#DIV/0!</v>
      </c>
      <c r="AK42" s="209"/>
      <c r="AL42" s="96" t="e">
        <f>AK42/F42</f>
        <v>#DIV/0!</v>
      </c>
    </row>
    <row r="43" spans="2:38" ht="14.25">
      <c r="B43" s="79"/>
      <c r="C43" s="75"/>
      <c r="D43" s="82"/>
      <c r="E43" s="82"/>
      <c r="F43" s="203">
        <f t="shared" si="0"/>
        <v>0</v>
      </c>
      <c r="G43" s="203"/>
      <c r="H43" s="93"/>
      <c r="I43" s="209"/>
      <c r="J43" s="96" t="e">
        <f>I43/F43</f>
        <v>#DIV/0!</v>
      </c>
      <c r="K43" s="209"/>
      <c r="L43" s="96" t="e">
        <f>K43/F43</f>
        <v>#DIV/0!</v>
      </c>
      <c r="M43" s="202">
        <f>SUM(I43+K43)</f>
        <v>0</v>
      </c>
      <c r="N43" s="96" t="e">
        <f>M43/F43</f>
        <v>#DIV/0!</v>
      </c>
      <c r="O43" s="209"/>
      <c r="P43" s="96" t="e">
        <f>O43/F43</f>
        <v>#DIV/0!</v>
      </c>
      <c r="Q43" s="209"/>
      <c r="R43" s="96" t="e">
        <f t="shared" si="43"/>
        <v>#DIV/0!</v>
      </c>
      <c r="S43" s="202">
        <f t="shared" si="44"/>
        <v>0</v>
      </c>
      <c r="T43" s="96" t="e">
        <f>S43/F43</f>
        <v>#DIV/0!</v>
      </c>
      <c r="U43" s="209"/>
      <c r="V43" s="96" t="e">
        <f>U43/F43</f>
        <v>#DIV/0!</v>
      </c>
      <c r="W43" s="209"/>
      <c r="X43" s="96" t="e">
        <f>W43/F43</f>
        <v>#DIV/0!</v>
      </c>
      <c r="Y43" s="209"/>
      <c r="Z43" s="96" t="e">
        <f>Y43/F43</f>
        <v>#DIV/0!</v>
      </c>
      <c r="AA43" s="209"/>
      <c r="AB43" s="96" t="e">
        <f t="shared" si="49"/>
        <v>#DIV/0!</v>
      </c>
      <c r="AC43" s="202">
        <f>SUM(Y43+AA43)</f>
        <v>0</v>
      </c>
      <c r="AD43" s="96" t="e">
        <f>AC43/F43</f>
        <v>#DIV/0!</v>
      </c>
      <c r="AE43" s="209"/>
      <c r="AF43" s="96" t="e">
        <f>AE43/F43</f>
        <v>#DIV/0!</v>
      </c>
      <c r="AG43" s="209"/>
      <c r="AH43" s="96" t="e">
        <f>AG43/F43</f>
        <v>#DIV/0!</v>
      </c>
      <c r="AI43" s="209"/>
      <c r="AJ43" s="96" t="e">
        <f>AI43/F43</f>
        <v>#DIV/0!</v>
      </c>
      <c r="AK43" s="209"/>
      <c r="AL43" s="96" t="e">
        <f>AK43/F43</f>
        <v>#DIV/0!</v>
      </c>
    </row>
    <row r="44" spans="2:38" ht="14.25">
      <c r="B44" s="79"/>
      <c r="C44" s="75"/>
      <c r="D44" s="82"/>
      <c r="E44" s="82"/>
      <c r="F44" s="203">
        <f t="shared" si="0"/>
        <v>0</v>
      </c>
      <c r="G44" s="203"/>
      <c r="H44" s="93"/>
      <c r="I44" s="209"/>
      <c r="J44" s="96" t="e">
        <f>I44/F44</f>
        <v>#DIV/0!</v>
      </c>
      <c r="K44" s="209"/>
      <c r="L44" s="96" t="e">
        <f>K44/F44</f>
        <v>#DIV/0!</v>
      </c>
      <c r="M44" s="202">
        <f>SUM(I44+K44)</f>
        <v>0</v>
      </c>
      <c r="N44" s="96" t="e">
        <f>M44/F44</f>
        <v>#DIV/0!</v>
      </c>
      <c r="O44" s="209"/>
      <c r="P44" s="96" t="e">
        <f>O44/F44</f>
        <v>#DIV/0!</v>
      </c>
      <c r="Q44" s="209"/>
      <c r="R44" s="96" t="e">
        <f t="shared" si="43"/>
        <v>#DIV/0!</v>
      </c>
      <c r="S44" s="202">
        <f t="shared" si="44"/>
        <v>0</v>
      </c>
      <c r="T44" s="96" t="e">
        <f>S44/F44</f>
        <v>#DIV/0!</v>
      </c>
      <c r="U44" s="209"/>
      <c r="V44" s="96" t="e">
        <f>U44/F44</f>
        <v>#DIV/0!</v>
      </c>
      <c r="W44" s="209"/>
      <c r="X44" s="96" t="e">
        <f>W44/F44</f>
        <v>#DIV/0!</v>
      </c>
      <c r="Y44" s="209"/>
      <c r="Z44" s="96" t="e">
        <f>Y44/F44</f>
        <v>#DIV/0!</v>
      </c>
      <c r="AA44" s="209"/>
      <c r="AB44" s="96" t="e">
        <f t="shared" si="49"/>
        <v>#DIV/0!</v>
      </c>
      <c r="AC44" s="202">
        <f>SUM(Y44+AA44)</f>
        <v>0</v>
      </c>
      <c r="AD44" s="96" t="e">
        <f>AC44/F44</f>
        <v>#DIV/0!</v>
      </c>
      <c r="AE44" s="209"/>
      <c r="AF44" s="96" t="e">
        <f>AE44/F44</f>
        <v>#DIV/0!</v>
      </c>
      <c r="AG44" s="209"/>
      <c r="AH44" s="96" t="e">
        <f>AG44/F44</f>
        <v>#DIV/0!</v>
      </c>
      <c r="AI44" s="209"/>
      <c r="AJ44" s="96" t="e">
        <f>AI44/F44</f>
        <v>#DIV/0!</v>
      </c>
      <c r="AK44" s="209"/>
      <c r="AL44" s="96" t="e">
        <f>AK44/F44</f>
        <v>#DIV/0!</v>
      </c>
    </row>
    <row r="45" spans="2:38" ht="14.25">
      <c r="B45" s="79"/>
      <c r="C45" s="75"/>
      <c r="D45" s="82"/>
      <c r="E45" s="82"/>
      <c r="F45" s="203">
        <f t="shared" si="0"/>
        <v>0</v>
      </c>
      <c r="G45" s="203"/>
      <c r="H45" s="93"/>
      <c r="I45" s="209"/>
      <c r="J45" s="96" t="e">
        <f>I45/F45</f>
        <v>#DIV/0!</v>
      </c>
      <c r="K45" s="209"/>
      <c r="L45" s="96" t="e">
        <f>K45/F45</f>
        <v>#DIV/0!</v>
      </c>
      <c r="M45" s="202">
        <f>SUM(I45+K45)</f>
        <v>0</v>
      </c>
      <c r="N45" s="96" t="e">
        <f>M45/F45</f>
        <v>#DIV/0!</v>
      </c>
      <c r="O45" s="209"/>
      <c r="P45" s="96" t="e">
        <f>O45/F45</f>
        <v>#DIV/0!</v>
      </c>
      <c r="Q45" s="209"/>
      <c r="R45" s="96" t="e">
        <f t="shared" si="43"/>
        <v>#DIV/0!</v>
      </c>
      <c r="S45" s="202">
        <f t="shared" si="44"/>
        <v>0</v>
      </c>
      <c r="T45" s="96" t="e">
        <f>S45/F45</f>
        <v>#DIV/0!</v>
      </c>
      <c r="U45" s="209"/>
      <c r="V45" s="96" t="e">
        <f>U45/F45</f>
        <v>#DIV/0!</v>
      </c>
      <c r="W45" s="209"/>
      <c r="X45" s="96" t="e">
        <f>W45/F45</f>
        <v>#DIV/0!</v>
      </c>
      <c r="Y45" s="209"/>
      <c r="Z45" s="96" t="e">
        <f>Y45/F45</f>
        <v>#DIV/0!</v>
      </c>
      <c r="AA45" s="209"/>
      <c r="AB45" s="96" t="e">
        <f t="shared" si="49"/>
        <v>#DIV/0!</v>
      </c>
      <c r="AC45" s="202">
        <f>SUM(Y45+AA45)</f>
        <v>0</v>
      </c>
      <c r="AD45" s="96" t="e">
        <f>AC45/F45</f>
        <v>#DIV/0!</v>
      </c>
      <c r="AE45" s="209"/>
      <c r="AF45" s="96" t="e">
        <f>AE45/F45</f>
        <v>#DIV/0!</v>
      </c>
      <c r="AG45" s="209"/>
      <c r="AH45" s="96" t="e">
        <f>AG45/F45</f>
        <v>#DIV/0!</v>
      </c>
      <c r="AI45" s="209"/>
      <c r="AJ45" s="96" t="e">
        <f>AI45/F45</f>
        <v>#DIV/0!</v>
      </c>
      <c r="AK45" s="209"/>
      <c r="AL45" s="96" t="e">
        <f>AK45/F45</f>
        <v>#DIV/0!</v>
      </c>
    </row>
    <row r="46" spans="2:38" ht="14.25">
      <c r="B46" s="79"/>
      <c r="C46" s="75"/>
      <c r="D46" s="78"/>
      <c r="F46" s="93"/>
      <c r="G46" s="93"/>
      <c r="H46" s="93"/>
      <c r="I46" s="244">
        <f>SUM(I7:I45)</f>
        <v>13741501.530233074</v>
      </c>
      <c r="J46" s="240" t="e">
        <f>I46/$H$7</f>
        <v>#DIV/0!</v>
      </c>
      <c r="K46" s="244">
        <f>SUM(K7:K45)</f>
        <v>18502463.896645255</v>
      </c>
      <c r="L46" s="240" t="e">
        <f>K46/$H$7</f>
        <v>#DIV/0!</v>
      </c>
      <c r="M46" s="244">
        <f>SUM(M7:M45)</f>
        <v>32243965.426878329</v>
      </c>
      <c r="N46" s="240" t="e">
        <f>M46/$H$7</f>
        <v>#DIV/0!</v>
      </c>
      <c r="O46" s="244">
        <f>SUM(O7:O45)</f>
        <v>3249486.1216314011</v>
      </c>
      <c r="P46" s="240" t="e">
        <f>O46/$H$7</f>
        <v>#DIV/0!</v>
      </c>
      <c r="Q46" s="244">
        <f>SUM(Q7:Q45)</f>
        <v>2467579.8817679249</v>
      </c>
      <c r="R46" s="240" t="e">
        <f>Q46/$H$7</f>
        <v>#DIV/0!</v>
      </c>
      <c r="S46" s="244">
        <f>SUM(S7:S45)</f>
        <v>5717066.0033993246</v>
      </c>
      <c r="T46" s="240" t="e">
        <f>S46/$H$7</f>
        <v>#DIV/0!</v>
      </c>
      <c r="U46" s="244">
        <f>SUM(U7:U45)</f>
        <v>31137720.2926699</v>
      </c>
      <c r="V46" s="240" t="e">
        <f>U46/$H$7</f>
        <v>#DIV/0!</v>
      </c>
      <c r="W46" s="244">
        <f>SUM(W7:W45)</f>
        <v>3062992.1705759401</v>
      </c>
      <c r="X46" s="240" t="e">
        <f>W46/$H$7</f>
        <v>#DIV/0!</v>
      </c>
      <c r="Y46" s="244">
        <f>SUM(Y7:Y45)</f>
        <v>16081785.274138389</v>
      </c>
      <c r="Z46" s="240" t="e">
        <f>Y46/$H$7</f>
        <v>#DIV/0!</v>
      </c>
      <c r="AA46" s="244">
        <f>SUM(AA7:AA45)</f>
        <v>37130156.943979971</v>
      </c>
      <c r="AB46" s="240" t="e">
        <f>AA46/$H$7</f>
        <v>#DIV/0!</v>
      </c>
      <c r="AC46" s="244">
        <f>SUM(AC7:AC45)</f>
        <v>53211942.21811834</v>
      </c>
      <c r="AD46" s="240" t="e">
        <f>AC46/$H$7</f>
        <v>#DIV/0!</v>
      </c>
      <c r="AE46" s="244">
        <f>SUM(AE7:AE45)</f>
        <v>29879080.018094257</v>
      </c>
      <c r="AF46" s="240" t="e">
        <f>AE46/$H$7</f>
        <v>#DIV/0!</v>
      </c>
      <c r="AG46" s="244">
        <f>SUM(AG7:AG45)</f>
        <v>9460879.3722587228</v>
      </c>
      <c r="AH46" s="240" t="e">
        <f>AG46/$H$7</f>
        <v>#DIV/0!</v>
      </c>
      <c r="AI46" s="244">
        <f>SUM(AI7:AI45)</f>
        <v>14569807.388547441</v>
      </c>
      <c r="AJ46" s="240" t="e">
        <f>AI46/$H$7</f>
        <v>#DIV/0!</v>
      </c>
      <c r="AK46" s="244">
        <f>SUM(AK7:AK45)</f>
        <v>13262600.109457716</v>
      </c>
      <c r="AL46" s="240" t="e">
        <f>AK46/$H$7</f>
        <v>#DIV/0!</v>
      </c>
    </row>
    <row r="47" spans="2:38" ht="14.25">
      <c r="B47" s="79"/>
      <c r="C47" s="75"/>
      <c r="D47" s="78"/>
      <c r="F47" s="93"/>
      <c r="G47" s="93"/>
      <c r="H47" s="93"/>
      <c r="I47" s="241"/>
      <c r="J47" s="242"/>
      <c r="K47" s="241"/>
      <c r="L47" s="242"/>
      <c r="M47" s="243">
        <f>M46</f>
        <v>32243965.426878329</v>
      </c>
      <c r="N47" s="242"/>
      <c r="O47" s="241"/>
      <c r="P47" s="242"/>
      <c r="Q47" s="241"/>
      <c r="R47" s="242"/>
      <c r="S47" s="243">
        <f>S46</f>
        <v>5717066.0033993246</v>
      </c>
      <c r="T47" s="242"/>
      <c r="U47" s="243">
        <f>U46</f>
        <v>31137720.2926699</v>
      </c>
      <c r="V47" s="242"/>
      <c r="W47" s="243">
        <f>W46</f>
        <v>3062992.1705759401</v>
      </c>
      <c r="X47" s="242"/>
      <c r="Y47" s="241"/>
      <c r="Z47" s="242"/>
      <c r="AA47" s="241"/>
      <c r="AB47" s="242"/>
      <c r="AC47" s="243">
        <f>AC46</f>
        <v>53211942.21811834</v>
      </c>
      <c r="AD47" s="242"/>
      <c r="AE47" s="243">
        <f>AE46</f>
        <v>29879080.018094257</v>
      </c>
      <c r="AF47" s="242"/>
      <c r="AG47" s="243">
        <f>AG46</f>
        <v>9460879.3722587228</v>
      </c>
      <c r="AH47" s="242"/>
      <c r="AI47" s="243">
        <f>AI46</f>
        <v>14569807.388547441</v>
      </c>
      <c r="AJ47" s="242"/>
      <c r="AK47" s="243">
        <f>AK46</f>
        <v>13262600.109457716</v>
      </c>
      <c r="AL47" s="242"/>
    </row>
    <row r="48" spans="2:38" ht="14.25">
      <c r="B48" s="79"/>
      <c r="C48" s="75"/>
      <c r="D48" s="78"/>
      <c r="F48" s="93"/>
      <c r="G48" s="93"/>
      <c r="H48" s="93"/>
    </row>
    <row r="49" spans="1:46" ht="14.25">
      <c r="B49" s="79"/>
      <c r="C49" s="75"/>
      <c r="D49" s="78"/>
      <c r="F49" s="93"/>
      <c r="G49" s="93"/>
      <c r="H49" s="93"/>
    </row>
    <row r="50" spans="1:46" s="78" customFormat="1" ht="14.25">
      <c r="A50" s="75"/>
      <c r="B50" s="79"/>
      <c r="C50" s="75"/>
      <c r="F50" s="97"/>
      <c r="G50" s="97"/>
      <c r="H50" s="97"/>
      <c r="I50" s="93"/>
      <c r="J50" s="86"/>
      <c r="K50" s="93"/>
      <c r="L50" s="86"/>
      <c r="M50" s="86"/>
      <c r="N50" s="86"/>
      <c r="O50" s="93"/>
      <c r="P50" s="86"/>
      <c r="Q50" s="93"/>
      <c r="R50" s="86"/>
      <c r="S50" s="93"/>
      <c r="T50" s="86"/>
      <c r="U50" s="93"/>
      <c r="V50" s="86"/>
      <c r="W50" s="93"/>
      <c r="X50" s="86"/>
      <c r="Y50" s="93"/>
      <c r="Z50" s="86"/>
      <c r="AA50" s="93"/>
      <c r="AB50" s="86"/>
      <c r="AC50" s="93"/>
      <c r="AD50" s="86"/>
      <c r="AE50" s="93"/>
      <c r="AF50" s="86"/>
      <c r="AG50" s="93"/>
      <c r="AH50" s="86"/>
      <c r="AI50" s="93"/>
      <c r="AJ50" s="86"/>
      <c r="AK50" s="93"/>
      <c r="AL50" s="86"/>
      <c r="AM50" s="75"/>
      <c r="AN50" s="75"/>
      <c r="AO50" s="75"/>
      <c r="AP50" s="75"/>
      <c r="AQ50" s="75"/>
      <c r="AR50" s="75"/>
      <c r="AS50" s="75"/>
      <c r="AT50" s="75"/>
    </row>
    <row r="51" spans="1:46" s="78" customFormat="1" ht="14.25">
      <c r="A51" s="75"/>
      <c r="B51" s="79"/>
      <c r="C51" s="75"/>
      <c r="F51" s="97"/>
      <c r="G51" s="97"/>
      <c r="H51" s="97"/>
      <c r="I51" s="93"/>
      <c r="J51" s="86"/>
      <c r="K51" s="93"/>
      <c r="L51" s="86"/>
      <c r="M51" s="86"/>
      <c r="N51" s="86"/>
      <c r="O51" s="93"/>
      <c r="P51" s="86"/>
      <c r="Q51" s="93"/>
      <c r="R51" s="86"/>
      <c r="S51" s="93"/>
      <c r="T51" s="86"/>
      <c r="U51" s="93"/>
      <c r="V51" s="86"/>
      <c r="W51" s="93"/>
      <c r="X51" s="86"/>
      <c r="Y51" s="93"/>
      <c r="Z51" s="86"/>
      <c r="AA51" s="93"/>
      <c r="AB51" s="86"/>
      <c r="AC51" s="93"/>
      <c r="AD51" s="86"/>
      <c r="AE51" s="93"/>
      <c r="AF51" s="86"/>
      <c r="AG51" s="93"/>
      <c r="AH51" s="86"/>
      <c r="AI51" s="93"/>
      <c r="AJ51" s="86"/>
      <c r="AK51" s="93"/>
      <c r="AL51" s="86"/>
      <c r="AM51" s="75"/>
      <c r="AN51" s="75"/>
      <c r="AO51" s="75"/>
      <c r="AP51" s="75"/>
      <c r="AQ51" s="75"/>
      <c r="AR51" s="75"/>
      <c r="AS51" s="75"/>
      <c r="AT51" s="75"/>
    </row>
    <row r="52" spans="1:46" s="78" customFormat="1" ht="14.25">
      <c r="A52" s="75"/>
      <c r="B52" s="79"/>
      <c r="C52" s="75"/>
      <c r="F52" s="97"/>
      <c r="G52" s="97"/>
      <c r="H52" s="97"/>
      <c r="I52" s="93"/>
      <c r="J52" s="86"/>
      <c r="K52" s="93"/>
      <c r="L52" s="86"/>
      <c r="M52" s="86"/>
      <c r="N52" s="86"/>
      <c r="O52" s="93"/>
      <c r="P52" s="86"/>
      <c r="Q52" s="93"/>
      <c r="R52" s="86"/>
      <c r="S52" s="93"/>
      <c r="T52" s="86"/>
      <c r="U52" s="93"/>
      <c r="V52" s="86"/>
      <c r="W52" s="93"/>
      <c r="X52" s="86"/>
      <c r="Y52" s="93"/>
      <c r="Z52" s="86"/>
      <c r="AA52" s="93"/>
      <c r="AB52" s="86"/>
      <c r="AC52" s="93"/>
      <c r="AD52" s="86"/>
      <c r="AE52" s="93"/>
      <c r="AF52" s="86"/>
      <c r="AG52" s="93"/>
      <c r="AH52" s="86"/>
      <c r="AI52" s="93"/>
      <c r="AJ52" s="86"/>
      <c r="AK52" s="93"/>
      <c r="AL52" s="86"/>
      <c r="AM52" s="75"/>
      <c r="AN52" s="75"/>
      <c r="AO52" s="75"/>
      <c r="AP52" s="75"/>
      <c r="AQ52" s="75"/>
      <c r="AR52" s="75"/>
      <c r="AS52" s="75"/>
      <c r="AT52" s="75"/>
    </row>
    <row r="53" spans="1:46" s="78" customFormat="1" ht="14.25">
      <c r="A53" s="75"/>
      <c r="B53" s="79"/>
      <c r="C53" s="75"/>
      <c r="F53" s="97"/>
      <c r="G53" s="97"/>
      <c r="H53" s="97"/>
      <c r="I53" s="93"/>
      <c r="J53" s="86"/>
      <c r="K53" s="93"/>
      <c r="L53" s="86"/>
      <c r="M53" s="86"/>
      <c r="N53" s="86"/>
      <c r="O53" s="93"/>
      <c r="P53" s="86"/>
      <c r="Q53" s="93"/>
      <c r="R53" s="86"/>
      <c r="S53" s="93"/>
      <c r="T53" s="86"/>
      <c r="U53" s="93"/>
      <c r="V53" s="86"/>
      <c r="W53" s="93"/>
      <c r="X53" s="86"/>
      <c r="Y53" s="93"/>
      <c r="Z53" s="86"/>
      <c r="AA53" s="93"/>
      <c r="AB53" s="86"/>
      <c r="AC53" s="93"/>
      <c r="AD53" s="86"/>
      <c r="AE53" s="93"/>
      <c r="AF53" s="86"/>
      <c r="AG53" s="93"/>
      <c r="AH53" s="86"/>
      <c r="AI53" s="93"/>
      <c r="AJ53" s="86"/>
      <c r="AK53" s="93"/>
      <c r="AL53" s="86"/>
      <c r="AM53" s="75"/>
      <c r="AN53" s="75"/>
      <c r="AO53" s="75"/>
      <c r="AP53" s="75"/>
      <c r="AQ53" s="75"/>
      <c r="AR53" s="75"/>
      <c r="AS53" s="75"/>
      <c r="AT53" s="75"/>
    </row>
    <row r="54" spans="1:46" s="78" customFormat="1" ht="14.25">
      <c r="A54" s="75"/>
      <c r="B54" s="79"/>
      <c r="C54" s="75"/>
      <c r="F54" s="97"/>
      <c r="G54" s="97"/>
      <c r="H54" s="97"/>
      <c r="I54" s="93"/>
      <c r="J54" s="86"/>
      <c r="K54" s="93"/>
      <c r="L54" s="86"/>
      <c r="M54" s="86"/>
      <c r="N54" s="86"/>
      <c r="O54" s="93"/>
      <c r="P54" s="86"/>
      <c r="Q54" s="93"/>
      <c r="R54" s="86"/>
      <c r="S54" s="93"/>
      <c r="T54" s="86"/>
      <c r="U54" s="93"/>
      <c r="V54" s="86"/>
      <c r="W54" s="93"/>
      <c r="X54" s="86"/>
      <c r="Y54" s="93"/>
      <c r="Z54" s="86"/>
      <c r="AA54" s="93"/>
      <c r="AB54" s="86"/>
      <c r="AC54" s="93"/>
      <c r="AD54" s="86"/>
      <c r="AE54" s="93"/>
      <c r="AF54" s="86"/>
      <c r="AG54" s="93"/>
      <c r="AH54" s="86"/>
      <c r="AI54" s="93"/>
      <c r="AJ54" s="86"/>
      <c r="AK54" s="93"/>
      <c r="AL54" s="86"/>
      <c r="AM54" s="75"/>
      <c r="AN54" s="75"/>
      <c r="AO54" s="75"/>
      <c r="AP54" s="75"/>
      <c r="AQ54" s="75"/>
      <c r="AR54" s="75"/>
      <c r="AS54" s="75"/>
      <c r="AT54" s="75"/>
    </row>
    <row r="55" spans="1:46" s="78" customFormat="1" ht="14.25">
      <c r="A55" s="75"/>
      <c r="B55" s="79"/>
      <c r="C55" s="75"/>
      <c r="F55" s="97"/>
      <c r="G55" s="97"/>
      <c r="H55" s="97"/>
      <c r="I55" s="93"/>
      <c r="J55" s="86"/>
      <c r="K55" s="93"/>
      <c r="L55" s="86"/>
      <c r="M55" s="86"/>
      <c r="N55" s="86"/>
      <c r="O55" s="93"/>
      <c r="P55" s="86"/>
      <c r="Q55" s="93"/>
      <c r="R55" s="86"/>
      <c r="S55" s="93"/>
      <c r="T55" s="86"/>
      <c r="U55" s="93"/>
      <c r="V55" s="86"/>
      <c r="W55" s="93"/>
      <c r="X55" s="86"/>
      <c r="Y55" s="93"/>
      <c r="Z55" s="86"/>
      <c r="AA55" s="93"/>
      <c r="AB55" s="86"/>
      <c r="AC55" s="93"/>
      <c r="AD55" s="86"/>
      <c r="AE55" s="93"/>
      <c r="AF55" s="86"/>
      <c r="AG55" s="93"/>
      <c r="AH55" s="86"/>
      <c r="AI55" s="93"/>
      <c r="AJ55" s="86"/>
      <c r="AK55" s="93"/>
      <c r="AL55" s="86"/>
      <c r="AM55" s="75"/>
      <c r="AN55" s="75"/>
      <c r="AO55" s="75"/>
      <c r="AP55" s="75"/>
      <c r="AQ55" s="75"/>
      <c r="AR55" s="75"/>
      <c r="AS55" s="75"/>
      <c r="AT55" s="75"/>
    </row>
    <row r="56" spans="1:46" s="78" customFormat="1" ht="14.25">
      <c r="A56" s="75"/>
      <c r="B56" s="79"/>
      <c r="C56" s="75"/>
      <c r="F56" s="97"/>
      <c r="G56" s="97"/>
      <c r="H56" s="97"/>
      <c r="I56" s="93"/>
      <c r="J56" s="86"/>
      <c r="K56" s="93"/>
      <c r="L56" s="86"/>
      <c r="M56" s="86"/>
      <c r="N56" s="86"/>
      <c r="O56" s="93"/>
      <c r="P56" s="86"/>
      <c r="Q56" s="93"/>
      <c r="R56" s="86"/>
      <c r="S56" s="93"/>
      <c r="T56" s="86"/>
      <c r="U56" s="93"/>
      <c r="V56" s="86"/>
      <c r="W56" s="93"/>
      <c r="X56" s="86"/>
      <c r="Y56" s="93"/>
      <c r="Z56" s="86"/>
      <c r="AA56" s="93"/>
      <c r="AB56" s="86"/>
      <c r="AC56" s="93"/>
      <c r="AD56" s="86"/>
      <c r="AE56" s="93"/>
      <c r="AF56" s="86"/>
      <c r="AG56" s="93"/>
      <c r="AH56" s="86"/>
      <c r="AI56" s="93"/>
      <c r="AJ56" s="86"/>
      <c r="AK56" s="93"/>
      <c r="AL56" s="86"/>
      <c r="AM56" s="75"/>
      <c r="AN56" s="75"/>
      <c r="AO56" s="75"/>
      <c r="AP56" s="75"/>
      <c r="AQ56" s="75"/>
      <c r="AR56" s="75"/>
      <c r="AS56" s="75"/>
      <c r="AT56" s="75"/>
    </row>
    <row r="57" spans="1:46" s="78" customFormat="1" ht="14.25">
      <c r="A57" s="75"/>
      <c r="B57" s="79"/>
      <c r="C57" s="75"/>
      <c r="F57" s="97"/>
      <c r="G57" s="97"/>
      <c r="H57" s="97"/>
      <c r="I57" s="93"/>
      <c r="J57" s="86"/>
      <c r="K57" s="93"/>
      <c r="L57" s="86"/>
      <c r="M57" s="86"/>
      <c r="N57" s="86"/>
      <c r="O57" s="93"/>
      <c r="P57" s="86"/>
      <c r="Q57" s="93"/>
      <c r="R57" s="86"/>
      <c r="S57" s="93"/>
      <c r="T57" s="86"/>
      <c r="U57" s="93"/>
      <c r="V57" s="86"/>
      <c r="W57" s="93"/>
      <c r="X57" s="86"/>
      <c r="Y57" s="93"/>
      <c r="Z57" s="86"/>
      <c r="AA57" s="93"/>
      <c r="AB57" s="86"/>
      <c r="AC57" s="93"/>
      <c r="AD57" s="86"/>
      <c r="AE57" s="93"/>
      <c r="AF57" s="86"/>
      <c r="AG57" s="93"/>
      <c r="AH57" s="86"/>
      <c r="AI57" s="93"/>
      <c r="AJ57" s="86"/>
      <c r="AK57" s="93"/>
      <c r="AL57" s="86"/>
      <c r="AM57" s="75"/>
      <c r="AN57" s="75"/>
      <c r="AO57" s="75"/>
      <c r="AP57" s="75"/>
      <c r="AQ57" s="75"/>
      <c r="AR57" s="75"/>
      <c r="AS57" s="75"/>
      <c r="AT57" s="75"/>
    </row>
    <row r="58" spans="1:46" s="78" customFormat="1" ht="14.25">
      <c r="A58" s="75"/>
      <c r="B58" s="79"/>
      <c r="C58" s="75"/>
      <c r="F58" s="97"/>
      <c r="G58" s="97"/>
      <c r="H58" s="97"/>
      <c r="I58" s="93"/>
      <c r="J58" s="86"/>
      <c r="K58" s="93"/>
      <c r="L58" s="86"/>
      <c r="M58" s="86"/>
      <c r="N58" s="86"/>
      <c r="O58" s="93"/>
      <c r="P58" s="86"/>
      <c r="Q58" s="93"/>
      <c r="R58" s="86"/>
      <c r="S58" s="93"/>
      <c r="T58" s="86"/>
      <c r="U58" s="93"/>
      <c r="V58" s="86"/>
      <c r="W58" s="93"/>
      <c r="X58" s="86"/>
      <c r="Y58" s="93"/>
      <c r="Z58" s="86"/>
      <c r="AA58" s="93"/>
      <c r="AB58" s="86"/>
      <c r="AC58" s="93"/>
      <c r="AD58" s="86"/>
      <c r="AE58" s="93"/>
      <c r="AF58" s="86"/>
      <c r="AG58" s="93"/>
      <c r="AH58" s="86"/>
      <c r="AI58" s="93"/>
      <c r="AJ58" s="86"/>
      <c r="AK58" s="93"/>
      <c r="AL58" s="86"/>
      <c r="AM58" s="75"/>
      <c r="AN58" s="75"/>
      <c r="AO58" s="75"/>
      <c r="AP58" s="75"/>
      <c r="AQ58" s="75"/>
      <c r="AR58" s="75"/>
      <c r="AS58" s="75"/>
      <c r="AT58" s="75"/>
    </row>
    <row r="59" spans="1:46" s="78" customFormat="1" ht="14.25">
      <c r="A59" s="75"/>
      <c r="B59" s="79"/>
      <c r="C59" s="75"/>
      <c r="F59" s="97"/>
      <c r="G59" s="97"/>
      <c r="H59" s="97"/>
      <c r="I59" s="93"/>
      <c r="J59" s="86"/>
      <c r="K59" s="93"/>
      <c r="L59" s="86"/>
      <c r="M59" s="86"/>
      <c r="N59" s="86"/>
      <c r="O59" s="93"/>
      <c r="P59" s="86"/>
      <c r="Q59" s="93"/>
      <c r="R59" s="86"/>
      <c r="S59" s="93"/>
      <c r="T59" s="86"/>
      <c r="U59" s="93"/>
      <c r="V59" s="86"/>
      <c r="W59" s="93"/>
      <c r="X59" s="86"/>
      <c r="Y59" s="93"/>
      <c r="Z59" s="86"/>
      <c r="AA59" s="93"/>
      <c r="AB59" s="86"/>
      <c r="AC59" s="93"/>
      <c r="AD59" s="86"/>
      <c r="AE59" s="93"/>
      <c r="AF59" s="86"/>
      <c r="AG59" s="93"/>
      <c r="AH59" s="86"/>
      <c r="AI59" s="93"/>
      <c r="AJ59" s="86"/>
      <c r="AK59" s="93"/>
      <c r="AL59" s="86"/>
      <c r="AM59" s="75"/>
      <c r="AN59" s="75"/>
      <c r="AO59" s="75"/>
      <c r="AP59" s="75"/>
      <c r="AQ59" s="75"/>
      <c r="AR59" s="75"/>
      <c r="AS59" s="75"/>
      <c r="AT59" s="75"/>
    </row>
    <row r="60" spans="1:46" s="78" customFormat="1" ht="14.25">
      <c r="A60" s="75"/>
      <c r="B60" s="79"/>
      <c r="C60" s="75"/>
      <c r="F60" s="97"/>
      <c r="G60" s="97"/>
      <c r="H60" s="97"/>
      <c r="I60" s="93"/>
      <c r="J60" s="86"/>
      <c r="K60" s="93"/>
      <c r="L60" s="86"/>
      <c r="M60" s="86"/>
      <c r="N60" s="86"/>
      <c r="O60" s="93"/>
      <c r="P60" s="86"/>
      <c r="Q60" s="93"/>
      <c r="R60" s="86"/>
      <c r="S60" s="93"/>
      <c r="T60" s="86"/>
      <c r="U60" s="93"/>
      <c r="V60" s="86"/>
      <c r="W60" s="93"/>
      <c r="X60" s="86"/>
      <c r="Y60" s="93"/>
      <c r="Z60" s="86"/>
      <c r="AA60" s="93"/>
      <c r="AB60" s="86"/>
      <c r="AC60" s="93"/>
      <c r="AD60" s="86"/>
      <c r="AE60" s="93"/>
      <c r="AF60" s="86"/>
      <c r="AG60" s="93"/>
      <c r="AH60" s="86"/>
      <c r="AI60" s="93"/>
      <c r="AJ60" s="86"/>
      <c r="AK60" s="93"/>
      <c r="AL60" s="86"/>
      <c r="AM60" s="75"/>
      <c r="AN60" s="75"/>
      <c r="AO60" s="75"/>
      <c r="AP60" s="75"/>
      <c r="AQ60" s="75"/>
      <c r="AR60" s="75"/>
      <c r="AS60" s="75"/>
      <c r="AT60" s="75"/>
    </row>
    <row r="61" spans="1:46" s="78" customFormat="1" ht="14.25">
      <c r="A61" s="75"/>
      <c r="B61" s="79"/>
      <c r="C61" s="75"/>
      <c r="F61" s="97"/>
      <c r="G61" s="97"/>
      <c r="H61" s="97"/>
      <c r="I61" s="93"/>
      <c r="J61" s="86"/>
      <c r="K61" s="93"/>
      <c r="L61" s="86"/>
      <c r="M61" s="86"/>
      <c r="N61" s="86"/>
      <c r="O61" s="93"/>
      <c r="P61" s="86"/>
      <c r="Q61" s="93"/>
      <c r="R61" s="86"/>
      <c r="S61" s="93"/>
      <c r="T61" s="86"/>
      <c r="U61" s="93"/>
      <c r="V61" s="86"/>
      <c r="W61" s="93"/>
      <c r="X61" s="86"/>
      <c r="Y61" s="93"/>
      <c r="Z61" s="86"/>
      <c r="AA61" s="93"/>
      <c r="AB61" s="86"/>
      <c r="AC61" s="93"/>
      <c r="AD61" s="86"/>
      <c r="AE61" s="93"/>
      <c r="AF61" s="86"/>
      <c r="AG61" s="93"/>
      <c r="AH61" s="86"/>
      <c r="AI61" s="93"/>
      <c r="AJ61" s="86"/>
      <c r="AK61" s="93"/>
      <c r="AL61" s="86"/>
      <c r="AM61" s="75"/>
      <c r="AN61" s="75"/>
      <c r="AO61" s="75"/>
      <c r="AP61" s="75"/>
      <c r="AQ61" s="75"/>
      <c r="AR61" s="75"/>
      <c r="AS61" s="75"/>
      <c r="AT61" s="75"/>
    </row>
    <row r="62" spans="1:46" s="78" customFormat="1" ht="14.25">
      <c r="A62" s="75"/>
      <c r="B62" s="79"/>
      <c r="C62" s="75"/>
      <c r="F62" s="97"/>
      <c r="G62" s="97"/>
      <c r="H62" s="97"/>
      <c r="I62" s="93"/>
      <c r="J62" s="86"/>
      <c r="K62" s="93"/>
      <c r="L62" s="86"/>
      <c r="M62" s="86"/>
      <c r="N62" s="86"/>
      <c r="O62" s="93"/>
      <c r="P62" s="86"/>
      <c r="Q62" s="93"/>
      <c r="R62" s="86"/>
      <c r="S62" s="93"/>
      <c r="T62" s="86"/>
      <c r="U62" s="93"/>
      <c r="V62" s="86"/>
      <c r="W62" s="93"/>
      <c r="X62" s="86"/>
      <c r="Y62" s="93"/>
      <c r="Z62" s="86"/>
      <c r="AA62" s="93"/>
      <c r="AB62" s="86"/>
      <c r="AC62" s="93"/>
      <c r="AD62" s="86"/>
      <c r="AE62" s="93"/>
      <c r="AF62" s="86"/>
      <c r="AG62" s="93"/>
      <c r="AH62" s="86"/>
      <c r="AI62" s="93"/>
      <c r="AJ62" s="86"/>
      <c r="AK62" s="93"/>
      <c r="AL62" s="86"/>
      <c r="AM62" s="75"/>
      <c r="AN62" s="75"/>
      <c r="AO62" s="75"/>
      <c r="AP62" s="75"/>
      <c r="AQ62" s="75"/>
      <c r="AR62" s="75"/>
      <c r="AS62" s="75"/>
      <c r="AT62" s="75"/>
    </row>
    <row r="63" spans="1:46" s="78" customFormat="1" ht="14.25">
      <c r="A63" s="75"/>
      <c r="B63" s="79"/>
      <c r="C63" s="75"/>
      <c r="F63" s="97"/>
      <c r="G63" s="97"/>
      <c r="H63" s="97"/>
      <c r="I63" s="93"/>
      <c r="J63" s="86"/>
      <c r="K63" s="93"/>
      <c r="L63" s="86"/>
      <c r="M63" s="86"/>
      <c r="N63" s="86"/>
      <c r="O63" s="93"/>
      <c r="P63" s="86"/>
      <c r="Q63" s="93"/>
      <c r="R63" s="86"/>
      <c r="S63" s="93"/>
      <c r="T63" s="86"/>
      <c r="U63" s="93"/>
      <c r="V63" s="86"/>
      <c r="W63" s="93"/>
      <c r="X63" s="86"/>
      <c r="Y63" s="93"/>
      <c r="Z63" s="86"/>
      <c r="AA63" s="93"/>
      <c r="AB63" s="86"/>
      <c r="AC63" s="93"/>
      <c r="AD63" s="86"/>
      <c r="AE63" s="93"/>
      <c r="AF63" s="86"/>
      <c r="AG63" s="93"/>
      <c r="AH63" s="86"/>
      <c r="AI63" s="93"/>
      <c r="AJ63" s="86"/>
      <c r="AK63" s="93"/>
      <c r="AL63" s="86"/>
      <c r="AM63" s="75"/>
      <c r="AN63" s="75"/>
      <c r="AO63" s="75"/>
      <c r="AP63" s="75"/>
      <c r="AQ63" s="75"/>
      <c r="AR63" s="75"/>
      <c r="AS63" s="75"/>
      <c r="AT63" s="75"/>
    </row>
    <row r="64" spans="1:46" s="78" customFormat="1" ht="14.25">
      <c r="A64" s="75"/>
      <c r="B64" s="79"/>
      <c r="C64" s="75"/>
      <c r="F64" s="97"/>
      <c r="G64" s="97"/>
      <c r="H64" s="97"/>
      <c r="I64" s="93"/>
      <c r="J64" s="86"/>
      <c r="K64" s="93"/>
      <c r="L64" s="86"/>
      <c r="M64" s="86"/>
      <c r="N64" s="86"/>
      <c r="O64" s="93"/>
      <c r="P64" s="86"/>
      <c r="Q64" s="93"/>
      <c r="R64" s="86"/>
      <c r="S64" s="93"/>
      <c r="T64" s="86"/>
      <c r="U64" s="93"/>
      <c r="V64" s="86"/>
      <c r="W64" s="93"/>
      <c r="X64" s="86"/>
      <c r="Y64" s="93"/>
      <c r="Z64" s="86"/>
      <c r="AA64" s="93"/>
      <c r="AB64" s="86"/>
      <c r="AC64" s="93"/>
      <c r="AD64" s="86"/>
      <c r="AE64" s="93"/>
      <c r="AF64" s="86"/>
      <c r="AG64" s="93"/>
      <c r="AH64" s="86"/>
      <c r="AI64" s="93"/>
      <c r="AJ64" s="86"/>
      <c r="AK64" s="93"/>
      <c r="AL64" s="86"/>
      <c r="AM64" s="75"/>
      <c r="AN64" s="75"/>
      <c r="AO64" s="75"/>
      <c r="AP64" s="75"/>
      <c r="AQ64" s="75"/>
      <c r="AR64" s="75"/>
      <c r="AS64" s="75"/>
      <c r="AT64" s="75"/>
    </row>
    <row r="65" spans="1:46" s="78" customFormat="1" ht="14.25">
      <c r="A65" s="75"/>
      <c r="B65" s="79"/>
      <c r="C65" s="75"/>
      <c r="F65" s="97"/>
      <c r="G65" s="97"/>
      <c r="H65" s="97"/>
      <c r="I65" s="93"/>
      <c r="J65" s="86"/>
      <c r="K65" s="93"/>
      <c r="L65" s="86"/>
      <c r="M65" s="86"/>
      <c r="N65" s="86"/>
      <c r="O65" s="93"/>
      <c r="P65" s="86"/>
      <c r="Q65" s="93"/>
      <c r="R65" s="86"/>
      <c r="S65" s="93"/>
      <c r="T65" s="86"/>
      <c r="U65" s="93"/>
      <c r="V65" s="86"/>
      <c r="W65" s="93"/>
      <c r="X65" s="86"/>
      <c r="Y65" s="93"/>
      <c r="Z65" s="86"/>
      <c r="AA65" s="93"/>
      <c r="AB65" s="86"/>
      <c r="AC65" s="93"/>
      <c r="AD65" s="86"/>
      <c r="AE65" s="93"/>
      <c r="AF65" s="86"/>
      <c r="AG65" s="93"/>
      <c r="AH65" s="86"/>
      <c r="AI65" s="93"/>
      <c r="AJ65" s="86"/>
      <c r="AK65" s="93"/>
      <c r="AL65" s="86"/>
      <c r="AM65" s="75"/>
      <c r="AN65" s="75"/>
      <c r="AO65" s="75"/>
      <c r="AP65" s="75"/>
      <c r="AQ65" s="75"/>
      <c r="AR65" s="75"/>
      <c r="AS65" s="75"/>
      <c r="AT65" s="75"/>
    </row>
    <row r="66" spans="1:46" s="78" customFormat="1" ht="14.25">
      <c r="A66" s="75"/>
      <c r="B66" s="79"/>
      <c r="C66" s="75"/>
      <c r="F66" s="97"/>
      <c r="G66" s="97"/>
      <c r="H66" s="97"/>
      <c r="I66" s="93"/>
      <c r="J66" s="86"/>
      <c r="K66" s="93"/>
      <c r="L66" s="86"/>
      <c r="M66" s="86"/>
      <c r="N66" s="86"/>
      <c r="O66" s="93"/>
      <c r="P66" s="86"/>
      <c r="Q66" s="93"/>
      <c r="R66" s="86"/>
      <c r="S66" s="93"/>
      <c r="T66" s="86"/>
      <c r="U66" s="93"/>
      <c r="V66" s="86"/>
      <c r="W66" s="93"/>
      <c r="X66" s="86"/>
      <c r="Y66" s="93"/>
      <c r="Z66" s="86"/>
      <c r="AA66" s="93"/>
      <c r="AB66" s="86"/>
      <c r="AC66" s="93"/>
      <c r="AD66" s="86"/>
      <c r="AE66" s="93"/>
      <c r="AF66" s="86"/>
      <c r="AG66" s="93"/>
      <c r="AH66" s="86"/>
      <c r="AI66" s="93"/>
      <c r="AJ66" s="86"/>
      <c r="AK66" s="93"/>
      <c r="AL66" s="86"/>
      <c r="AM66" s="75"/>
      <c r="AN66" s="75"/>
      <c r="AO66" s="75"/>
      <c r="AP66" s="75"/>
      <c r="AQ66" s="75"/>
      <c r="AR66" s="75"/>
      <c r="AS66" s="75"/>
      <c r="AT66" s="75"/>
    </row>
    <row r="67" spans="1:46" s="78" customFormat="1" ht="14.25">
      <c r="A67" s="75"/>
      <c r="B67" s="79"/>
      <c r="C67" s="75"/>
      <c r="F67" s="97"/>
      <c r="G67" s="97"/>
      <c r="H67" s="97"/>
      <c r="I67" s="93"/>
      <c r="J67" s="86"/>
      <c r="K67" s="93"/>
      <c r="L67" s="86"/>
      <c r="M67" s="86"/>
      <c r="N67" s="86"/>
      <c r="O67" s="93"/>
      <c r="P67" s="86"/>
      <c r="Q67" s="93"/>
      <c r="R67" s="86"/>
      <c r="S67" s="93"/>
      <c r="T67" s="86"/>
      <c r="U67" s="93"/>
      <c r="V67" s="86"/>
      <c r="W67" s="93"/>
      <c r="X67" s="86"/>
      <c r="Y67" s="93"/>
      <c r="Z67" s="86"/>
      <c r="AA67" s="93"/>
      <c r="AB67" s="86"/>
      <c r="AC67" s="93"/>
      <c r="AD67" s="86"/>
      <c r="AE67" s="93"/>
      <c r="AF67" s="86"/>
      <c r="AG67" s="93"/>
      <c r="AH67" s="86"/>
      <c r="AI67" s="93"/>
      <c r="AJ67" s="86"/>
      <c r="AK67" s="93"/>
      <c r="AL67" s="86"/>
      <c r="AM67" s="75"/>
      <c r="AN67" s="75"/>
      <c r="AO67" s="75"/>
      <c r="AP67" s="75"/>
      <c r="AQ67" s="75"/>
      <c r="AR67" s="75"/>
      <c r="AS67" s="75"/>
      <c r="AT67" s="75"/>
    </row>
    <row r="68" spans="1:46" s="78" customFormat="1" ht="14.25">
      <c r="A68" s="75"/>
      <c r="B68" s="79"/>
      <c r="C68" s="75"/>
      <c r="F68" s="97"/>
      <c r="G68" s="97"/>
      <c r="H68" s="97"/>
      <c r="I68" s="93"/>
      <c r="J68" s="86"/>
      <c r="K68" s="93"/>
      <c r="L68" s="86"/>
      <c r="M68" s="86"/>
      <c r="N68" s="86"/>
      <c r="O68" s="93"/>
      <c r="P68" s="86"/>
      <c r="Q68" s="93"/>
      <c r="R68" s="86"/>
      <c r="S68" s="93"/>
      <c r="T68" s="86"/>
      <c r="U68" s="93"/>
      <c r="V68" s="86"/>
      <c r="W68" s="93"/>
      <c r="X68" s="86"/>
      <c r="Y68" s="93"/>
      <c r="Z68" s="86"/>
      <c r="AA68" s="93"/>
      <c r="AB68" s="86"/>
      <c r="AC68" s="93"/>
      <c r="AD68" s="86"/>
      <c r="AE68" s="93"/>
      <c r="AF68" s="86"/>
      <c r="AG68" s="93"/>
      <c r="AH68" s="86"/>
      <c r="AI68" s="93"/>
      <c r="AJ68" s="86"/>
      <c r="AK68" s="93"/>
      <c r="AL68" s="86"/>
      <c r="AM68" s="75"/>
      <c r="AN68" s="75"/>
      <c r="AO68" s="75"/>
      <c r="AP68" s="75"/>
      <c r="AQ68" s="75"/>
      <c r="AR68" s="75"/>
      <c r="AS68" s="75"/>
      <c r="AT68" s="75"/>
    </row>
    <row r="69" spans="1:46" s="78" customFormat="1" ht="14.25">
      <c r="A69" s="75"/>
      <c r="B69" s="79"/>
      <c r="C69" s="75"/>
      <c r="F69" s="97"/>
      <c r="G69" s="97"/>
      <c r="H69" s="97"/>
      <c r="I69" s="93"/>
      <c r="J69" s="86"/>
      <c r="K69" s="93"/>
      <c r="L69" s="86"/>
      <c r="M69" s="86"/>
      <c r="N69" s="86"/>
      <c r="O69" s="93"/>
      <c r="P69" s="86"/>
      <c r="Q69" s="93"/>
      <c r="R69" s="86"/>
      <c r="S69" s="93"/>
      <c r="T69" s="86"/>
      <c r="U69" s="93"/>
      <c r="V69" s="86"/>
      <c r="W69" s="93"/>
      <c r="X69" s="86"/>
      <c r="Y69" s="93"/>
      <c r="Z69" s="86"/>
      <c r="AA69" s="93"/>
      <c r="AB69" s="86"/>
      <c r="AC69" s="93"/>
      <c r="AD69" s="86"/>
      <c r="AE69" s="93"/>
      <c r="AF69" s="86"/>
      <c r="AG69" s="93"/>
      <c r="AH69" s="86"/>
      <c r="AI69" s="93"/>
      <c r="AJ69" s="86"/>
      <c r="AK69" s="93"/>
      <c r="AL69" s="86"/>
      <c r="AM69" s="75"/>
      <c r="AN69" s="75"/>
      <c r="AO69" s="75"/>
      <c r="AP69" s="75"/>
      <c r="AQ69" s="75"/>
      <c r="AR69" s="75"/>
      <c r="AS69" s="75"/>
      <c r="AT69" s="75"/>
    </row>
    <row r="70" spans="1:46" s="78" customFormat="1" ht="14.25">
      <c r="A70" s="75"/>
      <c r="B70" s="79"/>
      <c r="C70" s="75"/>
      <c r="F70" s="97"/>
      <c r="G70" s="97"/>
      <c r="H70" s="97"/>
      <c r="I70" s="93"/>
      <c r="J70" s="86"/>
      <c r="K70" s="93"/>
      <c r="L70" s="86"/>
      <c r="M70" s="86"/>
      <c r="N70" s="86"/>
      <c r="O70" s="93"/>
      <c r="P70" s="86"/>
      <c r="Q70" s="93"/>
      <c r="R70" s="86"/>
      <c r="S70" s="93"/>
      <c r="T70" s="86"/>
      <c r="U70" s="93"/>
      <c r="V70" s="86"/>
      <c r="W70" s="93"/>
      <c r="X70" s="86"/>
      <c r="Y70" s="93"/>
      <c r="Z70" s="86"/>
      <c r="AA70" s="93"/>
      <c r="AB70" s="86"/>
      <c r="AC70" s="93"/>
      <c r="AD70" s="86"/>
      <c r="AE70" s="93"/>
      <c r="AF70" s="86"/>
      <c r="AG70" s="93"/>
      <c r="AH70" s="86"/>
      <c r="AI70" s="93"/>
      <c r="AJ70" s="86"/>
      <c r="AK70" s="93"/>
      <c r="AL70" s="86"/>
      <c r="AM70" s="75"/>
      <c r="AN70" s="75"/>
      <c r="AO70" s="75"/>
      <c r="AP70" s="75"/>
      <c r="AQ70" s="75"/>
      <c r="AR70" s="75"/>
      <c r="AS70" s="75"/>
      <c r="AT70" s="75"/>
    </row>
    <row r="71" spans="1:46" s="78" customFormat="1" ht="14.25">
      <c r="A71" s="75"/>
      <c r="B71" s="79"/>
      <c r="C71" s="75"/>
      <c r="F71" s="97"/>
      <c r="G71" s="97"/>
      <c r="H71" s="97"/>
      <c r="I71" s="93"/>
      <c r="J71" s="86"/>
      <c r="K71" s="93"/>
      <c r="L71" s="86"/>
      <c r="M71" s="86"/>
      <c r="N71" s="86"/>
      <c r="O71" s="93"/>
      <c r="P71" s="86"/>
      <c r="Q71" s="93"/>
      <c r="R71" s="86"/>
      <c r="S71" s="93"/>
      <c r="T71" s="86"/>
      <c r="U71" s="93"/>
      <c r="V71" s="86"/>
      <c r="W71" s="93"/>
      <c r="X71" s="86"/>
      <c r="Y71" s="93"/>
      <c r="Z71" s="86"/>
      <c r="AA71" s="93"/>
      <c r="AB71" s="86"/>
      <c r="AC71" s="93"/>
      <c r="AD71" s="86"/>
      <c r="AE71" s="93"/>
      <c r="AF71" s="86"/>
      <c r="AG71" s="93"/>
      <c r="AH71" s="86"/>
      <c r="AI71" s="93"/>
      <c r="AJ71" s="86"/>
      <c r="AK71" s="93"/>
      <c r="AL71" s="86"/>
      <c r="AM71" s="75"/>
      <c r="AN71" s="75"/>
      <c r="AO71" s="75"/>
      <c r="AP71" s="75"/>
      <c r="AQ71" s="75"/>
      <c r="AR71" s="75"/>
      <c r="AS71" s="75"/>
      <c r="AT71" s="75"/>
    </row>
    <row r="72" spans="1:46" s="78" customFormat="1" ht="14.25">
      <c r="A72" s="75"/>
      <c r="B72" s="79"/>
      <c r="C72" s="75"/>
      <c r="F72" s="97"/>
      <c r="G72" s="97"/>
      <c r="H72" s="97"/>
      <c r="I72" s="93"/>
      <c r="J72" s="86"/>
      <c r="K72" s="93"/>
      <c r="L72" s="86"/>
      <c r="M72" s="86"/>
      <c r="N72" s="86"/>
      <c r="O72" s="93"/>
      <c r="P72" s="86"/>
      <c r="Q72" s="93"/>
      <c r="R72" s="86"/>
      <c r="S72" s="93"/>
      <c r="T72" s="86"/>
      <c r="U72" s="93"/>
      <c r="V72" s="86"/>
      <c r="W72" s="93"/>
      <c r="X72" s="86"/>
      <c r="Y72" s="93"/>
      <c r="Z72" s="86"/>
      <c r="AA72" s="93"/>
      <c r="AB72" s="86"/>
      <c r="AC72" s="93"/>
      <c r="AD72" s="86"/>
      <c r="AE72" s="93"/>
      <c r="AF72" s="86"/>
      <c r="AG72" s="93"/>
      <c r="AH72" s="86"/>
      <c r="AI72" s="93"/>
      <c r="AJ72" s="86"/>
      <c r="AK72" s="93"/>
      <c r="AL72" s="86"/>
      <c r="AM72" s="75"/>
      <c r="AN72" s="75"/>
      <c r="AO72" s="75"/>
      <c r="AP72" s="75"/>
      <c r="AQ72" s="75"/>
      <c r="AR72" s="75"/>
      <c r="AS72" s="75"/>
      <c r="AT72" s="75"/>
    </row>
    <row r="73" spans="1:46" s="78" customFormat="1" ht="14.25">
      <c r="A73" s="75"/>
      <c r="B73" s="79"/>
      <c r="C73" s="75"/>
      <c r="F73" s="97"/>
      <c r="G73" s="97"/>
      <c r="H73" s="97"/>
      <c r="I73" s="93"/>
      <c r="J73" s="86"/>
      <c r="K73" s="93"/>
      <c r="L73" s="86"/>
      <c r="M73" s="86"/>
      <c r="N73" s="86"/>
      <c r="O73" s="93"/>
      <c r="P73" s="86"/>
      <c r="Q73" s="93"/>
      <c r="R73" s="86"/>
      <c r="S73" s="93"/>
      <c r="T73" s="86"/>
      <c r="U73" s="93"/>
      <c r="V73" s="86"/>
      <c r="W73" s="93"/>
      <c r="X73" s="86"/>
      <c r="Y73" s="93"/>
      <c r="Z73" s="86"/>
      <c r="AA73" s="93"/>
      <c r="AB73" s="86"/>
      <c r="AC73" s="93"/>
      <c r="AD73" s="86"/>
      <c r="AE73" s="93"/>
      <c r="AF73" s="86"/>
      <c r="AG73" s="93"/>
      <c r="AH73" s="86"/>
      <c r="AI73" s="93"/>
      <c r="AJ73" s="86"/>
      <c r="AK73" s="93"/>
      <c r="AL73" s="86"/>
      <c r="AM73" s="75"/>
      <c r="AN73" s="75"/>
      <c r="AO73" s="75"/>
      <c r="AP73" s="75"/>
      <c r="AQ73" s="75"/>
      <c r="AR73" s="75"/>
      <c r="AS73" s="75"/>
      <c r="AT73" s="75"/>
    </row>
    <row r="74" spans="1:46" s="78" customFormat="1" ht="14.25">
      <c r="A74" s="75"/>
      <c r="B74" s="79"/>
      <c r="C74" s="75"/>
      <c r="F74" s="97"/>
      <c r="G74" s="97"/>
      <c r="H74" s="97"/>
      <c r="I74" s="93"/>
      <c r="J74" s="86"/>
      <c r="K74" s="93"/>
      <c r="L74" s="86"/>
      <c r="M74" s="86"/>
      <c r="N74" s="86"/>
      <c r="O74" s="93"/>
      <c r="P74" s="86"/>
      <c r="Q74" s="93"/>
      <c r="R74" s="86"/>
      <c r="S74" s="93"/>
      <c r="T74" s="86"/>
      <c r="U74" s="93"/>
      <c r="V74" s="86"/>
      <c r="W74" s="93"/>
      <c r="X74" s="86"/>
      <c r="Y74" s="93"/>
      <c r="Z74" s="86"/>
      <c r="AA74" s="93"/>
      <c r="AB74" s="86"/>
      <c r="AC74" s="93"/>
      <c r="AD74" s="86"/>
      <c r="AE74" s="93"/>
      <c r="AF74" s="86"/>
      <c r="AG74" s="93"/>
      <c r="AH74" s="86"/>
      <c r="AI74" s="93"/>
      <c r="AJ74" s="86"/>
      <c r="AK74" s="93"/>
      <c r="AL74" s="86"/>
      <c r="AM74" s="75"/>
      <c r="AN74" s="75"/>
      <c r="AO74" s="75"/>
      <c r="AP74" s="75"/>
      <c r="AQ74" s="75"/>
      <c r="AR74" s="75"/>
      <c r="AS74" s="75"/>
      <c r="AT74" s="75"/>
    </row>
    <row r="75" spans="1:46" s="78" customFormat="1" ht="14.25">
      <c r="A75" s="75"/>
      <c r="B75" s="79"/>
      <c r="C75" s="75"/>
      <c r="F75" s="97"/>
      <c r="G75" s="97"/>
      <c r="H75" s="97"/>
      <c r="I75" s="93"/>
      <c r="J75" s="86"/>
      <c r="K75" s="93"/>
      <c r="L75" s="86"/>
      <c r="M75" s="86"/>
      <c r="N75" s="86"/>
      <c r="O75" s="93"/>
      <c r="P75" s="86"/>
      <c r="Q75" s="93"/>
      <c r="R75" s="86"/>
      <c r="S75" s="93"/>
      <c r="T75" s="86"/>
      <c r="U75" s="93"/>
      <c r="V75" s="86"/>
      <c r="W75" s="93"/>
      <c r="X75" s="86"/>
      <c r="Y75" s="93"/>
      <c r="Z75" s="86"/>
      <c r="AA75" s="93"/>
      <c r="AB75" s="86"/>
      <c r="AC75" s="93"/>
      <c r="AD75" s="86"/>
      <c r="AE75" s="93"/>
      <c r="AF75" s="86"/>
      <c r="AG75" s="93"/>
      <c r="AH75" s="86"/>
      <c r="AI75" s="93"/>
      <c r="AJ75" s="86"/>
      <c r="AK75" s="93"/>
      <c r="AL75" s="86"/>
      <c r="AM75" s="75"/>
      <c r="AN75" s="75"/>
      <c r="AO75" s="75"/>
      <c r="AP75" s="75"/>
      <c r="AQ75" s="75"/>
      <c r="AR75" s="75"/>
      <c r="AS75" s="75"/>
      <c r="AT75" s="75"/>
    </row>
    <row r="76" spans="1:46" s="78" customFormat="1" ht="14.25">
      <c r="A76" s="75"/>
      <c r="B76" s="79"/>
      <c r="C76" s="75"/>
      <c r="F76" s="97"/>
      <c r="G76" s="97"/>
      <c r="H76" s="97"/>
      <c r="I76" s="93"/>
      <c r="J76" s="86"/>
      <c r="K76" s="93"/>
      <c r="L76" s="86"/>
      <c r="M76" s="86"/>
      <c r="N76" s="86"/>
      <c r="O76" s="93"/>
      <c r="P76" s="86"/>
      <c r="Q76" s="93"/>
      <c r="R76" s="86"/>
      <c r="S76" s="93"/>
      <c r="T76" s="86"/>
      <c r="U76" s="93"/>
      <c r="V76" s="86"/>
      <c r="W76" s="93"/>
      <c r="X76" s="86"/>
      <c r="Y76" s="93"/>
      <c r="Z76" s="86"/>
      <c r="AA76" s="93"/>
      <c r="AB76" s="86"/>
      <c r="AC76" s="93"/>
      <c r="AD76" s="86"/>
      <c r="AE76" s="93"/>
      <c r="AF76" s="86"/>
      <c r="AG76" s="93"/>
      <c r="AH76" s="86"/>
      <c r="AI76" s="93"/>
      <c r="AJ76" s="86"/>
      <c r="AK76" s="93"/>
      <c r="AL76" s="86"/>
      <c r="AM76" s="75"/>
      <c r="AN76" s="75"/>
      <c r="AO76" s="75"/>
      <c r="AP76" s="75"/>
      <c r="AQ76" s="75"/>
      <c r="AR76" s="75"/>
      <c r="AS76" s="75"/>
      <c r="AT76" s="75"/>
    </row>
    <row r="77" spans="1:46" s="78" customFormat="1" ht="14.25">
      <c r="A77" s="75"/>
      <c r="B77" s="79"/>
      <c r="C77" s="75"/>
      <c r="F77" s="97"/>
      <c r="G77" s="97"/>
      <c r="H77" s="97"/>
      <c r="I77" s="93"/>
      <c r="J77" s="86"/>
      <c r="K77" s="93"/>
      <c r="L77" s="86"/>
      <c r="M77" s="86"/>
      <c r="N77" s="86"/>
      <c r="O77" s="93"/>
      <c r="P77" s="86"/>
      <c r="Q77" s="93"/>
      <c r="R77" s="86"/>
      <c r="S77" s="93"/>
      <c r="T77" s="86"/>
      <c r="U77" s="93"/>
      <c r="V77" s="86"/>
      <c r="W77" s="93"/>
      <c r="X77" s="86"/>
      <c r="Y77" s="93"/>
      <c r="Z77" s="86"/>
      <c r="AA77" s="93"/>
      <c r="AB77" s="86"/>
      <c r="AC77" s="93"/>
      <c r="AD77" s="86"/>
      <c r="AE77" s="93"/>
      <c r="AF77" s="86"/>
      <c r="AG77" s="93"/>
      <c r="AH77" s="86"/>
      <c r="AI77" s="93"/>
      <c r="AJ77" s="86"/>
      <c r="AK77" s="93"/>
      <c r="AL77" s="86"/>
      <c r="AM77" s="75"/>
      <c r="AN77" s="75"/>
      <c r="AO77" s="75"/>
      <c r="AP77" s="75"/>
      <c r="AQ77" s="75"/>
      <c r="AR77" s="75"/>
      <c r="AS77" s="75"/>
      <c r="AT77" s="75"/>
    </row>
    <row r="78" spans="1:46" s="78" customFormat="1" ht="14.25">
      <c r="A78" s="75"/>
      <c r="B78" s="79"/>
      <c r="C78" s="75"/>
      <c r="F78" s="97"/>
      <c r="G78" s="97"/>
      <c r="H78" s="97"/>
      <c r="I78" s="93"/>
      <c r="J78" s="86"/>
      <c r="K78" s="93"/>
      <c r="L78" s="86"/>
      <c r="M78" s="86"/>
      <c r="N78" s="86"/>
      <c r="O78" s="93"/>
      <c r="P78" s="86"/>
      <c r="Q78" s="93"/>
      <c r="R78" s="86"/>
      <c r="S78" s="93"/>
      <c r="T78" s="86"/>
      <c r="U78" s="93"/>
      <c r="V78" s="86"/>
      <c r="W78" s="93"/>
      <c r="X78" s="86"/>
      <c r="Y78" s="93"/>
      <c r="Z78" s="86"/>
      <c r="AA78" s="93"/>
      <c r="AB78" s="86"/>
      <c r="AC78" s="93"/>
      <c r="AD78" s="86"/>
      <c r="AE78" s="93"/>
      <c r="AF78" s="86"/>
      <c r="AG78" s="93"/>
      <c r="AH78" s="86"/>
      <c r="AI78" s="93"/>
      <c r="AJ78" s="86"/>
      <c r="AK78" s="93"/>
      <c r="AL78" s="86"/>
      <c r="AM78" s="75"/>
      <c r="AN78" s="75"/>
      <c r="AO78" s="75"/>
      <c r="AP78" s="75"/>
      <c r="AQ78" s="75"/>
      <c r="AR78" s="75"/>
      <c r="AS78" s="75"/>
      <c r="AT78" s="75"/>
    </row>
    <row r="79" spans="1:46" s="78" customFormat="1" ht="14.25">
      <c r="A79" s="75"/>
      <c r="B79" s="79"/>
      <c r="C79" s="75"/>
      <c r="F79" s="97"/>
      <c r="G79" s="97"/>
      <c r="H79" s="97"/>
      <c r="I79" s="93"/>
      <c r="J79" s="86"/>
      <c r="K79" s="93"/>
      <c r="L79" s="86"/>
      <c r="M79" s="86"/>
      <c r="N79" s="86"/>
      <c r="O79" s="93"/>
      <c r="P79" s="86"/>
      <c r="Q79" s="93"/>
      <c r="R79" s="86"/>
      <c r="S79" s="93"/>
      <c r="T79" s="86"/>
      <c r="U79" s="93"/>
      <c r="V79" s="86"/>
      <c r="W79" s="93"/>
      <c r="X79" s="86"/>
      <c r="Y79" s="93"/>
      <c r="Z79" s="86"/>
      <c r="AA79" s="93"/>
      <c r="AB79" s="86"/>
      <c r="AC79" s="93"/>
      <c r="AD79" s="86"/>
      <c r="AE79" s="93"/>
      <c r="AF79" s="86"/>
      <c r="AG79" s="93"/>
      <c r="AH79" s="86"/>
      <c r="AI79" s="93"/>
      <c r="AJ79" s="86"/>
      <c r="AK79" s="93"/>
      <c r="AL79" s="86"/>
      <c r="AM79" s="75"/>
      <c r="AN79" s="75"/>
      <c r="AO79" s="75"/>
      <c r="AP79" s="75"/>
      <c r="AQ79" s="75"/>
      <c r="AR79" s="75"/>
      <c r="AS79" s="75"/>
      <c r="AT79" s="75"/>
    </row>
    <row r="80" spans="1:46" s="78" customFormat="1" ht="14.25">
      <c r="A80" s="75"/>
      <c r="B80" s="79"/>
      <c r="C80" s="75"/>
      <c r="F80" s="97"/>
      <c r="G80" s="97"/>
      <c r="H80" s="97"/>
      <c r="I80" s="93"/>
      <c r="J80" s="86"/>
      <c r="K80" s="93"/>
      <c r="L80" s="86"/>
      <c r="M80" s="86"/>
      <c r="N80" s="86"/>
      <c r="O80" s="93"/>
      <c r="P80" s="86"/>
      <c r="Q80" s="93"/>
      <c r="R80" s="86"/>
      <c r="S80" s="93"/>
      <c r="T80" s="86"/>
      <c r="U80" s="93"/>
      <c r="V80" s="86"/>
      <c r="W80" s="93"/>
      <c r="X80" s="86"/>
      <c r="Y80" s="93"/>
      <c r="Z80" s="86"/>
      <c r="AA80" s="93"/>
      <c r="AB80" s="86"/>
      <c r="AC80" s="93"/>
      <c r="AD80" s="86"/>
      <c r="AE80" s="93"/>
      <c r="AF80" s="86"/>
      <c r="AG80" s="93"/>
      <c r="AH80" s="86"/>
      <c r="AI80" s="93"/>
      <c r="AJ80" s="86"/>
      <c r="AK80" s="93"/>
      <c r="AL80" s="86"/>
      <c r="AM80" s="75"/>
      <c r="AN80" s="75"/>
      <c r="AO80" s="75"/>
      <c r="AP80" s="75"/>
      <c r="AQ80" s="75"/>
      <c r="AR80" s="75"/>
      <c r="AS80" s="75"/>
      <c r="AT80" s="75"/>
    </row>
    <row r="81" spans="1:46" s="78" customFormat="1" ht="14.25">
      <c r="A81" s="75"/>
      <c r="B81" s="79"/>
      <c r="C81" s="75"/>
      <c r="F81" s="97"/>
      <c r="G81" s="97"/>
      <c r="H81" s="97"/>
      <c r="I81" s="93"/>
      <c r="J81" s="86"/>
      <c r="K81" s="93"/>
      <c r="L81" s="86"/>
      <c r="M81" s="86"/>
      <c r="N81" s="86"/>
      <c r="O81" s="93"/>
      <c r="P81" s="86"/>
      <c r="Q81" s="93"/>
      <c r="R81" s="86"/>
      <c r="S81" s="93"/>
      <c r="T81" s="86"/>
      <c r="U81" s="93"/>
      <c r="V81" s="86"/>
      <c r="W81" s="93"/>
      <c r="X81" s="86"/>
      <c r="Y81" s="93"/>
      <c r="Z81" s="86"/>
      <c r="AA81" s="93"/>
      <c r="AB81" s="86"/>
      <c r="AC81" s="93"/>
      <c r="AD81" s="86"/>
      <c r="AE81" s="93"/>
      <c r="AF81" s="86"/>
      <c r="AG81" s="93"/>
      <c r="AH81" s="86"/>
      <c r="AI81" s="93"/>
      <c r="AJ81" s="86"/>
      <c r="AK81" s="93"/>
      <c r="AL81" s="86"/>
      <c r="AM81" s="75"/>
      <c r="AN81" s="75"/>
      <c r="AO81" s="75"/>
      <c r="AP81" s="75"/>
      <c r="AQ81" s="75"/>
      <c r="AR81" s="75"/>
      <c r="AS81" s="75"/>
      <c r="AT81" s="75"/>
    </row>
    <row r="82" spans="1:46" s="78" customFormat="1" ht="14.25">
      <c r="A82" s="75"/>
      <c r="B82" s="79"/>
      <c r="C82" s="75"/>
      <c r="F82" s="97"/>
      <c r="G82" s="97"/>
      <c r="H82" s="97"/>
      <c r="I82" s="93"/>
      <c r="J82" s="86"/>
      <c r="K82" s="93"/>
      <c r="L82" s="86"/>
      <c r="M82" s="86"/>
      <c r="N82" s="86"/>
      <c r="O82" s="93"/>
      <c r="P82" s="86"/>
      <c r="Q82" s="93"/>
      <c r="R82" s="86"/>
      <c r="S82" s="93"/>
      <c r="T82" s="86"/>
      <c r="U82" s="93"/>
      <c r="V82" s="86"/>
      <c r="W82" s="93"/>
      <c r="X82" s="86"/>
      <c r="Y82" s="93"/>
      <c r="Z82" s="86"/>
      <c r="AA82" s="93"/>
      <c r="AB82" s="86"/>
      <c r="AC82" s="93"/>
      <c r="AD82" s="86"/>
      <c r="AE82" s="93"/>
      <c r="AF82" s="86"/>
      <c r="AG82" s="93"/>
      <c r="AH82" s="86"/>
      <c r="AI82" s="93"/>
      <c r="AJ82" s="86"/>
      <c r="AK82" s="93"/>
      <c r="AL82" s="86"/>
      <c r="AM82" s="75"/>
      <c r="AN82" s="75"/>
      <c r="AO82" s="75"/>
      <c r="AP82" s="75"/>
      <c r="AQ82" s="75"/>
      <c r="AR82" s="75"/>
      <c r="AS82" s="75"/>
      <c r="AT82" s="75"/>
    </row>
    <row r="83" spans="1:46" s="78" customFormat="1" ht="14.25">
      <c r="A83" s="75"/>
      <c r="B83" s="79"/>
      <c r="C83" s="75"/>
      <c r="F83" s="97"/>
      <c r="G83" s="97"/>
      <c r="H83" s="97"/>
      <c r="I83" s="93"/>
      <c r="J83" s="86"/>
      <c r="K83" s="93"/>
      <c r="L83" s="86"/>
      <c r="M83" s="86"/>
      <c r="N83" s="86"/>
      <c r="O83" s="93"/>
      <c r="P83" s="86"/>
      <c r="Q83" s="93"/>
      <c r="R83" s="86"/>
      <c r="S83" s="93"/>
      <c r="T83" s="86"/>
      <c r="U83" s="93"/>
      <c r="V83" s="86"/>
      <c r="W83" s="93"/>
      <c r="X83" s="86"/>
      <c r="Y83" s="93"/>
      <c r="Z83" s="86"/>
      <c r="AA83" s="93"/>
      <c r="AB83" s="86"/>
      <c r="AC83" s="93"/>
      <c r="AD83" s="86"/>
      <c r="AE83" s="93"/>
      <c r="AF83" s="86"/>
      <c r="AG83" s="93"/>
      <c r="AH83" s="86"/>
      <c r="AI83" s="93"/>
      <c r="AJ83" s="86"/>
      <c r="AK83" s="93"/>
      <c r="AL83" s="86"/>
      <c r="AM83" s="75"/>
      <c r="AN83" s="75"/>
      <c r="AO83" s="75"/>
      <c r="AP83" s="75"/>
      <c r="AQ83" s="75"/>
      <c r="AR83" s="75"/>
      <c r="AS83" s="75"/>
      <c r="AT83" s="75"/>
    </row>
    <row r="84" spans="1:46" s="78" customFormat="1" ht="14.25">
      <c r="A84" s="75"/>
      <c r="B84" s="79"/>
      <c r="C84" s="75"/>
      <c r="F84" s="97"/>
      <c r="G84" s="97"/>
      <c r="H84" s="97"/>
      <c r="I84" s="93"/>
      <c r="J84" s="86"/>
      <c r="K84" s="93"/>
      <c r="L84" s="86"/>
      <c r="M84" s="86"/>
      <c r="N84" s="86"/>
      <c r="O84" s="93"/>
      <c r="P84" s="86"/>
      <c r="Q84" s="93"/>
      <c r="R84" s="86"/>
      <c r="S84" s="93"/>
      <c r="T84" s="86"/>
      <c r="U84" s="93"/>
      <c r="V84" s="86"/>
      <c r="W84" s="93"/>
      <c r="X84" s="86"/>
      <c r="Y84" s="93"/>
      <c r="Z84" s="86"/>
      <c r="AA84" s="93"/>
      <c r="AB84" s="86"/>
      <c r="AC84" s="93"/>
      <c r="AD84" s="86"/>
      <c r="AE84" s="93"/>
      <c r="AF84" s="86"/>
      <c r="AG84" s="93"/>
      <c r="AH84" s="86"/>
      <c r="AI84" s="93"/>
      <c r="AJ84" s="86"/>
      <c r="AK84" s="93"/>
      <c r="AL84" s="86"/>
      <c r="AM84" s="75"/>
      <c r="AN84" s="75"/>
      <c r="AO84" s="75"/>
      <c r="AP84" s="75"/>
      <c r="AQ84" s="75"/>
      <c r="AR84" s="75"/>
      <c r="AS84" s="75"/>
      <c r="AT84" s="75"/>
    </row>
    <row r="85" spans="1:46" s="78" customFormat="1" ht="14.25">
      <c r="A85" s="75"/>
      <c r="B85" s="79"/>
      <c r="C85" s="75"/>
      <c r="F85" s="97"/>
      <c r="G85" s="97"/>
      <c r="H85" s="97"/>
      <c r="I85" s="93"/>
      <c r="J85" s="86"/>
      <c r="K85" s="93"/>
      <c r="L85" s="86"/>
      <c r="M85" s="86"/>
      <c r="N85" s="86"/>
      <c r="O85" s="93"/>
      <c r="P85" s="86"/>
      <c r="Q85" s="93"/>
      <c r="R85" s="86"/>
      <c r="S85" s="93"/>
      <c r="T85" s="86"/>
      <c r="U85" s="93"/>
      <c r="V85" s="86"/>
      <c r="W85" s="93"/>
      <c r="X85" s="86"/>
      <c r="Y85" s="93"/>
      <c r="Z85" s="86"/>
      <c r="AA85" s="93"/>
      <c r="AB85" s="86"/>
      <c r="AC85" s="93"/>
      <c r="AD85" s="86"/>
      <c r="AE85" s="93"/>
      <c r="AF85" s="86"/>
      <c r="AG85" s="93"/>
      <c r="AH85" s="86"/>
      <c r="AI85" s="93"/>
      <c r="AJ85" s="86"/>
      <c r="AK85" s="93"/>
      <c r="AL85" s="86"/>
      <c r="AM85" s="75"/>
      <c r="AN85" s="75"/>
      <c r="AO85" s="75"/>
      <c r="AP85" s="75"/>
      <c r="AQ85" s="75"/>
      <c r="AR85" s="75"/>
      <c r="AS85" s="75"/>
      <c r="AT85" s="75"/>
    </row>
    <row r="86" spans="1:46" s="78" customFormat="1" ht="14.25">
      <c r="A86" s="75"/>
      <c r="B86" s="79"/>
      <c r="C86" s="75"/>
      <c r="F86" s="97"/>
      <c r="G86" s="97"/>
      <c r="H86" s="97"/>
      <c r="I86" s="93"/>
      <c r="J86" s="86"/>
      <c r="K86" s="93"/>
      <c r="L86" s="86"/>
      <c r="M86" s="86"/>
      <c r="N86" s="86"/>
      <c r="O86" s="93"/>
      <c r="P86" s="86"/>
      <c r="Q86" s="93"/>
      <c r="R86" s="86"/>
      <c r="S86" s="93"/>
      <c r="T86" s="86"/>
      <c r="U86" s="93"/>
      <c r="V86" s="86"/>
      <c r="W86" s="93"/>
      <c r="X86" s="86"/>
      <c r="Y86" s="93"/>
      <c r="Z86" s="86"/>
      <c r="AA86" s="93"/>
      <c r="AB86" s="86"/>
      <c r="AC86" s="93"/>
      <c r="AD86" s="86"/>
      <c r="AE86" s="93"/>
      <c r="AF86" s="86"/>
      <c r="AG86" s="93"/>
      <c r="AH86" s="86"/>
      <c r="AI86" s="93"/>
      <c r="AJ86" s="86"/>
      <c r="AK86" s="93"/>
      <c r="AL86" s="86"/>
      <c r="AM86" s="75"/>
      <c r="AN86" s="75"/>
      <c r="AO86" s="75"/>
      <c r="AP86" s="75"/>
      <c r="AQ86" s="75"/>
      <c r="AR86" s="75"/>
      <c r="AS86" s="75"/>
      <c r="AT86" s="75"/>
    </row>
    <row r="87" spans="1:46" s="78" customFormat="1" ht="14.25">
      <c r="A87" s="75"/>
      <c r="B87" s="79"/>
      <c r="C87" s="75"/>
      <c r="F87" s="97"/>
      <c r="G87" s="97"/>
      <c r="H87" s="97"/>
      <c r="I87" s="93"/>
      <c r="J87" s="86"/>
      <c r="K87" s="93"/>
      <c r="L87" s="86"/>
      <c r="M87" s="86"/>
      <c r="N87" s="86"/>
      <c r="O87" s="93"/>
      <c r="P87" s="86"/>
      <c r="Q87" s="93"/>
      <c r="R87" s="86"/>
      <c r="S87" s="93"/>
      <c r="T87" s="86"/>
      <c r="U87" s="93"/>
      <c r="V87" s="86"/>
      <c r="W87" s="93"/>
      <c r="X87" s="86"/>
      <c r="Y87" s="93"/>
      <c r="Z87" s="86"/>
      <c r="AA87" s="93"/>
      <c r="AB87" s="86"/>
      <c r="AC87" s="93"/>
      <c r="AD87" s="86"/>
      <c r="AE87" s="93"/>
      <c r="AF87" s="86"/>
      <c r="AG87" s="93"/>
      <c r="AH87" s="86"/>
      <c r="AI87" s="93"/>
      <c r="AJ87" s="86"/>
      <c r="AK87" s="93"/>
      <c r="AL87" s="86"/>
      <c r="AM87" s="75"/>
      <c r="AN87" s="75"/>
      <c r="AO87" s="75"/>
      <c r="AP87" s="75"/>
      <c r="AQ87" s="75"/>
      <c r="AR87" s="75"/>
      <c r="AS87" s="75"/>
      <c r="AT87" s="75"/>
    </row>
    <row r="88" spans="1:46" s="78" customFormat="1" ht="14.25">
      <c r="A88" s="75"/>
      <c r="B88" s="79"/>
      <c r="C88" s="75"/>
      <c r="F88" s="97"/>
      <c r="G88" s="97"/>
      <c r="H88" s="97"/>
      <c r="I88" s="93"/>
      <c r="J88" s="86"/>
      <c r="K88" s="93"/>
      <c r="L88" s="86"/>
      <c r="M88" s="86"/>
      <c r="N88" s="86"/>
      <c r="O88" s="93"/>
      <c r="P88" s="86"/>
      <c r="Q88" s="93"/>
      <c r="R88" s="86"/>
      <c r="S88" s="93"/>
      <c r="T88" s="86"/>
      <c r="U88" s="93"/>
      <c r="V88" s="86"/>
      <c r="W88" s="93"/>
      <c r="X88" s="86"/>
      <c r="Y88" s="93"/>
      <c r="Z88" s="86"/>
      <c r="AA88" s="93"/>
      <c r="AB88" s="86"/>
      <c r="AC88" s="93"/>
      <c r="AD88" s="86"/>
      <c r="AE88" s="93"/>
      <c r="AF88" s="86"/>
      <c r="AG88" s="93"/>
      <c r="AH88" s="86"/>
      <c r="AI88" s="93"/>
      <c r="AJ88" s="86"/>
      <c r="AK88" s="93"/>
      <c r="AL88" s="86"/>
      <c r="AM88" s="75"/>
      <c r="AN88" s="75"/>
      <c r="AO88" s="75"/>
      <c r="AP88" s="75"/>
      <c r="AQ88" s="75"/>
      <c r="AR88" s="75"/>
      <c r="AS88" s="75"/>
      <c r="AT88" s="75"/>
    </row>
    <row r="89" spans="1:46" s="78" customFormat="1" ht="14.25">
      <c r="A89" s="75"/>
      <c r="B89" s="79"/>
      <c r="C89" s="75"/>
      <c r="F89" s="97"/>
      <c r="G89" s="97"/>
      <c r="H89" s="97"/>
      <c r="I89" s="93"/>
      <c r="J89" s="86"/>
      <c r="K89" s="93"/>
      <c r="L89" s="86"/>
      <c r="M89" s="86"/>
      <c r="N89" s="86"/>
      <c r="O89" s="93"/>
      <c r="P89" s="86"/>
      <c r="Q89" s="93"/>
      <c r="R89" s="86"/>
      <c r="S89" s="93"/>
      <c r="T89" s="86"/>
      <c r="U89" s="93"/>
      <c r="V89" s="86"/>
      <c r="W89" s="93"/>
      <c r="X89" s="86"/>
      <c r="Y89" s="93"/>
      <c r="Z89" s="86"/>
      <c r="AA89" s="93"/>
      <c r="AB89" s="86"/>
      <c r="AC89" s="93"/>
      <c r="AD89" s="86"/>
      <c r="AE89" s="93"/>
      <c r="AF89" s="86"/>
      <c r="AG89" s="93"/>
      <c r="AH89" s="86"/>
      <c r="AI89" s="93"/>
      <c r="AJ89" s="86"/>
      <c r="AK89" s="93"/>
      <c r="AL89" s="86"/>
      <c r="AM89" s="75"/>
      <c r="AN89" s="75"/>
      <c r="AO89" s="75"/>
      <c r="AP89" s="75"/>
      <c r="AQ89" s="75"/>
      <c r="AR89" s="75"/>
      <c r="AS89" s="75"/>
      <c r="AT89" s="75"/>
    </row>
    <row r="90" spans="1:46" s="78" customFormat="1" ht="14.25">
      <c r="A90" s="75"/>
      <c r="B90" s="79"/>
      <c r="C90" s="75"/>
      <c r="F90" s="97"/>
      <c r="G90" s="97"/>
      <c r="H90" s="97"/>
      <c r="I90" s="93"/>
      <c r="J90" s="86"/>
      <c r="K90" s="93"/>
      <c r="L90" s="86"/>
      <c r="M90" s="86"/>
      <c r="N90" s="86"/>
      <c r="O90" s="93"/>
      <c r="P90" s="86"/>
      <c r="Q90" s="93"/>
      <c r="R90" s="86"/>
      <c r="S90" s="93"/>
      <c r="T90" s="86"/>
      <c r="U90" s="93"/>
      <c r="V90" s="86"/>
      <c r="W90" s="93"/>
      <c r="X90" s="86"/>
      <c r="Y90" s="93"/>
      <c r="Z90" s="86"/>
      <c r="AA90" s="93"/>
      <c r="AB90" s="86"/>
      <c r="AC90" s="93"/>
      <c r="AD90" s="86"/>
      <c r="AE90" s="93"/>
      <c r="AF90" s="86"/>
      <c r="AG90" s="93"/>
      <c r="AH90" s="86"/>
      <c r="AI90" s="93"/>
      <c r="AJ90" s="86"/>
      <c r="AK90" s="93"/>
      <c r="AL90" s="86"/>
      <c r="AM90" s="75"/>
      <c r="AN90" s="75"/>
      <c r="AO90" s="75"/>
      <c r="AP90" s="75"/>
      <c r="AQ90" s="75"/>
      <c r="AR90" s="75"/>
      <c r="AS90" s="75"/>
      <c r="AT90" s="75"/>
    </row>
    <row r="91" spans="1:46" s="78" customFormat="1" ht="14.25">
      <c r="A91" s="75"/>
      <c r="B91" s="79"/>
      <c r="C91" s="75"/>
      <c r="F91" s="97"/>
      <c r="G91" s="97"/>
      <c r="H91" s="97"/>
      <c r="I91" s="93"/>
      <c r="J91" s="86"/>
      <c r="K91" s="93"/>
      <c r="L91" s="86"/>
      <c r="M91" s="86"/>
      <c r="N91" s="86"/>
      <c r="O91" s="93"/>
      <c r="P91" s="86"/>
      <c r="Q91" s="93"/>
      <c r="R91" s="86"/>
      <c r="S91" s="93"/>
      <c r="T91" s="86"/>
      <c r="U91" s="93"/>
      <c r="V91" s="86"/>
      <c r="W91" s="93"/>
      <c r="X91" s="86"/>
      <c r="Y91" s="93"/>
      <c r="Z91" s="86"/>
      <c r="AA91" s="93"/>
      <c r="AB91" s="86"/>
      <c r="AC91" s="93"/>
      <c r="AD91" s="86"/>
      <c r="AE91" s="93"/>
      <c r="AF91" s="86"/>
      <c r="AG91" s="93"/>
      <c r="AH91" s="86"/>
      <c r="AI91" s="93"/>
      <c r="AJ91" s="86"/>
      <c r="AK91" s="93"/>
      <c r="AL91" s="86"/>
      <c r="AM91" s="75"/>
      <c r="AN91" s="75"/>
      <c r="AO91" s="75"/>
      <c r="AP91" s="75"/>
      <c r="AQ91" s="75"/>
      <c r="AR91" s="75"/>
      <c r="AS91" s="75"/>
      <c r="AT91" s="75"/>
    </row>
    <row r="92" spans="1:46" s="78" customFormat="1" ht="14.25">
      <c r="A92" s="75"/>
      <c r="B92" s="79"/>
      <c r="C92" s="75"/>
      <c r="F92" s="97"/>
      <c r="G92" s="97"/>
      <c r="H92" s="97"/>
      <c r="I92" s="93"/>
      <c r="J92" s="86"/>
      <c r="K92" s="93"/>
      <c r="L92" s="86"/>
      <c r="M92" s="86"/>
      <c r="N92" s="86"/>
      <c r="O92" s="93"/>
      <c r="P92" s="86"/>
      <c r="Q92" s="93"/>
      <c r="R92" s="86"/>
      <c r="S92" s="93"/>
      <c r="T92" s="86"/>
      <c r="U92" s="93"/>
      <c r="V92" s="86"/>
      <c r="W92" s="93"/>
      <c r="X92" s="86"/>
      <c r="Y92" s="93"/>
      <c r="Z92" s="86"/>
      <c r="AA92" s="93"/>
      <c r="AB92" s="86"/>
      <c r="AC92" s="93"/>
      <c r="AD92" s="86"/>
      <c r="AE92" s="93"/>
      <c r="AF92" s="86"/>
      <c r="AG92" s="93"/>
      <c r="AH92" s="86"/>
      <c r="AI92" s="93"/>
      <c r="AJ92" s="86"/>
      <c r="AK92" s="93"/>
      <c r="AL92" s="86"/>
      <c r="AM92" s="75"/>
      <c r="AN92" s="75"/>
      <c r="AO92" s="75"/>
      <c r="AP92" s="75"/>
      <c r="AQ92" s="75"/>
      <c r="AR92" s="75"/>
      <c r="AS92" s="75"/>
      <c r="AT92" s="75"/>
    </row>
    <row r="93" spans="1:46" s="78" customFormat="1" ht="14.25">
      <c r="A93" s="75"/>
      <c r="B93" s="79"/>
      <c r="C93" s="75"/>
      <c r="F93" s="97"/>
      <c r="G93" s="97"/>
      <c r="H93" s="97"/>
      <c r="I93" s="93"/>
      <c r="J93" s="86"/>
      <c r="K93" s="93"/>
      <c r="L93" s="86"/>
      <c r="M93" s="86"/>
      <c r="N93" s="86"/>
      <c r="O93" s="93"/>
      <c r="P93" s="86"/>
      <c r="Q93" s="93"/>
      <c r="R93" s="86"/>
      <c r="S93" s="93"/>
      <c r="T93" s="86"/>
      <c r="U93" s="93"/>
      <c r="V93" s="86"/>
      <c r="W93" s="93"/>
      <c r="X93" s="86"/>
      <c r="Y93" s="93"/>
      <c r="Z93" s="86"/>
      <c r="AA93" s="93"/>
      <c r="AB93" s="86"/>
      <c r="AC93" s="93"/>
      <c r="AD93" s="86"/>
      <c r="AE93" s="93"/>
      <c r="AF93" s="86"/>
      <c r="AG93" s="93"/>
      <c r="AH93" s="86"/>
      <c r="AI93" s="93"/>
      <c r="AJ93" s="86"/>
      <c r="AK93" s="93"/>
      <c r="AL93" s="86"/>
      <c r="AM93" s="75"/>
      <c r="AN93" s="75"/>
      <c r="AO93" s="75"/>
      <c r="AP93" s="75"/>
      <c r="AQ93" s="75"/>
      <c r="AR93" s="75"/>
      <c r="AS93" s="75"/>
      <c r="AT93" s="75"/>
    </row>
    <row r="94" spans="1:46" s="78" customFormat="1" ht="14.25">
      <c r="A94" s="75"/>
      <c r="B94" s="79"/>
      <c r="C94" s="75"/>
      <c r="F94" s="97"/>
      <c r="G94" s="97"/>
      <c r="H94" s="97"/>
      <c r="I94" s="93"/>
      <c r="J94" s="86"/>
      <c r="K94" s="93"/>
      <c r="L94" s="86"/>
      <c r="M94" s="86"/>
      <c r="N94" s="86"/>
      <c r="O94" s="93"/>
      <c r="P94" s="86"/>
      <c r="Q94" s="93"/>
      <c r="R94" s="86"/>
      <c r="S94" s="93"/>
      <c r="T94" s="86"/>
      <c r="U94" s="93"/>
      <c r="V94" s="86"/>
      <c r="W94" s="93"/>
      <c r="X94" s="86"/>
      <c r="Y94" s="93"/>
      <c r="Z94" s="86"/>
      <c r="AA94" s="93"/>
      <c r="AB94" s="86"/>
      <c r="AC94" s="93"/>
      <c r="AD94" s="86"/>
      <c r="AE94" s="93"/>
      <c r="AF94" s="86"/>
      <c r="AG94" s="93"/>
      <c r="AH94" s="86"/>
      <c r="AI94" s="93"/>
      <c r="AJ94" s="86"/>
      <c r="AK94" s="93"/>
      <c r="AL94" s="86"/>
      <c r="AM94" s="75"/>
      <c r="AN94" s="75"/>
      <c r="AO94" s="75"/>
      <c r="AP94" s="75"/>
      <c r="AQ94" s="75"/>
      <c r="AR94" s="75"/>
      <c r="AS94" s="75"/>
      <c r="AT94" s="75"/>
    </row>
    <row r="95" spans="1:46" s="78" customFormat="1" ht="14.25">
      <c r="A95" s="75"/>
      <c r="B95" s="79"/>
      <c r="C95" s="75"/>
      <c r="F95" s="97"/>
      <c r="G95" s="97"/>
      <c r="H95" s="97"/>
      <c r="I95" s="93"/>
      <c r="J95" s="86"/>
      <c r="K95" s="93"/>
      <c r="L95" s="86"/>
      <c r="M95" s="86"/>
      <c r="N95" s="86"/>
      <c r="O95" s="93"/>
      <c r="P95" s="86"/>
      <c r="Q95" s="93"/>
      <c r="R95" s="86"/>
      <c r="S95" s="93"/>
      <c r="T95" s="86"/>
      <c r="U95" s="93"/>
      <c r="V95" s="86"/>
      <c r="W95" s="93"/>
      <c r="X95" s="86"/>
      <c r="Y95" s="93"/>
      <c r="Z95" s="86"/>
      <c r="AA95" s="93"/>
      <c r="AB95" s="86"/>
      <c r="AC95" s="93"/>
      <c r="AD95" s="86"/>
      <c r="AE95" s="93"/>
      <c r="AF95" s="86"/>
      <c r="AG95" s="93"/>
      <c r="AH95" s="86"/>
      <c r="AI95" s="93"/>
      <c r="AJ95" s="86"/>
      <c r="AK95" s="93"/>
      <c r="AL95" s="86"/>
      <c r="AM95" s="75"/>
      <c r="AN95" s="75"/>
      <c r="AO95" s="75"/>
      <c r="AP95" s="75"/>
      <c r="AQ95" s="75"/>
      <c r="AR95" s="75"/>
      <c r="AS95" s="75"/>
      <c r="AT95" s="75"/>
    </row>
    <row r="96" spans="1:46" s="78" customFormat="1" ht="14.25">
      <c r="A96" s="75"/>
      <c r="B96" s="79"/>
      <c r="C96" s="75"/>
      <c r="F96" s="97"/>
      <c r="G96" s="97"/>
      <c r="H96" s="97"/>
      <c r="I96" s="93"/>
      <c r="J96" s="86"/>
      <c r="K96" s="93"/>
      <c r="L96" s="86"/>
      <c r="M96" s="86"/>
      <c r="N96" s="86"/>
      <c r="O96" s="93"/>
      <c r="P96" s="86"/>
      <c r="Q96" s="93"/>
      <c r="R96" s="86"/>
      <c r="S96" s="93"/>
      <c r="T96" s="86"/>
      <c r="U96" s="93"/>
      <c r="V96" s="86"/>
      <c r="W96" s="93"/>
      <c r="X96" s="86"/>
      <c r="Y96" s="93"/>
      <c r="Z96" s="86"/>
      <c r="AA96" s="93"/>
      <c r="AB96" s="86"/>
      <c r="AC96" s="93"/>
      <c r="AD96" s="86"/>
      <c r="AE96" s="93"/>
      <c r="AF96" s="86"/>
      <c r="AG96" s="93"/>
      <c r="AH96" s="86"/>
      <c r="AI96" s="93"/>
      <c r="AJ96" s="86"/>
      <c r="AK96" s="93"/>
      <c r="AL96" s="86"/>
      <c r="AM96" s="75"/>
      <c r="AN96" s="75"/>
      <c r="AO96" s="75"/>
      <c r="AP96" s="75"/>
      <c r="AQ96" s="75"/>
      <c r="AR96" s="75"/>
      <c r="AS96" s="75"/>
      <c r="AT96" s="75"/>
    </row>
    <row r="97" spans="1:46" s="78" customFormat="1" ht="14.25">
      <c r="A97" s="75"/>
      <c r="B97" s="79"/>
      <c r="C97" s="75"/>
      <c r="F97" s="97"/>
      <c r="G97" s="97"/>
      <c r="H97" s="97"/>
      <c r="I97" s="93"/>
      <c r="J97" s="86"/>
      <c r="K97" s="93"/>
      <c r="L97" s="86"/>
      <c r="M97" s="86"/>
      <c r="N97" s="86"/>
      <c r="O97" s="93"/>
      <c r="P97" s="86"/>
      <c r="Q97" s="93"/>
      <c r="R97" s="86"/>
      <c r="S97" s="93"/>
      <c r="T97" s="86"/>
      <c r="U97" s="93"/>
      <c r="V97" s="86"/>
      <c r="W97" s="93"/>
      <c r="X97" s="86"/>
      <c r="Y97" s="93"/>
      <c r="Z97" s="86"/>
      <c r="AA97" s="93"/>
      <c r="AB97" s="86"/>
      <c r="AC97" s="93"/>
      <c r="AD97" s="86"/>
      <c r="AE97" s="93"/>
      <c r="AF97" s="86"/>
      <c r="AG97" s="93"/>
      <c r="AH97" s="86"/>
      <c r="AI97" s="93"/>
      <c r="AJ97" s="86"/>
      <c r="AK97" s="93"/>
      <c r="AL97" s="86"/>
      <c r="AM97" s="75"/>
      <c r="AN97" s="75"/>
      <c r="AO97" s="75"/>
      <c r="AP97" s="75"/>
      <c r="AQ97" s="75"/>
      <c r="AR97" s="75"/>
      <c r="AS97" s="75"/>
      <c r="AT97" s="75"/>
    </row>
    <row r="98" spans="1:46" s="78" customFormat="1" ht="14.25">
      <c r="A98" s="75"/>
      <c r="B98" s="79"/>
      <c r="C98" s="75"/>
      <c r="F98" s="97"/>
      <c r="G98" s="97"/>
      <c r="H98" s="97"/>
      <c r="I98" s="93"/>
      <c r="J98" s="86"/>
      <c r="K98" s="93"/>
      <c r="L98" s="86"/>
      <c r="M98" s="86"/>
      <c r="N98" s="86"/>
      <c r="O98" s="93"/>
      <c r="P98" s="86"/>
      <c r="Q98" s="93"/>
      <c r="R98" s="86"/>
      <c r="S98" s="93"/>
      <c r="T98" s="86"/>
      <c r="U98" s="93"/>
      <c r="V98" s="86"/>
      <c r="W98" s="93"/>
      <c r="X98" s="86"/>
      <c r="Y98" s="93"/>
      <c r="Z98" s="86"/>
      <c r="AA98" s="93"/>
      <c r="AB98" s="86"/>
      <c r="AC98" s="93"/>
      <c r="AD98" s="86"/>
      <c r="AE98" s="93"/>
      <c r="AF98" s="86"/>
      <c r="AG98" s="93"/>
      <c r="AH98" s="86"/>
      <c r="AI98" s="93"/>
      <c r="AJ98" s="86"/>
      <c r="AK98" s="93"/>
      <c r="AL98" s="86"/>
      <c r="AM98" s="75"/>
      <c r="AN98" s="75"/>
      <c r="AO98" s="75"/>
      <c r="AP98" s="75"/>
      <c r="AQ98" s="75"/>
      <c r="AR98" s="75"/>
      <c r="AS98" s="75"/>
      <c r="AT98" s="75"/>
    </row>
    <row r="99" spans="1:46" s="78" customFormat="1" ht="14.25">
      <c r="A99" s="75"/>
      <c r="B99" s="79"/>
      <c r="C99" s="75"/>
      <c r="F99" s="97"/>
      <c r="G99" s="97"/>
      <c r="H99" s="97"/>
      <c r="I99" s="93"/>
      <c r="J99" s="86"/>
      <c r="K99" s="93"/>
      <c r="L99" s="86"/>
      <c r="M99" s="86"/>
      <c r="N99" s="86"/>
      <c r="O99" s="93"/>
      <c r="P99" s="86"/>
      <c r="Q99" s="93"/>
      <c r="R99" s="86"/>
      <c r="S99" s="93"/>
      <c r="T99" s="86"/>
      <c r="U99" s="93"/>
      <c r="V99" s="86"/>
      <c r="W99" s="93"/>
      <c r="X99" s="86"/>
      <c r="Y99" s="93"/>
      <c r="Z99" s="86"/>
      <c r="AA99" s="93"/>
      <c r="AB99" s="86"/>
      <c r="AC99" s="93"/>
      <c r="AD99" s="86"/>
      <c r="AE99" s="93"/>
      <c r="AF99" s="86"/>
      <c r="AG99" s="93"/>
      <c r="AH99" s="86"/>
      <c r="AI99" s="93"/>
      <c r="AJ99" s="86"/>
      <c r="AK99" s="93"/>
      <c r="AL99" s="86"/>
      <c r="AM99" s="75"/>
      <c r="AN99" s="75"/>
      <c r="AO99" s="75"/>
      <c r="AP99" s="75"/>
      <c r="AQ99" s="75"/>
      <c r="AR99" s="75"/>
      <c r="AS99" s="75"/>
      <c r="AT99" s="75"/>
    </row>
    <row r="100" spans="1:46" s="78" customFormat="1" ht="14.25">
      <c r="A100" s="75"/>
      <c r="B100" s="79"/>
      <c r="C100" s="75"/>
      <c r="F100" s="97"/>
      <c r="G100" s="97"/>
      <c r="H100" s="97"/>
      <c r="I100" s="93"/>
      <c r="J100" s="86"/>
      <c r="K100" s="93"/>
      <c r="L100" s="86"/>
      <c r="M100" s="86"/>
      <c r="N100" s="86"/>
      <c r="O100" s="93"/>
      <c r="P100" s="86"/>
      <c r="Q100" s="93"/>
      <c r="R100" s="86"/>
      <c r="S100" s="93"/>
      <c r="T100" s="86"/>
      <c r="U100" s="93"/>
      <c r="V100" s="86"/>
      <c r="W100" s="93"/>
      <c r="X100" s="86"/>
      <c r="Y100" s="93"/>
      <c r="Z100" s="86"/>
      <c r="AA100" s="93"/>
      <c r="AB100" s="86"/>
      <c r="AC100" s="93"/>
      <c r="AD100" s="86"/>
      <c r="AE100" s="93"/>
      <c r="AF100" s="86"/>
      <c r="AG100" s="93"/>
      <c r="AH100" s="86"/>
      <c r="AI100" s="93"/>
      <c r="AJ100" s="86"/>
      <c r="AK100" s="93"/>
      <c r="AL100" s="86"/>
      <c r="AM100" s="75"/>
      <c r="AN100" s="75"/>
      <c r="AO100" s="75"/>
      <c r="AP100" s="75"/>
      <c r="AQ100" s="75"/>
      <c r="AR100" s="75"/>
      <c r="AS100" s="75"/>
      <c r="AT100" s="75"/>
    </row>
    <row r="101" spans="1:46" s="78" customFormat="1" ht="14.25">
      <c r="A101" s="75"/>
      <c r="B101" s="79"/>
      <c r="C101" s="75"/>
      <c r="F101" s="97"/>
      <c r="G101" s="97"/>
      <c r="H101" s="97"/>
      <c r="I101" s="93"/>
      <c r="J101" s="86"/>
      <c r="K101" s="93"/>
      <c r="L101" s="86"/>
      <c r="M101" s="86"/>
      <c r="N101" s="86"/>
      <c r="O101" s="93"/>
      <c r="P101" s="86"/>
      <c r="Q101" s="93"/>
      <c r="R101" s="86"/>
      <c r="S101" s="93"/>
      <c r="T101" s="86"/>
      <c r="U101" s="93"/>
      <c r="V101" s="86"/>
      <c r="W101" s="93"/>
      <c r="X101" s="86"/>
      <c r="Y101" s="93"/>
      <c r="Z101" s="86"/>
      <c r="AA101" s="93"/>
      <c r="AB101" s="86"/>
      <c r="AC101" s="93"/>
      <c r="AD101" s="86"/>
      <c r="AE101" s="93"/>
      <c r="AF101" s="86"/>
      <c r="AG101" s="93"/>
      <c r="AH101" s="86"/>
      <c r="AI101" s="93"/>
      <c r="AJ101" s="86"/>
      <c r="AK101" s="93"/>
      <c r="AL101" s="86"/>
      <c r="AM101" s="75"/>
      <c r="AN101" s="75"/>
      <c r="AO101" s="75"/>
      <c r="AP101" s="75"/>
      <c r="AQ101" s="75"/>
      <c r="AR101" s="75"/>
      <c r="AS101" s="75"/>
      <c r="AT101" s="75"/>
    </row>
    <row r="102" spans="1:46" s="78" customFormat="1" ht="14.25">
      <c r="A102" s="75"/>
      <c r="B102" s="79"/>
      <c r="C102" s="75"/>
      <c r="F102" s="97"/>
      <c r="G102" s="97"/>
      <c r="H102" s="97"/>
      <c r="I102" s="93"/>
      <c r="J102" s="86"/>
      <c r="K102" s="93"/>
      <c r="L102" s="86"/>
      <c r="M102" s="86"/>
      <c r="N102" s="86"/>
      <c r="O102" s="93"/>
      <c r="P102" s="86"/>
      <c r="Q102" s="93"/>
      <c r="R102" s="86"/>
      <c r="S102" s="93"/>
      <c r="T102" s="86"/>
      <c r="U102" s="93"/>
      <c r="V102" s="86"/>
      <c r="W102" s="93"/>
      <c r="X102" s="86"/>
      <c r="Y102" s="93"/>
      <c r="Z102" s="86"/>
      <c r="AA102" s="93"/>
      <c r="AB102" s="86"/>
      <c r="AC102" s="93"/>
      <c r="AD102" s="86"/>
      <c r="AE102" s="93"/>
      <c r="AF102" s="86"/>
      <c r="AG102" s="93"/>
      <c r="AH102" s="86"/>
      <c r="AI102" s="93"/>
      <c r="AJ102" s="86"/>
      <c r="AK102" s="93"/>
      <c r="AL102" s="86"/>
      <c r="AM102" s="75"/>
      <c r="AN102" s="75"/>
      <c r="AO102" s="75"/>
      <c r="AP102" s="75"/>
      <c r="AQ102" s="75"/>
      <c r="AR102" s="75"/>
      <c r="AS102" s="75"/>
      <c r="AT102" s="75"/>
    </row>
  </sheetData>
  <mergeCells count="32">
    <mergeCell ref="AI4:AJ4"/>
    <mergeCell ref="AK4:AL4"/>
    <mergeCell ref="B2:AL2"/>
    <mergeCell ref="C3:C6"/>
    <mergeCell ref="D3:E6"/>
    <mergeCell ref="F3:H4"/>
    <mergeCell ref="I3:AL3"/>
    <mergeCell ref="I4:N4"/>
    <mergeCell ref="O4:T4"/>
    <mergeCell ref="U4:V4"/>
    <mergeCell ref="M5:N5"/>
    <mergeCell ref="W4:X4"/>
    <mergeCell ref="Y4:AD4"/>
    <mergeCell ref="AE4:AF4"/>
    <mergeCell ref="AG4:AH4"/>
    <mergeCell ref="F5:F6"/>
    <mergeCell ref="G5:G6"/>
    <mergeCell ref="H5:H6"/>
    <mergeCell ref="I5:J5"/>
    <mergeCell ref="K5:L5"/>
    <mergeCell ref="AK5:AL5"/>
    <mergeCell ref="O5:P5"/>
    <mergeCell ref="Q5:R5"/>
    <mergeCell ref="S5:T5"/>
    <mergeCell ref="U5:V5"/>
    <mergeCell ref="W5:X5"/>
    <mergeCell ref="Y5:Z5"/>
    <mergeCell ref="AA5:AB5"/>
    <mergeCell ref="AC5:AD5"/>
    <mergeCell ref="AE5:AF5"/>
    <mergeCell ref="AG5:AH5"/>
    <mergeCell ref="AI5:AJ5"/>
  </mergeCells>
  <phoneticPr fontId="1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CC"/>
  </sheetPr>
  <dimension ref="A2:AL102"/>
  <sheetViews>
    <sheetView zoomScale="70" zoomScaleNormal="70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AK11" sqref="AK11:AK38"/>
    </sheetView>
  </sheetViews>
  <sheetFormatPr defaultColWidth="8.85546875" defaultRowHeight="16.5"/>
  <cols>
    <col min="1" max="1" width="0" style="75" hidden="1" customWidth="1"/>
    <col min="2" max="2" width="13.140625" style="75" hidden="1" customWidth="1"/>
    <col min="3" max="3" width="0" style="98" hidden="1" customWidth="1"/>
    <col min="4" max="4" width="17" style="98" customWidth="1"/>
    <col min="5" max="5" width="4.28515625" style="78" bestFit="1" customWidth="1"/>
    <col min="6" max="8" width="17.42578125" style="99" customWidth="1"/>
    <col min="9" max="9" width="10.5703125" style="84" customWidth="1"/>
    <col min="10" max="10" width="10.5703125" style="86" customWidth="1"/>
    <col min="11" max="11" width="10.5703125" style="84" customWidth="1"/>
    <col min="12" max="12" width="10.5703125" style="86" customWidth="1"/>
    <col min="13" max="13" width="10.5703125" style="84" customWidth="1"/>
    <col min="14" max="14" width="10.5703125" style="86" customWidth="1"/>
    <col min="15" max="15" width="10.5703125" style="84" customWidth="1"/>
    <col min="16" max="16" width="10.5703125" style="86" customWidth="1"/>
    <col min="17" max="17" width="10.5703125" style="84" customWidth="1"/>
    <col min="18" max="18" width="10.5703125" style="86" customWidth="1"/>
    <col min="19" max="19" width="10.5703125" style="84" customWidth="1"/>
    <col min="20" max="20" width="10.5703125" style="86" customWidth="1"/>
    <col min="21" max="21" width="10.5703125" style="84" customWidth="1"/>
    <col min="22" max="22" width="10.5703125" style="86" customWidth="1"/>
    <col min="23" max="23" width="10.5703125" style="84" customWidth="1"/>
    <col min="24" max="24" width="10.5703125" style="86" customWidth="1"/>
    <col min="25" max="25" width="10.5703125" style="84" customWidth="1"/>
    <col min="26" max="26" width="10.5703125" style="86" customWidth="1"/>
    <col min="27" max="27" width="10.5703125" style="84" customWidth="1"/>
    <col min="28" max="28" width="10.5703125" style="86" customWidth="1"/>
    <col min="29" max="29" width="10.5703125" style="84" customWidth="1"/>
    <col min="30" max="30" width="10.5703125" style="86" customWidth="1"/>
    <col min="31" max="31" width="10.5703125" style="84" customWidth="1"/>
    <col min="32" max="32" width="10.5703125" style="86" customWidth="1"/>
    <col min="33" max="33" width="10.42578125" style="84" customWidth="1"/>
    <col min="34" max="34" width="10.42578125" style="86" customWidth="1"/>
    <col min="35" max="35" width="10.42578125" style="84" customWidth="1"/>
    <col min="36" max="36" width="10.42578125" style="86" customWidth="1"/>
    <col min="37" max="37" width="10.42578125" style="84" customWidth="1"/>
    <col min="38" max="38" width="10.42578125" style="86" customWidth="1"/>
    <col min="39" max="16384" width="8.85546875" style="75"/>
  </cols>
  <sheetData>
    <row r="2" spans="1:38" ht="38.1" customHeight="1">
      <c r="A2" s="74"/>
      <c r="B2" s="435" t="s">
        <v>316</v>
      </c>
      <c r="C2" s="435"/>
      <c r="D2" s="435"/>
      <c r="E2" s="435"/>
      <c r="F2" s="435"/>
      <c r="G2" s="435"/>
      <c r="H2" s="435"/>
      <c r="I2" s="435"/>
      <c r="J2" s="435"/>
      <c r="K2" s="435"/>
      <c r="L2" s="435"/>
      <c r="M2" s="435"/>
      <c r="N2" s="435"/>
      <c r="O2" s="435"/>
      <c r="P2" s="435"/>
      <c r="Q2" s="435"/>
      <c r="R2" s="435"/>
      <c r="S2" s="435"/>
      <c r="T2" s="435"/>
      <c r="U2" s="435"/>
      <c r="V2" s="435"/>
      <c r="W2" s="435"/>
      <c r="X2" s="435"/>
      <c r="Y2" s="435"/>
      <c r="Z2" s="435"/>
      <c r="AA2" s="435"/>
      <c r="AB2" s="435"/>
      <c r="AC2" s="435"/>
      <c r="AD2" s="435"/>
      <c r="AE2" s="435"/>
      <c r="AF2" s="435"/>
      <c r="AG2" s="435"/>
      <c r="AH2" s="435"/>
      <c r="AI2" s="435"/>
      <c r="AJ2" s="435"/>
      <c r="AK2" s="435"/>
      <c r="AL2" s="435"/>
    </row>
    <row r="3" spans="1:38" ht="25.35" customHeight="1">
      <c r="B3" s="79"/>
      <c r="C3" s="449" t="s">
        <v>139</v>
      </c>
      <c r="D3" s="450" t="s">
        <v>105</v>
      </c>
      <c r="E3" s="450"/>
      <c r="F3" s="457" t="s">
        <v>148</v>
      </c>
      <c r="G3" s="458"/>
      <c r="H3" s="458"/>
      <c r="I3" s="456" t="s">
        <v>314</v>
      </c>
      <c r="J3" s="456"/>
      <c r="K3" s="456"/>
      <c r="L3" s="456"/>
      <c r="M3" s="456"/>
      <c r="N3" s="456"/>
      <c r="O3" s="456"/>
      <c r="P3" s="456"/>
      <c r="Q3" s="456"/>
      <c r="R3" s="456"/>
      <c r="S3" s="456"/>
      <c r="T3" s="456"/>
      <c r="U3" s="456"/>
      <c r="V3" s="456"/>
      <c r="W3" s="456"/>
      <c r="X3" s="456"/>
      <c r="Y3" s="456"/>
      <c r="Z3" s="456"/>
      <c r="AA3" s="456"/>
      <c r="AB3" s="456"/>
      <c r="AC3" s="456"/>
      <c r="AD3" s="456"/>
      <c r="AE3" s="456"/>
      <c r="AF3" s="456"/>
      <c r="AG3" s="456"/>
      <c r="AH3" s="456"/>
      <c r="AI3" s="456"/>
      <c r="AJ3" s="456"/>
      <c r="AK3" s="456"/>
      <c r="AL3" s="456"/>
    </row>
    <row r="4" spans="1:38" ht="25.35" customHeight="1">
      <c r="B4" s="79"/>
      <c r="C4" s="449"/>
      <c r="D4" s="450"/>
      <c r="E4" s="450"/>
      <c r="F4" s="458"/>
      <c r="G4" s="458"/>
      <c r="H4" s="458"/>
      <c r="I4" s="453" t="s">
        <v>140</v>
      </c>
      <c r="J4" s="453"/>
      <c r="K4" s="453"/>
      <c r="L4" s="453"/>
      <c r="M4" s="453"/>
      <c r="N4" s="453"/>
      <c r="O4" s="453" t="s">
        <v>141</v>
      </c>
      <c r="P4" s="453"/>
      <c r="Q4" s="453"/>
      <c r="R4" s="453"/>
      <c r="S4" s="453"/>
      <c r="T4" s="453"/>
      <c r="U4" s="453" t="s">
        <v>142</v>
      </c>
      <c r="V4" s="453"/>
      <c r="W4" s="453" t="s">
        <v>143</v>
      </c>
      <c r="X4" s="453"/>
      <c r="Y4" s="453" t="s">
        <v>134</v>
      </c>
      <c r="Z4" s="453"/>
      <c r="AA4" s="453"/>
      <c r="AB4" s="453"/>
      <c r="AC4" s="453"/>
      <c r="AD4" s="453"/>
      <c r="AE4" s="453" t="s">
        <v>132</v>
      </c>
      <c r="AF4" s="453"/>
      <c r="AG4" s="453" t="s">
        <v>144</v>
      </c>
      <c r="AH4" s="453"/>
      <c r="AI4" s="453" t="s">
        <v>145</v>
      </c>
      <c r="AJ4" s="453"/>
      <c r="AK4" s="453" t="s">
        <v>138</v>
      </c>
      <c r="AL4" s="453"/>
    </row>
    <row r="5" spans="1:38" ht="25.35" customHeight="1">
      <c r="B5" s="79"/>
      <c r="C5" s="449"/>
      <c r="D5" s="450"/>
      <c r="E5" s="450"/>
      <c r="F5" s="455" t="s">
        <v>115</v>
      </c>
      <c r="G5" s="455" t="s">
        <v>117</v>
      </c>
      <c r="H5" s="455" t="s">
        <v>118</v>
      </c>
      <c r="I5" s="453" t="s">
        <v>129</v>
      </c>
      <c r="J5" s="453"/>
      <c r="K5" s="453" t="s">
        <v>130</v>
      </c>
      <c r="L5" s="453"/>
      <c r="M5" s="454" t="s">
        <v>146</v>
      </c>
      <c r="N5" s="453"/>
      <c r="O5" s="453" t="s">
        <v>129</v>
      </c>
      <c r="P5" s="453"/>
      <c r="Q5" s="453" t="s">
        <v>130</v>
      </c>
      <c r="R5" s="453"/>
      <c r="S5" s="454" t="s">
        <v>146</v>
      </c>
      <c r="T5" s="453"/>
      <c r="U5" s="453" t="s">
        <v>129</v>
      </c>
      <c r="V5" s="453"/>
      <c r="W5" s="453" t="s">
        <v>129</v>
      </c>
      <c r="X5" s="453"/>
      <c r="Y5" s="453" t="s">
        <v>129</v>
      </c>
      <c r="Z5" s="453"/>
      <c r="AA5" s="453" t="s">
        <v>130</v>
      </c>
      <c r="AB5" s="453"/>
      <c r="AC5" s="454" t="s">
        <v>146</v>
      </c>
      <c r="AD5" s="453"/>
      <c r="AE5" s="453" t="s">
        <v>129</v>
      </c>
      <c r="AF5" s="453"/>
      <c r="AG5" s="453" t="s">
        <v>129</v>
      </c>
      <c r="AH5" s="453"/>
      <c r="AI5" s="453" t="s">
        <v>129</v>
      </c>
      <c r="AJ5" s="453"/>
      <c r="AK5" s="453" t="s">
        <v>129</v>
      </c>
      <c r="AL5" s="453"/>
    </row>
    <row r="6" spans="1:38" s="78" customFormat="1" ht="23.45" customHeight="1">
      <c r="B6" s="79"/>
      <c r="C6" s="449"/>
      <c r="D6" s="450"/>
      <c r="E6" s="450"/>
      <c r="F6" s="455"/>
      <c r="G6" s="455"/>
      <c r="H6" s="455"/>
      <c r="I6" s="100" t="s">
        <v>149</v>
      </c>
      <c r="J6" s="95" t="s">
        <v>113</v>
      </c>
      <c r="K6" s="100" t="s">
        <v>149</v>
      </c>
      <c r="L6" s="95" t="s">
        <v>113</v>
      </c>
      <c r="M6" s="100" t="s">
        <v>149</v>
      </c>
      <c r="N6" s="95" t="s">
        <v>113</v>
      </c>
      <c r="O6" s="100" t="s">
        <v>149</v>
      </c>
      <c r="P6" s="95" t="s">
        <v>113</v>
      </c>
      <c r="Q6" s="100" t="s">
        <v>149</v>
      </c>
      <c r="R6" s="95" t="s">
        <v>113</v>
      </c>
      <c r="S6" s="100" t="s">
        <v>149</v>
      </c>
      <c r="T6" s="95" t="s">
        <v>113</v>
      </c>
      <c r="U6" s="100" t="s">
        <v>149</v>
      </c>
      <c r="V6" s="95" t="s">
        <v>113</v>
      </c>
      <c r="W6" s="100" t="s">
        <v>149</v>
      </c>
      <c r="X6" s="95" t="s">
        <v>113</v>
      </c>
      <c r="Y6" s="100" t="s">
        <v>149</v>
      </c>
      <c r="Z6" s="95" t="s">
        <v>113</v>
      </c>
      <c r="AA6" s="100" t="s">
        <v>149</v>
      </c>
      <c r="AB6" s="95" t="s">
        <v>113</v>
      </c>
      <c r="AC6" s="100" t="s">
        <v>149</v>
      </c>
      <c r="AD6" s="95" t="s">
        <v>113</v>
      </c>
      <c r="AE6" s="100" t="s">
        <v>149</v>
      </c>
      <c r="AF6" s="95" t="s">
        <v>113</v>
      </c>
      <c r="AG6" s="100" t="s">
        <v>149</v>
      </c>
      <c r="AH6" s="95" t="s">
        <v>113</v>
      </c>
      <c r="AI6" s="100" t="s">
        <v>149</v>
      </c>
      <c r="AJ6" s="95" t="s">
        <v>113</v>
      </c>
      <c r="AK6" s="100" t="s">
        <v>149</v>
      </c>
      <c r="AL6" s="95" t="s">
        <v>113</v>
      </c>
    </row>
    <row r="7" spans="1:38" ht="14.25">
      <c r="B7" s="79"/>
      <c r="C7" s="75"/>
      <c r="D7" s="82"/>
      <c r="E7" s="82"/>
      <c r="F7" s="84"/>
      <c r="G7" s="262"/>
      <c r="H7" s="84"/>
      <c r="I7" s="210"/>
      <c r="J7" s="96"/>
      <c r="K7" s="210"/>
      <c r="L7" s="96"/>
      <c r="M7" s="101"/>
      <c r="N7" s="96"/>
      <c r="O7" s="210"/>
      <c r="P7" s="96"/>
      <c r="Q7" s="210"/>
      <c r="R7" s="96"/>
      <c r="S7" s="101"/>
      <c r="T7" s="96"/>
      <c r="U7" s="210"/>
      <c r="V7" s="96"/>
      <c r="W7" s="210"/>
      <c r="X7" s="96"/>
      <c r="Y7" s="210"/>
      <c r="Z7" s="96"/>
      <c r="AA7" s="210"/>
      <c r="AB7" s="96"/>
      <c r="AC7" s="101"/>
      <c r="AD7" s="96"/>
      <c r="AE7" s="210"/>
      <c r="AF7" s="96"/>
      <c r="AG7" s="210"/>
      <c r="AH7" s="96"/>
      <c r="AI7" s="210"/>
      <c r="AJ7" s="96"/>
      <c r="AK7" s="210"/>
      <c r="AL7" s="96"/>
    </row>
    <row r="8" spans="1:38" ht="14.25">
      <c r="B8" s="79"/>
      <c r="C8" s="75"/>
      <c r="D8" s="82"/>
      <c r="E8" s="82"/>
      <c r="F8" s="84"/>
      <c r="G8" s="262"/>
      <c r="I8" s="210"/>
      <c r="J8" s="96"/>
      <c r="K8" s="210"/>
      <c r="L8" s="96"/>
      <c r="M8" s="101"/>
      <c r="N8" s="96"/>
      <c r="O8" s="210"/>
      <c r="P8" s="96"/>
      <c r="Q8" s="210"/>
      <c r="R8" s="96"/>
      <c r="S8" s="101"/>
      <c r="T8" s="96"/>
      <c r="U8" s="210"/>
      <c r="V8" s="96"/>
      <c r="W8" s="210"/>
      <c r="X8" s="96"/>
      <c r="Y8" s="210"/>
      <c r="Z8" s="96"/>
      <c r="AA8" s="210"/>
      <c r="AB8" s="96"/>
      <c r="AC8" s="101"/>
      <c r="AD8" s="96"/>
      <c r="AE8" s="210"/>
      <c r="AF8" s="96"/>
      <c r="AG8" s="210"/>
      <c r="AH8" s="96"/>
      <c r="AI8" s="210"/>
      <c r="AJ8" s="96"/>
      <c r="AK8" s="210"/>
      <c r="AL8" s="96"/>
    </row>
    <row r="9" spans="1:38" ht="14.25">
      <c r="B9" s="79"/>
      <c r="C9" s="75"/>
      <c r="D9" s="82"/>
      <c r="E9" s="82"/>
      <c r="F9" s="84"/>
      <c r="G9" s="262"/>
      <c r="H9" s="338"/>
      <c r="I9" s="210"/>
      <c r="J9" s="96"/>
      <c r="K9" s="210"/>
      <c r="L9" s="96"/>
      <c r="M9" s="101"/>
      <c r="N9" s="96"/>
      <c r="O9" s="210"/>
      <c r="P9" s="96"/>
      <c r="Q9" s="210"/>
      <c r="R9" s="96"/>
      <c r="S9" s="101"/>
      <c r="T9" s="96"/>
      <c r="U9" s="210"/>
      <c r="V9" s="96"/>
      <c r="W9" s="210"/>
      <c r="X9" s="96"/>
      <c r="Y9" s="210"/>
      <c r="Z9" s="96"/>
      <c r="AA9" s="210"/>
      <c r="AB9" s="96"/>
      <c r="AC9" s="101"/>
      <c r="AD9" s="96"/>
      <c r="AE9" s="210"/>
      <c r="AF9" s="96"/>
      <c r="AG9" s="210"/>
      <c r="AH9" s="96"/>
      <c r="AI9" s="210"/>
      <c r="AJ9" s="96"/>
      <c r="AK9" s="210"/>
      <c r="AL9" s="96"/>
    </row>
    <row r="10" spans="1:38" ht="14.25">
      <c r="B10" s="79"/>
      <c r="C10" s="75"/>
      <c r="D10" s="82"/>
      <c r="E10" s="82"/>
      <c r="F10" s="84"/>
      <c r="G10" s="262"/>
      <c r="H10" s="338"/>
      <c r="I10" s="333"/>
      <c r="J10" s="334"/>
      <c r="K10" s="333"/>
      <c r="L10" s="334"/>
      <c r="M10" s="335"/>
      <c r="N10" s="334"/>
      <c r="O10" s="333"/>
      <c r="P10" s="334"/>
      <c r="Q10" s="333"/>
      <c r="R10" s="334"/>
      <c r="S10" s="335"/>
      <c r="T10" s="334"/>
      <c r="U10" s="333"/>
      <c r="V10" s="334"/>
      <c r="W10" s="333"/>
      <c r="X10" s="334"/>
      <c r="Y10" s="333"/>
      <c r="Z10" s="334"/>
      <c r="AA10" s="333"/>
      <c r="AB10" s="334"/>
      <c r="AC10" s="335"/>
      <c r="AD10" s="334"/>
      <c r="AE10" s="333"/>
      <c r="AF10" s="334"/>
      <c r="AG10" s="333"/>
      <c r="AH10" s="334"/>
      <c r="AI10" s="333"/>
      <c r="AJ10" s="334"/>
      <c r="AK10" s="333"/>
      <c r="AL10" s="334"/>
    </row>
    <row r="11" spans="1:38" ht="14.25">
      <c r="B11" s="79"/>
      <c r="C11" s="75"/>
      <c r="D11" s="82">
        <v>46054</v>
      </c>
      <c r="E11" s="82" t="s">
        <v>437</v>
      </c>
      <c r="F11" s="84">
        <f t="shared" ref="F11:F45" si="0">SUM(M11,S11,U11,W11,AC11,AE11,AG11,AI11,AK11)</f>
        <v>213372</v>
      </c>
      <c r="G11" s="262"/>
      <c r="H11" s="338">
        <f>SUM(F11:F41)</f>
        <v>5860836</v>
      </c>
      <c r="I11" s="210">
        <v>27549</v>
      </c>
      <c r="J11" s="96">
        <f t="shared" ref="J11:J12" si="1">I11/F11</f>
        <v>0.12911253585287666</v>
      </c>
      <c r="K11" s="210">
        <v>36335</v>
      </c>
      <c r="L11" s="96">
        <f t="shared" ref="L11:L12" si="2">K11/F11</f>
        <v>0.17028944753763381</v>
      </c>
      <c r="M11" s="101">
        <f t="shared" ref="M11:M12" si="3">SUM(I11+K11)</f>
        <v>63884</v>
      </c>
      <c r="N11" s="96">
        <f t="shared" ref="N11:N12" si="4">M11/F11</f>
        <v>0.2994019833905105</v>
      </c>
      <c r="O11" s="210">
        <v>4294</v>
      </c>
      <c r="P11" s="96">
        <f t="shared" ref="P11:P12" si="5">O11/F11</f>
        <v>2.0124477438464277E-2</v>
      </c>
      <c r="Q11" s="210">
        <v>2727</v>
      </c>
      <c r="R11" s="96">
        <f t="shared" ref="R11:R12" si="6">Q11/D11</f>
        <v>5.921309766795501E-2</v>
      </c>
      <c r="S11" s="101">
        <f t="shared" ref="S11:S13" si="7">SUM(O11+Q11)</f>
        <v>7021</v>
      </c>
      <c r="T11" s="96">
        <f t="shared" ref="T11:T12" si="8">S11/F11</f>
        <v>3.2904973473557919E-2</v>
      </c>
      <c r="U11" s="210">
        <v>36362</v>
      </c>
      <c r="V11" s="96">
        <f t="shared" ref="V11:V12" si="9">U11/F11</f>
        <v>0.17041598710233771</v>
      </c>
      <c r="W11" s="210">
        <v>6968</v>
      </c>
      <c r="X11" s="96">
        <f t="shared" ref="X11:X12" si="10">W11/F11</f>
        <v>3.2656580994694713E-2</v>
      </c>
      <c r="Y11" s="210">
        <v>23389</v>
      </c>
      <c r="Z11" s="96">
        <f t="shared" ref="Z11:Z12" si="11">Y11/F11</f>
        <v>0.10961606958738729</v>
      </c>
      <c r="AA11" s="210">
        <v>24632</v>
      </c>
      <c r="AB11" s="96">
        <f t="shared" ref="AB11:AB12" si="12">AA11/D11</f>
        <v>0.53485039301689319</v>
      </c>
      <c r="AC11" s="101">
        <f t="shared" ref="AC11:AC12" si="13">SUM(Y11+AA11)</f>
        <v>48021</v>
      </c>
      <c r="AD11" s="96">
        <f t="shared" ref="AD11:AD12" si="14">AC11/F11</f>
        <v>0.22505764580169843</v>
      </c>
      <c r="AE11" s="210">
        <v>16078</v>
      </c>
      <c r="AF11" s="96">
        <f t="shared" ref="AF11:AF12" si="15">AE11/F11</f>
        <v>7.5351967455898616E-2</v>
      </c>
      <c r="AG11" s="210">
        <v>9146</v>
      </c>
      <c r="AH11" s="96">
        <f t="shared" ref="AH11:AH12" si="16">AG11/F11</f>
        <v>4.2864105880809106E-2</v>
      </c>
      <c r="AI11" s="210">
        <v>11312</v>
      </c>
      <c r="AJ11" s="96">
        <f t="shared" ref="AJ11:AJ12" si="17">AI11/F11</f>
        <v>5.3015390960388431E-2</v>
      </c>
      <c r="AK11" s="210">
        <v>14580</v>
      </c>
      <c r="AL11" s="96">
        <f t="shared" ref="AL11:AL12" si="18">AK11/F11</f>
        <v>6.8331364940104611E-2</v>
      </c>
    </row>
    <row r="12" spans="1:38" ht="14.25">
      <c r="B12" s="79"/>
      <c r="C12" s="75"/>
      <c r="D12" s="82">
        <f t="shared" ref="D12:D38" si="19">D11+1</f>
        <v>46055</v>
      </c>
      <c r="E12" s="366" t="s">
        <v>431</v>
      </c>
      <c r="F12" s="84">
        <f t="shared" si="0"/>
        <v>202479</v>
      </c>
      <c r="G12" s="262"/>
      <c r="H12" s="338"/>
      <c r="I12" s="210">
        <v>26737</v>
      </c>
      <c r="J12" s="96">
        <f t="shared" si="1"/>
        <v>0.13204826179505036</v>
      </c>
      <c r="K12" s="210">
        <v>35999</v>
      </c>
      <c r="L12" s="96">
        <f t="shared" si="2"/>
        <v>0.1777912771200964</v>
      </c>
      <c r="M12" s="101">
        <f t="shared" si="3"/>
        <v>62736</v>
      </c>
      <c r="N12" s="96">
        <f t="shared" si="4"/>
        <v>0.30983953891514676</v>
      </c>
      <c r="O12" s="210">
        <v>4114</v>
      </c>
      <c r="P12" s="96">
        <f t="shared" si="5"/>
        <v>2.0318156450792428E-2</v>
      </c>
      <c r="Q12" s="210">
        <v>2764</v>
      </c>
      <c r="R12" s="96">
        <f t="shared" si="6"/>
        <v>6.0015199218325918E-2</v>
      </c>
      <c r="S12" s="101">
        <f t="shared" si="7"/>
        <v>6878</v>
      </c>
      <c r="T12" s="96">
        <f t="shared" si="8"/>
        <v>3.3968954805189674E-2</v>
      </c>
      <c r="U12" s="210">
        <v>35083</v>
      </c>
      <c r="V12" s="96">
        <f t="shared" si="9"/>
        <v>0.17326735118209791</v>
      </c>
      <c r="W12" s="210">
        <v>5045</v>
      </c>
      <c r="X12" s="96">
        <f t="shared" si="10"/>
        <v>2.4916164145417551E-2</v>
      </c>
      <c r="Y12" s="210">
        <v>19250</v>
      </c>
      <c r="Z12" s="96">
        <f t="shared" si="11"/>
        <v>9.507158767082019E-2</v>
      </c>
      <c r="AA12" s="210">
        <v>23052</v>
      </c>
      <c r="AB12" s="96">
        <f t="shared" si="12"/>
        <v>0.50053197264140703</v>
      </c>
      <c r="AC12" s="101">
        <f t="shared" si="13"/>
        <v>42302</v>
      </c>
      <c r="AD12" s="96">
        <f t="shared" si="14"/>
        <v>0.20892043125459925</v>
      </c>
      <c r="AE12" s="210">
        <v>15042</v>
      </c>
      <c r="AF12" s="96">
        <f t="shared" si="15"/>
        <v>7.4289185545167641E-2</v>
      </c>
      <c r="AG12" s="210">
        <v>8924</v>
      </c>
      <c r="AH12" s="96">
        <f t="shared" si="16"/>
        <v>4.4073706409059707E-2</v>
      </c>
      <c r="AI12" s="210">
        <v>11479</v>
      </c>
      <c r="AJ12" s="96">
        <f t="shared" si="17"/>
        <v>5.6692298954459472E-2</v>
      </c>
      <c r="AK12" s="210">
        <v>14990</v>
      </c>
      <c r="AL12" s="96">
        <f t="shared" si="18"/>
        <v>7.403236878886206E-2</v>
      </c>
    </row>
    <row r="13" spans="1:38" ht="14.25">
      <c r="B13" s="79"/>
      <c r="C13" s="75"/>
      <c r="D13" s="259">
        <f t="shared" si="19"/>
        <v>46056</v>
      </c>
      <c r="E13" s="259" t="s">
        <v>432</v>
      </c>
      <c r="F13" s="84">
        <f t="shared" si="0"/>
        <v>221093</v>
      </c>
      <c r="G13" s="262"/>
      <c r="H13" s="338"/>
      <c r="I13" s="210">
        <v>27390</v>
      </c>
      <c r="J13" s="96">
        <f>I13/F13</f>
        <v>0.1238845191842347</v>
      </c>
      <c r="K13" s="210">
        <v>36052</v>
      </c>
      <c r="L13" s="96">
        <f>K13/F13</f>
        <v>0.1630626026151891</v>
      </c>
      <c r="M13" s="101">
        <f>SUM(I13+K13)</f>
        <v>63442</v>
      </c>
      <c r="N13" s="96">
        <f>M13/F13</f>
        <v>0.28694712179942378</v>
      </c>
      <c r="O13" s="210">
        <v>4396</v>
      </c>
      <c r="P13" s="96">
        <f>O13/F13</f>
        <v>1.9883035645633287E-2</v>
      </c>
      <c r="Q13" s="210">
        <v>2925</v>
      </c>
      <c r="R13" s="96">
        <f>Q13/D13</f>
        <v>6.3509640437727985E-2</v>
      </c>
      <c r="S13" s="101">
        <f t="shared" si="7"/>
        <v>7321</v>
      </c>
      <c r="T13" s="96">
        <f>S13/F13</f>
        <v>3.3112762502657253E-2</v>
      </c>
      <c r="U13" s="210">
        <v>32858</v>
      </c>
      <c r="V13" s="96">
        <f>U13/F13</f>
        <v>0.14861619318567298</v>
      </c>
      <c r="W13" s="210">
        <v>4543</v>
      </c>
      <c r="X13" s="96">
        <f>W13/F13</f>
        <v>2.0547914226140131E-2</v>
      </c>
      <c r="Y13" s="210">
        <v>20900</v>
      </c>
      <c r="Z13" s="96">
        <f>Y13/F13</f>
        <v>9.4530356004034505E-2</v>
      </c>
      <c r="AA13" s="210">
        <v>23784</v>
      </c>
      <c r="AB13" s="96">
        <f>AA13/D13</f>
        <v>0.51641479937467427</v>
      </c>
      <c r="AC13" s="101">
        <f>SUM(Y13+AA13)</f>
        <v>44684</v>
      </c>
      <c r="AD13" s="96">
        <f>AC13/F13</f>
        <v>0.20210499653991759</v>
      </c>
      <c r="AE13" s="210">
        <v>24128</v>
      </c>
      <c r="AF13" s="96">
        <f>AE13/F13</f>
        <v>0.10913054687393993</v>
      </c>
      <c r="AG13" s="210">
        <v>8345</v>
      </c>
      <c r="AH13" s="96">
        <f>AG13/F13</f>
        <v>3.774429764850086E-2</v>
      </c>
      <c r="AI13" s="210">
        <v>11130</v>
      </c>
      <c r="AJ13" s="96">
        <f>AI13/F13</f>
        <v>5.0340806809804017E-2</v>
      </c>
      <c r="AK13" s="210">
        <v>24642</v>
      </c>
      <c r="AL13" s="96">
        <f>AK13/F13</f>
        <v>0.11145536041394345</v>
      </c>
    </row>
    <row r="14" spans="1:38" ht="14.25">
      <c r="B14" s="79"/>
      <c r="C14" s="75"/>
      <c r="D14" s="379">
        <f t="shared" si="19"/>
        <v>46057</v>
      </c>
      <c r="E14" s="379" t="s">
        <v>433</v>
      </c>
      <c r="F14" s="84">
        <f t="shared" si="0"/>
        <v>212942</v>
      </c>
      <c r="G14" s="262">
        <f>SUM(F14:F20)</f>
        <v>1426097</v>
      </c>
      <c r="H14" s="338"/>
      <c r="I14" s="210">
        <v>27366</v>
      </c>
      <c r="J14" s="96">
        <f t="shared" ref="J14" si="20">I14/F14</f>
        <v>0.12851386762592631</v>
      </c>
      <c r="K14" s="210">
        <v>35696</v>
      </c>
      <c r="L14" s="96">
        <f t="shared" ref="L14" si="21">K14/F14</f>
        <v>0.16763250086878118</v>
      </c>
      <c r="M14" s="101">
        <f t="shared" ref="M14" si="22">SUM(I14+K14)</f>
        <v>63062</v>
      </c>
      <c r="N14" s="96">
        <f t="shared" ref="N14" si="23">M14/F14</f>
        <v>0.29614636849470749</v>
      </c>
      <c r="O14" s="210">
        <v>4798</v>
      </c>
      <c r="P14" s="96">
        <f t="shared" ref="P14" si="24">O14/F14</f>
        <v>2.2531957058729606E-2</v>
      </c>
      <c r="Q14" s="210">
        <v>3049</v>
      </c>
      <c r="R14" s="96">
        <f t="shared" ref="R14" si="25">Q14/D14</f>
        <v>6.6200577545215716E-2</v>
      </c>
      <c r="S14" s="101">
        <f t="shared" ref="S14" si="26">SUM(O14+Q14)</f>
        <v>7847</v>
      </c>
      <c r="T14" s="96">
        <f t="shared" ref="T14" si="27">S14/F14</f>
        <v>3.6850409970790171E-2</v>
      </c>
      <c r="U14" s="210">
        <v>32687</v>
      </c>
      <c r="V14" s="96">
        <f t="shared" ref="V14" si="28">U14/F14</f>
        <v>0.15350189253411728</v>
      </c>
      <c r="W14" s="210">
        <v>3471</v>
      </c>
      <c r="X14" s="96">
        <f t="shared" ref="X14" si="29">W14/F14</f>
        <v>1.6300213203595346E-2</v>
      </c>
      <c r="Y14" s="210">
        <v>21314</v>
      </c>
      <c r="Z14" s="96">
        <f t="shared" ref="Z14" si="30">Y14/F14</f>
        <v>0.10009298306581135</v>
      </c>
      <c r="AA14" s="210">
        <v>23528</v>
      </c>
      <c r="AB14" s="96">
        <f t="shared" ref="AB14" si="31">AA14/D14</f>
        <v>0.51084525696419658</v>
      </c>
      <c r="AC14" s="101">
        <f t="shared" ref="AC14" si="32">SUM(Y14+AA14)</f>
        <v>44842</v>
      </c>
      <c r="AD14" s="96">
        <f t="shared" ref="AD14" si="33">AC14/F14</f>
        <v>0.21058316349052794</v>
      </c>
      <c r="AE14" s="210">
        <v>19601</v>
      </c>
      <c r="AF14" s="96">
        <f t="shared" ref="AF14" si="34">AE14/F14</f>
        <v>9.2048539038799296E-2</v>
      </c>
      <c r="AG14" s="210">
        <v>9250</v>
      </c>
      <c r="AH14" s="96">
        <f t="shared" ref="AH14" si="35">AG14/F14</f>
        <v>4.3439058522978087E-2</v>
      </c>
      <c r="AI14" s="210">
        <v>12424</v>
      </c>
      <c r="AJ14" s="96">
        <f t="shared" ref="AJ14" si="36">AI14/F14</f>
        <v>5.834452573940322E-2</v>
      </c>
      <c r="AK14" s="210">
        <v>19758</v>
      </c>
      <c r="AL14" s="96">
        <f t="shared" ref="AL14" si="37">AK14/F14</f>
        <v>9.27858290050812E-2</v>
      </c>
    </row>
    <row r="15" spans="1:38" ht="14.25">
      <c r="B15" s="79"/>
      <c r="C15" s="75"/>
      <c r="D15" s="379">
        <f t="shared" si="19"/>
        <v>46058</v>
      </c>
      <c r="E15" s="379" t="s">
        <v>434</v>
      </c>
      <c r="F15" s="84">
        <f t="shared" si="0"/>
        <v>201476</v>
      </c>
      <c r="G15" s="262"/>
      <c r="H15" s="338"/>
      <c r="I15" s="333">
        <v>25666</v>
      </c>
      <c r="J15" s="96">
        <f t="shared" ref="J15:J41" si="38">I15/F15</f>
        <v>0.12738986281244416</v>
      </c>
      <c r="K15" s="333">
        <v>33390</v>
      </c>
      <c r="L15" s="96">
        <f t="shared" ref="L15:L41" si="39">K15/F15</f>
        <v>0.16572693521809048</v>
      </c>
      <c r="M15" s="101">
        <f t="shared" ref="M15:M40" si="40">SUM(I15+K15)</f>
        <v>59056</v>
      </c>
      <c r="N15" s="96">
        <f t="shared" ref="N15:N40" si="41">M15/F15</f>
        <v>0.29311679803053464</v>
      </c>
      <c r="O15" s="333">
        <v>4685</v>
      </c>
      <c r="P15" s="96">
        <f t="shared" ref="P15:P41" si="42">O15/F15</f>
        <v>2.3253389981933333E-2</v>
      </c>
      <c r="Q15" s="333">
        <v>3067</v>
      </c>
      <c r="R15" s="96">
        <f t="shared" ref="R15:R40" si="43">Q15/D15</f>
        <v>6.658995179990447E-2</v>
      </c>
      <c r="S15" s="101">
        <f t="shared" ref="S15:S45" si="44">SUM(O15+Q15)</f>
        <v>7752</v>
      </c>
      <c r="T15" s="96">
        <f t="shared" ref="T15:T40" si="45">S15/F15</f>
        <v>3.8476046774801959E-2</v>
      </c>
      <c r="U15" s="333">
        <v>31230</v>
      </c>
      <c r="V15" s="96">
        <f t="shared" ref="V15:V41" si="46">U15/F15</f>
        <v>0.15500605531179892</v>
      </c>
      <c r="W15" s="333">
        <v>3783</v>
      </c>
      <c r="X15" s="96">
        <f t="shared" ref="X15:X41" si="47">W15/F15</f>
        <v>1.8776429946991205E-2</v>
      </c>
      <c r="Y15" s="333">
        <v>20949</v>
      </c>
      <c r="Z15" s="96">
        <f t="shared" ref="Z15:Z41" si="48">Y15/F15</f>
        <v>0.10397764498004725</v>
      </c>
      <c r="AA15" s="333">
        <v>20250</v>
      </c>
      <c r="AB15" s="96">
        <f t="shared" ref="AB15:AB40" si="49">AA15/D15</f>
        <v>0.43966303356637282</v>
      </c>
      <c r="AC15" s="101">
        <f t="shared" ref="AC15:AC40" si="50">SUM(Y15+AA15)</f>
        <v>41199</v>
      </c>
      <c r="AD15" s="96">
        <f t="shared" ref="AD15:AD40" si="51">AC15/F15</f>
        <v>0.2044858941015307</v>
      </c>
      <c r="AE15" s="333">
        <v>19066</v>
      </c>
      <c r="AF15" s="96">
        <f t="shared" ref="AF15:AF41" si="52">AE15/F15</f>
        <v>9.4631618654331034E-2</v>
      </c>
      <c r="AG15" s="333">
        <v>8691</v>
      </c>
      <c r="AH15" s="96">
        <f t="shared" ref="AH15:AH41" si="53">AG15/F15</f>
        <v>4.3136651511842601E-2</v>
      </c>
      <c r="AI15" s="333">
        <v>11940</v>
      </c>
      <c r="AJ15" s="96">
        <f t="shared" ref="AJ15:AJ41" si="54">AI15/F15</f>
        <v>5.9262641704222838E-2</v>
      </c>
      <c r="AK15" s="333">
        <v>18759</v>
      </c>
      <c r="AL15" s="96">
        <f t="shared" ref="AL15:AL41" si="55">AK15/F15</f>
        <v>9.3107863963946075E-2</v>
      </c>
    </row>
    <row r="16" spans="1:38" ht="14.25">
      <c r="B16" s="79"/>
      <c r="C16" s="75"/>
      <c r="D16" s="379">
        <f t="shared" si="19"/>
        <v>46059</v>
      </c>
      <c r="E16" s="379" t="s">
        <v>435</v>
      </c>
      <c r="F16" s="84">
        <f t="shared" si="0"/>
        <v>182653</v>
      </c>
      <c r="G16" s="262"/>
      <c r="H16" s="338"/>
      <c r="I16" s="210">
        <v>23127</v>
      </c>
      <c r="J16" s="96">
        <f t="shared" si="38"/>
        <v>0.12661713741356562</v>
      </c>
      <c r="K16" s="210">
        <v>32439</v>
      </c>
      <c r="L16" s="96">
        <f t="shared" si="39"/>
        <v>0.17759905394381698</v>
      </c>
      <c r="M16" s="101">
        <f t="shared" si="40"/>
        <v>55566</v>
      </c>
      <c r="N16" s="96">
        <f t="shared" si="41"/>
        <v>0.30421619135738259</v>
      </c>
      <c r="O16" s="210">
        <v>3628</v>
      </c>
      <c r="P16" s="96">
        <f t="shared" si="42"/>
        <v>1.9862799954011159E-2</v>
      </c>
      <c r="Q16" s="210">
        <v>2588</v>
      </c>
      <c r="R16" s="96">
        <f t="shared" si="43"/>
        <v>5.6188801320046028E-2</v>
      </c>
      <c r="S16" s="101">
        <f t="shared" si="44"/>
        <v>6216</v>
      </c>
      <c r="T16" s="96">
        <f t="shared" si="45"/>
        <v>3.4031743250863659E-2</v>
      </c>
      <c r="U16" s="210">
        <v>26780</v>
      </c>
      <c r="V16" s="96">
        <f t="shared" si="46"/>
        <v>0.1466168089218354</v>
      </c>
      <c r="W16" s="210">
        <v>3520</v>
      </c>
      <c r="X16" s="96">
        <f t="shared" si="47"/>
        <v>1.9271514839613913E-2</v>
      </c>
      <c r="Y16" s="210">
        <v>18696</v>
      </c>
      <c r="Z16" s="96">
        <f t="shared" si="48"/>
        <v>0.10235802313676753</v>
      </c>
      <c r="AA16" s="210">
        <v>22062</v>
      </c>
      <c r="AB16" s="96">
        <f t="shared" si="49"/>
        <v>0.4789943333550446</v>
      </c>
      <c r="AC16" s="101">
        <f t="shared" si="50"/>
        <v>40758</v>
      </c>
      <c r="AD16" s="96">
        <f t="shared" si="51"/>
        <v>0.22314443233891587</v>
      </c>
      <c r="AE16" s="210">
        <v>17455</v>
      </c>
      <c r="AF16" s="96">
        <f t="shared" si="52"/>
        <v>9.5563719183369561E-2</v>
      </c>
      <c r="AG16" s="210">
        <v>6664</v>
      </c>
      <c r="AH16" s="96">
        <f t="shared" si="53"/>
        <v>3.6484481503178158E-2</v>
      </c>
      <c r="AI16" s="210">
        <v>11190</v>
      </c>
      <c r="AJ16" s="96">
        <f t="shared" si="54"/>
        <v>6.1263707686158998E-2</v>
      </c>
      <c r="AK16" s="210">
        <v>14504</v>
      </c>
      <c r="AL16" s="96">
        <f t="shared" si="55"/>
        <v>7.940740091868187E-2</v>
      </c>
    </row>
    <row r="17" spans="2:38" ht="14.25">
      <c r="B17" s="79"/>
      <c r="C17" s="75"/>
      <c r="D17" s="379">
        <f t="shared" si="19"/>
        <v>46060</v>
      </c>
      <c r="E17" s="379" t="s">
        <v>436</v>
      </c>
      <c r="F17" s="84">
        <f t="shared" si="0"/>
        <v>191738</v>
      </c>
      <c r="G17" s="262"/>
      <c r="H17" s="338"/>
      <c r="I17" s="210">
        <v>22402</v>
      </c>
      <c r="J17" s="96">
        <f t="shared" si="38"/>
        <v>0.11683651649646914</v>
      </c>
      <c r="K17" s="210">
        <v>34955</v>
      </c>
      <c r="L17" s="96">
        <f t="shared" si="39"/>
        <v>0.18230606348246045</v>
      </c>
      <c r="M17" s="101">
        <f t="shared" si="40"/>
        <v>57357</v>
      </c>
      <c r="N17" s="96">
        <f t="shared" si="41"/>
        <v>0.29914257997892957</v>
      </c>
      <c r="O17" s="210">
        <v>3363</v>
      </c>
      <c r="P17" s="96">
        <f t="shared" si="42"/>
        <v>1.7539559190144886E-2</v>
      </c>
      <c r="Q17" s="210">
        <v>2403</v>
      </c>
      <c r="R17" s="96">
        <f t="shared" si="43"/>
        <v>5.2171081198436824E-2</v>
      </c>
      <c r="S17" s="101">
        <f t="shared" si="44"/>
        <v>5766</v>
      </c>
      <c r="T17" s="96">
        <f t="shared" si="45"/>
        <v>3.0072286140462506E-2</v>
      </c>
      <c r="U17" s="210">
        <v>29285</v>
      </c>
      <c r="V17" s="96">
        <f t="shared" si="46"/>
        <v>0.15273446056598067</v>
      </c>
      <c r="W17" s="210">
        <v>3108</v>
      </c>
      <c r="X17" s="96">
        <f t="shared" si="47"/>
        <v>1.6209619376440769E-2</v>
      </c>
      <c r="Y17" s="210">
        <v>19245</v>
      </c>
      <c r="Z17" s="96">
        <f t="shared" si="48"/>
        <v>0.1003713400577872</v>
      </c>
      <c r="AA17" s="210">
        <v>22311</v>
      </c>
      <c r="AB17" s="96">
        <f t="shared" si="49"/>
        <v>0.48438992618323923</v>
      </c>
      <c r="AC17" s="101">
        <f t="shared" si="50"/>
        <v>41556</v>
      </c>
      <c r="AD17" s="96">
        <f t="shared" si="51"/>
        <v>0.21673325058152271</v>
      </c>
      <c r="AE17" s="210">
        <v>20673</v>
      </c>
      <c r="AF17" s="96">
        <f t="shared" si="52"/>
        <v>0.10781900301453025</v>
      </c>
      <c r="AG17" s="210">
        <v>7356</v>
      </c>
      <c r="AH17" s="96">
        <f t="shared" si="53"/>
        <v>3.8364852037676415E-2</v>
      </c>
      <c r="AI17" s="210">
        <v>10962</v>
      </c>
      <c r="AJ17" s="96">
        <f t="shared" si="54"/>
        <v>5.7171765638527577E-2</v>
      </c>
      <c r="AK17" s="210">
        <v>15675</v>
      </c>
      <c r="AL17" s="96">
        <f t="shared" si="55"/>
        <v>8.1752182665929554E-2</v>
      </c>
    </row>
    <row r="18" spans="2:38" ht="14.25">
      <c r="B18" s="79"/>
      <c r="C18" s="75"/>
      <c r="D18" s="379">
        <f t="shared" si="19"/>
        <v>46061</v>
      </c>
      <c r="E18" s="379" t="s">
        <v>437</v>
      </c>
      <c r="F18" s="84">
        <f t="shared" si="0"/>
        <v>218352</v>
      </c>
      <c r="G18" s="262"/>
      <c r="H18" s="338"/>
      <c r="I18" s="210">
        <v>26718</v>
      </c>
      <c r="J18" s="96">
        <f t="shared" si="38"/>
        <v>0.12236205759507585</v>
      </c>
      <c r="K18" s="210">
        <v>36788</v>
      </c>
      <c r="L18" s="96">
        <f t="shared" si="39"/>
        <v>0.16848025207005202</v>
      </c>
      <c r="M18" s="101">
        <f t="shared" si="40"/>
        <v>63506</v>
      </c>
      <c r="N18" s="96">
        <f t="shared" si="41"/>
        <v>0.29084230966512786</v>
      </c>
      <c r="O18" s="210">
        <v>4547</v>
      </c>
      <c r="P18" s="96">
        <f t="shared" si="42"/>
        <v>2.0824173811094013E-2</v>
      </c>
      <c r="Q18" s="210">
        <v>2826</v>
      </c>
      <c r="R18" s="96">
        <f t="shared" si="43"/>
        <v>6.1353422635201146E-2</v>
      </c>
      <c r="S18" s="101">
        <f t="shared" si="44"/>
        <v>7373</v>
      </c>
      <c r="T18" s="96">
        <f t="shared" si="45"/>
        <v>3.3766578735253169E-2</v>
      </c>
      <c r="U18" s="210">
        <v>35010</v>
      </c>
      <c r="V18" s="96">
        <f t="shared" si="46"/>
        <v>0.16033743679929655</v>
      </c>
      <c r="W18" s="210">
        <v>3622</v>
      </c>
      <c r="X18" s="96">
        <f t="shared" si="47"/>
        <v>1.6587894775408514E-2</v>
      </c>
      <c r="Y18" s="210">
        <v>21541</v>
      </c>
      <c r="Z18" s="96">
        <f t="shared" si="48"/>
        <v>9.8652634278596024E-2</v>
      </c>
      <c r="AA18" s="210">
        <v>24652</v>
      </c>
      <c r="AB18" s="96">
        <f t="shared" si="49"/>
        <v>0.53520331734004911</v>
      </c>
      <c r="AC18" s="101">
        <f t="shared" si="50"/>
        <v>46193</v>
      </c>
      <c r="AD18" s="96">
        <f t="shared" si="51"/>
        <v>0.21155290540045432</v>
      </c>
      <c r="AE18" s="210">
        <v>23055</v>
      </c>
      <c r="AF18" s="96">
        <f t="shared" si="52"/>
        <v>0.10558639261376127</v>
      </c>
      <c r="AG18" s="210">
        <v>8345</v>
      </c>
      <c r="AH18" s="96">
        <f t="shared" si="53"/>
        <v>3.821810654356269E-2</v>
      </c>
      <c r="AI18" s="210">
        <v>12015</v>
      </c>
      <c r="AJ18" s="96">
        <f t="shared" si="54"/>
        <v>5.5025829852714883E-2</v>
      </c>
      <c r="AK18" s="210">
        <v>19233</v>
      </c>
      <c r="AL18" s="96">
        <f t="shared" si="55"/>
        <v>8.8082545614420749E-2</v>
      </c>
    </row>
    <row r="19" spans="2:38" ht="14.25">
      <c r="B19" s="79"/>
      <c r="C19" s="75"/>
      <c r="D19" s="379">
        <f t="shared" si="19"/>
        <v>46062</v>
      </c>
      <c r="E19" s="379" t="s">
        <v>431</v>
      </c>
      <c r="F19" s="84">
        <f t="shared" si="0"/>
        <v>210910</v>
      </c>
      <c r="G19" s="262"/>
      <c r="H19" s="338"/>
      <c r="I19" s="210">
        <v>25958</v>
      </c>
      <c r="J19" s="96">
        <f t="shared" si="38"/>
        <v>0.12307619363709639</v>
      </c>
      <c r="K19" s="210">
        <v>36249</v>
      </c>
      <c r="L19" s="96">
        <f t="shared" si="39"/>
        <v>0.17186951780380258</v>
      </c>
      <c r="M19" s="101">
        <f t="shared" si="40"/>
        <v>62207</v>
      </c>
      <c r="N19" s="96">
        <f t="shared" si="41"/>
        <v>0.29494571144089898</v>
      </c>
      <c r="O19" s="210">
        <v>4362</v>
      </c>
      <c r="P19" s="96">
        <f t="shared" si="42"/>
        <v>2.0681807406002561E-2</v>
      </c>
      <c r="Q19" s="210">
        <v>2822</v>
      </c>
      <c r="R19" s="96">
        <f t="shared" si="43"/>
        <v>6.1265251183187874E-2</v>
      </c>
      <c r="S19" s="101">
        <f t="shared" si="44"/>
        <v>7184</v>
      </c>
      <c r="T19" s="96">
        <f t="shared" si="45"/>
        <v>3.4061922146887295E-2</v>
      </c>
      <c r="U19" s="210">
        <v>34930</v>
      </c>
      <c r="V19" s="96">
        <f t="shared" si="46"/>
        <v>0.1656156654497179</v>
      </c>
      <c r="W19" s="210">
        <v>3690</v>
      </c>
      <c r="X19" s="96">
        <f t="shared" si="47"/>
        <v>1.7495614243042055E-2</v>
      </c>
      <c r="Y19" s="210">
        <v>20625</v>
      </c>
      <c r="Z19" s="96">
        <f t="shared" si="48"/>
        <v>9.7790526764970839E-2</v>
      </c>
      <c r="AA19" s="210">
        <v>23218</v>
      </c>
      <c r="AB19" s="96">
        <f t="shared" si="49"/>
        <v>0.50405974556033173</v>
      </c>
      <c r="AC19" s="101">
        <f t="shared" si="50"/>
        <v>43843</v>
      </c>
      <c r="AD19" s="96">
        <f t="shared" si="51"/>
        <v>0.20787539708880565</v>
      </c>
      <c r="AE19" s="210">
        <v>20177</v>
      </c>
      <c r="AF19" s="96">
        <f t="shared" si="52"/>
        <v>9.5666397989663837E-2</v>
      </c>
      <c r="AG19" s="210">
        <v>8534</v>
      </c>
      <c r="AH19" s="96">
        <f t="shared" si="53"/>
        <v>4.0462756626049028E-2</v>
      </c>
      <c r="AI19" s="210">
        <v>12484</v>
      </c>
      <c r="AJ19" s="96">
        <f t="shared" si="54"/>
        <v>5.9191124176188895E-2</v>
      </c>
      <c r="AK19" s="210">
        <v>17861</v>
      </c>
      <c r="AL19" s="96">
        <f t="shared" si="55"/>
        <v>8.4685410838746381E-2</v>
      </c>
    </row>
    <row r="20" spans="2:38" ht="14.25">
      <c r="B20" s="79"/>
      <c r="C20" s="75"/>
      <c r="D20" s="366">
        <f t="shared" si="19"/>
        <v>46063</v>
      </c>
      <c r="E20" s="366" t="s">
        <v>432</v>
      </c>
      <c r="F20" s="84">
        <f t="shared" si="0"/>
        <v>208026</v>
      </c>
      <c r="G20" s="262"/>
      <c r="H20" s="338"/>
      <c r="I20" s="210">
        <v>25888</v>
      </c>
      <c r="J20" s="96">
        <f t="shared" si="38"/>
        <v>0.12444598271369925</v>
      </c>
      <c r="K20" s="210">
        <v>35625</v>
      </c>
      <c r="L20" s="96">
        <f t="shared" si="39"/>
        <v>0.17125263188255313</v>
      </c>
      <c r="M20" s="101">
        <f t="shared" si="40"/>
        <v>61513</v>
      </c>
      <c r="N20" s="96">
        <f t="shared" si="41"/>
        <v>0.29569861459625241</v>
      </c>
      <c r="O20" s="210">
        <v>4252</v>
      </c>
      <c r="P20" s="96">
        <f t="shared" si="42"/>
        <v>2.043975272321729E-2</v>
      </c>
      <c r="Q20" s="210">
        <v>2826</v>
      </c>
      <c r="R20" s="96">
        <f t="shared" si="43"/>
        <v>6.1350758743460042E-2</v>
      </c>
      <c r="S20" s="101">
        <f t="shared" si="44"/>
        <v>7078</v>
      </c>
      <c r="T20" s="96">
        <f t="shared" si="45"/>
        <v>3.4024593079711188E-2</v>
      </c>
      <c r="U20" s="210">
        <v>33951</v>
      </c>
      <c r="V20" s="96">
        <f t="shared" si="46"/>
        <v>0.16320556084335611</v>
      </c>
      <c r="W20" s="210">
        <v>3808</v>
      </c>
      <c r="X20" s="96">
        <f t="shared" si="47"/>
        <v>1.8305404132175785E-2</v>
      </c>
      <c r="Y20" s="210">
        <v>22296</v>
      </c>
      <c r="Z20" s="96">
        <f t="shared" si="48"/>
        <v>0.10717891032851663</v>
      </c>
      <c r="AA20" s="210">
        <v>23566</v>
      </c>
      <c r="AB20" s="96">
        <f t="shared" si="49"/>
        <v>0.51160367323014133</v>
      </c>
      <c r="AC20" s="101">
        <f t="shared" si="50"/>
        <v>45862</v>
      </c>
      <c r="AD20" s="96">
        <f t="shared" si="51"/>
        <v>0.22046282676203935</v>
      </c>
      <c r="AE20" s="210">
        <v>20726</v>
      </c>
      <c r="AF20" s="96">
        <f t="shared" si="52"/>
        <v>9.963177679713113E-2</v>
      </c>
      <c r="AG20" s="210">
        <v>7909</v>
      </c>
      <c r="AH20" s="96">
        <f t="shared" si="53"/>
        <v>3.8019286050782114E-2</v>
      </c>
      <c r="AI20" s="210">
        <v>10819</v>
      </c>
      <c r="AJ20" s="96">
        <f t="shared" si="54"/>
        <v>5.2007922086662245E-2</v>
      </c>
      <c r="AK20" s="210">
        <v>16360</v>
      </c>
      <c r="AL20" s="96">
        <f t="shared" si="55"/>
        <v>7.8644015651889665E-2</v>
      </c>
    </row>
    <row r="21" spans="2:38" ht="14.25">
      <c r="B21" s="79"/>
      <c r="C21" s="75"/>
      <c r="D21" s="380">
        <f t="shared" si="19"/>
        <v>46064</v>
      </c>
      <c r="E21" s="380" t="s">
        <v>433</v>
      </c>
      <c r="F21" s="84">
        <f t="shared" si="0"/>
        <v>201231</v>
      </c>
      <c r="G21" s="262">
        <f>SUM(F21:F27)</f>
        <v>1419084</v>
      </c>
      <c r="H21" s="338"/>
      <c r="I21" s="210">
        <v>25288</v>
      </c>
      <c r="J21" s="96">
        <f t="shared" si="38"/>
        <v>0.12566652255368208</v>
      </c>
      <c r="K21" s="210">
        <v>33430</v>
      </c>
      <c r="L21" s="96">
        <f t="shared" si="39"/>
        <v>0.16612748532780736</v>
      </c>
      <c r="M21" s="101">
        <f t="shared" si="40"/>
        <v>58718</v>
      </c>
      <c r="N21" s="96">
        <f t="shared" si="41"/>
        <v>0.29179400788148946</v>
      </c>
      <c r="O21" s="210">
        <v>4763</v>
      </c>
      <c r="P21" s="96">
        <f t="shared" si="42"/>
        <v>2.3669315363934979E-2</v>
      </c>
      <c r="Q21" s="210">
        <v>3026</v>
      </c>
      <c r="R21" s="96">
        <f t="shared" si="43"/>
        <v>6.5691212226467524E-2</v>
      </c>
      <c r="S21" s="101">
        <f t="shared" si="44"/>
        <v>7789</v>
      </c>
      <c r="T21" s="96">
        <f t="shared" si="45"/>
        <v>3.8706759892859453E-2</v>
      </c>
      <c r="U21" s="210">
        <v>32085</v>
      </c>
      <c r="V21" s="96">
        <f t="shared" si="46"/>
        <v>0.15944362449125632</v>
      </c>
      <c r="W21" s="210">
        <v>4160</v>
      </c>
      <c r="X21" s="96">
        <f t="shared" si="47"/>
        <v>2.0672759167325114E-2</v>
      </c>
      <c r="Y21" s="210">
        <v>21297</v>
      </c>
      <c r="Z21" s="96">
        <f t="shared" si="48"/>
        <v>0.10583359422752955</v>
      </c>
      <c r="AA21" s="210">
        <v>25196</v>
      </c>
      <c r="AB21" s="96">
        <f t="shared" si="49"/>
        <v>0.54697811740187563</v>
      </c>
      <c r="AC21" s="101">
        <f t="shared" si="50"/>
        <v>46493</v>
      </c>
      <c r="AD21" s="96">
        <f t="shared" si="51"/>
        <v>0.23104293076116503</v>
      </c>
      <c r="AE21" s="210">
        <v>18713</v>
      </c>
      <c r="AF21" s="96">
        <f t="shared" si="52"/>
        <v>9.2992630360133374E-2</v>
      </c>
      <c r="AG21" s="210">
        <v>7348</v>
      </c>
      <c r="AH21" s="96">
        <f t="shared" si="53"/>
        <v>3.6515248644592532E-2</v>
      </c>
      <c r="AI21" s="210">
        <v>10381</v>
      </c>
      <c r="AJ21" s="96">
        <f t="shared" si="54"/>
        <v>5.1587479066346635E-2</v>
      </c>
      <c r="AK21" s="210">
        <v>15544</v>
      </c>
      <c r="AL21" s="96">
        <f t="shared" si="55"/>
        <v>7.7244559734832102E-2</v>
      </c>
    </row>
    <row r="22" spans="2:38" ht="14.25">
      <c r="B22" s="79"/>
      <c r="C22" s="75"/>
      <c r="D22" s="380">
        <f t="shared" si="19"/>
        <v>46065</v>
      </c>
      <c r="E22" s="380" t="s">
        <v>434</v>
      </c>
      <c r="F22" s="84">
        <f t="shared" si="0"/>
        <v>195501</v>
      </c>
      <c r="G22" s="262"/>
      <c r="H22" s="338"/>
      <c r="I22" s="210">
        <v>22960</v>
      </c>
      <c r="J22" s="96">
        <f t="shared" si="38"/>
        <v>0.1174418545173682</v>
      </c>
      <c r="K22" s="210">
        <v>31017</v>
      </c>
      <c r="L22" s="96">
        <f t="shared" si="39"/>
        <v>0.15865391992879832</v>
      </c>
      <c r="M22" s="101">
        <f t="shared" si="40"/>
        <v>53977</v>
      </c>
      <c r="N22" s="96">
        <f t="shared" si="41"/>
        <v>0.27609577444616651</v>
      </c>
      <c r="O22" s="210">
        <v>4716</v>
      </c>
      <c r="P22" s="96">
        <f t="shared" si="42"/>
        <v>2.4122638758881029E-2</v>
      </c>
      <c r="Q22" s="210">
        <v>3185</v>
      </c>
      <c r="R22" s="96">
        <f t="shared" si="43"/>
        <v>6.9141430587213726E-2</v>
      </c>
      <c r="S22" s="101">
        <f t="shared" si="44"/>
        <v>7901</v>
      </c>
      <c r="T22" s="96">
        <f t="shared" si="45"/>
        <v>4.0414115528820828E-2</v>
      </c>
      <c r="U22" s="210">
        <v>34188</v>
      </c>
      <c r="V22" s="96">
        <f t="shared" si="46"/>
        <v>0.17487378581183727</v>
      </c>
      <c r="W22" s="210">
        <v>2773</v>
      </c>
      <c r="X22" s="96">
        <f t="shared" si="47"/>
        <v>1.4184070669715245E-2</v>
      </c>
      <c r="Y22" s="210">
        <v>19631</v>
      </c>
      <c r="Z22" s="96">
        <f t="shared" si="48"/>
        <v>0.10041380862501982</v>
      </c>
      <c r="AA22" s="210">
        <v>23858</v>
      </c>
      <c r="AB22" s="96">
        <f t="shared" si="49"/>
        <v>0.51792032996852277</v>
      </c>
      <c r="AC22" s="101">
        <f t="shared" si="50"/>
        <v>43489</v>
      </c>
      <c r="AD22" s="96">
        <f t="shared" si="51"/>
        <v>0.22244899003074153</v>
      </c>
      <c r="AE22" s="210">
        <v>18139</v>
      </c>
      <c r="AF22" s="96">
        <f t="shared" si="52"/>
        <v>9.2782134106730918E-2</v>
      </c>
      <c r="AG22" s="210">
        <v>6842</v>
      </c>
      <c r="AH22" s="96">
        <f t="shared" si="53"/>
        <v>3.499726344110772E-2</v>
      </c>
      <c r="AI22" s="210">
        <v>12654</v>
      </c>
      <c r="AJ22" s="96">
        <f t="shared" si="54"/>
        <v>6.4726011631654062E-2</v>
      </c>
      <c r="AK22" s="210">
        <v>15538</v>
      </c>
      <c r="AL22" s="96">
        <f t="shared" si="55"/>
        <v>7.947785433322592E-2</v>
      </c>
    </row>
    <row r="23" spans="2:38" ht="14.25">
      <c r="B23" s="79"/>
      <c r="C23" s="75"/>
      <c r="D23" s="380">
        <f t="shared" si="19"/>
        <v>46066</v>
      </c>
      <c r="E23" s="380" t="s">
        <v>435</v>
      </c>
      <c r="F23" s="84">
        <f t="shared" si="0"/>
        <v>188964</v>
      </c>
      <c r="G23" s="262"/>
      <c r="H23" s="338"/>
      <c r="I23" s="210">
        <v>22596</v>
      </c>
      <c r="J23" s="96">
        <f t="shared" si="38"/>
        <v>0.11957833238077094</v>
      </c>
      <c r="K23" s="210">
        <v>30406</v>
      </c>
      <c r="L23" s="96">
        <f t="shared" si="39"/>
        <v>0.16090895620329798</v>
      </c>
      <c r="M23" s="101">
        <f t="shared" si="40"/>
        <v>53002</v>
      </c>
      <c r="N23" s="96">
        <f t="shared" si="41"/>
        <v>0.28048728858406891</v>
      </c>
      <c r="O23" s="210">
        <v>4628</v>
      </c>
      <c r="P23" s="96">
        <f t="shared" si="42"/>
        <v>2.4491437522491055E-2</v>
      </c>
      <c r="Q23" s="210">
        <v>2556</v>
      </c>
      <c r="R23" s="96">
        <f t="shared" si="43"/>
        <v>5.5485607606477659E-2</v>
      </c>
      <c r="S23" s="101">
        <f t="shared" si="44"/>
        <v>7184</v>
      </c>
      <c r="T23" s="96">
        <f t="shared" si="45"/>
        <v>3.8017823500772631E-2</v>
      </c>
      <c r="U23" s="210">
        <v>30514</v>
      </c>
      <c r="V23" s="96">
        <f t="shared" si="46"/>
        <v>0.16148049363900002</v>
      </c>
      <c r="W23" s="210">
        <v>2319</v>
      </c>
      <c r="X23" s="96">
        <f t="shared" si="47"/>
        <v>1.2272178827713216E-2</v>
      </c>
      <c r="Y23" s="210">
        <v>19328</v>
      </c>
      <c r="Z23" s="96">
        <f t="shared" si="48"/>
        <v>0.10228403293749073</v>
      </c>
      <c r="AA23" s="210">
        <v>26649</v>
      </c>
      <c r="AB23" s="96">
        <f t="shared" si="49"/>
        <v>0.57849607085486043</v>
      </c>
      <c r="AC23" s="101">
        <f t="shared" si="50"/>
        <v>45977</v>
      </c>
      <c r="AD23" s="96">
        <f t="shared" si="51"/>
        <v>0.24331089519696875</v>
      </c>
      <c r="AE23" s="210">
        <v>16760</v>
      </c>
      <c r="AF23" s="96">
        <f t="shared" si="52"/>
        <v>8.8694142799686709E-2</v>
      </c>
      <c r="AG23" s="210">
        <v>4938</v>
      </c>
      <c r="AH23" s="96">
        <f t="shared" si="53"/>
        <v>2.6131961643487647E-2</v>
      </c>
      <c r="AI23" s="210">
        <v>12843</v>
      </c>
      <c r="AJ23" s="96">
        <f t="shared" si="54"/>
        <v>6.7965326728900738E-2</v>
      </c>
      <c r="AK23" s="210">
        <v>15427</v>
      </c>
      <c r="AL23" s="96">
        <f t="shared" si="55"/>
        <v>8.1639889079401368E-2</v>
      </c>
    </row>
    <row r="24" spans="2:38" ht="14.25">
      <c r="B24" s="79"/>
      <c r="C24" s="75"/>
      <c r="D24" s="380">
        <f t="shared" si="19"/>
        <v>46067</v>
      </c>
      <c r="E24" s="380" t="s">
        <v>436</v>
      </c>
      <c r="F24" s="84">
        <f t="shared" si="0"/>
        <v>202302</v>
      </c>
      <c r="G24" s="262"/>
      <c r="H24" s="338"/>
      <c r="I24" s="210">
        <v>22255</v>
      </c>
      <c r="J24" s="96">
        <f t="shared" si="38"/>
        <v>0.11000879872665618</v>
      </c>
      <c r="K24" s="210">
        <v>30681</v>
      </c>
      <c r="L24" s="96">
        <f t="shared" si="39"/>
        <v>0.15165940030251801</v>
      </c>
      <c r="M24" s="101">
        <f t="shared" si="40"/>
        <v>52936</v>
      </c>
      <c r="N24" s="96">
        <f t="shared" si="41"/>
        <v>0.26166819902917421</v>
      </c>
      <c r="O24" s="210">
        <v>4461</v>
      </c>
      <c r="P24" s="96">
        <f t="shared" si="42"/>
        <v>2.2051190793961502E-2</v>
      </c>
      <c r="Q24" s="210">
        <v>2566</v>
      </c>
      <c r="R24" s="96">
        <f t="shared" si="43"/>
        <v>5.5701478281633271E-2</v>
      </c>
      <c r="S24" s="101">
        <f t="shared" si="44"/>
        <v>7027</v>
      </c>
      <c r="T24" s="96">
        <f t="shared" si="45"/>
        <v>3.4735197872487668E-2</v>
      </c>
      <c r="U24" s="210">
        <v>33837</v>
      </c>
      <c r="V24" s="96">
        <f t="shared" si="46"/>
        <v>0.16725983925022986</v>
      </c>
      <c r="W24" s="210">
        <v>2492</v>
      </c>
      <c r="X24" s="96">
        <f t="shared" si="47"/>
        <v>1.2318217318662198E-2</v>
      </c>
      <c r="Y24" s="210">
        <v>21528</v>
      </c>
      <c r="Z24" s="96">
        <f t="shared" si="48"/>
        <v>0.10641516149123588</v>
      </c>
      <c r="AA24" s="210">
        <v>28458</v>
      </c>
      <c r="AB24" s="96">
        <f t="shared" si="49"/>
        <v>0.61775240410706145</v>
      </c>
      <c r="AC24" s="101">
        <f t="shared" si="50"/>
        <v>49986</v>
      </c>
      <c r="AD24" s="96">
        <f t="shared" si="51"/>
        <v>0.24708603968324583</v>
      </c>
      <c r="AE24" s="210">
        <v>17981</v>
      </c>
      <c r="AF24" s="96">
        <f t="shared" si="52"/>
        <v>8.888196854208065E-2</v>
      </c>
      <c r="AG24" s="210">
        <v>6177</v>
      </c>
      <c r="AH24" s="96">
        <f t="shared" si="53"/>
        <v>3.0533558738915088E-2</v>
      </c>
      <c r="AI24" s="210">
        <v>15758</v>
      </c>
      <c r="AJ24" s="96">
        <f t="shared" si="54"/>
        <v>7.7893446431572602E-2</v>
      </c>
      <c r="AK24" s="210">
        <v>16108</v>
      </c>
      <c r="AL24" s="96">
        <f t="shared" si="55"/>
        <v>7.9623533133631894E-2</v>
      </c>
    </row>
    <row r="25" spans="2:38" ht="14.25">
      <c r="B25" s="79"/>
      <c r="C25" s="75"/>
      <c r="D25" s="380">
        <f t="shared" si="19"/>
        <v>46068</v>
      </c>
      <c r="E25" s="380" t="s">
        <v>437</v>
      </c>
      <c r="F25" s="84">
        <f t="shared" si="0"/>
        <v>207251</v>
      </c>
      <c r="G25" s="262"/>
      <c r="H25" s="338"/>
      <c r="I25" s="210">
        <v>22779</v>
      </c>
      <c r="J25" s="96">
        <f t="shared" si="38"/>
        <v>0.10991020549961159</v>
      </c>
      <c r="K25" s="210">
        <v>33209</v>
      </c>
      <c r="L25" s="96">
        <f t="shared" si="39"/>
        <v>0.16023565628151373</v>
      </c>
      <c r="M25" s="101">
        <f t="shared" si="40"/>
        <v>55988</v>
      </c>
      <c r="N25" s="96">
        <f t="shared" si="41"/>
        <v>0.27014586178112532</v>
      </c>
      <c r="O25" s="210">
        <v>4324</v>
      </c>
      <c r="P25" s="96">
        <f t="shared" si="42"/>
        <v>2.0863590525498067E-2</v>
      </c>
      <c r="Q25" s="210">
        <v>2610</v>
      </c>
      <c r="R25" s="96">
        <f t="shared" si="43"/>
        <v>5.6655379004949206E-2</v>
      </c>
      <c r="S25" s="101">
        <f t="shared" si="44"/>
        <v>6934</v>
      </c>
      <c r="T25" s="96">
        <f t="shared" si="45"/>
        <v>3.3457015888946257E-2</v>
      </c>
      <c r="U25" s="210">
        <v>34811</v>
      </c>
      <c r="V25" s="96">
        <f t="shared" si="46"/>
        <v>0.16796541391838882</v>
      </c>
      <c r="W25" s="210">
        <v>2476</v>
      </c>
      <c r="X25" s="96">
        <f t="shared" si="47"/>
        <v>1.1946866360114064E-2</v>
      </c>
      <c r="Y25" s="210">
        <v>23002</v>
      </c>
      <c r="Z25" s="96">
        <f t="shared" si="48"/>
        <v>0.1109861954827721</v>
      </c>
      <c r="AA25" s="210">
        <v>28228</v>
      </c>
      <c r="AB25" s="96">
        <f t="shared" si="49"/>
        <v>0.61274637492402539</v>
      </c>
      <c r="AC25" s="101">
        <f t="shared" si="50"/>
        <v>51230</v>
      </c>
      <c r="AD25" s="96">
        <f t="shared" si="51"/>
        <v>0.24718819209557494</v>
      </c>
      <c r="AE25" s="210">
        <v>19921</v>
      </c>
      <c r="AF25" s="96">
        <f t="shared" si="52"/>
        <v>9.6120163473276371E-2</v>
      </c>
      <c r="AG25" s="210">
        <v>5376</v>
      </c>
      <c r="AH25" s="96">
        <f t="shared" si="53"/>
        <v>2.5939561208389826E-2</v>
      </c>
      <c r="AI25" s="210">
        <v>15165</v>
      </c>
      <c r="AJ25" s="96">
        <f t="shared" si="54"/>
        <v>7.317214392210411E-2</v>
      </c>
      <c r="AK25" s="210">
        <v>15350</v>
      </c>
      <c r="AL25" s="96">
        <f t="shared" si="55"/>
        <v>7.4064781352080333E-2</v>
      </c>
    </row>
    <row r="26" spans="2:38" ht="14.25">
      <c r="B26" s="79"/>
      <c r="C26" s="75"/>
      <c r="D26" s="380">
        <f t="shared" si="19"/>
        <v>46069</v>
      </c>
      <c r="E26" s="380" t="s">
        <v>431</v>
      </c>
      <c r="F26" s="84">
        <f t="shared" si="0"/>
        <v>208123</v>
      </c>
      <c r="G26" s="262"/>
      <c r="H26" s="338"/>
      <c r="I26" s="210">
        <v>25089</v>
      </c>
      <c r="J26" s="96">
        <f t="shared" si="38"/>
        <v>0.12054890617567496</v>
      </c>
      <c r="K26" s="210">
        <v>36311</v>
      </c>
      <c r="L26" s="96">
        <f t="shared" si="39"/>
        <v>0.17446894384570663</v>
      </c>
      <c r="M26" s="101">
        <f t="shared" si="40"/>
        <v>61400</v>
      </c>
      <c r="N26" s="96">
        <f t="shared" si="41"/>
        <v>0.29501785002138159</v>
      </c>
      <c r="O26" s="210">
        <v>5020</v>
      </c>
      <c r="P26" s="96">
        <f t="shared" si="42"/>
        <v>2.4120351907285596E-2</v>
      </c>
      <c r="Q26" s="210">
        <v>3293</v>
      </c>
      <c r="R26" s="96">
        <f t="shared" si="43"/>
        <v>7.1479736916364583E-2</v>
      </c>
      <c r="S26" s="101">
        <f t="shared" si="44"/>
        <v>8313</v>
      </c>
      <c r="T26" s="96">
        <f t="shared" si="45"/>
        <v>3.9942726176347643E-2</v>
      </c>
      <c r="U26" s="210">
        <v>35661</v>
      </c>
      <c r="V26" s="96">
        <f t="shared" si="46"/>
        <v>0.17134579071030112</v>
      </c>
      <c r="W26" s="210">
        <v>2734</v>
      </c>
      <c r="X26" s="96">
        <f t="shared" si="47"/>
        <v>1.3136462572613311E-2</v>
      </c>
      <c r="Y26" s="210">
        <v>21473</v>
      </c>
      <c r="Z26" s="96">
        <f t="shared" si="48"/>
        <v>0.10317456504086525</v>
      </c>
      <c r="AA26" s="210">
        <v>27556</v>
      </c>
      <c r="AB26" s="96">
        <f t="shared" si="49"/>
        <v>0.59814625887256068</v>
      </c>
      <c r="AC26" s="101">
        <f t="shared" si="50"/>
        <v>49029</v>
      </c>
      <c r="AD26" s="96">
        <f t="shared" si="51"/>
        <v>0.23557703857814849</v>
      </c>
      <c r="AE26" s="210">
        <v>17452</v>
      </c>
      <c r="AF26" s="96">
        <f t="shared" si="52"/>
        <v>8.3854259260149042E-2</v>
      </c>
      <c r="AG26" s="210">
        <v>5340</v>
      </c>
      <c r="AH26" s="96">
        <f t="shared" si="53"/>
        <v>2.5657904220100614E-2</v>
      </c>
      <c r="AI26" s="210">
        <v>13163</v>
      </c>
      <c r="AJ26" s="96">
        <f t="shared" si="54"/>
        <v>6.3246253417450257E-2</v>
      </c>
      <c r="AK26" s="210">
        <v>15031</v>
      </c>
      <c r="AL26" s="96">
        <f t="shared" si="55"/>
        <v>7.2221715043507925E-2</v>
      </c>
    </row>
    <row r="27" spans="2:38" ht="14.25">
      <c r="B27" s="79"/>
      <c r="C27" s="75"/>
      <c r="D27" s="259">
        <f t="shared" si="19"/>
        <v>46070</v>
      </c>
      <c r="E27" s="259" t="s">
        <v>432</v>
      </c>
      <c r="F27" s="84">
        <f t="shared" si="0"/>
        <v>215712</v>
      </c>
      <c r="G27" s="262"/>
      <c r="H27" s="338"/>
      <c r="I27" s="210">
        <v>26392</v>
      </c>
      <c r="J27" s="96">
        <f t="shared" si="38"/>
        <v>0.12234831627354992</v>
      </c>
      <c r="K27" s="210">
        <v>36858</v>
      </c>
      <c r="L27" s="96">
        <f t="shared" si="39"/>
        <v>0.17086671117044949</v>
      </c>
      <c r="M27" s="101">
        <f t="shared" si="40"/>
        <v>63250</v>
      </c>
      <c r="N27" s="96">
        <f t="shared" si="41"/>
        <v>0.29321502744399941</v>
      </c>
      <c r="O27" s="210">
        <v>5589</v>
      </c>
      <c r="P27" s="96">
        <f t="shared" si="42"/>
        <v>2.5909546061415219E-2</v>
      </c>
      <c r="Q27" s="210">
        <v>3603</v>
      </c>
      <c r="R27" s="96">
        <f t="shared" si="43"/>
        <v>7.8207076188408942E-2</v>
      </c>
      <c r="S27" s="101">
        <f t="shared" si="44"/>
        <v>9192</v>
      </c>
      <c r="T27" s="96">
        <f t="shared" si="45"/>
        <v>4.2612372051624388E-2</v>
      </c>
      <c r="U27" s="210">
        <v>35282</v>
      </c>
      <c r="V27" s="96">
        <f t="shared" si="46"/>
        <v>0.16356067349058004</v>
      </c>
      <c r="W27" s="210">
        <v>2828</v>
      </c>
      <c r="X27" s="96">
        <f t="shared" si="47"/>
        <v>1.3110072689511941E-2</v>
      </c>
      <c r="Y27" s="210">
        <v>22894</v>
      </c>
      <c r="Z27" s="96">
        <f t="shared" si="48"/>
        <v>0.10613225040795134</v>
      </c>
      <c r="AA27" s="210">
        <v>29476</v>
      </c>
      <c r="AB27" s="96">
        <f t="shared" si="49"/>
        <v>0.63980898632515737</v>
      </c>
      <c r="AC27" s="101">
        <f t="shared" si="50"/>
        <v>52370</v>
      </c>
      <c r="AD27" s="96">
        <f t="shared" si="51"/>
        <v>0.24277740691292093</v>
      </c>
      <c r="AE27" s="210">
        <v>18508</v>
      </c>
      <c r="AF27" s="96">
        <f t="shared" si="52"/>
        <v>8.5799584631360337E-2</v>
      </c>
      <c r="AG27" s="210">
        <v>5642</v>
      </c>
      <c r="AH27" s="96">
        <f t="shared" si="53"/>
        <v>2.6155244029075805E-2</v>
      </c>
      <c r="AI27" s="210">
        <v>13484</v>
      </c>
      <c r="AJ27" s="96">
        <f t="shared" si="54"/>
        <v>6.2509271621421156E-2</v>
      </c>
      <c r="AK27" s="210">
        <v>15156</v>
      </c>
      <c r="AL27" s="96">
        <f t="shared" si="55"/>
        <v>7.0260347129506004E-2</v>
      </c>
    </row>
    <row r="28" spans="2:38" ht="14.25">
      <c r="B28" s="79"/>
      <c r="C28" s="75"/>
      <c r="D28" s="379">
        <f t="shared" si="19"/>
        <v>46071</v>
      </c>
      <c r="E28" s="379" t="s">
        <v>433</v>
      </c>
      <c r="F28" s="84">
        <f t="shared" si="0"/>
        <v>209717</v>
      </c>
      <c r="G28" s="262">
        <f>SUM(F28:F34)</f>
        <v>1555673</v>
      </c>
      <c r="H28" s="338"/>
      <c r="I28" s="210">
        <v>26463</v>
      </c>
      <c r="J28" s="96">
        <f t="shared" si="38"/>
        <v>0.12618433412646565</v>
      </c>
      <c r="K28" s="210">
        <v>35698</v>
      </c>
      <c r="L28" s="96">
        <f t="shared" si="39"/>
        <v>0.17021986772650763</v>
      </c>
      <c r="M28" s="101">
        <f t="shared" si="40"/>
        <v>62161</v>
      </c>
      <c r="N28" s="96">
        <f t="shared" si="41"/>
        <v>0.29640420185297328</v>
      </c>
      <c r="O28" s="210">
        <v>5621</v>
      </c>
      <c r="P28" s="96">
        <f t="shared" si="42"/>
        <v>2.6802786612434851E-2</v>
      </c>
      <c r="Q28" s="210">
        <v>3392</v>
      </c>
      <c r="R28" s="96">
        <f t="shared" si="43"/>
        <v>7.3625491089839595E-2</v>
      </c>
      <c r="S28" s="101">
        <f t="shared" si="44"/>
        <v>9013</v>
      </c>
      <c r="T28" s="96">
        <f t="shared" si="45"/>
        <v>4.2976964194605109E-2</v>
      </c>
      <c r="U28" s="210">
        <v>35285</v>
      </c>
      <c r="V28" s="96">
        <f t="shared" si="46"/>
        <v>0.16825054716594268</v>
      </c>
      <c r="W28" s="210">
        <v>2785</v>
      </c>
      <c r="X28" s="96">
        <f t="shared" si="47"/>
        <v>1.3279800874511843E-2</v>
      </c>
      <c r="Y28" s="210">
        <v>21530</v>
      </c>
      <c r="Z28" s="96">
        <f t="shared" si="48"/>
        <v>0.10266215900475402</v>
      </c>
      <c r="AA28" s="210">
        <v>28055</v>
      </c>
      <c r="AB28" s="96">
        <f t="shared" si="49"/>
        <v>0.60895140109830481</v>
      </c>
      <c r="AC28" s="101">
        <f t="shared" si="50"/>
        <v>49585</v>
      </c>
      <c r="AD28" s="96">
        <f t="shared" si="51"/>
        <v>0.23643767553417225</v>
      </c>
      <c r="AE28" s="210">
        <v>17599</v>
      </c>
      <c r="AF28" s="96">
        <f t="shared" si="52"/>
        <v>8.3917851199473578E-2</v>
      </c>
      <c r="AG28" s="210">
        <v>5698</v>
      </c>
      <c r="AH28" s="96">
        <f t="shared" si="53"/>
        <v>2.7169948072879167E-2</v>
      </c>
      <c r="AI28" s="210">
        <v>12583</v>
      </c>
      <c r="AJ28" s="96">
        <f t="shared" si="54"/>
        <v>5.9999904633386898E-2</v>
      </c>
      <c r="AK28" s="210">
        <v>15008</v>
      </c>
      <c r="AL28" s="96">
        <f t="shared" si="55"/>
        <v>7.1563106472055202E-2</v>
      </c>
    </row>
    <row r="29" spans="2:38" ht="14.25">
      <c r="B29" s="79"/>
      <c r="C29" s="75"/>
      <c r="D29" s="379">
        <f t="shared" si="19"/>
        <v>46072</v>
      </c>
      <c r="E29" s="379" t="s">
        <v>434</v>
      </c>
      <c r="F29" s="84">
        <f t="shared" si="0"/>
        <v>201362</v>
      </c>
      <c r="G29" s="262"/>
      <c r="H29" s="338"/>
      <c r="I29" s="210">
        <v>25421</v>
      </c>
      <c r="J29" s="96">
        <f t="shared" si="38"/>
        <v>0.12624526971325276</v>
      </c>
      <c r="K29" s="210">
        <v>34036</v>
      </c>
      <c r="L29" s="96">
        <f t="shared" si="39"/>
        <v>0.1690289131017769</v>
      </c>
      <c r="M29" s="101">
        <f t="shared" si="40"/>
        <v>59457</v>
      </c>
      <c r="N29" s="96">
        <f t="shared" si="41"/>
        <v>0.29527418281502965</v>
      </c>
      <c r="O29" s="210">
        <v>5424</v>
      </c>
      <c r="P29" s="96">
        <f t="shared" si="42"/>
        <v>2.6936562012693555E-2</v>
      </c>
      <c r="Q29" s="210">
        <v>3298</v>
      </c>
      <c r="R29" s="96">
        <f t="shared" si="43"/>
        <v>7.1583608265323839E-2</v>
      </c>
      <c r="S29" s="101">
        <f t="shared" si="44"/>
        <v>8722</v>
      </c>
      <c r="T29" s="96">
        <f t="shared" si="45"/>
        <v>4.3315024681916149E-2</v>
      </c>
      <c r="U29" s="210">
        <v>32994</v>
      </c>
      <c r="V29" s="96">
        <f t="shared" si="46"/>
        <v>0.16385415321659499</v>
      </c>
      <c r="W29" s="210">
        <v>2607</v>
      </c>
      <c r="X29" s="96">
        <f t="shared" si="47"/>
        <v>1.2946832073578928E-2</v>
      </c>
      <c r="Y29" s="210">
        <v>21517</v>
      </c>
      <c r="Z29" s="96">
        <f t="shared" si="48"/>
        <v>0.10685730177491284</v>
      </c>
      <c r="AA29" s="210">
        <v>25022</v>
      </c>
      <c r="AB29" s="96">
        <f t="shared" si="49"/>
        <v>0.54310644209064074</v>
      </c>
      <c r="AC29" s="101">
        <f t="shared" si="50"/>
        <v>46539</v>
      </c>
      <c r="AD29" s="96">
        <f t="shared" si="51"/>
        <v>0.23112106554364775</v>
      </c>
      <c r="AE29" s="210">
        <v>17234</v>
      </c>
      <c r="AF29" s="96">
        <f t="shared" si="52"/>
        <v>8.5587151498296599E-2</v>
      </c>
      <c r="AG29" s="210">
        <v>5991</v>
      </c>
      <c r="AH29" s="96">
        <f t="shared" si="53"/>
        <v>2.9752386249639953E-2</v>
      </c>
      <c r="AI29" s="210">
        <v>12288</v>
      </c>
      <c r="AJ29" s="96">
        <f t="shared" si="54"/>
        <v>6.1024423674774786E-2</v>
      </c>
      <c r="AK29" s="210">
        <v>15530</v>
      </c>
      <c r="AL29" s="96">
        <f t="shared" si="55"/>
        <v>7.7124780246521196E-2</v>
      </c>
    </row>
    <row r="30" spans="2:38" ht="14.25">
      <c r="B30" s="79"/>
      <c r="C30" s="75"/>
      <c r="D30" s="379">
        <f t="shared" si="19"/>
        <v>46073</v>
      </c>
      <c r="E30" s="379" t="s">
        <v>435</v>
      </c>
      <c r="F30" s="84">
        <f t="shared" si="0"/>
        <v>199321</v>
      </c>
      <c r="G30" s="262"/>
      <c r="H30" s="338"/>
      <c r="I30" s="210">
        <v>22664</v>
      </c>
      <c r="J30" s="96">
        <f t="shared" si="38"/>
        <v>0.11370603197856724</v>
      </c>
      <c r="K30" s="210">
        <v>32592</v>
      </c>
      <c r="L30" s="96">
        <f t="shared" si="39"/>
        <v>0.16351513387952096</v>
      </c>
      <c r="M30" s="101">
        <f t="shared" si="40"/>
        <v>55256</v>
      </c>
      <c r="N30" s="96">
        <f t="shared" si="41"/>
        <v>0.2772211658580882</v>
      </c>
      <c r="O30" s="210">
        <v>4564</v>
      </c>
      <c r="P30" s="96">
        <f t="shared" si="42"/>
        <v>2.2897737819898557E-2</v>
      </c>
      <c r="Q30" s="210">
        <v>2898</v>
      </c>
      <c r="R30" s="96">
        <f t="shared" si="43"/>
        <v>6.2900180148894147E-2</v>
      </c>
      <c r="S30" s="101">
        <f t="shared" si="44"/>
        <v>7462</v>
      </c>
      <c r="T30" s="96">
        <f t="shared" si="45"/>
        <v>3.7437098950938434E-2</v>
      </c>
      <c r="U30" s="210">
        <v>33006</v>
      </c>
      <c r="V30" s="96">
        <f t="shared" si="46"/>
        <v>0.16559218546966953</v>
      </c>
      <c r="W30" s="210">
        <v>2444</v>
      </c>
      <c r="X30" s="96">
        <f t="shared" si="47"/>
        <v>1.2261628227833495E-2</v>
      </c>
      <c r="Y30" s="210">
        <v>22260</v>
      </c>
      <c r="Z30" s="96">
        <f t="shared" si="48"/>
        <v>0.11167915071668313</v>
      </c>
      <c r="AA30" s="210">
        <v>27409</v>
      </c>
      <c r="AB30" s="96">
        <f t="shared" si="49"/>
        <v>0.59490373971740496</v>
      </c>
      <c r="AC30" s="101">
        <f t="shared" si="50"/>
        <v>49669</v>
      </c>
      <c r="AD30" s="96">
        <f t="shared" si="51"/>
        <v>0.24919100345673562</v>
      </c>
      <c r="AE30" s="210">
        <v>17446</v>
      </c>
      <c r="AF30" s="96">
        <f t="shared" si="52"/>
        <v>8.7527154690173137E-2</v>
      </c>
      <c r="AG30" s="210">
        <v>5458</v>
      </c>
      <c r="AH30" s="96">
        <f t="shared" si="53"/>
        <v>2.7382965166741085E-2</v>
      </c>
      <c r="AI30" s="210">
        <v>12932</v>
      </c>
      <c r="AJ30" s="96">
        <f t="shared" si="54"/>
        <v>6.4880268511596867E-2</v>
      </c>
      <c r="AK30" s="210">
        <v>15648</v>
      </c>
      <c r="AL30" s="96">
        <f t="shared" si="55"/>
        <v>7.8506529668223621E-2</v>
      </c>
    </row>
    <row r="31" spans="2:38" ht="14.25">
      <c r="B31" s="79"/>
      <c r="C31" s="75"/>
      <c r="D31" s="379">
        <f t="shared" si="19"/>
        <v>46074</v>
      </c>
      <c r="E31" s="379" t="s">
        <v>436</v>
      </c>
      <c r="F31" s="84">
        <f t="shared" si="0"/>
        <v>217412</v>
      </c>
      <c r="G31" s="262"/>
      <c r="H31" s="338"/>
      <c r="I31" s="210">
        <v>22547</v>
      </c>
      <c r="J31" s="96">
        <f t="shared" si="38"/>
        <v>0.10370632715765458</v>
      </c>
      <c r="K31" s="210">
        <v>37278</v>
      </c>
      <c r="L31" s="96">
        <f t="shared" si="39"/>
        <v>0.1714624767722113</v>
      </c>
      <c r="M31" s="101">
        <f t="shared" si="40"/>
        <v>59825</v>
      </c>
      <c r="N31" s="96">
        <f t="shared" si="41"/>
        <v>0.27516880392986587</v>
      </c>
      <c r="O31" s="210">
        <v>4593</v>
      </c>
      <c r="P31" s="96">
        <f t="shared" si="42"/>
        <v>2.112578882490387E-2</v>
      </c>
      <c r="Q31" s="210">
        <v>3055</v>
      </c>
      <c r="R31" s="96">
        <f t="shared" si="43"/>
        <v>6.6306376698354819E-2</v>
      </c>
      <c r="S31" s="101">
        <f t="shared" si="44"/>
        <v>7648</v>
      </c>
      <c r="T31" s="96">
        <f t="shared" si="45"/>
        <v>3.5177451106654649E-2</v>
      </c>
      <c r="U31" s="210">
        <v>36803</v>
      </c>
      <c r="V31" s="96">
        <f t="shared" si="46"/>
        <v>0.16927768476441044</v>
      </c>
      <c r="W31" s="210">
        <v>2952</v>
      </c>
      <c r="X31" s="96">
        <f t="shared" si="47"/>
        <v>1.3577907383217118E-2</v>
      </c>
      <c r="Y31" s="210">
        <v>23911</v>
      </c>
      <c r="Z31" s="96">
        <f t="shared" si="48"/>
        <v>0.10998012989163432</v>
      </c>
      <c r="AA31" s="210">
        <v>26535</v>
      </c>
      <c r="AB31" s="96">
        <f t="shared" si="49"/>
        <v>0.57592134392499028</v>
      </c>
      <c r="AC31" s="101">
        <f t="shared" si="50"/>
        <v>50446</v>
      </c>
      <c r="AD31" s="96">
        <f t="shared" si="51"/>
        <v>0.23202951079057274</v>
      </c>
      <c r="AE31" s="210">
        <v>19353</v>
      </c>
      <c r="AF31" s="96">
        <f t="shared" si="52"/>
        <v>8.9015325740989457E-2</v>
      </c>
      <c r="AG31" s="210">
        <v>6829</v>
      </c>
      <c r="AH31" s="96">
        <f t="shared" si="53"/>
        <v>3.1410409728993803E-2</v>
      </c>
      <c r="AI31" s="210">
        <v>15792</v>
      </c>
      <c r="AJ31" s="96">
        <f t="shared" si="54"/>
        <v>7.2636285025665562E-2</v>
      </c>
      <c r="AK31" s="210">
        <v>17764</v>
      </c>
      <c r="AL31" s="96">
        <f t="shared" si="55"/>
        <v>8.1706621529630374E-2</v>
      </c>
    </row>
    <row r="32" spans="2:38" ht="14.25">
      <c r="B32" s="79"/>
      <c r="C32" s="75"/>
      <c r="D32" s="379">
        <f t="shared" si="19"/>
        <v>46075</v>
      </c>
      <c r="E32" s="379" t="s">
        <v>437</v>
      </c>
      <c r="F32" s="84">
        <f t="shared" si="0"/>
        <v>248303</v>
      </c>
      <c r="G32" s="262"/>
      <c r="H32" s="338"/>
      <c r="I32" s="210">
        <v>29821</v>
      </c>
      <c r="J32" s="96">
        <f t="shared" si="38"/>
        <v>0.12009923359766092</v>
      </c>
      <c r="K32" s="210">
        <v>41916</v>
      </c>
      <c r="L32" s="96">
        <f t="shared" si="39"/>
        <v>0.16880988147545539</v>
      </c>
      <c r="M32" s="101">
        <f t="shared" si="40"/>
        <v>71737</v>
      </c>
      <c r="N32" s="96">
        <f t="shared" si="41"/>
        <v>0.28890911507311634</v>
      </c>
      <c r="O32" s="210">
        <v>5923</v>
      </c>
      <c r="P32" s="96">
        <f t="shared" si="42"/>
        <v>2.3853920411754992E-2</v>
      </c>
      <c r="Q32" s="210">
        <v>3895</v>
      </c>
      <c r="R32" s="96">
        <f t="shared" si="43"/>
        <v>8.4536082474226809E-2</v>
      </c>
      <c r="S32" s="101">
        <f t="shared" si="44"/>
        <v>9818</v>
      </c>
      <c r="T32" s="96">
        <f t="shared" si="45"/>
        <v>3.9540400236807452E-2</v>
      </c>
      <c r="U32" s="210">
        <v>39837</v>
      </c>
      <c r="V32" s="96">
        <f t="shared" si="46"/>
        <v>0.16043704667281508</v>
      </c>
      <c r="W32" s="210">
        <v>3220</v>
      </c>
      <c r="X32" s="96">
        <f t="shared" si="47"/>
        <v>1.2968026967052352E-2</v>
      </c>
      <c r="Y32" s="210">
        <v>25656</v>
      </c>
      <c r="Z32" s="96">
        <f t="shared" si="48"/>
        <v>0.10332537262940843</v>
      </c>
      <c r="AA32" s="210">
        <v>28735</v>
      </c>
      <c r="AB32" s="96">
        <f t="shared" si="49"/>
        <v>0.623657080846446</v>
      </c>
      <c r="AC32" s="101">
        <f t="shared" si="50"/>
        <v>54391</v>
      </c>
      <c r="AD32" s="96">
        <f t="shared" si="51"/>
        <v>0.21905091762886472</v>
      </c>
      <c r="AE32" s="210">
        <v>23467</v>
      </c>
      <c r="AF32" s="96">
        <f t="shared" si="52"/>
        <v>9.4509530694353264E-2</v>
      </c>
      <c r="AG32" s="210">
        <v>7755</v>
      </c>
      <c r="AH32" s="96">
        <f t="shared" si="53"/>
        <v>3.1232002835245649E-2</v>
      </c>
      <c r="AI32" s="210">
        <v>18897</v>
      </c>
      <c r="AJ32" s="96">
        <f t="shared" si="54"/>
        <v>7.6104598011300706E-2</v>
      </c>
      <c r="AK32" s="210">
        <v>19181</v>
      </c>
      <c r="AL32" s="96">
        <f t="shared" si="55"/>
        <v>7.7248361880444455E-2</v>
      </c>
    </row>
    <row r="33" spans="2:38" ht="14.25">
      <c r="B33" s="79"/>
      <c r="C33" s="75"/>
      <c r="D33" s="379">
        <f t="shared" si="19"/>
        <v>46076</v>
      </c>
      <c r="E33" s="379" t="s">
        <v>431</v>
      </c>
      <c r="F33" s="84">
        <f t="shared" si="0"/>
        <v>241058</v>
      </c>
      <c r="G33" s="262"/>
      <c r="H33" s="338"/>
      <c r="I33" s="210">
        <v>29093</v>
      </c>
      <c r="J33" s="96">
        <f t="shared" si="38"/>
        <v>0.12068879688705622</v>
      </c>
      <c r="K33" s="210">
        <v>41294</v>
      </c>
      <c r="L33" s="96">
        <f t="shared" si="39"/>
        <v>0.17130317185075791</v>
      </c>
      <c r="M33" s="101">
        <f t="shared" si="40"/>
        <v>70387</v>
      </c>
      <c r="N33" s="96">
        <f t="shared" si="41"/>
        <v>0.29199196873781413</v>
      </c>
      <c r="O33" s="210">
        <v>5643</v>
      </c>
      <c r="P33" s="96">
        <f t="shared" si="42"/>
        <v>2.3409303984933086E-2</v>
      </c>
      <c r="Q33" s="210">
        <v>3897</v>
      </c>
      <c r="R33" s="96">
        <f t="shared" si="43"/>
        <v>8.4577654310269992E-2</v>
      </c>
      <c r="S33" s="101">
        <f t="shared" si="44"/>
        <v>9540</v>
      </c>
      <c r="T33" s="96">
        <f t="shared" si="45"/>
        <v>3.9575537837366941E-2</v>
      </c>
      <c r="U33" s="210">
        <v>37404</v>
      </c>
      <c r="V33" s="96">
        <f t="shared" si="46"/>
        <v>0.1551659766529217</v>
      </c>
      <c r="W33" s="210">
        <v>3249</v>
      </c>
      <c r="X33" s="96">
        <f t="shared" si="47"/>
        <v>1.3478084112537233E-2</v>
      </c>
      <c r="Y33" s="210">
        <v>24092</v>
      </c>
      <c r="Z33" s="96">
        <f t="shared" si="48"/>
        <v>9.9942752366650345E-2</v>
      </c>
      <c r="AA33" s="210">
        <v>27446</v>
      </c>
      <c r="AB33" s="96">
        <f t="shared" si="49"/>
        <v>0.59566802673843211</v>
      </c>
      <c r="AC33" s="101">
        <f t="shared" si="50"/>
        <v>51538</v>
      </c>
      <c r="AD33" s="96">
        <f t="shared" si="51"/>
        <v>0.21379916866480267</v>
      </c>
      <c r="AE33" s="210">
        <v>22602</v>
      </c>
      <c r="AF33" s="96">
        <f t="shared" si="52"/>
        <v>9.3761667316579408E-2</v>
      </c>
      <c r="AG33" s="210">
        <v>7892</v>
      </c>
      <c r="AH33" s="96">
        <f t="shared" si="53"/>
        <v>3.2739008869234788E-2</v>
      </c>
      <c r="AI33" s="210">
        <v>19517</v>
      </c>
      <c r="AJ33" s="96">
        <f t="shared" si="54"/>
        <v>8.0963917397472801E-2</v>
      </c>
      <c r="AK33" s="210">
        <v>18929</v>
      </c>
      <c r="AL33" s="96">
        <f t="shared" si="55"/>
        <v>7.8524670411270314E-2</v>
      </c>
    </row>
    <row r="34" spans="2:38" ht="14.25">
      <c r="B34" s="79"/>
      <c r="C34" s="75"/>
      <c r="D34" s="366">
        <f t="shared" si="19"/>
        <v>46077</v>
      </c>
      <c r="E34" s="366" t="s">
        <v>432</v>
      </c>
      <c r="F34" s="84">
        <f t="shared" si="0"/>
        <v>238500</v>
      </c>
      <c r="G34" s="262"/>
      <c r="H34" s="338"/>
      <c r="I34" s="210">
        <v>29407</v>
      </c>
      <c r="J34" s="96">
        <f t="shared" si="38"/>
        <v>0.12329979035639413</v>
      </c>
      <c r="K34" s="210">
        <v>40430</v>
      </c>
      <c r="L34" s="96">
        <f t="shared" si="39"/>
        <v>0.16951781970649896</v>
      </c>
      <c r="M34" s="101">
        <f t="shared" si="40"/>
        <v>69837</v>
      </c>
      <c r="N34" s="96">
        <f t="shared" si="41"/>
        <v>0.29281761006289309</v>
      </c>
      <c r="O34" s="210">
        <v>5333</v>
      </c>
      <c r="P34" s="96">
        <f t="shared" si="42"/>
        <v>2.2360587002096435E-2</v>
      </c>
      <c r="Q34" s="210">
        <v>3625</v>
      </c>
      <c r="R34" s="96">
        <f t="shared" si="43"/>
        <v>7.8672656639972222E-2</v>
      </c>
      <c r="S34" s="101">
        <f t="shared" si="44"/>
        <v>8958</v>
      </c>
      <c r="T34" s="96">
        <f t="shared" si="45"/>
        <v>3.7559748427672957E-2</v>
      </c>
      <c r="U34" s="210">
        <v>37598</v>
      </c>
      <c r="V34" s="96">
        <f t="shared" si="46"/>
        <v>0.15764360587002096</v>
      </c>
      <c r="W34" s="210">
        <v>2479</v>
      </c>
      <c r="X34" s="96">
        <f t="shared" si="47"/>
        <v>1.0394129979035639E-2</v>
      </c>
      <c r="Y34" s="210">
        <v>23731</v>
      </c>
      <c r="Z34" s="96">
        <f t="shared" si="48"/>
        <v>9.9501048218029353E-2</v>
      </c>
      <c r="AA34" s="210">
        <v>25722</v>
      </c>
      <c r="AB34" s="96">
        <f t="shared" si="49"/>
        <v>0.55823946871541119</v>
      </c>
      <c r="AC34" s="101">
        <f t="shared" si="50"/>
        <v>49453</v>
      </c>
      <c r="AD34" s="96">
        <f t="shared" si="51"/>
        <v>0.20735010482180294</v>
      </c>
      <c r="AE34" s="210">
        <v>24200</v>
      </c>
      <c r="AF34" s="96">
        <f t="shared" si="52"/>
        <v>0.10146750524109015</v>
      </c>
      <c r="AG34" s="210">
        <v>7545</v>
      </c>
      <c r="AH34" s="96">
        <f t="shared" si="53"/>
        <v>3.1635220125786165E-2</v>
      </c>
      <c r="AI34" s="210">
        <v>20160</v>
      </c>
      <c r="AJ34" s="96">
        <f t="shared" si="54"/>
        <v>8.4528301886792459E-2</v>
      </c>
      <c r="AK34" s="210">
        <v>18270</v>
      </c>
      <c r="AL34" s="96">
        <f t="shared" si="55"/>
        <v>7.6603773584905666E-2</v>
      </c>
    </row>
    <row r="35" spans="2:38" ht="14.25">
      <c r="B35" s="79"/>
      <c r="C35" s="75"/>
      <c r="D35" s="380">
        <f t="shared" si="19"/>
        <v>46078</v>
      </c>
      <c r="E35" s="380" t="s">
        <v>433</v>
      </c>
      <c r="F35" s="84">
        <f t="shared" si="0"/>
        <v>220012</v>
      </c>
      <c r="G35" s="262">
        <f>SUM(F35:F41)</f>
        <v>823038</v>
      </c>
      <c r="H35" s="338"/>
      <c r="I35" s="210">
        <v>29111</v>
      </c>
      <c r="J35" s="96">
        <f t="shared" si="38"/>
        <v>0.13231551006308748</v>
      </c>
      <c r="K35" s="210">
        <v>38236</v>
      </c>
      <c r="L35" s="96">
        <f t="shared" si="39"/>
        <v>0.1737905205170627</v>
      </c>
      <c r="M35" s="101">
        <f t="shared" si="40"/>
        <v>67347</v>
      </c>
      <c r="N35" s="96">
        <f t="shared" si="41"/>
        <v>0.30610603058015018</v>
      </c>
      <c r="O35" s="210">
        <v>5381</v>
      </c>
      <c r="P35" s="96">
        <f t="shared" si="42"/>
        <v>2.4457756849626384E-2</v>
      </c>
      <c r="Q35" s="210">
        <v>3546</v>
      </c>
      <c r="R35" s="96">
        <f t="shared" si="43"/>
        <v>7.6956465124354362E-2</v>
      </c>
      <c r="S35" s="101">
        <f t="shared" si="44"/>
        <v>8927</v>
      </c>
      <c r="T35" s="96">
        <f t="shared" si="45"/>
        <v>4.057505954220679E-2</v>
      </c>
      <c r="U35" s="210">
        <v>31949</v>
      </c>
      <c r="V35" s="96">
        <f t="shared" si="46"/>
        <v>0.1452148064651019</v>
      </c>
      <c r="W35" s="210">
        <v>2003</v>
      </c>
      <c r="X35" s="96">
        <f t="shared" si="47"/>
        <v>9.1040488700616339E-3</v>
      </c>
      <c r="Y35" s="210">
        <v>22058</v>
      </c>
      <c r="Z35" s="96">
        <f t="shared" si="48"/>
        <v>0.10025816773630529</v>
      </c>
      <c r="AA35" s="210">
        <v>22622</v>
      </c>
      <c r="AB35" s="96">
        <f t="shared" si="49"/>
        <v>0.49095012804375188</v>
      </c>
      <c r="AC35" s="101">
        <f t="shared" si="50"/>
        <v>44680</v>
      </c>
      <c r="AD35" s="96">
        <f t="shared" si="51"/>
        <v>0.20307983200916313</v>
      </c>
      <c r="AE35" s="210">
        <v>22645</v>
      </c>
      <c r="AF35" s="96">
        <f t="shared" si="52"/>
        <v>0.10292620402523499</v>
      </c>
      <c r="AG35" s="210">
        <v>6719</v>
      </c>
      <c r="AH35" s="96">
        <f t="shared" si="53"/>
        <v>3.0539243314001055E-2</v>
      </c>
      <c r="AI35" s="210">
        <v>18969</v>
      </c>
      <c r="AJ35" s="96">
        <f t="shared" si="54"/>
        <v>8.6218024471392471E-2</v>
      </c>
      <c r="AK35" s="210">
        <v>16773</v>
      </c>
      <c r="AL35" s="96">
        <f t="shared" si="55"/>
        <v>7.623675072268786E-2</v>
      </c>
    </row>
    <row r="36" spans="2:38" ht="14.25">
      <c r="B36" s="79"/>
      <c r="C36" s="75"/>
      <c r="D36" s="380">
        <f t="shared" si="19"/>
        <v>46079</v>
      </c>
      <c r="E36" s="380" t="s">
        <v>434</v>
      </c>
      <c r="F36" s="84">
        <f t="shared" si="0"/>
        <v>203308</v>
      </c>
      <c r="G36" s="262"/>
      <c r="H36" s="338"/>
      <c r="I36" s="210">
        <v>24757</v>
      </c>
      <c r="J36" s="96">
        <f t="shared" si="38"/>
        <v>0.12177090916245303</v>
      </c>
      <c r="K36" s="210">
        <v>35888</v>
      </c>
      <c r="L36" s="96">
        <f t="shared" si="39"/>
        <v>0.17652035335550004</v>
      </c>
      <c r="M36" s="101">
        <f t="shared" si="40"/>
        <v>60645</v>
      </c>
      <c r="N36" s="96">
        <f t="shared" si="41"/>
        <v>0.29829126251795307</v>
      </c>
      <c r="O36" s="210">
        <v>5158</v>
      </c>
      <c r="P36" s="96">
        <f t="shared" si="42"/>
        <v>2.5370374013811557E-2</v>
      </c>
      <c r="Q36" s="210">
        <v>3249</v>
      </c>
      <c r="R36" s="96">
        <f t="shared" si="43"/>
        <v>7.0509342650665163E-2</v>
      </c>
      <c r="S36" s="101">
        <f t="shared" si="44"/>
        <v>8407</v>
      </c>
      <c r="T36" s="96">
        <f t="shared" si="45"/>
        <v>4.1351053573887894E-2</v>
      </c>
      <c r="U36" s="210">
        <v>31073</v>
      </c>
      <c r="V36" s="96">
        <f t="shared" si="46"/>
        <v>0.15283707478308772</v>
      </c>
      <c r="W36" s="210">
        <v>2001</v>
      </c>
      <c r="X36" s="96">
        <f t="shared" si="47"/>
        <v>9.8422098490959526E-3</v>
      </c>
      <c r="Y36" s="210">
        <v>20387</v>
      </c>
      <c r="Z36" s="96">
        <f t="shared" si="48"/>
        <v>0.10027642788281818</v>
      </c>
      <c r="AA36" s="210">
        <v>19943</v>
      </c>
      <c r="AB36" s="96">
        <f t="shared" si="49"/>
        <v>0.43280019097636668</v>
      </c>
      <c r="AC36" s="101">
        <f t="shared" si="50"/>
        <v>40330</v>
      </c>
      <c r="AD36" s="96">
        <f t="shared" si="51"/>
        <v>0.19836897711846066</v>
      </c>
      <c r="AE36" s="210">
        <v>20608</v>
      </c>
      <c r="AF36" s="96">
        <f t="shared" si="52"/>
        <v>0.1013634485608043</v>
      </c>
      <c r="AG36" s="210">
        <v>5957</v>
      </c>
      <c r="AH36" s="96">
        <f t="shared" si="53"/>
        <v>2.9300371849607491E-2</v>
      </c>
      <c r="AI36" s="210">
        <v>18932</v>
      </c>
      <c r="AJ36" s="96">
        <f t="shared" si="54"/>
        <v>9.3119798532276157E-2</v>
      </c>
      <c r="AK36" s="210">
        <v>15355</v>
      </c>
      <c r="AL36" s="96">
        <f t="shared" si="55"/>
        <v>7.552580321482677E-2</v>
      </c>
    </row>
    <row r="37" spans="2:38" ht="14.25">
      <c r="B37" s="79"/>
      <c r="C37" s="75"/>
      <c r="D37" s="380">
        <f t="shared" si="19"/>
        <v>46080</v>
      </c>
      <c r="E37" s="380" t="s">
        <v>435</v>
      </c>
      <c r="F37" s="84">
        <f t="shared" si="0"/>
        <v>192545</v>
      </c>
      <c r="G37" s="262"/>
      <c r="H37" s="338"/>
      <c r="I37" s="210">
        <v>23954</v>
      </c>
      <c r="J37" s="96">
        <f t="shared" si="38"/>
        <v>0.12440728141473421</v>
      </c>
      <c r="K37" s="210">
        <v>35194</v>
      </c>
      <c r="L37" s="96">
        <f t="shared" si="39"/>
        <v>0.18278324547508373</v>
      </c>
      <c r="M37" s="101">
        <f t="shared" si="40"/>
        <v>59148</v>
      </c>
      <c r="N37" s="96">
        <f t="shared" si="41"/>
        <v>0.30719052688981796</v>
      </c>
      <c r="O37" s="210">
        <v>4922</v>
      </c>
      <c r="P37" s="96">
        <f t="shared" si="42"/>
        <v>2.5562855436391491E-2</v>
      </c>
      <c r="Q37" s="210">
        <v>3156</v>
      </c>
      <c r="R37" s="96">
        <f t="shared" si="43"/>
        <v>6.848958333333334E-2</v>
      </c>
      <c r="S37" s="101">
        <f t="shared" si="44"/>
        <v>8078</v>
      </c>
      <c r="T37" s="96">
        <f t="shared" si="45"/>
        <v>4.1953828975044793E-2</v>
      </c>
      <c r="U37" s="210">
        <v>29804</v>
      </c>
      <c r="V37" s="96">
        <f t="shared" si="46"/>
        <v>0.15478978939988056</v>
      </c>
      <c r="W37" s="210">
        <v>1729</v>
      </c>
      <c r="X37" s="96">
        <f t="shared" si="47"/>
        <v>8.979719026721027E-3</v>
      </c>
      <c r="Y37" s="210">
        <v>19296</v>
      </c>
      <c r="Z37" s="96">
        <f t="shared" si="48"/>
        <v>0.10021553403100573</v>
      </c>
      <c r="AA37" s="210">
        <v>21451</v>
      </c>
      <c r="AB37" s="96">
        <f t="shared" si="49"/>
        <v>0.46551649305555554</v>
      </c>
      <c r="AC37" s="101">
        <f t="shared" si="50"/>
        <v>40747</v>
      </c>
      <c r="AD37" s="96">
        <f t="shared" si="51"/>
        <v>0.21162325690098419</v>
      </c>
      <c r="AE37" s="210">
        <v>17216</v>
      </c>
      <c r="AF37" s="96">
        <f t="shared" si="52"/>
        <v>8.9412864525175939E-2</v>
      </c>
      <c r="AG37" s="210">
        <v>5077</v>
      </c>
      <c r="AH37" s="96">
        <f t="shared" si="53"/>
        <v>2.6367862058220157E-2</v>
      </c>
      <c r="AI37" s="210">
        <v>16471</v>
      </c>
      <c r="AJ37" s="96">
        <f t="shared" si="54"/>
        <v>8.554363914928978E-2</v>
      </c>
      <c r="AK37" s="210">
        <v>14275</v>
      </c>
      <c r="AL37" s="96">
        <f t="shared" si="55"/>
        <v>7.4138513074865617E-2</v>
      </c>
    </row>
    <row r="38" spans="2:38" s="330" customFormat="1" ht="14.25">
      <c r="B38" s="329"/>
      <c r="D38" s="380">
        <f t="shared" si="19"/>
        <v>46081</v>
      </c>
      <c r="E38" s="380" t="s">
        <v>436</v>
      </c>
      <c r="F38" s="331">
        <f t="shared" si="0"/>
        <v>207173</v>
      </c>
      <c r="G38" s="332"/>
      <c r="H38" s="338"/>
      <c r="I38" s="210">
        <v>23678</v>
      </c>
      <c r="J38" s="334">
        <f t="shared" si="38"/>
        <v>0.11429095490242454</v>
      </c>
      <c r="K38" s="210">
        <v>38437</v>
      </c>
      <c r="L38" s="334">
        <f t="shared" si="39"/>
        <v>0.1855309330849097</v>
      </c>
      <c r="M38" s="335">
        <f t="shared" si="40"/>
        <v>62115</v>
      </c>
      <c r="N38" s="334">
        <f t="shared" si="41"/>
        <v>0.29982188798733428</v>
      </c>
      <c r="O38" s="210">
        <v>4731</v>
      </c>
      <c r="P38" s="334">
        <f t="shared" si="42"/>
        <v>2.2835987314949343E-2</v>
      </c>
      <c r="Q38" s="210">
        <v>3089</v>
      </c>
      <c r="R38" s="334">
        <f t="shared" si="43"/>
        <v>6.7034135543933504E-2</v>
      </c>
      <c r="S38" s="335">
        <f t="shared" si="44"/>
        <v>7820</v>
      </c>
      <c r="T38" s="334">
        <f t="shared" si="45"/>
        <v>3.7746231410463717E-2</v>
      </c>
      <c r="U38" s="210">
        <v>33010</v>
      </c>
      <c r="V38" s="334">
        <f t="shared" si="46"/>
        <v>0.15933543463675287</v>
      </c>
      <c r="W38" s="210">
        <v>2097</v>
      </c>
      <c r="X38" s="334">
        <f t="shared" si="47"/>
        <v>1.0121975353931256E-2</v>
      </c>
      <c r="Y38" s="210">
        <v>20547</v>
      </c>
      <c r="Z38" s="334">
        <f t="shared" si="48"/>
        <v>9.9177981686802821E-2</v>
      </c>
      <c r="AA38" s="210">
        <v>22234</v>
      </c>
      <c r="AB38" s="334">
        <f t="shared" si="49"/>
        <v>0.48249820967426921</v>
      </c>
      <c r="AC38" s="335">
        <f t="shared" si="50"/>
        <v>42781</v>
      </c>
      <c r="AD38" s="334">
        <f t="shared" si="51"/>
        <v>0.2064989163645842</v>
      </c>
      <c r="AE38" s="210">
        <v>18925</v>
      </c>
      <c r="AF38" s="334">
        <f t="shared" si="52"/>
        <v>9.134877614360945E-2</v>
      </c>
      <c r="AG38" s="210">
        <v>5750</v>
      </c>
      <c r="AH38" s="334">
        <f t="shared" si="53"/>
        <v>2.7754581919458617E-2</v>
      </c>
      <c r="AI38" s="210">
        <v>18176</v>
      </c>
      <c r="AJ38" s="334">
        <f t="shared" si="54"/>
        <v>8.7733440168361709E-2</v>
      </c>
      <c r="AK38" s="210">
        <v>16499</v>
      </c>
      <c r="AL38" s="334">
        <f t="shared" si="55"/>
        <v>7.963875601550395E-2</v>
      </c>
    </row>
    <row r="39" spans="2:38" ht="14.25">
      <c r="B39" s="79"/>
      <c r="C39" s="75"/>
      <c r="D39" s="366"/>
      <c r="E39" s="366"/>
      <c r="F39" s="84">
        <f t="shared" si="0"/>
        <v>0</v>
      </c>
      <c r="G39" s="262"/>
      <c r="H39" s="84"/>
      <c r="I39" s="210"/>
      <c r="J39" s="96" t="e">
        <f t="shared" si="38"/>
        <v>#DIV/0!</v>
      </c>
      <c r="K39" s="210"/>
      <c r="L39" s="96" t="e">
        <f t="shared" si="39"/>
        <v>#DIV/0!</v>
      </c>
      <c r="M39" s="101">
        <f t="shared" si="40"/>
        <v>0</v>
      </c>
      <c r="N39" s="96" t="e">
        <f t="shared" si="41"/>
        <v>#DIV/0!</v>
      </c>
      <c r="O39" s="210"/>
      <c r="P39" s="96" t="e">
        <f t="shared" si="42"/>
        <v>#DIV/0!</v>
      </c>
      <c r="Q39" s="210"/>
      <c r="R39" s="96" t="e">
        <f t="shared" si="43"/>
        <v>#DIV/0!</v>
      </c>
      <c r="S39" s="101">
        <f t="shared" si="44"/>
        <v>0</v>
      </c>
      <c r="T39" s="96" t="e">
        <f t="shared" si="45"/>
        <v>#DIV/0!</v>
      </c>
      <c r="U39" s="210"/>
      <c r="V39" s="96" t="e">
        <f t="shared" si="46"/>
        <v>#DIV/0!</v>
      </c>
      <c r="W39" s="210"/>
      <c r="X39" s="96" t="e">
        <f t="shared" si="47"/>
        <v>#DIV/0!</v>
      </c>
      <c r="Y39" s="210"/>
      <c r="Z39" s="96" t="e">
        <f t="shared" si="48"/>
        <v>#DIV/0!</v>
      </c>
      <c r="AA39" s="210"/>
      <c r="AB39" s="96" t="e">
        <f t="shared" si="49"/>
        <v>#DIV/0!</v>
      </c>
      <c r="AC39" s="101">
        <f t="shared" si="50"/>
        <v>0</v>
      </c>
      <c r="AD39" s="96" t="e">
        <f t="shared" si="51"/>
        <v>#DIV/0!</v>
      </c>
      <c r="AE39" s="210"/>
      <c r="AF39" s="96" t="e">
        <f t="shared" si="52"/>
        <v>#DIV/0!</v>
      </c>
      <c r="AG39" s="210"/>
      <c r="AH39" s="96" t="e">
        <f t="shared" si="53"/>
        <v>#DIV/0!</v>
      </c>
      <c r="AI39" s="210"/>
      <c r="AJ39" s="96" t="e">
        <f t="shared" si="54"/>
        <v>#DIV/0!</v>
      </c>
      <c r="AK39" s="210"/>
      <c r="AL39" s="96" t="e">
        <f t="shared" si="55"/>
        <v>#DIV/0!</v>
      </c>
    </row>
    <row r="40" spans="2:38" ht="14.25">
      <c r="B40" s="79"/>
      <c r="C40" s="75"/>
      <c r="D40" s="366"/>
      <c r="E40" s="366"/>
      <c r="F40" s="84">
        <f t="shared" si="0"/>
        <v>0</v>
      </c>
      <c r="G40" s="262"/>
      <c r="H40" s="84"/>
      <c r="I40" s="210"/>
      <c r="J40" s="96" t="e">
        <f t="shared" si="38"/>
        <v>#DIV/0!</v>
      </c>
      <c r="K40" s="210"/>
      <c r="L40" s="96" t="e">
        <f t="shared" si="39"/>
        <v>#DIV/0!</v>
      </c>
      <c r="M40" s="101">
        <f t="shared" si="40"/>
        <v>0</v>
      </c>
      <c r="N40" s="96" t="e">
        <f t="shared" si="41"/>
        <v>#DIV/0!</v>
      </c>
      <c r="O40" s="210"/>
      <c r="P40" s="96" t="e">
        <f t="shared" si="42"/>
        <v>#DIV/0!</v>
      </c>
      <c r="Q40" s="210"/>
      <c r="R40" s="96" t="e">
        <f t="shared" si="43"/>
        <v>#DIV/0!</v>
      </c>
      <c r="S40" s="101">
        <f t="shared" si="44"/>
        <v>0</v>
      </c>
      <c r="T40" s="96" t="e">
        <f t="shared" si="45"/>
        <v>#DIV/0!</v>
      </c>
      <c r="U40" s="210"/>
      <c r="V40" s="96" t="e">
        <f t="shared" si="46"/>
        <v>#DIV/0!</v>
      </c>
      <c r="W40" s="210"/>
      <c r="X40" s="96" t="e">
        <f t="shared" si="47"/>
        <v>#DIV/0!</v>
      </c>
      <c r="Y40" s="210"/>
      <c r="Z40" s="96" t="e">
        <f t="shared" si="48"/>
        <v>#DIV/0!</v>
      </c>
      <c r="AA40" s="210"/>
      <c r="AB40" s="96" t="e">
        <f t="shared" si="49"/>
        <v>#DIV/0!</v>
      </c>
      <c r="AC40" s="101">
        <f t="shared" si="50"/>
        <v>0</v>
      </c>
      <c r="AD40" s="96" t="e">
        <f t="shared" si="51"/>
        <v>#DIV/0!</v>
      </c>
      <c r="AE40" s="210"/>
      <c r="AF40" s="96" t="e">
        <f t="shared" si="52"/>
        <v>#DIV/0!</v>
      </c>
      <c r="AG40" s="210"/>
      <c r="AH40" s="96" t="e">
        <f t="shared" si="53"/>
        <v>#DIV/0!</v>
      </c>
      <c r="AI40" s="210"/>
      <c r="AJ40" s="96" t="e">
        <f t="shared" si="54"/>
        <v>#DIV/0!</v>
      </c>
      <c r="AK40" s="210"/>
      <c r="AL40" s="96" t="e">
        <f t="shared" si="55"/>
        <v>#DIV/0!</v>
      </c>
    </row>
    <row r="41" spans="2:38" ht="14.25">
      <c r="B41" s="79"/>
      <c r="C41" s="75"/>
      <c r="D41" s="366"/>
      <c r="E41" s="366"/>
      <c r="F41" s="84">
        <f t="shared" si="0"/>
        <v>0</v>
      </c>
      <c r="G41" s="262"/>
      <c r="H41" s="84"/>
      <c r="I41" s="210"/>
      <c r="J41" s="96" t="e">
        <f t="shared" si="38"/>
        <v>#DIV/0!</v>
      </c>
      <c r="K41" s="210"/>
      <c r="L41" s="96" t="e">
        <f t="shared" si="39"/>
        <v>#DIV/0!</v>
      </c>
      <c r="M41" s="101">
        <f t="shared" ref="M41" si="56">SUM(I41+K41)</f>
        <v>0</v>
      </c>
      <c r="N41" s="96" t="e">
        <f t="shared" ref="N41" si="57">M41/F41</f>
        <v>#DIV/0!</v>
      </c>
      <c r="O41" s="210"/>
      <c r="P41" s="96" t="e">
        <f t="shared" si="42"/>
        <v>#DIV/0!</v>
      </c>
      <c r="Q41" s="210"/>
      <c r="R41" s="96" t="e">
        <f t="shared" ref="R41" si="58">Q41/D41</f>
        <v>#DIV/0!</v>
      </c>
      <c r="S41" s="101">
        <f t="shared" ref="S41" si="59">SUM(O41+Q41)</f>
        <v>0</v>
      </c>
      <c r="T41" s="96" t="e">
        <f t="shared" ref="T41" si="60">S41/F41</f>
        <v>#DIV/0!</v>
      </c>
      <c r="U41" s="210"/>
      <c r="V41" s="96" t="e">
        <f t="shared" si="46"/>
        <v>#DIV/0!</v>
      </c>
      <c r="W41" s="210"/>
      <c r="X41" s="96" t="e">
        <f t="shared" si="47"/>
        <v>#DIV/0!</v>
      </c>
      <c r="Y41" s="210"/>
      <c r="Z41" s="96" t="e">
        <f t="shared" si="48"/>
        <v>#DIV/0!</v>
      </c>
      <c r="AA41" s="210"/>
      <c r="AB41" s="96" t="e">
        <f t="shared" ref="AB41" si="61">AA41/D41</f>
        <v>#DIV/0!</v>
      </c>
      <c r="AC41" s="101">
        <f t="shared" ref="AC41" si="62">SUM(Y41+AA41)</f>
        <v>0</v>
      </c>
      <c r="AD41" s="96" t="e">
        <f t="shared" ref="AD41" si="63">AC41/F41</f>
        <v>#DIV/0!</v>
      </c>
      <c r="AE41" s="210"/>
      <c r="AF41" s="96" t="e">
        <f t="shared" si="52"/>
        <v>#DIV/0!</v>
      </c>
      <c r="AG41" s="210"/>
      <c r="AH41" s="96" t="e">
        <f t="shared" si="53"/>
        <v>#DIV/0!</v>
      </c>
      <c r="AI41" s="210"/>
      <c r="AJ41" s="96" t="e">
        <f t="shared" si="54"/>
        <v>#DIV/0!</v>
      </c>
      <c r="AK41" s="210"/>
      <c r="AL41" s="96" t="e">
        <f t="shared" si="55"/>
        <v>#DIV/0!</v>
      </c>
    </row>
    <row r="42" spans="2:38" ht="14.25">
      <c r="B42" s="79"/>
      <c r="C42" s="75"/>
      <c r="D42" s="82"/>
      <c r="E42" s="82"/>
      <c r="F42" s="84"/>
      <c r="G42" s="262"/>
      <c r="H42" s="84"/>
      <c r="I42" s="210"/>
      <c r="J42" s="96"/>
      <c r="K42" s="210"/>
      <c r="L42" s="96"/>
      <c r="M42" s="101"/>
      <c r="N42" s="96"/>
      <c r="O42" s="210"/>
      <c r="P42" s="96"/>
      <c r="Q42" s="210"/>
      <c r="R42" s="96"/>
      <c r="S42" s="101"/>
      <c r="T42" s="96"/>
      <c r="U42" s="210"/>
      <c r="V42" s="96"/>
      <c r="W42" s="210"/>
      <c r="X42" s="96"/>
      <c r="Y42" s="210"/>
      <c r="Z42" s="96"/>
      <c r="AA42" s="210"/>
      <c r="AB42" s="96"/>
      <c r="AC42" s="101"/>
      <c r="AD42" s="96"/>
      <c r="AE42" s="210"/>
      <c r="AF42" s="96"/>
      <c r="AG42" s="210"/>
      <c r="AH42" s="96"/>
      <c r="AI42" s="210"/>
      <c r="AJ42" s="96"/>
      <c r="AK42" s="210"/>
      <c r="AL42" s="96"/>
    </row>
    <row r="43" spans="2:38" ht="14.25">
      <c r="B43" s="79"/>
      <c r="C43" s="75"/>
      <c r="D43" s="82"/>
      <c r="E43" s="82"/>
      <c r="F43" s="84">
        <f t="shared" si="0"/>
        <v>0</v>
      </c>
      <c r="G43" s="262"/>
      <c r="H43" s="84"/>
      <c r="I43" s="210"/>
      <c r="J43" s="96" t="e">
        <f>I43/F43</f>
        <v>#DIV/0!</v>
      </c>
      <c r="K43" s="210"/>
      <c r="L43" s="96" t="e">
        <f>K43/F43</f>
        <v>#DIV/0!</v>
      </c>
      <c r="M43" s="101">
        <f>SUM(I43+K43)</f>
        <v>0</v>
      </c>
      <c r="N43" s="96" t="e">
        <f>M43/F43</f>
        <v>#DIV/0!</v>
      </c>
      <c r="O43" s="210"/>
      <c r="P43" s="96" t="e">
        <f>O43/F43</f>
        <v>#DIV/0!</v>
      </c>
      <c r="Q43" s="210"/>
      <c r="R43" s="96" t="e">
        <f>Q43/D43</f>
        <v>#DIV/0!</v>
      </c>
      <c r="S43" s="101">
        <f t="shared" si="44"/>
        <v>0</v>
      </c>
      <c r="T43" s="96" t="e">
        <f>S43/F43</f>
        <v>#DIV/0!</v>
      </c>
      <c r="U43" s="210"/>
      <c r="V43" s="96" t="e">
        <f>U43/F43</f>
        <v>#DIV/0!</v>
      </c>
      <c r="W43" s="210"/>
      <c r="X43" s="96" t="e">
        <f>W43/F43</f>
        <v>#DIV/0!</v>
      </c>
      <c r="Y43" s="210"/>
      <c r="Z43" s="96" t="e">
        <f>Y43/F43</f>
        <v>#DIV/0!</v>
      </c>
      <c r="AA43" s="210"/>
      <c r="AB43" s="96" t="e">
        <f>AA43/D43</f>
        <v>#DIV/0!</v>
      </c>
      <c r="AC43" s="101">
        <f>SUM(Y43+AA43)</f>
        <v>0</v>
      </c>
      <c r="AD43" s="96" t="e">
        <f>AC43/F43</f>
        <v>#DIV/0!</v>
      </c>
      <c r="AE43" s="210"/>
      <c r="AF43" s="96" t="e">
        <f>AE43/F43</f>
        <v>#DIV/0!</v>
      </c>
      <c r="AG43" s="210"/>
      <c r="AH43" s="96" t="e">
        <f>AG43/F43</f>
        <v>#DIV/0!</v>
      </c>
      <c r="AI43" s="210"/>
      <c r="AJ43" s="96" t="e">
        <f>AI43/F43</f>
        <v>#DIV/0!</v>
      </c>
      <c r="AK43" s="210"/>
      <c r="AL43" s="96" t="e">
        <f>AK43/F43</f>
        <v>#DIV/0!</v>
      </c>
    </row>
    <row r="44" spans="2:38" ht="14.25">
      <c r="B44" s="79"/>
      <c r="C44" s="75"/>
      <c r="D44" s="82"/>
      <c r="E44" s="82"/>
      <c r="F44" s="84">
        <f t="shared" si="0"/>
        <v>0</v>
      </c>
      <c r="G44" s="262"/>
      <c r="H44" s="84"/>
      <c r="I44" s="210"/>
      <c r="J44" s="96" t="e">
        <f>I44/F44</f>
        <v>#DIV/0!</v>
      </c>
      <c r="K44" s="210"/>
      <c r="L44" s="96" t="e">
        <f>K44/F44</f>
        <v>#DIV/0!</v>
      </c>
      <c r="M44" s="101">
        <f>SUM(I44+K44)</f>
        <v>0</v>
      </c>
      <c r="N44" s="96" t="e">
        <f>M44/F44</f>
        <v>#DIV/0!</v>
      </c>
      <c r="O44" s="210"/>
      <c r="P44" s="96" t="e">
        <f>O44/F44</f>
        <v>#DIV/0!</v>
      </c>
      <c r="Q44" s="210"/>
      <c r="R44" s="96" t="e">
        <f>Q44/D44</f>
        <v>#DIV/0!</v>
      </c>
      <c r="S44" s="101">
        <f t="shared" si="44"/>
        <v>0</v>
      </c>
      <c r="T44" s="96" t="e">
        <f>S44/F44</f>
        <v>#DIV/0!</v>
      </c>
      <c r="U44" s="210"/>
      <c r="V44" s="96" t="e">
        <f>U44/F44</f>
        <v>#DIV/0!</v>
      </c>
      <c r="W44" s="210"/>
      <c r="X44" s="96" t="e">
        <f>W44/F44</f>
        <v>#DIV/0!</v>
      </c>
      <c r="Y44" s="210"/>
      <c r="Z44" s="96" t="e">
        <f>Y44/F44</f>
        <v>#DIV/0!</v>
      </c>
      <c r="AA44" s="210"/>
      <c r="AB44" s="96" t="e">
        <f>AA44/D44</f>
        <v>#DIV/0!</v>
      </c>
      <c r="AC44" s="101">
        <f>SUM(Y44+AA44)</f>
        <v>0</v>
      </c>
      <c r="AD44" s="96" t="e">
        <f>AC44/F44</f>
        <v>#DIV/0!</v>
      </c>
      <c r="AE44" s="210"/>
      <c r="AF44" s="96" t="e">
        <f>AE44/F44</f>
        <v>#DIV/0!</v>
      </c>
      <c r="AG44" s="210"/>
      <c r="AH44" s="96" t="e">
        <f>AG44/F44</f>
        <v>#DIV/0!</v>
      </c>
      <c r="AI44" s="210"/>
      <c r="AJ44" s="96" t="e">
        <f>AI44/F44</f>
        <v>#DIV/0!</v>
      </c>
      <c r="AK44" s="210"/>
      <c r="AL44" s="96" t="e">
        <f>AK44/F44</f>
        <v>#DIV/0!</v>
      </c>
    </row>
    <row r="45" spans="2:38" ht="14.25">
      <c r="B45" s="79"/>
      <c r="C45" s="75"/>
      <c r="D45" s="82"/>
      <c r="E45" s="82"/>
      <c r="F45" s="84">
        <f t="shared" si="0"/>
        <v>0</v>
      </c>
      <c r="G45" s="262"/>
      <c r="H45" s="84"/>
      <c r="I45" s="210"/>
      <c r="J45" s="96" t="e">
        <f>I45/F45</f>
        <v>#DIV/0!</v>
      </c>
      <c r="K45" s="210"/>
      <c r="L45" s="96" t="e">
        <f>K45/F45</f>
        <v>#DIV/0!</v>
      </c>
      <c r="M45" s="101">
        <f>SUM(I45+K45)</f>
        <v>0</v>
      </c>
      <c r="N45" s="96" t="e">
        <f>M45/F45</f>
        <v>#DIV/0!</v>
      </c>
      <c r="O45" s="210"/>
      <c r="P45" s="96" t="e">
        <f>O45/F45</f>
        <v>#DIV/0!</v>
      </c>
      <c r="Q45" s="210"/>
      <c r="R45" s="96" t="e">
        <f>Q45/D45</f>
        <v>#DIV/0!</v>
      </c>
      <c r="S45" s="101">
        <f t="shared" si="44"/>
        <v>0</v>
      </c>
      <c r="T45" s="96" t="e">
        <f>S45/F45</f>
        <v>#DIV/0!</v>
      </c>
      <c r="U45" s="210"/>
      <c r="V45" s="96" t="e">
        <f>U45/F45</f>
        <v>#DIV/0!</v>
      </c>
      <c r="W45" s="210"/>
      <c r="X45" s="96" t="e">
        <f>W45/F45</f>
        <v>#DIV/0!</v>
      </c>
      <c r="Y45" s="210"/>
      <c r="Z45" s="96" t="e">
        <f>Y45/F45</f>
        <v>#DIV/0!</v>
      </c>
      <c r="AA45" s="210"/>
      <c r="AB45" s="96" t="e">
        <f>AA45/D45</f>
        <v>#DIV/0!</v>
      </c>
      <c r="AC45" s="101">
        <f>SUM(Y45+AA45)</f>
        <v>0</v>
      </c>
      <c r="AD45" s="96" t="e">
        <f>AC45/F45</f>
        <v>#DIV/0!</v>
      </c>
      <c r="AE45" s="210"/>
      <c r="AF45" s="96" t="e">
        <f>AE45/F45</f>
        <v>#DIV/0!</v>
      </c>
      <c r="AG45" s="210"/>
      <c r="AH45" s="96" t="e">
        <f>AG45/F45</f>
        <v>#DIV/0!</v>
      </c>
      <c r="AI45" s="210"/>
      <c r="AJ45" s="96" t="e">
        <f>AI45/F45</f>
        <v>#DIV/0!</v>
      </c>
      <c r="AK45" s="210"/>
      <c r="AL45" s="96" t="e">
        <f>AK45/F45</f>
        <v>#DIV/0!</v>
      </c>
    </row>
    <row r="46" spans="2:38" ht="14.25">
      <c r="B46" s="79"/>
      <c r="C46" s="75"/>
      <c r="D46" s="78"/>
      <c r="F46" s="84"/>
      <c r="G46" s="84"/>
      <c r="H46" s="84"/>
      <c r="I46" s="238">
        <f>SUM(I7:I45)</f>
        <v>713076</v>
      </c>
      <c r="J46" s="237" t="e">
        <f>I46/$H$7</f>
        <v>#DIV/0!</v>
      </c>
      <c r="K46" s="238">
        <f>SUM(K7:K45)</f>
        <v>996439</v>
      </c>
      <c r="L46" s="237" t="e">
        <f>K46/$H$7</f>
        <v>#DIV/0!</v>
      </c>
      <c r="M46" s="238">
        <f>SUM(M7:M45)</f>
        <v>1709515</v>
      </c>
      <c r="N46" s="237" t="e">
        <f>M46/$H$7</f>
        <v>#DIV/0!</v>
      </c>
      <c r="O46" s="238">
        <f>SUM(O7:O45)</f>
        <v>133233</v>
      </c>
      <c r="P46" s="237" t="e">
        <f>O46/$H$7</f>
        <v>#DIV/0!</v>
      </c>
      <c r="Q46" s="238">
        <f>SUM(Q7:Q45)</f>
        <v>85936</v>
      </c>
      <c r="R46" s="237" t="e">
        <f>Q46/$H$7</f>
        <v>#DIV/0!</v>
      </c>
      <c r="S46" s="238">
        <f>SUM(S7:S45)</f>
        <v>219169</v>
      </c>
      <c r="T46" s="237" t="e">
        <f>S46/$H$7</f>
        <v>#DIV/0!</v>
      </c>
      <c r="U46" s="238">
        <f>SUM(U7:U45)</f>
        <v>943317</v>
      </c>
      <c r="V46" s="237" t="e">
        <f>U46/$H$7</f>
        <v>#DIV/0!</v>
      </c>
      <c r="W46" s="238">
        <f>SUM(W7:W45)</f>
        <v>88906</v>
      </c>
      <c r="X46" s="237" t="e">
        <f>W46/$H$7</f>
        <v>#DIV/0!</v>
      </c>
      <c r="Y46" s="238">
        <f>SUM(Y7:Y45)</f>
        <v>602343</v>
      </c>
      <c r="Z46" s="237" t="e">
        <f>Y46/$H$7</f>
        <v>#DIV/0!</v>
      </c>
      <c r="AA46" s="238">
        <f>SUM(AA7:AA45)</f>
        <v>695650</v>
      </c>
      <c r="AB46" s="237" t="e">
        <f>AA46/$H$7</f>
        <v>#DIV/0!</v>
      </c>
      <c r="AC46" s="238">
        <f>SUM(AC7:AC45)</f>
        <v>1297993</v>
      </c>
      <c r="AD46" s="237" t="e">
        <f>AC46/$H$7</f>
        <v>#DIV/0!</v>
      </c>
      <c r="AE46" s="238">
        <f>SUM(AE7:AE45)</f>
        <v>544770</v>
      </c>
      <c r="AF46" s="237" t="e">
        <f>AE46/$H$7</f>
        <v>#DIV/0!</v>
      </c>
      <c r="AG46" s="238">
        <f>SUM(AG7:AG45)</f>
        <v>195498</v>
      </c>
      <c r="AH46" s="237" t="e">
        <f>AG46/$H$7</f>
        <v>#DIV/0!</v>
      </c>
      <c r="AI46" s="238">
        <f>SUM(AI7:AI45)</f>
        <v>393920</v>
      </c>
      <c r="AJ46" s="237" t="e">
        <f>AI46/$H$7</f>
        <v>#DIV/0!</v>
      </c>
      <c r="AK46" s="238">
        <f>SUM(AK7:AK45)</f>
        <v>467748</v>
      </c>
      <c r="AL46" s="237" t="e">
        <f>AK46/$H$7</f>
        <v>#DIV/0!</v>
      </c>
    </row>
    <row r="47" spans="2:38" ht="14.25">
      <c r="B47" s="79"/>
      <c r="C47" s="75"/>
      <c r="D47" s="78"/>
      <c r="F47" s="84"/>
      <c r="G47" s="84"/>
      <c r="H47" s="84"/>
      <c r="M47" s="239">
        <f>M46</f>
        <v>1709515</v>
      </c>
      <c r="S47" s="239">
        <f>S46</f>
        <v>219169</v>
      </c>
      <c r="U47" s="239">
        <f>U46</f>
        <v>943317</v>
      </c>
      <c r="W47" s="239">
        <f>W46</f>
        <v>88906</v>
      </c>
      <c r="Y47" s="239"/>
      <c r="AA47" s="239"/>
      <c r="AC47" s="239">
        <f>AC46</f>
        <v>1297993</v>
      </c>
      <c r="AE47" s="239">
        <f>AE46</f>
        <v>544770</v>
      </c>
      <c r="AG47" s="239">
        <f>AG46</f>
        <v>195498</v>
      </c>
      <c r="AI47" s="239">
        <f>AI46</f>
        <v>393920</v>
      </c>
      <c r="AK47" s="239">
        <f>AK46</f>
        <v>467748</v>
      </c>
    </row>
    <row r="48" spans="2:38" ht="14.25">
      <c r="B48" s="79"/>
      <c r="C48" s="75"/>
      <c r="D48" s="78"/>
      <c r="F48" s="84"/>
      <c r="G48" s="84"/>
      <c r="H48" s="84"/>
    </row>
    <row r="49" spans="2:8" ht="14.25">
      <c r="B49" s="79"/>
      <c r="C49" s="75"/>
      <c r="D49" s="78"/>
      <c r="F49" s="84"/>
      <c r="G49" s="84"/>
      <c r="H49" s="84"/>
    </row>
    <row r="50" spans="2:8" ht="14.25">
      <c r="B50" s="79"/>
      <c r="C50" s="75"/>
      <c r="D50" s="78"/>
    </row>
    <row r="51" spans="2:8" ht="14.25">
      <c r="B51" s="79"/>
      <c r="C51" s="75"/>
      <c r="D51" s="78"/>
    </row>
    <row r="52" spans="2:8" ht="14.25">
      <c r="B52" s="79"/>
      <c r="C52" s="75"/>
      <c r="D52" s="78"/>
    </row>
    <row r="53" spans="2:8" ht="14.25">
      <c r="B53" s="79"/>
      <c r="C53" s="75"/>
      <c r="D53" s="78"/>
    </row>
    <row r="54" spans="2:8" ht="14.25">
      <c r="B54" s="79"/>
      <c r="C54" s="75"/>
      <c r="D54" s="78"/>
    </row>
    <row r="55" spans="2:8" ht="14.25">
      <c r="B55" s="79"/>
      <c r="C55" s="75"/>
      <c r="D55" s="78"/>
    </row>
    <row r="56" spans="2:8" ht="14.25">
      <c r="B56" s="79"/>
      <c r="C56" s="75"/>
      <c r="D56" s="78"/>
    </row>
    <row r="57" spans="2:8" ht="14.25">
      <c r="B57" s="79"/>
      <c r="C57" s="75"/>
      <c r="D57" s="78"/>
    </row>
    <row r="58" spans="2:8" ht="14.25">
      <c r="B58" s="79"/>
      <c r="C58" s="75"/>
      <c r="D58" s="78"/>
    </row>
    <row r="59" spans="2:8" ht="14.25">
      <c r="B59" s="79"/>
      <c r="C59" s="75"/>
      <c r="D59" s="78"/>
    </row>
    <row r="60" spans="2:8" ht="14.25">
      <c r="B60" s="79"/>
      <c r="C60" s="75"/>
      <c r="D60" s="78"/>
    </row>
    <row r="61" spans="2:8" ht="14.25">
      <c r="B61" s="79"/>
      <c r="C61" s="75"/>
      <c r="D61" s="78"/>
    </row>
    <row r="62" spans="2:8" ht="14.25">
      <c r="B62" s="79"/>
      <c r="C62" s="75"/>
      <c r="D62" s="78"/>
    </row>
    <row r="63" spans="2:8" ht="14.25">
      <c r="B63" s="79"/>
      <c r="C63" s="75"/>
      <c r="D63" s="78"/>
    </row>
    <row r="64" spans="2:8" ht="14.25">
      <c r="B64" s="79"/>
      <c r="C64" s="75"/>
      <c r="D64" s="78"/>
    </row>
    <row r="65" spans="2:4" ht="14.25">
      <c r="B65" s="79"/>
      <c r="C65" s="75"/>
      <c r="D65" s="78"/>
    </row>
    <row r="66" spans="2:4" ht="14.25">
      <c r="B66" s="79"/>
      <c r="C66" s="75"/>
      <c r="D66" s="78"/>
    </row>
    <row r="67" spans="2:4" ht="14.25">
      <c r="B67" s="79"/>
      <c r="C67" s="75"/>
      <c r="D67" s="78"/>
    </row>
    <row r="68" spans="2:4" ht="14.25">
      <c r="B68" s="79"/>
      <c r="C68" s="75"/>
      <c r="D68" s="78"/>
    </row>
    <row r="69" spans="2:4" ht="14.25">
      <c r="B69" s="79"/>
      <c r="C69" s="75"/>
      <c r="D69" s="78"/>
    </row>
    <row r="70" spans="2:4" ht="14.25">
      <c r="B70" s="79"/>
      <c r="C70" s="75"/>
      <c r="D70" s="78"/>
    </row>
    <row r="71" spans="2:4" ht="14.25">
      <c r="B71" s="79"/>
      <c r="C71" s="75"/>
      <c r="D71" s="78"/>
    </row>
    <row r="72" spans="2:4" ht="14.25">
      <c r="B72" s="79"/>
      <c r="C72" s="75"/>
      <c r="D72" s="78"/>
    </row>
    <row r="73" spans="2:4" ht="14.25">
      <c r="B73" s="79"/>
      <c r="C73" s="75"/>
      <c r="D73" s="78"/>
    </row>
    <row r="74" spans="2:4" ht="14.25">
      <c r="B74" s="79"/>
      <c r="C74" s="75"/>
      <c r="D74" s="78"/>
    </row>
    <row r="75" spans="2:4" ht="14.25">
      <c r="B75" s="79"/>
      <c r="C75" s="75"/>
      <c r="D75" s="78"/>
    </row>
    <row r="76" spans="2:4" ht="14.25">
      <c r="B76" s="79"/>
      <c r="C76" s="75"/>
      <c r="D76" s="78"/>
    </row>
    <row r="77" spans="2:4" ht="14.25">
      <c r="B77" s="79"/>
      <c r="C77" s="75"/>
      <c r="D77" s="78"/>
    </row>
    <row r="78" spans="2:4" ht="14.25">
      <c r="B78" s="79"/>
      <c r="C78" s="75"/>
      <c r="D78" s="78"/>
    </row>
    <row r="79" spans="2:4" ht="14.25">
      <c r="B79" s="79"/>
      <c r="C79" s="75"/>
      <c r="D79" s="78"/>
    </row>
    <row r="80" spans="2:4" ht="14.25">
      <c r="B80" s="79"/>
      <c r="C80" s="75"/>
      <c r="D80" s="78"/>
    </row>
    <row r="81" spans="2:4" ht="14.25">
      <c r="B81" s="79"/>
      <c r="C81" s="75"/>
      <c r="D81" s="78"/>
    </row>
    <row r="82" spans="2:4" ht="14.25">
      <c r="B82" s="79"/>
      <c r="C82" s="75"/>
      <c r="D82" s="78"/>
    </row>
    <row r="83" spans="2:4" ht="14.25">
      <c r="B83" s="79"/>
      <c r="C83" s="75"/>
      <c r="D83" s="78"/>
    </row>
    <row r="84" spans="2:4" ht="14.25">
      <c r="B84" s="79"/>
      <c r="C84" s="75"/>
      <c r="D84" s="78"/>
    </row>
    <row r="85" spans="2:4" ht="14.25">
      <c r="B85" s="79"/>
      <c r="C85" s="75"/>
      <c r="D85" s="78"/>
    </row>
    <row r="86" spans="2:4" ht="14.25">
      <c r="B86" s="79"/>
      <c r="C86" s="75"/>
      <c r="D86" s="78"/>
    </row>
    <row r="87" spans="2:4" ht="14.25">
      <c r="B87" s="79"/>
      <c r="C87" s="75"/>
      <c r="D87" s="78"/>
    </row>
    <row r="88" spans="2:4" ht="14.25">
      <c r="B88" s="79"/>
      <c r="C88" s="75"/>
      <c r="D88" s="78"/>
    </row>
    <row r="89" spans="2:4" ht="14.25">
      <c r="B89" s="79"/>
      <c r="C89" s="75"/>
      <c r="D89" s="78"/>
    </row>
    <row r="90" spans="2:4" ht="14.25">
      <c r="B90" s="79"/>
      <c r="C90" s="75"/>
      <c r="D90" s="78"/>
    </row>
    <row r="91" spans="2:4" ht="14.25">
      <c r="B91" s="79"/>
      <c r="C91" s="75"/>
      <c r="D91" s="78"/>
    </row>
    <row r="92" spans="2:4" ht="14.25">
      <c r="B92" s="79"/>
      <c r="C92" s="75"/>
      <c r="D92" s="78"/>
    </row>
    <row r="93" spans="2:4" ht="14.25">
      <c r="B93" s="79"/>
      <c r="C93" s="75"/>
      <c r="D93" s="78"/>
    </row>
    <row r="94" spans="2:4" ht="14.25">
      <c r="B94" s="79"/>
      <c r="C94" s="75"/>
      <c r="D94" s="78"/>
    </row>
    <row r="95" spans="2:4" ht="14.25">
      <c r="B95" s="79"/>
      <c r="C95" s="75"/>
      <c r="D95" s="78"/>
    </row>
    <row r="96" spans="2:4" ht="14.25">
      <c r="B96" s="79"/>
      <c r="C96" s="75"/>
      <c r="D96" s="78"/>
    </row>
    <row r="97" spans="2:4" ht="14.25">
      <c r="B97" s="79"/>
      <c r="C97" s="75"/>
      <c r="D97" s="78"/>
    </row>
    <row r="98" spans="2:4" ht="14.25">
      <c r="B98" s="79"/>
      <c r="C98" s="75"/>
      <c r="D98" s="78"/>
    </row>
    <row r="99" spans="2:4" ht="14.25">
      <c r="B99" s="79"/>
      <c r="C99" s="75"/>
      <c r="D99" s="78"/>
    </row>
    <row r="100" spans="2:4" ht="14.25">
      <c r="B100" s="79"/>
      <c r="C100" s="75"/>
      <c r="D100" s="78"/>
    </row>
    <row r="101" spans="2:4" ht="14.25">
      <c r="B101" s="79"/>
      <c r="C101" s="75"/>
      <c r="D101" s="78"/>
    </row>
    <row r="102" spans="2:4" ht="14.25">
      <c r="B102" s="79"/>
      <c r="C102" s="75"/>
      <c r="D102" s="78"/>
    </row>
  </sheetData>
  <mergeCells count="32">
    <mergeCell ref="C3:C6"/>
    <mergeCell ref="G5:G6"/>
    <mergeCell ref="H5:H6"/>
    <mergeCell ref="I3:AL3"/>
    <mergeCell ref="D3:E6"/>
    <mergeCell ref="O4:T4"/>
    <mergeCell ref="O5:P5"/>
    <mergeCell ref="I5:J5"/>
    <mergeCell ref="AI4:AJ4"/>
    <mergeCell ref="AI5:AJ5"/>
    <mergeCell ref="F3:H4"/>
    <mergeCell ref="AA5:AB5"/>
    <mergeCell ref="K5:L5"/>
    <mergeCell ref="S5:T5"/>
    <mergeCell ref="F5:F6"/>
    <mergeCell ref="M5:N5"/>
    <mergeCell ref="B2:AL2"/>
    <mergeCell ref="AK5:AL5"/>
    <mergeCell ref="U4:V4"/>
    <mergeCell ref="U5:V5"/>
    <mergeCell ref="W5:X5"/>
    <mergeCell ref="W4:X4"/>
    <mergeCell ref="Y5:Z5"/>
    <mergeCell ref="AC5:AD5"/>
    <mergeCell ref="AE4:AF4"/>
    <mergeCell ref="AE5:AF5"/>
    <mergeCell ref="AG5:AH5"/>
    <mergeCell ref="AG4:AH4"/>
    <mergeCell ref="Y4:AD4"/>
    <mergeCell ref="I4:N4"/>
    <mergeCell ref="AK4:AL4"/>
    <mergeCell ref="Q5:R5"/>
  </mergeCells>
  <phoneticPr fontId="1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FFCC"/>
  </sheetPr>
  <dimension ref="A1:BB262"/>
  <sheetViews>
    <sheetView topLeftCell="A118" zoomScale="55" zoomScaleNormal="55" workbookViewId="0">
      <pane xSplit="15" topLeftCell="Z1" activePane="topRight" state="frozen"/>
      <selection activeCell="BB45" sqref="BB45"/>
      <selection pane="topRight" activeCell="AT147" sqref="AT147:AV175"/>
    </sheetView>
  </sheetViews>
  <sheetFormatPr defaultColWidth="8.85546875" defaultRowHeight="12.75"/>
  <cols>
    <col min="1" max="1" width="5.5703125" style="103" customWidth="1"/>
    <col min="2" max="2" width="12.42578125" style="103" customWidth="1"/>
    <col min="3" max="3" width="8.85546875" style="102"/>
    <col min="4" max="4" width="26.42578125" style="102" customWidth="1"/>
    <col min="5" max="7" width="8.42578125" style="102" customWidth="1"/>
    <col min="8" max="8" width="11.140625" style="102" bestFit="1" customWidth="1"/>
    <col min="9" max="12" width="11.140625" style="102" customWidth="1"/>
    <col min="13" max="13" width="13.5703125" style="102" customWidth="1"/>
    <col min="14" max="14" width="9.85546875" style="102" customWidth="1"/>
    <col min="15" max="15" width="7.140625" style="102" customWidth="1"/>
    <col min="16" max="18" width="12.85546875" style="102" customWidth="1"/>
    <col min="19" max="19" width="5.42578125" style="102" customWidth="1"/>
    <col min="20" max="20" width="12.85546875" style="102" customWidth="1"/>
    <col min="21" max="23" width="12.85546875" style="103" customWidth="1"/>
    <col min="24" max="24" width="5.42578125" style="102" customWidth="1"/>
    <col min="25" max="28" width="12.85546875" style="103" customWidth="1"/>
    <col min="29" max="29" width="5.42578125" style="102" customWidth="1"/>
    <col min="30" max="30" width="12.85546875" style="103" customWidth="1"/>
    <col min="31" max="33" width="12.5703125" style="103" customWidth="1"/>
    <col min="34" max="34" width="5.42578125" style="102" customWidth="1"/>
    <col min="35" max="35" width="13" style="103" customWidth="1"/>
    <col min="36" max="38" width="12.5703125" style="103" customWidth="1"/>
    <col min="39" max="39" width="5.42578125" style="102" customWidth="1"/>
    <col min="40" max="40" width="13" style="103" customWidth="1"/>
    <col min="41" max="43" width="13.140625" style="103" customWidth="1"/>
    <col min="44" max="44" width="5.42578125" style="103" customWidth="1"/>
    <col min="45" max="48" width="13.140625" style="103" customWidth="1"/>
    <col min="49" max="49" width="5.42578125" style="103" customWidth="1"/>
    <col min="50" max="50" width="13.140625" style="103" customWidth="1"/>
    <col min="51" max="16384" width="8.85546875" style="103"/>
  </cols>
  <sheetData>
    <row r="1" spans="1:54" ht="24">
      <c r="A1" s="74"/>
      <c r="B1" s="196" t="s">
        <v>720</v>
      </c>
      <c r="C1" s="195">
        <f>AVERAGE(L7,L42,L77,L112,L147,L182)</f>
        <v>793.91002640854322</v>
      </c>
    </row>
    <row r="2" spans="1:54" ht="15.75">
      <c r="A2" s="79"/>
      <c r="B2" s="480" t="s">
        <v>721</v>
      </c>
      <c r="C2" s="480"/>
      <c r="D2" s="480"/>
      <c r="E2" s="480"/>
      <c r="F2" s="480"/>
      <c r="G2" s="480"/>
      <c r="H2" s="480"/>
      <c r="I2" s="181"/>
      <c r="J2" s="181"/>
      <c r="K2" s="181"/>
      <c r="L2" s="181"/>
      <c r="M2" s="178"/>
      <c r="N2" s="469" t="s">
        <v>722</v>
      </c>
      <c r="O2" s="469" t="s">
        <v>723</v>
      </c>
      <c r="P2" s="492"/>
      <c r="Q2" s="493"/>
      <c r="R2" s="493"/>
      <c r="S2" s="493"/>
      <c r="T2" s="494"/>
      <c r="U2" s="475"/>
      <c r="V2" s="476"/>
      <c r="W2" s="476"/>
      <c r="X2" s="476"/>
      <c r="Y2" s="477"/>
      <c r="Z2" s="475"/>
      <c r="AA2" s="476"/>
      <c r="AB2" s="476"/>
      <c r="AC2" s="476"/>
      <c r="AD2" s="477"/>
      <c r="AE2" s="475"/>
      <c r="AF2" s="476"/>
      <c r="AG2" s="476"/>
      <c r="AH2" s="476"/>
      <c r="AI2" s="477"/>
      <c r="AJ2" s="475"/>
      <c r="AK2" s="476"/>
      <c r="AL2" s="476"/>
      <c r="AM2" s="476"/>
      <c r="AN2" s="477"/>
      <c r="AO2" s="475">
        <v>46054</v>
      </c>
      <c r="AP2" s="476"/>
      <c r="AQ2" s="476"/>
      <c r="AR2" s="476"/>
      <c r="AS2" s="477"/>
      <c r="AT2" s="475">
        <f>AO2+1</f>
        <v>46055</v>
      </c>
      <c r="AU2" s="476"/>
      <c r="AV2" s="476"/>
      <c r="AW2" s="476"/>
      <c r="AX2" s="477"/>
    </row>
    <row r="3" spans="1:54" ht="15.75">
      <c r="A3" s="79"/>
      <c r="B3" s="495"/>
      <c r="C3" s="495"/>
      <c r="D3" s="495"/>
      <c r="E3" s="495"/>
      <c r="F3" s="495"/>
      <c r="G3" s="495"/>
      <c r="H3" s="495"/>
      <c r="I3" s="182"/>
      <c r="J3" s="182"/>
      <c r="K3" s="182"/>
      <c r="L3" s="182"/>
      <c r="M3" s="179"/>
      <c r="N3" s="471"/>
      <c r="O3" s="471"/>
      <c r="P3" s="478" t="s">
        <v>724</v>
      </c>
      <c r="Q3" s="479"/>
      <c r="R3" s="479"/>
      <c r="S3" s="479"/>
      <c r="T3" s="479"/>
      <c r="U3" s="478" t="s">
        <v>725</v>
      </c>
      <c r="V3" s="479"/>
      <c r="W3" s="479"/>
      <c r="X3" s="479"/>
      <c r="Y3" s="479"/>
      <c r="Z3" s="478" t="s">
        <v>726</v>
      </c>
      <c r="AA3" s="479"/>
      <c r="AB3" s="479"/>
      <c r="AC3" s="479"/>
      <c r="AD3" s="479"/>
      <c r="AE3" s="478" t="s">
        <v>727</v>
      </c>
      <c r="AF3" s="479"/>
      <c r="AG3" s="479"/>
      <c r="AH3" s="479"/>
      <c r="AI3" s="479"/>
      <c r="AJ3" s="478" t="s">
        <v>728</v>
      </c>
      <c r="AK3" s="479"/>
      <c r="AL3" s="479"/>
      <c r="AM3" s="479"/>
      <c r="AN3" s="479"/>
      <c r="AO3" s="478" t="s">
        <v>729</v>
      </c>
      <c r="AP3" s="479"/>
      <c r="AQ3" s="479"/>
      <c r="AR3" s="479"/>
      <c r="AS3" s="479"/>
      <c r="AT3" s="478" t="s">
        <v>730</v>
      </c>
      <c r="AU3" s="479"/>
      <c r="AV3" s="479"/>
      <c r="AW3" s="479"/>
      <c r="AX3" s="479"/>
    </row>
    <row r="4" spans="1:54" ht="14.25">
      <c r="A4" s="79"/>
      <c r="B4" s="462" t="s">
        <v>731</v>
      </c>
      <c r="C4" s="462" t="s">
        <v>732</v>
      </c>
      <c r="D4" s="462"/>
      <c r="E4" s="462" t="s">
        <v>733</v>
      </c>
      <c r="F4" s="462"/>
      <c r="G4" s="462"/>
      <c r="H4" s="463" t="s">
        <v>734</v>
      </c>
      <c r="I4" s="462" t="s">
        <v>735</v>
      </c>
      <c r="J4" s="462"/>
      <c r="K4" s="462"/>
      <c r="L4" s="463" t="s">
        <v>734</v>
      </c>
      <c r="M4" s="469" t="s">
        <v>736</v>
      </c>
      <c r="N4" s="462"/>
      <c r="O4" s="462" t="s">
        <v>737</v>
      </c>
      <c r="P4" s="466" t="s">
        <v>738</v>
      </c>
      <c r="Q4" s="467"/>
      <c r="R4" s="467"/>
      <c r="S4" s="468"/>
      <c r="T4" s="462" t="s">
        <v>734</v>
      </c>
      <c r="U4" s="466" t="s">
        <v>738</v>
      </c>
      <c r="V4" s="467"/>
      <c r="W4" s="467"/>
      <c r="X4" s="468"/>
      <c r="Y4" s="462" t="s">
        <v>734</v>
      </c>
      <c r="Z4" s="466" t="s">
        <v>738</v>
      </c>
      <c r="AA4" s="467"/>
      <c r="AB4" s="467"/>
      <c r="AC4" s="468"/>
      <c r="AD4" s="462" t="s">
        <v>734</v>
      </c>
      <c r="AE4" s="466" t="s">
        <v>738</v>
      </c>
      <c r="AF4" s="467"/>
      <c r="AG4" s="467"/>
      <c r="AH4" s="468"/>
      <c r="AI4" s="462" t="s">
        <v>734</v>
      </c>
      <c r="AJ4" s="466" t="s">
        <v>738</v>
      </c>
      <c r="AK4" s="467"/>
      <c r="AL4" s="467"/>
      <c r="AM4" s="468"/>
      <c r="AN4" s="462" t="s">
        <v>734</v>
      </c>
      <c r="AO4" s="466" t="s">
        <v>738</v>
      </c>
      <c r="AP4" s="467"/>
      <c r="AQ4" s="467"/>
      <c r="AR4" s="468"/>
      <c r="AS4" s="462" t="s">
        <v>734</v>
      </c>
      <c r="AT4" s="466" t="s">
        <v>738</v>
      </c>
      <c r="AU4" s="467"/>
      <c r="AV4" s="467"/>
      <c r="AW4" s="468"/>
      <c r="AX4" s="462" t="s">
        <v>734</v>
      </c>
    </row>
    <row r="5" spans="1:54" ht="14.25">
      <c r="A5" s="79"/>
      <c r="B5" s="462"/>
      <c r="C5" s="462"/>
      <c r="D5" s="462"/>
      <c r="E5" s="462" t="s">
        <v>739</v>
      </c>
      <c r="F5" s="462"/>
      <c r="G5" s="462"/>
      <c r="H5" s="464"/>
      <c r="I5" s="462" t="s">
        <v>739</v>
      </c>
      <c r="J5" s="462"/>
      <c r="K5" s="462"/>
      <c r="L5" s="464"/>
      <c r="M5" s="470"/>
      <c r="N5" s="462"/>
      <c r="O5" s="462"/>
      <c r="P5" s="466" t="s">
        <v>740</v>
      </c>
      <c r="Q5" s="467"/>
      <c r="R5" s="467"/>
      <c r="S5" s="468"/>
      <c r="T5" s="462"/>
      <c r="U5" s="466" t="s">
        <v>740</v>
      </c>
      <c r="V5" s="467"/>
      <c r="W5" s="467"/>
      <c r="X5" s="468"/>
      <c r="Y5" s="462"/>
      <c r="Z5" s="466" t="s">
        <v>740</v>
      </c>
      <c r="AA5" s="467"/>
      <c r="AB5" s="467"/>
      <c r="AC5" s="468"/>
      <c r="AD5" s="462"/>
      <c r="AE5" s="466" t="s">
        <v>740</v>
      </c>
      <c r="AF5" s="467"/>
      <c r="AG5" s="467"/>
      <c r="AH5" s="468"/>
      <c r="AI5" s="462"/>
      <c r="AJ5" s="466" t="s">
        <v>740</v>
      </c>
      <c r="AK5" s="467"/>
      <c r="AL5" s="467"/>
      <c r="AM5" s="468"/>
      <c r="AN5" s="462"/>
      <c r="AO5" s="466" t="s">
        <v>740</v>
      </c>
      <c r="AP5" s="467"/>
      <c r="AQ5" s="467"/>
      <c r="AR5" s="468"/>
      <c r="AS5" s="462"/>
      <c r="AT5" s="466" t="s">
        <v>740</v>
      </c>
      <c r="AU5" s="467"/>
      <c r="AV5" s="467"/>
      <c r="AW5" s="468"/>
      <c r="AX5" s="462"/>
    </row>
    <row r="6" spans="1:54" ht="14.25">
      <c r="A6" s="77"/>
      <c r="B6" s="462"/>
      <c r="C6" s="462"/>
      <c r="D6" s="462"/>
      <c r="E6" s="264" t="s">
        <v>741</v>
      </c>
      <c r="F6" s="264" t="s">
        <v>742</v>
      </c>
      <c r="G6" s="264" t="s">
        <v>743</v>
      </c>
      <c r="H6" s="465"/>
      <c r="I6" s="264" t="s">
        <v>741</v>
      </c>
      <c r="J6" s="264" t="s">
        <v>742</v>
      </c>
      <c r="K6" s="264" t="s">
        <v>743</v>
      </c>
      <c r="L6" s="465"/>
      <c r="M6" s="471"/>
      <c r="N6" s="462"/>
      <c r="O6" s="462"/>
      <c r="P6" s="264" t="s">
        <v>741</v>
      </c>
      <c r="Q6" s="264" t="s">
        <v>742</v>
      </c>
      <c r="R6" s="264" t="s">
        <v>743</v>
      </c>
      <c r="S6" s="264" t="s">
        <v>736</v>
      </c>
      <c r="T6" s="462"/>
      <c r="U6" s="264" t="s">
        <v>741</v>
      </c>
      <c r="V6" s="264" t="s">
        <v>742</v>
      </c>
      <c r="W6" s="264" t="s">
        <v>743</v>
      </c>
      <c r="X6" s="264" t="s">
        <v>736</v>
      </c>
      <c r="Y6" s="462"/>
      <c r="Z6" s="264" t="s">
        <v>741</v>
      </c>
      <c r="AA6" s="264" t="s">
        <v>742</v>
      </c>
      <c r="AB6" s="264" t="s">
        <v>743</v>
      </c>
      <c r="AC6" s="264" t="s">
        <v>736</v>
      </c>
      <c r="AD6" s="462"/>
      <c r="AE6" s="264" t="s">
        <v>741</v>
      </c>
      <c r="AF6" s="264" t="s">
        <v>742</v>
      </c>
      <c r="AG6" s="264" t="s">
        <v>743</v>
      </c>
      <c r="AH6" s="264" t="s">
        <v>736</v>
      </c>
      <c r="AI6" s="462"/>
      <c r="AJ6" s="264" t="s">
        <v>741</v>
      </c>
      <c r="AK6" s="264" t="s">
        <v>742</v>
      </c>
      <c r="AL6" s="264" t="s">
        <v>743</v>
      </c>
      <c r="AM6" s="264" t="s">
        <v>736</v>
      </c>
      <c r="AN6" s="462"/>
      <c r="AO6" s="264" t="s">
        <v>741</v>
      </c>
      <c r="AP6" s="264" t="s">
        <v>742</v>
      </c>
      <c r="AQ6" s="264" t="s">
        <v>743</v>
      </c>
      <c r="AR6" s="264" t="s">
        <v>736</v>
      </c>
      <c r="AS6" s="462"/>
      <c r="AT6" s="264" t="s">
        <v>741</v>
      </c>
      <c r="AU6" s="264" t="s">
        <v>742</v>
      </c>
      <c r="AV6" s="264" t="s">
        <v>743</v>
      </c>
      <c r="AW6" s="264" t="s">
        <v>736</v>
      </c>
      <c r="AX6" s="462"/>
    </row>
    <row r="7" spans="1:54" ht="14.25">
      <c r="A7" s="79"/>
      <c r="B7" s="479" t="s">
        <v>150</v>
      </c>
      <c r="C7" s="180">
        <v>1</v>
      </c>
      <c r="D7" s="180" t="s">
        <v>347</v>
      </c>
      <c r="E7" s="180">
        <v>4</v>
      </c>
      <c r="F7" s="180">
        <v>2200</v>
      </c>
      <c r="G7" s="180">
        <v>550</v>
      </c>
      <c r="H7" s="472">
        <f>AVERAGE(G7:G36)</f>
        <v>849.60317460317469</v>
      </c>
      <c r="I7" s="166">
        <f>AVERAGE(P7,U7,Z7,AE7,AJ7,AO7,AT7)</f>
        <v>3</v>
      </c>
      <c r="J7" s="166">
        <f>AVERAGE(Q7,V7,AA7,AF7,AK7,AP7,AU7)</f>
        <v>3222.8723404255325</v>
      </c>
      <c r="K7" s="265">
        <f>AVERAGE(R7,W7,AB7,AG7,AL7,AQ7,AV7)</f>
        <v>1074.2907801418442</v>
      </c>
      <c r="L7" s="459">
        <f>IFERROR(AVERAGE(K7:K36),"-")</f>
        <v>795.9956705841588</v>
      </c>
      <c r="M7" s="166" t="e">
        <f>RANK(K7, K$147:$K$176)</f>
        <v>#N/A</v>
      </c>
      <c r="N7" s="462"/>
      <c r="O7" s="462"/>
      <c r="P7" s="166"/>
      <c r="Q7" s="166"/>
      <c r="R7" s="166"/>
      <c r="S7" s="180" t="e">
        <f>RANK(R7, R$7:R$36)</f>
        <v>#N/A</v>
      </c>
      <c r="T7" s="486" t="e">
        <f>AVERAGE(R7:R36)</f>
        <v>#DIV/0!</v>
      </c>
      <c r="U7" s="166"/>
      <c r="V7" s="166"/>
      <c r="W7" s="166"/>
      <c r="X7" s="180" t="e">
        <f>RANK(W7, W$7:W$36)</f>
        <v>#N/A</v>
      </c>
      <c r="Y7" s="486" t="e">
        <f>AVERAGE(W7:W36)</f>
        <v>#DIV/0!</v>
      </c>
      <c r="Z7" s="166"/>
      <c r="AA7" s="166"/>
      <c r="AB7" s="166"/>
      <c r="AC7" s="180" t="e">
        <f>RANK(AB7, AB$7:AB$36)</f>
        <v>#N/A</v>
      </c>
      <c r="AD7" s="486" t="e">
        <f>AVERAGE(AB7:AB36)</f>
        <v>#DIV/0!</v>
      </c>
      <c r="AE7" s="166"/>
      <c r="AF7" s="166"/>
      <c r="AG7" s="166"/>
      <c r="AH7" s="180" t="e">
        <f>RANK(AG7, AG$7:AG$36)</f>
        <v>#N/A</v>
      </c>
      <c r="AI7" s="486" t="e">
        <f>AVERAGE(AG7:AG36)</f>
        <v>#DIV/0!</v>
      </c>
      <c r="AJ7" s="166"/>
      <c r="AK7" s="166"/>
      <c r="AL7" s="166"/>
      <c r="AM7" s="180" t="e">
        <f>RANK(AL7, AL$7:AL$36)</f>
        <v>#N/A</v>
      </c>
      <c r="AN7" s="486" t="e">
        <f>AVERAGE(AL7:AL36)</f>
        <v>#DIV/0!</v>
      </c>
      <c r="AO7" s="166">
        <v>3</v>
      </c>
      <c r="AP7" s="166">
        <v>3230.0000000000009</v>
      </c>
      <c r="AQ7" s="166">
        <v>1076.666666666667</v>
      </c>
      <c r="AR7" s="180">
        <f>RANK(AQ7, AQ$7:AQ$36)</f>
        <v>3</v>
      </c>
      <c r="AS7" s="486">
        <f>AVERAGE(AQ7:AQ36)</f>
        <v>800.12650148310445</v>
      </c>
      <c r="AT7" s="166">
        <v>3</v>
      </c>
      <c r="AU7" s="166">
        <v>3215.744680851064</v>
      </c>
      <c r="AV7" s="166">
        <v>1071.9148936170213</v>
      </c>
      <c r="AW7" s="180">
        <f>RANK(AV7, AV$7:AV$36)</f>
        <v>3</v>
      </c>
      <c r="AX7" s="486">
        <f>AVERAGE(AV7:AV36)</f>
        <v>791.86483968521327</v>
      </c>
      <c r="AZ7" s="166" t="e">
        <f>RANK(AX7, $K$7:AX$36)</f>
        <v>#N/A</v>
      </c>
      <c r="BB7" s="180" t="e">
        <f t="shared" ref="BB7:BB36" si="0">RANK(BA7, BA$7:BA$36)</f>
        <v>#N/A</v>
      </c>
    </row>
    <row r="8" spans="1:54" ht="15" customHeight="1">
      <c r="A8" s="79"/>
      <c r="B8" s="479"/>
      <c r="C8" s="180">
        <v>2</v>
      </c>
      <c r="D8" s="180" t="s">
        <v>348</v>
      </c>
      <c r="E8" s="180">
        <v>3</v>
      </c>
      <c r="F8" s="180">
        <v>2700</v>
      </c>
      <c r="G8" s="180">
        <v>900</v>
      </c>
      <c r="H8" s="473"/>
      <c r="I8" s="166">
        <f t="shared" ref="I8:K26" si="1">AVERAGE(P8,U8,Z8,AE8,AJ8,AO8,AT8)</f>
        <v>3</v>
      </c>
      <c r="J8" s="166">
        <f t="shared" si="1"/>
        <v>3342.8571428571358</v>
      </c>
      <c r="K8" s="265">
        <f t="shared" si="1"/>
        <v>1114.2857142857119</v>
      </c>
      <c r="L8" s="460"/>
      <c r="M8" s="166" t="e">
        <f>RANK(K8, K$147:$K$176)</f>
        <v>#N/A</v>
      </c>
      <c r="N8" s="462"/>
      <c r="O8" s="462"/>
      <c r="P8" s="166"/>
      <c r="Q8" s="166"/>
      <c r="R8" s="166"/>
      <c r="S8" s="180" t="e">
        <f t="shared" ref="S8:S36" si="2">RANK(R8, R$7:R$36)</f>
        <v>#N/A</v>
      </c>
      <c r="T8" s="486"/>
      <c r="U8" s="166"/>
      <c r="V8" s="166"/>
      <c r="W8" s="166"/>
      <c r="X8" s="180" t="e">
        <f t="shared" ref="X8:X36" si="3">RANK(W8, W$7:W$36)</f>
        <v>#N/A</v>
      </c>
      <c r="Y8" s="486"/>
      <c r="Z8" s="166"/>
      <c r="AA8" s="166"/>
      <c r="AB8" s="166"/>
      <c r="AC8" s="180" t="e">
        <f t="shared" ref="AC8:AC36" si="4">RANK(AB8, AB$7:AB$36)</f>
        <v>#N/A</v>
      </c>
      <c r="AD8" s="486"/>
      <c r="AE8" s="166"/>
      <c r="AF8" s="166"/>
      <c r="AG8" s="166"/>
      <c r="AH8" s="180" t="e">
        <f t="shared" ref="AH8:AH36" si="5">RANK(AG8, AG$7:AG$36)</f>
        <v>#N/A</v>
      </c>
      <c r="AI8" s="486"/>
      <c r="AJ8" s="166"/>
      <c r="AK8" s="166"/>
      <c r="AL8" s="166"/>
      <c r="AM8" s="180" t="e">
        <f t="shared" ref="AM8:AM36" si="6">RANK(AL8, AL$7:AL$36)</f>
        <v>#N/A</v>
      </c>
      <c r="AN8" s="486"/>
      <c r="AO8" s="166">
        <v>3</v>
      </c>
      <c r="AP8" s="166">
        <v>3407.1428571428496</v>
      </c>
      <c r="AQ8" s="166">
        <v>1135.7142857142833</v>
      </c>
      <c r="AR8" s="180">
        <f t="shared" ref="AR8:AR36" si="7">RANK(AQ8, AQ$7:AQ$36)</f>
        <v>1</v>
      </c>
      <c r="AS8" s="486"/>
      <c r="AT8" s="166">
        <v>3</v>
      </c>
      <c r="AU8" s="166">
        <v>3278.5714285714216</v>
      </c>
      <c r="AV8" s="166">
        <v>1092.8571428571406</v>
      </c>
      <c r="AW8" s="180">
        <f t="shared" ref="AW8:AW36" si="8">RANK(AV8, AV$7:AV$36)</f>
        <v>2</v>
      </c>
      <c r="AX8" s="486"/>
      <c r="AZ8" s="166" t="e">
        <f>RANK(AX8, $K$7:AX$36)</f>
        <v>#N/A</v>
      </c>
      <c r="BB8" s="180" t="e">
        <f t="shared" si="0"/>
        <v>#N/A</v>
      </c>
    </row>
    <row r="9" spans="1:54" ht="14.25">
      <c r="A9" s="79"/>
      <c r="B9" s="479"/>
      <c r="C9" s="180">
        <v>3</v>
      </c>
      <c r="D9" s="180" t="s">
        <v>336</v>
      </c>
      <c r="E9" s="180">
        <v>4</v>
      </c>
      <c r="F9" s="180">
        <v>3600</v>
      </c>
      <c r="G9" s="180">
        <v>900</v>
      </c>
      <c r="H9" s="473"/>
      <c r="I9" s="166">
        <f t="shared" si="1"/>
        <v>4</v>
      </c>
      <c r="J9" s="166">
        <f t="shared" si="1"/>
        <v>3333.9705882352901</v>
      </c>
      <c r="K9" s="265">
        <f t="shared" si="1"/>
        <v>833.49264705882251</v>
      </c>
      <c r="L9" s="460"/>
      <c r="M9" s="166" t="e">
        <f>RANK(K9, K$147:$K$176)</f>
        <v>#N/A</v>
      </c>
      <c r="N9" s="462"/>
      <c r="O9" s="462"/>
      <c r="P9" s="166"/>
      <c r="Q9" s="166"/>
      <c r="R9" s="166"/>
      <c r="S9" s="180" t="e">
        <f t="shared" si="2"/>
        <v>#N/A</v>
      </c>
      <c r="T9" s="486"/>
      <c r="U9" s="166"/>
      <c r="V9" s="166"/>
      <c r="W9" s="166"/>
      <c r="X9" s="180" t="e">
        <f t="shared" si="3"/>
        <v>#N/A</v>
      </c>
      <c r="Y9" s="486"/>
      <c r="Z9" s="166"/>
      <c r="AA9" s="166"/>
      <c r="AB9" s="166"/>
      <c r="AC9" s="180" t="e">
        <f t="shared" si="4"/>
        <v>#N/A</v>
      </c>
      <c r="AD9" s="486"/>
      <c r="AE9" s="166"/>
      <c r="AF9" s="166"/>
      <c r="AG9" s="166"/>
      <c r="AH9" s="180" t="e">
        <f t="shared" si="5"/>
        <v>#N/A</v>
      </c>
      <c r="AI9" s="486"/>
      <c r="AJ9" s="166"/>
      <c r="AK9" s="166"/>
      <c r="AL9" s="166"/>
      <c r="AM9" s="180" t="e">
        <f t="shared" si="6"/>
        <v>#N/A</v>
      </c>
      <c r="AN9" s="486"/>
      <c r="AO9" s="166">
        <v>4</v>
      </c>
      <c r="AP9" s="166">
        <v>3292.9411764705769</v>
      </c>
      <c r="AQ9" s="166">
        <v>823.23529411764423</v>
      </c>
      <c r="AR9" s="180">
        <f t="shared" si="7"/>
        <v>11</v>
      </c>
      <c r="AS9" s="486"/>
      <c r="AT9" s="166">
        <v>4</v>
      </c>
      <c r="AU9" s="166">
        <v>3375.0000000000036</v>
      </c>
      <c r="AV9" s="166">
        <v>843.75000000000091</v>
      </c>
      <c r="AW9" s="180">
        <f t="shared" si="8"/>
        <v>10</v>
      </c>
      <c r="AX9" s="486"/>
      <c r="AZ9" s="166" t="e">
        <f>RANK(AX9, $K$7:AX$36)</f>
        <v>#N/A</v>
      </c>
      <c r="BB9" s="180" t="e">
        <f t="shared" si="0"/>
        <v>#N/A</v>
      </c>
    </row>
    <row r="10" spans="1:54" ht="14.25">
      <c r="A10" s="79"/>
      <c r="B10" s="479"/>
      <c r="C10" s="180">
        <v>4</v>
      </c>
      <c r="D10" s="180" t="s">
        <v>350</v>
      </c>
      <c r="E10" s="180">
        <v>3</v>
      </c>
      <c r="F10" s="180">
        <v>3600</v>
      </c>
      <c r="G10" s="180">
        <v>1200</v>
      </c>
      <c r="H10" s="473"/>
      <c r="I10" s="166">
        <f t="shared" si="1"/>
        <v>3</v>
      </c>
      <c r="J10" s="166">
        <f t="shared" si="1"/>
        <v>3244.8529411764707</v>
      </c>
      <c r="K10" s="265">
        <f t="shared" si="1"/>
        <v>1081.6176470588234</v>
      </c>
      <c r="L10" s="460"/>
      <c r="M10" s="166" t="e">
        <f>RANK(K10, K$147:$K$176)</f>
        <v>#N/A</v>
      </c>
      <c r="N10" s="462"/>
      <c r="O10" s="462"/>
      <c r="P10" s="166"/>
      <c r="Q10" s="166"/>
      <c r="R10" s="166"/>
      <c r="S10" s="180" t="e">
        <f t="shared" si="2"/>
        <v>#N/A</v>
      </c>
      <c r="T10" s="486"/>
      <c r="U10" s="166"/>
      <c r="V10" s="166"/>
      <c r="W10" s="166"/>
      <c r="X10" s="180" t="e">
        <f t="shared" si="3"/>
        <v>#N/A</v>
      </c>
      <c r="Y10" s="486"/>
      <c r="Z10" s="166"/>
      <c r="AA10" s="166"/>
      <c r="AB10" s="166"/>
      <c r="AC10" s="180" t="e">
        <f t="shared" si="4"/>
        <v>#N/A</v>
      </c>
      <c r="AD10" s="486"/>
      <c r="AE10" s="166"/>
      <c r="AF10" s="166"/>
      <c r="AG10" s="166"/>
      <c r="AH10" s="180" t="e">
        <f t="shared" si="5"/>
        <v>#N/A</v>
      </c>
      <c r="AI10" s="486"/>
      <c r="AJ10" s="166"/>
      <c r="AK10" s="166"/>
      <c r="AL10" s="166"/>
      <c r="AM10" s="180" t="e">
        <f t="shared" si="6"/>
        <v>#N/A</v>
      </c>
      <c r="AN10" s="486"/>
      <c r="AO10" s="166">
        <v>3</v>
      </c>
      <c r="AP10" s="166">
        <v>3275.2941176470631</v>
      </c>
      <c r="AQ10" s="166">
        <v>1091.7647058823543</v>
      </c>
      <c r="AR10" s="180">
        <f t="shared" si="7"/>
        <v>2</v>
      </c>
      <c r="AS10" s="486"/>
      <c r="AT10" s="166">
        <v>3</v>
      </c>
      <c r="AU10" s="166">
        <v>3214.4117647058783</v>
      </c>
      <c r="AV10" s="166">
        <v>1071.4705882352928</v>
      </c>
      <c r="AW10" s="180">
        <f t="shared" si="8"/>
        <v>4</v>
      </c>
      <c r="AX10" s="486"/>
      <c r="AZ10" s="166" t="e">
        <f>RANK(AX10, $K$7:AX$36)</f>
        <v>#N/A</v>
      </c>
      <c r="BB10" s="180" t="e">
        <f t="shared" si="0"/>
        <v>#N/A</v>
      </c>
    </row>
    <row r="11" spans="1:54" ht="14.25">
      <c r="A11" s="79"/>
      <c r="B11" s="479"/>
      <c r="C11" s="180">
        <v>5</v>
      </c>
      <c r="D11" s="180" t="s">
        <v>351</v>
      </c>
      <c r="E11" s="180">
        <v>3</v>
      </c>
      <c r="F11" s="180">
        <v>3600</v>
      </c>
      <c r="G11" s="180">
        <v>1200</v>
      </c>
      <c r="H11" s="473"/>
      <c r="I11" s="166">
        <f t="shared" si="1"/>
        <v>4</v>
      </c>
      <c r="J11" s="166">
        <f t="shared" si="1"/>
        <v>3317.0085470085437</v>
      </c>
      <c r="K11" s="265">
        <f t="shared" si="1"/>
        <v>829.25213675213593</v>
      </c>
      <c r="L11" s="460"/>
      <c r="M11" s="166" t="e">
        <f>RANK(K11, K$147:$K$176)</f>
        <v>#N/A</v>
      </c>
      <c r="N11" s="462"/>
      <c r="O11" s="462"/>
      <c r="P11" s="166"/>
      <c r="Q11" s="166"/>
      <c r="R11" s="166"/>
      <c r="S11" s="180" t="e">
        <f t="shared" si="2"/>
        <v>#N/A</v>
      </c>
      <c r="T11" s="486"/>
      <c r="U11" s="166"/>
      <c r="V11" s="166"/>
      <c r="W11" s="166"/>
      <c r="X11" s="180" t="e">
        <f t="shared" si="3"/>
        <v>#N/A</v>
      </c>
      <c r="Y11" s="486"/>
      <c r="Z11" s="166"/>
      <c r="AA11" s="166"/>
      <c r="AB11" s="166"/>
      <c r="AC11" s="180" t="e">
        <f t="shared" si="4"/>
        <v>#N/A</v>
      </c>
      <c r="AD11" s="486"/>
      <c r="AE11" s="166"/>
      <c r="AF11" s="166"/>
      <c r="AG11" s="166"/>
      <c r="AH11" s="180" t="e">
        <f t="shared" si="5"/>
        <v>#N/A</v>
      </c>
      <c r="AI11" s="486"/>
      <c r="AJ11" s="166"/>
      <c r="AK11" s="166"/>
      <c r="AL11" s="166"/>
      <c r="AM11" s="180" t="e">
        <f t="shared" si="6"/>
        <v>#N/A</v>
      </c>
      <c r="AN11" s="486"/>
      <c r="AO11" s="166">
        <v>4</v>
      </c>
      <c r="AP11" s="166">
        <v>3315.5555555555525</v>
      </c>
      <c r="AQ11" s="166">
        <v>828.88888888888812</v>
      </c>
      <c r="AR11" s="180">
        <f t="shared" si="7"/>
        <v>10</v>
      </c>
      <c r="AS11" s="486"/>
      <c r="AT11" s="166">
        <v>4</v>
      </c>
      <c r="AU11" s="166">
        <v>3318.4615384615349</v>
      </c>
      <c r="AV11" s="166">
        <v>829.61538461538373</v>
      </c>
      <c r="AW11" s="180">
        <f t="shared" si="8"/>
        <v>11</v>
      </c>
      <c r="AX11" s="486"/>
      <c r="AZ11" s="166" t="e">
        <f>RANK(AX11, $K$7:AX$36)</f>
        <v>#N/A</v>
      </c>
      <c r="BB11" s="180" t="e">
        <f t="shared" si="0"/>
        <v>#N/A</v>
      </c>
    </row>
    <row r="12" spans="1:54" ht="14.25">
      <c r="A12" s="79"/>
      <c r="B12" s="479"/>
      <c r="C12" s="180">
        <v>6</v>
      </c>
      <c r="D12" s="180" t="s">
        <v>349</v>
      </c>
      <c r="E12" s="180">
        <v>4</v>
      </c>
      <c r="F12" s="180">
        <v>3600</v>
      </c>
      <c r="G12" s="180">
        <v>900</v>
      </c>
      <c r="H12" s="473"/>
      <c r="I12" s="166">
        <f t="shared" si="1"/>
        <v>4</v>
      </c>
      <c r="J12" s="166">
        <f t="shared" si="1"/>
        <v>3440.5769230769247</v>
      </c>
      <c r="K12" s="265">
        <f t="shared" si="1"/>
        <v>860.14423076923117</v>
      </c>
      <c r="L12" s="460"/>
      <c r="M12" s="166" t="e">
        <f>RANK(K12, K$147:$K$176)</f>
        <v>#N/A</v>
      </c>
      <c r="N12" s="462"/>
      <c r="O12" s="462"/>
      <c r="P12" s="166"/>
      <c r="Q12" s="166"/>
      <c r="R12" s="166"/>
      <c r="S12" s="180" t="e">
        <f t="shared" si="2"/>
        <v>#N/A</v>
      </c>
      <c r="T12" s="486"/>
      <c r="U12" s="166"/>
      <c r="V12" s="166"/>
      <c r="W12" s="166"/>
      <c r="X12" s="180" t="e">
        <f t="shared" si="3"/>
        <v>#N/A</v>
      </c>
      <c r="Y12" s="486"/>
      <c r="Z12" s="166"/>
      <c r="AA12" s="166"/>
      <c r="AB12" s="166"/>
      <c r="AC12" s="180" t="e">
        <f t="shared" si="4"/>
        <v>#N/A</v>
      </c>
      <c r="AD12" s="486"/>
      <c r="AE12" s="166"/>
      <c r="AF12" s="166"/>
      <c r="AG12" s="166"/>
      <c r="AH12" s="180" t="e">
        <f t="shared" si="5"/>
        <v>#N/A</v>
      </c>
      <c r="AI12" s="486"/>
      <c r="AJ12" s="166"/>
      <c r="AK12" s="166"/>
      <c r="AL12" s="166"/>
      <c r="AM12" s="180" t="e">
        <f t="shared" si="6"/>
        <v>#N/A</v>
      </c>
      <c r="AN12" s="486"/>
      <c r="AO12" s="166">
        <v>4</v>
      </c>
      <c r="AP12" s="166">
        <v>3406.153846153848</v>
      </c>
      <c r="AQ12" s="166">
        <v>851.538461538462</v>
      </c>
      <c r="AR12" s="180">
        <f t="shared" si="7"/>
        <v>9</v>
      </c>
      <c r="AS12" s="486"/>
      <c r="AT12" s="166">
        <v>4</v>
      </c>
      <c r="AU12" s="166">
        <v>3475.0000000000009</v>
      </c>
      <c r="AV12" s="166">
        <v>868.75000000000023</v>
      </c>
      <c r="AW12" s="180">
        <f t="shared" si="8"/>
        <v>8</v>
      </c>
      <c r="AX12" s="486"/>
      <c r="AZ12" s="166" t="e">
        <f>RANK(AX12, $K$7:AX$36)</f>
        <v>#N/A</v>
      </c>
      <c r="BB12" s="180" t="e">
        <f t="shared" si="0"/>
        <v>#N/A</v>
      </c>
    </row>
    <row r="13" spans="1:54" ht="14.25">
      <c r="A13" s="79"/>
      <c r="B13" s="479"/>
      <c r="C13" s="180">
        <v>7</v>
      </c>
      <c r="D13" s="180" t="s">
        <v>352</v>
      </c>
      <c r="E13" s="180">
        <v>4</v>
      </c>
      <c r="F13" s="180">
        <v>3300</v>
      </c>
      <c r="G13" s="180">
        <v>825</v>
      </c>
      <c r="H13" s="473"/>
      <c r="I13" s="166">
        <f t="shared" si="1"/>
        <v>4</v>
      </c>
      <c r="J13" s="166">
        <f t="shared" si="1"/>
        <v>2991.3636363636415</v>
      </c>
      <c r="K13" s="265">
        <f t="shared" si="1"/>
        <v>747.84090909091037</v>
      </c>
      <c r="L13" s="460"/>
      <c r="M13" s="166" t="e">
        <f>RANK(K13, K$147:$K$176)</f>
        <v>#N/A</v>
      </c>
      <c r="N13" s="462"/>
      <c r="O13" s="462"/>
      <c r="P13" s="166"/>
      <c r="Q13" s="166"/>
      <c r="R13" s="166"/>
      <c r="S13" s="180" t="e">
        <f t="shared" si="2"/>
        <v>#N/A</v>
      </c>
      <c r="T13" s="486"/>
      <c r="U13" s="166"/>
      <c r="V13" s="166"/>
      <c r="W13" s="166"/>
      <c r="X13" s="180" t="e">
        <f t="shared" si="3"/>
        <v>#N/A</v>
      </c>
      <c r="Y13" s="486"/>
      <c r="Z13" s="166"/>
      <c r="AA13" s="166"/>
      <c r="AB13" s="166"/>
      <c r="AC13" s="180" t="e">
        <f t="shared" si="4"/>
        <v>#N/A</v>
      </c>
      <c r="AD13" s="486"/>
      <c r="AE13" s="166"/>
      <c r="AF13" s="166"/>
      <c r="AG13" s="166"/>
      <c r="AH13" s="180" t="e">
        <f t="shared" si="5"/>
        <v>#N/A</v>
      </c>
      <c r="AI13" s="486"/>
      <c r="AJ13" s="166"/>
      <c r="AK13" s="166"/>
      <c r="AL13" s="166"/>
      <c r="AM13" s="180" t="e">
        <f t="shared" si="6"/>
        <v>#N/A</v>
      </c>
      <c r="AN13" s="486"/>
      <c r="AO13" s="166">
        <v>4</v>
      </c>
      <c r="AP13" s="166">
        <v>2950.0000000000105</v>
      </c>
      <c r="AQ13" s="166">
        <v>737.50000000000261</v>
      </c>
      <c r="AR13" s="180">
        <f t="shared" si="7"/>
        <v>12</v>
      </c>
      <c r="AS13" s="486"/>
      <c r="AT13" s="166">
        <v>4</v>
      </c>
      <c r="AU13" s="166">
        <v>3032.727272727273</v>
      </c>
      <c r="AV13" s="166">
        <v>758.18181818181824</v>
      </c>
      <c r="AW13" s="180">
        <f t="shared" si="8"/>
        <v>12</v>
      </c>
      <c r="AX13" s="486"/>
      <c r="AZ13" s="166" t="e">
        <f>RANK(AX13, $K$7:AX$36)</f>
        <v>#N/A</v>
      </c>
      <c r="BB13" s="180" t="e">
        <f t="shared" si="0"/>
        <v>#N/A</v>
      </c>
    </row>
    <row r="14" spans="1:54" ht="14.25">
      <c r="A14" s="79"/>
      <c r="B14" s="479"/>
      <c r="C14" s="180">
        <v>8</v>
      </c>
      <c r="D14" s="180" t="s">
        <v>353</v>
      </c>
      <c r="E14" s="180">
        <v>3</v>
      </c>
      <c r="F14" s="180">
        <v>3300</v>
      </c>
      <c r="G14" s="180">
        <v>1100</v>
      </c>
      <c r="H14" s="473"/>
      <c r="I14" s="166">
        <f t="shared" si="1"/>
        <v>3</v>
      </c>
      <c r="J14" s="166">
        <f t="shared" si="1"/>
        <v>3183.2444444444363</v>
      </c>
      <c r="K14" s="265">
        <f t="shared" si="1"/>
        <v>1061.0814814814787</v>
      </c>
      <c r="L14" s="460"/>
      <c r="M14" s="166" t="e">
        <f>RANK(K14, K$147:$K$176)</f>
        <v>#N/A</v>
      </c>
      <c r="N14" s="462"/>
      <c r="O14" s="462"/>
      <c r="P14" s="166"/>
      <c r="Q14" s="166"/>
      <c r="R14" s="166"/>
      <c r="S14" s="180" t="e">
        <f t="shared" si="2"/>
        <v>#N/A</v>
      </c>
      <c r="T14" s="486"/>
      <c r="U14" s="166"/>
      <c r="V14" s="166"/>
      <c r="W14" s="166"/>
      <c r="X14" s="180" t="e">
        <f t="shared" si="3"/>
        <v>#N/A</v>
      </c>
      <c r="Y14" s="486"/>
      <c r="Z14" s="166"/>
      <c r="AA14" s="166"/>
      <c r="AB14" s="166"/>
      <c r="AC14" s="180" t="e">
        <f t="shared" si="4"/>
        <v>#N/A</v>
      </c>
      <c r="AD14" s="486"/>
      <c r="AE14" s="166"/>
      <c r="AF14" s="166"/>
      <c r="AG14" s="166"/>
      <c r="AH14" s="180" t="e">
        <f t="shared" si="5"/>
        <v>#N/A</v>
      </c>
      <c r="AI14" s="486"/>
      <c r="AJ14" s="166"/>
      <c r="AK14" s="166"/>
      <c r="AL14" s="166"/>
      <c r="AM14" s="180" t="e">
        <f t="shared" si="6"/>
        <v>#N/A</v>
      </c>
      <c r="AN14" s="486"/>
      <c r="AO14" s="166">
        <v>3</v>
      </c>
      <c r="AP14" s="166">
        <v>3068.8888888888814</v>
      </c>
      <c r="AQ14" s="166">
        <v>1022.9629629629604</v>
      </c>
      <c r="AR14" s="180">
        <f t="shared" si="7"/>
        <v>4</v>
      </c>
      <c r="AS14" s="486"/>
      <c r="AT14" s="166">
        <v>3</v>
      </c>
      <c r="AU14" s="166">
        <v>3297.5999999999908</v>
      </c>
      <c r="AV14" s="166">
        <v>1099.1999999999969</v>
      </c>
      <c r="AW14" s="180">
        <f t="shared" si="8"/>
        <v>1</v>
      </c>
      <c r="AX14" s="486"/>
      <c r="AZ14" s="166" t="e">
        <f>RANK(AX14, $K$7:AX$36)</f>
        <v>#N/A</v>
      </c>
      <c r="BB14" s="180" t="e">
        <f t="shared" si="0"/>
        <v>#N/A</v>
      </c>
    </row>
    <row r="15" spans="1:54" ht="14.25">
      <c r="A15" s="79"/>
      <c r="B15" s="479"/>
      <c r="C15" s="180">
        <v>9</v>
      </c>
      <c r="D15" s="180" t="s">
        <v>354</v>
      </c>
      <c r="E15" s="180">
        <v>3</v>
      </c>
      <c r="F15" s="180">
        <v>3300</v>
      </c>
      <c r="G15" s="180">
        <v>1100</v>
      </c>
      <c r="H15" s="473"/>
      <c r="I15" s="166">
        <f t="shared" si="1"/>
        <v>3</v>
      </c>
      <c r="J15" s="166">
        <f t="shared" si="1"/>
        <v>2854.6875000000032</v>
      </c>
      <c r="K15" s="265">
        <f t="shared" si="1"/>
        <v>951.56250000000102</v>
      </c>
      <c r="L15" s="460"/>
      <c r="M15" s="166" t="e">
        <f>RANK(K15, K$147:$K$176)</f>
        <v>#N/A</v>
      </c>
      <c r="N15" s="462"/>
      <c r="O15" s="462"/>
      <c r="P15" s="166"/>
      <c r="Q15" s="166"/>
      <c r="R15" s="166"/>
      <c r="S15" s="180" t="e">
        <f t="shared" si="2"/>
        <v>#N/A</v>
      </c>
      <c r="T15" s="486"/>
      <c r="U15" s="166"/>
      <c r="V15" s="166"/>
      <c r="W15" s="166"/>
      <c r="X15" s="180" t="e">
        <f t="shared" si="3"/>
        <v>#N/A</v>
      </c>
      <c r="Y15" s="486"/>
      <c r="Z15" s="166"/>
      <c r="AA15" s="166"/>
      <c r="AB15" s="166"/>
      <c r="AC15" s="180" t="e">
        <f t="shared" si="4"/>
        <v>#N/A</v>
      </c>
      <c r="AD15" s="486"/>
      <c r="AE15" s="166"/>
      <c r="AF15" s="166"/>
      <c r="AG15" s="166"/>
      <c r="AH15" s="180" t="e">
        <f t="shared" si="5"/>
        <v>#N/A</v>
      </c>
      <c r="AI15" s="486"/>
      <c r="AJ15" s="166"/>
      <c r="AK15" s="166"/>
      <c r="AL15" s="166"/>
      <c r="AM15" s="180" t="e">
        <f t="shared" si="6"/>
        <v>#N/A</v>
      </c>
      <c r="AN15" s="486"/>
      <c r="AO15" s="166">
        <v>3</v>
      </c>
      <c r="AP15" s="166">
        <v>2878.1250000000032</v>
      </c>
      <c r="AQ15" s="166">
        <v>959.37500000000102</v>
      </c>
      <c r="AR15" s="180">
        <f t="shared" si="7"/>
        <v>6</v>
      </c>
      <c r="AS15" s="486"/>
      <c r="AT15" s="166">
        <v>3</v>
      </c>
      <c r="AU15" s="166">
        <v>2831.2500000000032</v>
      </c>
      <c r="AV15" s="166">
        <v>943.75000000000102</v>
      </c>
      <c r="AW15" s="180">
        <f t="shared" si="8"/>
        <v>5</v>
      </c>
      <c r="AX15" s="486"/>
      <c r="AZ15" s="166" t="e">
        <f>RANK(AX15, $K$7:AX$36)</f>
        <v>#N/A</v>
      </c>
      <c r="BB15" s="180" t="e">
        <f t="shared" si="0"/>
        <v>#N/A</v>
      </c>
    </row>
    <row r="16" spans="1:54" ht="14.25">
      <c r="A16" s="79"/>
      <c r="B16" s="479"/>
      <c r="C16" s="180">
        <v>10</v>
      </c>
      <c r="D16" s="180" t="s">
        <v>355</v>
      </c>
      <c r="E16" s="180">
        <v>4</v>
      </c>
      <c r="F16" s="180">
        <v>3300</v>
      </c>
      <c r="G16" s="180">
        <v>825</v>
      </c>
      <c r="H16" s="473"/>
      <c r="I16" s="166">
        <f t="shared" si="1"/>
        <v>4</v>
      </c>
      <c r="J16" s="166">
        <f t="shared" si="1"/>
        <v>2840.1080432172857</v>
      </c>
      <c r="K16" s="265">
        <f t="shared" si="1"/>
        <v>710.02701080432143</v>
      </c>
      <c r="L16" s="460"/>
      <c r="M16" s="166" t="e">
        <f>RANK(K16, K$147:$K$176)</f>
        <v>#N/A</v>
      </c>
      <c r="N16" s="462"/>
      <c r="O16" s="462"/>
      <c r="P16" s="166"/>
      <c r="Q16" s="166"/>
      <c r="R16" s="166"/>
      <c r="S16" s="180" t="e">
        <f t="shared" si="2"/>
        <v>#N/A</v>
      </c>
      <c r="T16" s="486"/>
      <c r="U16" s="166"/>
      <c r="V16" s="166"/>
      <c r="W16" s="166"/>
      <c r="X16" s="180" t="e">
        <f t="shared" si="3"/>
        <v>#N/A</v>
      </c>
      <c r="Y16" s="486"/>
      <c r="Z16" s="166"/>
      <c r="AA16" s="166"/>
      <c r="AB16" s="166"/>
      <c r="AC16" s="180" t="e">
        <f t="shared" si="4"/>
        <v>#N/A</v>
      </c>
      <c r="AD16" s="486"/>
      <c r="AE16" s="166"/>
      <c r="AF16" s="166"/>
      <c r="AG16" s="166"/>
      <c r="AH16" s="180" t="e">
        <f t="shared" si="5"/>
        <v>#N/A</v>
      </c>
      <c r="AI16" s="486"/>
      <c r="AJ16" s="166"/>
      <c r="AK16" s="166"/>
      <c r="AL16" s="166"/>
      <c r="AM16" s="180" t="e">
        <f t="shared" si="6"/>
        <v>#N/A</v>
      </c>
      <c r="AN16" s="486"/>
      <c r="AO16" s="166">
        <v>4</v>
      </c>
      <c r="AP16" s="166">
        <v>2824.7058823529424</v>
      </c>
      <c r="AQ16" s="166">
        <v>706.17647058823559</v>
      </c>
      <c r="AR16" s="180">
        <f t="shared" si="7"/>
        <v>17</v>
      </c>
      <c r="AS16" s="486"/>
      <c r="AT16" s="166">
        <v>4</v>
      </c>
      <c r="AU16" s="166">
        <v>2855.5102040816287</v>
      </c>
      <c r="AV16" s="166">
        <v>713.87755102040717</v>
      </c>
      <c r="AW16" s="180">
        <f t="shared" si="8"/>
        <v>14</v>
      </c>
      <c r="AX16" s="486"/>
      <c r="AZ16" s="166" t="e">
        <f>RANK(AX16, $K$7:AX$36)</f>
        <v>#N/A</v>
      </c>
      <c r="BB16" s="180" t="e">
        <f t="shared" si="0"/>
        <v>#N/A</v>
      </c>
    </row>
    <row r="17" spans="2:54">
      <c r="B17" s="479"/>
      <c r="C17" s="180">
        <v>11</v>
      </c>
      <c r="D17" s="180" t="s">
        <v>356</v>
      </c>
      <c r="E17" s="180">
        <v>4</v>
      </c>
      <c r="F17" s="180">
        <v>3300</v>
      </c>
      <c r="G17" s="180">
        <v>825</v>
      </c>
      <c r="H17" s="473"/>
      <c r="I17" s="166">
        <f t="shared" si="1"/>
        <v>4</v>
      </c>
      <c r="J17" s="166">
        <f t="shared" si="1"/>
        <v>2825.3863636363626</v>
      </c>
      <c r="K17" s="265">
        <f t="shared" si="1"/>
        <v>706.34659090909065</v>
      </c>
      <c r="L17" s="460"/>
      <c r="M17" s="166" t="e">
        <f>RANK(K17, K$147:$K$176)</f>
        <v>#N/A</v>
      </c>
      <c r="N17" s="462"/>
      <c r="O17" s="462"/>
      <c r="P17" s="166"/>
      <c r="Q17" s="166"/>
      <c r="R17" s="166"/>
      <c r="S17" s="180" t="e">
        <f t="shared" si="2"/>
        <v>#N/A</v>
      </c>
      <c r="T17" s="486"/>
      <c r="U17" s="166"/>
      <c r="V17" s="166"/>
      <c r="W17" s="166"/>
      <c r="X17" s="180" t="e">
        <f t="shared" si="3"/>
        <v>#N/A</v>
      </c>
      <c r="Y17" s="486"/>
      <c r="Z17" s="166"/>
      <c r="AA17" s="166"/>
      <c r="AB17" s="166"/>
      <c r="AC17" s="180" t="e">
        <f t="shared" si="4"/>
        <v>#N/A</v>
      </c>
      <c r="AD17" s="486"/>
      <c r="AE17" s="166"/>
      <c r="AF17" s="166"/>
      <c r="AG17" s="166"/>
      <c r="AH17" s="180" t="e">
        <f t="shared" si="5"/>
        <v>#N/A</v>
      </c>
      <c r="AI17" s="486"/>
      <c r="AJ17" s="166"/>
      <c r="AK17" s="166"/>
      <c r="AL17" s="166"/>
      <c r="AM17" s="180" t="e">
        <f t="shared" si="6"/>
        <v>#N/A</v>
      </c>
      <c r="AN17" s="486"/>
      <c r="AO17" s="166">
        <v>4</v>
      </c>
      <c r="AP17" s="166">
        <v>2827.5</v>
      </c>
      <c r="AQ17" s="166">
        <v>706.875</v>
      </c>
      <c r="AR17" s="180">
        <f t="shared" si="7"/>
        <v>16</v>
      </c>
      <c r="AS17" s="486"/>
      <c r="AT17" s="166">
        <v>4</v>
      </c>
      <c r="AU17" s="166">
        <v>2823.2727272727252</v>
      </c>
      <c r="AV17" s="166">
        <v>705.8181818181813</v>
      </c>
      <c r="AW17" s="180">
        <f t="shared" si="8"/>
        <v>15</v>
      </c>
      <c r="AX17" s="486"/>
      <c r="AZ17" s="166" t="e">
        <f>RANK(AX17, $K$7:AX$36)</f>
        <v>#N/A</v>
      </c>
      <c r="BB17" s="180" t="e">
        <f t="shared" si="0"/>
        <v>#N/A</v>
      </c>
    </row>
    <row r="18" spans="2:54">
      <c r="B18" s="479"/>
      <c r="C18" s="180">
        <v>12</v>
      </c>
      <c r="D18" s="180" t="s">
        <v>516</v>
      </c>
      <c r="E18" s="180">
        <v>4</v>
      </c>
      <c r="F18" s="180">
        <v>2800</v>
      </c>
      <c r="G18" s="180">
        <v>700</v>
      </c>
      <c r="H18" s="473"/>
      <c r="I18" s="166">
        <f t="shared" si="1"/>
        <v>4</v>
      </c>
      <c r="J18" s="166">
        <f t="shared" si="1"/>
        <v>2823.3333333333348</v>
      </c>
      <c r="K18" s="265">
        <f t="shared" si="1"/>
        <v>705.83333333333371</v>
      </c>
      <c r="L18" s="460"/>
      <c r="M18" s="166" t="e">
        <f>RANK(K18, K$147:$K$176)</f>
        <v>#N/A</v>
      </c>
      <c r="N18" s="462"/>
      <c r="O18" s="462"/>
      <c r="P18" s="166"/>
      <c r="Q18" s="166"/>
      <c r="R18" s="166"/>
      <c r="S18" s="180" t="e">
        <f t="shared" si="2"/>
        <v>#N/A</v>
      </c>
      <c r="T18" s="486"/>
      <c r="U18" s="166"/>
      <c r="V18" s="166"/>
      <c r="W18" s="166"/>
      <c r="X18" s="180" t="e">
        <f t="shared" si="3"/>
        <v>#N/A</v>
      </c>
      <c r="Y18" s="486"/>
      <c r="Z18" s="166"/>
      <c r="AA18" s="166"/>
      <c r="AB18" s="166"/>
      <c r="AC18" s="180" t="e">
        <f t="shared" si="4"/>
        <v>#N/A</v>
      </c>
      <c r="AD18" s="486"/>
      <c r="AE18" s="166"/>
      <c r="AF18" s="166"/>
      <c r="AG18" s="166"/>
      <c r="AH18" s="180" t="e">
        <f t="shared" si="5"/>
        <v>#N/A</v>
      </c>
      <c r="AI18" s="486"/>
      <c r="AJ18" s="166"/>
      <c r="AK18" s="166"/>
      <c r="AL18" s="166"/>
      <c r="AM18" s="180" t="e">
        <f t="shared" si="6"/>
        <v>#N/A</v>
      </c>
      <c r="AN18" s="486"/>
      <c r="AO18" s="166">
        <v>4</v>
      </c>
      <c r="AP18" s="166">
        <v>2848.8888888888905</v>
      </c>
      <c r="AQ18" s="166">
        <v>712.22222222222263</v>
      </c>
      <c r="AR18" s="180">
        <f t="shared" si="7"/>
        <v>15</v>
      </c>
      <c r="AS18" s="486"/>
      <c r="AT18" s="166">
        <v>4</v>
      </c>
      <c r="AU18" s="166">
        <v>2797.7777777777792</v>
      </c>
      <c r="AV18" s="166">
        <v>699.4444444444448</v>
      </c>
      <c r="AW18" s="180">
        <f t="shared" si="8"/>
        <v>16</v>
      </c>
      <c r="AX18" s="486"/>
      <c r="AZ18" s="166" t="e">
        <f>RANK(AX18, $K$7:AX$36)</f>
        <v>#N/A</v>
      </c>
      <c r="BB18" s="180" t="e">
        <f t="shared" si="0"/>
        <v>#N/A</v>
      </c>
    </row>
    <row r="19" spans="2:54">
      <c r="B19" s="479"/>
      <c r="C19" s="180">
        <v>13</v>
      </c>
      <c r="D19" s="180" t="s">
        <v>357</v>
      </c>
      <c r="E19" s="180">
        <v>4</v>
      </c>
      <c r="F19" s="180">
        <v>3600</v>
      </c>
      <c r="G19" s="180">
        <v>900</v>
      </c>
      <c r="H19" s="473"/>
      <c r="I19" s="166">
        <f t="shared" si="1"/>
        <v>4</v>
      </c>
      <c r="J19" s="166">
        <f t="shared" si="1"/>
        <v>2584.4999999999882</v>
      </c>
      <c r="K19" s="265">
        <f t="shared" si="1"/>
        <v>646.12499999999704</v>
      </c>
      <c r="L19" s="460"/>
      <c r="M19" s="166" t="e">
        <f>RANK(K19, K$147:$K$176)</f>
        <v>#N/A</v>
      </c>
      <c r="N19" s="462"/>
      <c r="O19" s="462"/>
      <c r="P19" s="166"/>
      <c r="Q19" s="166"/>
      <c r="R19" s="166"/>
      <c r="S19" s="180" t="e">
        <f t="shared" si="2"/>
        <v>#N/A</v>
      </c>
      <c r="T19" s="486"/>
      <c r="U19" s="166"/>
      <c r="V19" s="166"/>
      <c r="W19" s="166"/>
      <c r="X19" s="180" t="e">
        <f t="shared" si="3"/>
        <v>#N/A</v>
      </c>
      <c r="Y19" s="486"/>
      <c r="Z19" s="166"/>
      <c r="AA19" s="166"/>
      <c r="AB19" s="166"/>
      <c r="AC19" s="180" t="e">
        <f t="shared" si="4"/>
        <v>#N/A</v>
      </c>
      <c r="AD19" s="486"/>
      <c r="AE19" s="166"/>
      <c r="AF19" s="166"/>
      <c r="AG19" s="166"/>
      <c r="AH19" s="180" t="e">
        <f t="shared" si="5"/>
        <v>#N/A</v>
      </c>
      <c r="AI19" s="486"/>
      <c r="AJ19" s="166"/>
      <c r="AK19" s="166"/>
      <c r="AL19" s="166"/>
      <c r="AM19" s="180" t="e">
        <f t="shared" si="6"/>
        <v>#N/A</v>
      </c>
      <c r="AN19" s="486"/>
      <c r="AO19" s="166">
        <v>4</v>
      </c>
      <c r="AP19" s="166">
        <v>2573.9999999999882</v>
      </c>
      <c r="AQ19" s="166">
        <v>643.49999999999704</v>
      </c>
      <c r="AR19" s="180">
        <f t="shared" si="7"/>
        <v>18</v>
      </c>
      <c r="AS19" s="486"/>
      <c r="AT19" s="166">
        <v>4</v>
      </c>
      <c r="AU19" s="166">
        <v>2594.9999999999886</v>
      </c>
      <c r="AV19" s="166">
        <v>648.74999999999716</v>
      </c>
      <c r="AW19" s="180">
        <f t="shared" si="8"/>
        <v>18</v>
      </c>
      <c r="AX19" s="486"/>
      <c r="AZ19" s="166" t="e">
        <f>RANK(AX19, $K$7:AX$36)</f>
        <v>#N/A</v>
      </c>
      <c r="BB19" s="180" t="e">
        <f t="shared" si="0"/>
        <v>#N/A</v>
      </c>
    </row>
    <row r="20" spans="2:54">
      <c r="B20" s="479"/>
      <c r="C20" s="180">
        <v>14</v>
      </c>
      <c r="D20" s="180" t="s">
        <v>358</v>
      </c>
      <c r="E20" s="180">
        <v>4</v>
      </c>
      <c r="F20" s="180">
        <v>3600</v>
      </c>
      <c r="G20" s="180">
        <v>900</v>
      </c>
      <c r="H20" s="473"/>
      <c r="I20" s="166">
        <f t="shared" si="1"/>
        <v>4</v>
      </c>
      <c r="J20" s="166">
        <f t="shared" si="1"/>
        <v>2063.9999999999745</v>
      </c>
      <c r="K20" s="265">
        <f t="shared" si="1"/>
        <v>515.99999999999363</v>
      </c>
      <c r="L20" s="460"/>
      <c r="M20" s="166" t="e">
        <f>RANK(K20, K$147:$K$176)</f>
        <v>#N/A</v>
      </c>
      <c r="N20" s="462"/>
      <c r="O20" s="462"/>
      <c r="P20" s="166"/>
      <c r="Q20" s="166"/>
      <c r="R20" s="166"/>
      <c r="S20" s="180" t="e">
        <f t="shared" si="2"/>
        <v>#N/A</v>
      </c>
      <c r="T20" s="486"/>
      <c r="U20" s="166"/>
      <c r="V20" s="166"/>
      <c r="W20" s="166"/>
      <c r="X20" s="180" t="e">
        <f t="shared" si="3"/>
        <v>#N/A</v>
      </c>
      <c r="Y20" s="486"/>
      <c r="Z20" s="166"/>
      <c r="AA20" s="166"/>
      <c r="AB20" s="166"/>
      <c r="AC20" s="180" t="e">
        <f t="shared" si="4"/>
        <v>#N/A</v>
      </c>
      <c r="AD20" s="486"/>
      <c r="AE20" s="166"/>
      <c r="AF20" s="166"/>
      <c r="AG20" s="166"/>
      <c r="AH20" s="180" t="e">
        <f t="shared" si="5"/>
        <v>#N/A</v>
      </c>
      <c r="AI20" s="486"/>
      <c r="AJ20" s="166"/>
      <c r="AK20" s="166"/>
      <c r="AL20" s="166"/>
      <c r="AM20" s="180" t="e">
        <f t="shared" si="6"/>
        <v>#N/A</v>
      </c>
      <c r="AN20" s="486"/>
      <c r="AO20" s="166">
        <v>4</v>
      </c>
      <c r="AP20" s="166">
        <v>2093.9999999999741</v>
      </c>
      <c r="AQ20" s="166">
        <v>523.49999999999352</v>
      </c>
      <c r="AR20" s="180">
        <f t="shared" si="7"/>
        <v>20</v>
      </c>
      <c r="AS20" s="486"/>
      <c r="AT20" s="166">
        <v>4</v>
      </c>
      <c r="AU20" s="166">
        <v>2033.9999999999748</v>
      </c>
      <c r="AV20" s="166">
        <v>508.49999999999369</v>
      </c>
      <c r="AW20" s="180">
        <f t="shared" si="8"/>
        <v>20</v>
      </c>
      <c r="AX20" s="486"/>
      <c r="AZ20" s="166" t="e">
        <f>RANK(AX20, $K$7:AX$36)</f>
        <v>#N/A</v>
      </c>
      <c r="BB20" s="180" t="e">
        <f t="shared" si="0"/>
        <v>#N/A</v>
      </c>
    </row>
    <row r="21" spans="2:54">
      <c r="B21" s="479"/>
      <c r="C21" s="180">
        <v>15</v>
      </c>
      <c r="D21" s="180" t="s">
        <v>439</v>
      </c>
      <c r="E21" s="180">
        <v>4</v>
      </c>
      <c r="F21" s="180">
        <v>3300</v>
      </c>
      <c r="G21" s="180">
        <v>825</v>
      </c>
      <c r="H21" s="473"/>
      <c r="I21" s="166">
        <f t="shared" si="1"/>
        <v>3</v>
      </c>
      <c r="J21" s="166">
        <f t="shared" si="1"/>
        <v>2823.1578947368398</v>
      </c>
      <c r="K21" s="265">
        <f t="shared" si="1"/>
        <v>941.0526315789466</v>
      </c>
      <c r="L21" s="460"/>
      <c r="M21" s="166" t="e">
        <f>RANK(K21, K$147:$K$176)</f>
        <v>#N/A</v>
      </c>
      <c r="N21" s="462"/>
      <c r="O21" s="462"/>
      <c r="P21" s="166"/>
      <c r="Q21" s="166"/>
      <c r="R21" s="166"/>
      <c r="S21" s="180" t="e">
        <f t="shared" si="2"/>
        <v>#N/A</v>
      </c>
      <c r="T21" s="486"/>
      <c r="U21" s="166"/>
      <c r="V21" s="166"/>
      <c r="W21" s="166"/>
      <c r="X21" s="180" t="e">
        <f t="shared" si="3"/>
        <v>#N/A</v>
      </c>
      <c r="Y21" s="486"/>
      <c r="Z21" s="166"/>
      <c r="AA21" s="166"/>
      <c r="AB21" s="166"/>
      <c r="AC21" s="180" t="e">
        <f t="shared" si="4"/>
        <v>#N/A</v>
      </c>
      <c r="AD21" s="486"/>
      <c r="AE21" s="166"/>
      <c r="AF21" s="166"/>
      <c r="AG21" s="166"/>
      <c r="AH21" s="180" t="e">
        <f t="shared" si="5"/>
        <v>#N/A</v>
      </c>
      <c r="AI21" s="486"/>
      <c r="AJ21" s="166"/>
      <c r="AK21" s="166"/>
      <c r="AL21" s="166"/>
      <c r="AM21" s="180" t="e">
        <f t="shared" si="6"/>
        <v>#N/A</v>
      </c>
      <c r="AN21" s="486"/>
      <c r="AO21" s="166">
        <v>3</v>
      </c>
      <c r="AP21" s="166">
        <v>2924.2105263157873</v>
      </c>
      <c r="AQ21" s="166">
        <v>974.73684210526244</v>
      </c>
      <c r="AR21" s="180">
        <f t="shared" si="7"/>
        <v>5</v>
      </c>
      <c r="AS21" s="486"/>
      <c r="AT21" s="166">
        <v>3</v>
      </c>
      <c r="AU21" s="166">
        <v>2722.1052631578928</v>
      </c>
      <c r="AV21" s="166">
        <v>907.36842105263088</v>
      </c>
      <c r="AW21" s="180">
        <f t="shared" si="8"/>
        <v>6</v>
      </c>
      <c r="AX21" s="486"/>
      <c r="AZ21" s="166" t="e">
        <f>RANK(AX21, $K$7:AX$36)</f>
        <v>#N/A</v>
      </c>
      <c r="BB21" s="180" t="e">
        <f t="shared" si="0"/>
        <v>#N/A</v>
      </c>
    </row>
    <row r="22" spans="2:54">
      <c r="B22" s="479"/>
      <c r="C22" s="180">
        <v>16</v>
      </c>
      <c r="D22" s="180" t="s">
        <v>514</v>
      </c>
      <c r="E22" s="180">
        <v>3</v>
      </c>
      <c r="F22" s="180">
        <v>2800</v>
      </c>
      <c r="G22" s="180">
        <v>933.33333333333337</v>
      </c>
      <c r="H22" s="473"/>
      <c r="I22" s="166">
        <f t="shared" si="1"/>
        <v>3</v>
      </c>
      <c r="J22" s="166">
        <f t="shared" si="1"/>
        <v>2629.1999999999925</v>
      </c>
      <c r="K22" s="265">
        <f t="shared" si="1"/>
        <v>876.39999999999748</v>
      </c>
      <c r="L22" s="460"/>
      <c r="M22" s="166" t="e">
        <f>RANK(K22, K$147:$K$176)</f>
        <v>#N/A</v>
      </c>
      <c r="N22" s="462"/>
      <c r="O22" s="462"/>
      <c r="P22" s="166"/>
      <c r="Q22" s="166"/>
      <c r="R22" s="166"/>
      <c r="S22" s="180" t="e">
        <f t="shared" si="2"/>
        <v>#N/A</v>
      </c>
      <c r="T22" s="486"/>
      <c r="U22" s="166"/>
      <c r="V22" s="166"/>
      <c r="W22" s="166"/>
      <c r="X22" s="180" t="e">
        <f t="shared" si="3"/>
        <v>#N/A</v>
      </c>
      <c r="Y22" s="486"/>
      <c r="Z22" s="166"/>
      <c r="AA22" s="166"/>
      <c r="AB22" s="166"/>
      <c r="AC22" s="180" t="e">
        <f t="shared" si="4"/>
        <v>#N/A</v>
      </c>
      <c r="AD22" s="486"/>
      <c r="AE22" s="166"/>
      <c r="AF22" s="166"/>
      <c r="AG22" s="166"/>
      <c r="AH22" s="180" t="e">
        <f t="shared" si="5"/>
        <v>#N/A</v>
      </c>
      <c r="AI22" s="486"/>
      <c r="AJ22" s="166"/>
      <c r="AK22" s="166"/>
      <c r="AL22" s="166"/>
      <c r="AM22" s="180" t="e">
        <f t="shared" si="6"/>
        <v>#N/A</v>
      </c>
      <c r="AN22" s="486"/>
      <c r="AO22" s="166">
        <v>3</v>
      </c>
      <c r="AP22" s="166">
        <v>2699.9999999999923</v>
      </c>
      <c r="AQ22" s="166">
        <v>899.99999999999739</v>
      </c>
      <c r="AR22" s="180">
        <f t="shared" si="7"/>
        <v>8</v>
      </c>
      <c r="AS22" s="486"/>
      <c r="AT22" s="166">
        <v>3</v>
      </c>
      <c r="AU22" s="166">
        <v>2558.3999999999928</v>
      </c>
      <c r="AV22" s="166">
        <v>852.79999999999757</v>
      </c>
      <c r="AW22" s="180">
        <f t="shared" si="8"/>
        <v>9</v>
      </c>
      <c r="AX22" s="486"/>
      <c r="AZ22" s="166" t="e">
        <f>RANK(AX22, $K$7:AX$36)</f>
        <v>#N/A</v>
      </c>
      <c r="BB22" s="180" t="e">
        <f t="shared" si="0"/>
        <v>#N/A</v>
      </c>
    </row>
    <row r="23" spans="2:54">
      <c r="B23" s="479"/>
      <c r="C23" s="180">
        <v>17</v>
      </c>
      <c r="D23" s="180" t="s">
        <v>570</v>
      </c>
      <c r="E23" s="180">
        <v>4</v>
      </c>
      <c r="F23" s="180">
        <v>3000</v>
      </c>
      <c r="G23" s="180">
        <v>750</v>
      </c>
      <c r="H23" s="473"/>
      <c r="I23" s="166">
        <f t="shared" si="1"/>
        <v>3</v>
      </c>
      <c r="J23" s="166">
        <f t="shared" si="1"/>
        <v>2183.9999999999936</v>
      </c>
      <c r="K23" s="265">
        <f t="shared" si="1"/>
        <v>727.99999999999784</v>
      </c>
      <c r="L23" s="460"/>
      <c r="M23" s="166" t="e">
        <f>RANK(K23, K$147:$K$176)</f>
        <v>#N/A</v>
      </c>
      <c r="N23" s="462"/>
      <c r="O23" s="462"/>
      <c r="P23" s="166"/>
      <c r="Q23" s="166"/>
      <c r="R23" s="166"/>
      <c r="S23" s="180" t="e">
        <f t="shared" si="2"/>
        <v>#N/A</v>
      </c>
      <c r="T23" s="486"/>
      <c r="U23" s="166"/>
      <c r="V23" s="166"/>
      <c r="W23" s="166"/>
      <c r="X23" s="180" t="e">
        <f t="shared" si="3"/>
        <v>#N/A</v>
      </c>
      <c r="Y23" s="486"/>
      <c r="Z23" s="166"/>
      <c r="AA23" s="166"/>
      <c r="AB23" s="166"/>
      <c r="AC23" s="180" t="e">
        <f t="shared" si="4"/>
        <v>#N/A</v>
      </c>
      <c r="AD23" s="486"/>
      <c r="AE23" s="166"/>
      <c r="AF23" s="166"/>
      <c r="AG23" s="166"/>
      <c r="AH23" s="180" t="e">
        <f t="shared" si="5"/>
        <v>#N/A</v>
      </c>
      <c r="AI23" s="486"/>
      <c r="AJ23" s="166"/>
      <c r="AK23" s="166"/>
      <c r="AL23" s="166"/>
      <c r="AM23" s="180" t="e">
        <f t="shared" si="6"/>
        <v>#N/A</v>
      </c>
      <c r="AN23" s="486"/>
      <c r="AO23" s="166">
        <v>3</v>
      </c>
      <c r="AP23" s="166">
        <v>2189.9999999999936</v>
      </c>
      <c r="AQ23" s="166">
        <v>729.99999999999784</v>
      </c>
      <c r="AR23" s="180">
        <f t="shared" si="7"/>
        <v>13</v>
      </c>
      <c r="AS23" s="486"/>
      <c r="AT23" s="166">
        <v>3</v>
      </c>
      <c r="AU23" s="166">
        <v>2177.9999999999936</v>
      </c>
      <c r="AV23" s="166">
        <v>725.99999999999784</v>
      </c>
      <c r="AW23" s="180">
        <f t="shared" si="8"/>
        <v>13</v>
      </c>
      <c r="AX23" s="486"/>
      <c r="AZ23" s="166" t="e">
        <f>RANK(AX23, $K$7:AX$36)</f>
        <v>#N/A</v>
      </c>
      <c r="BB23" s="180" t="e">
        <f t="shared" si="0"/>
        <v>#N/A</v>
      </c>
    </row>
    <row r="24" spans="2:54">
      <c r="B24" s="479"/>
      <c r="C24" s="180">
        <v>18</v>
      </c>
      <c r="D24" s="180" t="s">
        <v>521</v>
      </c>
      <c r="E24" s="180">
        <v>12</v>
      </c>
      <c r="F24" s="180">
        <v>1500</v>
      </c>
      <c r="G24" s="180">
        <v>125</v>
      </c>
      <c r="H24" s="473"/>
      <c r="I24" s="166">
        <f t="shared" si="1"/>
        <v>10</v>
      </c>
      <c r="J24" s="166">
        <f t="shared" si="1"/>
        <v>1529.5000000000014</v>
      </c>
      <c r="K24" s="265">
        <f t="shared" si="1"/>
        <v>152.95000000000016</v>
      </c>
      <c r="L24" s="460"/>
      <c r="M24" s="166" t="e">
        <f>RANK(K24, K$147:$K$176)</f>
        <v>#N/A</v>
      </c>
      <c r="N24" s="462"/>
      <c r="O24" s="462"/>
      <c r="P24" s="166"/>
      <c r="Q24" s="166"/>
      <c r="R24" s="166"/>
      <c r="S24" s="180" t="e">
        <f t="shared" si="2"/>
        <v>#N/A</v>
      </c>
      <c r="T24" s="486"/>
      <c r="U24" s="166"/>
      <c r="V24" s="166"/>
      <c r="W24" s="166"/>
      <c r="X24" s="180" t="e">
        <f t="shared" si="3"/>
        <v>#N/A</v>
      </c>
      <c r="Y24" s="486"/>
      <c r="Z24" s="166"/>
      <c r="AA24" s="166"/>
      <c r="AB24" s="166"/>
      <c r="AC24" s="180" t="e">
        <f t="shared" si="4"/>
        <v>#N/A</v>
      </c>
      <c r="AD24" s="486"/>
      <c r="AE24" s="166"/>
      <c r="AF24" s="166"/>
      <c r="AG24" s="166"/>
      <c r="AH24" s="180" t="e">
        <f t="shared" si="5"/>
        <v>#N/A</v>
      </c>
      <c r="AI24" s="486"/>
      <c r="AJ24" s="166"/>
      <c r="AK24" s="166"/>
      <c r="AL24" s="166"/>
      <c r="AM24" s="180" t="e">
        <f t="shared" si="6"/>
        <v>#N/A</v>
      </c>
      <c r="AN24" s="486"/>
      <c r="AO24" s="166">
        <v>10</v>
      </c>
      <c r="AP24" s="166">
        <v>1549.0000000000014</v>
      </c>
      <c r="AQ24" s="166">
        <v>154.90000000000015</v>
      </c>
      <c r="AR24" s="180">
        <f t="shared" si="7"/>
        <v>21</v>
      </c>
      <c r="AS24" s="486"/>
      <c r="AT24" s="166">
        <v>10</v>
      </c>
      <c r="AU24" s="166">
        <v>1510.0000000000014</v>
      </c>
      <c r="AV24" s="166">
        <v>151.00000000000014</v>
      </c>
      <c r="AW24" s="180">
        <f t="shared" si="8"/>
        <v>21</v>
      </c>
      <c r="AX24" s="486"/>
      <c r="AZ24" s="166" t="e">
        <f>RANK(AX24, $K$7:AX$36)</f>
        <v>#N/A</v>
      </c>
      <c r="BB24" s="180" t="e">
        <f t="shared" si="0"/>
        <v>#N/A</v>
      </c>
    </row>
    <row r="25" spans="2:54">
      <c r="B25" s="479"/>
      <c r="C25" s="180">
        <v>19</v>
      </c>
      <c r="D25" s="180" t="s">
        <v>583</v>
      </c>
      <c r="E25" s="180">
        <v>4</v>
      </c>
      <c r="F25" s="180">
        <v>3000</v>
      </c>
      <c r="G25" s="180">
        <v>750</v>
      </c>
      <c r="H25" s="473"/>
      <c r="I25" s="166">
        <f t="shared" si="1"/>
        <v>4</v>
      </c>
      <c r="J25" s="166">
        <f t="shared" si="1"/>
        <v>2213.1428571428651</v>
      </c>
      <c r="K25" s="265">
        <f t="shared" si="1"/>
        <v>553.28571428571627</v>
      </c>
      <c r="L25" s="460"/>
      <c r="M25" s="166" t="e">
        <f>RANK(K25, K$147:$K$176)</f>
        <v>#N/A</v>
      </c>
      <c r="N25" s="462"/>
      <c r="O25" s="462"/>
      <c r="P25" s="166"/>
      <c r="Q25" s="166"/>
      <c r="R25" s="166"/>
      <c r="S25" s="180" t="e">
        <f t="shared" si="2"/>
        <v>#N/A</v>
      </c>
      <c r="T25" s="486"/>
      <c r="U25" s="166"/>
      <c r="V25" s="166"/>
      <c r="W25" s="166"/>
      <c r="X25" s="180" t="e">
        <f t="shared" si="3"/>
        <v>#N/A</v>
      </c>
      <c r="Y25" s="486"/>
      <c r="Z25" s="166"/>
      <c r="AA25" s="166"/>
      <c r="AB25" s="166"/>
      <c r="AC25" s="180" t="e">
        <f t="shared" si="4"/>
        <v>#N/A</v>
      </c>
      <c r="AD25" s="486"/>
      <c r="AE25" s="166"/>
      <c r="AF25" s="166"/>
      <c r="AG25" s="166"/>
      <c r="AH25" s="180" t="e">
        <f t="shared" si="5"/>
        <v>#N/A</v>
      </c>
      <c r="AI25" s="486"/>
      <c r="AJ25" s="166"/>
      <c r="AK25" s="166"/>
      <c r="AL25" s="166"/>
      <c r="AM25" s="180" t="e">
        <f t="shared" si="6"/>
        <v>#N/A</v>
      </c>
      <c r="AN25" s="486"/>
      <c r="AO25" s="166">
        <v>4</v>
      </c>
      <c r="AP25" s="166">
        <v>2254.2857142857229</v>
      </c>
      <c r="AQ25" s="166">
        <v>563.57142857143072</v>
      </c>
      <c r="AR25" s="180">
        <f t="shared" si="7"/>
        <v>19</v>
      </c>
      <c r="AS25" s="486"/>
      <c r="AT25" s="166">
        <v>4</v>
      </c>
      <c r="AU25" s="166">
        <v>2172.0000000000077</v>
      </c>
      <c r="AV25" s="166">
        <v>543.00000000000193</v>
      </c>
      <c r="AW25" s="180">
        <f t="shared" si="8"/>
        <v>19</v>
      </c>
      <c r="AX25" s="486"/>
      <c r="AZ25" s="166" t="e">
        <f>RANK(AX25, $K$7:AX$36)</f>
        <v>#N/A</v>
      </c>
      <c r="BB25" s="180" t="e">
        <f t="shared" si="0"/>
        <v>#N/A</v>
      </c>
    </row>
    <row r="26" spans="2:54">
      <c r="B26" s="479"/>
      <c r="C26" s="180">
        <v>20</v>
      </c>
      <c r="D26" s="180" t="s">
        <v>627</v>
      </c>
      <c r="E26" s="180">
        <v>3</v>
      </c>
      <c r="F26" s="180">
        <v>2800</v>
      </c>
      <c r="G26" s="180">
        <v>933.33333333333337</v>
      </c>
      <c r="H26" s="473"/>
      <c r="I26" s="166">
        <f t="shared" si="1"/>
        <v>3</v>
      </c>
      <c r="J26" s="166">
        <f t="shared" si="1"/>
        <v>2755.4716981132051</v>
      </c>
      <c r="K26" s="265">
        <f t="shared" si="1"/>
        <v>918.49056603773511</v>
      </c>
      <c r="L26" s="460"/>
      <c r="M26" s="166" t="e">
        <f>RANK(K26, K$147:$K$176)</f>
        <v>#N/A</v>
      </c>
      <c r="N26" s="462"/>
      <c r="O26" s="462"/>
      <c r="P26" s="166"/>
      <c r="Q26" s="166"/>
      <c r="R26" s="166"/>
      <c r="S26" s="180" t="e">
        <f t="shared" si="2"/>
        <v>#N/A</v>
      </c>
      <c r="T26" s="486"/>
      <c r="U26" s="166"/>
      <c r="V26" s="166"/>
      <c r="W26" s="166"/>
      <c r="X26" s="180" t="e">
        <f t="shared" si="3"/>
        <v>#N/A</v>
      </c>
      <c r="Y26" s="486"/>
      <c r="Z26" s="166"/>
      <c r="AA26" s="166"/>
      <c r="AB26" s="166"/>
      <c r="AC26" s="180" t="e">
        <f t="shared" si="4"/>
        <v>#N/A</v>
      </c>
      <c r="AD26" s="486"/>
      <c r="AE26" s="166"/>
      <c r="AF26" s="166"/>
      <c r="AG26" s="166"/>
      <c r="AH26" s="180" t="e">
        <f t="shared" si="5"/>
        <v>#N/A</v>
      </c>
      <c r="AI26" s="486"/>
      <c r="AJ26" s="166"/>
      <c r="AK26" s="166"/>
      <c r="AL26" s="166"/>
      <c r="AM26" s="180" t="e">
        <f t="shared" si="6"/>
        <v>#N/A</v>
      </c>
      <c r="AN26" s="486"/>
      <c r="AO26" s="166">
        <v>3</v>
      </c>
      <c r="AP26" s="166">
        <v>2804.1509433962242</v>
      </c>
      <c r="AQ26" s="166">
        <v>934.71698113207469</v>
      </c>
      <c r="AR26" s="180">
        <f t="shared" si="7"/>
        <v>7</v>
      </c>
      <c r="AS26" s="486"/>
      <c r="AT26" s="166">
        <v>3</v>
      </c>
      <c r="AU26" s="166">
        <v>2706.7924528301864</v>
      </c>
      <c r="AV26" s="166">
        <v>902.26415094339552</v>
      </c>
      <c r="AW26" s="180">
        <f t="shared" si="8"/>
        <v>7</v>
      </c>
      <c r="AX26" s="486"/>
      <c r="AZ26" s="166" t="e">
        <f>RANK(AX26, $K$7:AX$36)</f>
        <v>#N/A</v>
      </c>
      <c r="BB26" s="180" t="e">
        <f t="shared" si="0"/>
        <v>#N/A</v>
      </c>
    </row>
    <row r="27" spans="2:54">
      <c r="B27" s="479"/>
      <c r="C27" s="180">
        <v>21</v>
      </c>
      <c r="D27" s="180"/>
      <c r="E27" s="180"/>
      <c r="F27" s="180"/>
      <c r="G27" s="180"/>
      <c r="H27" s="473"/>
      <c r="I27" s="166"/>
      <c r="J27" s="166"/>
      <c r="K27" s="265"/>
      <c r="L27" s="460"/>
      <c r="M27" s="166" t="e">
        <f>RANK(K27, K$147:$K$176)</f>
        <v>#N/A</v>
      </c>
      <c r="N27" s="462"/>
      <c r="O27" s="462"/>
      <c r="P27" s="166"/>
      <c r="Q27" s="166"/>
      <c r="R27" s="166"/>
      <c r="S27" s="180" t="e">
        <f t="shared" si="2"/>
        <v>#N/A</v>
      </c>
      <c r="T27" s="486"/>
      <c r="U27" s="166"/>
      <c r="V27" s="166"/>
      <c r="W27" s="166"/>
      <c r="X27" s="180" t="e">
        <f t="shared" si="3"/>
        <v>#N/A</v>
      </c>
      <c r="Y27" s="486"/>
      <c r="Z27" s="166"/>
      <c r="AA27" s="166"/>
      <c r="AB27" s="166"/>
      <c r="AC27" s="180" t="e">
        <f t="shared" si="4"/>
        <v>#N/A</v>
      </c>
      <c r="AD27" s="486"/>
      <c r="AE27" s="166"/>
      <c r="AF27" s="166"/>
      <c r="AG27" s="166"/>
      <c r="AH27" s="180" t="e">
        <f t="shared" si="5"/>
        <v>#N/A</v>
      </c>
      <c r="AI27" s="486"/>
      <c r="AJ27" s="166"/>
      <c r="AK27" s="166"/>
      <c r="AL27" s="166"/>
      <c r="AM27" s="180" t="e">
        <f t="shared" si="6"/>
        <v>#N/A</v>
      </c>
      <c r="AN27" s="486"/>
      <c r="AO27" s="166" t="s">
        <v>522</v>
      </c>
      <c r="AP27" s="166" t="s">
        <v>522</v>
      </c>
      <c r="AQ27" s="166" t="s">
        <v>522</v>
      </c>
      <c r="AR27" s="180" t="e">
        <f t="shared" si="7"/>
        <v>#VALUE!</v>
      </c>
      <c r="AS27" s="486"/>
      <c r="AT27" s="166" t="s">
        <v>522</v>
      </c>
      <c r="AU27" s="166" t="s">
        <v>522</v>
      </c>
      <c r="AV27" s="166" t="s">
        <v>522</v>
      </c>
      <c r="AW27" s="180" t="e">
        <f t="shared" si="8"/>
        <v>#VALUE!</v>
      </c>
      <c r="AX27" s="486"/>
      <c r="AZ27" s="166" t="e">
        <f>RANK(AX27, $K$7:AX$36)</f>
        <v>#N/A</v>
      </c>
      <c r="BB27" s="180" t="e">
        <f t="shared" si="0"/>
        <v>#N/A</v>
      </c>
    </row>
    <row r="28" spans="2:54">
      <c r="B28" s="479"/>
      <c r="C28" s="180">
        <v>22</v>
      </c>
      <c r="D28" s="180" t="s">
        <v>667</v>
      </c>
      <c r="E28" s="180">
        <v>4</v>
      </c>
      <c r="F28" s="180">
        <v>2800</v>
      </c>
      <c r="G28" s="180">
        <v>700</v>
      </c>
      <c r="H28" s="473"/>
      <c r="I28" s="166">
        <f t="shared" ref="I28:K28" si="9">AVERAGE(P28,U28,Z28,AE28,AJ28,AO28,AT28)</f>
        <v>4</v>
      </c>
      <c r="J28" s="166">
        <f t="shared" si="9"/>
        <v>2831.3207547169786</v>
      </c>
      <c r="K28" s="265">
        <f t="shared" si="9"/>
        <v>707.83018867924466</v>
      </c>
      <c r="L28" s="460"/>
      <c r="M28" s="166" t="e">
        <f>RANK(K28, K$147:$K$176)</f>
        <v>#N/A</v>
      </c>
      <c r="N28" s="462"/>
      <c r="O28" s="462"/>
      <c r="P28" s="166"/>
      <c r="Q28" s="166"/>
      <c r="R28" s="166"/>
      <c r="S28" s="180" t="e">
        <f t="shared" si="2"/>
        <v>#N/A</v>
      </c>
      <c r="T28" s="486"/>
      <c r="U28" s="166"/>
      <c r="V28" s="166"/>
      <c r="W28" s="166"/>
      <c r="X28" s="180" t="e">
        <f t="shared" si="3"/>
        <v>#N/A</v>
      </c>
      <c r="Y28" s="486"/>
      <c r="Z28" s="166"/>
      <c r="AA28" s="166"/>
      <c r="AB28" s="166"/>
      <c r="AC28" s="180" t="e">
        <f t="shared" si="4"/>
        <v>#N/A</v>
      </c>
      <c r="AD28" s="486"/>
      <c r="AE28" s="166"/>
      <c r="AF28" s="166"/>
      <c r="AG28" s="166"/>
      <c r="AH28" s="180" t="e">
        <f t="shared" si="5"/>
        <v>#N/A</v>
      </c>
      <c r="AI28" s="486"/>
      <c r="AJ28" s="166"/>
      <c r="AK28" s="166"/>
      <c r="AL28" s="166"/>
      <c r="AM28" s="180" t="e">
        <f t="shared" si="6"/>
        <v>#N/A</v>
      </c>
      <c r="AN28" s="486"/>
      <c r="AO28" s="166">
        <v>4</v>
      </c>
      <c r="AP28" s="166">
        <v>2899.2452830188649</v>
      </c>
      <c r="AQ28" s="166">
        <v>724.81132075471623</v>
      </c>
      <c r="AR28" s="180">
        <f t="shared" si="7"/>
        <v>14</v>
      </c>
      <c r="AS28" s="486"/>
      <c r="AT28" s="166">
        <v>4</v>
      </c>
      <c r="AU28" s="166">
        <v>2763.3962264150919</v>
      </c>
      <c r="AV28" s="166">
        <v>690.84905660377296</v>
      </c>
      <c r="AW28" s="180">
        <f t="shared" si="8"/>
        <v>17</v>
      </c>
      <c r="AX28" s="486"/>
      <c r="AZ28" s="166" t="e">
        <f>RANK(AX28, $K$7:AX$36)</f>
        <v>#N/A</v>
      </c>
      <c r="BB28" s="180" t="e">
        <f t="shared" si="0"/>
        <v>#N/A</v>
      </c>
    </row>
    <row r="29" spans="2:54">
      <c r="B29" s="479"/>
      <c r="C29" s="180">
        <v>23</v>
      </c>
      <c r="D29" s="180"/>
      <c r="E29" s="180"/>
      <c r="F29" s="180"/>
      <c r="G29" s="180"/>
      <c r="H29" s="473"/>
      <c r="I29" s="166"/>
      <c r="J29" s="166"/>
      <c r="K29" s="265"/>
      <c r="L29" s="460"/>
      <c r="M29" s="166" t="e">
        <f>RANK(K29, K$147:$K$176)</f>
        <v>#N/A</v>
      </c>
      <c r="N29" s="462"/>
      <c r="O29" s="462"/>
      <c r="P29" s="180"/>
      <c r="Q29" s="180"/>
      <c r="R29" s="265"/>
      <c r="S29" s="180" t="e">
        <f t="shared" si="2"/>
        <v>#N/A</v>
      </c>
      <c r="T29" s="486"/>
      <c r="U29" s="180"/>
      <c r="V29" s="180"/>
      <c r="W29" s="265"/>
      <c r="X29" s="180" t="e">
        <f t="shared" si="3"/>
        <v>#N/A</v>
      </c>
      <c r="Y29" s="486"/>
      <c r="Z29" s="180"/>
      <c r="AA29" s="180"/>
      <c r="AB29" s="265"/>
      <c r="AC29" s="180" t="e">
        <f t="shared" si="4"/>
        <v>#N/A</v>
      </c>
      <c r="AD29" s="486"/>
      <c r="AE29" s="180"/>
      <c r="AF29" s="180"/>
      <c r="AG29" s="265"/>
      <c r="AH29" s="180" t="e">
        <f t="shared" si="5"/>
        <v>#N/A</v>
      </c>
      <c r="AI29" s="486"/>
      <c r="AJ29" s="180"/>
      <c r="AK29" s="180"/>
      <c r="AL29" s="265"/>
      <c r="AM29" s="180" t="e">
        <f t="shared" si="6"/>
        <v>#N/A</v>
      </c>
      <c r="AN29" s="486"/>
      <c r="AO29" s="180"/>
      <c r="AP29" s="180"/>
      <c r="AQ29" s="265"/>
      <c r="AR29" s="180" t="e">
        <f t="shared" si="7"/>
        <v>#N/A</v>
      </c>
      <c r="AS29" s="486"/>
      <c r="AT29" s="166"/>
      <c r="AU29" s="166"/>
      <c r="AV29" s="166"/>
      <c r="AW29" s="180" t="e">
        <f t="shared" si="8"/>
        <v>#N/A</v>
      </c>
      <c r="AX29" s="486"/>
      <c r="AZ29" s="166" t="e">
        <f>RANK(AX29, $K$7:AX$36)</f>
        <v>#N/A</v>
      </c>
      <c r="BB29" s="180" t="e">
        <f t="shared" si="0"/>
        <v>#N/A</v>
      </c>
    </row>
    <row r="30" spans="2:54">
      <c r="B30" s="479"/>
      <c r="C30" s="180">
        <v>24</v>
      </c>
      <c r="D30" s="180"/>
      <c r="E30" s="180"/>
      <c r="F30" s="180"/>
      <c r="G30" s="180"/>
      <c r="H30" s="473"/>
      <c r="I30" s="166"/>
      <c r="J30" s="166"/>
      <c r="K30" s="265"/>
      <c r="L30" s="460"/>
      <c r="M30" s="166" t="e">
        <f>RANK(K30, K$147:$K$176)</f>
        <v>#N/A</v>
      </c>
      <c r="N30" s="462"/>
      <c r="O30" s="462"/>
      <c r="P30" s="180"/>
      <c r="Q30" s="180"/>
      <c r="R30" s="180"/>
      <c r="S30" s="180" t="e">
        <f t="shared" si="2"/>
        <v>#N/A</v>
      </c>
      <c r="T30" s="486"/>
      <c r="U30" s="180"/>
      <c r="V30" s="180"/>
      <c r="W30" s="180"/>
      <c r="X30" s="180" t="e">
        <f t="shared" si="3"/>
        <v>#N/A</v>
      </c>
      <c r="Y30" s="486"/>
      <c r="Z30" s="180"/>
      <c r="AA30" s="180"/>
      <c r="AB30" s="180"/>
      <c r="AC30" s="180" t="e">
        <f t="shared" si="4"/>
        <v>#N/A</v>
      </c>
      <c r="AD30" s="486"/>
      <c r="AE30" s="180"/>
      <c r="AF30" s="180"/>
      <c r="AG30" s="180"/>
      <c r="AH30" s="180" t="e">
        <f t="shared" si="5"/>
        <v>#N/A</v>
      </c>
      <c r="AI30" s="486"/>
      <c r="AJ30" s="180"/>
      <c r="AK30" s="180"/>
      <c r="AL30" s="180"/>
      <c r="AM30" s="180" t="e">
        <f t="shared" si="6"/>
        <v>#N/A</v>
      </c>
      <c r="AN30" s="486"/>
      <c r="AO30" s="180"/>
      <c r="AP30" s="180"/>
      <c r="AQ30" s="180"/>
      <c r="AR30" s="180" t="e">
        <f t="shared" si="7"/>
        <v>#N/A</v>
      </c>
      <c r="AS30" s="486"/>
      <c r="AT30" s="166"/>
      <c r="AU30" s="166"/>
      <c r="AV30" s="166"/>
      <c r="AW30" s="180" t="e">
        <f t="shared" si="8"/>
        <v>#N/A</v>
      </c>
      <c r="AX30" s="486"/>
      <c r="AZ30" s="166" t="e">
        <f>RANK(AX30, $K$7:AX$36)</f>
        <v>#N/A</v>
      </c>
      <c r="BB30" s="180" t="e">
        <f t="shared" si="0"/>
        <v>#N/A</v>
      </c>
    </row>
    <row r="31" spans="2:54">
      <c r="B31" s="479"/>
      <c r="C31" s="180">
        <v>25</v>
      </c>
      <c r="D31" s="180"/>
      <c r="E31" s="180"/>
      <c r="F31" s="180"/>
      <c r="G31" s="180"/>
      <c r="H31" s="473"/>
      <c r="I31" s="180"/>
      <c r="J31" s="180"/>
      <c r="K31" s="180"/>
      <c r="L31" s="460"/>
      <c r="M31" s="166" t="e">
        <f>RANK(K31, K$147:$K$176)</f>
        <v>#N/A</v>
      </c>
      <c r="N31" s="462"/>
      <c r="O31" s="462"/>
      <c r="P31" s="180"/>
      <c r="Q31" s="180"/>
      <c r="R31" s="180"/>
      <c r="S31" s="180" t="e">
        <f t="shared" si="2"/>
        <v>#N/A</v>
      </c>
      <c r="T31" s="486"/>
      <c r="U31" s="180"/>
      <c r="V31" s="180"/>
      <c r="W31" s="180"/>
      <c r="X31" s="180" t="e">
        <f t="shared" si="3"/>
        <v>#N/A</v>
      </c>
      <c r="Y31" s="486"/>
      <c r="Z31" s="180"/>
      <c r="AA31" s="180"/>
      <c r="AB31" s="180"/>
      <c r="AC31" s="180" t="e">
        <f t="shared" si="4"/>
        <v>#N/A</v>
      </c>
      <c r="AD31" s="486"/>
      <c r="AE31" s="180"/>
      <c r="AF31" s="180"/>
      <c r="AG31" s="180"/>
      <c r="AH31" s="180" t="e">
        <f t="shared" si="5"/>
        <v>#N/A</v>
      </c>
      <c r="AI31" s="486"/>
      <c r="AJ31" s="180"/>
      <c r="AK31" s="180"/>
      <c r="AL31" s="180"/>
      <c r="AM31" s="180" t="e">
        <f t="shared" si="6"/>
        <v>#N/A</v>
      </c>
      <c r="AN31" s="486"/>
      <c r="AO31" s="180"/>
      <c r="AP31" s="180"/>
      <c r="AQ31" s="180"/>
      <c r="AR31" s="180" t="e">
        <f t="shared" si="7"/>
        <v>#N/A</v>
      </c>
      <c r="AS31" s="486"/>
      <c r="AT31" s="180"/>
      <c r="AU31" s="180"/>
      <c r="AV31" s="180"/>
      <c r="AW31" s="180" t="e">
        <f t="shared" si="8"/>
        <v>#N/A</v>
      </c>
      <c r="AX31" s="486"/>
      <c r="AZ31" s="166" t="e">
        <f>RANK(AX31, $K$7:AX$36)</f>
        <v>#N/A</v>
      </c>
      <c r="BB31" s="180" t="e">
        <f t="shared" si="0"/>
        <v>#N/A</v>
      </c>
    </row>
    <row r="32" spans="2:54">
      <c r="B32" s="479"/>
      <c r="C32" s="180">
        <v>26</v>
      </c>
      <c r="D32" s="180"/>
      <c r="E32" s="180"/>
      <c r="F32" s="180"/>
      <c r="G32" s="180"/>
      <c r="H32" s="473"/>
      <c r="I32" s="180"/>
      <c r="J32" s="180"/>
      <c r="K32" s="180"/>
      <c r="L32" s="460"/>
      <c r="M32" s="166" t="e">
        <f>RANK(K32, K$147:$K$176)</f>
        <v>#N/A</v>
      </c>
      <c r="N32" s="462"/>
      <c r="O32" s="462"/>
      <c r="P32" s="180"/>
      <c r="Q32" s="180"/>
      <c r="R32" s="180"/>
      <c r="S32" s="180" t="e">
        <f t="shared" si="2"/>
        <v>#N/A</v>
      </c>
      <c r="T32" s="486"/>
      <c r="U32" s="180"/>
      <c r="V32" s="180"/>
      <c r="W32" s="180"/>
      <c r="X32" s="180" t="e">
        <f t="shared" si="3"/>
        <v>#N/A</v>
      </c>
      <c r="Y32" s="486"/>
      <c r="Z32" s="180"/>
      <c r="AA32" s="180"/>
      <c r="AB32" s="180"/>
      <c r="AC32" s="180" t="e">
        <f t="shared" si="4"/>
        <v>#N/A</v>
      </c>
      <c r="AD32" s="486"/>
      <c r="AE32" s="180"/>
      <c r="AF32" s="180"/>
      <c r="AG32" s="180"/>
      <c r="AH32" s="180" t="e">
        <f t="shared" si="5"/>
        <v>#N/A</v>
      </c>
      <c r="AI32" s="486"/>
      <c r="AJ32" s="180"/>
      <c r="AK32" s="180"/>
      <c r="AL32" s="180"/>
      <c r="AM32" s="180" t="e">
        <f t="shared" si="6"/>
        <v>#N/A</v>
      </c>
      <c r="AN32" s="486"/>
      <c r="AO32" s="180"/>
      <c r="AP32" s="180"/>
      <c r="AQ32" s="180"/>
      <c r="AR32" s="180" t="e">
        <f t="shared" si="7"/>
        <v>#N/A</v>
      </c>
      <c r="AS32" s="486"/>
      <c r="AT32" s="180"/>
      <c r="AU32" s="180"/>
      <c r="AV32" s="180"/>
      <c r="AW32" s="180" t="e">
        <f t="shared" si="8"/>
        <v>#N/A</v>
      </c>
      <c r="AX32" s="486"/>
      <c r="AZ32" s="166" t="e">
        <f>RANK(AX32, $K$7:AX$36)</f>
        <v>#N/A</v>
      </c>
      <c r="BB32" s="180" t="e">
        <f t="shared" si="0"/>
        <v>#N/A</v>
      </c>
    </row>
    <row r="33" spans="2:54">
      <c r="B33" s="479"/>
      <c r="C33" s="180">
        <v>27</v>
      </c>
      <c r="D33" s="180"/>
      <c r="E33" s="180"/>
      <c r="F33" s="180"/>
      <c r="G33" s="180"/>
      <c r="H33" s="473"/>
      <c r="I33" s="180"/>
      <c r="J33" s="180"/>
      <c r="K33" s="180"/>
      <c r="L33" s="460"/>
      <c r="M33" s="166" t="e">
        <f>RANK(K33, K$147:$K$176)</f>
        <v>#N/A</v>
      </c>
      <c r="N33" s="462"/>
      <c r="O33" s="462"/>
      <c r="P33" s="180"/>
      <c r="Q33" s="180"/>
      <c r="R33" s="180"/>
      <c r="S33" s="180" t="e">
        <f t="shared" si="2"/>
        <v>#N/A</v>
      </c>
      <c r="T33" s="486"/>
      <c r="U33" s="180"/>
      <c r="V33" s="180"/>
      <c r="W33" s="180"/>
      <c r="X33" s="180" t="e">
        <f t="shared" si="3"/>
        <v>#N/A</v>
      </c>
      <c r="Y33" s="486"/>
      <c r="Z33" s="180"/>
      <c r="AA33" s="180"/>
      <c r="AB33" s="180"/>
      <c r="AC33" s="180" t="e">
        <f t="shared" si="4"/>
        <v>#N/A</v>
      </c>
      <c r="AD33" s="486"/>
      <c r="AE33" s="180"/>
      <c r="AF33" s="180"/>
      <c r="AG33" s="180"/>
      <c r="AH33" s="180" t="e">
        <f t="shared" si="5"/>
        <v>#N/A</v>
      </c>
      <c r="AI33" s="486"/>
      <c r="AJ33" s="180"/>
      <c r="AK33" s="180"/>
      <c r="AL33" s="180"/>
      <c r="AM33" s="180" t="e">
        <f t="shared" si="6"/>
        <v>#N/A</v>
      </c>
      <c r="AN33" s="486"/>
      <c r="AO33" s="180"/>
      <c r="AP33" s="180"/>
      <c r="AQ33" s="180"/>
      <c r="AR33" s="180" t="e">
        <f t="shared" si="7"/>
        <v>#N/A</v>
      </c>
      <c r="AS33" s="486"/>
      <c r="AT33" s="180"/>
      <c r="AU33" s="180"/>
      <c r="AV33" s="180"/>
      <c r="AW33" s="180" t="e">
        <f t="shared" si="8"/>
        <v>#N/A</v>
      </c>
      <c r="AX33" s="486"/>
      <c r="AZ33" s="166" t="e">
        <f>RANK(AX33, $K$7:AX$36)</f>
        <v>#N/A</v>
      </c>
      <c r="BB33" s="180" t="e">
        <f t="shared" si="0"/>
        <v>#N/A</v>
      </c>
    </row>
    <row r="34" spans="2:54">
      <c r="B34" s="479"/>
      <c r="C34" s="180">
        <v>28</v>
      </c>
      <c r="D34" s="180"/>
      <c r="E34" s="180"/>
      <c r="F34" s="180"/>
      <c r="G34" s="180"/>
      <c r="H34" s="473"/>
      <c r="I34" s="180"/>
      <c r="J34" s="180"/>
      <c r="K34" s="180"/>
      <c r="L34" s="460"/>
      <c r="M34" s="166" t="e">
        <f>RANK(K34, K$147:$K$176)</f>
        <v>#N/A</v>
      </c>
      <c r="N34" s="462"/>
      <c r="O34" s="462"/>
      <c r="P34" s="180"/>
      <c r="Q34" s="180"/>
      <c r="R34" s="180"/>
      <c r="S34" s="180" t="e">
        <f t="shared" si="2"/>
        <v>#N/A</v>
      </c>
      <c r="T34" s="486"/>
      <c r="U34" s="180"/>
      <c r="V34" s="180"/>
      <c r="W34" s="180"/>
      <c r="X34" s="180" t="e">
        <f t="shared" si="3"/>
        <v>#N/A</v>
      </c>
      <c r="Y34" s="486"/>
      <c r="Z34" s="180"/>
      <c r="AA34" s="180"/>
      <c r="AB34" s="180"/>
      <c r="AC34" s="180" t="e">
        <f t="shared" si="4"/>
        <v>#N/A</v>
      </c>
      <c r="AD34" s="486"/>
      <c r="AE34" s="180"/>
      <c r="AF34" s="180"/>
      <c r="AG34" s="180"/>
      <c r="AH34" s="180" t="e">
        <f t="shared" si="5"/>
        <v>#N/A</v>
      </c>
      <c r="AI34" s="486"/>
      <c r="AJ34" s="180"/>
      <c r="AK34" s="180"/>
      <c r="AL34" s="180"/>
      <c r="AM34" s="180" t="e">
        <f t="shared" si="6"/>
        <v>#N/A</v>
      </c>
      <c r="AN34" s="486"/>
      <c r="AO34" s="180"/>
      <c r="AP34" s="180"/>
      <c r="AQ34" s="180"/>
      <c r="AR34" s="180" t="e">
        <f t="shared" si="7"/>
        <v>#N/A</v>
      </c>
      <c r="AS34" s="486"/>
      <c r="AT34" s="180"/>
      <c r="AU34" s="180"/>
      <c r="AV34" s="180"/>
      <c r="AW34" s="180" t="e">
        <f t="shared" si="8"/>
        <v>#N/A</v>
      </c>
      <c r="AX34" s="486"/>
      <c r="AZ34" s="166" t="e">
        <f>RANK(AX34, $K$7:AX$36)</f>
        <v>#N/A</v>
      </c>
      <c r="BB34" s="180" t="e">
        <f t="shared" si="0"/>
        <v>#N/A</v>
      </c>
    </row>
    <row r="35" spans="2:54">
      <c r="B35" s="479"/>
      <c r="C35" s="180">
        <v>29</v>
      </c>
      <c r="D35" s="180"/>
      <c r="E35" s="180"/>
      <c r="F35" s="180"/>
      <c r="G35" s="180"/>
      <c r="H35" s="473"/>
      <c r="I35" s="180"/>
      <c r="J35" s="180"/>
      <c r="K35" s="180"/>
      <c r="L35" s="460"/>
      <c r="M35" s="166" t="e">
        <f>RANK(K35, K$147:$K$176)</f>
        <v>#N/A</v>
      </c>
      <c r="N35" s="462"/>
      <c r="O35" s="462"/>
      <c r="P35" s="180"/>
      <c r="Q35" s="180"/>
      <c r="R35" s="180"/>
      <c r="S35" s="180" t="e">
        <f t="shared" si="2"/>
        <v>#N/A</v>
      </c>
      <c r="T35" s="486"/>
      <c r="U35" s="180"/>
      <c r="V35" s="180"/>
      <c r="W35" s="180"/>
      <c r="X35" s="180" t="e">
        <f t="shared" si="3"/>
        <v>#N/A</v>
      </c>
      <c r="Y35" s="486"/>
      <c r="Z35" s="180"/>
      <c r="AA35" s="180"/>
      <c r="AB35" s="180"/>
      <c r="AC35" s="180" t="e">
        <f t="shared" si="4"/>
        <v>#N/A</v>
      </c>
      <c r="AD35" s="486"/>
      <c r="AE35" s="180"/>
      <c r="AF35" s="180"/>
      <c r="AG35" s="180"/>
      <c r="AH35" s="180" t="e">
        <f t="shared" si="5"/>
        <v>#N/A</v>
      </c>
      <c r="AI35" s="486"/>
      <c r="AJ35" s="180"/>
      <c r="AK35" s="180"/>
      <c r="AL35" s="180"/>
      <c r="AM35" s="180" t="e">
        <f t="shared" si="6"/>
        <v>#N/A</v>
      </c>
      <c r="AN35" s="486"/>
      <c r="AO35" s="180"/>
      <c r="AP35" s="180"/>
      <c r="AQ35" s="180"/>
      <c r="AR35" s="180" t="e">
        <f t="shared" si="7"/>
        <v>#N/A</v>
      </c>
      <c r="AS35" s="486"/>
      <c r="AT35" s="180"/>
      <c r="AU35" s="180"/>
      <c r="AV35" s="180"/>
      <c r="AW35" s="180" t="e">
        <f t="shared" si="8"/>
        <v>#N/A</v>
      </c>
      <c r="AX35" s="486"/>
      <c r="AZ35" s="166" t="e">
        <f>RANK(AX35, $K$7:AX$36)</f>
        <v>#N/A</v>
      </c>
      <c r="BB35" s="180" t="e">
        <f t="shared" si="0"/>
        <v>#N/A</v>
      </c>
    </row>
    <row r="36" spans="2:54">
      <c r="B36" s="479"/>
      <c r="C36" s="180">
        <v>30</v>
      </c>
      <c r="D36" s="180"/>
      <c r="E36" s="180"/>
      <c r="F36" s="180"/>
      <c r="G36" s="180"/>
      <c r="H36" s="474"/>
      <c r="I36" s="180"/>
      <c r="J36" s="180"/>
      <c r="K36" s="180"/>
      <c r="L36" s="461"/>
      <c r="M36" s="166" t="e">
        <f>RANK(K36, K$147:$K$176)</f>
        <v>#N/A</v>
      </c>
      <c r="N36" s="462"/>
      <c r="O36" s="462"/>
      <c r="P36" s="180"/>
      <c r="Q36" s="180"/>
      <c r="R36" s="180"/>
      <c r="S36" s="180" t="e">
        <f t="shared" si="2"/>
        <v>#N/A</v>
      </c>
      <c r="T36" s="486"/>
      <c r="U36" s="180"/>
      <c r="V36" s="180"/>
      <c r="W36" s="180"/>
      <c r="X36" s="180" t="e">
        <f t="shared" si="3"/>
        <v>#N/A</v>
      </c>
      <c r="Y36" s="486"/>
      <c r="Z36" s="180"/>
      <c r="AA36" s="180"/>
      <c r="AB36" s="180"/>
      <c r="AC36" s="180" t="e">
        <f t="shared" si="4"/>
        <v>#N/A</v>
      </c>
      <c r="AD36" s="486"/>
      <c r="AE36" s="180"/>
      <c r="AF36" s="180"/>
      <c r="AG36" s="180"/>
      <c r="AH36" s="180" t="e">
        <f t="shared" si="5"/>
        <v>#N/A</v>
      </c>
      <c r="AI36" s="486"/>
      <c r="AJ36" s="180"/>
      <c r="AK36" s="180"/>
      <c r="AL36" s="180"/>
      <c r="AM36" s="180" t="e">
        <f t="shared" si="6"/>
        <v>#N/A</v>
      </c>
      <c r="AN36" s="486"/>
      <c r="AO36" s="180"/>
      <c r="AP36" s="180"/>
      <c r="AQ36" s="180"/>
      <c r="AR36" s="180" t="e">
        <f t="shared" si="7"/>
        <v>#N/A</v>
      </c>
      <c r="AS36" s="486"/>
      <c r="AT36" s="180"/>
      <c r="AU36" s="180"/>
      <c r="AV36" s="180"/>
      <c r="AW36" s="180" t="e">
        <f t="shared" si="8"/>
        <v>#N/A</v>
      </c>
      <c r="AX36" s="486"/>
      <c r="AZ36" s="166" t="e">
        <f>RANK(AX36, $K$7:AX$36)</f>
        <v>#N/A</v>
      </c>
      <c r="BB36" s="180" t="e">
        <f t="shared" si="0"/>
        <v>#N/A</v>
      </c>
    </row>
    <row r="37" spans="2:54" ht="15.75">
      <c r="B37" s="490" t="s">
        <v>721</v>
      </c>
      <c r="C37" s="491"/>
      <c r="D37" s="491"/>
      <c r="E37" s="491"/>
      <c r="F37" s="491"/>
      <c r="G37" s="491"/>
      <c r="H37" s="491"/>
      <c r="I37" s="181"/>
      <c r="J37" s="181"/>
      <c r="K37" s="181"/>
      <c r="L37" s="181"/>
      <c r="M37" s="178"/>
      <c r="N37" s="469" t="s">
        <v>722</v>
      </c>
      <c r="O37" s="469" t="s">
        <v>723</v>
      </c>
      <c r="P37" s="478">
        <v>46056</v>
      </c>
      <c r="Q37" s="479"/>
      <c r="R37" s="479"/>
      <c r="S37" s="479"/>
      <c r="T37" s="479"/>
      <c r="U37" s="478">
        <f>P37+1</f>
        <v>46057</v>
      </c>
      <c r="V37" s="479"/>
      <c r="W37" s="479"/>
      <c r="X37" s="479"/>
      <c r="Y37" s="479"/>
      <c r="Z37" s="478">
        <f>U37+1</f>
        <v>46058</v>
      </c>
      <c r="AA37" s="479"/>
      <c r="AB37" s="479"/>
      <c r="AC37" s="479"/>
      <c r="AD37" s="479"/>
      <c r="AE37" s="478">
        <f>Z37+1</f>
        <v>46059</v>
      </c>
      <c r="AF37" s="479"/>
      <c r="AG37" s="479"/>
      <c r="AH37" s="479"/>
      <c r="AI37" s="479"/>
      <c r="AJ37" s="478">
        <f>AE37+1</f>
        <v>46060</v>
      </c>
      <c r="AK37" s="479"/>
      <c r="AL37" s="479"/>
      <c r="AM37" s="479"/>
      <c r="AN37" s="479"/>
      <c r="AO37" s="478">
        <f>AJ37+1</f>
        <v>46061</v>
      </c>
      <c r="AP37" s="479"/>
      <c r="AQ37" s="479"/>
      <c r="AR37" s="479"/>
      <c r="AS37" s="479"/>
      <c r="AT37" s="478">
        <f>AO37+1</f>
        <v>46062</v>
      </c>
      <c r="AU37" s="479"/>
      <c r="AV37" s="479"/>
      <c r="AW37" s="479"/>
      <c r="AX37" s="479"/>
    </row>
    <row r="38" spans="2:54" ht="15.75">
      <c r="B38" s="482"/>
      <c r="C38" s="482"/>
      <c r="D38" s="482"/>
      <c r="E38" s="482"/>
      <c r="F38" s="482"/>
      <c r="G38" s="482"/>
      <c r="H38" s="482"/>
      <c r="I38" s="182"/>
      <c r="J38" s="182"/>
      <c r="K38" s="182"/>
      <c r="L38" s="182"/>
      <c r="M38" s="179"/>
      <c r="N38" s="471"/>
      <c r="O38" s="471"/>
      <c r="P38" s="478" t="s">
        <v>724</v>
      </c>
      <c r="Q38" s="479"/>
      <c r="R38" s="479"/>
      <c r="S38" s="479"/>
      <c r="T38" s="479"/>
      <c r="U38" s="478" t="s">
        <v>725</v>
      </c>
      <c r="V38" s="479"/>
      <c r="W38" s="479"/>
      <c r="X38" s="479"/>
      <c r="Y38" s="479"/>
      <c r="Z38" s="478" t="s">
        <v>726</v>
      </c>
      <c r="AA38" s="479"/>
      <c r="AB38" s="479"/>
      <c r="AC38" s="479"/>
      <c r="AD38" s="479"/>
      <c r="AE38" s="478" t="s">
        <v>727</v>
      </c>
      <c r="AF38" s="479"/>
      <c r="AG38" s="479"/>
      <c r="AH38" s="479"/>
      <c r="AI38" s="479"/>
      <c r="AJ38" s="478" t="s">
        <v>728</v>
      </c>
      <c r="AK38" s="479"/>
      <c r="AL38" s="479"/>
      <c r="AM38" s="479"/>
      <c r="AN38" s="479"/>
      <c r="AO38" s="478" t="s">
        <v>729</v>
      </c>
      <c r="AP38" s="479"/>
      <c r="AQ38" s="479"/>
      <c r="AR38" s="479"/>
      <c r="AS38" s="479"/>
      <c r="AT38" s="478" t="s">
        <v>730</v>
      </c>
      <c r="AU38" s="479"/>
      <c r="AV38" s="479"/>
      <c r="AW38" s="479"/>
      <c r="AX38" s="479"/>
    </row>
    <row r="39" spans="2:54">
      <c r="B39" s="469" t="s">
        <v>731</v>
      </c>
      <c r="C39" s="463" t="s">
        <v>732</v>
      </c>
      <c r="D39" s="483"/>
      <c r="E39" s="466" t="s">
        <v>733</v>
      </c>
      <c r="F39" s="467"/>
      <c r="G39" s="468"/>
      <c r="H39" s="469" t="s">
        <v>734</v>
      </c>
      <c r="I39" s="466" t="s">
        <v>735</v>
      </c>
      <c r="J39" s="467"/>
      <c r="K39" s="468"/>
      <c r="L39" s="469" t="s">
        <v>734</v>
      </c>
      <c r="M39" s="469" t="s">
        <v>736</v>
      </c>
      <c r="N39" s="469"/>
      <c r="O39" s="469" t="s">
        <v>737</v>
      </c>
      <c r="P39" s="466" t="s">
        <v>738</v>
      </c>
      <c r="Q39" s="467"/>
      <c r="R39" s="467"/>
      <c r="S39" s="468"/>
      <c r="T39" s="469" t="s">
        <v>734</v>
      </c>
      <c r="U39" s="466" t="s">
        <v>738</v>
      </c>
      <c r="V39" s="467"/>
      <c r="W39" s="467"/>
      <c r="X39" s="468"/>
      <c r="Y39" s="469" t="s">
        <v>734</v>
      </c>
      <c r="Z39" s="466" t="s">
        <v>738</v>
      </c>
      <c r="AA39" s="467"/>
      <c r="AB39" s="467"/>
      <c r="AC39" s="468"/>
      <c r="AD39" s="469" t="s">
        <v>734</v>
      </c>
      <c r="AE39" s="466" t="s">
        <v>738</v>
      </c>
      <c r="AF39" s="467"/>
      <c r="AG39" s="467"/>
      <c r="AH39" s="468"/>
      <c r="AI39" s="469" t="s">
        <v>734</v>
      </c>
      <c r="AJ39" s="466" t="s">
        <v>738</v>
      </c>
      <c r="AK39" s="467"/>
      <c r="AL39" s="467"/>
      <c r="AM39" s="468"/>
      <c r="AN39" s="469" t="s">
        <v>734</v>
      </c>
      <c r="AO39" s="466" t="s">
        <v>738</v>
      </c>
      <c r="AP39" s="467"/>
      <c r="AQ39" s="467"/>
      <c r="AR39" s="468"/>
      <c r="AS39" s="469" t="s">
        <v>734</v>
      </c>
      <c r="AT39" s="466" t="s">
        <v>738</v>
      </c>
      <c r="AU39" s="467"/>
      <c r="AV39" s="467"/>
      <c r="AW39" s="468"/>
      <c r="AX39" s="469" t="s">
        <v>734</v>
      </c>
    </row>
    <row r="40" spans="2:54">
      <c r="B40" s="470"/>
      <c r="C40" s="464"/>
      <c r="D40" s="484"/>
      <c r="E40" s="466" t="s">
        <v>739</v>
      </c>
      <c r="F40" s="467"/>
      <c r="G40" s="468"/>
      <c r="H40" s="470"/>
      <c r="I40" s="466" t="s">
        <v>739</v>
      </c>
      <c r="J40" s="467"/>
      <c r="K40" s="468"/>
      <c r="L40" s="470"/>
      <c r="M40" s="470"/>
      <c r="N40" s="470"/>
      <c r="O40" s="470"/>
      <c r="P40" s="466" t="s">
        <v>740</v>
      </c>
      <c r="Q40" s="467"/>
      <c r="R40" s="467"/>
      <c r="S40" s="468"/>
      <c r="T40" s="470"/>
      <c r="U40" s="466" t="s">
        <v>740</v>
      </c>
      <c r="V40" s="467"/>
      <c r="W40" s="467"/>
      <c r="X40" s="468"/>
      <c r="Y40" s="470"/>
      <c r="Z40" s="466" t="s">
        <v>740</v>
      </c>
      <c r="AA40" s="467"/>
      <c r="AB40" s="467"/>
      <c r="AC40" s="468"/>
      <c r="AD40" s="470"/>
      <c r="AE40" s="466" t="s">
        <v>740</v>
      </c>
      <c r="AF40" s="467"/>
      <c r="AG40" s="467"/>
      <c r="AH40" s="468"/>
      <c r="AI40" s="470"/>
      <c r="AJ40" s="466" t="s">
        <v>740</v>
      </c>
      <c r="AK40" s="467"/>
      <c r="AL40" s="467"/>
      <c r="AM40" s="468"/>
      <c r="AN40" s="470"/>
      <c r="AO40" s="466" t="s">
        <v>740</v>
      </c>
      <c r="AP40" s="467"/>
      <c r="AQ40" s="467"/>
      <c r="AR40" s="468"/>
      <c r="AS40" s="470"/>
      <c r="AT40" s="466" t="s">
        <v>740</v>
      </c>
      <c r="AU40" s="467"/>
      <c r="AV40" s="467"/>
      <c r="AW40" s="468"/>
      <c r="AX40" s="470"/>
    </row>
    <row r="41" spans="2:54">
      <c r="B41" s="471"/>
      <c r="C41" s="465"/>
      <c r="D41" s="485"/>
      <c r="E41" s="264" t="s">
        <v>741</v>
      </c>
      <c r="F41" s="264" t="s">
        <v>742</v>
      </c>
      <c r="G41" s="264" t="s">
        <v>743</v>
      </c>
      <c r="H41" s="471"/>
      <c r="I41" s="264" t="s">
        <v>741</v>
      </c>
      <c r="J41" s="264" t="s">
        <v>742</v>
      </c>
      <c r="K41" s="264" t="s">
        <v>743</v>
      </c>
      <c r="L41" s="471"/>
      <c r="M41" s="471"/>
      <c r="N41" s="470"/>
      <c r="O41" s="470"/>
      <c r="P41" s="264" t="s">
        <v>741</v>
      </c>
      <c r="Q41" s="264" t="s">
        <v>742</v>
      </c>
      <c r="R41" s="264" t="s">
        <v>743</v>
      </c>
      <c r="S41" s="264" t="s">
        <v>736</v>
      </c>
      <c r="T41" s="471"/>
      <c r="U41" s="264" t="s">
        <v>741</v>
      </c>
      <c r="V41" s="264" t="s">
        <v>742</v>
      </c>
      <c r="W41" s="264" t="s">
        <v>743</v>
      </c>
      <c r="X41" s="264" t="s">
        <v>736</v>
      </c>
      <c r="Y41" s="471"/>
      <c r="Z41" s="264" t="s">
        <v>741</v>
      </c>
      <c r="AA41" s="264" t="s">
        <v>742</v>
      </c>
      <c r="AB41" s="264" t="s">
        <v>743</v>
      </c>
      <c r="AC41" s="264" t="s">
        <v>736</v>
      </c>
      <c r="AD41" s="471"/>
      <c r="AE41" s="264" t="s">
        <v>741</v>
      </c>
      <c r="AF41" s="264" t="s">
        <v>742</v>
      </c>
      <c r="AG41" s="264" t="s">
        <v>743</v>
      </c>
      <c r="AH41" s="264" t="s">
        <v>736</v>
      </c>
      <c r="AI41" s="471"/>
      <c r="AJ41" s="264" t="s">
        <v>741</v>
      </c>
      <c r="AK41" s="264" t="s">
        <v>742</v>
      </c>
      <c r="AL41" s="264" t="s">
        <v>743</v>
      </c>
      <c r="AM41" s="264" t="s">
        <v>736</v>
      </c>
      <c r="AN41" s="471"/>
      <c r="AO41" s="264" t="s">
        <v>741</v>
      </c>
      <c r="AP41" s="264" t="s">
        <v>742</v>
      </c>
      <c r="AQ41" s="264" t="s">
        <v>743</v>
      </c>
      <c r="AR41" s="264" t="s">
        <v>736</v>
      </c>
      <c r="AS41" s="471"/>
      <c r="AT41" s="264" t="s">
        <v>741</v>
      </c>
      <c r="AU41" s="264" t="s">
        <v>742</v>
      </c>
      <c r="AV41" s="264" t="s">
        <v>743</v>
      </c>
      <c r="AW41" s="264" t="s">
        <v>736</v>
      </c>
      <c r="AX41" s="471"/>
    </row>
    <row r="42" spans="2:54">
      <c r="B42" s="487" t="s">
        <v>150</v>
      </c>
      <c r="C42" s="180">
        <v>1</v>
      </c>
      <c r="D42" s="180" t="s">
        <v>347</v>
      </c>
      <c r="E42" s="180">
        <v>4</v>
      </c>
      <c r="F42" s="180">
        <v>2200</v>
      </c>
      <c r="G42" s="180">
        <v>550</v>
      </c>
      <c r="H42" s="472">
        <f>AVERAGE(G42:G71)</f>
        <v>849.60317460317469</v>
      </c>
      <c r="I42" s="166">
        <f>AVERAGE(P42,U42,Z42,AE42,AJ42,AO42,AT42)</f>
        <v>3</v>
      </c>
      <c r="J42" s="166">
        <f>AVERAGE(Q42,V42,AA42,AF42,AK42,AP42,AU42)</f>
        <v>3218.9468615254123</v>
      </c>
      <c r="K42" s="265">
        <f>AVERAGE(R42,W42,AB42,AG42,AL42,AQ42,AV42)</f>
        <v>1072.9822871751376</v>
      </c>
      <c r="L42" s="472">
        <f>IFERROR(AVERAGE(K42:K71),"-")</f>
        <v>797.11710799003481</v>
      </c>
      <c r="M42" s="166">
        <f>RANK(K42, K$42:$K$71)</f>
        <v>4</v>
      </c>
      <c r="N42" s="470"/>
      <c r="O42" s="470"/>
      <c r="P42" s="324">
        <v>3</v>
      </c>
      <c r="Q42" s="166">
        <v>3270.6382978723409</v>
      </c>
      <c r="R42" s="166">
        <v>1090.2127659574469</v>
      </c>
      <c r="S42" s="180">
        <f t="shared" ref="S42:S71" si="10">RANK(R42, R$42:R$71)</f>
        <v>2</v>
      </c>
      <c r="T42" s="472">
        <f>AVERAGE(R42:R71)</f>
        <v>805.18888014370555</v>
      </c>
      <c r="U42" s="324">
        <v>3</v>
      </c>
      <c r="V42" s="166">
        <v>3166.2500000000009</v>
      </c>
      <c r="W42" s="166">
        <v>1055.416666666667</v>
      </c>
      <c r="X42" s="180">
        <f t="shared" ref="X42:X71" si="11">RANK(W42, W$42:W$71)</f>
        <v>2</v>
      </c>
      <c r="Y42" s="472">
        <f t="shared" ref="Y42" si="12">AVERAGE(W42:W71)</f>
        <v>776.33180342029357</v>
      </c>
      <c r="Z42" s="324">
        <v>3</v>
      </c>
      <c r="AA42" s="166">
        <v>3287.4418604651155</v>
      </c>
      <c r="AB42" s="166">
        <v>1095.8139534883719</v>
      </c>
      <c r="AC42" s="180">
        <f t="shared" ref="AC42:AC71" si="13">RANK(AB42, AB$42:AB$71)</f>
        <v>3</v>
      </c>
      <c r="AD42" s="472">
        <f t="shared" ref="AD42" si="14">AVERAGE(AB42:AB71)</f>
        <v>799.06180313528807</v>
      </c>
      <c r="AE42" s="324">
        <v>3</v>
      </c>
      <c r="AF42" s="166">
        <v>3224.2857142857197</v>
      </c>
      <c r="AG42" s="166">
        <v>1074.7619047619066</v>
      </c>
      <c r="AH42" s="180">
        <f t="shared" ref="AH42:AH71" si="15">RANK(AG42, AG$42:AG$71)</f>
        <v>3</v>
      </c>
      <c r="AI42" s="472">
        <f t="shared" ref="AI42" si="16">AVERAGE(AG42:AG71)</f>
        <v>815.54269527196641</v>
      </c>
      <c r="AJ42" s="324">
        <v>3</v>
      </c>
      <c r="AK42" s="166">
        <v>3202.8571428571418</v>
      </c>
      <c r="AL42" s="166">
        <v>1067.6190476190473</v>
      </c>
      <c r="AM42" s="180">
        <f t="shared" ref="AM42:AM71" si="17">RANK(AL42, AL$42:AL$71)</f>
        <v>4</v>
      </c>
      <c r="AN42" s="472">
        <f t="shared" ref="AN42" si="18">AVERAGE(AL42:AL71)</f>
        <v>800.74919169615998</v>
      </c>
      <c r="AO42" s="324">
        <v>3</v>
      </c>
      <c r="AP42" s="166">
        <v>3162.8571428571436</v>
      </c>
      <c r="AQ42" s="166">
        <v>1054.2857142857144</v>
      </c>
      <c r="AR42" s="180">
        <f t="shared" ref="AR42:AR71" si="19">RANK(AQ42, AQ$42:AQ$71)</f>
        <v>2</v>
      </c>
      <c r="AS42" s="472">
        <f t="shared" ref="AS42" si="20">AVERAGE(AQ42:AQ71)</f>
        <v>774.36748471746341</v>
      </c>
      <c r="AT42" s="324">
        <v>3</v>
      </c>
      <c r="AU42" s="166">
        <v>3218.2978723404258</v>
      </c>
      <c r="AV42" s="166">
        <v>1072.7659574468087</v>
      </c>
      <c r="AW42" s="180">
        <f t="shared" ref="AW42:AW71" si="21">RANK(AV42, AV$42:AV$71)</f>
        <v>4</v>
      </c>
      <c r="AX42" s="472">
        <f t="shared" ref="AX42" si="22">AVERAGE(AV42:AV71)</f>
        <v>808.57789754536759</v>
      </c>
    </row>
    <row r="43" spans="2:54">
      <c r="B43" s="488"/>
      <c r="C43" s="180">
        <v>2</v>
      </c>
      <c r="D43" s="180" t="s">
        <v>348</v>
      </c>
      <c r="E43" s="180">
        <v>3</v>
      </c>
      <c r="F43" s="180">
        <v>2700</v>
      </c>
      <c r="G43" s="180">
        <v>900</v>
      </c>
      <c r="H43" s="473"/>
      <c r="I43" s="166">
        <f t="shared" ref="I43:K60" si="23">AVERAGE(P43,U43,Z43,AE43,AJ43,AO43,AT43)</f>
        <v>3</v>
      </c>
      <c r="J43" s="166">
        <f t="shared" si="23"/>
        <v>3292.9410946196745</v>
      </c>
      <c r="K43" s="265">
        <f t="shared" si="23"/>
        <v>1097.6470315398915</v>
      </c>
      <c r="L43" s="473"/>
      <c r="M43" s="166">
        <f>RANK(K43, K$42:$K$71)</f>
        <v>1</v>
      </c>
      <c r="N43" s="470"/>
      <c r="O43" s="470"/>
      <c r="P43" s="166">
        <v>3</v>
      </c>
      <c r="Q43" s="166">
        <v>3351.9999999999941</v>
      </c>
      <c r="R43" s="166">
        <v>1117.3333333333314</v>
      </c>
      <c r="S43" s="180">
        <f t="shared" si="10"/>
        <v>1</v>
      </c>
      <c r="T43" s="473"/>
      <c r="U43" s="166">
        <v>3</v>
      </c>
      <c r="V43" s="166">
        <v>3063.7499999999959</v>
      </c>
      <c r="W43" s="166">
        <v>1021.2499999999986</v>
      </c>
      <c r="X43" s="180">
        <f t="shared" si="11"/>
        <v>4</v>
      </c>
      <c r="Y43" s="473"/>
      <c r="Z43" s="166">
        <v>3</v>
      </c>
      <c r="AA43" s="166">
        <v>3394.2857142857265</v>
      </c>
      <c r="AB43" s="166">
        <v>1131.4285714285754</v>
      </c>
      <c r="AC43" s="180">
        <f t="shared" si="13"/>
        <v>1</v>
      </c>
      <c r="AD43" s="473"/>
      <c r="AE43" s="166">
        <v>3</v>
      </c>
      <c r="AF43" s="166">
        <v>3320.0000000000118</v>
      </c>
      <c r="AG43" s="166">
        <v>1106.6666666666706</v>
      </c>
      <c r="AH43" s="180">
        <f t="shared" si="15"/>
        <v>2</v>
      </c>
      <c r="AI43" s="473"/>
      <c r="AJ43" s="166">
        <v>3</v>
      </c>
      <c r="AK43" s="166">
        <v>3430.9090909091278</v>
      </c>
      <c r="AL43" s="166">
        <v>1143.636363636376</v>
      </c>
      <c r="AM43" s="180">
        <f t="shared" si="17"/>
        <v>1</v>
      </c>
      <c r="AN43" s="473"/>
      <c r="AO43" s="166">
        <v>3</v>
      </c>
      <c r="AP43" s="166">
        <v>3112.4999999999959</v>
      </c>
      <c r="AQ43" s="166">
        <v>1037.4999999999986</v>
      </c>
      <c r="AR43" s="180">
        <f t="shared" si="19"/>
        <v>3</v>
      </c>
      <c r="AS43" s="473"/>
      <c r="AT43" s="166">
        <v>3</v>
      </c>
      <c r="AU43" s="166">
        <v>3377.1428571428692</v>
      </c>
      <c r="AV43" s="166">
        <v>1125.7142857142896</v>
      </c>
      <c r="AW43" s="180">
        <f t="shared" si="21"/>
        <v>1</v>
      </c>
      <c r="AX43" s="473"/>
    </row>
    <row r="44" spans="2:54">
      <c r="B44" s="488"/>
      <c r="C44" s="180">
        <v>3</v>
      </c>
      <c r="D44" s="180" t="s">
        <v>336</v>
      </c>
      <c r="E44" s="180">
        <v>4</v>
      </c>
      <c r="F44" s="180">
        <v>3600</v>
      </c>
      <c r="G44" s="180">
        <v>900</v>
      </c>
      <c r="H44" s="473"/>
      <c r="I44" s="166">
        <f t="shared" si="23"/>
        <v>4</v>
      </c>
      <c r="J44" s="166">
        <f t="shared" si="23"/>
        <v>3203.0598976432661</v>
      </c>
      <c r="K44" s="265">
        <f t="shared" si="23"/>
        <v>800.76497441081654</v>
      </c>
      <c r="L44" s="473"/>
      <c r="M44" s="166">
        <f>RANK(K44, K$42:$K$71)</f>
        <v>11</v>
      </c>
      <c r="N44" s="470"/>
      <c r="O44" s="470"/>
      <c r="P44" s="166">
        <v>4</v>
      </c>
      <c r="Q44" s="166">
        <v>3269.99999999999</v>
      </c>
      <c r="R44" s="166">
        <v>817.4999999999975</v>
      </c>
      <c r="S44" s="180">
        <f t="shared" si="10"/>
        <v>10</v>
      </c>
      <c r="T44" s="473"/>
      <c r="U44" s="166">
        <v>4</v>
      </c>
      <c r="V44" s="166">
        <v>3110.5263157894788</v>
      </c>
      <c r="W44" s="166">
        <v>777.63157894736969</v>
      </c>
      <c r="X44" s="180">
        <f t="shared" si="11"/>
        <v>10</v>
      </c>
      <c r="Y44" s="473"/>
      <c r="Z44" s="166">
        <v>4</v>
      </c>
      <c r="AA44" s="166">
        <v>3041.0526315789521</v>
      </c>
      <c r="AB44" s="166">
        <v>760.26315789473801</v>
      </c>
      <c r="AC44" s="180">
        <f t="shared" si="13"/>
        <v>11</v>
      </c>
      <c r="AD44" s="473"/>
      <c r="AE44" s="166">
        <v>4</v>
      </c>
      <c r="AF44" s="166">
        <v>3379.9999999999941</v>
      </c>
      <c r="AG44" s="166">
        <v>844.99999999999852</v>
      </c>
      <c r="AH44" s="180">
        <f t="shared" si="15"/>
        <v>10</v>
      </c>
      <c r="AI44" s="473"/>
      <c r="AJ44" s="166">
        <v>4</v>
      </c>
      <c r="AK44" s="166">
        <v>3321.4285714285738</v>
      </c>
      <c r="AL44" s="166">
        <v>830.35714285714346</v>
      </c>
      <c r="AM44" s="180">
        <f t="shared" si="17"/>
        <v>11</v>
      </c>
      <c r="AN44" s="473"/>
      <c r="AO44" s="166">
        <v>4</v>
      </c>
      <c r="AP44" s="166">
        <v>2949.0000000000045</v>
      </c>
      <c r="AQ44" s="166">
        <v>737.25000000000114</v>
      </c>
      <c r="AR44" s="180">
        <f t="shared" si="19"/>
        <v>11</v>
      </c>
      <c r="AS44" s="473"/>
      <c r="AT44" s="166">
        <v>4</v>
      </c>
      <c r="AU44" s="166">
        <v>3349.4117647058706</v>
      </c>
      <c r="AV44" s="166">
        <v>837.35294117646765</v>
      </c>
      <c r="AW44" s="180">
        <f t="shared" si="21"/>
        <v>9</v>
      </c>
      <c r="AX44" s="473"/>
    </row>
    <row r="45" spans="2:54">
      <c r="B45" s="488"/>
      <c r="C45" s="180">
        <v>4</v>
      </c>
      <c r="D45" s="180" t="s">
        <v>350</v>
      </c>
      <c r="E45" s="180">
        <v>3</v>
      </c>
      <c r="F45" s="180">
        <v>3600</v>
      </c>
      <c r="G45" s="180">
        <v>1200</v>
      </c>
      <c r="H45" s="473"/>
      <c r="I45" s="166">
        <f t="shared" si="23"/>
        <v>3</v>
      </c>
      <c r="J45" s="166">
        <f t="shared" si="23"/>
        <v>3232.8890460325297</v>
      </c>
      <c r="K45" s="265">
        <f t="shared" si="23"/>
        <v>1077.6296820108432</v>
      </c>
      <c r="L45" s="473"/>
      <c r="M45" s="166">
        <f>RANK(K45, K$42:$K$71)</f>
        <v>3</v>
      </c>
      <c r="N45" s="470"/>
      <c r="O45" s="470"/>
      <c r="P45" s="166">
        <v>3</v>
      </c>
      <c r="Q45" s="166">
        <v>3234.7058823529451</v>
      </c>
      <c r="R45" s="166">
        <v>1078.2352941176484</v>
      </c>
      <c r="S45" s="180">
        <f t="shared" si="10"/>
        <v>4</v>
      </c>
      <c r="T45" s="473"/>
      <c r="U45" s="166">
        <v>3</v>
      </c>
      <c r="V45" s="166">
        <v>3200.5970149253772</v>
      </c>
      <c r="W45" s="166">
        <v>1066.8656716417925</v>
      </c>
      <c r="X45" s="180">
        <f t="shared" si="11"/>
        <v>1</v>
      </c>
      <c r="Y45" s="473"/>
      <c r="Z45" s="166">
        <v>3</v>
      </c>
      <c r="AA45" s="166">
        <v>3262.2580645161279</v>
      </c>
      <c r="AB45" s="166">
        <v>1087.4193548387093</v>
      </c>
      <c r="AC45" s="180">
        <f t="shared" si="13"/>
        <v>4</v>
      </c>
      <c r="AD45" s="473"/>
      <c r="AE45" s="166">
        <v>3</v>
      </c>
      <c r="AF45" s="166">
        <v>3219.661016949151</v>
      </c>
      <c r="AG45" s="166">
        <v>1073.2203389830504</v>
      </c>
      <c r="AH45" s="180">
        <f t="shared" si="15"/>
        <v>4</v>
      </c>
      <c r="AI45" s="473"/>
      <c r="AJ45" s="166">
        <v>3</v>
      </c>
      <c r="AK45" s="166">
        <v>3230.6896551724212</v>
      </c>
      <c r="AL45" s="166">
        <v>1076.8965517241404</v>
      </c>
      <c r="AM45" s="180">
        <f t="shared" si="17"/>
        <v>3</v>
      </c>
      <c r="AN45" s="473"/>
      <c r="AO45" s="166">
        <v>3</v>
      </c>
      <c r="AP45" s="166">
        <v>3186.8571428571395</v>
      </c>
      <c r="AQ45" s="166">
        <v>1062.2857142857131</v>
      </c>
      <c r="AR45" s="180">
        <f t="shared" si="19"/>
        <v>1</v>
      </c>
      <c r="AS45" s="473"/>
      <c r="AT45" s="166">
        <v>3</v>
      </c>
      <c r="AU45" s="166">
        <v>3295.4545454545455</v>
      </c>
      <c r="AV45" s="166">
        <v>1098.4848484848485</v>
      </c>
      <c r="AW45" s="180">
        <f t="shared" si="21"/>
        <v>3</v>
      </c>
      <c r="AX45" s="473"/>
    </row>
    <row r="46" spans="2:54">
      <c r="B46" s="488"/>
      <c r="C46" s="180">
        <v>5</v>
      </c>
      <c r="D46" s="180" t="s">
        <v>351</v>
      </c>
      <c r="E46" s="180">
        <v>3</v>
      </c>
      <c r="F46" s="180">
        <v>3600</v>
      </c>
      <c r="G46" s="180">
        <v>1200</v>
      </c>
      <c r="H46" s="473"/>
      <c r="I46" s="166">
        <f t="shared" si="23"/>
        <v>4</v>
      </c>
      <c r="J46" s="166">
        <f t="shared" si="23"/>
        <v>3228.0791499735574</v>
      </c>
      <c r="K46" s="265">
        <f t="shared" si="23"/>
        <v>807.01978749338934</v>
      </c>
      <c r="L46" s="473"/>
      <c r="M46" s="166">
        <f>RANK(K46, K$42:$K$71)</f>
        <v>10</v>
      </c>
      <c r="N46" s="470"/>
      <c r="O46" s="470"/>
      <c r="P46" s="166">
        <v>4</v>
      </c>
      <c r="Q46" s="166">
        <v>3264.4444444444412</v>
      </c>
      <c r="R46" s="166">
        <v>816.11111111111029</v>
      </c>
      <c r="S46" s="180">
        <f t="shared" si="10"/>
        <v>11</v>
      </c>
      <c r="T46" s="473"/>
      <c r="U46" s="166">
        <v>4</v>
      </c>
      <c r="V46" s="166">
        <v>3182.1428571428546</v>
      </c>
      <c r="W46" s="166">
        <v>795.53571428571365</v>
      </c>
      <c r="X46" s="180">
        <f t="shared" si="11"/>
        <v>9</v>
      </c>
      <c r="Y46" s="473"/>
      <c r="Z46" s="166">
        <v>4</v>
      </c>
      <c r="AA46" s="166">
        <v>3130.7142857142835</v>
      </c>
      <c r="AB46" s="166">
        <v>782.67857142857088</v>
      </c>
      <c r="AC46" s="180">
        <f t="shared" si="13"/>
        <v>10</v>
      </c>
      <c r="AD46" s="473"/>
      <c r="AE46" s="166">
        <v>4</v>
      </c>
      <c r="AF46" s="166">
        <v>3255.6521739130435</v>
      </c>
      <c r="AG46" s="166">
        <v>813.91304347826087</v>
      </c>
      <c r="AH46" s="180">
        <f t="shared" si="15"/>
        <v>12</v>
      </c>
      <c r="AI46" s="473"/>
      <c r="AJ46" s="166">
        <v>4</v>
      </c>
      <c r="AK46" s="166">
        <v>3332.7272727272666</v>
      </c>
      <c r="AL46" s="166">
        <v>833.18181818181665</v>
      </c>
      <c r="AM46" s="180">
        <f t="shared" si="17"/>
        <v>10</v>
      </c>
      <c r="AN46" s="473"/>
      <c r="AO46" s="166">
        <v>4</v>
      </c>
      <c r="AP46" s="166">
        <v>3186.4285714285693</v>
      </c>
      <c r="AQ46" s="166">
        <v>796.60714285714232</v>
      </c>
      <c r="AR46" s="180">
        <f t="shared" si="19"/>
        <v>9</v>
      </c>
      <c r="AS46" s="473"/>
      <c r="AT46" s="166">
        <v>4</v>
      </c>
      <c r="AU46" s="166">
        <v>3244.4444444444416</v>
      </c>
      <c r="AV46" s="166">
        <v>811.1111111111104</v>
      </c>
      <c r="AW46" s="180">
        <f t="shared" si="21"/>
        <v>11</v>
      </c>
      <c r="AX46" s="473"/>
    </row>
    <row r="47" spans="2:54">
      <c r="B47" s="488"/>
      <c r="C47" s="180">
        <v>6</v>
      </c>
      <c r="D47" s="180" t="s">
        <v>349</v>
      </c>
      <c r="E47" s="180">
        <v>4</v>
      </c>
      <c r="F47" s="180">
        <v>3600</v>
      </c>
      <c r="G47" s="180">
        <v>900</v>
      </c>
      <c r="H47" s="473"/>
      <c r="I47" s="166">
        <f t="shared" si="23"/>
        <v>4</v>
      </c>
      <c r="J47" s="166">
        <f t="shared" si="23"/>
        <v>3307.3126873126889</v>
      </c>
      <c r="K47" s="265">
        <f t="shared" si="23"/>
        <v>826.82817182817223</v>
      </c>
      <c r="L47" s="473"/>
      <c r="M47" s="166">
        <f>RANK(K47, K$42:$K$71)</f>
        <v>9</v>
      </c>
      <c r="N47" s="470"/>
      <c r="O47" s="470"/>
      <c r="P47" s="166">
        <v>4</v>
      </c>
      <c r="Q47" s="166">
        <v>3456.923076923079</v>
      </c>
      <c r="R47" s="166">
        <v>864.23076923076974</v>
      </c>
      <c r="S47" s="180">
        <f t="shared" si="10"/>
        <v>9</v>
      </c>
      <c r="T47" s="473"/>
      <c r="U47" s="166">
        <v>4</v>
      </c>
      <c r="V47" s="166">
        <v>3244.2857142857165</v>
      </c>
      <c r="W47" s="166">
        <v>811.07142857142912</v>
      </c>
      <c r="X47" s="180">
        <f t="shared" si="11"/>
        <v>8</v>
      </c>
      <c r="Y47" s="473"/>
      <c r="Z47" s="166">
        <v>4</v>
      </c>
      <c r="AA47" s="166">
        <v>3167.1428571428596</v>
      </c>
      <c r="AB47" s="166">
        <v>791.7857142857149</v>
      </c>
      <c r="AC47" s="180">
        <f t="shared" si="13"/>
        <v>9</v>
      </c>
      <c r="AD47" s="473"/>
      <c r="AE47" s="166">
        <v>4</v>
      </c>
      <c r="AF47" s="166">
        <v>3392.727272727273</v>
      </c>
      <c r="AG47" s="166">
        <v>848.18181818181824</v>
      </c>
      <c r="AH47" s="180">
        <f t="shared" si="15"/>
        <v>9</v>
      </c>
      <c r="AI47" s="473"/>
      <c r="AJ47" s="166">
        <v>4</v>
      </c>
      <c r="AK47" s="166">
        <v>3449.9999999999986</v>
      </c>
      <c r="AL47" s="166">
        <v>862.49999999999966</v>
      </c>
      <c r="AM47" s="180">
        <f t="shared" si="17"/>
        <v>8</v>
      </c>
      <c r="AN47" s="473"/>
      <c r="AO47" s="166">
        <v>4</v>
      </c>
      <c r="AP47" s="166">
        <v>3158.5714285714307</v>
      </c>
      <c r="AQ47" s="166">
        <v>789.64285714285768</v>
      </c>
      <c r="AR47" s="180">
        <f t="shared" si="19"/>
        <v>10</v>
      </c>
      <c r="AS47" s="473"/>
      <c r="AT47" s="166">
        <v>4</v>
      </c>
      <c r="AU47" s="166">
        <v>3281.5384615384633</v>
      </c>
      <c r="AV47" s="166">
        <v>820.38461538461581</v>
      </c>
      <c r="AW47" s="180">
        <f t="shared" si="21"/>
        <v>10</v>
      </c>
      <c r="AX47" s="473"/>
    </row>
    <row r="48" spans="2:54">
      <c r="B48" s="488"/>
      <c r="C48" s="180">
        <v>7</v>
      </c>
      <c r="D48" s="180" t="s">
        <v>352</v>
      </c>
      <c r="E48" s="180">
        <v>4</v>
      </c>
      <c r="F48" s="180">
        <v>3300</v>
      </c>
      <c r="G48" s="180">
        <v>825</v>
      </c>
      <c r="H48" s="473"/>
      <c r="I48" s="166">
        <f t="shared" si="23"/>
        <v>4</v>
      </c>
      <c r="J48" s="166">
        <f t="shared" si="23"/>
        <v>2824.2731554160168</v>
      </c>
      <c r="K48" s="265">
        <f t="shared" si="23"/>
        <v>706.06828885400421</v>
      </c>
      <c r="L48" s="473"/>
      <c r="M48" s="166">
        <f>RANK(K48, K$42:$K$71)</f>
        <v>16</v>
      </c>
      <c r="N48" s="470"/>
      <c r="O48" s="470"/>
      <c r="P48" s="166">
        <v>4</v>
      </c>
      <c r="Q48" s="166">
        <v>2930.7692307692323</v>
      </c>
      <c r="R48" s="166">
        <v>732.69230769230808</v>
      </c>
      <c r="S48" s="180">
        <f t="shared" si="10"/>
        <v>12</v>
      </c>
      <c r="T48" s="473"/>
      <c r="U48" s="166">
        <v>4</v>
      </c>
      <c r="V48" s="166">
        <v>2768.5714285714307</v>
      </c>
      <c r="W48" s="166">
        <v>692.14285714285768</v>
      </c>
      <c r="X48" s="180">
        <f t="shared" si="11"/>
        <v>17</v>
      </c>
      <c r="Y48" s="473"/>
      <c r="Z48" s="166">
        <v>4</v>
      </c>
      <c r="AA48" s="166">
        <v>2678.5714285714303</v>
      </c>
      <c r="AB48" s="166">
        <v>669.64285714285757</v>
      </c>
      <c r="AC48" s="180">
        <f t="shared" si="13"/>
        <v>18</v>
      </c>
      <c r="AD48" s="473"/>
      <c r="AE48" s="166">
        <v>4</v>
      </c>
      <c r="AF48" s="166">
        <v>3060.0000000000109</v>
      </c>
      <c r="AG48" s="166">
        <v>765.00000000000273</v>
      </c>
      <c r="AH48" s="180">
        <f t="shared" si="15"/>
        <v>13</v>
      </c>
      <c r="AI48" s="473"/>
      <c r="AJ48" s="166">
        <v>4</v>
      </c>
      <c r="AK48" s="166">
        <v>2831.9999999999991</v>
      </c>
      <c r="AL48" s="166">
        <v>707.99999999999977</v>
      </c>
      <c r="AM48" s="180">
        <f t="shared" si="17"/>
        <v>15</v>
      </c>
      <c r="AN48" s="473"/>
      <c r="AO48" s="166">
        <v>4</v>
      </c>
      <c r="AP48" s="166">
        <v>2550.0000000000023</v>
      </c>
      <c r="AQ48" s="166">
        <v>637.50000000000057</v>
      </c>
      <c r="AR48" s="180">
        <f t="shared" si="19"/>
        <v>18</v>
      </c>
      <c r="AS48" s="473"/>
      <c r="AT48" s="166">
        <v>4</v>
      </c>
      <c r="AU48" s="166">
        <v>2950.0000000000105</v>
      </c>
      <c r="AV48" s="166">
        <v>737.50000000000261</v>
      </c>
      <c r="AW48" s="180">
        <f t="shared" si="21"/>
        <v>12</v>
      </c>
      <c r="AX48" s="473"/>
    </row>
    <row r="49" spans="2:50">
      <c r="B49" s="488"/>
      <c r="C49" s="180">
        <v>8</v>
      </c>
      <c r="D49" s="180" t="s">
        <v>353</v>
      </c>
      <c r="E49" s="180">
        <v>3</v>
      </c>
      <c r="F49" s="180">
        <v>3300</v>
      </c>
      <c r="G49" s="180">
        <v>1100</v>
      </c>
      <c r="H49" s="473"/>
      <c r="I49" s="166">
        <f t="shared" si="23"/>
        <v>3</v>
      </c>
      <c r="J49" s="166">
        <f t="shared" si="23"/>
        <v>3241.0803862803837</v>
      </c>
      <c r="K49" s="265">
        <f t="shared" si="23"/>
        <v>1080.360128760128</v>
      </c>
      <c r="L49" s="473"/>
      <c r="M49" s="166">
        <f>RANK(K49, K$42:$K$71)</f>
        <v>2</v>
      </c>
      <c r="N49" s="470"/>
      <c r="O49" s="470"/>
      <c r="P49" s="166">
        <v>3</v>
      </c>
      <c r="Q49" s="166">
        <v>3251.5384615384633</v>
      </c>
      <c r="R49" s="166">
        <v>1083.8461538461545</v>
      </c>
      <c r="S49" s="180">
        <f t="shared" si="10"/>
        <v>3</v>
      </c>
      <c r="T49" s="473"/>
      <c r="U49" s="166">
        <v>3</v>
      </c>
      <c r="V49" s="166">
        <v>3120.0000000000109</v>
      </c>
      <c r="W49" s="166">
        <v>1040.0000000000036</v>
      </c>
      <c r="X49" s="180">
        <f t="shared" si="11"/>
        <v>3</v>
      </c>
      <c r="Y49" s="473"/>
      <c r="Z49" s="166">
        <v>3</v>
      </c>
      <c r="AA49" s="166">
        <v>3309.6000000000013</v>
      </c>
      <c r="AB49" s="166">
        <v>1103.2000000000005</v>
      </c>
      <c r="AC49" s="180">
        <f t="shared" si="13"/>
        <v>2</v>
      </c>
      <c r="AD49" s="473"/>
      <c r="AE49" s="166">
        <v>3</v>
      </c>
      <c r="AF49" s="166">
        <v>3346.3636363636242</v>
      </c>
      <c r="AG49" s="166">
        <v>1115.4545454545414</v>
      </c>
      <c r="AH49" s="180">
        <f t="shared" si="15"/>
        <v>1</v>
      </c>
      <c r="AI49" s="473"/>
      <c r="AJ49" s="166">
        <v>3</v>
      </c>
      <c r="AK49" s="166">
        <v>3242.7272727272607</v>
      </c>
      <c r="AL49" s="166">
        <v>1080.9090909090869</v>
      </c>
      <c r="AM49" s="180">
        <f t="shared" si="17"/>
        <v>2</v>
      </c>
      <c r="AN49" s="473"/>
      <c r="AO49" s="166">
        <v>3</v>
      </c>
      <c r="AP49" s="166">
        <v>3093.3333333333262</v>
      </c>
      <c r="AQ49" s="166">
        <v>1031.1111111111088</v>
      </c>
      <c r="AR49" s="180">
        <f t="shared" si="19"/>
        <v>4</v>
      </c>
      <c r="AS49" s="473"/>
      <c r="AT49" s="166">
        <v>3</v>
      </c>
      <c r="AU49" s="166">
        <v>3324.0000000000009</v>
      </c>
      <c r="AV49" s="166">
        <v>1108.0000000000002</v>
      </c>
      <c r="AW49" s="180">
        <f t="shared" si="21"/>
        <v>2</v>
      </c>
      <c r="AX49" s="473"/>
    </row>
    <row r="50" spans="2:50">
      <c r="B50" s="488"/>
      <c r="C50" s="180">
        <v>9</v>
      </c>
      <c r="D50" s="180" t="s">
        <v>354</v>
      </c>
      <c r="E50" s="180">
        <v>3</v>
      </c>
      <c r="F50" s="180">
        <v>3300</v>
      </c>
      <c r="G50" s="180">
        <v>1100</v>
      </c>
      <c r="H50" s="473"/>
      <c r="I50" s="166">
        <f t="shared" si="23"/>
        <v>3</v>
      </c>
      <c r="J50" s="166">
        <f t="shared" si="23"/>
        <v>2811.8420230161032</v>
      </c>
      <c r="K50" s="265">
        <f t="shared" si="23"/>
        <v>937.28067433870092</v>
      </c>
      <c r="L50" s="473"/>
      <c r="M50" s="166">
        <f>RANK(K50, K$42:$K$71)</f>
        <v>7</v>
      </c>
      <c r="N50" s="470"/>
      <c r="O50" s="470"/>
      <c r="P50" s="166">
        <v>3</v>
      </c>
      <c r="Q50" s="166">
        <v>2812.9411764705847</v>
      </c>
      <c r="R50" s="166">
        <v>937.64705882352825</v>
      </c>
      <c r="S50" s="180">
        <f t="shared" si="10"/>
        <v>6</v>
      </c>
      <c r="T50" s="473"/>
      <c r="U50" s="166">
        <v>3</v>
      </c>
      <c r="V50" s="166">
        <v>2706.8571428571404</v>
      </c>
      <c r="W50" s="166">
        <v>902.28571428571342</v>
      </c>
      <c r="X50" s="180">
        <f t="shared" si="11"/>
        <v>7</v>
      </c>
      <c r="Y50" s="473"/>
      <c r="Z50" s="166">
        <v>3</v>
      </c>
      <c r="AA50" s="166">
        <v>2861.2500000000032</v>
      </c>
      <c r="AB50" s="166">
        <v>953.75000000000102</v>
      </c>
      <c r="AC50" s="180">
        <f t="shared" si="13"/>
        <v>6</v>
      </c>
      <c r="AD50" s="473"/>
      <c r="AE50" s="166">
        <v>3</v>
      </c>
      <c r="AF50" s="166">
        <v>2848.9655172413736</v>
      </c>
      <c r="AG50" s="166">
        <v>949.65517241379121</v>
      </c>
      <c r="AH50" s="180">
        <f t="shared" si="15"/>
        <v>6</v>
      </c>
      <c r="AI50" s="473"/>
      <c r="AJ50" s="166">
        <v>3</v>
      </c>
      <c r="AK50" s="166">
        <v>2807.5862068965534</v>
      </c>
      <c r="AL50" s="166">
        <v>935.86206896551778</v>
      </c>
      <c r="AM50" s="180">
        <f t="shared" si="17"/>
        <v>7</v>
      </c>
      <c r="AN50" s="473"/>
      <c r="AO50" s="166">
        <v>3</v>
      </c>
      <c r="AP50" s="166">
        <v>2795.2941176470626</v>
      </c>
      <c r="AQ50" s="166">
        <v>931.76470588235418</v>
      </c>
      <c r="AR50" s="180">
        <f t="shared" si="19"/>
        <v>5</v>
      </c>
      <c r="AS50" s="473"/>
      <c r="AT50" s="166">
        <v>3</v>
      </c>
      <c r="AU50" s="166">
        <v>2850.0000000000032</v>
      </c>
      <c r="AV50" s="166">
        <v>950.00000000000102</v>
      </c>
      <c r="AW50" s="180">
        <f t="shared" si="21"/>
        <v>6</v>
      </c>
      <c r="AX50" s="473"/>
    </row>
    <row r="51" spans="2:50">
      <c r="B51" s="488"/>
      <c r="C51" s="180">
        <v>10</v>
      </c>
      <c r="D51" s="180" t="s">
        <v>355</v>
      </c>
      <c r="E51" s="180">
        <v>4</v>
      </c>
      <c r="F51" s="180">
        <v>3300</v>
      </c>
      <c r="G51" s="180">
        <v>825</v>
      </c>
      <c r="H51" s="473"/>
      <c r="I51" s="166">
        <f t="shared" si="23"/>
        <v>4</v>
      </c>
      <c r="J51" s="166">
        <f t="shared" si="23"/>
        <v>2825.4562158116046</v>
      </c>
      <c r="K51" s="265">
        <f t="shared" si="23"/>
        <v>706.36405395290114</v>
      </c>
      <c r="L51" s="473"/>
      <c r="M51" s="166">
        <f>RANK(K51, K$42:$K$71)</f>
        <v>15</v>
      </c>
      <c r="N51" s="470"/>
      <c r="O51" s="470"/>
      <c r="P51" s="166">
        <v>4</v>
      </c>
      <c r="Q51" s="166">
        <v>2835.2941176470599</v>
      </c>
      <c r="R51" s="166">
        <v>708.82352941176498</v>
      </c>
      <c r="S51" s="180">
        <f t="shared" si="10"/>
        <v>16</v>
      </c>
      <c r="T51" s="473"/>
      <c r="U51" s="166">
        <v>4</v>
      </c>
      <c r="V51" s="166">
        <v>2794.8000000000006</v>
      </c>
      <c r="W51" s="166">
        <v>698.70000000000016</v>
      </c>
      <c r="X51" s="180">
        <f t="shared" si="11"/>
        <v>14</v>
      </c>
      <c r="Y51" s="473"/>
      <c r="Z51" s="166">
        <v>4</v>
      </c>
      <c r="AA51" s="166">
        <v>2774.6938775510212</v>
      </c>
      <c r="AB51" s="166">
        <v>693.67346938775529</v>
      </c>
      <c r="AC51" s="180">
        <f t="shared" si="13"/>
        <v>17</v>
      </c>
      <c r="AD51" s="473"/>
      <c r="AE51" s="166">
        <v>4</v>
      </c>
      <c r="AF51" s="166">
        <v>2833.6363636363635</v>
      </c>
      <c r="AG51" s="166">
        <v>708.40909090909088</v>
      </c>
      <c r="AH51" s="180">
        <f t="shared" si="15"/>
        <v>17</v>
      </c>
      <c r="AI51" s="473"/>
      <c r="AJ51" s="166">
        <v>4</v>
      </c>
      <c r="AK51" s="166">
        <v>2828.3720930232553</v>
      </c>
      <c r="AL51" s="166">
        <v>707.09302325581382</v>
      </c>
      <c r="AM51" s="180">
        <f t="shared" si="17"/>
        <v>16</v>
      </c>
      <c r="AN51" s="473"/>
      <c r="AO51" s="166">
        <v>4</v>
      </c>
      <c r="AP51" s="166">
        <v>2817.6470588235306</v>
      </c>
      <c r="AQ51" s="166">
        <v>704.41176470588266</v>
      </c>
      <c r="AR51" s="180">
        <f t="shared" si="19"/>
        <v>13</v>
      </c>
      <c r="AS51" s="473"/>
      <c r="AT51" s="166">
        <v>4</v>
      </c>
      <c r="AU51" s="166">
        <v>2893.7500000000009</v>
      </c>
      <c r="AV51" s="166">
        <v>723.43750000000023</v>
      </c>
      <c r="AW51" s="180">
        <f t="shared" si="21"/>
        <v>14</v>
      </c>
      <c r="AX51" s="473"/>
    </row>
    <row r="52" spans="2:50">
      <c r="B52" s="488"/>
      <c r="C52" s="180">
        <v>11</v>
      </c>
      <c r="D52" s="180" t="s">
        <v>356</v>
      </c>
      <c r="E52" s="180">
        <v>4</v>
      </c>
      <c r="F52" s="180">
        <v>3300</v>
      </c>
      <c r="G52" s="180">
        <v>825</v>
      </c>
      <c r="H52" s="473"/>
      <c r="I52" s="166">
        <f t="shared" si="23"/>
        <v>4</v>
      </c>
      <c r="J52" s="166">
        <f t="shared" si="23"/>
        <v>2821.4362681391553</v>
      </c>
      <c r="K52" s="265">
        <f t="shared" si="23"/>
        <v>705.35906703478884</v>
      </c>
      <c r="L52" s="473"/>
      <c r="M52" s="166">
        <f>RANK(K52, K$42:$K$71)</f>
        <v>17</v>
      </c>
      <c r="N52" s="470"/>
      <c r="O52" s="470"/>
      <c r="P52" s="166">
        <v>4</v>
      </c>
      <c r="Q52" s="166">
        <v>2825.3571428571449</v>
      </c>
      <c r="R52" s="166">
        <v>706.33928571428623</v>
      </c>
      <c r="S52" s="180">
        <f t="shared" si="10"/>
        <v>17</v>
      </c>
      <c r="T52" s="473"/>
      <c r="U52" s="166">
        <v>4</v>
      </c>
      <c r="V52" s="166">
        <v>2758.9285714285697</v>
      </c>
      <c r="W52" s="166">
        <v>689.73214285714243</v>
      </c>
      <c r="X52" s="180">
        <f t="shared" si="11"/>
        <v>18</v>
      </c>
      <c r="Y52" s="473"/>
      <c r="Z52" s="166">
        <v>4</v>
      </c>
      <c r="AA52" s="166">
        <v>2848.8461538461506</v>
      </c>
      <c r="AB52" s="166">
        <v>712.21153846153766</v>
      </c>
      <c r="AC52" s="180">
        <f t="shared" si="13"/>
        <v>14</v>
      </c>
      <c r="AD52" s="473"/>
      <c r="AE52" s="166">
        <v>4</v>
      </c>
      <c r="AF52" s="166">
        <v>2913.191489361705</v>
      </c>
      <c r="AG52" s="166">
        <v>728.29787234042624</v>
      </c>
      <c r="AH52" s="180">
        <f t="shared" si="15"/>
        <v>15</v>
      </c>
      <c r="AI52" s="473"/>
      <c r="AJ52" s="166">
        <v>4</v>
      </c>
      <c r="AK52" s="166">
        <v>2808.7499999999982</v>
      </c>
      <c r="AL52" s="166">
        <v>702.18749999999955</v>
      </c>
      <c r="AM52" s="180">
        <f t="shared" si="17"/>
        <v>17</v>
      </c>
      <c r="AN52" s="473"/>
      <c r="AO52" s="166">
        <v>4</v>
      </c>
      <c r="AP52" s="166">
        <v>2776.0714285714266</v>
      </c>
      <c r="AQ52" s="166">
        <v>694.01785714285666</v>
      </c>
      <c r="AR52" s="180">
        <f t="shared" si="19"/>
        <v>14</v>
      </c>
      <c r="AS52" s="473"/>
      <c r="AT52" s="166">
        <v>4</v>
      </c>
      <c r="AU52" s="166">
        <v>2818.9090909090905</v>
      </c>
      <c r="AV52" s="166">
        <v>704.72727272727263</v>
      </c>
      <c r="AW52" s="180">
        <f t="shared" si="21"/>
        <v>17</v>
      </c>
      <c r="AX52" s="473"/>
    </row>
    <row r="53" spans="2:50">
      <c r="B53" s="488"/>
      <c r="C53" s="180">
        <v>12</v>
      </c>
      <c r="D53" s="180" t="s">
        <v>516</v>
      </c>
      <c r="E53" s="180">
        <v>4</v>
      </c>
      <c r="F53" s="180">
        <v>2800</v>
      </c>
      <c r="G53" s="180">
        <v>700</v>
      </c>
      <c r="H53" s="473"/>
      <c r="I53" s="166">
        <f t="shared" si="23"/>
        <v>4</v>
      </c>
      <c r="J53" s="166">
        <f t="shared" si="23"/>
        <v>2862.4527979956561</v>
      </c>
      <c r="K53" s="265">
        <f t="shared" si="23"/>
        <v>715.61319949891401</v>
      </c>
      <c r="L53" s="473"/>
      <c r="M53" s="166">
        <f>RANK(K53, K$42:$K$71)</f>
        <v>13</v>
      </c>
      <c r="N53" s="470"/>
      <c r="O53" s="470"/>
      <c r="P53" s="166">
        <v>4</v>
      </c>
      <c r="Q53" s="166">
        <v>2859.2307692307709</v>
      </c>
      <c r="R53" s="166">
        <v>714.80769230769272</v>
      </c>
      <c r="S53" s="180">
        <f t="shared" si="10"/>
        <v>13</v>
      </c>
      <c r="T53" s="473"/>
      <c r="U53" s="166">
        <v>4</v>
      </c>
      <c r="V53" s="166">
        <v>2782.2222222222235</v>
      </c>
      <c r="W53" s="166">
        <v>695.55555555555588</v>
      </c>
      <c r="X53" s="180">
        <f t="shared" si="11"/>
        <v>15</v>
      </c>
      <c r="Y53" s="473"/>
      <c r="Z53" s="166">
        <v>4</v>
      </c>
      <c r="AA53" s="166">
        <v>2877.5999999999963</v>
      </c>
      <c r="AB53" s="166">
        <v>719.39999999999907</v>
      </c>
      <c r="AC53" s="180">
        <f t="shared" si="13"/>
        <v>13</v>
      </c>
      <c r="AD53" s="473"/>
      <c r="AE53" s="166">
        <v>4</v>
      </c>
      <c r="AF53" s="166">
        <v>2931.818181818187</v>
      </c>
      <c r="AG53" s="166">
        <v>732.95454545454675</v>
      </c>
      <c r="AH53" s="180">
        <f t="shared" si="15"/>
        <v>14</v>
      </c>
      <c r="AI53" s="473"/>
      <c r="AJ53" s="166">
        <v>4</v>
      </c>
      <c r="AK53" s="166">
        <v>2917.142857142856</v>
      </c>
      <c r="AL53" s="166">
        <v>729.28571428571399</v>
      </c>
      <c r="AM53" s="180">
        <f t="shared" si="17"/>
        <v>13</v>
      </c>
      <c r="AN53" s="473"/>
      <c r="AO53" s="166">
        <v>4</v>
      </c>
      <c r="AP53" s="166">
        <v>2755.555555555557</v>
      </c>
      <c r="AQ53" s="166">
        <v>688.88888888888926</v>
      </c>
      <c r="AR53" s="180">
        <f t="shared" si="19"/>
        <v>15</v>
      </c>
      <c r="AS53" s="473"/>
      <c r="AT53" s="166">
        <v>4</v>
      </c>
      <c r="AU53" s="166">
        <v>2913.6000000000008</v>
      </c>
      <c r="AV53" s="166">
        <v>728.4000000000002</v>
      </c>
      <c r="AW53" s="180">
        <f t="shared" si="21"/>
        <v>13</v>
      </c>
      <c r="AX53" s="473"/>
    </row>
    <row r="54" spans="2:50">
      <c r="B54" s="488"/>
      <c r="C54" s="180">
        <v>13</v>
      </c>
      <c r="D54" s="180" t="s">
        <v>357</v>
      </c>
      <c r="E54" s="180">
        <v>4</v>
      </c>
      <c r="F54" s="180">
        <v>3600</v>
      </c>
      <c r="G54" s="180">
        <v>900</v>
      </c>
      <c r="H54" s="473"/>
      <c r="I54" s="166">
        <f t="shared" si="23"/>
        <v>4</v>
      </c>
      <c r="J54" s="166">
        <f t="shared" si="23"/>
        <v>2827.7142857142776</v>
      </c>
      <c r="K54" s="265">
        <f t="shared" si="23"/>
        <v>706.9285714285694</v>
      </c>
      <c r="L54" s="473"/>
      <c r="M54" s="166">
        <f>RANK(K54, K$42:$K$71)</f>
        <v>14</v>
      </c>
      <c r="N54" s="470"/>
      <c r="O54" s="470"/>
      <c r="P54" s="166">
        <v>4</v>
      </c>
      <c r="Q54" s="166">
        <v>2846.9999999999873</v>
      </c>
      <c r="R54" s="166">
        <v>711.74999999999682</v>
      </c>
      <c r="S54" s="180">
        <f t="shared" si="10"/>
        <v>14</v>
      </c>
      <c r="T54" s="473"/>
      <c r="U54" s="166">
        <v>4</v>
      </c>
      <c r="V54" s="166">
        <v>2858.9999999999873</v>
      </c>
      <c r="W54" s="166">
        <v>714.74999999999682</v>
      </c>
      <c r="X54" s="180">
        <f t="shared" si="11"/>
        <v>12</v>
      </c>
      <c r="Y54" s="473"/>
      <c r="Z54" s="166">
        <v>4</v>
      </c>
      <c r="AA54" s="166">
        <v>2792.9999999999873</v>
      </c>
      <c r="AB54" s="166">
        <v>698.24999999999682</v>
      </c>
      <c r="AC54" s="180">
        <f t="shared" si="13"/>
        <v>16</v>
      </c>
      <c r="AD54" s="473"/>
      <c r="AE54" s="166">
        <v>4</v>
      </c>
      <c r="AF54" s="166">
        <v>3324.0000000000118</v>
      </c>
      <c r="AG54" s="166">
        <v>831.00000000000296</v>
      </c>
      <c r="AH54" s="180">
        <f t="shared" si="15"/>
        <v>11</v>
      </c>
      <c r="AI54" s="473"/>
      <c r="AJ54" s="166">
        <v>4</v>
      </c>
      <c r="AK54" s="166">
        <v>2597.9999999999882</v>
      </c>
      <c r="AL54" s="166">
        <v>649.49999999999704</v>
      </c>
      <c r="AM54" s="180">
        <f t="shared" si="17"/>
        <v>18</v>
      </c>
      <c r="AN54" s="473"/>
      <c r="AO54" s="166">
        <v>4</v>
      </c>
      <c r="AP54" s="166">
        <v>2690.9999999999882</v>
      </c>
      <c r="AQ54" s="166">
        <v>672.74999999999704</v>
      </c>
      <c r="AR54" s="180">
        <f t="shared" si="19"/>
        <v>17</v>
      </c>
      <c r="AS54" s="473"/>
      <c r="AT54" s="166">
        <v>4</v>
      </c>
      <c r="AU54" s="166">
        <v>2681.9999999999882</v>
      </c>
      <c r="AV54" s="166">
        <v>670.49999999999704</v>
      </c>
      <c r="AW54" s="180">
        <f t="shared" si="21"/>
        <v>18</v>
      </c>
      <c r="AX54" s="473"/>
    </row>
    <row r="55" spans="2:50">
      <c r="B55" s="488"/>
      <c r="C55" s="180">
        <v>14</v>
      </c>
      <c r="D55" s="180" t="s">
        <v>358</v>
      </c>
      <c r="E55" s="180">
        <v>4</v>
      </c>
      <c r="F55" s="180">
        <v>3600</v>
      </c>
      <c r="G55" s="180">
        <v>900</v>
      </c>
      <c r="H55" s="473"/>
      <c r="I55" s="166">
        <f t="shared" si="23"/>
        <v>4</v>
      </c>
      <c r="J55" s="166">
        <f t="shared" si="23"/>
        <v>2283.4285714285688</v>
      </c>
      <c r="K55" s="265">
        <f t="shared" si="23"/>
        <v>570.85714285714221</v>
      </c>
      <c r="L55" s="473"/>
      <c r="M55" s="166">
        <f>RANK(K55, K$42:$K$71)</f>
        <v>19</v>
      </c>
      <c r="N55" s="470"/>
      <c r="O55" s="470"/>
      <c r="P55" s="166">
        <v>4</v>
      </c>
      <c r="Q55" s="166">
        <v>2406.0000000000086</v>
      </c>
      <c r="R55" s="166">
        <v>601.50000000000216</v>
      </c>
      <c r="S55" s="180">
        <f t="shared" si="10"/>
        <v>19</v>
      </c>
      <c r="T55" s="473"/>
      <c r="U55" s="166">
        <v>4</v>
      </c>
      <c r="V55" s="166">
        <v>2466.0000000000086</v>
      </c>
      <c r="W55" s="166">
        <v>616.50000000000216</v>
      </c>
      <c r="X55" s="180">
        <f t="shared" si="11"/>
        <v>19</v>
      </c>
      <c r="Y55" s="473"/>
      <c r="Z55" s="166">
        <v>4</v>
      </c>
      <c r="AA55" s="166">
        <v>2394.0000000000086</v>
      </c>
      <c r="AB55" s="166">
        <v>598.50000000000216</v>
      </c>
      <c r="AC55" s="180">
        <f t="shared" si="13"/>
        <v>19</v>
      </c>
      <c r="AD55" s="473"/>
      <c r="AE55" s="166">
        <v>4</v>
      </c>
      <c r="AF55" s="166">
        <v>1956.0000000000068</v>
      </c>
      <c r="AG55" s="166">
        <v>489.00000000000171</v>
      </c>
      <c r="AH55" s="180">
        <f t="shared" si="15"/>
        <v>20</v>
      </c>
      <c r="AI55" s="473"/>
      <c r="AJ55" s="166">
        <v>4</v>
      </c>
      <c r="AK55" s="166">
        <v>2148.0000000000073</v>
      </c>
      <c r="AL55" s="166">
        <v>537.00000000000182</v>
      </c>
      <c r="AM55" s="180">
        <f t="shared" si="17"/>
        <v>20</v>
      </c>
      <c r="AN55" s="473"/>
      <c r="AO55" s="166">
        <v>4</v>
      </c>
      <c r="AP55" s="166">
        <v>2279.9999999999718</v>
      </c>
      <c r="AQ55" s="166">
        <v>569.99999999999295</v>
      </c>
      <c r="AR55" s="180">
        <f t="shared" si="19"/>
        <v>19</v>
      </c>
      <c r="AS55" s="473"/>
      <c r="AT55" s="166">
        <v>4</v>
      </c>
      <c r="AU55" s="166">
        <v>2333.9999999999709</v>
      </c>
      <c r="AV55" s="166">
        <v>583.49999999999272</v>
      </c>
      <c r="AW55" s="180">
        <f t="shared" si="21"/>
        <v>20</v>
      </c>
      <c r="AX55" s="473"/>
    </row>
    <row r="56" spans="2:50">
      <c r="B56" s="488"/>
      <c r="C56" s="180">
        <v>15</v>
      </c>
      <c r="D56" s="180" t="s">
        <v>439</v>
      </c>
      <c r="E56" s="180">
        <v>4</v>
      </c>
      <c r="F56" s="180">
        <v>3300</v>
      </c>
      <c r="G56" s="180">
        <v>825</v>
      </c>
      <c r="H56" s="473"/>
      <c r="I56" s="166">
        <f t="shared" si="23"/>
        <v>3</v>
      </c>
      <c r="J56" s="166">
        <f t="shared" si="23"/>
        <v>2847.8320802005028</v>
      </c>
      <c r="K56" s="265">
        <f t="shared" si="23"/>
        <v>949.27736006683415</v>
      </c>
      <c r="L56" s="473"/>
      <c r="M56" s="166">
        <f>RANK(K56, K$42:$K$71)</f>
        <v>5</v>
      </c>
      <c r="N56" s="470"/>
      <c r="O56" s="470"/>
      <c r="P56" s="166">
        <v>3</v>
      </c>
      <c r="Q56" s="166">
        <v>2924.2105263157873</v>
      </c>
      <c r="R56" s="166">
        <v>974.73684210526244</v>
      </c>
      <c r="S56" s="180">
        <f t="shared" si="10"/>
        <v>5</v>
      </c>
      <c r="T56" s="473"/>
      <c r="U56" s="166">
        <v>3</v>
      </c>
      <c r="V56" s="166">
        <v>2782.8571428571418</v>
      </c>
      <c r="W56" s="166">
        <v>927.61904761904725</v>
      </c>
      <c r="X56" s="180">
        <f t="shared" si="11"/>
        <v>6</v>
      </c>
      <c r="Y56" s="473"/>
      <c r="Z56" s="166">
        <v>3</v>
      </c>
      <c r="AA56" s="166">
        <v>2898.947368421057</v>
      </c>
      <c r="AB56" s="166">
        <v>966.31578947368564</v>
      </c>
      <c r="AC56" s="180">
        <f t="shared" si="13"/>
        <v>5</v>
      </c>
      <c r="AD56" s="473"/>
      <c r="AE56" s="166">
        <v>3</v>
      </c>
      <c r="AF56" s="166">
        <v>2835.0000000000032</v>
      </c>
      <c r="AG56" s="166">
        <v>945.00000000000102</v>
      </c>
      <c r="AH56" s="180">
        <f t="shared" si="15"/>
        <v>7</v>
      </c>
      <c r="AI56" s="473"/>
      <c r="AJ56" s="166">
        <v>3</v>
      </c>
      <c r="AK56" s="166">
        <v>2860.0000000000027</v>
      </c>
      <c r="AL56" s="166">
        <v>953.33333333333428</v>
      </c>
      <c r="AM56" s="180">
        <f t="shared" si="17"/>
        <v>5</v>
      </c>
      <c r="AN56" s="473"/>
      <c r="AO56" s="166">
        <v>3</v>
      </c>
      <c r="AP56" s="166">
        <v>2677.1428571428564</v>
      </c>
      <c r="AQ56" s="166">
        <v>892.38095238095218</v>
      </c>
      <c r="AR56" s="180">
        <f t="shared" si="19"/>
        <v>8</v>
      </c>
      <c r="AS56" s="473"/>
      <c r="AT56" s="166">
        <v>3</v>
      </c>
      <c r="AU56" s="166">
        <v>2956.6666666666706</v>
      </c>
      <c r="AV56" s="166">
        <v>985.55555555555691</v>
      </c>
      <c r="AW56" s="180">
        <f t="shared" si="21"/>
        <v>5</v>
      </c>
      <c r="AX56" s="473"/>
    </row>
    <row r="57" spans="2:50">
      <c r="B57" s="488"/>
      <c r="C57" s="180">
        <v>16</v>
      </c>
      <c r="D57" s="180" t="s">
        <v>514</v>
      </c>
      <c r="E57" s="180">
        <v>3</v>
      </c>
      <c r="F57" s="180">
        <v>2800</v>
      </c>
      <c r="G57" s="180">
        <v>933.33333333333337</v>
      </c>
      <c r="H57" s="473"/>
      <c r="I57" s="166">
        <f t="shared" si="23"/>
        <v>3</v>
      </c>
      <c r="J57" s="166">
        <f t="shared" si="23"/>
        <v>2652.1142857142863</v>
      </c>
      <c r="K57" s="265">
        <f t="shared" si="23"/>
        <v>884.03809523809548</v>
      </c>
      <c r="L57" s="473"/>
      <c r="M57" s="166">
        <f>RANK(K57, K$42:$K$71)</f>
        <v>8</v>
      </c>
      <c r="N57" s="470"/>
      <c r="O57" s="470"/>
      <c r="P57" s="166">
        <v>3</v>
      </c>
      <c r="Q57" s="166">
        <v>2644.8000000000093</v>
      </c>
      <c r="R57" s="166">
        <v>881.60000000000309</v>
      </c>
      <c r="S57" s="180">
        <f t="shared" si="10"/>
        <v>8</v>
      </c>
      <c r="T57" s="473"/>
      <c r="U57" s="166">
        <v>3</v>
      </c>
      <c r="V57" s="166">
        <v>2323.9999999999959</v>
      </c>
      <c r="W57" s="166">
        <v>774.66666666666526</v>
      </c>
      <c r="X57" s="180">
        <f t="shared" si="11"/>
        <v>11</v>
      </c>
      <c r="Y57" s="473"/>
      <c r="Z57" s="166">
        <v>3</v>
      </c>
      <c r="AA57" s="166">
        <v>2637.5999999999922</v>
      </c>
      <c r="AB57" s="166">
        <v>879.19999999999743</v>
      </c>
      <c r="AC57" s="180">
        <f t="shared" si="13"/>
        <v>8</v>
      </c>
      <c r="AD57" s="473"/>
      <c r="AE57" s="166">
        <v>3</v>
      </c>
      <c r="AF57" s="166">
        <v>3048.0000000000109</v>
      </c>
      <c r="AG57" s="166">
        <v>1016.0000000000036</v>
      </c>
      <c r="AH57" s="180">
        <f t="shared" si="15"/>
        <v>5</v>
      </c>
      <c r="AI57" s="473"/>
      <c r="AJ57" s="166">
        <v>3</v>
      </c>
      <c r="AK57" s="166">
        <v>2572.8000000000093</v>
      </c>
      <c r="AL57" s="166">
        <v>857.60000000000309</v>
      </c>
      <c r="AM57" s="180">
        <f t="shared" si="17"/>
        <v>9</v>
      </c>
      <c r="AN57" s="473"/>
      <c r="AO57" s="166">
        <v>3</v>
      </c>
      <c r="AP57" s="166">
        <v>2735.9999999999923</v>
      </c>
      <c r="AQ57" s="166">
        <v>911.99999999999739</v>
      </c>
      <c r="AR57" s="180">
        <f t="shared" si="19"/>
        <v>7</v>
      </c>
      <c r="AS57" s="473"/>
      <c r="AT57" s="166">
        <v>3</v>
      </c>
      <c r="AU57" s="166">
        <v>2601.5999999999926</v>
      </c>
      <c r="AV57" s="166">
        <v>867.19999999999754</v>
      </c>
      <c r="AW57" s="180">
        <f t="shared" si="21"/>
        <v>8</v>
      </c>
      <c r="AX57" s="473"/>
    </row>
    <row r="58" spans="2:50">
      <c r="B58" s="488"/>
      <c r="C58" s="180">
        <v>17</v>
      </c>
      <c r="D58" s="180" t="s">
        <v>570</v>
      </c>
      <c r="E58" s="180">
        <v>4</v>
      </c>
      <c r="F58" s="180">
        <v>3000</v>
      </c>
      <c r="G58" s="180">
        <v>750</v>
      </c>
      <c r="H58" s="473"/>
      <c r="I58" s="166">
        <f t="shared" si="23"/>
        <v>3</v>
      </c>
      <c r="J58" s="166">
        <f t="shared" si="23"/>
        <v>2177.9999999999968</v>
      </c>
      <c r="K58" s="265">
        <f t="shared" si="23"/>
        <v>725.99999999999875</v>
      </c>
      <c r="L58" s="473"/>
      <c r="M58" s="166">
        <f>RANK(K58, K$42:$K$71)</f>
        <v>12</v>
      </c>
      <c r="N58" s="470"/>
      <c r="O58" s="470"/>
      <c r="P58" s="166">
        <v>3</v>
      </c>
      <c r="Q58" s="166">
        <v>2114.3999999999942</v>
      </c>
      <c r="R58" s="166">
        <v>704.79999999999802</v>
      </c>
      <c r="S58" s="180">
        <f t="shared" si="10"/>
        <v>18</v>
      </c>
      <c r="T58" s="473"/>
      <c r="U58" s="166">
        <v>3</v>
      </c>
      <c r="V58" s="166">
        <v>2115.599999999994</v>
      </c>
      <c r="W58" s="166">
        <v>705.199999999998</v>
      </c>
      <c r="X58" s="180">
        <f t="shared" si="11"/>
        <v>13</v>
      </c>
      <c r="Y58" s="473"/>
      <c r="Z58" s="166">
        <v>3</v>
      </c>
      <c r="AA58" s="166">
        <v>2276</v>
      </c>
      <c r="AB58" s="166">
        <v>758.66666666666663</v>
      </c>
      <c r="AC58" s="180">
        <f t="shared" si="13"/>
        <v>12</v>
      </c>
      <c r="AD58" s="473"/>
      <c r="AE58" s="166">
        <v>3</v>
      </c>
      <c r="AF58" s="166">
        <v>2162.6666666666665</v>
      </c>
      <c r="AG58" s="166">
        <v>720.8888888888888</v>
      </c>
      <c r="AH58" s="180">
        <f t="shared" si="15"/>
        <v>16</v>
      </c>
      <c r="AI58" s="473"/>
      <c r="AJ58" s="166">
        <v>3</v>
      </c>
      <c r="AK58" s="166">
        <v>2269.3333333333335</v>
      </c>
      <c r="AL58" s="166">
        <v>756.44444444444446</v>
      </c>
      <c r="AM58" s="180">
        <f t="shared" si="17"/>
        <v>12</v>
      </c>
      <c r="AN58" s="473"/>
      <c r="AO58" s="166">
        <v>3</v>
      </c>
      <c r="AP58" s="166">
        <v>2164.7999999999938</v>
      </c>
      <c r="AQ58" s="166">
        <v>721.59999999999798</v>
      </c>
      <c r="AR58" s="180">
        <f t="shared" si="19"/>
        <v>12</v>
      </c>
      <c r="AS58" s="473"/>
      <c r="AT58" s="166">
        <v>3</v>
      </c>
      <c r="AU58" s="166">
        <v>2143.1999999999939</v>
      </c>
      <c r="AV58" s="166">
        <v>714.39999999999793</v>
      </c>
      <c r="AW58" s="180">
        <f t="shared" si="21"/>
        <v>16</v>
      </c>
      <c r="AX58" s="473"/>
    </row>
    <row r="59" spans="2:50">
      <c r="B59" s="488"/>
      <c r="C59" s="180">
        <v>18</v>
      </c>
      <c r="D59" s="180" t="s">
        <v>521</v>
      </c>
      <c r="E59" s="180">
        <v>12</v>
      </c>
      <c r="F59" s="180">
        <v>1500</v>
      </c>
      <c r="G59" s="180">
        <v>125</v>
      </c>
      <c r="H59" s="473"/>
      <c r="I59" s="166">
        <f t="shared" si="23"/>
        <v>9.1428571428571423</v>
      </c>
      <c r="J59" s="166">
        <f t="shared" si="23"/>
        <v>1506.9948051948045</v>
      </c>
      <c r="K59" s="265">
        <f t="shared" si="23"/>
        <v>166.90077922077907</v>
      </c>
      <c r="L59" s="473"/>
      <c r="M59" s="166">
        <f>RANK(K59, K$42:$K$71)</f>
        <v>21</v>
      </c>
      <c r="N59" s="470"/>
      <c r="O59" s="470"/>
      <c r="P59" s="166">
        <v>8</v>
      </c>
      <c r="Q59" s="166">
        <v>1490.9999999999973</v>
      </c>
      <c r="R59" s="166">
        <v>186.37499999999966</v>
      </c>
      <c r="S59" s="180">
        <f t="shared" si="10"/>
        <v>21</v>
      </c>
      <c r="T59" s="473"/>
      <c r="U59" s="166">
        <v>10</v>
      </c>
      <c r="V59" s="166">
        <v>1490.0000000000014</v>
      </c>
      <c r="W59" s="166">
        <v>149.00000000000014</v>
      </c>
      <c r="X59" s="180">
        <f t="shared" si="11"/>
        <v>21</v>
      </c>
      <c r="Y59" s="473"/>
      <c r="Z59" s="166">
        <v>10</v>
      </c>
      <c r="AA59" s="166">
        <v>1416.9999999999975</v>
      </c>
      <c r="AB59" s="166">
        <v>141.69999999999976</v>
      </c>
      <c r="AC59" s="180">
        <f t="shared" si="13"/>
        <v>21</v>
      </c>
      <c r="AD59" s="473"/>
      <c r="AE59" s="166">
        <v>10</v>
      </c>
      <c r="AF59" s="166">
        <v>1586.4000000000005</v>
      </c>
      <c r="AG59" s="166">
        <v>158.64000000000004</v>
      </c>
      <c r="AH59" s="180">
        <f t="shared" si="15"/>
        <v>21</v>
      </c>
      <c r="AI59" s="473"/>
      <c r="AJ59" s="166">
        <v>10</v>
      </c>
      <c r="AK59" s="166">
        <v>1519.199999999998</v>
      </c>
      <c r="AL59" s="166">
        <v>151.91999999999979</v>
      </c>
      <c r="AM59" s="180">
        <f t="shared" si="17"/>
        <v>21</v>
      </c>
      <c r="AN59" s="473"/>
      <c r="AO59" s="166">
        <v>8</v>
      </c>
      <c r="AP59" s="166">
        <v>1492.9999999999975</v>
      </c>
      <c r="AQ59" s="166">
        <v>186.62499999999969</v>
      </c>
      <c r="AR59" s="180">
        <f t="shared" si="19"/>
        <v>21</v>
      </c>
      <c r="AS59" s="473"/>
      <c r="AT59" s="166">
        <v>8</v>
      </c>
      <c r="AU59" s="166">
        <v>1552.3636363636374</v>
      </c>
      <c r="AV59" s="166">
        <v>194.04545454545467</v>
      </c>
      <c r="AW59" s="180">
        <f t="shared" si="21"/>
        <v>21</v>
      </c>
      <c r="AX59" s="473"/>
    </row>
    <row r="60" spans="2:50">
      <c r="B60" s="488"/>
      <c r="C60" s="180">
        <v>19</v>
      </c>
      <c r="D60" s="180" t="s">
        <v>583</v>
      </c>
      <c r="E60" s="180">
        <v>4</v>
      </c>
      <c r="F60" s="180">
        <v>3000</v>
      </c>
      <c r="G60" s="180">
        <v>750</v>
      </c>
      <c r="H60" s="473"/>
      <c r="I60" s="166">
        <f t="shared" si="23"/>
        <v>4</v>
      </c>
      <c r="J60" s="166">
        <f t="shared" si="23"/>
        <v>2234.1632653061256</v>
      </c>
      <c r="K60" s="265">
        <f t="shared" si="23"/>
        <v>558.5408163265314</v>
      </c>
      <c r="L60" s="473"/>
      <c r="M60" s="166">
        <f>RANK(K60, K$42:$K$71)</f>
        <v>20</v>
      </c>
      <c r="N60" s="470"/>
      <c r="O60" s="470"/>
      <c r="P60" s="166">
        <v>4</v>
      </c>
      <c r="Q60" s="166">
        <v>2136.0000000000077</v>
      </c>
      <c r="R60" s="166">
        <v>534.00000000000193</v>
      </c>
      <c r="S60" s="180">
        <f t="shared" si="10"/>
        <v>20</v>
      </c>
      <c r="T60" s="473"/>
      <c r="U60" s="166">
        <v>4</v>
      </c>
      <c r="V60" s="166">
        <v>2172.0000000000077</v>
      </c>
      <c r="W60" s="166">
        <v>543.00000000000193</v>
      </c>
      <c r="X60" s="180">
        <f t="shared" si="11"/>
        <v>20</v>
      </c>
      <c r="Y60" s="473"/>
      <c r="Z60" s="166">
        <v>4</v>
      </c>
      <c r="AA60" s="166">
        <v>2359.9999999999959</v>
      </c>
      <c r="AB60" s="166">
        <v>589.99999999999898</v>
      </c>
      <c r="AC60" s="180">
        <f t="shared" si="13"/>
        <v>20</v>
      </c>
      <c r="AD60" s="473"/>
      <c r="AE60" s="166">
        <v>4</v>
      </c>
      <c r="AF60" s="166">
        <v>2233.9999999999964</v>
      </c>
      <c r="AG60" s="166">
        <v>558.49999999999909</v>
      </c>
      <c r="AH60" s="180">
        <f t="shared" si="15"/>
        <v>19</v>
      </c>
      <c r="AI60" s="473"/>
      <c r="AJ60" s="166">
        <v>4</v>
      </c>
      <c r="AK60" s="166">
        <v>2283.9999999999959</v>
      </c>
      <c r="AL60" s="166">
        <v>570.99999999999898</v>
      </c>
      <c r="AM60" s="180">
        <f t="shared" si="17"/>
        <v>19</v>
      </c>
      <c r="AN60" s="473"/>
      <c r="AO60" s="166">
        <v>4</v>
      </c>
      <c r="AP60" s="166">
        <v>2105.1428571428651</v>
      </c>
      <c r="AQ60" s="166">
        <v>526.28571428571627</v>
      </c>
      <c r="AR60" s="180">
        <f t="shared" si="19"/>
        <v>20</v>
      </c>
      <c r="AS60" s="473"/>
      <c r="AT60" s="166">
        <v>4</v>
      </c>
      <c r="AU60" s="166">
        <v>2348.0000000000086</v>
      </c>
      <c r="AV60" s="166">
        <v>587.00000000000216</v>
      </c>
      <c r="AW60" s="180">
        <f t="shared" si="21"/>
        <v>19</v>
      </c>
      <c r="AX60" s="473"/>
    </row>
    <row r="61" spans="2:50">
      <c r="B61" s="488"/>
      <c r="C61" s="180">
        <v>20</v>
      </c>
      <c r="D61" s="180" t="s">
        <v>627</v>
      </c>
      <c r="E61" s="180">
        <v>3</v>
      </c>
      <c r="F61" s="180">
        <v>2800</v>
      </c>
      <c r="G61" s="180">
        <v>933.33333333333337</v>
      </c>
      <c r="H61" s="473"/>
      <c r="I61" s="166">
        <f t="shared" ref="I61:K62" si="24">AVERAGE(P61,U61,Z61,AE61,AJ61,AO61,AT61)</f>
        <v>3</v>
      </c>
      <c r="J61" s="166">
        <f t="shared" si="24"/>
        <v>2815.1436786599202</v>
      </c>
      <c r="K61" s="265">
        <f t="shared" si="24"/>
        <v>938.38122621997366</v>
      </c>
      <c r="L61" s="473"/>
      <c r="M61" s="166">
        <f>RANK(K61, K$42:$K$71)</f>
        <v>6</v>
      </c>
      <c r="N61" s="470"/>
      <c r="O61" s="470"/>
      <c r="P61" s="166">
        <v>3</v>
      </c>
      <c r="Q61" s="166">
        <v>2811.9230769230739</v>
      </c>
      <c r="R61" s="166">
        <v>937.30769230769135</v>
      </c>
      <c r="S61" s="180">
        <f t="shared" si="10"/>
        <v>7</v>
      </c>
      <c r="T61" s="473"/>
      <c r="U61" s="166">
        <v>3</v>
      </c>
      <c r="V61" s="166">
        <v>2799.6000000000008</v>
      </c>
      <c r="W61" s="166">
        <v>933.20000000000027</v>
      </c>
      <c r="X61" s="180">
        <f t="shared" si="11"/>
        <v>5</v>
      </c>
      <c r="Y61" s="473"/>
      <c r="Z61" s="166">
        <v>3</v>
      </c>
      <c r="AA61" s="166">
        <v>2825.217391304348</v>
      </c>
      <c r="AB61" s="166">
        <v>941.73913043478262</v>
      </c>
      <c r="AC61" s="180">
        <f t="shared" si="13"/>
        <v>7</v>
      </c>
      <c r="AD61" s="473"/>
      <c r="AE61" s="166">
        <v>3</v>
      </c>
      <c r="AF61" s="166">
        <v>2832.5581395348836</v>
      </c>
      <c r="AG61" s="166">
        <v>944.18604651162786</v>
      </c>
      <c r="AH61" s="180">
        <f t="shared" si="15"/>
        <v>8</v>
      </c>
      <c r="AI61" s="473"/>
      <c r="AJ61" s="166">
        <v>3</v>
      </c>
      <c r="AK61" s="166">
        <v>2822.8571428571418</v>
      </c>
      <c r="AL61" s="166">
        <v>940.95238095238062</v>
      </c>
      <c r="AM61" s="180">
        <f t="shared" si="17"/>
        <v>6</v>
      </c>
      <c r="AN61" s="473"/>
      <c r="AO61" s="166">
        <v>3</v>
      </c>
      <c r="AP61" s="166">
        <v>2787.5999999999967</v>
      </c>
      <c r="AQ61" s="166">
        <v>929.19999999999891</v>
      </c>
      <c r="AR61" s="180">
        <f t="shared" si="19"/>
        <v>6</v>
      </c>
      <c r="AS61" s="473"/>
      <c r="AT61" s="166">
        <v>3</v>
      </c>
      <c r="AU61" s="166">
        <v>2826.2500000000009</v>
      </c>
      <c r="AV61" s="166">
        <v>942.0833333333336</v>
      </c>
      <c r="AW61" s="180">
        <f t="shared" si="21"/>
        <v>7</v>
      </c>
      <c r="AX61" s="473"/>
    </row>
    <row r="62" spans="2:50">
      <c r="B62" s="488"/>
      <c r="C62" s="180">
        <v>21</v>
      </c>
      <c r="D62" s="180" t="s">
        <v>706</v>
      </c>
      <c r="E62" s="180">
        <v>4</v>
      </c>
      <c r="F62" s="180">
        <v>2800</v>
      </c>
      <c r="G62" s="180">
        <v>700</v>
      </c>
      <c r="H62" s="473"/>
      <c r="I62" s="166">
        <f t="shared" si="24"/>
        <v>4</v>
      </c>
      <c r="J62" s="166">
        <f t="shared" si="24"/>
        <v>2818.4717181404953</v>
      </c>
      <c r="K62" s="265">
        <f t="shared" si="24"/>
        <v>704.61792953512384</v>
      </c>
      <c r="L62" s="473"/>
      <c r="M62" s="166">
        <f>RANK(K62, K$42:$K$71)</f>
        <v>18</v>
      </c>
      <c r="N62" s="470"/>
      <c r="O62" s="470"/>
      <c r="P62" s="180">
        <v>4</v>
      </c>
      <c r="Q62" s="166">
        <v>2836.470588235291</v>
      </c>
      <c r="R62" s="265">
        <v>709.11764705882274</v>
      </c>
      <c r="S62" s="180">
        <f t="shared" si="10"/>
        <v>15</v>
      </c>
      <c r="T62" s="473"/>
      <c r="U62" s="180">
        <v>4</v>
      </c>
      <c r="V62" s="166">
        <v>2771.3793103448261</v>
      </c>
      <c r="W62" s="265">
        <v>692.84482758620652</v>
      </c>
      <c r="X62" s="180">
        <f t="shared" si="11"/>
        <v>16</v>
      </c>
      <c r="Y62" s="473"/>
      <c r="Z62" s="180">
        <v>4</v>
      </c>
      <c r="AA62" s="166">
        <v>2818.6363636363635</v>
      </c>
      <c r="AB62" s="265">
        <v>704.65909090909088</v>
      </c>
      <c r="AC62" s="180">
        <f t="shared" si="13"/>
        <v>15</v>
      </c>
      <c r="AD62" s="473"/>
      <c r="AE62" s="180">
        <v>4</v>
      </c>
      <c r="AF62" s="166">
        <v>2806.6666666666706</v>
      </c>
      <c r="AG62" s="265">
        <v>701.66666666666765</v>
      </c>
      <c r="AH62" s="180">
        <f t="shared" si="15"/>
        <v>18</v>
      </c>
      <c r="AI62" s="473"/>
      <c r="AJ62" s="180">
        <v>4</v>
      </c>
      <c r="AK62" s="166">
        <v>2881.8181818181779</v>
      </c>
      <c r="AL62" s="265">
        <v>720.45454545454447</v>
      </c>
      <c r="AM62" s="180">
        <f t="shared" si="17"/>
        <v>14</v>
      </c>
      <c r="AN62" s="473"/>
      <c r="AO62" s="180">
        <v>4</v>
      </c>
      <c r="AP62" s="166">
        <v>2742.4390243902485</v>
      </c>
      <c r="AQ62" s="265">
        <v>685.60975609756213</v>
      </c>
      <c r="AR62" s="180">
        <f t="shared" si="19"/>
        <v>16</v>
      </c>
      <c r="AS62" s="473"/>
      <c r="AT62" s="180">
        <v>4</v>
      </c>
      <c r="AU62" s="166">
        <v>2871.8918918918898</v>
      </c>
      <c r="AV62" s="265">
        <v>717.97297297297246</v>
      </c>
      <c r="AW62" s="180">
        <f t="shared" si="21"/>
        <v>15</v>
      </c>
      <c r="AX62" s="473"/>
    </row>
    <row r="63" spans="2:50">
      <c r="B63" s="488"/>
      <c r="C63" s="180">
        <v>22</v>
      </c>
      <c r="D63" s="180"/>
      <c r="E63" s="180"/>
      <c r="F63" s="180"/>
      <c r="G63" s="180"/>
      <c r="H63" s="473"/>
      <c r="I63" s="166"/>
      <c r="J63" s="166"/>
      <c r="K63" s="265"/>
      <c r="L63" s="473"/>
      <c r="M63" s="166" t="e">
        <f>RANK(K63, K$42:$K$71)</f>
        <v>#N/A</v>
      </c>
      <c r="N63" s="470"/>
      <c r="O63" s="470"/>
      <c r="P63" s="180"/>
      <c r="Q63" s="166"/>
      <c r="R63" s="265"/>
      <c r="S63" s="180" t="e">
        <f t="shared" si="10"/>
        <v>#N/A</v>
      </c>
      <c r="T63" s="473"/>
      <c r="U63" s="180"/>
      <c r="V63" s="166"/>
      <c r="W63" s="265"/>
      <c r="X63" s="180" t="e">
        <f t="shared" si="11"/>
        <v>#N/A</v>
      </c>
      <c r="Y63" s="473"/>
      <c r="Z63" s="180"/>
      <c r="AA63" s="166"/>
      <c r="AB63" s="265"/>
      <c r="AC63" s="180" t="e">
        <f t="shared" si="13"/>
        <v>#N/A</v>
      </c>
      <c r="AD63" s="473"/>
      <c r="AE63" s="180"/>
      <c r="AF63" s="166"/>
      <c r="AG63" s="265"/>
      <c r="AH63" s="180" t="e">
        <f t="shared" si="15"/>
        <v>#N/A</v>
      </c>
      <c r="AI63" s="473"/>
      <c r="AJ63" s="180"/>
      <c r="AK63" s="166"/>
      <c r="AL63" s="265"/>
      <c r="AM63" s="180" t="e">
        <f t="shared" si="17"/>
        <v>#N/A</v>
      </c>
      <c r="AN63" s="473"/>
      <c r="AO63" s="180"/>
      <c r="AP63" s="166"/>
      <c r="AQ63" s="265"/>
      <c r="AR63" s="180" t="e">
        <f t="shared" si="19"/>
        <v>#N/A</v>
      </c>
      <c r="AS63" s="473"/>
      <c r="AT63" s="180"/>
      <c r="AU63" s="166"/>
      <c r="AV63" s="265"/>
      <c r="AW63" s="180" t="e">
        <f t="shared" si="21"/>
        <v>#N/A</v>
      </c>
      <c r="AX63" s="473"/>
    </row>
    <row r="64" spans="2:50">
      <c r="B64" s="488"/>
      <c r="C64" s="180">
        <v>23</v>
      </c>
      <c r="D64" s="180"/>
      <c r="E64" s="180"/>
      <c r="F64" s="180"/>
      <c r="G64" s="180"/>
      <c r="H64" s="473"/>
      <c r="I64" s="166"/>
      <c r="J64" s="166"/>
      <c r="K64" s="265"/>
      <c r="L64" s="473"/>
      <c r="M64" s="166" t="e">
        <f>RANK(K64, K$42:$K$71)</f>
        <v>#N/A</v>
      </c>
      <c r="N64" s="470"/>
      <c r="O64" s="470"/>
      <c r="P64" s="180"/>
      <c r="Q64" s="166"/>
      <c r="R64" s="265"/>
      <c r="S64" s="180" t="e">
        <f t="shared" si="10"/>
        <v>#N/A</v>
      </c>
      <c r="T64" s="473"/>
      <c r="U64" s="180"/>
      <c r="V64" s="166"/>
      <c r="W64" s="265"/>
      <c r="X64" s="180" t="e">
        <f t="shared" si="11"/>
        <v>#N/A</v>
      </c>
      <c r="Y64" s="473"/>
      <c r="Z64" s="180"/>
      <c r="AA64" s="166"/>
      <c r="AB64" s="265"/>
      <c r="AC64" s="180" t="e">
        <f t="shared" si="13"/>
        <v>#N/A</v>
      </c>
      <c r="AD64" s="473"/>
      <c r="AE64" s="180"/>
      <c r="AF64" s="166"/>
      <c r="AG64" s="265"/>
      <c r="AH64" s="180" t="e">
        <f t="shared" si="15"/>
        <v>#N/A</v>
      </c>
      <c r="AI64" s="473"/>
      <c r="AJ64" s="180"/>
      <c r="AK64" s="166"/>
      <c r="AL64" s="265"/>
      <c r="AM64" s="180" t="e">
        <f t="shared" si="17"/>
        <v>#N/A</v>
      </c>
      <c r="AN64" s="473"/>
      <c r="AO64" s="180"/>
      <c r="AP64" s="166"/>
      <c r="AQ64" s="265"/>
      <c r="AR64" s="180" t="e">
        <f t="shared" si="19"/>
        <v>#N/A</v>
      </c>
      <c r="AS64" s="473"/>
      <c r="AT64" s="180"/>
      <c r="AU64" s="166"/>
      <c r="AV64" s="265"/>
      <c r="AW64" s="180" t="e">
        <f t="shared" si="21"/>
        <v>#N/A</v>
      </c>
      <c r="AX64" s="473"/>
    </row>
    <row r="65" spans="2:50">
      <c r="B65" s="488"/>
      <c r="C65" s="180">
        <v>24</v>
      </c>
      <c r="D65" s="180"/>
      <c r="E65" s="180"/>
      <c r="F65" s="180"/>
      <c r="G65" s="180"/>
      <c r="H65" s="473"/>
      <c r="I65" s="166"/>
      <c r="J65" s="166"/>
      <c r="K65" s="265"/>
      <c r="L65" s="473"/>
      <c r="M65" s="166" t="e">
        <f>RANK(K65, K$42:$K$71)</f>
        <v>#N/A</v>
      </c>
      <c r="N65" s="470"/>
      <c r="O65" s="470"/>
      <c r="P65" s="180"/>
      <c r="Q65" s="166"/>
      <c r="R65" s="265"/>
      <c r="S65" s="180" t="e">
        <f t="shared" si="10"/>
        <v>#N/A</v>
      </c>
      <c r="T65" s="473"/>
      <c r="U65" s="180"/>
      <c r="V65" s="166"/>
      <c r="W65" s="265"/>
      <c r="X65" s="180" t="e">
        <f t="shared" si="11"/>
        <v>#N/A</v>
      </c>
      <c r="Y65" s="473"/>
      <c r="Z65" s="180"/>
      <c r="AA65" s="166"/>
      <c r="AB65" s="265"/>
      <c r="AC65" s="180" t="e">
        <f t="shared" si="13"/>
        <v>#N/A</v>
      </c>
      <c r="AD65" s="473"/>
      <c r="AE65" s="180"/>
      <c r="AF65" s="166"/>
      <c r="AG65" s="265"/>
      <c r="AH65" s="180" t="e">
        <f t="shared" si="15"/>
        <v>#N/A</v>
      </c>
      <c r="AI65" s="473"/>
      <c r="AJ65" s="180"/>
      <c r="AK65" s="166"/>
      <c r="AL65" s="265"/>
      <c r="AM65" s="180" t="e">
        <f t="shared" si="17"/>
        <v>#N/A</v>
      </c>
      <c r="AN65" s="473"/>
      <c r="AO65" s="180"/>
      <c r="AP65" s="166"/>
      <c r="AQ65" s="265"/>
      <c r="AR65" s="180" t="e">
        <f t="shared" si="19"/>
        <v>#N/A</v>
      </c>
      <c r="AS65" s="473"/>
      <c r="AT65" s="180"/>
      <c r="AU65" s="166"/>
      <c r="AV65" s="265"/>
      <c r="AW65" s="180" t="e">
        <f t="shared" si="21"/>
        <v>#N/A</v>
      </c>
      <c r="AX65" s="473"/>
    </row>
    <row r="66" spans="2:50">
      <c r="B66" s="488"/>
      <c r="C66" s="180">
        <v>25</v>
      </c>
      <c r="D66" s="180"/>
      <c r="E66" s="180"/>
      <c r="F66" s="180"/>
      <c r="G66" s="180"/>
      <c r="H66" s="473"/>
      <c r="I66" s="180"/>
      <c r="J66" s="180"/>
      <c r="K66" s="180"/>
      <c r="L66" s="473"/>
      <c r="M66" s="166" t="e">
        <f>RANK(K66, K$42:$K$71)</f>
        <v>#N/A</v>
      </c>
      <c r="N66" s="470"/>
      <c r="O66" s="470"/>
      <c r="P66" s="180"/>
      <c r="Q66" s="166"/>
      <c r="R66" s="265"/>
      <c r="S66" s="180" t="e">
        <f t="shared" si="10"/>
        <v>#N/A</v>
      </c>
      <c r="T66" s="473"/>
      <c r="U66" s="180"/>
      <c r="V66" s="166"/>
      <c r="W66" s="265"/>
      <c r="X66" s="180" t="e">
        <f t="shared" si="11"/>
        <v>#N/A</v>
      </c>
      <c r="Y66" s="473"/>
      <c r="Z66" s="180"/>
      <c r="AA66" s="166"/>
      <c r="AB66" s="265"/>
      <c r="AC66" s="180" t="e">
        <f t="shared" si="13"/>
        <v>#N/A</v>
      </c>
      <c r="AD66" s="473"/>
      <c r="AE66" s="180"/>
      <c r="AF66" s="166"/>
      <c r="AG66" s="265"/>
      <c r="AH66" s="180" t="e">
        <f t="shared" si="15"/>
        <v>#N/A</v>
      </c>
      <c r="AI66" s="473"/>
      <c r="AJ66" s="180"/>
      <c r="AK66" s="166"/>
      <c r="AL66" s="265"/>
      <c r="AM66" s="180" t="e">
        <f t="shared" si="17"/>
        <v>#N/A</v>
      </c>
      <c r="AN66" s="473"/>
      <c r="AO66" s="180"/>
      <c r="AP66" s="166"/>
      <c r="AQ66" s="265"/>
      <c r="AR66" s="180" t="e">
        <f t="shared" si="19"/>
        <v>#N/A</v>
      </c>
      <c r="AS66" s="473"/>
      <c r="AT66" s="180"/>
      <c r="AU66" s="166"/>
      <c r="AV66" s="265"/>
      <c r="AW66" s="180" t="e">
        <f t="shared" si="21"/>
        <v>#N/A</v>
      </c>
      <c r="AX66" s="473"/>
    </row>
    <row r="67" spans="2:50">
      <c r="B67" s="488"/>
      <c r="C67" s="180">
        <v>26</v>
      </c>
      <c r="D67" s="180"/>
      <c r="E67" s="180"/>
      <c r="F67" s="180"/>
      <c r="G67" s="180"/>
      <c r="H67" s="473"/>
      <c r="I67" s="180"/>
      <c r="J67" s="180"/>
      <c r="K67" s="180"/>
      <c r="L67" s="473"/>
      <c r="M67" s="166" t="e">
        <f>RANK(K67, K$42:$K$71)</f>
        <v>#N/A</v>
      </c>
      <c r="N67" s="470"/>
      <c r="O67" s="470"/>
      <c r="P67" s="180"/>
      <c r="Q67" s="166"/>
      <c r="R67" s="265"/>
      <c r="S67" s="180" t="e">
        <f t="shared" si="10"/>
        <v>#N/A</v>
      </c>
      <c r="T67" s="473"/>
      <c r="U67" s="180"/>
      <c r="V67" s="166"/>
      <c r="W67" s="265"/>
      <c r="X67" s="180" t="e">
        <f t="shared" si="11"/>
        <v>#N/A</v>
      </c>
      <c r="Y67" s="473"/>
      <c r="Z67" s="180"/>
      <c r="AA67" s="166"/>
      <c r="AB67" s="265"/>
      <c r="AC67" s="180" t="e">
        <f t="shared" si="13"/>
        <v>#N/A</v>
      </c>
      <c r="AD67" s="473"/>
      <c r="AE67" s="180"/>
      <c r="AF67" s="166"/>
      <c r="AG67" s="265"/>
      <c r="AH67" s="180" t="e">
        <f t="shared" si="15"/>
        <v>#N/A</v>
      </c>
      <c r="AI67" s="473"/>
      <c r="AJ67" s="180"/>
      <c r="AK67" s="166"/>
      <c r="AL67" s="265"/>
      <c r="AM67" s="180" t="e">
        <f t="shared" si="17"/>
        <v>#N/A</v>
      </c>
      <c r="AN67" s="473"/>
      <c r="AO67" s="180"/>
      <c r="AP67" s="166"/>
      <c r="AQ67" s="265"/>
      <c r="AR67" s="180" t="e">
        <f t="shared" si="19"/>
        <v>#N/A</v>
      </c>
      <c r="AS67" s="473"/>
      <c r="AT67" s="180"/>
      <c r="AU67" s="166"/>
      <c r="AV67" s="265"/>
      <c r="AW67" s="180" t="e">
        <f t="shared" si="21"/>
        <v>#N/A</v>
      </c>
      <c r="AX67" s="473"/>
    </row>
    <row r="68" spans="2:50">
      <c r="B68" s="488"/>
      <c r="C68" s="180">
        <v>27</v>
      </c>
      <c r="D68" s="180"/>
      <c r="E68" s="180"/>
      <c r="F68" s="180"/>
      <c r="G68" s="180"/>
      <c r="H68" s="473"/>
      <c r="I68" s="180"/>
      <c r="J68" s="180"/>
      <c r="K68" s="180"/>
      <c r="L68" s="473"/>
      <c r="M68" s="166" t="e">
        <f>RANK(K68, K$42:$K$71)</f>
        <v>#N/A</v>
      </c>
      <c r="N68" s="470"/>
      <c r="O68" s="470"/>
      <c r="P68" s="180"/>
      <c r="Q68" s="166"/>
      <c r="R68" s="265"/>
      <c r="S68" s="180" t="e">
        <f t="shared" si="10"/>
        <v>#N/A</v>
      </c>
      <c r="T68" s="473"/>
      <c r="U68" s="180"/>
      <c r="V68" s="166"/>
      <c r="W68" s="265"/>
      <c r="X68" s="180" t="e">
        <f t="shared" si="11"/>
        <v>#N/A</v>
      </c>
      <c r="Y68" s="473"/>
      <c r="Z68" s="180"/>
      <c r="AA68" s="166"/>
      <c r="AB68" s="265"/>
      <c r="AC68" s="180" t="e">
        <f t="shared" si="13"/>
        <v>#N/A</v>
      </c>
      <c r="AD68" s="473"/>
      <c r="AE68" s="180"/>
      <c r="AF68" s="166"/>
      <c r="AG68" s="265"/>
      <c r="AH68" s="180" t="e">
        <f t="shared" si="15"/>
        <v>#N/A</v>
      </c>
      <c r="AI68" s="473"/>
      <c r="AJ68" s="180"/>
      <c r="AK68" s="166"/>
      <c r="AL68" s="265"/>
      <c r="AM68" s="180" t="e">
        <f t="shared" si="17"/>
        <v>#N/A</v>
      </c>
      <c r="AN68" s="473"/>
      <c r="AO68" s="180"/>
      <c r="AP68" s="166"/>
      <c r="AQ68" s="265"/>
      <c r="AR68" s="180" t="e">
        <f t="shared" si="19"/>
        <v>#N/A</v>
      </c>
      <c r="AS68" s="473"/>
      <c r="AT68" s="180"/>
      <c r="AU68" s="166"/>
      <c r="AV68" s="265"/>
      <c r="AW68" s="180" t="e">
        <f t="shared" si="21"/>
        <v>#N/A</v>
      </c>
      <c r="AX68" s="473"/>
    </row>
    <row r="69" spans="2:50">
      <c r="B69" s="488"/>
      <c r="C69" s="180">
        <v>28</v>
      </c>
      <c r="D69" s="180"/>
      <c r="E69" s="180"/>
      <c r="F69" s="180"/>
      <c r="G69" s="180"/>
      <c r="H69" s="473"/>
      <c r="I69" s="180"/>
      <c r="J69" s="180"/>
      <c r="K69" s="180"/>
      <c r="L69" s="473"/>
      <c r="M69" s="166" t="e">
        <f>RANK(K69, K$42:$K$71)</f>
        <v>#N/A</v>
      </c>
      <c r="N69" s="470"/>
      <c r="O69" s="470"/>
      <c r="P69" s="180"/>
      <c r="Q69" s="166"/>
      <c r="R69" s="265"/>
      <c r="S69" s="180" t="e">
        <f t="shared" si="10"/>
        <v>#N/A</v>
      </c>
      <c r="T69" s="473"/>
      <c r="U69" s="180"/>
      <c r="V69" s="166"/>
      <c r="W69" s="265"/>
      <c r="X69" s="180" t="e">
        <f t="shared" si="11"/>
        <v>#N/A</v>
      </c>
      <c r="Y69" s="473"/>
      <c r="Z69" s="180"/>
      <c r="AA69" s="166"/>
      <c r="AB69" s="265"/>
      <c r="AC69" s="180" t="e">
        <f t="shared" si="13"/>
        <v>#N/A</v>
      </c>
      <c r="AD69" s="473"/>
      <c r="AE69" s="180"/>
      <c r="AF69" s="166"/>
      <c r="AG69" s="265"/>
      <c r="AH69" s="180" t="e">
        <f t="shared" si="15"/>
        <v>#N/A</v>
      </c>
      <c r="AI69" s="473"/>
      <c r="AJ69" s="180"/>
      <c r="AK69" s="166"/>
      <c r="AL69" s="265"/>
      <c r="AM69" s="180" t="e">
        <f t="shared" si="17"/>
        <v>#N/A</v>
      </c>
      <c r="AN69" s="473"/>
      <c r="AO69" s="180"/>
      <c r="AP69" s="166"/>
      <c r="AQ69" s="265"/>
      <c r="AR69" s="180" t="e">
        <f t="shared" si="19"/>
        <v>#N/A</v>
      </c>
      <c r="AS69" s="473"/>
      <c r="AT69" s="180"/>
      <c r="AU69" s="166"/>
      <c r="AV69" s="265"/>
      <c r="AW69" s="180" t="e">
        <f t="shared" si="21"/>
        <v>#N/A</v>
      </c>
      <c r="AX69" s="473"/>
    </row>
    <row r="70" spans="2:50">
      <c r="B70" s="488"/>
      <c r="C70" s="180">
        <v>29</v>
      </c>
      <c r="D70" s="180"/>
      <c r="E70" s="180"/>
      <c r="F70" s="180"/>
      <c r="G70" s="180"/>
      <c r="H70" s="473"/>
      <c r="I70" s="180"/>
      <c r="J70" s="180"/>
      <c r="K70" s="180"/>
      <c r="L70" s="473"/>
      <c r="M70" s="166" t="e">
        <f>RANK(K70, K$42:$K$71)</f>
        <v>#N/A</v>
      </c>
      <c r="N70" s="470"/>
      <c r="O70" s="470"/>
      <c r="P70" s="180"/>
      <c r="Q70" s="166"/>
      <c r="R70" s="265"/>
      <c r="S70" s="180" t="e">
        <f t="shared" si="10"/>
        <v>#N/A</v>
      </c>
      <c r="T70" s="473"/>
      <c r="U70" s="180"/>
      <c r="V70" s="166"/>
      <c r="W70" s="265"/>
      <c r="X70" s="180" t="e">
        <f t="shared" si="11"/>
        <v>#N/A</v>
      </c>
      <c r="Y70" s="473"/>
      <c r="Z70" s="180"/>
      <c r="AA70" s="166"/>
      <c r="AB70" s="265"/>
      <c r="AC70" s="180" t="e">
        <f t="shared" si="13"/>
        <v>#N/A</v>
      </c>
      <c r="AD70" s="473"/>
      <c r="AE70" s="180"/>
      <c r="AF70" s="166"/>
      <c r="AG70" s="265"/>
      <c r="AH70" s="180" t="e">
        <f t="shared" si="15"/>
        <v>#N/A</v>
      </c>
      <c r="AI70" s="473"/>
      <c r="AJ70" s="180"/>
      <c r="AK70" s="166"/>
      <c r="AL70" s="265"/>
      <c r="AM70" s="180" t="e">
        <f t="shared" si="17"/>
        <v>#N/A</v>
      </c>
      <c r="AN70" s="473"/>
      <c r="AO70" s="180"/>
      <c r="AP70" s="166"/>
      <c r="AQ70" s="265"/>
      <c r="AR70" s="180" t="e">
        <f t="shared" si="19"/>
        <v>#N/A</v>
      </c>
      <c r="AS70" s="473"/>
      <c r="AT70" s="180"/>
      <c r="AU70" s="166"/>
      <c r="AV70" s="265"/>
      <c r="AW70" s="180" t="e">
        <f t="shared" si="21"/>
        <v>#N/A</v>
      </c>
      <c r="AX70" s="473"/>
    </row>
    <row r="71" spans="2:50">
      <c r="B71" s="489"/>
      <c r="C71" s="180">
        <v>30</v>
      </c>
      <c r="D71" s="180"/>
      <c r="E71" s="180"/>
      <c r="F71" s="180"/>
      <c r="G71" s="180"/>
      <c r="H71" s="474"/>
      <c r="I71" s="180"/>
      <c r="J71" s="180"/>
      <c r="K71" s="180"/>
      <c r="L71" s="474"/>
      <c r="M71" s="166" t="e">
        <f>RANK(K71, K$42:$K$71)</f>
        <v>#N/A</v>
      </c>
      <c r="N71" s="471"/>
      <c r="O71" s="471"/>
      <c r="P71" s="180"/>
      <c r="Q71" s="166"/>
      <c r="R71" s="265"/>
      <c r="S71" s="180" t="e">
        <f t="shared" si="10"/>
        <v>#N/A</v>
      </c>
      <c r="T71" s="474"/>
      <c r="U71" s="180"/>
      <c r="V71" s="166"/>
      <c r="W71" s="265"/>
      <c r="X71" s="180" t="e">
        <f t="shared" si="11"/>
        <v>#N/A</v>
      </c>
      <c r="Y71" s="474"/>
      <c r="Z71" s="180"/>
      <c r="AA71" s="166"/>
      <c r="AB71" s="265"/>
      <c r="AC71" s="180" t="e">
        <f t="shared" si="13"/>
        <v>#N/A</v>
      </c>
      <c r="AD71" s="474"/>
      <c r="AE71" s="180"/>
      <c r="AF71" s="166"/>
      <c r="AG71" s="265"/>
      <c r="AH71" s="180" t="e">
        <f t="shared" si="15"/>
        <v>#N/A</v>
      </c>
      <c r="AI71" s="474"/>
      <c r="AJ71" s="180"/>
      <c r="AK71" s="166"/>
      <c r="AL71" s="265"/>
      <c r="AM71" s="180" t="e">
        <f t="shared" si="17"/>
        <v>#N/A</v>
      </c>
      <c r="AN71" s="474"/>
      <c r="AO71" s="180"/>
      <c r="AP71" s="166"/>
      <c r="AQ71" s="265"/>
      <c r="AR71" s="180" t="e">
        <f t="shared" si="19"/>
        <v>#N/A</v>
      </c>
      <c r="AS71" s="474"/>
      <c r="AT71" s="180"/>
      <c r="AU71" s="166"/>
      <c r="AV71" s="265"/>
      <c r="AW71" s="180" t="e">
        <f t="shared" si="21"/>
        <v>#N/A</v>
      </c>
      <c r="AX71" s="474"/>
    </row>
    <row r="72" spans="2:50" ht="15.75">
      <c r="B72" s="490" t="s">
        <v>721</v>
      </c>
      <c r="C72" s="491"/>
      <c r="D72" s="491"/>
      <c r="E72" s="491"/>
      <c r="F72" s="491"/>
      <c r="G72" s="491"/>
      <c r="H72" s="491"/>
      <c r="I72" s="184"/>
      <c r="J72" s="181"/>
      <c r="K72" s="184"/>
      <c r="L72" s="184"/>
      <c r="M72" s="178"/>
      <c r="N72" s="469" t="s">
        <v>722</v>
      </c>
      <c r="O72" s="469" t="s">
        <v>723</v>
      </c>
      <c r="P72" s="478">
        <f>P37+7</f>
        <v>46063</v>
      </c>
      <c r="Q72" s="479"/>
      <c r="R72" s="479"/>
      <c r="S72" s="479"/>
      <c r="T72" s="479"/>
      <c r="U72" s="475">
        <f>P72+1</f>
        <v>46064</v>
      </c>
      <c r="V72" s="476"/>
      <c r="W72" s="476"/>
      <c r="X72" s="476"/>
      <c r="Y72" s="477"/>
      <c r="Z72" s="475">
        <f>U72+1</f>
        <v>46065</v>
      </c>
      <c r="AA72" s="476"/>
      <c r="AB72" s="476"/>
      <c r="AC72" s="476"/>
      <c r="AD72" s="477"/>
      <c r="AE72" s="475">
        <f>Z72+1</f>
        <v>46066</v>
      </c>
      <c r="AF72" s="476"/>
      <c r="AG72" s="476"/>
      <c r="AH72" s="476"/>
      <c r="AI72" s="477"/>
      <c r="AJ72" s="475">
        <f>AE72+1</f>
        <v>46067</v>
      </c>
      <c r="AK72" s="476"/>
      <c r="AL72" s="476"/>
      <c r="AM72" s="476"/>
      <c r="AN72" s="477"/>
      <c r="AO72" s="475">
        <f>AJ72+1</f>
        <v>46068</v>
      </c>
      <c r="AP72" s="476"/>
      <c r="AQ72" s="476"/>
      <c r="AR72" s="476"/>
      <c r="AS72" s="477"/>
      <c r="AT72" s="475">
        <f>AO72+1</f>
        <v>46069</v>
      </c>
      <c r="AU72" s="476"/>
      <c r="AV72" s="476"/>
      <c r="AW72" s="476"/>
      <c r="AX72" s="477"/>
    </row>
    <row r="73" spans="2:50" ht="15.75">
      <c r="B73" s="482"/>
      <c r="C73" s="482"/>
      <c r="D73" s="482"/>
      <c r="E73" s="482"/>
      <c r="F73" s="482"/>
      <c r="G73" s="482"/>
      <c r="H73" s="482"/>
      <c r="I73" s="182"/>
      <c r="J73" s="182"/>
      <c r="K73" s="182"/>
      <c r="L73" s="182"/>
      <c r="M73" s="179"/>
      <c r="N73" s="471"/>
      <c r="O73" s="471"/>
      <c r="P73" s="478" t="s">
        <v>724</v>
      </c>
      <c r="Q73" s="479"/>
      <c r="R73" s="479"/>
      <c r="S73" s="479"/>
      <c r="T73" s="479"/>
      <c r="U73" s="478" t="s">
        <v>725</v>
      </c>
      <c r="V73" s="479"/>
      <c r="W73" s="479"/>
      <c r="X73" s="479"/>
      <c r="Y73" s="479"/>
      <c r="Z73" s="478" t="s">
        <v>726</v>
      </c>
      <c r="AA73" s="479"/>
      <c r="AB73" s="479"/>
      <c r="AC73" s="479"/>
      <c r="AD73" s="479"/>
      <c r="AE73" s="478" t="s">
        <v>727</v>
      </c>
      <c r="AF73" s="479"/>
      <c r="AG73" s="479"/>
      <c r="AH73" s="479"/>
      <c r="AI73" s="479"/>
      <c r="AJ73" s="478" t="s">
        <v>728</v>
      </c>
      <c r="AK73" s="479"/>
      <c r="AL73" s="479"/>
      <c r="AM73" s="479"/>
      <c r="AN73" s="479"/>
      <c r="AO73" s="478" t="s">
        <v>729</v>
      </c>
      <c r="AP73" s="479"/>
      <c r="AQ73" s="479"/>
      <c r="AR73" s="479"/>
      <c r="AS73" s="479"/>
      <c r="AT73" s="478" t="s">
        <v>730</v>
      </c>
      <c r="AU73" s="479"/>
      <c r="AV73" s="479"/>
      <c r="AW73" s="479"/>
      <c r="AX73" s="479"/>
    </row>
    <row r="74" spans="2:50">
      <c r="B74" s="469" t="s">
        <v>731</v>
      </c>
      <c r="C74" s="463" t="s">
        <v>732</v>
      </c>
      <c r="D74" s="483"/>
      <c r="E74" s="466" t="s">
        <v>733</v>
      </c>
      <c r="F74" s="467"/>
      <c r="G74" s="468"/>
      <c r="H74" s="469" t="s">
        <v>734</v>
      </c>
      <c r="I74" s="466" t="s">
        <v>735</v>
      </c>
      <c r="J74" s="467"/>
      <c r="K74" s="468"/>
      <c r="L74" s="469" t="s">
        <v>734</v>
      </c>
      <c r="M74" s="469" t="s">
        <v>736</v>
      </c>
      <c r="N74" s="469"/>
      <c r="O74" s="469" t="s">
        <v>737</v>
      </c>
      <c r="P74" s="466" t="s">
        <v>738</v>
      </c>
      <c r="Q74" s="467"/>
      <c r="R74" s="467"/>
      <c r="S74" s="468"/>
      <c r="T74" s="469" t="s">
        <v>734</v>
      </c>
      <c r="U74" s="466" t="s">
        <v>738</v>
      </c>
      <c r="V74" s="467"/>
      <c r="W74" s="467"/>
      <c r="X74" s="468"/>
      <c r="Y74" s="469" t="s">
        <v>734</v>
      </c>
      <c r="Z74" s="466" t="s">
        <v>738</v>
      </c>
      <c r="AA74" s="467"/>
      <c r="AB74" s="467"/>
      <c r="AC74" s="468"/>
      <c r="AD74" s="469" t="s">
        <v>734</v>
      </c>
      <c r="AE74" s="466" t="s">
        <v>738</v>
      </c>
      <c r="AF74" s="467"/>
      <c r="AG74" s="467"/>
      <c r="AH74" s="468"/>
      <c r="AI74" s="469" t="s">
        <v>734</v>
      </c>
      <c r="AJ74" s="466" t="s">
        <v>738</v>
      </c>
      <c r="AK74" s="467"/>
      <c r="AL74" s="467"/>
      <c r="AM74" s="468"/>
      <c r="AN74" s="469" t="s">
        <v>734</v>
      </c>
      <c r="AO74" s="466" t="s">
        <v>738</v>
      </c>
      <c r="AP74" s="467"/>
      <c r="AQ74" s="467"/>
      <c r="AR74" s="468"/>
      <c r="AS74" s="469" t="s">
        <v>734</v>
      </c>
      <c r="AT74" s="466" t="s">
        <v>738</v>
      </c>
      <c r="AU74" s="467"/>
      <c r="AV74" s="467"/>
      <c r="AW74" s="468"/>
      <c r="AX74" s="469" t="s">
        <v>734</v>
      </c>
    </row>
    <row r="75" spans="2:50">
      <c r="B75" s="470"/>
      <c r="C75" s="464"/>
      <c r="D75" s="484"/>
      <c r="E75" s="466" t="s">
        <v>739</v>
      </c>
      <c r="F75" s="467"/>
      <c r="G75" s="468"/>
      <c r="H75" s="470"/>
      <c r="I75" s="466" t="s">
        <v>739</v>
      </c>
      <c r="J75" s="467"/>
      <c r="K75" s="468"/>
      <c r="L75" s="470"/>
      <c r="M75" s="470"/>
      <c r="N75" s="470"/>
      <c r="O75" s="470"/>
      <c r="P75" s="466" t="s">
        <v>740</v>
      </c>
      <c r="Q75" s="467"/>
      <c r="R75" s="467"/>
      <c r="S75" s="468"/>
      <c r="T75" s="470"/>
      <c r="U75" s="466" t="s">
        <v>740</v>
      </c>
      <c r="V75" s="467"/>
      <c r="W75" s="467"/>
      <c r="X75" s="468"/>
      <c r="Y75" s="470"/>
      <c r="Z75" s="466" t="s">
        <v>740</v>
      </c>
      <c r="AA75" s="467"/>
      <c r="AB75" s="467"/>
      <c r="AC75" s="468"/>
      <c r="AD75" s="470"/>
      <c r="AE75" s="466" t="s">
        <v>740</v>
      </c>
      <c r="AF75" s="467"/>
      <c r="AG75" s="467"/>
      <c r="AH75" s="468"/>
      <c r="AI75" s="470"/>
      <c r="AJ75" s="466" t="s">
        <v>740</v>
      </c>
      <c r="AK75" s="467"/>
      <c r="AL75" s="467"/>
      <c r="AM75" s="468"/>
      <c r="AN75" s="470"/>
      <c r="AO75" s="466" t="s">
        <v>740</v>
      </c>
      <c r="AP75" s="467"/>
      <c r="AQ75" s="467"/>
      <c r="AR75" s="468"/>
      <c r="AS75" s="470"/>
      <c r="AT75" s="466" t="s">
        <v>740</v>
      </c>
      <c r="AU75" s="467"/>
      <c r="AV75" s="467"/>
      <c r="AW75" s="468"/>
      <c r="AX75" s="470"/>
    </row>
    <row r="76" spans="2:50">
      <c r="B76" s="471"/>
      <c r="C76" s="465"/>
      <c r="D76" s="485"/>
      <c r="E76" s="264" t="s">
        <v>741</v>
      </c>
      <c r="F76" s="264" t="s">
        <v>742</v>
      </c>
      <c r="G76" s="264" t="s">
        <v>743</v>
      </c>
      <c r="H76" s="471"/>
      <c r="I76" s="264" t="s">
        <v>741</v>
      </c>
      <c r="J76" s="264" t="s">
        <v>742</v>
      </c>
      <c r="K76" s="264" t="s">
        <v>743</v>
      </c>
      <c r="L76" s="471"/>
      <c r="M76" s="471"/>
      <c r="N76" s="470"/>
      <c r="O76" s="470"/>
      <c r="P76" s="264" t="s">
        <v>741</v>
      </c>
      <c r="Q76" s="264" t="s">
        <v>742</v>
      </c>
      <c r="R76" s="264" t="s">
        <v>743</v>
      </c>
      <c r="S76" s="264" t="s">
        <v>736</v>
      </c>
      <c r="T76" s="471"/>
      <c r="U76" s="264" t="s">
        <v>741</v>
      </c>
      <c r="V76" s="264" t="s">
        <v>742</v>
      </c>
      <c r="W76" s="264" t="s">
        <v>743</v>
      </c>
      <c r="X76" s="264" t="s">
        <v>736</v>
      </c>
      <c r="Y76" s="471"/>
      <c r="Z76" s="264" t="s">
        <v>741</v>
      </c>
      <c r="AA76" s="264" t="s">
        <v>742</v>
      </c>
      <c r="AB76" s="264" t="s">
        <v>743</v>
      </c>
      <c r="AC76" s="264" t="s">
        <v>736</v>
      </c>
      <c r="AD76" s="471"/>
      <c r="AE76" s="264" t="s">
        <v>741</v>
      </c>
      <c r="AF76" s="264" t="s">
        <v>742</v>
      </c>
      <c r="AG76" s="264" t="s">
        <v>743</v>
      </c>
      <c r="AH76" s="264" t="s">
        <v>736</v>
      </c>
      <c r="AI76" s="471"/>
      <c r="AJ76" s="264" t="s">
        <v>741</v>
      </c>
      <c r="AK76" s="264" t="s">
        <v>742</v>
      </c>
      <c r="AL76" s="264" t="s">
        <v>743</v>
      </c>
      <c r="AM76" s="264" t="s">
        <v>736</v>
      </c>
      <c r="AN76" s="471"/>
      <c r="AO76" s="264" t="s">
        <v>741</v>
      </c>
      <c r="AP76" s="264" t="s">
        <v>742</v>
      </c>
      <c r="AQ76" s="264" t="s">
        <v>743</v>
      </c>
      <c r="AR76" s="264" t="s">
        <v>736</v>
      </c>
      <c r="AS76" s="471"/>
      <c r="AT76" s="264" t="s">
        <v>741</v>
      </c>
      <c r="AU76" s="264" t="s">
        <v>742</v>
      </c>
      <c r="AV76" s="264" t="s">
        <v>743</v>
      </c>
      <c r="AW76" s="264" t="s">
        <v>736</v>
      </c>
      <c r="AX76" s="471"/>
    </row>
    <row r="77" spans="2:50">
      <c r="B77" s="487" t="s">
        <v>150</v>
      </c>
      <c r="C77" s="180">
        <v>1</v>
      </c>
      <c r="D77" s="180" t="s">
        <v>347</v>
      </c>
      <c r="E77" s="180">
        <v>4</v>
      </c>
      <c r="F77" s="180">
        <v>2200</v>
      </c>
      <c r="G77" s="180">
        <v>550</v>
      </c>
      <c r="H77" s="472">
        <f>AVERAGE(G77:G106)</f>
        <v>849.60317460317469</v>
      </c>
      <c r="I77" s="166">
        <f t="shared" ref="I77:K92" si="25">AVERAGE(P77,U77,Z77,AE77,AJ77,AO77,AT77)</f>
        <v>3</v>
      </c>
      <c r="J77" s="166">
        <f t="shared" si="25"/>
        <v>3211.908030073464</v>
      </c>
      <c r="K77" s="265">
        <f t="shared" si="25"/>
        <v>1070.6360100244879</v>
      </c>
      <c r="L77" s="472">
        <f>IFERROR(AVERAGE(K77:K106),"-")</f>
        <v>789.53037359408268</v>
      </c>
      <c r="M77" s="166">
        <f>RANK(K77, K$77:$K$106)</f>
        <v>1</v>
      </c>
      <c r="N77" s="470"/>
      <c r="O77" s="470"/>
      <c r="P77" s="324">
        <v>3</v>
      </c>
      <c r="Q77" s="166">
        <v>3276.521739130435</v>
      </c>
      <c r="R77" s="166">
        <v>1092.1739130434783</v>
      </c>
      <c r="S77" s="180">
        <f>RANK(R77, R$77:R$106)</f>
        <v>1</v>
      </c>
      <c r="T77" s="472">
        <f>AVERAGE(R77:R106)</f>
        <v>811.04635049345688</v>
      </c>
      <c r="U77" s="324">
        <v>3</v>
      </c>
      <c r="V77" s="166">
        <v>3190.2127659574471</v>
      </c>
      <c r="W77" s="166">
        <v>1063.4042553191491</v>
      </c>
      <c r="X77" s="180">
        <f t="shared" ref="X77:X106" si="26">RANK(W77, W$77:W$106)</f>
        <v>1</v>
      </c>
      <c r="Y77" s="472">
        <f t="shared" ref="Y77" si="27">AVERAGE(W77:W106)</f>
        <v>784.54938923165082</v>
      </c>
      <c r="Z77" s="180">
        <v>3</v>
      </c>
      <c r="AA77" s="166">
        <v>3165</v>
      </c>
      <c r="AB77" s="166">
        <v>1055</v>
      </c>
      <c r="AC77" s="180">
        <f t="shared" ref="AC77:AC106" si="28">RANK(AB77, AB$77:AB$106)</f>
        <v>2</v>
      </c>
      <c r="AD77" s="472">
        <f t="shared" ref="AD77" si="29">AVERAGE(AB77:AB106)</f>
        <v>764.23554527547367</v>
      </c>
      <c r="AE77" s="180">
        <v>3</v>
      </c>
      <c r="AF77" s="166">
        <v>3221.8604651162786</v>
      </c>
      <c r="AG77" s="166">
        <v>1073.9534883720928</v>
      </c>
      <c r="AH77" s="180">
        <f t="shared" ref="AH77:AH106" si="30">RANK(AG77, AG$77:AG$106)</f>
        <v>3</v>
      </c>
      <c r="AI77" s="472">
        <f t="shared" ref="AI77" si="31">AVERAGE(AG77:AG106)</f>
        <v>801.16217982438627</v>
      </c>
      <c r="AJ77" s="180">
        <v>3</v>
      </c>
      <c r="AK77" s="166">
        <v>3231.6279069767434</v>
      </c>
      <c r="AL77" s="166">
        <v>1077.2093023255811</v>
      </c>
      <c r="AM77" s="180">
        <f t="shared" ref="AM77:AM106" si="32">RANK(AL77, AL$77:AL$106)</f>
        <v>3</v>
      </c>
      <c r="AN77" s="472">
        <f t="shared" ref="AN77" si="33">AVERAGE(AL77:AL106)</f>
        <v>802.47423962949051</v>
      </c>
      <c r="AO77" s="180">
        <v>3</v>
      </c>
      <c r="AP77" s="166">
        <v>3225.3333333333389</v>
      </c>
      <c r="AQ77" s="166">
        <v>1075.1111111111129</v>
      </c>
      <c r="AR77" s="180">
        <f t="shared" ref="AR77:AR106" si="34">RANK(AQ77, AQ$77:AQ$106)</f>
        <v>1</v>
      </c>
      <c r="AS77" s="472">
        <f t="shared" ref="AS77" si="35">AVERAGE(AQ77:AQ106)</f>
        <v>775.1268529339809</v>
      </c>
      <c r="AT77" s="180">
        <v>3</v>
      </c>
      <c r="AU77" s="166">
        <v>3172.8000000000011</v>
      </c>
      <c r="AV77" s="166">
        <v>1057.6000000000004</v>
      </c>
      <c r="AW77" s="180">
        <f t="shared" ref="AW77:AW106" si="36">RANK(AV77, AV$77:AV$106)</f>
        <v>2</v>
      </c>
      <c r="AX77" s="472">
        <f t="shared" ref="AX77" si="37">AVERAGE(AV77:AV106)</f>
        <v>788.1180577701399</v>
      </c>
    </row>
    <row r="78" spans="2:50">
      <c r="B78" s="488"/>
      <c r="C78" s="180">
        <v>2</v>
      </c>
      <c r="D78" s="180" t="s">
        <v>348</v>
      </c>
      <c r="E78" s="180">
        <v>3</v>
      </c>
      <c r="F78" s="180">
        <v>2700</v>
      </c>
      <c r="G78" s="180">
        <v>900</v>
      </c>
      <c r="H78" s="473"/>
      <c r="I78" s="166">
        <f t="shared" si="25"/>
        <v>3</v>
      </c>
      <c r="J78" s="166">
        <f t="shared" si="25"/>
        <v>3068.080062794354</v>
      </c>
      <c r="K78" s="265">
        <f t="shared" si="25"/>
        <v>1022.6933542647847</v>
      </c>
      <c r="L78" s="473"/>
      <c r="M78" s="166">
        <f>RANK(K78, K$77:$K$106)</f>
        <v>4</v>
      </c>
      <c r="N78" s="470"/>
      <c r="O78" s="470"/>
      <c r="P78" s="166">
        <v>3</v>
      </c>
      <c r="Q78" s="166">
        <v>3139.9999999999945</v>
      </c>
      <c r="R78" s="166">
        <v>1046.6666666666649</v>
      </c>
      <c r="S78" s="180">
        <f t="shared" ref="S78:S106" si="38">RANK(R78, R$77:R$106)</f>
        <v>4</v>
      </c>
      <c r="T78" s="473"/>
      <c r="U78" s="166">
        <v>3</v>
      </c>
      <c r="V78" s="166">
        <v>3115.714285714279</v>
      </c>
      <c r="W78" s="166">
        <v>1038.5714285714264</v>
      </c>
      <c r="X78" s="180">
        <f t="shared" si="26"/>
        <v>4</v>
      </c>
      <c r="Y78" s="473"/>
      <c r="Z78" s="180">
        <v>3</v>
      </c>
      <c r="AA78" s="166">
        <v>3013.8461538461829</v>
      </c>
      <c r="AB78" s="166">
        <v>1004.6153846153943</v>
      </c>
      <c r="AC78" s="180">
        <f t="shared" si="28"/>
        <v>4</v>
      </c>
      <c r="AD78" s="473"/>
      <c r="AE78" s="180">
        <v>3</v>
      </c>
      <c r="AF78" s="166">
        <v>3210.0000000000114</v>
      </c>
      <c r="AG78" s="166">
        <v>1070.0000000000039</v>
      </c>
      <c r="AH78" s="180">
        <f t="shared" si="30"/>
        <v>4</v>
      </c>
      <c r="AI78" s="473"/>
      <c r="AJ78" s="180">
        <v>3</v>
      </c>
      <c r="AK78" s="166">
        <v>3254.99999999999</v>
      </c>
      <c r="AL78" s="166">
        <v>1084.9999999999966</v>
      </c>
      <c r="AM78" s="180">
        <f t="shared" si="32"/>
        <v>2</v>
      </c>
      <c r="AN78" s="473"/>
      <c r="AO78" s="180">
        <v>3</v>
      </c>
      <c r="AP78" s="166">
        <v>2652.0000000000095</v>
      </c>
      <c r="AQ78" s="166">
        <v>884.00000000000318</v>
      </c>
      <c r="AR78" s="180">
        <f t="shared" si="34"/>
        <v>8</v>
      </c>
      <c r="AS78" s="473"/>
      <c r="AT78" s="180">
        <v>3</v>
      </c>
      <c r="AU78" s="166">
        <v>3090.0000000000109</v>
      </c>
      <c r="AV78" s="166">
        <v>1030.0000000000036</v>
      </c>
      <c r="AW78" s="180">
        <f t="shared" si="36"/>
        <v>4</v>
      </c>
      <c r="AX78" s="473"/>
    </row>
    <row r="79" spans="2:50">
      <c r="B79" s="488"/>
      <c r="C79" s="180">
        <v>3</v>
      </c>
      <c r="D79" s="180" t="s">
        <v>336</v>
      </c>
      <c r="E79" s="180">
        <v>4</v>
      </c>
      <c r="F79" s="180">
        <v>3600</v>
      </c>
      <c r="G79" s="180">
        <v>900</v>
      </c>
      <c r="H79" s="473"/>
      <c r="I79" s="166">
        <f t="shared" si="25"/>
        <v>4</v>
      </c>
      <c r="J79" s="166">
        <f t="shared" si="25"/>
        <v>3228.294579370207</v>
      </c>
      <c r="K79" s="265">
        <f t="shared" si="25"/>
        <v>807.07364484255174</v>
      </c>
      <c r="L79" s="473"/>
      <c r="M79" s="166">
        <f>RANK(K79, K$77:$K$106)</f>
        <v>11</v>
      </c>
      <c r="N79" s="470"/>
      <c r="O79" s="470"/>
      <c r="P79" s="166">
        <v>4</v>
      </c>
      <c r="Q79" s="166">
        <v>3317.6470588235175</v>
      </c>
      <c r="R79" s="166">
        <v>829.41176470587936</v>
      </c>
      <c r="S79" s="180">
        <f t="shared" si="38"/>
        <v>12</v>
      </c>
      <c r="T79" s="473"/>
      <c r="U79" s="166">
        <v>4</v>
      </c>
      <c r="V79" s="166">
        <v>3215.2941176470472</v>
      </c>
      <c r="W79" s="166">
        <v>803.8235294117618</v>
      </c>
      <c r="X79" s="180">
        <f t="shared" si="26"/>
        <v>11</v>
      </c>
      <c r="Y79" s="473"/>
      <c r="Z79" s="180">
        <v>4</v>
      </c>
      <c r="AA79" s="166">
        <v>3180.0000000000109</v>
      </c>
      <c r="AB79" s="166">
        <v>795.00000000000273</v>
      </c>
      <c r="AC79" s="180">
        <f t="shared" si="28"/>
        <v>9</v>
      </c>
      <c r="AD79" s="473"/>
      <c r="AE79" s="180">
        <v>4</v>
      </c>
      <c r="AF79" s="166">
        <v>3321.4285714285643</v>
      </c>
      <c r="AG79" s="166">
        <v>830.35714285714107</v>
      </c>
      <c r="AH79" s="180">
        <f t="shared" si="30"/>
        <v>11</v>
      </c>
      <c r="AI79" s="473"/>
      <c r="AJ79" s="180">
        <v>4</v>
      </c>
      <c r="AK79" s="166">
        <v>3387.6923076923194</v>
      </c>
      <c r="AL79" s="166">
        <v>846.92307692307986</v>
      </c>
      <c r="AM79" s="180">
        <f t="shared" si="32"/>
        <v>9</v>
      </c>
      <c r="AN79" s="473"/>
      <c r="AO79" s="180">
        <v>4</v>
      </c>
      <c r="AP79" s="166">
        <v>3043.9999999999945</v>
      </c>
      <c r="AQ79" s="166">
        <v>760.99999999999864</v>
      </c>
      <c r="AR79" s="180">
        <f t="shared" si="34"/>
        <v>12</v>
      </c>
      <c r="AS79" s="473"/>
      <c r="AT79" s="180">
        <v>4</v>
      </c>
      <c r="AU79" s="166">
        <v>3131.9999999999945</v>
      </c>
      <c r="AV79" s="166">
        <v>782.99999999999864</v>
      </c>
      <c r="AW79" s="180">
        <f t="shared" si="36"/>
        <v>10</v>
      </c>
      <c r="AX79" s="473"/>
    </row>
    <row r="80" spans="2:50">
      <c r="B80" s="488"/>
      <c r="C80" s="180">
        <v>4</v>
      </c>
      <c r="D80" s="180" t="s">
        <v>350</v>
      </c>
      <c r="E80" s="180">
        <v>3</v>
      </c>
      <c r="F80" s="180">
        <v>3600</v>
      </c>
      <c r="G80" s="180">
        <v>1200</v>
      </c>
      <c r="H80" s="473"/>
      <c r="I80" s="166">
        <f t="shared" si="25"/>
        <v>3</v>
      </c>
      <c r="J80" s="166">
        <f t="shared" si="25"/>
        <v>3198.6349411237848</v>
      </c>
      <c r="K80" s="265">
        <f t="shared" si="25"/>
        <v>1066.2116470412616</v>
      </c>
      <c r="L80" s="473"/>
      <c r="M80" s="166">
        <f>RANK(K80, K$77:$K$106)</f>
        <v>2</v>
      </c>
      <c r="N80" s="470"/>
      <c r="O80" s="470"/>
      <c r="P80" s="166">
        <v>3</v>
      </c>
      <c r="Q80" s="166">
        <v>3185.2941176470631</v>
      </c>
      <c r="R80" s="166">
        <v>1061.7647058823543</v>
      </c>
      <c r="S80" s="180">
        <f t="shared" si="38"/>
        <v>2</v>
      </c>
      <c r="T80" s="473"/>
      <c r="U80" s="166">
        <v>3</v>
      </c>
      <c r="V80" s="166">
        <v>3170.909090909091</v>
      </c>
      <c r="W80" s="166">
        <v>1056.969696969697</v>
      </c>
      <c r="X80" s="180">
        <f t="shared" si="26"/>
        <v>2</v>
      </c>
      <c r="Y80" s="473"/>
      <c r="Z80" s="180">
        <v>3</v>
      </c>
      <c r="AA80" s="166">
        <v>3196.9999999999986</v>
      </c>
      <c r="AB80" s="166">
        <v>1065.6666666666663</v>
      </c>
      <c r="AC80" s="180">
        <f t="shared" si="28"/>
        <v>1</v>
      </c>
      <c r="AD80" s="473"/>
      <c r="AE80" s="180">
        <v>3</v>
      </c>
      <c r="AF80" s="166">
        <v>3248.2758620689638</v>
      </c>
      <c r="AG80" s="166">
        <v>1082.7586206896547</v>
      </c>
      <c r="AH80" s="180">
        <f t="shared" si="30"/>
        <v>2</v>
      </c>
      <c r="AI80" s="473"/>
      <c r="AJ80" s="180">
        <v>3</v>
      </c>
      <c r="AK80" s="166">
        <v>3208.9655172413773</v>
      </c>
      <c r="AL80" s="166">
        <v>1069.6551724137923</v>
      </c>
      <c r="AM80" s="180">
        <f t="shared" si="32"/>
        <v>4</v>
      </c>
      <c r="AN80" s="473"/>
      <c r="AO80" s="180">
        <v>3</v>
      </c>
      <c r="AP80" s="166">
        <v>3199.9999999999986</v>
      </c>
      <c r="AQ80" s="166">
        <v>1066.6666666666663</v>
      </c>
      <c r="AR80" s="180">
        <f t="shared" si="34"/>
        <v>2</v>
      </c>
      <c r="AS80" s="473"/>
      <c r="AT80" s="180">
        <v>3</v>
      </c>
      <c r="AU80" s="166">
        <v>3180.0000000000009</v>
      </c>
      <c r="AV80" s="166">
        <v>1060.0000000000002</v>
      </c>
      <c r="AW80" s="180">
        <f t="shared" si="36"/>
        <v>1</v>
      </c>
      <c r="AX80" s="473"/>
    </row>
    <row r="81" spans="2:50">
      <c r="B81" s="488"/>
      <c r="C81" s="180">
        <v>5</v>
      </c>
      <c r="D81" s="180" t="s">
        <v>351</v>
      </c>
      <c r="E81" s="180">
        <v>3</v>
      </c>
      <c r="F81" s="180">
        <v>3600</v>
      </c>
      <c r="G81" s="180">
        <v>1200</v>
      </c>
      <c r="H81" s="473"/>
      <c r="I81" s="166">
        <f t="shared" si="25"/>
        <v>4</v>
      </c>
      <c r="J81" s="166">
        <f t="shared" si="25"/>
        <v>3241.5904695718359</v>
      </c>
      <c r="K81" s="265">
        <f t="shared" si="25"/>
        <v>810.39761739295898</v>
      </c>
      <c r="L81" s="473"/>
      <c r="M81" s="166">
        <f>RANK(K81, K$77:$K$106)</f>
        <v>10</v>
      </c>
      <c r="N81" s="470"/>
      <c r="O81" s="470"/>
      <c r="P81" s="166">
        <v>4</v>
      </c>
      <c r="Q81" s="166">
        <v>3318.4615384615349</v>
      </c>
      <c r="R81" s="166">
        <v>829.61538461538373</v>
      </c>
      <c r="S81" s="180">
        <f t="shared" si="38"/>
        <v>11</v>
      </c>
      <c r="T81" s="473"/>
      <c r="U81" s="166">
        <v>4</v>
      </c>
      <c r="V81" s="166">
        <v>3126.6666666666638</v>
      </c>
      <c r="W81" s="166">
        <v>781.66666666666595</v>
      </c>
      <c r="X81" s="180">
        <f t="shared" si="26"/>
        <v>12</v>
      </c>
      <c r="Y81" s="473"/>
      <c r="Z81" s="180">
        <v>4</v>
      </c>
      <c r="AA81" s="166">
        <v>3155.0000000000009</v>
      </c>
      <c r="AB81" s="166">
        <v>788.75000000000023</v>
      </c>
      <c r="AC81" s="180">
        <f t="shared" si="28"/>
        <v>10</v>
      </c>
      <c r="AD81" s="473"/>
      <c r="AE81" s="180">
        <v>4</v>
      </c>
      <c r="AF81" s="166">
        <v>3444.5454545454545</v>
      </c>
      <c r="AG81" s="166">
        <v>861.13636363636363</v>
      </c>
      <c r="AH81" s="180">
        <f t="shared" si="30"/>
        <v>9</v>
      </c>
      <c r="AI81" s="473"/>
      <c r="AJ81" s="180">
        <v>4</v>
      </c>
      <c r="AK81" s="166">
        <v>3354.2857142857197</v>
      </c>
      <c r="AL81" s="166">
        <v>838.57142857142992</v>
      </c>
      <c r="AM81" s="180">
        <f t="shared" si="32"/>
        <v>10</v>
      </c>
      <c r="AN81" s="473"/>
      <c r="AO81" s="180">
        <v>4</v>
      </c>
      <c r="AP81" s="166">
        <v>3172.1739130434785</v>
      </c>
      <c r="AQ81" s="166">
        <v>793.04347826086962</v>
      </c>
      <c r="AR81" s="180">
        <f t="shared" si="34"/>
        <v>10</v>
      </c>
      <c r="AS81" s="473"/>
      <c r="AT81" s="180">
        <v>4</v>
      </c>
      <c r="AU81" s="166">
        <v>3120.0000000000009</v>
      </c>
      <c r="AV81" s="166">
        <v>780.00000000000023</v>
      </c>
      <c r="AW81" s="180">
        <f t="shared" si="36"/>
        <v>11</v>
      </c>
      <c r="AX81" s="473"/>
    </row>
    <row r="82" spans="2:50">
      <c r="B82" s="488"/>
      <c r="C82" s="180">
        <v>6</v>
      </c>
      <c r="D82" s="180" t="s">
        <v>349</v>
      </c>
      <c r="E82" s="180">
        <v>4</v>
      </c>
      <c r="F82" s="180">
        <v>3600</v>
      </c>
      <c r="G82" s="180">
        <v>900</v>
      </c>
      <c r="H82" s="473"/>
      <c r="I82" s="166">
        <f t="shared" si="25"/>
        <v>4</v>
      </c>
      <c r="J82" s="166">
        <f t="shared" si="25"/>
        <v>3244.1628371628394</v>
      </c>
      <c r="K82" s="265">
        <f t="shared" si="25"/>
        <v>811.04070929070986</v>
      </c>
      <c r="L82" s="473"/>
      <c r="M82" s="166">
        <f>RANK(K82, K$77:$K$106)</f>
        <v>9</v>
      </c>
      <c r="N82" s="470"/>
      <c r="O82" s="470"/>
      <c r="P82" s="166">
        <v>4</v>
      </c>
      <c r="Q82" s="166">
        <v>3327.6923076923094</v>
      </c>
      <c r="R82" s="166">
        <v>831.92307692307736</v>
      </c>
      <c r="S82" s="180">
        <f t="shared" si="38"/>
        <v>10</v>
      </c>
      <c r="T82" s="473"/>
      <c r="U82" s="166">
        <v>4</v>
      </c>
      <c r="V82" s="166">
        <v>3221.5384615384633</v>
      </c>
      <c r="W82" s="166">
        <v>805.38461538461581</v>
      </c>
      <c r="X82" s="180">
        <f t="shared" si="26"/>
        <v>10</v>
      </c>
      <c r="Y82" s="473"/>
      <c r="Z82" s="180">
        <v>4</v>
      </c>
      <c r="AA82" s="166">
        <v>3015.0000000000009</v>
      </c>
      <c r="AB82" s="166">
        <v>753.75000000000023</v>
      </c>
      <c r="AC82" s="180">
        <f t="shared" si="28"/>
        <v>11</v>
      </c>
      <c r="AD82" s="473"/>
      <c r="AE82" s="180">
        <v>4</v>
      </c>
      <c r="AF82" s="166">
        <v>3329.9999999999986</v>
      </c>
      <c r="AG82" s="166">
        <v>832.49999999999966</v>
      </c>
      <c r="AH82" s="180">
        <f t="shared" si="30"/>
        <v>10</v>
      </c>
      <c r="AI82" s="473"/>
      <c r="AJ82" s="180">
        <v>4</v>
      </c>
      <c r="AK82" s="166">
        <v>3300.0000000000118</v>
      </c>
      <c r="AL82" s="166">
        <v>825.00000000000296</v>
      </c>
      <c r="AM82" s="180">
        <f t="shared" si="32"/>
        <v>11</v>
      </c>
      <c r="AN82" s="473"/>
      <c r="AO82" s="180">
        <v>4</v>
      </c>
      <c r="AP82" s="166">
        <v>3323.9999999999986</v>
      </c>
      <c r="AQ82" s="166">
        <v>830.99999999999966</v>
      </c>
      <c r="AR82" s="180">
        <f t="shared" si="34"/>
        <v>9</v>
      </c>
      <c r="AS82" s="473"/>
      <c r="AT82" s="180">
        <v>4</v>
      </c>
      <c r="AU82" s="166">
        <v>3190.909090909091</v>
      </c>
      <c r="AV82" s="166">
        <v>797.72727272727275</v>
      </c>
      <c r="AW82" s="180">
        <f t="shared" si="36"/>
        <v>9</v>
      </c>
      <c r="AX82" s="473"/>
    </row>
    <row r="83" spans="2:50">
      <c r="B83" s="488"/>
      <c r="C83" s="180">
        <v>7</v>
      </c>
      <c r="D83" s="180" t="s">
        <v>352</v>
      </c>
      <c r="E83" s="180">
        <v>4</v>
      </c>
      <c r="F83" s="180">
        <v>3300</v>
      </c>
      <c r="G83" s="180">
        <v>825</v>
      </c>
      <c r="H83" s="473"/>
      <c r="I83" s="166">
        <f t="shared" si="25"/>
        <v>4</v>
      </c>
      <c r="J83" s="166">
        <f t="shared" si="25"/>
        <v>2850.027972027975</v>
      </c>
      <c r="K83" s="265">
        <f t="shared" si="25"/>
        <v>712.50699300699375</v>
      </c>
      <c r="L83" s="473"/>
      <c r="M83" s="166">
        <f>RANK(K83, K$77:$K$106)</f>
        <v>13</v>
      </c>
      <c r="N83" s="470"/>
      <c r="O83" s="470"/>
      <c r="P83" s="166">
        <v>4</v>
      </c>
      <c r="Q83" s="166">
        <v>2960.0000000000105</v>
      </c>
      <c r="R83" s="166">
        <v>740.00000000000261</v>
      </c>
      <c r="S83" s="180">
        <f t="shared" si="38"/>
        <v>14</v>
      </c>
      <c r="T83" s="473"/>
      <c r="U83" s="166">
        <v>4</v>
      </c>
      <c r="V83" s="166">
        <v>2616.9230769230785</v>
      </c>
      <c r="W83" s="166">
        <v>654.23076923076962</v>
      </c>
      <c r="X83" s="180">
        <f t="shared" si="26"/>
        <v>18</v>
      </c>
      <c r="Y83" s="473"/>
      <c r="Z83" s="180">
        <v>4</v>
      </c>
      <c r="AA83" s="166">
        <v>2607.272727272727</v>
      </c>
      <c r="AB83" s="166">
        <v>651.81818181818176</v>
      </c>
      <c r="AC83" s="180">
        <f t="shared" si="28"/>
        <v>16</v>
      </c>
      <c r="AD83" s="473"/>
      <c r="AE83" s="180">
        <v>4</v>
      </c>
      <c r="AF83" s="166">
        <v>3073.3333333333444</v>
      </c>
      <c r="AG83" s="166">
        <v>768.3333333333361</v>
      </c>
      <c r="AH83" s="180">
        <f t="shared" si="30"/>
        <v>12</v>
      </c>
      <c r="AI83" s="473"/>
      <c r="AJ83" s="180">
        <v>4</v>
      </c>
      <c r="AK83" s="166">
        <v>3046.6666666666642</v>
      </c>
      <c r="AL83" s="166">
        <v>761.66666666666606</v>
      </c>
      <c r="AM83" s="180">
        <f t="shared" si="32"/>
        <v>13</v>
      </c>
      <c r="AN83" s="473"/>
      <c r="AO83" s="180">
        <v>4</v>
      </c>
      <c r="AP83" s="166">
        <v>2747.9999999999991</v>
      </c>
      <c r="AQ83" s="166">
        <v>686.99999999999977</v>
      </c>
      <c r="AR83" s="180">
        <f t="shared" si="34"/>
        <v>15</v>
      </c>
      <c r="AS83" s="473"/>
      <c r="AT83" s="180">
        <v>4</v>
      </c>
      <c r="AU83" s="166">
        <v>2897.9999999999991</v>
      </c>
      <c r="AV83" s="166">
        <v>724.49999999999977</v>
      </c>
      <c r="AW83" s="180">
        <f t="shared" si="36"/>
        <v>14</v>
      </c>
      <c r="AX83" s="473"/>
    </row>
    <row r="84" spans="2:50">
      <c r="B84" s="488"/>
      <c r="C84" s="180">
        <v>8</v>
      </c>
      <c r="D84" s="180" t="s">
        <v>353</v>
      </c>
      <c r="E84" s="180">
        <v>3</v>
      </c>
      <c r="F84" s="180">
        <v>3300</v>
      </c>
      <c r="G84" s="180">
        <v>1100</v>
      </c>
      <c r="H84" s="473"/>
      <c r="I84" s="166">
        <f t="shared" si="25"/>
        <v>3</v>
      </c>
      <c r="J84" s="166">
        <f t="shared" si="25"/>
        <v>3187.740616871049</v>
      </c>
      <c r="K84" s="265">
        <f t="shared" si="25"/>
        <v>1062.580205623683</v>
      </c>
      <c r="L84" s="473"/>
      <c r="M84" s="166">
        <f>RANK(K84, K$77:$K$106)</f>
        <v>3</v>
      </c>
      <c r="N84" s="470"/>
      <c r="O84" s="470"/>
      <c r="P84" s="166">
        <v>3</v>
      </c>
      <c r="Q84" s="166">
        <v>3182.3076923076942</v>
      </c>
      <c r="R84" s="166">
        <v>1060.7692307692314</v>
      </c>
      <c r="S84" s="180">
        <f t="shared" si="38"/>
        <v>3</v>
      </c>
      <c r="T84" s="473"/>
      <c r="U84" s="166">
        <v>3</v>
      </c>
      <c r="V84" s="166">
        <v>3131.5384615384728</v>
      </c>
      <c r="W84" s="166">
        <v>1043.8461538461577</v>
      </c>
      <c r="X84" s="180">
        <f t="shared" si="26"/>
        <v>3</v>
      </c>
      <c r="Y84" s="473"/>
      <c r="Z84" s="180">
        <v>3</v>
      </c>
      <c r="AA84" s="166">
        <v>3157.49999999999</v>
      </c>
      <c r="AB84" s="166">
        <v>1052.4999999999966</v>
      </c>
      <c r="AC84" s="180">
        <f t="shared" si="28"/>
        <v>3</v>
      </c>
      <c r="AD84" s="473"/>
      <c r="AE84" s="180">
        <v>3</v>
      </c>
      <c r="AF84" s="166">
        <v>3279.1304347826085</v>
      </c>
      <c r="AG84" s="166">
        <v>1093.0434782608695</v>
      </c>
      <c r="AH84" s="180">
        <f t="shared" si="30"/>
        <v>1</v>
      </c>
      <c r="AI84" s="473"/>
      <c r="AJ84" s="180">
        <v>3</v>
      </c>
      <c r="AK84" s="166">
        <v>3315.6521739130321</v>
      </c>
      <c r="AL84" s="166">
        <v>1105.2173913043441</v>
      </c>
      <c r="AM84" s="180">
        <f t="shared" si="32"/>
        <v>1</v>
      </c>
      <c r="AN84" s="473"/>
      <c r="AO84" s="180">
        <v>3</v>
      </c>
      <c r="AP84" s="166">
        <v>3132.4999999999905</v>
      </c>
      <c r="AQ84" s="166">
        <v>1044.1666666666636</v>
      </c>
      <c r="AR84" s="180">
        <f t="shared" si="34"/>
        <v>3</v>
      </c>
      <c r="AS84" s="473"/>
      <c r="AT84" s="180">
        <v>3</v>
      </c>
      <c r="AU84" s="166">
        <v>3115.555555555557</v>
      </c>
      <c r="AV84" s="166">
        <v>1038.5185185185189</v>
      </c>
      <c r="AW84" s="180">
        <f t="shared" si="36"/>
        <v>3</v>
      </c>
      <c r="AX84" s="473"/>
    </row>
    <row r="85" spans="2:50">
      <c r="B85" s="488"/>
      <c r="C85" s="180">
        <v>9</v>
      </c>
      <c r="D85" s="180" t="s">
        <v>354</v>
      </c>
      <c r="E85" s="180">
        <v>3</v>
      </c>
      <c r="F85" s="180">
        <v>3300</v>
      </c>
      <c r="G85" s="180">
        <v>1100</v>
      </c>
      <c r="H85" s="473"/>
      <c r="I85" s="166">
        <f t="shared" si="25"/>
        <v>3</v>
      </c>
      <c r="J85" s="166">
        <f t="shared" si="25"/>
        <v>2847.6402669117001</v>
      </c>
      <c r="K85" s="265">
        <f t="shared" si="25"/>
        <v>949.21342230389996</v>
      </c>
      <c r="L85" s="473"/>
      <c r="M85" s="166">
        <f>RANK(K85, K$77:$K$106)</f>
        <v>5</v>
      </c>
      <c r="N85" s="470"/>
      <c r="O85" s="470"/>
      <c r="P85" s="166">
        <v>3</v>
      </c>
      <c r="Q85" s="166">
        <v>2855.6250000000032</v>
      </c>
      <c r="R85" s="166">
        <v>951.87500000000102</v>
      </c>
      <c r="S85" s="180">
        <f t="shared" si="38"/>
        <v>7</v>
      </c>
      <c r="T85" s="473"/>
      <c r="U85" s="166">
        <v>3</v>
      </c>
      <c r="V85" s="166">
        <v>2774.5454545454513</v>
      </c>
      <c r="W85" s="166">
        <v>924.84848484848374</v>
      </c>
      <c r="X85" s="180">
        <f t="shared" si="26"/>
        <v>7</v>
      </c>
      <c r="Y85" s="473"/>
      <c r="Z85" s="180">
        <v>3</v>
      </c>
      <c r="AA85" s="166">
        <v>2748.3870967741891</v>
      </c>
      <c r="AB85" s="166">
        <v>916.12903225806303</v>
      </c>
      <c r="AC85" s="180">
        <f t="shared" si="28"/>
        <v>8</v>
      </c>
      <c r="AD85" s="473"/>
      <c r="AE85" s="180">
        <v>3</v>
      </c>
      <c r="AF85" s="166">
        <v>2995.7142857142794</v>
      </c>
      <c r="AG85" s="166">
        <v>998.57142857142651</v>
      </c>
      <c r="AH85" s="180">
        <f t="shared" si="30"/>
        <v>5</v>
      </c>
      <c r="AI85" s="473"/>
      <c r="AJ85" s="180">
        <v>3</v>
      </c>
      <c r="AK85" s="166">
        <v>2894.4827586206916</v>
      </c>
      <c r="AL85" s="166">
        <v>964.82758620689719</v>
      </c>
      <c r="AM85" s="180">
        <f t="shared" si="32"/>
        <v>5</v>
      </c>
      <c r="AN85" s="473"/>
      <c r="AO85" s="180">
        <v>3</v>
      </c>
      <c r="AP85" s="166">
        <v>2832.0000000000027</v>
      </c>
      <c r="AQ85" s="166">
        <v>944.00000000000091</v>
      </c>
      <c r="AR85" s="180">
        <f t="shared" si="34"/>
        <v>5</v>
      </c>
      <c r="AS85" s="473"/>
      <c r="AT85" s="180">
        <v>3</v>
      </c>
      <c r="AU85" s="166">
        <v>2832.7272727272825</v>
      </c>
      <c r="AV85" s="166">
        <v>944.24242424242755</v>
      </c>
      <c r="AW85" s="180">
        <f t="shared" si="36"/>
        <v>7</v>
      </c>
      <c r="AX85" s="473"/>
    </row>
    <row r="86" spans="2:50">
      <c r="B86" s="488"/>
      <c r="C86" s="180">
        <v>10</v>
      </c>
      <c r="D86" s="180" t="s">
        <v>355</v>
      </c>
      <c r="E86" s="180">
        <v>4</v>
      </c>
      <c r="F86" s="180">
        <v>3300</v>
      </c>
      <c r="G86" s="180">
        <v>825</v>
      </c>
      <c r="H86" s="473"/>
      <c r="I86" s="166">
        <f t="shared" si="25"/>
        <v>4</v>
      </c>
      <c r="J86" s="166">
        <f t="shared" si="25"/>
        <v>2814.0948082677432</v>
      </c>
      <c r="K86" s="265">
        <f t="shared" si="25"/>
        <v>703.52370206693581</v>
      </c>
      <c r="L86" s="473"/>
      <c r="M86" s="166">
        <f>RANK(K86, K$77:$K$106)</f>
        <v>15</v>
      </c>
      <c r="N86" s="470"/>
      <c r="O86" s="470"/>
      <c r="P86" s="166">
        <v>4</v>
      </c>
      <c r="Q86" s="166">
        <v>2892.5000000000009</v>
      </c>
      <c r="R86" s="166">
        <v>723.12500000000023</v>
      </c>
      <c r="S86" s="180">
        <f t="shared" si="38"/>
        <v>15</v>
      </c>
      <c r="T86" s="473"/>
      <c r="U86" s="166">
        <v>4</v>
      </c>
      <c r="V86" s="166">
        <v>2778.3673469387718</v>
      </c>
      <c r="W86" s="166">
        <v>694.59183673469295</v>
      </c>
      <c r="X86" s="180">
        <f t="shared" si="26"/>
        <v>15</v>
      </c>
      <c r="Y86" s="473"/>
      <c r="Z86" s="180">
        <v>4</v>
      </c>
      <c r="AA86" s="166">
        <v>2753.4782608695605</v>
      </c>
      <c r="AB86" s="166">
        <v>688.36956521739012</v>
      </c>
      <c r="AC86" s="180">
        <f t="shared" si="28"/>
        <v>15</v>
      </c>
      <c r="AD86" s="473"/>
      <c r="AE86" s="180">
        <v>4</v>
      </c>
      <c r="AF86" s="166">
        <v>2814.6666666666665</v>
      </c>
      <c r="AG86" s="166">
        <v>703.66666666666663</v>
      </c>
      <c r="AH86" s="180">
        <f t="shared" si="30"/>
        <v>16</v>
      </c>
      <c r="AI86" s="473"/>
      <c r="AJ86" s="180">
        <v>4</v>
      </c>
      <c r="AK86" s="166">
        <v>2813.181818181818</v>
      </c>
      <c r="AL86" s="166">
        <v>703.2954545454545</v>
      </c>
      <c r="AM86" s="180">
        <f t="shared" si="32"/>
        <v>17</v>
      </c>
      <c r="AN86" s="473"/>
      <c r="AO86" s="180">
        <v>4</v>
      </c>
      <c r="AP86" s="166">
        <v>2750.8695652173915</v>
      </c>
      <c r="AQ86" s="166">
        <v>687.71739130434787</v>
      </c>
      <c r="AR86" s="180">
        <f t="shared" si="34"/>
        <v>14</v>
      </c>
      <c r="AS86" s="473"/>
      <c r="AT86" s="180">
        <v>4</v>
      </c>
      <c r="AU86" s="166">
        <v>2895.5999999999963</v>
      </c>
      <c r="AV86" s="166">
        <v>723.89999999999907</v>
      </c>
      <c r="AW86" s="180">
        <f t="shared" si="36"/>
        <v>15</v>
      </c>
      <c r="AX86" s="473"/>
    </row>
    <row r="87" spans="2:50">
      <c r="B87" s="488"/>
      <c r="C87" s="180">
        <v>11</v>
      </c>
      <c r="D87" s="180" t="s">
        <v>356</v>
      </c>
      <c r="E87" s="180">
        <v>4</v>
      </c>
      <c r="F87" s="180">
        <v>3300</v>
      </c>
      <c r="G87" s="180">
        <v>825</v>
      </c>
      <c r="H87" s="473"/>
      <c r="I87" s="166">
        <f t="shared" si="25"/>
        <v>4</v>
      </c>
      <c r="J87" s="166">
        <f t="shared" si="25"/>
        <v>2830.1587816944957</v>
      </c>
      <c r="K87" s="265">
        <f t="shared" si="25"/>
        <v>707.53969542362393</v>
      </c>
      <c r="L87" s="473"/>
      <c r="M87" s="166">
        <f>RANK(K87, K$77:$K$106)</f>
        <v>14</v>
      </c>
      <c r="N87" s="470"/>
      <c r="O87" s="470"/>
      <c r="P87" s="166">
        <v>4</v>
      </c>
      <c r="Q87" s="166">
        <v>2830.9090909090905</v>
      </c>
      <c r="R87" s="166">
        <v>707.72727272727263</v>
      </c>
      <c r="S87" s="180">
        <f t="shared" si="38"/>
        <v>17</v>
      </c>
      <c r="T87" s="473"/>
      <c r="U87" s="166">
        <v>4</v>
      </c>
      <c r="V87" s="166">
        <v>2786.6666666666642</v>
      </c>
      <c r="W87" s="166">
        <v>696.66666666666606</v>
      </c>
      <c r="X87" s="180">
        <f t="shared" si="26"/>
        <v>14</v>
      </c>
      <c r="Y87" s="473"/>
      <c r="Z87" s="180">
        <v>4</v>
      </c>
      <c r="AA87" s="166">
        <v>2779.2000000000007</v>
      </c>
      <c r="AB87" s="166">
        <v>694.80000000000018</v>
      </c>
      <c r="AC87" s="180">
        <f t="shared" si="28"/>
        <v>12</v>
      </c>
      <c r="AD87" s="473"/>
      <c r="AE87" s="180">
        <v>4</v>
      </c>
      <c r="AF87" s="166">
        <v>2868.7500000000032</v>
      </c>
      <c r="AG87" s="166">
        <v>717.1875000000008</v>
      </c>
      <c r="AH87" s="180">
        <f t="shared" si="30"/>
        <v>14</v>
      </c>
      <c r="AI87" s="473"/>
      <c r="AJ87" s="180">
        <v>4</v>
      </c>
      <c r="AK87" s="166">
        <v>2864.9999999999982</v>
      </c>
      <c r="AL87" s="166">
        <v>716.24999999999955</v>
      </c>
      <c r="AM87" s="180">
        <f t="shared" si="32"/>
        <v>14</v>
      </c>
      <c r="AN87" s="473"/>
      <c r="AO87" s="180">
        <v>4</v>
      </c>
      <c r="AP87" s="166">
        <v>2878.8000000000006</v>
      </c>
      <c r="AQ87" s="166">
        <v>719.70000000000016</v>
      </c>
      <c r="AR87" s="180">
        <f t="shared" si="34"/>
        <v>13</v>
      </c>
      <c r="AS87" s="473"/>
      <c r="AT87" s="180">
        <v>4</v>
      </c>
      <c r="AU87" s="166">
        <v>2801.7857142857119</v>
      </c>
      <c r="AV87" s="166">
        <v>700.44642857142799</v>
      </c>
      <c r="AW87" s="180">
        <f t="shared" si="36"/>
        <v>18</v>
      </c>
      <c r="AX87" s="473"/>
    </row>
    <row r="88" spans="2:50">
      <c r="B88" s="488"/>
      <c r="C88" s="180">
        <v>12</v>
      </c>
      <c r="D88" s="180" t="s">
        <v>516</v>
      </c>
      <c r="E88" s="180">
        <v>4</v>
      </c>
      <c r="F88" s="180">
        <v>2800</v>
      </c>
      <c r="G88" s="180">
        <v>700</v>
      </c>
      <c r="H88" s="473"/>
      <c r="I88" s="166">
        <f t="shared" si="25"/>
        <v>4</v>
      </c>
      <c r="J88" s="166">
        <f t="shared" si="25"/>
        <v>2763.5828395207291</v>
      </c>
      <c r="K88" s="265">
        <f t="shared" si="25"/>
        <v>690.89570988018227</v>
      </c>
      <c r="L88" s="473"/>
      <c r="M88" s="166">
        <f>RANK(K88, K$77:$K$106)</f>
        <v>18</v>
      </c>
      <c r="N88" s="470"/>
      <c r="O88" s="470"/>
      <c r="P88" s="166">
        <v>4</v>
      </c>
      <c r="Q88" s="166">
        <v>2868.0000000000009</v>
      </c>
      <c r="R88" s="166">
        <v>717.00000000000023</v>
      </c>
      <c r="S88" s="180">
        <f t="shared" si="38"/>
        <v>16</v>
      </c>
      <c r="T88" s="473"/>
      <c r="U88" s="166">
        <v>4</v>
      </c>
      <c r="V88" s="166">
        <v>2762.3076923076937</v>
      </c>
      <c r="W88" s="166">
        <v>690.57692307692344</v>
      </c>
      <c r="X88" s="180">
        <f t="shared" si="26"/>
        <v>16</v>
      </c>
      <c r="Y88" s="473"/>
      <c r="Z88" s="180">
        <v>4</v>
      </c>
      <c r="AA88" s="166">
        <v>2353.8461538461588</v>
      </c>
      <c r="AB88" s="166">
        <v>588.4615384615397</v>
      </c>
      <c r="AC88" s="180">
        <f t="shared" si="28"/>
        <v>18</v>
      </c>
      <c r="AD88" s="473"/>
      <c r="AE88" s="180">
        <v>4</v>
      </c>
      <c r="AF88" s="166">
        <v>2885.7142857142903</v>
      </c>
      <c r="AG88" s="166">
        <v>721.42857142857258</v>
      </c>
      <c r="AH88" s="180">
        <f t="shared" si="30"/>
        <v>13</v>
      </c>
      <c r="AI88" s="473"/>
      <c r="AJ88" s="180">
        <v>4</v>
      </c>
      <c r="AK88" s="166">
        <v>2828.5714285714275</v>
      </c>
      <c r="AL88" s="166">
        <v>707.14285714285688</v>
      </c>
      <c r="AM88" s="180">
        <f t="shared" si="32"/>
        <v>16</v>
      </c>
      <c r="AN88" s="473"/>
      <c r="AO88" s="180">
        <v>4</v>
      </c>
      <c r="AP88" s="166">
        <v>2732.7272727272775</v>
      </c>
      <c r="AQ88" s="166">
        <v>683.18181818181938</v>
      </c>
      <c r="AR88" s="180">
        <f t="shared" si="34"/>
        <v>17</v>
      </c>
      <c r="AS88" s="473"/>
      <c r="AT88" s="180">
        <v>4</v>
      </c>
      <c r="AU88" s="166">
        <v>2913.913043478256</v>
      </c>
      <c r="AV88" s="166">
        <v>728.478260869564</v>
      </c>
      <c r="AW88" s="180">
        <f t="shared" si="36"/>
        <v>13</v>
      </c>
      <c r="AX88" s="473"/>
    </row>
    <row r="89" spans="2:50">
      <c r="B89" s="488"/>
      <c r="C89" s="180">
        <v>13</v>
      </c>
      <c r="D89" s="180" t="s">
        <v>357</v>
      </c>
      <c r="E89" s="180">
        <v>4</v>
      </c>
      <c r="F89" s="180">
        <v>3600</v>
      </c>
      <c r="G89" s="180">
        <v>900</v>
      </c>
      <c r="H89" s="473"/>
      <c r="I89" s="166">
        <f t="shared" si="25"/>
        <v>4</v>
      </c>
      <c r="J89" s="166">
        <f t="shared" si="25"/>
        <v>2789.4285714285666</v>
      </c>
      <c r="K89" s="265">
        <f t="shared" si="25"/>
        <v>697.35714285714164</v>
      </c>
      <c r="L89" s="473"/>
      <c r="M89" s="166">
        <f>RANK(K89, K$77:$K$106)</f>
        <v>17</v>
      </c>
      <c r="N89" s="470"/>
      <c r="O89" s="470"/>
      <c r="P89" s="166">
        <v>4</v>
      </c>
      <c r="Q89" s="166">
        <v>3460.0000000000123</v>
      </c>
      <c r="R89" s="166">
        <v>865.00000000000307</v>
      </c>
      <c r="S89" s="180">
        <f t="shared" si="38"/>
        <v>9</v>
      </c>
      <c r="T89" s="473"/>
      <c r="U89" s="166">
        <v>4</v>
      </c>
      <c r="V89" s="166">
        <v>3268.0000000000118</v>
      </c>
      <c r="W89" s="166">
        <v>817.00000000000296</v>
      </c>
      <c r="X89" s="180">
        <f t="shared" si="26"/>
        <v>9</v>
      </c>
      <c r="Y89" s="473"/>
      <c r="Z89" s="180">
        <v>4</v>
      </c>
      <c r="AA89" s="166">
        <v>2492.9999999999886</v>
      </c>
      <c r="AB89" s="166">
        <v>623.24999999999716</v>
      </c>
      <c r="AC89" s="180">
        <f t="shared" si="28"/>
        <v>17</v>
      </c>
      <c r="AD89" s="473"/>
      <c r="AE89" s="180">
        <v>4</v>
      </c>
      <c r="AF89" s="166">
        <v>2420.9999999999895</v>
      </c>
      <c r="AG89" s="166">
        <v>605.24999999999739</v>
      </c>
      <c r="AH89" s="180">
        <f t="shared" si="30"/>
        <v>18</v>
      </c>
      <c r="AI89" s="473"/>
      <c r="AJ89" s="180">
        <v>4</v>
      </c>
      <c r="AK89" s="166">
        <v>2444.9999999999895</v>
      </c>
      <c r="AL89" s="166">
        <v>611.24999999999739</v>
      </c>
      <c r="AM89" s="180">
        <f t="shared" si="32"/>
        <v>18</v>
      </c>
      <c r="AN89" s="473"/>
      <c r="AO89" s="180">
        <v>4</v>
      </c>
      <c r="AP89" s="166">
        <v>2624.9999999999886</v>
      </c>
      <c r="AQ89" s="166">
        <v>656.24999999999716</v>
      </c>
      <c r="AR89" s="180">
        <f t="shared" si="34"/>
        <v>18</v>
      </c>
      <c r="AS89" s="473"/>
      <c r="AT89" s="180">
        <v>4</v>
      </c>
      <c r="AU89" s="166">
        <v>2813.9999999999877</v>
      </c>
      <c r="AV89" s="166">
        <v>703.49999999999693</v>
      </c>
      <c r="AW89" s="180">
        <f t="shared" si="36"/>
        <v>17</v>
      </c>
      <c r="AX89" s="473"/>
    </row>
    <row r="90" spans="2:50">
      <c r="B90" s="488"/>
      <c r="C90" s="180">
        <v>14</v>
      </c>
      <c r="D90" s="180" t="s">
        <v>358</v>
      </c>
      <c r="E90" s="180">
        <v>4</v>
      </c>
      <c r="F90" s="180">
        <v>3600</v>
      </c>
      <c r="G90" s="180">
        <v>900</v>
      </c>
      <c r="H90" s="473"/>
      <c r="I90" s="166">
        <f t="shared" si="25"/>
        <v>4</v>
      </c>
      <c r="J90" s="166">
        <f t="shared" si="25"/>
        <v>1975.7142857142919</v>
      </c>
      <c r="K90" s="265">
        <f t="shared" si="25"/>
        <v>493.92857142857298</v>
      </c>
      <c r="L90" s="473"/>
      <c r="M90" s="166">
        <f>RANK(K90, K$77:$K$106)</f>
        <v>20</v>
      </c>
      <c r="N90" s="470"/>
      <c r="O90" s="470"/>
      <c r="P90" s="166">
        <v>4</v>
      </c>
      <c r="Q90" s="166">
        <v>2316.0000000000082</v>
      </c>
      <c r="R90" s="166">
        <v>579.00000000000205</v>
      </c>
      <c r="S90" s="180">
        <f t="shared" si="38"/>
        <v>20</v>
      </c>
      <c r="T90" s="473"/>
      <c r="U90" s="166">
        <v>4</v>
      </c>
      <c r="V90" s="166">
        <v>2063.9999999999745</v>
      </c>
      <c r="W90" s="166">
        <v>515.99999999999363</v>
      </c>
      <c r="X90" s="180">
        <f t="shared" si="26"/>
        <v>20</v>
      </c>
      <c r="Y90" s="473"/>
      <c r="Z90" s="180">
        <v>4</v>
      </c>
      <c r="AA90" s="166">
        <v>1962.000000000007</v>
      </c>
      <c r="AB90" s="166">
        <v>490.50000000000176</v>
      </c>
      <c r="AC90" s="180">
        <f t="shared" si="28"/>
        <v>20</v>
      </c>
      <c r="AD90" s="473"/>
      <c r="AE90" s="180">
        <v>4</v>
      </c>
      <c r="AF90" s="166">
        <v>1740.0000000000341</v>
      </c>
      <c r="AG90" s="166">
        <v>435.00000000000853</v>
      </c>
      <c r="AH90" s="180">
        <f t="shared" si="30"/>
        <v>20</v>
      </c>
      <c r="AI90" s="473"/>
      <c r="AJ90" s="180">
        <v>4</v>
      </c>
      <c r="AK90" s="166">
        <v>1860.0000000000362</v>
      </c>
      <c r="AL90" s="166">
        <v>465.00000000000904</v>
      </c>
      <c r="AM90" s="180">
        <f t="shared" si="32"/>
        <v>20</v>
      </c>
      <c r="AN90" s="473"/>
      <c r="AO90" s="180">
        <v>4</v>
      </c>
      <c r="AP90" s="166">
        <v>1823.9999999999773</v>
      </c>
      <c r="AQ90" s="166">
        <v>455.99999999999432</v>
      </c>
      <c r="AR90" s="180">
        <f t="shared" si="34"/>
        <v>20</v>
      </c>
      <c r="AS90" s="473"/>
      <c r="AT90" s="180">
        <v>4</v>
      </c>
      <c r="AU90" s="166">
        <v>2064.0000000000073</v>
      </c>
      <c r="AV90" s="166">
        <v>516.00000000000182</v>
      </c>
      <c r="AW90" s="180">
        <f t="shared" si="36"/>
        <v>20</v>
      </c>
      <c r="AX90" s="473"/>
    </row>
    <row r="91" spans="2:50">
      <c r="B91" s="488"/>
      <c r="C91" s="180">
        <v>15</v>
      </c>
      <c r="D91" s="180" t="s">
        <v>439</v>
      </c>
      <c r="E91" s="180">
        <v>4</v>
      </c>
      <c r="F91" s="180">
        <v>3300</v>
      </c>
      <c r="G91" s="180">
        <v>825</v>
      </c>
      <c r="H91" s="473"/>
      <c r="I91" s="166">
        <f t="shared" si="25"/>
        <v>3</v>
      </c>
      <c r="J91" s="166">
        <f t="shared" si="25"/>
        <v>2835.7165234514882</v>
      </c>
      <c r="K91" s="265">
        <f t="shared" si="25"/>
        <v>945.23884115049589</v>
      </c>
      <c r="L91" s="473"/>
      <c r="M91" s="166">
        <f>RANK(K91, K$77:$K$106)</f>
        <v>6</v>
      </c>
      <c r="N91" s="470"/>
      <c r="O91" s="470"/>
      <c r="P91" s="166">
        <v>3</v>
      </c>
      <c r="Q91" s="166">
        <v>2873.3333333333376</v>
      </c>
      <c r="R91" s="166">
        <v>957.77777777777919</v>
      </c>
      <c r="S91" s="180">
        <f t="shared" si="38"/>
        <v>5</v>
      </c>
      <c r="T91" s="473"/>
      <c r="U91" s="166">
        <v>3</v>
      </c>
      <c r="V91" s="166">
        <v>2715.7894736842086</v>
      </c>
      <c r="W91" s="166">
        <v>905.2631578947362</v>
      </c>
      <c r="X91" s="180">
        <f t="shared" si="26"/>
        <v>8</v>
      </c>
      <c r="Y91" s="473"/>
      <c r="Z91" s="180">
        <v>3</v>
      </c>
      <c r="AA91" s="166">
        <v>2763.7500000000032</v>
      </c>
      <c r="AB91" s="166">
        <v>921.25000000000102</v>
      </c>
      <c r="AC91" s="180">
        <f t="shared" si="28"/>
        <v>7</v>
      </c>
      <c r="AD91" s="473"/>
      <c r="AE91" s="180">
        <v>3</v>
      </c>
      <c r="AF91" s="166">
        <v>2944.2857142857165</v>
      </c>
      <c r="AG91" s="166">
        <v>981.42857142857213</v>
      </c>
      <c r="AH91" s="180">
        <f t="shared" si="30"/>
        <v>6</v>
      </c>
      <c r="AI91" s="473"/>
      <c r="AJ91" s="180">
        <v>3</v>
      </c>
      <c r="AK91" s="166">
        <v>2892.8571428571449</v>
      </c>
      <c r="AL91" s="166">
        <v>964.28571428571502</v>
      </c>
      <c r="AM91" s="180">
        <f t="shared" si="32"/>
        <v>6</v>
      </c>
      <c r="AN91" s="473"/>
      <c r="AO91" s="180">
        <v>3</v>
      </c>
      <c r="AP91" s="166">
        <v>2716.0000000000027</v>
      </c>
      <c r="AQ91" s="166">
        <v>905.33333333333428</v>
      </c>
      <c r="AR91" s="180">
        <f t="shared" si="34"/>
        <v>7</v>
      </c>
      <c r="AS91" s="473"/>
      <c r="AT91" s="180">
        <v>3</v>
      </c>
      <c r="AU91" s="166">
        <v>2944.0000000000027</v>
      </c>
      <c r="AV91" s="166">
        <v>981.33333333333428</v>
      </c>
      <c r="AW91" s="180">
        <f t="shared" si="36"/>
        <v>5</v>
      </c>
      <c r="AX91" s="473"/>
    </row>
    <row r="92" spans="2:50">
      <c r="B92" s="488"/>
      <c r="C92" s="180">
        <v>16</v>
      </c>
      <c r="D92" s="180" t="s">
        <v>514</v>
      </c>
      <c r="E92" s="180">
        <v>3</v>
      </c>
      <c r="F92" s="180">
        <v>2800</v>
      </c>
      <c r="G92" s="180">
        <v>933.33333333333337</v>
      </c>
      <c r="H92" s="473"/>
      <c r="I92" s="166">
        <f t="shared" si="25"/>
        <v>3</v>
      </c>
      <c r="J92" s="166">
        <f t="shared" si="25"/>
        <v>2752.1298701298715</v>
      </c>
      <c r="K92" s="265">
        <f t="shared" si="25"/>
        <v>917.37662337662368</v>
      </c>
      <c r="L92" s="473"/>
      <c r="M92" s="166">
        <f>RANK(K92, K$77:$K$106)</f>
        <v>8</v>
      </c>
      <c r="N92" s="470"/>
      <c r="O92" s="470"/>
      <c r="P92" s="166">
        <v>3</v>
      </c>
      <c r="Q92" s="166">
        <v>2604.0000000000091</v>
      </c>
      <c r="R92" s="166">
        <v>868.00000000000307</v>
      </c>
      <c r="S92" s="180">
        <f t="shared" si="38"/>
        <v>8</v>
      </c>
      <c r="T92" s="473"/>
      <c r="U92" s="166">
        <v>3</v>
      </c>
      <c r="V92" s="166">
        <v>2800.9090909090805</v>
      </c>
      <c r="W92" s="166">
        <v>933.63636363636022</v>
      </c>
      <c r="X92" s="180">
        <f t="shared" si="26"/>
        <v>5</v>
      </c>
      <c r="Y92" s="473"/>
      <c r="Z92" s="180">
        <v>3</v>
      </c>
      <c r="AA92" s="166">
        <v>2844.00000000001</v>
      </c>
      <c r="AB92" s="166">
        <v>948.0000000000033</v>
      </c>
      <c r="AC92" s="180">
        <f t="shared" si="28"/>
        <v>5</v>
      </c>
      <c r="AD92" s="473"/>
      <c r="AE92" s="180">
        <v>3</v>
      </c>
      <c r="AF92" s="166">
        <v>2817.00000000001</v>
      </c>
      <c r="AG92" s="166">
        <v>939.0000000000033</v>
      </c>
      <c r="AH92" s="180">
        <f t="shared" si="30"/>
        <v>8</v>
      </c>
      <c r="AI92" s="473"/>
      <c r="AJ92" s="180">
        <v>3</v>
      </c>
      <c r="AK92" s="166">
        <v>2799.00000000001</v>
      </c>
      <c r="AL92" s="166">
        <v>933.0000000000033</v>
      </c>
      <c r="AM92" s="180">
        <f t="shared" si="32"/>
        <v>8</v>
      </c>
      <c r="AN92" s="473"/>
      <c r="AO92" s="180">
        <v>3</v>
      </c>
      <c r="AP92" s="166">
        <v>2891.9999999999868</v>
      </c>
      <c r="AQ92" s="166">
        <v>963.99999999999557</v>
      </c>
      <c r="AR92" s="180">
        <f t="shared" si="34"/>
        <v>4</v>
      </c>
      <c r="AS92" s="473"/>
      <c r="AT92" s="180">
        <v>3</v>
      </c>
      <c r="AU92" s="166">
        <v>2507.9999999999932</v>
      </c>
      <c r="AV92" s="166">
        <v>835.99999999999773</v>
      </c>
      <c r="AW92" s="180">
        <f t="shared" si="36"/>
        <v>8</v>
      </c>
      <c r="AX92" s="473"/>
    </row>
    <row r="93" spans="2:50">
      <c r="B93" s="488"/>
      <c r="C93" s="180">
        <v>17</v>
      </c>
      <c r="D93" s="180" t="s">
        <v>570</v>
      </c>
      <c r="E93" s="180">
        <v>4</v>
      </c>
      <c r="F93" s="180">
        <v>3000</v>
      </c>
      <c r="G93" s="180">
        <v>750</v>
      </c>
      <c r="H93" s="473"/>
      <c r="I93" s="166">
        <f t="shared" ref="I93:K97" si="39">AVERAGE(P93,U93,Z93,AE93,AJ93,AO93,AT93)</f>
        <v>3</v>
      </c>
      <c r="J93" s="166">
        <f t="shared" si="39"/>
        <v>2239.8095238095239</v>
      </c>
      <c r="K93" s="265">
        <f t="shared" si="39"/>
        <v>746.60317460317458</v>
      </c>
      <c r="L93" s="473"/>
      <c r="M93" s="166">
        <f>RANK(K93, K$77:$K$106)</f>
        <v>12</v>
      </c>
      <c r="N93" s="470"/>
      <c r="O93" s="470"/>
      <c r="P93" s="166">
        <v>3</v>
      </c>
      <c r="Q93" s="166">
        <v>2357.3333333333335</v>
      </c>
      <c r="R93" s="166">
        <v>785.77777777777783</v>
      </c>
      <c r="S93" s="180">
        <f t="shared" si="38"/>
        <v>13</v>
      </c>
      <c r="T93" s="473"/>
      <c r="U93" s="166">
        <v>3</v>
      </c>
      <c r="V93" s="166">
        <v>2224</v>
      </c>
      <c r="W93" s="166">
        <v>741.33333333333337</v>
      </c>
      <c r="X93" s="180">
        <f t="shared" si="26"/>
        <v>13</v>
      </c>
      <c r="Y93" s="473"/>
      <c r="Z93" s="180">
        <v>3</v>
      </c>
      <c r="AA93" s="166">
        <v>2080</v>
      </c>
      <c r="AB93" s="166">
        <v>693.33333333333337</v>
      </c>
      <c r="AC93" s="180">
        <f t="shared" si="28"/>
        <v>13</v>
      </c>
      <c r="AD93" s="473"/>
      <c r="AE93" s="180">
        <v>3</v>
      </c>
      <c r="AF93" s="166">
        <v>2092</v>
      </c>
      <c r="AG93" s="166">
        <v>697.33333333333337</v>
      </c>
      <c r="AH93" s="180">
        <f t="shared" si="30"/>
        <v>17</v>
      </c>
      <c r="AI93" s="473"/>
      <c r="AJ93" s="180">
        <v>3</v>
      </c>
      <c r="AK93" s="166">
        <v>2297.9999999999991</v>
      </c>
      <c r="AL93" s="166">
        <v>765.99999999999966</v>
      </c>
      <c r="AM93" s="180">
        <f t="shared" si="32"/>
        <v>12</v>
      </c>
      <c r="AN93" s="473"/>
      <c r="AO93" s="180">
        <v>3</v>
      </c>
      <c r="AP93" s="166">
        <v>2297.9999999999991</v>
      </c>
      <c r="AQ93" s="166">
        <v>765.99999999999966</v>
      </c>
      <c r="AR93" s="180">
        <f t="shared" si="34"/>
        <v>11</v>
      </c>
      <c r="AS93" s="473"/>
      <c r="AT93" s="180">
        <v>3</v>
      </c>
      <c r="AU93" s="166">
        <v>2329.3333333333335</v>
      </c>
      <c r="AV93" s="166">
        <v>776.44444444444446</v>
      </c>
      <c r="AW93" s="180">
        <f t="shared" si="36"/>
        <v>12</v>
      </c>
      <c r="AX93" s="473"/>
    </row>
    <row r="94" spans="2:50">
      <c r="B94" s="488"/>
      <c r="C94" s="180">
        <v>18</v>
      </c>
      <c r="D94" s="180" t="s">
        <v>521</v>
      </c>
      <c r="E94" s="180">
        <v>12</v>
      </c>
      <c r="F94" s="180">
        <v>1500</v>
      </c>
      <c r="G94" s="180">
        <v>125</v>
      </c>
      <c r="H94" s="473"/>
      <c r="I94" s="166">
        <f t="shared" si="39"/>
        <v>8.5714285714285712</v>
      </c>
      <c r="J94" s="166">
        <f t="shared" si="39"/>
        <v>1486.2649350649342</v>
      </c>
      <c r="K94" s="265">
        <f t="shared" si="39"/>
        <v>175.72597402597395</v>
      </c>
      <c r="L94" s="473"/>
      <c r="M94" s="166">
        <f>RANK(K94, K$77:$K$106)</f>
        <v>21</v>
      </c>
      <c r="N94" s="470"/>
      <c r="O94" s="470"/>
      <c r="P94" s="166">
        <v>10</v>
      </c>
      <c r="Q94" s="166">
        <v>1407.9999999999975</v>
      </c>
      <c r="R94" s="166">
        <v>140.79999999999976</v>
      </c>
      <c r="S94" s="180">
        <f t="shared" si="38"/>
        <v>21</v>
      </c>
      <c r="T94" s="473"/>
      <c r="U94" s="166">
        <v>10</v>
      </c>
      <c r="V94" s="166">
        <v>1407.9999999999975</v>
      </c>
      <c r="W94" s="166">
        <v>140.79999999999976</v>
      </c>
      <c r="X94" s="180">
        <f t="shared" si="26"/>
        <v>21</v>
      </c>
      <c r="Y94" s="473"/>
      <c r="Z94" s="180">
        <v>8</v>
      </c>
      <c r="AA94" s="166">
        <v>1582.8000000000004</v>
      </c>
      <c r="AB94" s="166">
        <v>197.85000000000005</v>
      </c>
      <c r="AC94" s="180">
        <f t="shared" si="28"/>
        <v>21</v>
      </c>
      <c r="AD94" s="473"/>
      <c r="AE94" s="180">
        <v>8</v>
      </c>
      <c r="AF94" s="166">
        <v>1569.6000000000004</v>
      </c>
      <c r="AG94" s="166">
        <v>196.20000000000005</v>
      </c>
      <c r="AH94" s="180">
        <f t="shared" si="30"/>
        <v>21</v>
      </c>
      <c r="AI94" s="473"/>
      <c r="AJ94" s="180">
        <v>8</v>
      </c>
      <c r="AK94" s="166">
        <v>1541.9999999999957</v>
      </c>
      <c r="AL94" s="166">
        <v>192.74999999999946</v>
      </c>
      <c r="AM94" s="180">
        <f t="shared" si="32"/>
        <v>21</v>
      </c>
      <c r="AN94" s="473"/>
      <c r="AO94" s="180">
        <v>8</v>
      </c>
      <c r="AP94" s="166">
        <v>1445.4545454545464</v>
      </c>
      <c r="AQ94" s="166">
        <v>180.6818181818183</v>
      </c>
      <c r="AR94" s="180">
        <f t="shared" si="34"/>
        <v>21</v>
      </c>
      <c r="AS94" s="473"/>
      <c r="AT94" s="180">
        <v>8</v>
      </c>
      <c r="AU94" s="166">
        <v>1448.0000000000014</v>
      </c>
      <c r="AV94" s="166">
        <v>181.00000000000017</v>
      </c>
      <c r="AW94" s="180">
        <f t="shared" si="36"/>
        <v>21</v>
      </c>
      <c r="AX94" s="473"/>
    </row>
    <row r="95" spans="2:50">
      <c r="B95" s="488"/>
      <c r="C95" s="180">
        <v>19</v>
      </c>
      <c r="D95" s="180" t="s">
        <v>583</v>
      </c>
      <c r="E95" s="180">
        <v>4</v>
      </c>
      <c r="F95" s="180">
        <v>3000</v>
      </c>
      <c r="G95" s="180">
        <v>750</v>
      </c>
      <c r="H95" s="473"/>
      <c r="I95" s="166">
        <f t="shared" si="39"/>
        <v>4</v>
      </c>
      <c r="J95" s="166">
        <f t="shared" si="39"/>
        <v>2201.1999999999971</v>
      </c>
      <c r="K95" s="265">
        <f t="shared" si="39"/>
        <v>550.29999999999927</v>
      </c>
      <c r="L95" s="473"/>
      <c r="M95" s="166">
        <f>RANK(K95, K$77:$K$106)</f>
        <v>19</v>
      </c>
      <c r="N95" s="470"/>
      <c r="O95" s="470"/>
      <c r="P95" s="166">
        <v>4</v>
      </c>
      <c r="Q95" s="166">
        <v>2343.9999999999959</v>
      </c>
      <c r="R95" s="166">
        <v>585.99999999999898</v>
      </c>
      <c r="S95" s="180">
        <f t="shared" si="38"/>
        <v>19</v>
      </c>
      <c r="T95" s="473"/>
      <c r="U95" s="166">
        <v>4</v>
      </c>
      <c r="V95" s="166">
        <v>2189.9999999999964</v>
      </c>
      <c r="W95" s="166">
        <v>547.49999999999909</v>
      </c>
      <c r="X95" s="180">
        <f t="shared" si="26"/>
        <v>19</v>
      </c>
      <c r="Y95" s="473"/>
      <c r="Z95" s="180">
        <v>4</v>
      </c>
      <c r="AA95" s="166">
        <v>2011.9999999999964</v>
      </c>
      <c r="AB95" s="166">
        <v>502.99999999999909</v>
      </c>
      <c r="AC95" s="180">
        <f t="shared" si="28"/>
        <v>19</v>
      </c>
      <c r="AD95" s="473"/>
      <c r="AE95" s="180">
        <v>4</v>
      </c>
      <c r="AF95" s="166">
        <v>2256.0000000000082</v>
      </c>
      <c r="AG95" s="166">
        <v>564.00000000000205</v>
      </c>
      <c r="AH95" s="180">
        <f t="shared" si="30"/>
        <v>19</v>
      </c>
      <c r="AI95" s="473"/>
      <c r="AJ95" s="180">
        <v>4</v>
      </c>
      <c r="AK95" s="166">
        <v>2251.1999999999939</v>
      </c>
      <c r="AL95" s="166">
        <v>562.79999999999848</v>
      </c>
      <c r="AM95" s="180">
        <f t="shared" si="32"/>
        <v>19</v>
      </c>
      <c r="AN95" s="473"/>
      <c r="AO95" s="180">
        <v>4</v>
      </c>
      <c r="AP95" s="166">
        <v>2251.1999999999939</v>
      </c>
      <c r="AQ95" s="166">
        <v>562.79999999999848</v>
      </c>
      <c r="AR95" s="180">
        <f t="shared" si="34"/>
        <v>19</v>
      </c>
      <c r="AS95" s="473"/>
      <c r="AT95" s="180">
        <v>4</v>
      </c>
      <c r="AU95" s="166">
        <v>2103.9999999999964</v>
      </c>
      <c r="AV95" s="166">
        <v>525.99999999999909</v>
      </c>
      <c r="AW95" s="180">
        <f t="shared" si="36"/>
        <v>19</v>
      </c>
      <c r="AX95" s="473"/>
    </row>
    <row r="96" spans="2:50">
      <c r="B96" s="488"/>
      <c r="C96" s="180">
        <v>20</v>
      </c>
      <c r="D96" s="180" t="s">
        <v>627</v>
      </c>
      <c r="E96" s="180">
        <v>3</v>
      </c>
      <c r="F96" s="180">
        <v>2800</v>
      </c>
      <c r="G96" s="180">
        <v>933.33333333333337</v>
      </c>
      <c r="H96" s="473"/>
      <c r="I96" s="166">
        <f t="shared" si="39"/>
        <v>3</v>
      </c>
      <c r="J96" s="166">
        <f t="shared" si="39"/>
        <v>2815.5424792006802</v>
      </c>
      <c r="K96" s="265">
        <f t="shared" si="39"/>
        <v>938.51415973355995</v>
      </c>
      <c r="L96" s="473"/>
      <c r="M96" s="166">
        <f>RANK(K96, K$77:$K$106)</f>
        <v>7</v>
      </c>
      <c r="N96" s="470"/>
      <c r="O96" s="470"/>
      <c r="P96" s="166">
        <v>3</v>
      </c>
      <c r="Q96" s="166">
        <v>2861.2500000000009</v>
      </c>
      <c r="R96" s="166">
        <v>953.75000000000034</v>
      </c>
      <c r="S96" s="180">
        <f t="shared" si="38"/>
        <v>6</v>
      </c>
      <c r="T96" s="473"/>
      <c r="U96" s="166">
        <v>3</v>
      </c>
      <c r="V96" s="166">
        <v>2790.6382978723364</v>
      </c>
      <c r="W96" s="166">
        <v>930.21276595744541</v>
      </c>
      <c r="X96" s="180">
        <f t="shared" si="26"/>
        <v>6</v>
      </c>
      <c r="Y96" s="473"/>
      <c r="Z96" s="180">
        <v>3</v>
      </c>
      <c r="AA96" s="166">
        <v>2771.1627906976742</v>
      </c>
      <c r="AB96" s="166">
        <v>923.72093023255809</v>
      </c>
      <c r="AC96" s="180">
        <f t="shared" si="28"/>
        <v>6</v>
      </c>
      <c r="AD96" s="473"/>
      <c r="AE96" s="180">
        <v>3</v>
      </c>
      <c r="AF96" s="166">
        <v>2831.7073170731701</v>
      </c>
      <c r="AG96" s="166">
        <v>943.90243902438999</v>
      </c>
      <c r="AH96" s="180">
        <f t="shared" si="30"/>
        <v>7</v>
      </c>
      <c r="AI96" s="473"/>
      <c r="AJ96" s="180">
        <v>3</v>
      </c>
      <c r="AK96" s="166">
        <v>2833.170731707316</v>
      </c>
      <c r="AL96" s="166">
        <v>944.39024390243867</v>
      </c>
      <c r="AM96" s="180">
        <f t="shared" si="32"/>
        <v>7</v>
      </c>
      <c r="AN96" s="473"/>
      <c r="AO96" s="180">
        <v>3</v>
      </c>
      <c r="AP96" s="166">
        <v>2779.5348837209294</v>
      </c>
      <c r="AQ96" s="166">
        <v>926.51162790697651</v>
      </c>
      <c r="AR96" s="180">
        <f t="shared" si="34"/>
        <v>6</v>
      </c>
      <c r="AS96" s="473"/>
      <c r="AT96" s="180">
        <v>3</v>
      </c>
      <c r="AU96" s="166">
        <v>2841.333333333333</v>
      </c>
      <c r="AV96" s="166">
        <v>947.11111111111097</v>
      </c>
      <c r="AW96" s="180">
        <f t="shared" si="36"/>
        <v>6</v>
      </c>
      <c r="AX96" s="473"/>
    </row>
    <row r="97" spans="2:50">
      <c r="B97" s="488"/>
      <c r="C97" s="180">
        <v>21</v>
      </c>
      <c r="D97" s="180" t="s">
        <v>706</v>
      </c>
      <c r="E97" s="180">
        <v>4</v>
      </c>
      <c r="F97" s="180">
        <v>2800</v>
      </c>
      <c r="G97" s="180">
        <v>700</v>
      </c>
      <c r="H97" s="473"/>
      <c r="I97" s="166">
        <f t="shared" si="39"/>
        <v>4</v>
      </c>
      <c r="J97" s="166">
        <f t="shared" si="39"/>
        <v>2803.1225885524827</v>
      </c>
      <c r="K97" s="265">
        <f t="shared" si="39"/>
        <v>700.78064713812068</v>
      </c>
      <c r="L97" s="473"/>
      <c r="M97" s="166">
        <f>RANK(K97, K$77:$K$106)</f>
        <v>16</v>
      </c>
      <c r="N97" s="470"/>
      <c r="O97" s="470"/>
      <c r="P97" s="180">
        <v>4</v>
      </c>
      <c r="Q97" s="166">
        <v>2815.2631578947412</v>
      </c>
      <c r="R97" s="265">
        <v>703.8157894736853</v>
      </c>
      <c r="S97" s="180">
        <f t="shared" si="38"/>
        <v>18</v>
      </c>
      <c r="T97" s="473"/>
      <c r="U97" s="180">
        <v>4</v>
      </c>
      <c r="V97" s="166">
        <v>2756.8421052631556</v>
      </c>
      <c r="W97" s="265">
        <v>689.21052631578891</v>
      </c>
      <c r="X97" s="180">
        <f t="shared" si="26"/>
        <v>17</v>
      </c>
      <c r="Y97" s="473"/>
      <c r="Z97" s="180">
        <v>4</v>
      </c>
      <c r="AA97" s="166">
        <v>2772.7272727272757</v>
      </c>
      <c r="AB97" s="166">
        <v>693.18181818181893</v>
      </c>
      <c r="AC97" s="180">
        <f t="shared" si="28"/>
        <v>14</v>
      </c>
      <c r="AD97" s="473"/>
      <c r="AE97" s="180">
        <v>4</v>
      </c>
      <c r="AF97" s="166">
        <v>2837.4193548387047</v>
      </c>
      <c r="AG97" s="166">
        <v>709.35483870967619</v>
      </c>
      <c r="AH97" s="180">
        <f t="shared" si="30"/>
        <v>15</v>
      </c>
      <c r="AI97" s="473"/>
      <c r="AJ97" s="180">
        <v>4</v>
      </c>
      <c r="AK97" s="166">
        <v>2846.8965517241404</v>
      </c>
      <c r="AL97" s="166">
        <v>711.7241379310351</v>
      </c>
      <c r="AM97" s="180">
        <f t="shared" si="32"/>
        <v>15</v>
      </c>
      <c r="AN97" s="473"/>
      <c r="AO97" s="180">
        <v>4</v>
      </c>
      <c r="AP97" s="166">
        <v>2734.0000000000027</v>
      </c>
      <c r="AQ97" s="166">
        <v>683.50000000000068</v>
      </c>
      <c r="AR97" s="180">
        <f t="shared" si="34"/>
        <v>16</v>
      </c>
      <c r="AS97" s="473"/>
      <c r="AT97" s="180">
        <v>4</v>
      </c>
      <c r="AU97" s="166">
        <v>2858.7096774193574</v>
      </c>
      <c r="AV97" s="166">
        <v>714.67741935483934</v>
      </c>
      <c r="AW97" s="180">
        <f t="shared" si="36"/>
        <v>16</v>
      </c>
      <c r="AX97" s="473"/>
    </row>
    <row r="98" spans="2:50">
      <c r="B98" s="488"/>
      <c r="C98" s="180">
        <v>22</v>
      </c>
      <c r="D98" s="180"/>
      <c r="E98" s="180"/>
      <c r="F98" s="180"/>
      <c r="G98" s="180"/>
      <c r="H98" s="473"/>
      <c r="I98" s="166"/>
      <c r="J98" s="166"/>
      <c r="K98" s="265"/>
      <c r="L98" s="473"/>
      <c r="M98" s="166" t="e">
        <f>RANK(K98, K$77:$K$106)</f>
        <v>#N/A</v>
      </c>
      <c r="N98" s="470"/>
      <c r="O98" s="470"/>
      <c r="P98" s="180"/>
      <c r="Q98" s="166"/>
      <c r="R98" s="265"/>
      <c r="S98" s="180" t="e">
        <f t="shared" si="38"/>
        <v>#N/A</v>
      </c>
      <c r="T98" s="473"/>
      <c r="U98" s="180"/>
      <c r="V98" s="166"/>
      <c r="W98" s="265"/>
      <c r="X98" s="180" t="e">
        <f t="shared" si="26"/>
        <v>#N/A</v>
      </c>
      <c r="Y98" s="473"/>
      <c r="Z98" s="180"/>
      <c r="AA98" s="166"/>
      <c r="AB98" s="265"/>
      <c r="AC98" s="180" t="e">
        <f t="shared" si="28"/>
        <v>#N/A</v>
      </c>
      <c r="AD98" s="473"/>
      <c r="AE98" s="180"/>
      <c r="AF98" s="166"/>
      <c r="AG98" s="265"/>
      <c r="AH98" s="180" t="e">
        <f t="shared" si="30"/>
        <v>#N/A</v>
      </c>
      <c r="AI98" s="473"/>
      <c r="AJ98" s="180"/>
      <c r="AK98" s="166"/>
      <c r="AL98" s="265"/>
      <c r="AM98" s="180" t="e">
        <f t="shared" si="32"/>
        <v>#N/A</v>
      </c>
      <c r="AN98" s="473"/>
      <c r="AO98" s="180"/>
      <c r="AP98" s="166"/>
      <c r="AQ98" s="265"/>
      <c r="AR98" s="180" t="e">
        <f t="shared" si="34"/>
        <v>#N/A</v>
      </c>
      <c r="AS98" s="473"/>
      <c r="AT98" s="180"/>
      <c r="AU98" s="166"/>
      <c r="AV98" s="265"/>
      <c r="AW98" s="180" t="e">
        <f t="shared" si="36"/>
        <v>#N/A</v>
      </c>
      <c r="AX98" s="473"/>
    </row>
    <row r="99" spans="2:50">
      <c r="B99" s="488"/>
      <c r="C99" s="180">
        <v>23</v>
      </c>
      <c r="D99" s="180"/>
      <c r="E99" s="180"/>
      <c r="F99" s="180"/>
      <c r="G99" s="180"/>
      <c r="H99" s="473"/>
      <c r="I99" s="166"/>
      <c r="J99" s="166"/>
      <c r="K99" s="265"/>
      <c r="L99" s="473"/>
      <c r="M99" s="166" t="e">
        <f>RANK(K99, K$77:$K$106)</f>
        <v>#N/A</v>
      </c>
      <c r="N99" s="470"/>
      <c r="O99" s="470"/>
      <c r="P99" s="180"/>
      <c r="Q99" s="166"/>
      <c r="R99" s="265"/>
      <c r="S99" s="180" t="e">
        <f t="shared" si="38"/>
        <v>#N/A</v>
      </c>
      <c r="T99" s="473"/>
      <c r="U99" s="180"/>
      <c r="V99" s="166"/>
      <c r="W99" s="265"/>
      <c r="X99" s="180" t="e">
        <f t="shared" si="26"/>
        <v>#N/A</v>
      </c>
      <c r="Y99" s="473"/>
      <c r="Z99" s="180"/>
      <c r="AA99" s="166"/>
      <c r="AB99" s="265"/>
      <c r="AC99" s="180" t="e">
        <f t="shared" si="28"/>
        <v>#N/A</v>
      </c>
      <c r="AD99" s="473"/>
      <c r="AE99" s="180"/>
      <c r="AF99" s="166"/>
      <c r="AG99" s="265"/>
      <c r="AH99" s="180" t="e">
        <f t="shared" si="30"/>
        <v>#N/A</v>
      </c>
      <c r="AI99" s="473"/>
      <c r="AJ99" s="180"/>
      <c r="AK99" s="166"/>
      <c r="AL99" s="265"/>
      <c r="AM99" s="180" t="e">
        <f t="shared" si="32"/>
        <v>#N/A</v>
      </c>
      <c r="AN99" s="473"/>
      <c r="AO99" s="180"/>
      <c r="AP99" s="166"/>
      <c r="AQ99" s="265"/>
      <c r="AR99" s="180" t="e">
        <f t="shared" si="34"/>
        <v>#N/A</v>
      </c>
      <c r="AS99" s="473"/>
      <c r="AT99" s="180"/>
      <c r="AU99" s="166"/>
      <c r="AV99" s="265"/>
      <c r="AW99" s="180" t="e">
        <f t="shared" si="36"/>
        <v>#N/A</v>
      </c>
      <c r="AX99" s="473"/>
    </row>
    <row r="100" spans="2:50">
      <c r="B100" s="488"/>
      <c r="C100" s="180">
        <v>24</v>
      </c>
      <c r="D100" s="180"/>
      <c r="E100" s="180"/>
      <c r="F100" s="180"/>
      <c r="G100" s="180"/>
      <c r="H100" s="473"/>
      <c r="I100" s="166"/>
      <c r="J100" s="166"/>
      <c r="K100" s="265"/>
      <c r="L100" s="473"/>
      <c r="M100" s="166" t="e">
        <f>RANK(K100, K$77:$K$106)</f>
        <v>#N/A</v>
      </c>
      <c r="N100" s="470"/>
      <c r="O100" s="470"/>
      <c r="P100" s="180"/>
      <c r="Q100" s="166"/>
      <c r="R100" s="265"/>
      <c r="S100" s="180" t="e">
        <f t="shared" si="38"/>
        <v>#N/A</v>
      </c>
      <c r="T100" s="473"/>
      <c r="U100" s="180"/>
      <c r="V100" s="166"/>
      <c r="W100" s="265"/>
      <c r="X100" s="180" t="e">
        <f t="shared" si="26"/>
        <v>#N/A</v>
      </c>
      <c r="Y100" s="473"/>
      <c r="Z100" s="180"/>
      <c r="AA100" s="166"/>
      <c r="AB100" s="265"/>
      <c r="AC100" s="180" t="e">
        <f t="shared" si="28"/>
        <v>#N/A</v>
      </c>
      <c r="AD100" s="473"/>
      <c r="AE100" s="180"/>
      <c r="AF100" s="166"/>
      <c r="AG100" s="265"/>
      <c r="AH100" s="180" t="e">
        <f t="shared" si="30"/>
        <v>#N/A</v>
      </c>
      <c r="AI100" s="473"/>
      <c r="AJ100" s="180"/>
      <c r="AK100" s="166"/>
      <c r="AL100" s="265"/>
      <c r="AM100" s="180" t="e">
        <f t="shared" si="32"/>
        <v>#N/A</v>
      </c>
      <c r="AN100" s="473"/>
      <c r="AO100" s="180"/>
      <c r="AP100" s="166"/>
      <c r="AQ100" s="265"/>
      <c r="AR100" s="180" t="e">
        <f t="shared" si="34"/>
        <v>#N/A</v>
      </c>
      <c r="AS100" s="473"/>
      <c r="AT100" s="180"/>
      <c r="AU100" s="166"/>
      <c r="AV100" s="265"/>
      <c r="AW100" s="180" t="e">
        <f t="shared" si="36"/>
        <v>#N/A</v>
      </c>
      <c r="AX100" s="473"/>
    </row>
    <row r="101" spans="2:50">
      <c r="B101" s="488"/>
      <c r="C101" s="180">
        <v>25</v>
      </c>
      <c r="D101" s="180"/>
      <c r="E101" s="180"/>
      <c r="F101" s="180"/>
      <c r="G101" s="180"/>
      <c r="H101" s="473"/>
      <c r="I101" s="180"/>
      <c r="J101" s="180"/>
      <c r="K101" s="180"/>
      <c r="L101" s="473"/>
      <c r="M101" s="166" t="e">
        <f>RANK(K101, K$77:$K$106)</f>
        <v>#N/A</v>
      </c>
      <c r="N101" s="470"/>
      <c r="O101" s="470"/>
      <c r="P101" s="180"/>
      <c r="Q101" s="166"/>
      <c r="R101" s="265"/>
      <c r="S101" s="180" t="e">
        <f t="shared" si="38"/>
        <v>#N/A</v>
      </c>
      <c r="T101" s="473"/>
      <c r="U101" s="180"/>
      <c r="V101" s="166"/>
      <c r="W101" s="265"/>
      <c r="X101" s="180" t="e">
        <f t="shared" si="26"/>
        <v>#N/A</v>
      </c>
      <c r="Y101" s="473"/>
      <c r="Z101" s="180"/>
      <c r="AA101" s="166"/>
      <c r="AB101" s="265"/>
      <c r="AC101" s="180" t="e">
        <f t="shared" si="28"/>
        <v>#N/A</v>
      </c>
      <c r="AD101" s="473"/>
      <c r="AE101" s="180"/>
      <c r="AF101" s="166"/>
      <c r="AG101" s="265"/>
      <c r="AH101" s="180" t="e">
        <f t="shared" si="30"/>
        <v>#N/A</v>
      </c>
      <c r="AI101" s="473"/>
      <c r="AJ101" s="180"/>
      <c r="AK101" s="166"/>
      <c r="AL101" s="265"/>
      <c r="AM101" s="180" t="e">
        <f t="shared" si="32"/>
        <v>#N/A</v>
      </c>
      <c r="AN101" s="473"/>
      <c r="AO101" s="180"/>
      <c r="AP101" s="166"/>
      <c r="AQ101" s="265"/>
      <c r="AR101" s="180" t="e">
        <f t="shared" si="34"/>
        <v>#N/A</v>
      </c>
      <c r="AS101" s="473"/>
      <c r="AT101" s="180"/>
      <c r="AU101" s="166"/>
      <c r="AV101" s="265"/>
      <c r="AW101" s="180" t="e">
        <f t="shared" si="36"/>
        <v>#N/A</v>
      </c>
      <c r="AX101" s="473"/>
    </row>
    <row r="102" spans="2:50">
      <c r="B102" s="488"/>
      <c r="C102" s="180">
        <v>26</v>
      </c>
      <c r="D102" s="180"/>
      <c r="E102" s="180"/>
      <c r="F102" s="180"/>
      <c r="G102" s="180"/>
      <c r="H102" s="473"/>
      <c r="I102" s="180"/>
      <c r="J102" s="180"/>
      <c r="K102" s="180"/>
      <c r="L102" s="473"/>
      <c r="M102" s="166" t="e">
        <f>RANK(K102, K$77:$K$106)</f>
        <v>#N/A</v>
      </c>
      <c r="N102" s="470"/>
      <c r="O102" s="470"/>
      <c r="P102" s="180"/>
      <c r="Q102" s="166"/>
      <c r="R102" s="265"/>
      <c r="S102" s="180" t="e">
        <f t="shared" si="38"/>
        <v>#N/A</v>
      </c>
      <c r="T102" s="473"/>
      <c r="U102" s="180"/>
      <c r="V102" s="166"/>
      <c r="W102" s="265"/>
      <c r="X102" s="180" t="e">
        <f t="shared" si="26"/>
        <v>#N/A</v>
      </c>
      <c r="Y102" s="473"/>
      <c r="Z102" s="180"/>
      <c r="AA102" s="166"/>
      <c r="AB102" s="265"/>
      <c r="AC102" s="180" t="e">
        <f t="shared" si="28"/>
        <v>#N/A</v>
      </c>
      <c r="AD102" s="473"/>
      <c r="AE102" s="180"/>
      <c r="AF102" s="166"/>
      <c r="AG102" s="265"/>
      <c r="AH102" s="180" t="e">
        <f t="shared" si="30"/>
        <v>#N/A</v>
      </c>
      <c r="AI102" s="473"/>
      <c r="AJ102" s="180"/>
      <c r="AK102" s="166"/>
      <c r="AL102" s="265"/>
      <c r="AM102" s="180" t="e">
        <f t="shared" si="32"/>
        <v>#N/A</v>
      </c>
      <c r="AN102" s="473"/>
      <c r="AO102" s="180"/>
      <c r="AP102" s="166"/>
      <c r="AQ102" s="265"/>
      <c r="AR102" s="180" t="e">
        <f t="shared" si="34"/>
        <v>#N/A</v>
      </c>
      <c r="AS102" s="473"/>
      <c r="AT102" s="180"/>
      <c r="AU102" s="166"/>
      <c r="AV102" s="265"/>
      <c r="AW102" s="180" t="e">
        <f t="shared" si="36"/>
        <v>#N/A</v>
      </c>
      <c r="AX102" s="473"/>
    </row>
    <row r="103" spans="2:50">
      <c r="B103" s="488"/>
      <c r="C103" s="180">
        <v>27</v>
      </c>
      <c r="D103" s="180"/>
      <c r="E103" s="180"/>
      <c r="F103" s="180"/>
      <c r="G103" s="180"/>
      <c r="H103" s="473"/>
      <c r="I103" s="180"/>
      <c r="J103" s="180"/>
      <c r="K103" s="180"/>
      <c r="L103" s="473"/>
      <c r="M103" s="166" t="e">
        <f>RANK(K103, K$77:$K$106)</f>
        <v>#N/A</v>
      </c>
      <c r="N103" s="470"/>
      <c r="O103" s="470"/>
      <c r="P103" s="180"/>
      <c r="Q103" s="166"/>
      <c r="R103" s="265"/>
      <c r="S103" s="180" t="e">
        <f t="shared" si="38"/>
        <v>#N/A</v>
      </c>
      <c r="T103" s="473"/>
      <c r="U103" s="180"/>
      <c r="V103" s="166"/>
      <c r="W103" s="265"/>
      <c r="X103" s="180" t="e">
        <f t="shared" si="26"/>
        <v>#N/A</v>
      </c>
      <c r="Y103" s="473"/>
      <c r="Z103" s="180"/>
      <c r="AA103" s="166"/>
      <c r="AB103" s="265"/>
      <c r="AC103" s="180" t="e">
        <f t="shared" si="28"/>
        <v>#N/A</v>
      </c>
      <c r="AD103" s="473"/>
      <c r="AE103" s="180"/>
      <c r="AF103" s="166"/>
      <c r="AG103" s="265"/>
      <c r="AH103" s="180" t="e">
        <f t="shared" si="30"/>
        <v>#N/A</v>
      </c>
      <c r="AI103" s="473"/>
      <c r="AJ103" s="180"/>
      <c r="AK103" s="166"/>
      <c r="AL103" s="265"/>
      <c r="AM103" s="180" t="e">
        <f t="shared" si="32"/>
        <v>#N/A</v>
      </c>
      <c r="AN103" s="473"/>
      <c r="AO103" s="180"/>
      <c r="AP103" s="166"/>
      <c r="AQ103" s="265"/>
      <c r="AR103" s="180" t="e">
        <f t="shared" si="34"/>
        <v>#N/A</v>
      </c>
      <c r="AS103" s="473"/>
      <c r="AT103" s="180"/>
      <c r="AU103" s="166"/>
      <c r="AV103" s="265"/>
      <c r="AW103" s="180" t="e">
        <f t="shared" si="36"/>
        <v>#N/A</v>
      </c>
      <c r="AX103" s="473"/>
    </row>
    <row r="104" spans="2:50">
      <c r="B104" s="488"/>
      <c r="C104" s="180">
        <v>28</v>
      </c>
      <c r="D104" s="180"/>
      <c r="E104" s="180"/>
      <c r="F104" s="180"/>
      <c r="G104" s="180"/>
      <c r="H104" s="473"/>
      <c r="I104" s="180"/>
      <c r="J104" s="180"/>
      <c r="K104" s="180"/>
      <c r="L104" s="473"/>
      <c r="M104" s="166" t="e">
        <f>RANK(K104, K$77:$K$106)</f>
        <v>#N/A</v>
      </c>
      <c r="N104" s="470"/>
      <c r="O104" s="470"/>
      <c r="P104" s="180"/>
      <c r="Q104" s="166"/>
      <c r="R104" s="265"/>
      <c r="S104" s="180" t="e">
        <f t="shared" si="38"/>
        <v>#N/A</v>
      </c>
      <c r="T104" s="473"/>
      <c r="U104" s="180"/>
      <c r="V104" s="166"/>
      <c r="W104" s="265"/>
      <c r="X104" s="180" t="e">
        <f t="shared" si="26"/>
        <v>#N/A</v>
      </c>
      <c r="Y104" s="473"/>
      <c r="Z104" s="180"/>
      <c r="AA104" s="166"/>
      <c r="AB104" s="265"/>
      <c r="AC104" s="180" t="e">
        <f t="shared" si="28"/>
        <v>#N/A</v>
      </c>
      <c r="AD104" s="473"/>
      <c r="AE104" s="180"/>
      <c r="AF104" s="166"/>
      <c r="AG104" s="265"/>
      <c r="AH104" s="180" t="e">
        <f t="shared" si="30"/>
        <v>#N/A</v>
      </c>
      <c r="AI104" s="473"/>
      <c r="AJ104" s="180"/>
      <c r="AK104" s="166"/>
      <c r="AL104" s="265"/>
      <c r="AM104" s="180" t="e">
        <f t="shared" si="32"/>
        <v>#N/A</v>
      </c>
      <c r="AN104" s="473"/>
      <c r="AO104" s="180"/>
      <c r="AP104" s="166"/>
      <c r="AQ104" s="265"/>
      <c r="AR104" s="180" t="e">
        <f t="shared" si="34"/>
        <v>#N/A</v>
      </c>
      <c r="AS104" s="473"/>
      <c r="AT104" s="180"/>
      <c r="AU104" s="166"/>
      <c r="AV104" s="265"/>
      <c r="AW104" s="180" t="e">
        <f t="shared" si="36"/>
        <v>#N/A</v>
      </c>
      <c r="AX104" s="473"/>
    </row>
    <row r="105" spans="2:50">
      <c r="B105" s="488"/>
      <c r="C105" s="180">
        <v>29</v>
      </c>
      <c r="D105" s="180"/>
      <c r="E105" s="180"/>
      <c r="F105" s="180"/>
      <c r="G105" s="180"/>
      <c r="H105" s="473"/>
      <c r="I105" s="180"/>
      <c r="J105" s="180"/>
      <c r="K105" s="180"/>
      <c r="L105" s="473"/>
      <c r="M105" s="166" t="e">
        <f>RANK(K105, K$77:$K$106)</f>
        <v>#N/A</v>
      </c>
      <c r="N105" s="470"/>
      <c r="O105" s="470"/>
      <c r="P105" s="180"/>
      <c r="Q105" s="166"/>
      <c r="R105" s="265"/>
      <c r="S105" s="180" t="e">
        <f t="shared" si="38"/>
        <v>#N/A</v>
      </c>
      <c r="T105" s="473"/>
      <c r="U105" s="180"/>
      <c r="V105" s="166"/>
      <c r="W105" s="265"/>
      <c r="X105" s="180" t="e">
        <f t="shared" si="26"/>
        <v>#N/A</v>
      </c>
      <c r="Y105" s="473"/>
      <c r="Z105" s="180"/>
      <c r="AA105" s="166"/>
      <c r="AB105" s="265"/>
      <c r="AC105" s="180" t="e">
        <f t="shared" si="28"/>
        <v>#N/A</v>
      </c>
      <c r="AD105" s="473"/>
      <c r="AE105" s="180"/>
      <c r="AF105" s="166"/>
      <c r="AG105" s="265"/>
      <c r="AH105" s="180" t="e">
        <f t="shared" si="30"/>
        <v>#N/A</v>
      </c>
      <c r="AI105" s="473"/>
      <c r="AJ105" s="180"/>
      <c r="AK105" s="166"/>
      <c r="AL105" s="265"/>
      <c r="AM105" s="180" t="e">
        <f t="shared" si="32"/>
        <v>#N/A</v>
      </c>
      <c r="AN105" s="473"/>
      <c r="AO105" s="180"/>
      <c r="AP105" s="166"/>
      <c r="AQ105" s="265"/>
      <c r="AR105" s="180" t="e">
        <f t="shared" si="34"/>
        <v>#N/A</v>
      </c>
      <c r="AS105" s="473"/>
      <c r="AT105" s="180"/>
      <c r="AU105" s="166"/>
      <c r="AV105" s="265"/>
      <c r="AW105" s="180" t="e">
        <f t="shared" si="36"/>
        <v>#N/A</v>
      </c>
      <c r="AX105" s="473"/>
    </row>
    <row r="106" spans="2:50">
      <c r="B106" s="489"/>
      <c r="C106" s="180">
        <v>30</v>
      </c>
      <c r="D106" s="180"/>
      <c r="E106" s="180"/>
      <c r="F106" s="180"/>
      <c r="G106" s="180"/>
      <c r="H106" s="474"/>
      <c r="I106" s="180"/>
      <c r="J106" s="180"/>
      <c r="K106" s="180"/>
      <c r="L106" s="474"/>
      <c r="M106" s="166" t="e">
        <f>RANK(K106, K$77:$K$106)</f>
        <v>#N/A</v>
      </c>
      <c r="N106" s="471"/>
      <c r="O106" s="471"/>
      <c r="P106" s="180"/>
      <c r="Q106" s="166"/>
      <c r="R106" s="265"/>
      <c r="S106" s="180" t="e">
        <f t="shared" si="38"/>
        <v>#N/A</v>
      </c>
      <c r="T106" s="474"/>
      <c r="U106" s="180"/>
      <c r="V106" s="166"/>
      <c r="W106" s="265"/>
      <c r="X106" s="180" t="e">
        <f t="shared" si="26"/>
        <v>#N/A</v>
      </c>
      <c r="Y106" s="474"/>
      <c r="Z106" s="180"/>
      <c r="AA106" s="166"/>
      <c r="AB106" s="265"/>
      <c r="AC106" s="180" t="e">
        <f t="shared" si="28"/>
        <v>#N/A</v>
      </c>
      <c r="AD106" s="474"/>
      <c r="AE106" s="180"/>
      <c r="AF106" s="166"/>
      <c r="AG106" s="265"/>
      <c r="AH106" s="180" t="e">
        <f t="shared" si="30"/>
        <v>#N/A</v>
      </c>
      <c r="AI106" s="474"/>
      <c r="AJ106" s="180"/>
      <c r="AK106" s="166"/>
      <c r="AL106" s="265"/>
      <c r="AM106" s="180" t="e">
        <f t="shared" si="32"/>
        <v>#N/A</v>
      </c>
      <c r="AN106" s="474"/>
      <c r="AO106" s="180"/>
      <c r="AP106" s="166"/>
      <c r="AQ106" s="265"/>
      <c r="AR106" s="180" t="e">
        <f t="shared" si="34"/>
        <v>#N/A</v>
      </c>
      <c r="AS106" s="474"/>
      <c r="AT106" s="180"/>
      <c r="AU106" s="166"/>
      <c r="AV106" s="265"/>
      <c r="AW106" s="180" t="e">
        <f t="shared" si="36"/>
        <v>#N/A</v>
      </c>
      <c r="AX106" s="474"/>
    </row>
    <row r="107" spans="2:50" ht="15.75">
      <c r="B107" s="480" t="s">
        <v>721</v>
      </c>
      <c r="C107" s="481"/>
      <c r="D107" s="481"/>
      <c r="E107" s="481"/>
      <c r="F107" s="481"/>
      <c r="G107" s="481"/>
      <c r="H107" s="481"/>
      <c r="I107" s="184"/>
      <c r="J107" s="184"/>
      <c r="K107" s="184"/>
      <c r="L107" s="184"/>
      <c r="M107" s="183"/>
      <c r="N107" s="469" t="s">
        <v>722</v>
      </c>
      <c r="O107" s="469" t="s">
        <v>723</v>
      </c>
      <c r="P107" s="478">
        <f>P72+7</f>
        <v>46070</v>
      </c>
      <c r="Q107" s="479"/>
      <c r="R107" s="479"/>
      <c r="S107" s="479"/>
      <c r="T107" s="479"/>
      <c r="U107" s="475">
        <f>P107+1</f>
        <v>46071</v>
      </c>
      <c r="V107" s="476"/>
      <c r="W107" s="476"/>
      <c r="X107" s="476"/>
      <c r="Y107" s="477"/>
      <c r="Z107" s="475">
        <f>U107+1</f>
        <v>46072</v>
      </c>
      <c r="AA107" s="476"/>
      <c r="AB107" s="476"/>
      <c r="AC107" s="476"/>
      <c r="AD107" s="477"/>
      <c r="AE107" s="475">
        <f>Z107+1</f>
        <v>46073</v>
      </c>
      <c r="AF107" s="476"/>
      <c r="AG107" s="476"/>
      <c r="AH107" s="476"/>
      <c r="AI107" s="477"/>
      <c r="AJ107" s="475">
        <f>AE107+1</f>
        <v>46074</v>
      </c>
      <c r="AK107" s="476"/>
      <c r="AL107" s="476"/>
      <c r="AM107" s="476"/>
      <c r="AN107" s="477"/>
      <c r="AO107" s="475">
        <f>AJ107+1</f>
        <v>46075</v>
      </c>
      <c r="AP107" s="476"/>
      <c r="AQ107" s="476"/>
      <c r="AR107" s="476"/>
      <c r="AS107" s="477"/>
      <c r="AT107" s="475">
        <f>AO107+1</f>
        <v>46076</v>
      </c>
      <c r="AU107" s="476"/>
      <c r="AV107" s="476"/>
      <c r="AW107" s="476"/>
      <c r="AX107" s="477"/>
    </row>
    <row r="108" spans="2:50" ht="15.75">
      <c r="B108" s="482"/>
      <c r="C108" s="482"/>
      <c r="D108" s="482"/>
      <c r="E108" s="482"/>
      <c r="F108" s="482"/>
      <c r="G108" s="482"/>
      <c r="H108" s="482"/>
      <c r="I108" s="182"/>
      <c r="J108" s="182"/>
      <c r="K108" s="182"/>
      <c r="L108" s="182"/>
      <c r="M108" s="179"/>
      <c r="N108" s="471"/>
      <c r="O108" s="471"/>
      <c r="P108" s="478" t="s">
        <v>724</v>
      </c>
      <c r="Q108" s="479"/>
      <c r="R108" s="479"/>
      <c r="S108" s="479"/>
      <c r="T108" s="479"/>
      <c r="U108" s="478" t="s">
        <v>725</v>
      </c>
      <c r="V108" s="479"/>
      <c r="W108" s="479"/>
      <c r="X108" s="479"/>
      <c r="Y108" s="479"/>
      <c r="Z108" s="478" t="s">
        <v>726</v>
      </c>
      <c r="AA108" s="479"/>
      <c r="AB108" s="479"/>
      <c r="AC108" s="479"/>
      <c r="AD108" s="479"/>
      <c r="AE108" s="478" t="s">
        <v>727</v>
      </c>
      <c r="AF108" s="479"/>
      <c r="AG108" s="479"/>
      <c r="AH108" s="479"/>
      <c r="AI108" s="479"/>
      <c r="AJ108" s="478" t="s">
        <v>728</v>
      </c>
      <c r="AK108" s="479"/>
      <c r="AL108" s="479"/>
      <c r="AM108" s="479"/>
      <c r="AN108" s="479"/>
      <c r="AO108" s="478" t="s">
        <v>729</v>
      </c>
      <c r="AP108" s="479"/>
      <c r="AQ108" s="479"/>
      <c r="AR108" s="479"/>
      <c r="AS108" s="479"/>
      <c r="AT108" s="478" t="s">
        <v>730</v>
      </c>
      <c r="AU108" s="479"/>
      <c r="AV108" s="479"/>
      <c r="AW108" s="479"/>
      <c r="AX108" s="479"/>
    </row>
    <row r="109" spans="2:50">
      <c r="B109" s="462" t="s">
        <v>731</v>
      </c>
      <c r="C109" s="462" t="s">
        <v>732</v>
      </c>
      <c r="D109" s="462"/>
      <c r="E109" s="462" t="s">
        <v>733</v>
      </c>
      <c r="F109" s="462"/>
      <c r="G109" s="462"/>
      <c r="H109" s="463" t="s">
        <v>734</v>
      </c>
      <c r="I109" s="462" t="s">
        <v>735</v>
      </c>
      <c r="J109" s="462"/>
      <c r="K109" s="462"/>
      <c r="L109" s="463" t="s">
        <v>734</v>
      </c>
      <c r="M109" s="469" t="s">
        <v>736</v>
      </c>
      <c r="N109" s="462"/>
      <c r="O109" s="462" t="s">
        <v>737</v>
      </c>
      <c r="P109" s="466" t="s">
        <v>738</v>
      </c>
      <c r="Q109" s="467"/>
      <c r="R109" s="467"/>
      <c r="S109" s="468"/>
      <c r="T109" s="462" t="s">
        <v>734</v>
      </c>
      <c r="U109" s="466" t="s">
        <v>738</v>
      </c>
      <c r="V109" s="467"/>
      <c r="W109" s="467"/>
      <c r="X109" s="468"/>
      <c r="Y109" s="462" t="s">
        <v>734</v>
      </c>
      <c r="Z109" s="466" t="s">
        <v>738</v>
      </c>
      <c r="AA109" s="467"/>
      <c r="AB109" s="467"/>
      <c r="AC109" s="468"/>
      <c r="AD109" s="462" t="s">
        <v>734</v>
      </c>
      <c r="AE109" s="466" t="s">
        <v>738</v>
      </c>
      <c r="AF109" s="467"/>
      <c r="AG109" s="467"/>
      <c r="AH109" s="468"/>
      <c r="AI109" s="462" t="s">
        <v>734</v>
      </c>
      <c r="AJ109" s="466" t="s">
        <v>738</v>
      </c>
      <c r="AK109" s="467"/>
      <c r="AL109" s="467"/>
      <c r="AM109" s="468"/>
      <c r="AN109" s="462" t="s">
        <v>734</v>
      </c>
      <c r="AO109" s="466" t="s">
        <v>738</v>
      </c>
      <c r="AP109" s="467"/>
      <c r="AQ109" s="467"/>
      <c r="AR109" s="468"/>
      <c r="AS109" s="462" t="s">
        <v>734</v>
      </c>
      <c r="AT109" s="466" t="s">
        <v>738</v>
      </c>
      <c r="AU109" s="467"/>
      <c r="AV109" s="467"/>
      <c r="AW109" s="468"/>
      <c r="AX109" s="462" t="s">
        <v>734</v>
      </c>
    </row>
    <row r="110" spans="2:50">
      <c r="B110" s="462"/>
      <c r="C110" s="462"/>
      <c r="D110" s="462"/>
      <c r="E110" s="462" t="s">
        <v>739</v>
      </c>
      <c r="F110" s="462"/>
      <c r="G110" s="462"/>
      <c r="H110" s="464"/>
      <c r="I110" s="462" t="s">
        <v>739</v>
      </c>
      <c r="J110" s="462"/>
      <c r="K110" s="462"/>
      <c r="L110" s="464"/>
      <c r="M110" s="470"/>
      <c r="N110" s="462"/>
      <c r="O110" s="462"/>
      <c r="P110" s="466" t="s">
        <v>740</v>
      </c>
      <c r="Q110" s="467"/>
      <c r="R110" s="467"/>
      <c r="S110" s="468"/>
      <c r="T110" s="462"/>
      <c r="U110" s="466" t="s">
        <v>740</v>
      </c>
      <c r="V110" s="467"/>
      <c r="W110" s="467"/>
      <c r="X110" s="468"/>
      <c r="Y110" s="462"/>
      <c r="Z110" s="466" t="s">
        <v>740</v>
      </c>
      <c r="AA110" s="467"/>
      <c r="AB110" s="467"/>
      <c r="AC110" s="468"/>
      <c r="AD110" s="462"/>
      <c r="AE110" s="466" t="s">
        <v>740</v>
      </c>
      <c r="AF110" s="467"/>
      <c r="AG110" s="467"/>
      <c r="AH110" s="468"/>
      <c r="AI110" s="462"/>
      <c r="AJ110" s="466" t="s">
        <v>740</v>
      </c>
      <c r="AK110" s="467"/>
      <c r="AL110" s="467"/>
      <c r="AM110" s="468"/>
      <c r="AN110" s="462"/>
      <c r="AO110" s="466" t="s">
        <v>740</v>
      </c>
      <c r="AP110" s="467"/>
      <c r="AQ110" s="467"/>
      <c r="AR110" s="468"/>
      <c r="AS110" s="462"/>
      <c r="AT110" s="466" t="s">
        <v>740</v>
      </c>
      <c r="AU110" s="467"/>
      <c r="AV110" s="467"/>
      <c r="AW110" s="468"/>
      <c r="AX110" s="462"/>
    </row>
    <row r="111" spans="2:50">
      <c r="B111" s="462"/>
      <c r="C111" s="462"/>
      <c r="D111" s="462"/>
      <c r="E111" s="264" t="s">
        <v>741</v>
      </c>
      <c r="F111" s="264" t="s">
        <v>742</v>
      </c>
      <c r="G111" s="264" t="s">
        <v>743</v>
      </c>
      <c r="H111" s="465"/>
      <c r="I111" s="264" t="s">
        <v>741</v>
      </c>
      <c r="J111" s="264" t="s">
        <v>742</v>
      </c>
      <c r="K111" s="264" t="s">
        <v>743</v>
      </c>
      <c r="L111" s="465"/>
      <c r="M111" s="471"/>
      <c r="N111" s="462"/>
      <c r="O111" s="462"/>
      <c r="P111" s="264" t="s">
        <v>741</v>
      </c>
      <c r="Q111" s="264" t="s">
        <v>742</v>
      </c>
      <c r="R111" s="264" t="s">
        <v>743</v>
      </c>
      <c r="S111" s="264" t="s">
        <v>736</v>
      </c>
      <c r="T111" s="462"/>
      <c r="U111" s="264" t="s">
        <v>741</v>
      </c>
      <c r="V111" s="264" t="s">
        <v>742</v>
      </c>
      <c r="W111" s="264" t="s">
        <v>743</v>
      </c>
      <c r="X111" s="264" t="s">
        <v>736</v>
      </c>
      <c r="Y111" s="462"/>
      <c r="Z111" s="264" t="s">
        <v>741</v>
      </c>
      <c r="AA111" s="264" t="s">
        <v>742</v>
      </c>
      <c r="AB111" s="264" t="s">
        <v>743</v>
      </c>
      <c r="AC111" s="264" t="s">
        <v>736</v>
      </c>
      <c r="AD111" s="462"/>
      <c r="AE111" s="264" t="s">
        <v>741</v>
      </c>
      <c r="AF111" s="264" t="s">
        <v>742</v>
      </c>
      <c r="AG111" s="264" t="s">
        <v>743</v>
      </c>
      <c r="AH111" s="264" t="s">
        <v>736</v>
      </c>
      <c r="AI111" s="462"/>
      <c r="AJ111" s="264" t="s">
        <v>741</v>
      </c>
      <c r="AK111" s="264" t="s">
        <v>742</v>
      </c>
      <c r="AL111" s="264" t="s">
        <v>743</v>
      </c>
      <c r="AM111" s="264" t="s">
        <v>736</v>
      </c>
      <c r="AN111" s="462"/>
      <c r="AO111" s="264" t="s">
        <v>741</v>
      </c>
      <c r="AP111" s="264" t="s">
        <v>742</v>
      </c>
      <c r="AQ111" s="264" t="s">
        <v>743</v>
      </c>
      <c r="AR111" s="264" t="s">
        <v>736</v>
      </c>
      <c r="AS111" s="462"/>
      <c r="AT111" s="264" t="s">
        <v>741</v>
      </c>
      <c r="AU111" s="264" t="s">
        <v>742</v>
      </c>
      <c r="AV111" s="264" t="s">
        <v>743</v>
      </c>
      <c r="AW111" s="264" t="s">
        <v>736</v>
      </c>
      <c r="AX111" s="462"/>
    </row>
    <row r="112" spans="2:50">
      <c r="B112" s="479" t="s">
        <v>150</v>
      </c>
      <c r="C112" s="180">
        <v>1</v>
      </c>
      <c r="D112" s="180" t="s">
        <v>347</v>
      </c>
      <c r="E112" s="180">
        <v>4</v>
      </c>
      <c r="F112" s="180">
        <v>2200</v>
      </c>
      <c r="G112" s="180">
        <v>550</v>
      </c>
      <c r="H112" s="472">
        <f>AVERAGE(G112:G141)</f>
        <v>849.60317460317469</v>
      </c>
      <c r="I112" s="166">
        <f>AVERAGE(P112,U112,Z112,AE112,AJ112,AO112,AT112)</f>
        <v>3</v>
      </c>
      <c r="J112" s="166">
        <f>AVERAGE(Q112,V112,AA112,AF112,AK112,AP112,AU112)</f>
        <v>3191.308677346537</v>
      </c>
      <c r="K112" s="265">
        <f>AVERAGE(R112,W112,AB112,AG112,AL112,AQ112,AV112)</f>
        <v>1063.7695591155123</v>
      </c>
      <c r="L112" s="459">
        <f>IFERROR(AVERAGE(K112:K141),"-")</f>
        <v>790.85855129525521</v>
      </c>
      <c r="M112" s="166">
        <f>RANK(K112, K$112:$K$141)</f>
        <v>1</v>
      </c>
      <c r="N112" s="462"/>
      <c r="O112" s="462"/>
      <c r="P112" s="324">
        <v>3</v>
      </c>
      <c r="Q112" s="166">
        <v>3183.6000000000008</v>
      </c>
      <c r="R112" s="166">
        <v>1061.2000000000003</v>
      </c>
      <c r="S112" s="180">
        <f>RANK(R112, R$112:R$141)</f>
        <v>1</v>
      </c>
      <c r="T112" s="472">
        <f>AVERAGE(R112:R141)</f>
        <v>781.97750227892016</v>
      </c>
      <c r="U112" s="324">
        <v>3</v>
      </c>
      <c r="V112" s="166">
        <v>3171.7647058823545</v>
      </c>
      <c r="W112" s="166">
        <v>1057.2549019607848</v>
      </c>
      <c r="X112" s="180">
        <f t="shared" ref="X112:X141" si="40">RANK(W112, W$112:W$141)</f>
        <v>1</v>
      </c>
      <c r="Y112" s="472">
        <f t="shared" ref="Y112" si="41">AVERAGE(W112:W141)</f>
        <v>784.30149349328542</v>
      </c>
      <c r="Z112" s="324">
        <v>3</v>
      </c>
      <c r="AA112" s="166">
        <v>3097.2000000000007</v>
      </c>
      <c r="AB112" s="166">
        <v>1032.4000000000003</v>
      </c>
      <c r="AC112" s="180">
        <f t="shared" ref="AC112:AC141" si="42">RANK(AB112, AB$112:AB$141)</f>
        <v>4</v>
      </c>
      <c r="AD112" s="472">
        <f t="shared" ref="AD112" si="43">AVERAGE(AB112:AB141)</f>
        <v>798.68210511966197</v>
      </c>
      <c r="AE112" s="324">
        <v>3</v>
      </c>
      <c r="AF112" s="166">
        <v>3279.5454545454545</v>
      </c>
      <c r="AG112" s="166">
        <v>1093.1818181818182</v>
      </c>
      <c r="AH112" s="180">
        <f t="shared" ref="AH112:AH141" si="44">RANK(AG112, AG$112:AG$141)</f>
        <v>1</v>
      </c>
      <c r="AI112" s="472">
        <f t="shared" ref="AI112" si="45">AVERAGE(AG112:AG141)</f>
        <v>801.30342996662841</v>
      </c>
      <c r="AJ112" s="324">
        <v>3</v>
      </c>
      <c r="AK112" s="166">
        <v>3227.727272727273</v>
      </c>
      <c r="AL112" s="166">
        <v>1075.909090909091</v>
      </c>
      <c r="AM112" s="180">
        <f t="shared" ref="AM112:AM141" si="46">RANK(AL112, AL$112:AL$141)</f>
        <v>2</v>
      </c>
      <c r="AN112" s="472">
        <f t="shared" ref="AN112" si="47">AVERAGE(AL112:AL141)</f>
        <v>800.51653864883599</v>
      </c>
      <c r="AO112" s="324">
        <v>3</v>
      </c>
      <c r="AP112" s="166">
        <v>3177.8947368421032</v>
      </c>
      <c r="AQ112" s="166">
        <v>1059.2982456140344</v>
      </c>
      <c r="AR112" s="180">
        <f t="shared" ref="AR112:AR141" si="48">RANK(AQ112, AQ$112:AQ$141)</f>
        <v>2</v>
      </c>
      <c r="AS112" s="472">
        <f t="shared" ref="AS112" si="49">AVERAGE(AQ112:AQ141)</f>
        <v>781.34825788885462</v>
      </c>
      <c r="AT112" s="324">
        <v>3</v>
      </c>
      <c r="AU112" s="166">
        <v>3201.4285714285738</v>
      </c>
      <c r="AV112" s="166">
        <v>1067.142857142858</v>
      </c>
      <c r="AW112" s="180">
        <f t="shared" ref="AW112:AW141" si="50">RANK(AV112, AV$112:AV$141)</f>
        <v>1</v>
      </c>
      <c r="AX112" s="472">
        <f t="shared" ref="AX112" si="51">AVERAGE(AV112:AV141)</f>
        <v>787.88053167059911</v>
      </c>
    </row>
    <row r="113" spans="2:50">
      <c r="B113" s="479"/>
      <c r="C113" s="180">
        <v>2</v>
      </c>
      <c r="D113" s="180" t="s">
        <v>348</v>
      </c>
      <c r="E113" s="180">
        <v>3</v>
      </c>
      <c r="F113" s="180">
        <v>2700</v>
      </c>
      <c r="G113" s="180">
        <v>900</v>
      </c>
      <c r="H113" s="473"/>
      <c r="I113" s="166">
        <f t="shared" ref="I113:K130" si="52">AVERAGE(P113,U113,Z113,AE113,AJ113,AO113,AT113)</f>
        <v>3</v>
      </c>
      <c r="J113" s="166">
        <f t="shared" si="52"/>
        <v>3152.4432773109247</v>
      </c>
      <c r="K113" s="265">
        <f t="shared" si="52"/>
        <v>1050.8144257703084</v>
      </c>
      <c r="L113" s="460"/>
      <c r="M113" s="166">
        <f>RANK(K113, K$112:$K$141)</f>
        <v>3</v>
      </c>
      <c r="N113" s="462"/>
      <c r="O113" s="462"/>
      <c r="P113" s="166">
        <v>3</v>
      </c>
      <c r="Q113" s="166">
        <v>3160.0000000000114</v>
      </c>
      <c r="R113" s="166">
        <v>1053.3333333333371</v>
      </c>
      <c r="S113" s="180">
        <f t="shared" ref="S113:S141" si="53">RANK(R113, R$112:R$141)</f>
        <v>3</v>
      </c>
      <c r="T113" s="473"/>
      <c r="U113" s="166">
        <v>3</v>
      </c>
      <c r="V113" s="166">
        <v>3093.7500000000109</v>
      </c>
      <c r="W113" s="166">
        <v>1031.2500000000036</v>
      </c>
      <c r="X113" s="180">
        <f t="shared" si="40"/>
        <v>4</v>
      </c>
      <c r="Y113" s="473"/>
      <c r="Z113" s="166">
        <v>3</v>
      </c>
      <c r="AA113" s="166">
        <v>3155.9999999999945</v>
      </c>
      <c r="AB113" s="166">
        <v>1051.9999999999982</v>
      </c>
      <c r="AC113" s="180">
        <f t="shared" si="42"/>
        <v>3</v>
      </c>
      <c r="AD113" s="473"/>
      <c r="AE113" s="166">
        <v>3</v>
      </c>
      <c r="AF113" s="166">
        <v>3275.0000000000118</v>
      </c>
      <c r="AG113" s="166">
        <v>1091.6666666666706</v>
      </c>
      <c r="AH113" s="180">
        <f t="shared" si="44"/>
        <v>2</v>
      </c>
      <c r="AI113" s="473"/>
      <c r="AJ113" s="166">
        <v>3</v>
      </c>
      <c r="AK113" s="166">
        <v>3279.9999999999677</v>
      </c>
      <c r="AL113" s="166">
        <v>1093.3333333333226</v>
      </c>
      <c r="AM113" s="180">
        <f t="shared" si="46"/>
        <v>1</v>
      </c>
      <c r="AN113" s="473"/>
      <c r="AO113" s="166">
        <v>3</v>
      </c>
      <c r="AP113" s="166">
        <v>3042.3529411764666</v>
      </c>
      <c r="AQ113" s="166">
        <v>1014.1176470588222</v>
      </c>
      <c r="AR113" s="180">
        <f t="shared" si="48"/>
        <v>4</v>
      </c>
      <c r="AS113" s="473"/>
      <c r="AT113" s="166">
        <v>3</v>
      </c>
      <c r="AU113" s="166">
        <v>3060.0000000000109</v>
      </c>
      <c r="AV113" s="166">
        <v>1020.0000000000036</v>
      </c>
      <c r="AW113" s="180">
        <f t="shared" si="50"/>
        <v>4</v>
      </c>
      <c r="AX113" s="473"/>
    </row>
    <row r="114" spans="2:50">
      <c r="B114" s="479"/>
      <c r="C114" s="180">
        <v>3</v>
      </c>
      <c r="D114" s="180" t="s">
        <v>336</v>
      </c>
      <c r="E114" s="180">
        <v>4</v>
      </c>
      <c r="F114" s="180">
        <v>3600</v>
      </c>
      <c r="G114" s="180">
        <v>900</v>
      </c>
      <c r="H114" s="473"/>
      <c r="I114" s="166">
        <f t="shared" si="52"/>
        <v>4</v>
      </c>
      <c r="J114" s="166">
        <f t="shared" si="52"/>
        <v>3198.2905162064776</v>
      </c>
      <c r="K114" s="265">
        <f t="shared" si="52"/>
        <v>799.5726290516194</v>
      </c>
      <c r="L114" s="460"/>
      <c r="M114" s="166">
        <f>RANK(K114, K$112:$K$141)</f>
        <v>10</v>
      </c>
      <c r="N114" s="462"/>
      <c r="O114" s="462"/>
      <c r="P114" s="166">
        <v>4</v>
      </c>
      <c r="Q114" s="166">
        <v>3169.4117647058711</v>
      </c>
      <c r="R114" s="166">
        <v>792.35294117646777</v>
      </c>
      <c r="S114" s="180">
        <f t="shared" si="53"/>
        <v>9</v>
      </c>
      <c r="T114" s="473"/>
      <c r="U114" s="166">
        <v>4</v>
      </c>
      <c r="V114" s="166">
        <v>3151.7647058823418</v>
      </c>
      <c r="W114" s="166">
        <v>787.94117647058545</v>
      </c>
      <c r="X114" s="180">
        <f t="shared" si="40"/>
        <v>9</v>
      </c>
      <c r="Y114" s="473"/>
      <c r="Z114" s="166">
        <v>4</v>
      </c>
      <c r="AA114" s="166">
        <v>3447.9999999999936</v>
      </c>
      <c r="AB114" s="166">
        <v>861.99999999999841</v>
      </c>
      <c r="AC114" s="180">
        <f t="shared" si="42"/>
        <v>9</v>
      </c>
      <c r="AD114" s="473"/>
      <c r="AE114" s="166">
        <v>4</v>
      </c>
      <c r="AF114" s="166">
        <v>3239.9999999999932</v>
      </c>
      <c r="AG114" s="166">
        <v>809.99999999999829</v>
      </c>
      <c r="AH114" s="180">
        <f t="shared" si="44"/>
        <v>11</v>
      </c>
      <c r="AI114" s="473"/>
      <c r="AJ114" s="166">
        <v>4</v>
      </c>
      <c r="AK114" s="166">
        <v>3222.8571428571363</v>
      </c>
      <c r="AL114" s="166">
        <v>805.71428571428407</v>
      </c>
      <c r="AM114" s="180">
        <f t="shared" si="46"/>
        <v>11</v>
      </c>
      <c r="AN114" s="473"/>
      <c r="AO114" s="166">
        <v>4</v>
      </c>
      <c r="AP114" s="166">
        <v>3123.000000000005</v>
      </c>
      <c r="AQ114" s="166">
        <v>780.75000000000125</v>
      </c>
      <c r="AR114" s="180">
        <f t="shared" si="48"/>
        <v>12</v>
      </c>
      <c r="AS114" s="473"/>
      <c r="AT114" s="166">
        <v>4</v>
      </c>
      <c r="AU114" s="166">
        <v>3033.000000000005</v>
      </c>
      <c r="AV114" s="166">
        <v>758.25000000000125</v>
      </c>
      <c r="AW114" s="180">
        <f t="shared" si="50"/>
        <v>12</v>
      </c>
      <c r="AX114" s="473"/>
    </row>
    <row r="115" spans="2:50">
      <c r="B115" s="479"/>
      <c r="C115" s="180">
        <v>4</v>
      </c>
      <c r="D115" s="180" t="s">
        <v>350</v>
      </c>
      <c r="E115" s="180">
        <v>3</v>
      </c>
      <c r="F115" s="180">
        <v>3600</v>
      </c>
      <c r="G115" s="180">
        <v>1200</v>
      </c>
      <c r="H115" s="473"/>
      <c r="I115" s="166">
        <f t="shared" si="52"/>
        <v>3</v>
      </c>
      <c r="J115" s="166">
        <f t="shared" si="52"/>
        <v>3189.4565270096164</v>
      </c>
      <c r="K115" s="265">
        <f t="shared" si="52"/>
        <v>1063.1521756698719</v>
      </c>
      <c r="L115" s="460"/>
      <c r="M115" s="166">
        <f>RANK(K115, K$112:$K$141)</f>
        <v>2</v>
      </c>
      <c r="N115" s="462"/>
      <c r="O115" s="462"/>
      <c r="P115" s="166">
        <v>3</v>
      </c>
      <c r="Q115" s="166">
        <v>3162.9729729729775</v>
      </c>
      <c r="R115" s="166">
        <v>1054.3243243243257</v>
      </c>
      <c r="S115" s="180">
        <f t="shared" si="53"/>
        <v>2</v>
      </c>
      <c r="T115" s="473"/>
      <c r="U115" s="166">
        <v>3</v>
      </c>
      <c r="V115" s="166">
        <v>3170.9589041095896</v>
      </c>
      <c r="W115" s="166">
        <v>1056.9863013698632</v>
      </c>
      <c r="X115" s="180">
        <f t="shared" si="40"/>
        <v>2</v>
      </c>
      <c r="Y115" s="473"/>
      <c r="Z115" s="166">
        <v>3</v>
      </c>
      <c r="AA115" s="166">
        <v>3174.0000000000036</v>
      </c>
      <c r="AB115" s="166">
        <v>1058.0000000000011</v>
      </c>
      <c r="AC115" s="180">
        <f t="shared" si="42"/>
        <v>1</v>
      </c>
      <c r="AD115" s="473"/>
      <c r="AE115" s="166">
        <v>3</v>
      </c>
      <c r="AF115" s="166">
        <v>3219.0476190476184</v>
      </c>
      <c r="AG115" s="166">
        <v>1073.0158730158728</v>
      </c>
      <c r="AH115" s="180">
        <f t="shared" si="44"/>
        <v>4</v>
      </c>
      <c r="AI115" s="473"/>
      <c r="AJ115" s="166">
        <v>3</v>
      </c>
      <c r="AK115" s="166">
        <v>3226.6666666666702</v>
      </c>
      <c r="AL115" s="166">
        <v>1075.5555555555568</v>
      </c>
      <c r="AM115" s="180">
        <f t="shared" si="46"/>
        <v>3</v>
      </c>
      <c r="AN115" s="473"/>
      <c r="AO115" s="166">
        <v>3</v>
      </c>
      <c r="AP115" s="166">
        <v>3180.697674418604</v>
      </c>
      <c r="AQ115" s="166">
        <v>1060.2325581395346</v>
      </c>
      <c r="AR115" s="180">
        <f t="shared" si="48"/>
        <v>1</v>
      </c>
      <c r="AS115" s="473"/>
      <c r="AT115" s="166">
        <v>3</v>
      </c>
      <c r="AU115" s="166">
        <v>3191.8518518518508</v>
      </c>
      <c r="AV115" s="166">
        <v>1063.9506172839504</v>
      </c>
      <c r="AW115" s="180">
        <f t="shared" si="50"/>
        <v>2</v>
      </c>
      <c r="AX115" s="473"/>
    </row>
    <row r="116" spans="2:50">
      <c r="B116" s="479"/>
      <c r="C116" s="180">
        <v>5</v>
      </c>
      <c r="D116" s="180" t="s">
        <v>351</v>
      </c>
      <c r="E116" s="180">
        <v>3</v>
      </c>
      <c r="F116" s="180">
        <v>3600</v>
      </c>
      <c r="G116" s="180">
        <v>1200</v>
      </c>
      <c r="H116" s="473"/>
      <c r="I116" s="166">
        <f t="shared" si="52"/>
        <v>4</v>
      </c>
      <c r="J116" s="166">
        <f t="shared" si="52"/>
        <v>2909.3024810315123</v>
      </c>
      <c r="K116" s="265">
        <f t="shared" si="52"/>
        <v>727.32562025787809</v>
      </c>
      <c r="L116" s="460"/>
      <c r="M116" s="166">
        <f>RANK(K116, K$112:$K$141)</f>
        <v>13</v>
      </c>
      <c r="N116" s="462"/>
      <c r="O116" s="462"/>
      <c r="P116" s="166">
        <v>4</v>
      </c>
      <c r="Q116" s="166">
        <v>3084.4444444444416</v>
      </c>
      <c r="R116" s="166">
        <v>771.1111111111104</v>
      </c>
      <c r="S116" s="180">
        <f t="shared" si="53"/>
        <v>11</v>
      </c>
      <c r="T116" s="473"/>
      <c r="U116" s="166">
        <v>4</v>
      </c>
      <c r="V116" s="166">
        <v>3093.3333333333303</v>
      </c>
      <c r="W116" s="166">
        <v>773.33333333333258</v>
      </c>
      <c r="X116" s="180">
        <f t="shared" si="40"/>
        <v>10</v>
      </c>
      <c r="Y116" s="473"/>
      <c r="Z116" s="166">
        <v>4</v>
      </c>
      <c r="AA116" s="166">
        <v>3280.8000000000006</v>
      </c>
      <c r="AB116" s="166">
        <v>820.20000000000016</v>
      </c>
      <c r="AC116" s="180">
        <f t="shared" si="42"/>
        <v>11</v>
      </c>
      <c r="AD116" s="473"/>
      <c r="AE116" s="166">
        <v>4</v>
      </c>
      <c r="AF116" s="166">
        <v>3294.5454545454545</v>
      </c>
      <c r="AG116" s="166">
        <v>823.63636363636363</v>
      </c>
      <c r="AH116" s="180">
        <f t="shared" si="44"/>
        <v>9</v>
      </c>
      <c r="AI116" s="473"/>
      <c r="AJ116" s="166">
        <v>4</v>
      </c>
      <c r="AK116" s="166">
        <v>3259.090909090909</v>
      </c>
      <c r="AL116" s="166">
        <v>814.77272727272725</v>
      </c>
      <c r="AM116" s="180">
        <f t="shared" si="46"/>
        <v>10</v>
      </c>
      <c r="AN116" s="473"/>
      <c r="AO116" s="166">
        <v>4</v>
      </c>
      <c r="AP116" s="166">
        <v>1230.9677419354834</v>
      </c>
      <c r="AQ116" s="166">
        <v>307.74193548387086</v>
      </c>
      <c r="AR116" s="180">
        <f t="shared" si="48"/>
        <v>20</v>
      </c>
      <c r="AS116" s="473"/>
      <c r="AT116" s="166">
        <v>4</v>
      </c>
      <c r="AU116" s="166">
        <v>3121.9354838709669</v>
      </c>
      <c r="AV116" s="166">
        <v>780.48387096774172</v>
      </c>
      <c r="AW116" s="180">
        <f t="shared" si="50"/>
        <v>11</v>
      </c>
      <c r="AX116" s="473"/>
    </row>
    <row r="117" spans="2:50">
      <c r="B117" s="479"/>
      <c r="C117" s="180">
        <v>6</v>
      </c>
      <c r="D117" s="180" t="s">
        <v>349</v>
      </c>
      <c r="E117" s="180">
        <v>4</v>
      </c>
      <c r="F117" s="180">
        <v>3600</v>
      </c>
      <c r="G117" s="180">
        <v>900</v>
      </c>
      <c r="H117" s="473"/>
      <c r="I117" s="166">
        <f t="shared" si="52"/>
        <v>4</v>
      </c>
      <c r="J117" s="166">
        <f t="shared" si="52"/>
        <v>3318.2668759811631</v>
      </c>
      <c r="K117" s="265">
        <f t="shared" si="52"/>
        <v>829.56671899529078</v>
      </c>
      <c r="L117" s="460"/>
      <c r="M117" s="166">
        <f>RANK(K117, K$112:$K$141)</f>
        <v>9</v>
      </c>
      <c r="N117" s="462"/>
      <c r="O117" s="462"/>
      <c r="P117" s="166">
        <v>4</v>
      </c>
      <c r="Q117" s="166">
        <v>3138.4615384615399</v>
      </c>
      <c r="R117" s="166">
        <v>784.61538461538498</v>
      </c>
      <c r="S117" s="180">
        <f t="shared" si="53"/>
        <v>10</v>
      </c>
      <c r="T117" s="473"/>
      <c r="U117" s="166">
        <v>4</v>
      </c>
      <c r="V117" s="166">
        <v>3087.6923076923094</v>
      </c>
      <c r="W117" s="166">
        <v>771.92307692307736</v>
      </c>
      <c r="X117" s="180">
        <f t="shared" si="40"/>
        <v>11</v>
      </c>
      <c r="Y117" s="473"/>
      <c r="Z117" s="166">
        <v>4</v>
      </c>
      <c r="AA117" s="166">
        <v>3839.9999999999986</v>
      </c>
      <c r="AB117" s="166">
        <v>959.99999999999966</v>
      </c>
      <c r="AC117" s="180">
        <f t="shared" si="42"/>
        <v>6</v>
      </c>
      <c r="AD117" s="473"/>
      <c r="AE117" s="166">
        <v>4</v>
      </c>
      <c r="AF117" s="166">
        <v>3240</v>
      </c>
      <c r="AG117" s="166">
        <v>810</v>
      </c>
      <c r="AH117" s="180">
        <f t="shared" si="44"/>
        <v>10</v>
      </c>
      <c r="AI117" s="473"/>
      <c r="AJ117" s="166">
        <v>4</v>
      </c>
      <c r="AK117" s="166">
        <v>3353.9999999999986</v>
      </c>
      <c r="AL117" s="166">
        <v>838.49999999999966</v>
      </c>
      <c r="AM117" s="180">
        <f t="shared" si="46"/>
        <v>9</v>
      </c>
      <c r="AN117" s="473"/>
      <c r="AO117" s="166">
        <v>4</v>
      </c>
      <c r="AP117" s="166">
        <v>3212.0000000000027</v>
      </c>
      <c r="AQ117" s="166">
        <v>803.00000000000068</v>
      </c>
      <c r="AR117" s="180">
        <f t="shared" si="48"/>
        <v>10</v>
      </c>
      <c r="AS117" s="473"/>
      <c r="AT117" s="166">
        <v>4</v>
      </c>
      <c r="AU117" s="166">
        <v>3355.7142857142885</v>
      </c>
      <c r="AV117" s="166">
        <v>838.92857142857213</v>
      </c>
      <c r="AW117" s="180">
        <f t="shared" si="50"/>
        <v>9</v>
      </c>
      <c r="AX117" s="473"/>
    </row>
    <row r="118" spans="2:50">
      <c r="B118" s="479"/>
      <c r="C118" s="180">
        <v>7</v>
      </c>
      <c r="D118" s="180" t="s">
        <v>352</v>
      </c>
      <c r="E118" s="180">
        <v>4</v>
      </c>
      <c r="F118" s="180">
        <v>3300</v>
      </c>
      <c r="G118" s="180">
        <v>825</v>
      </c>
      <c r="H118" s="473"/>
      <c r="I118" s="166">
        <f t="shared" si="52"/>
        <v>4</v>
      </c>
      <c r="J118" s="166">
        <f t="shared" si="52"/>
        <v>2915.6593406593429</v>
      </c>
      <c r="K118" s="265">
        <f t="shared" si="52"/>
        <v>728.91483516483572</v>
      </c>
      <c r="L118" s="460"/>
      <c r="M118" s="166">
        <f>RANK(K118, K$112:$K$141)</f>
        <v>12</v>
      </c>
      <c r="N118" s="462"/>
      <c r="O118" s="462"/>
      <c r="P118" s="166">
        <v>4</v>
      </c>
      <c r="Q118" s="166">
        <v>2765.0000000000009</v>
      </c>
      <c r="R118" s="166">
        <v>691.25000000000023</v>
      </c>
      <c r="S118" s="180">
        <f t="shared" si="53"/>
        <v>17</v>
      </c>
      <c r="T118" s="473"/>
      <c r="U118" s="166">
        <v>4</v>
      </c>
      <c r="V118" s="166">
        <v>2800.0000000000009</v>
      </c>
      <c r="W118" s="166">
        <v>700.00000000000023</v>
      </c>
      <c r="X118" s="180">
        <f t="shared" si="40"/>
        <v>14</v>
      </c>
      <c r="Y118" s="473"/>
      <c r="Z118" s="166">
        <v>4</v>
      </c>
      <c r="AA118" s="166">
        <v>3251.9999999999991</v>
      </c>
      <c r="AB118" s="166">
        <v>812.99999999999977</v>
      </c>
      <c r="AC118" s="180">
        <f t="shared" si="42"/>
        <v>12</v>
      </c>
      <c r="AD118" s="473"/>
      <c r="AE118" s="166">
        <v>4</v>
      </c>
      <c r="AF118" s="166">
        <v>3100.0000000000109</v>
      </c>
      <c r="AG118" s="166">
        <v>775.00000000000273</v>
      </c>
      <c r="AH118" s="180">
        <f t="shared" si="44"/>
        <v>12</v>
      </c>
      <c r="AI118" s="473"/>
      <c r="AJ118" s="166">
        <v>4</v>
      </c>
      <c r="AK118" s="166">
        <v>2783.9999999999991</v>
      </c>
      <c r="AL118" s="166">
        <v>695.99999999999977</v>
      </c>
      <c r="AM118" s="180">
        <f t="shared" si="46"/>
        <v>18</v>
      </c>
      <c r="AN118" s="473"/>
      <c r="AO118" s="166">
        <v>4</v>
      </c>
      <c r="AP118" s="166">
        <v>2704.0000000000027</v>
      </c>
      <c r="AQ118" s="166">
        <v>676.00000000000068</v>
      </c>
      <c r="AR118" s="180">
        <f t="shared" si="48"/>
        <v>18</v>
      </c>
      <c r="AS118" s="473"/>
      <c r="AT118" s="166">
        <v>4</v>
      </c>
      <c r="AU118" s="166">
        <v>3004.6153846153861</v>
      </c>
      <c r="AV118" s="166">
        <v>751.15384615384653</v>
      </c>
      <c r="AW118" s="180">
        <f t="shared" si="50"/>
        <v>13</v>
      </c>
      <c r="AX118" s="473"/>
    </row>
    <row r="119" spans="2:50">
      <c r="B119" s="479"/>
      <c r="C119" s="180">
        <v>8</v>
      </c>
      <c r="D119" s="180" t="s">
        <v>353</v>
      </c>
      <c r="E119" s="180">
        <v>3</v>
      </c>
      <c r="F119" s="180">
        <v>3300</v>
      </c>
      <c r="G119" s="180">
        <v>1100</v>
      </c>
      <c r="H119" s="473"/>
      <c r="I119" s="166">
        <f t="shared" si="52"/>
        <v>3</v>
      </c>
      <c r="J119" s="166">
        <f t="shared" si="52"/>
        <v>3133.8188662005427</v>
      </c>
      <c r="K119" s="265">
        <f t="shared" si="52"/>
        <v>1044.6062887335145</v>
      </c>
      <c r="L119" s="460"/>
      <c r="M119" s="166">
        <f>RANK(K119, K$112:$K$141)</f>
        <v>4</v>
      </c>
      <c r="N119" s="462"/>
      <c r="O119" s="462"/>
      <c r="P119" s="166">
        <v>3</v>
      </c>
      <c r="Q119" s="166">
        <v>3115.8620689655281</v>
      </c>
      <c r="R119" s="166">
        <v>1038.620689655176</v>
      </c>
      <c r="S119" s="180">
        <f t="shared" si="53"/>
        <v>4</v>
      </c>
      <c r="T119" s="473"/>
      <c r="U119" s="166">
        <v>3</v>
      </c>
      <c r="V119" s="166">
        <v>3155.1724137931151</v>
      </c>
      <c r="W119" s="166">
        <v>1051.7241379310383</v>
      </c>
      <c r="X119" s="180">
        <f t="shared" si="40"/>
        <v>3</v>
      </c>
      <c r="Y119" s="473"/>
      <c r="Z119" s="166">
        <v>3</v>
      </c>
      <c r="AA119" s="166">
        <v>2926.0000000000027</v>
      </c>
      <c r="AB119" s="166">
        <v>975.33333333333428</v>
      </c>
      <c r="AC119" s="180">
        <f t="shared" si="42"/>
        <v>5</v>
      </c>
      <c r="AD119" s="473"/>
      <c r="AE119" s="166">
        <v>3</v>
      </c>
      <c r="AF119" s="166">
        <v>3242.49999999999</v>
      </c>
      <c r="AG119" s="166">
        <v>1080.8333333333301</v>
      </c>
      <c r="AH119" s="180">
        <f t="shared" si="44"/>
        <v>3</v>
      </c>
      <c r="AI119" s="473"/>
      <c r="AJ119" s="166">
        <v>3</v>
      </c>
      <c r="AK119" s="166">
        <v>3212.5000000000009</v>
      </c>
      <c r="AL119" s="166">
        <v>1070.8333333333337</v>
      </c>
      <c r="AM119" s="180">
        <f t="shared" si="46"/>
        <v>4</v>
      </c>
      <c r="AN119" s="473"/>
      <c r="AO119" s="166">
        <v>3</v>
      </c>
      <c r="AP119" s="166">
        <v>3114.3750000000036</v>
      </c>
      <c r="AQ119" s="166">
        <v>1038.1250000000011</v>
      </c>
      <c r="AR119" s="180">
        <f t="shared" si="48"/>
        <v>3</v>
      </c>
      <c r="AS119" s="473"/>
      <c r="AT119" s="166">
        <v>3</v>
      </c>
      <c r="AU119" s="166">
        <v>3170.3225806451642</v>
      </c>
      <c r="AV119" s="166">
        <v>1056.774193548388</v>
      </c>
      <c r="AW119" s="180">
        <f t="shared" si="50"/>
        <v>3</v>
      </c>
      <c r="AX119" s="473"/>
    </row>
    <row r="120" spans="2:50">
      <c r="B120" s="479"/>
      <c r="C120" s="180">
        <v>9</v>
      </c>
      <c r="D120" s="180" t="s">
        <v>354</v>
      </c>
      <c r="E120" s="180">
        <v>3</v>
      </c>
      <c r="F120" s="180">
        <v>3300</v>
      </c>
      <c r="G120" s="180">
        <v>1100</v>
      </c>
      <c r="H120" s="473"/>
      <c r="I120" s="166">
        <f t="shared" si="52"/>
        <v>3</v>
      </c>
      <c r="J120" s="166">
        <f t="shared" si="52"/>
        <v>2782.3673469387763</v>
      </c>
      <c r="K120" s="265">
        <f t="shared" si="52"/>
        <v>927.45578231292552</v>
      </c>
      <c r="L120" s="460"/>
      <c r="M120" s="166">
        <f>RANK(K120, K$112:$K$141)</f>
        <v>7</v>
      </c>
      <c r="N120" s="462"/>
      <c r="O120" s="462"/>
      <c r="P120" s="166">
        <v>3</v>
      </c>
      <c r="Q120" s="166">
        <v>2763.4285714285684</v>
      </c>
      <c r="R120" s="166">
        <v>921.14285714285609</v>
      </c>
      <c r="S120" s="180">
        <f t="shared" si="53"/>
        <v>5</v>
      </c>
      <c r="T120" s="473"/>
      <c r="U120" s="166">
        <v>3</v>
      </c>
      <c r="V120" s="166">
        <v>2740.0000000000036</v>
      </c>
      <c r="W120" s="166">
        <v>913.33333333333451</v>
      </c>
      <c r="X120" s="180">
        <f t="shared" si="40"/>
        <v>6</v>
      </c>
      <c r="Y120" s="473"/>
      <c r="Z120" s="166">
        <v>3</v>
      </c>
      <c r="AA120" s="166">
        <v>2729.1428571428669</v>
      </c>
      <c r="AB120" s="166">
        <v>909.71428571428896</v>
      </c>
      <c r="AC120" s="180">
        <f t="shared" si="42"/>
        <v>8</v>
      </c>
      <c r="AD120" s="473"/>
      <c r="AE120" s="166">
        <v>3</v>
      </c>
      <c r="AF120" s="166">
        <v>2894.0000000000027</v>
      </c>
      <c r="AG120" s="166">
        <v>964.66666666666754</v>
      </c>
      <c r="AH120" s="180">
        <f t="shared" si="44"/>
        <v>6</v>
      </c>
      <c r="AI120" s="473"/>
      <c r="AJ120" s="166">
        <v>3</v>
      </c>
      <c r="AK120" s="166">
        <v>2823.999999999995</v>
      </c>
      <c r="AL120" s="166">
        <v>941.33333333333167</v>
      </c>
      <c r="AM120" s="180">
        <f t="shared" si="46"/>
        <v>7</v>
      </c>
      <c r="AN120" s="473"/>
      <c r="AO120" s="166">
        <v>3</v>
      </c>
      <c r="AP120" s="166">
        <v>2758.4999999999991</v>
      </c>
      <c r="AQ120" s="166">
        <v>919.49999999999966</v>
      </c>
      <c r="AR120" s="180">
        <f t="shared" si="48"/>
        <v>7</v>
      </c>
      <c r="AS120" s="473"/>
      <c r="AT120" s="166">
        <v>3</v>
      </c>
      <c r="AU120" s="166">
        <v>2767.4999999999991</v>
      </c>
      <c r="AV120" s="166">
        <v>922.49999999999966</v>
      </c>
      <c r="AW120" s="180">
        <f t="shared" si="50"/>
        <v>7</v>
      </c>
      <c r="AX120" s="473"/>
    </row>
    <row r="121" spans="2:50">
      <c r="B121" s="479"/>
      <c r="C121" s="180">
        <v>10</v>
      </c>
      <c r="D121" s="180" t="s">
        <v>355</v>
      </c>
      <c r="E121" s="180">
        <v>4</v>
      </c>
      <c r="F121" s="180">
        <v>3300</v>
      </c>
      <c r="G121" s="180">
        <v>825</v>
      </c>
      <c r="H121" s="473"/>
      <c r="I121" s="166">
        <f t="shared" si="52"/>
        <v>4</v>
      </c>
      <c r="J121" s="166">
        <f t="shared" si="52"/>
        <v>2821.6476210714641</v>
      </c>
      <c r="K121" s="265">
        <f t="shared" si="52"/>
        <v>705.41190526786602</v>
      </c>
      <c r="L121" s="460"/>
      <c r="M121" s="166">
        <f>RANK(K121, K$112:$K$141)</f>
        <v>15</v>
      </c>
      <c r="N121" s="462"/>
      <c r="O121" s="462"/>
      <c r="P121" s="166">
        <v>4</v>
      </c>
      <c r="Q121" s="166">
        <v>2801.1111111111127</v>
      </c>
      <c r="R121" s="166">
        <v>700.27777777777817</v>
      </c>
      <c r="S121" s="180">
        <f t="shared" si="53"/>
        <v>14</v>
      </c>
      <c r="T121" s="473"/>
      <c r="U121" s="166">
        <v>4</v>
      </c>
      <c r="V121" s="166">
        <v>2775.2727272727293</v>
      </c>
      <c r="W121" s="166">
        <v>693.81818181818232</v>
      </c>
      <c r="X121" s="180">
        <f t="shared" si="40"/>
        <v>17</v>
      </c>
      <c r="Y121" s="473"/>
      <c r="Z121" s="166">
        <v>4</v>
      </c>
      <c r="AA121" s="166">
        <v>2905.1999999999962</v>
      </c>
      <c r="AB121" s="166">
        <v>726.29999999999905</v>
      </c>
      <c r="AC121" s="180">
        <f t="shared" si="42"/>
        <v>13</v>
      </c>
      <c r="AD121" s="473"/>
      <c r="AE121" s="166">
        <v>4</v>
      </c>
      <c r="AF121" s="166">
        <v>2826.521739130435</v>
      </c>
      <c r="AG121" s="166">
        <v>706.63043478260875</v>
      </c>
      <c r="AH121" s="180">
        <f t="shared" si="44"/>
        <v>16</v>
      </c>
      <c r="AI121" s="473"/>
      <c r="AJ121" s="166">
        <v>4</v>
      </c>
      <c r="AK121" s="166">
        <v>2844.782608695652</v>
      </c>
      <c r="AL121" s="166">
        <v>711.195652173913</v>
      </c>
      <c r="AM121" s="180">
        <f t="shared" si="46"/>
        <v>14</v>
      </c>
      <c r="AN121" s="473"/>
      <c r="AO121" s="166">
        <v>4</v>
      </c>
      <c r="AP121" s="166">
        <v>2800.6451612903234</v>
      </c>
      <c r="AQ121" s="166">
        <v>700.16129032258084</v>
      </c>
      <c r="AR121" s="180">
        <f t="shared" si="48"/>
        <v>14</v>
      </c>
      <c r="AS121" s="473"/>
      <c r="AT121" s="166">
        <v>4</v>
      </c>
      <c r="AU121" s="166">
        <v>2797.9999999999986</v>
      </c>
      <c r="AV121" s="166">
        <v>699.49999999999966</v>
      </c>
      <c r="AW121" s="180">
        <f t="shared" si="50"/>
        <v>15</v>
      </c>
      <c r="AX121" s="473"/>
    </row>
    <row r="122" spans="2:50">
      <c r="B122" s="479"/>
      <c r="C122" s="180">
        <v>11</v>
      </c>
      <c r="D122" s="180" t="s">
        <v>356</v>
      </c>
      <c r="E122" s="180">
        <v>4</v>
      </c>
      <c r="F122" s="180">
        <v>3300</v>
      </c>
      <c r="G122" s="180">
        <v>825</v>
      </c>
      <c r="H122" s="473"/>
      <c r="I122" s="166">
        <f t="shared" si="52"/>
        <v>4</v>
      </c>
      <c r="J122" s="166">
        <f t="shared" si="52"/>
        <v>2754.2525628501003</v>
      </c>
      <c r="K122" s="265">
        <f t="shared" si="52"/>
        <v>688.56314071252507</v>
      </c>
      <c r="L122" s="460"/>
      <c r="M122" s="166">
        <f>RANK(K122, K$112:$K$141)</f>
        <v>18</v>
      </c>
      <c r="N122" s="462"/>
      <c r="O122" s="462"/>
      <c r="P122" s="166">
        <v>4</v>
      </c>
      <c r="Q122" s="166">
        <v>2775.5172413793089</v>
      </c>
      <c r="R122" s="166">
        <v>693.87931034482722</v>
      </c>
      <c r="S122" s="180">
        <f t="shared" si="53"/>
        <v>16</v>
      </c>
      <c r="T122" s="473"/>
      <c r="U122" s="166">
        <v>4</v>
      </c>
      <c r="V122" s="166">
        <v>2735.1724137931014</v>
      </c>
      <c r="W122" s="166">
        <v>683.79310344827536</v>
      </c>
      <c r="X122" s="180">
        <f t="shared" si="40"/>
        <v>18</v>
      </c>
      <c r="Y122" s="473"/>
      <c r="Z122" s="166">
        <v>4</v>
      </c>
      <c r="AA122" s="166">
        <v>2829.8181818181797</v>
      </c>
      <c r="AB122" s="166">
        <v>707.45454545454493</v>
      </c>
      <c r="AC122" s="180">
        <f t="shared" si="42"/>
        <v>15</v>
      </c>
      <c r="AD122" s="473"/>
      <c r="AE122" s="166">
        <v>4</v>
      </c>
      <c r="AF122" s="166">
        <v>2917.5000000000032</v>
      </c>
      <c r="AG122" s="166">
        <v>729.3750000000008</v>
      </c>
      <c r="AH122" s="180">
        <f t="shared" si="44"/>
        <v>13</v>
      </c>
      <c r="AI122" s="473"/>
      <c r="AJ122" s="166">
        <v>4</v>
      </c>
      <c r="AK122" s="166">
        <v>2818.8000000000006</v>
      </c>
      <c r="AL122" s="166">
        <v>704.70000000000016</v>
      </c>
      <c r="AM122" s="180">
        <f t="shared" si="46"/>
        <v>16</v>
      </c>
      <c r="AN122" s="473"/>
      <c r="AO122" s="166">
        <v>4</v>
      </c>
      <c r="AP122" s="166">
        <v>2798.0952380952408</v>
      </c>
      <c r="AQ122" s="166">
        <v>699.5238095238102</v>
      </c>
      <c r="AR122" s="180">
        <f t="shared" si="48"/>
        <v>15</v>
      </c>
      <c r="AS122" s="473"/>
      <c r="AT122" s="166">
        <v>4</v>
      </c>
      <c r="AU122" s="166">
        <v>2404.8648648648659</v>
      </c>
      <c r="AV122" s="166">
        <v>601.21621621621648</v>
      </c>
      <c r="AW122" s="180">
        <f t="shared" si="50"/>
        <v>19</v>
      </c>
      <c r="AX122" s="473"/>
    </row>
    <row r="123" spans="2:50">
      <c r="B123" s="479"/>
      <c r="C123" s="180">
        <v>12</v>
      </c>
      <c r="D123" s="180" t="s">
        <v>516</v>
      </c>
      <c r="E123" s="180">
        <v>4</v>
      </c>
      <c r="F123" s="180">
        <v>2800</v>
      </c>
      <c r="G123" s="180">
        <v>700</v>
      </c>
      <c r="H123" s="473"/>
      <c r="I123" s="166">
        <f t="shared" si="52"/>
        <v>4</v>
      </c>
      <c r="J123" s="166">
        <f t="shared" si="52"/>
        <v>2790.2241758241776</v>
      </c>
      <c r="K123" s="265">
        <f t="shared" si="52"/>
        <v>697.55604395604439</v>
      </c>
      <c r="L123" s="460"/>
      <c r="M123" s="166">
        <f>RANK(K123, K$112:$K$141)</f>
        <v>16</v>
      </c>
      <c r="N123" s="462"/>
      <c r="O123" s="462"/>
      <c r="P123" s="166">
        <v>4</v>
      </c>
      <c r="Q123" s="166">
        <v>2734.6153846153861</v>
      </c>
      <c r="R123" s="166">
        <v>683.65384615384653</v>
      </c>
      <c r="S123" s="180">
        <f t="shared" si="53"/>
        <v>18</v>
      </c>
      <c r="T123" s="473"/>
      <c r="U123" s="166">
        <v>4</v>
      </c>
      <c r="V123" s="166">
        <v>2776.1538461538476</v>
      </c>
      <c r="W123" s="166">
        <v>694.03846153846189</v>
      </c>
      <c r="X123" s="180">
        <f t="shared" si="40"/>
        <v>16</v>
      </c>
      <c r="Y123" s="473"/>
      <c r="Z123" s="166">
        <v>4</v>
      </c>
      <c r="AA123" s="166">
        <v>2704.8000000000006</v>
      </c>
      <c r="AB123" s="166">
        <v>676.20000000000016</v>
      </c>
      <c r="AC123" s="180">
        <f t="shared" si="42"/>
        <v>17</v>
      </c>
      <c r="AD123" s="473"/>
      <c r="AE123" s="166">
        <v>4</v>
      </c>
      <c r="AF123" s="166">
        <v>2835.0000000000045</v>
      </c>
      <c r="AG123" s="166">
        <v>708.75000000000114</v>
      </c>
      <c r="AH123" s="180">
        <f t="shared" si="44"/>
        <v>15</v>
      </c>
      <c r="AI123" s="473"/>
      <c r="AJ123" s="166">
        <v>4</v>
      </c>
      <c r="AK123" s="166">
        <v>2900.9999999999986</v>
      </c>
      <c r="AL123" s="166">
        <v>725.24999999999966</v>
      </c>
      <c r="AM123" s="180">
        <f t="shared" si="46"/>
        <v>12</v>
      </c>
      <c r="AN123" s="473"/>
      <c r="AO123" s="166">
        <v>4</v>
      </c>
      <c r="AP123" s="166">
        <v>2796.4285714285734</v>
      </c>
      <c r="AQ123" s="166">
        <v>699.10714285714334</v>
      </c>
      <c r="AR123" s="180">
        <f t="shared" si="48"/>
        <v>16</v>
      </c>
      <c r="AS123" s="473"/>
      <c r="AT123" s="166">
        <v>4</v>
      </c>
      <c r="AU123" s="166">
        <v>2783.5714285714307</v>
      </c>
      <c r="AV123" s="166">
        <v>695.89285714285768</v>
      </c>
      <c r="AW123" s="180">
        <f t="shared" si="50"/>
        <v>16</v>
      </c>
      <c r="AX123" s="473"/>
    </row>
    <row r="124" spans="2:50">
      <c r="B124" s="479"/>
      <c r="C124" s="180">
        <v>13</v>
      </c>
      <c r="D124" s="180" t="s">
        <v>357</v>
      </c>
      <c r="E124" s="180">
        <v>4</v>
      </c>
      <c r="F124" s="180">
        <v>3600</v>
      </c>
      <c r="G124" s="180">
        <v>900</v>
      </c>
      <c r="H124" s="473"/>
      <c r="I124" s="166">
        <f t="shared" si="52"/>
        <v>4</v>
      </c>
      <c r="J124" s="166">
        <f t="shared" si="52"/>
        <v>2887.1142857142736</v>
      </c>
      <c r="K124" s="265">
        <f t="shared" si="52"/>
        <v>721.7785714285684</v>
      </c>
      <c r="L124" s="460"/>
      <c r="M124" s="166">
        <f>RANK(K124, K$112:$K$141)</f>
        <v>14</v>
      </c>
      <c r="N124" s="462"/>
      <c r="O124" s="462"/>
      <c r="P124" s="166">
        <v>4</v>
      </c>
      <c r="Q124" s="166">
        <v>2978.9999999999868</v>
      </c>
      <c r="R124" s="166">
        <v>744.7499999999967</v>
      </c>
      <c r="S124" s="180">
        <f t="shared" si="53"/>
        <v>13</v>
      </c>
      <c r="T124" s="473"/>
      <c r="U124" s="166">
        <v>4</v>
      </c>
      <c r="V124" s="166">
        <v>2918.9999999999873</v>
      </c>
      <c r="W124" s="166">
        <v>729.74999999999682</v>
      </c>
      <c r="X124" s="180">
        <f t="shared" si="40"/>
        <v>13</v>
      </c>
      <c r="Y124" s="473"/>
      <c r="Z124" s="166">
        <v>4</v>
      </c>
      <c r="AA124" s="166">
        <v>2837.9999999999873</v>
      </c>
      <c r="AB124" s="166">
        <v>709.49999999999682</v>
      </c>
      <c r="AC124" s="180">
        <f t="shared" si="42"/>
        <v>14</v>
      </c>
      <c r="AD124" s="473"/>
      <c r="AE124" s="166">
        <v>4</v>
      </c>
      <c r="AF124" s="166">
        <v>2522.9999999999886</v>
      </c>
      <c r="AG124" s="166">
        <v>630.74999999999716</v>
      </c>
      <c r="AH124" s="180">
        <f t="shared" si="44"/>
        <v>18</v>
      </c>
      <c r="AI124" s="473"/>
      <c r="AJ124" s="166">
        <v>4</v>
      </c>
      <c r="AK124" s="166">
        <v>2846.9999999999873</v>
      </c>
      <c r="AL124" s="166">
        <v>711.74999999999682</v>
      </c>
      <c r="AM124" s="180">
        <f t="shared" si="46"/>
        <v>13</v>
      </c>
      <c r="AN124" s="473"/>
      <c r="AO124" s="166">
        <v>4</v>
      </c>
      <c r="AP124" s="166">
        <v>3338.999999999985</v>
      </c>
      <c r="AQ124" s="166">
        <v>834.74999999999625</v>
      </c>
      <c r="AR124" s="180">
        <f t="shared" si="48"/>
        <v>9</v>
      </c>
      <c r="AS124" s="473"/>
      <c r="AT124" s="166">
        <v>4</v>
      </c>
      <c r="AU124" s="166">
        <v>2764.799999999992</v>
      </c>
      <c r="AV124" s="166">
        <v>691.199999999998</v>
      </c>
      <c r="AW124" s="180">
        <f t="shared" si="50"/>
        <v>17</v>
      </c>
      <c r="AX124" s="473"/>
    </row>
    <row r="125" spans="2:50">
      <c r="B125" s="479"/>
      <c r="C125" s="180">
        <v>14</v>
      </c>
      <c r="D125" s="180" t="s">
        <v>358</v>
      </c>
      <c r="E125" s="180">
        <v>4</v>
      </c>
      <c r="F125" s="180">
        <v>3600</v>
      </c>
      <c r="G125" s="180">
        <v>900</v>
      </c>
      <c r="H125" s="473"/>
      <c r="I125" s="166">
        <f t="shared" si="52"/>
        <v>4</v>
      </c>
      <c r="J125" s="166">
        <f t="shared" si="52"/>
        <v>2484.8571428571418</v>
      </c>
      <c r="K125" s="265">
        <f t="shared" si="52"/>
        <v>621.21428571428544</v>
      </c>
      <c r="L125" s="460"/>
      <c r="M125" s="166">
        <f>RANK(K125, K$112:$K$141)</f>
        <v>19</v>
      </c>
      <c r="N125" s="462"/>
      <c r="O125" s="462"/>
      <c r="P125" s="166">
        <v>4</v>
      </c>
      <c r="Q125" s="166">
        <v>2502.0000000000086</v>
      </c>
      <c r="R125" s="166">
        <v>625.50000000000216</v>
      </c>
      <c r="S125" s="180">
        <f t="shared" si="53"/>
        <v>19</v>
      </c>
      <c r="T125" s="473"/>
      <c r="U125" s="166">
        <v>4</v>
      </c>
      <c r="V125" s="166">
        <v>2460.0000000000086</v>
      </c>
      <c r="W125" s="166">
        <v>615.00000000000216</v>
      </c>
      <c r="X125" s="180">
        <f t="shared" si="40"/>
        <v>19</v>
      </c>
      <c r="Y125" s="473"/>
      <c r="Z125" s="166">
        <v>4</v>
      </c>
      <c r="AA125" s="166">
        <v>2243.9999999999723</v>
      </c>
      <c r="AB125" s="166">
        <v>560.99999999999307</v>
      </c>
      <c r="AC125" s="180">
        <f t="shared" si="42"/>
        <v>20</v>
      </c>
      <c r="AD125" s="473"/>
      <c r="AE125" s="166">
        <v>4</v>
      </c>
      <c r="AF125" s="166">
        <v>1955.9999999999759</v>
      </c>
      <c r="AG125" s="166">
        <v>488.99999999999397</v>
      </c>
      <c r="AH125" s="180">
        <f t="shared" si="44"/>
        <v>20</v>
      </c>
      <c r="AI125" s="473"/>
      <c r="AJ125" s="166">
        <v>4</v>
      </c>
      <c r="AK125" s="166">
        <v>2322.0000000000082</v>
      </c>
      <c r="AL125" s="166">
        <v>580.50000000000205</v>
      </c>
      <c r="AM125" s="180">
        <f t="shared" si="46"/>
        <v>19</v>
      </c>
      <c r="AN125" s="473"/>
      <c r="AO125" s="166">
        <v>4</v>
      </c>
      <c r="AP125" s="166">
        <v>3041.9999999999623</v>
      </c>
      <c r="AQ125" s="166">
        <v>760.49999999999056</v>
      </c>
      <c r="AR125" s="180">
        <f t="shared" si="48"/>
        <v>13</v>
      </c>
      <c r="AS125" s="473"/>
      <c r="AT125" s="166">
        <v>4</v>
      </c>
      <c r="AU125" s="166">
        <v>2868.0000000000559</v>
      </c>
      <c r="AV125" s="166">
        <v>717.00000000001398</v>
      </c>
      <c r="AW125" s="180">
        <f t="shared" si="50"/>
        <v>14</v>
      </c>
      <c r="AX125" s="473"/>
    </row>
    <row r="126" spans="2:50">
      <c r="B126" s="479"/>
      <c r="C126" s="180">
        <v>15</v>
      </c>
      <c r="D126" s="180" t="s">
        <v>439</v>
      </c>
      <c r="E126" s="180">
        <v>4</v>
      </c>
      <c r="F126" s="180">
        <v>3300</v>
      </c>
      <c r="G126" s="180">
        <v>825</v>
      </c>
      <c r="H126" s="473"/>
      <c r="I126" s="166">
        <f t="shared" si="52"/>
        <v>3</v>
      </c>
      <c r="J126" s="166">
        <f t="shared" si="52"/>
        <v>2767.9188555805094</v>
      </c>
      <c r="K126" s="265">
        <f t="shared" si="52"/>
        <v>922.63961852683644</v>
      </c>
      <c r="L126" s="460"/>
      <c r="M126" s="166">
        <f>RANK(K126, K$112:$K$141)</f>
        <v>8</v>
      </c>
      <c r="N126" s="462"/>
      <c r="O126" s="462"/>
      <c r="P126" s="166">
        <v>3</v>
      </c>
      <c r="Q126" s="166">
        <v>2699.9999999999977</v>
      </c>
      <c r="R126" s="166">
        <v>899.9999999999992</v>
      </c>
      <c r="S126" s="180">
        <f t="shared" si="53"/>
        <v>7</v>
      </c>
      <c r="T126" s="473"/>
      <c r="U126" s="166">
        <v>3</v>
      </c>
      <c r="V126" s="166">
        <v>2725.2631578947348</v>
      </c>
      <c r="W126" s="166">
        <v>908.42105263157828</v>
      </c>
      <c r="X126" s="180">
        <f t="shared" si="40"/>
        <v>7</v>
      </c>
      <c r="Y126" s="473"/>
      <c r="Z126" s="166">
        <v>3</v>
      </c>
      <c r="AA126" s="166">
        <v>2528.9999999999991</v>
      </c>
      <c r="AB126" s="166">
        <v>842.99999999999966</v>
      </c>
      <c r="AC126" s="180">
        <f t="shared" si="42"/>
        <v>10</v>
      </c>
      <c r="AD126" s="473"/>
      <c r="AE126" s="166">
        <v>3</v>
      </c>
      <c r="AF126" s="166">
        <v>2935.7142857142881</v>
      </c>
      <c r="AG126" s="166">
        <v>978.57142857142935</v>
      </c>
      <c r="AH126" s="180">
        <f t="shared" si="44"/>
        <v>5</v>
      </c>
      <c r="AI126" s="473"/>
      <c r="AJ126" s="166">
        <v>3</v>
      </c>
      <c r="AK126" s="166">
        <v>2910.0000000000023</v>
      </c>
      <c r="AL126" s="166">
        <v>970.0000000000008</v>
      </c>
      <c r="AM126" s="180">
        <f t="shared" si="46"/>
        <v>5</v>
      </c>
      <c r="AN126" s="473"/>
      <c r="AO126" s="166">
        <v>3</v>
      </c>
      <c r="AP126" s="166">
        <v>2795.4545454545455</v>
      </c>
      <c r="AQ126" s="166">
        <v>931.81818181818187</v>
      </c>
      <c r="AR126" s="180">
        <f t="shared" si="48"/>
        <v>6</v>
      </c>
      <c r="AS126" s="473"/>
      <c r="AT126" s="166">
        <v>3</v>
      </c>
      <c r="AU126" s="166">
        <v>2779.9999999999991</v>
      </c>
      <c r="AV126" s="166">
        <v>926.6666666666664</v>
      </c>
      <c r="AW126" s="180">
        <f t="shared" si="50"/>
        <v>6</v>
      </c>
      <c r="AX126" s="473"/>
    </row>
    <row r="127" spans="2:50">
      <c r="B127" s="479"/>
      <c r="C127" s="180">
        <v>16</v>
      </c>
      <c r="D127" s="180" t="s">
        <v>514</v>
      </c>
      <c r="E127" s="180">
        <v>3</v>
      </c>
      <c r="F127" s="180">
        <v>2800</v>
      </c>
      <c r="G127" s="180">
        <v>933.33333333333337</v>
      </c>
      <c r="H127" s="473"/>
      <c r="I127" s="166">
        <f t="shared" si="52"/>
        <v>3</v>
      </c>
      <c r="J127" s="166">
        <f t="shared" si="52"/>
        <v>2787.085714285708</v>
      </c>
      <c r="K127" s="265">
        <f t="shared" si="52"/>
        <v>929.02857142856919</v>
      </c>
      <c r="L127" s="460"/>
      <c r="M127" s="166">
        <f>RANK(K127, K$112:$K$141)</f>
        <v>6</v>
      </c>
      <c r="N127" s="462"/>
      <c r="O127" s="462"/>
      <c r="P127" s="166">
        <v>3</v>
      </c>
      <c r="Q127" s="166">
        <v>2613.5999999999926</v>
      </c>
      <c r="R127" s="166">
        <v>871.19999999999754</v>
      </c>
      <c r="S127" s="180">
        <f t="shared" si="53"/>
        <v>8</v>
      </c>
      <c r="T127" s="473"/>
      <c r="U127" s="166">
        <v>3</v>
      </c>
      <c r="V127" s="166">
        <v>2623.2000000000094</v>
      </c>
      <c r="W127" s="166">
        <v>874.40000000000316</v>
      </c>
      <c r="X127" s="180">
        <f t="shared" si="40"/>
        <v>8</v>
      </c>
      <c r="Y127" s="473"/>
      <c r="Z127" s="166">
        <v>3</v>
      </c>
      <c r="AA127" s="166">
        <v>3158.9999999999859</v>
      </c>
      <c r="AB127" s="166">
        <v>1052.9999999999952</v>
      </c>
      <c r="AC127" s="180">
        <f t="shared" si="42"/>
        <v>2</v>
      </c>
      <c r="AD127" s="473"/>
      <c r="AE127" s="166">
        <v>3</v>
      </c>
      <c r="AF127" s="166">
        <v>2786.9999999999877</v>
      </c>
      <c r="AG127" s="166">
        <v>928.99999999999591</v>
      </c>
      <c r="AH127" s="180">
        <f t="shared" si="44"/>
        <v>8</v>
      </c>
      <c r="AI127" s="473"/>
      <c r="AJ127" s="166">
        <v>3</v>
      </c>
      <c r="AK127" s="166">
        <v>2680.7999999999925</v>
      </c>
      <c r="AL127" s="166">
        <v>893.59999999999752</v>
      </c>
      <c r="AM127" s="180">
        <f t="shared" si="46"/>
        <v>8</v>
      </c>
      <c r="AN127" s="473"/>
      <c r="AO127" s="166">
        <v>3</v>
      </c>
      <c r="AP127" s="166">
        <v>3023.9999999999914</v>
      </c>
      <c r="AQ127" s="166">
        <v>1007.9999999999972</v>
      </c>
      <c r="AR127" s="180">
        <f t="shared" si="48"/>
        <v>5</v>
      </c>
      <c r="AS127" s="473"/>
      <c r="AT127" s="166">
        <v>3</v>
      </c>
      <c r="AU127" s="166">
        <v>2621.9999999999955</v>
      </c>
      <c r="AV127" s="166">
        <v>873.99999999999852</v>
      </c>
      <c r="AW127" s="180">
        <f t="shared" si="50"/>
        <v>8</v>
      </c>
      <c r="AX127" s="473"/>
    </row>
    <row r="128" spans="2:50">
      <c r="B128" s="479"/>
      <c r="C128" s="180">
        <v>17</v>
      </c>
      <c r="D128" s="180" t="s">
        <v>570</v>
      </c>
      <c r="E128" s="180">
        <v>4</v>
      </c>
      <c r="F128" s="180">
        <v>3000</v>
      </c>
      <c r="G128" s="180">
        <v>750</v>
      </c>
      <c r="H128" s="473"/>
      <c r="I128" s="166">
        <f t="shared" si="52"/>
        <v>3</v>
      </c>
      <c r="J128" s="166">
        <f t="shared" si="52"/>
        <v>2218.7809523809497</v>
      </c>
      <c r="K128" s="265">
        <f t="shared" si="52"/>
        <v>739.59365079364977</v>
      </c>
      <c r="L128" s="460"/>
      <c r="M128" s="166">
        <f>RANK(K128, K$112:$K$141)</f>
        <v>11</v>
      </c>
      <c r="N128" s="462"/>
      <c r="O128" s="462"/>
      <c r="P128" s="166">
        <v>3</v>
      </c>
      <c r="Q128" s="166">
        <v>2294.666666666667</v>
      </c>
      <c r="R128" s="166">
        <v>764.88888888888903</v>
      </c>
      <c r="S128" s="180">
        <f t="shared" si="53"/>
        <v>12</v>
      </c>
      <c r="T128" s="473"/>
      <c r="U128" s="166">
        <v>3</v>
      </c>
      <c r="V128" s="166">
        <v>2229.3333333333335</v>
      </c>
      <c r="W128" s="166">
        <v>743.1111111111112</v>
      </c>
      <c r="X128" s="180">
        <f t="shared" si="40"/>
        <v>12</v>
      </c>
      <c r="Y128" s="473"/>
      <c r="Z128" s="166">
        <v>3</v>
      </c>
      <c r="AA128" s="166">
        <v>2109.3333333333335</v>
      </c>
      <c r="AB128" s="166">
        <v>703.1111111111112</v>
      </c>
      <c r="AC128" s="180">
        <f t="shared" si="42"/>
        <v>16</v>
      </c>
      <c r="AD128" s="473"/>
      <c r="AE128" s="166">
        <v>3</v>
      </c>
      <c r="AF128" s="166">
        <v>2089.3333333333335</v>
      </c>
      <c r="AG128" s="166">
        <v>696.44444444444446</v>
      </c>
      <c r="AH128" s="180">
        <f t="shared" si="44"/>
        <v>17</v>
      </c>
      <c r="AI128" s="473"/>
      <c r="AJ128" s="166">
        <v>3</v>
      </c>
      <c r="AK128" s="166">
        <v>2102.3999999999942</v>
      </c>
      <c r="AL128" s="166">
        <v>700.79999999999802</v>
      </c>
      <c r="AM128" s="180">
        <f t="shared" si="46"/>
        <v>17</v>
      </c>
      <c r="AN128" s="473"/>
      <c r="AO128" s="166">
        <v>3</v>
      </c>
      <c r="AP128" s="166">
        <v>2345.9999999999932</v>
      </c>
      <c r="AQ128" s="166">
        <v>781.99999999999773</v>
      </c>
      <c r="AR128" s="180">
        <f t="shared" si="48"/>
        <v>11</v>
      </c>
      <c r="AS128" s="473"/>
      <c r="AT128" s="166">
        <v>3</v>
      </c>
      <c r="AU128" s="166">
        <v>2360.3999999999933</v>
      </c>
      <c r="AV128" s="166">
        <v>786.79999999999779</v>
      </c>
      <c r="AW128" s="180">
        <f t="shared" si="50"/>
        <v>10</v>
      </c>
      <c r="AX128" s="473"/>
    </row>
    <row r="129" spans="2:50">
      <c r="B129" s="479"/>
      <c r="C129" s="180">
        <v>18</v>
      </c>
      <c r="D129" s="180" t="s">
        <v>521</v>
      </c>
      <c r="E129" s="180">
        <v>12</v>
      </c>
      <c r="F129" s="180">
        <v>1500</v>
      </c>
      <c r="G129" s="180">
        <v>125</v>
      </c>
      <c r="H129" s="473"/>
      <c r="I129" s="166">
        <f t="shared" si="52"/>
        <v>10</v>
      </c>
      <c r="J129" s="166">
        <f t="shared" si="52"/>
        <v>1515.4131868131865</v>
      </c>
      <c r="K129" s="265">
        <f t="shared" si="52"/>
        <v>157.50989010989005</v>
      </c>
      <c r="L129" s="460"/>
      <c r="M129" s="166">
        <f>RANK(K129, K$112:$K$141)</f>
        <v>21</v>
      </c>
      <c r="N129" s="462"/>
      <c r="O129" s="462"/>
      <c r="P129" s="166">
        <v>12</v>
      </c>
      <c r="Q129" s="166">
        <v>1511.9999999999975</v>
      </c>
      <c r="R129" s="166">
        <v>125.99999999999979</v>
      </c>
      <c r="S129" s="180">
        <f t="shared" si="53"/>
        <v>21</v>
      </c>
      <c r="T129" s="473"/>
      <c r="U129" s="166">
        <v>10</v>
      </c>
      <c r="V129" s="166">
        <v>1503.9999999999975</v>
      </c>
      <c r="W129" s="166">
        <v>150.39999999999975</v>
      </c>
      <c r="X129" s="180">
        <f t="shared" si="40"/>
        <v>21</v>
      </c>
      <c r="Y129" s="473"/>
      <c r="Z129" s="166">
        <v>12</v>
      </c>
      <c r="AA129" s="166">
        <v>1455.0000000000014</v>
      </c>
      <c r="AB129" s="166">
        <v>121.25000000000011</v>
      </c>
      <c r="AC129" s="180">
        <f t="shared" si="42"/>
        <v>21</v>
      </c>
      <c r="AD129" s="473"/>
      <c r="AE129" s="166">
        <v>8</v>
      </c>
      <c r="AF129" s="166">
        <v>1556.4000000000005</v>
      </c>
      <c r="AG129" s="166">
        <v>194.55000000000007</v>
      </c>
      <c r="AH129" s="180">
        <f t="shared" si="44"/>
        <v>21</v>
      </c>
      <c r="AI129" s="473"/>
      <c r="AJ129" s="166">
        <v>8</v>
      </c>
      <c r="AK129" s="166">
        <v>1552.8000000000004</v>
      </c>
      <c r="AL129" s="166">
        <v>194.10000000000005</v>
      </c>
      <c r="AM129" s="180">
        <f t="shared" si="46"/>
        <v>21</v>
      </c>
      <c r="AN129" s="473"/>
      <c r="AO129" s="166">
        <v>8</v>
      </c>
      <c r="AP129" s="166">
        <v>1535.0769230769247</v>
      </c>
      <c r="AQ129" s="166">
        <v>191.88461538461559</v>
      </c>
      <c r="AR129" s="180">
        <f t="shared" si="48"/>
        <v>21</v>
      </c>
      <c r="AS129" s="473"/>
      <c r="AT129" s="166">
        <v>12</v>
      </c>
      <c r="AU129" s="166">
        <v>1492.6153846153827</v>
      </c>
      <c r="AV129" s="166">
        <v>124.38461538461523</v>
      </c>
      <c r="AW129" s="180">
        <f t="shared" si="50"/>
        <v>21</v>
      </c>
      <c r="AX129" s="473"/>
    </row>
    <row r="130" spans="2:50">
      <c r="B130" s="479"/>
      <c r="C130" s="180">
        <v>19</v>
      </c>
      <c r="D130" s="180" t="s">
        <v>583</v>
      </c>
      <c r="E130" s="180">
        <v>4</v>
      </c>
      <c r="F130" s="180">
        <v>3000</v>
      </c>
      <c r="G130" s="180">
        <v>750</v>
      </c>
      <c r="H130" s="473"/>
      <c r="I130" s="166">
        <f t="shared" si="52"/>
        <v>4</v>
      </c>
      <c r="J130" s="166">
        <f t="shared" si="52"/>
        <v>2274.8408163265367</v>
      </c>
      <c r="K130" s="265">
        <f t="shared" si="52"/>
        <v>568.71020408163417</v>
      </c>
      <c r="L130" s="460"/>
      <c r="M130" s="166">
        <f>RANK(K130, K$112:$K$141)</f>
        <v>20</v>
      </c>
      <c r="N130" s="462"/>
      <c r="O130" s="462"/>
      <c r="P130" s="166">
        <v>4</v>
      </c>
      <c r="Q130" s="166">
        <v>2115.9999999999959</v>
      </c>
      <c r="R130" s="166">
        <v>528.99999999999898</v>
      </c>
      <c r="S130" s="180">
        <f t="shared" si="53"/>
        <v>20</v>
      </c>
      <c r="T130" s="473"/>
      <c r="U130" s="166">
        <v>4</v>
      </c>
      <c r="V130" s="166">
        <v>2455.2000000000085</v>
      </c>
      <c r="W130" s="166">
        <v>613.80000000000211</v>
      </c>
      <c r="X130" s="180">
        <f t="shared" si="40"/>
        <v>20</v>
      </c>
      <c r="Y130" s="473"/>
      <c r="Z130" s="166">
        <v>4</v>
      </c>
      <c r="AA130" s="166">
        <v>2359.2000000000085</v>
      </c>
      <c r="AB130" s="166">
        <v>589.80000000000211</v>
      </c>
      <c r="AC130" s="180">
        <f t="shared" si="42"/>
        <v>19</v>
      </c>
      <c r="AD130" s="473"/>
      <c r="AE130" s="166">
        <v>4</v>
      </c>
      <c r="AF130" s="166">
        <v>2263.200000000008</v>
      </c>
      <c r="AG130" s="166">
        <v>565.800000000002</v>
      </c>
      <c r="AH130" s="180">
        <f t="shared" si="44"/>
        <v>19</v>
      </c>
      <c r="AI130" s="473"/>
      <c r="AJ130" s="166">
        <v>4</v>
      </c>
      <c r="AK130" s="166">
        <v>2198.0000000000077</v>
      </c>
      <c r="AL130" s="166">
        <v>549.50000000000193</v>
      </c>
      <c r="AM130" s="180">
        <f t="shared" si="46"/>
        <v>20</v>
      </c>
      <c r="AN130" s="473"/>
      <c r="AO130" s="166">
        <v>4</v>
      </c>
      <c r="AP130" s="166">
        <v>2146.285714285722</v>
      </c>
      <c r="AQ130" s="166">
        <v>536.57142857143049</v>
      </c>
      <c r="AR130" s="180">
        <f t="shared" si="48"/>
        <v>19</v>
      </c>
      <c r="AS130" s="473"/>
      <c r="AT130" s="166">
        <v>4</v>
      </c>
      <c r="AU130" s="166">
        <v>2386.0000000000086</v>
      </c>
      <c r="AV130" s="166">
        <v>596.50000000000216</v>
      </c>
      <c r="AW130" s="180">
        <f t="shared" si="50"/>
        <v>20</v>
      </c>
      <c r="AX130" s="473"/>
    </row>
    <row r="131" spans="2:50">
      <c r="B131" s="479"/>
      <c r="C131" s="180">
        <v>20</v>
      </c>
      <c r="D131" s="180" t="s">
        <v>627</v>
      </c>
      <c r="E131" s="180">
        <v>3</v>
      </c>
      <c r="F131" s="180">
        <v>2800</v>
      </c>
      <c r="G131" s="180">
        <v>933.33333333333337</v>
      </c>
      <c r="H131" s="473"/>
      <c r="I131" s="166">
        <f t="shared" ref="I131:K132" si="54">AVERAGE(P131,U131,Z131,AE131,AJ131,AO131,AT131)</f>
        <v>3</v>
      </c>
      <c r="J131" s="166">
        <f t="shared" si="54"/>
        <v>2796.7152768280816</v>
      </c>
      <c r="K131" s="265">
        <f t="shared" si="54"/>
        <v>932.23842560936077</v>
      </c>
      <c r="L131" s="460"/>
      <c r="M131" s="166">
        <f>RANK(K131, K$112:$K$141)</f>
        <v>5</v>
      </c>
      <c r="N131" s="462"/>
      <c r="O131" s="462"/>
      <c r="P131" s="166">
        <v>3</v>
      </c>
      <c r="Q131" s="166">
        <v>2755.0000000000009</v>
      </c>
      <c r="R131" s="166">
        <v>918.3333333333336</v>
      </c>
      <c r="S131" s="180">
        <f t="shared" si="53"/>
        <v>6</v>
      </c>
      <c r="T131" s="473"/>
      <c r="U131" s="166">
        <v>3</v>
      </c>
      <c r="V131" s="166">
        <v>2767.6595744680808</v>
      </c>
      <c r="W131" s="166">
        <v>922.5531914893603</v>
      </c>
      <c r="X131" s="180">
        <f t="shared" si="40"/>
        <v>5</v>
      </c>
      <c r="Y131" s="473"/>
      <c r="Z131" s="166">
        <v>3</v>
      </c>
      <c r="AA131" s="166">
        <v>2802.6666666666665</v>
      </c>
      <c r="AB131" s="166">
        <v>934.22222222222217</v>
      </c>
      <c r="AC131" s="180">
        <f t="shared" si="42"/>
        <v>7</v>
      </c>
      <c r="AD131" s="473"/>
      <c r="AE131" s="166">
        <v>3</v>
      </c>
      <c r="AF131" s="166">
        <v>2854.4999999999991</v>
      </c>
      <c r="AG131" s="166">
        <v>951.49999999999966</v>
      </c>
      <c r="AH131" s="180">
        <f t="shared" si="44"/>
        <v>7</v>
      </c>
      <c r="AI131" s="473"/>
      <c r="AJ131" s="166">
        <v>3</v>
      </c>
      <c r="AK131" s="166">
        <v>2857.4999999999991</v>
      </c>
      <c r="AL131" s="166">
        <v>952.49999999999966</v>
      </c>
      <c r="AM131" s="180">
        <f t="shared" si="46"/>
        <v>6</v>
      </c>
      <c r="AN131" s="473"/>
      <c r="AO131" s="166">
        <v>3</v>
      </c>
      <c r="AP131" s="166">
        <v>2756.6037735849072</v>
      </c>
      <c r="AQ131" s="166">
        <v>918.86792452830241</v>
      </c>
      <c r="AR131" s="180">
        <f t="shared" si="48"/>
        <v>8</v>
      </c>
      <c r="AS131" s="473"/>
      <c r="AT131" s="166">
        <v>3</v>
      </c>
      <c r="AU131" s="166">
        <v>2783.0769230769201</v>
      </c>
      <c r="AV131" s="166">
        <v>927.69230769230671</v>
      </c>
      <c r="AW131" s="180">
        <f t="shared" si="50"/>
        <v>5</v>
      </c>
      <c r="AX131" s="473"/>
    </row>
    <row r="132" spans="2:50">
      <c r="B132" s="479"/>
      <c r="C132" s="180">
        <v>21</v>
      </c>
      <c r="D132" s="180" t="s">
        <v>706</v>
      </c>
      <c r="E132" s="180">
        <v>4</v>
      </c>
      <c r="F132" s="180">
        <v>2800</v>
      </c>
      <c r="G132" s="180">
        <v>700</v>
      </c>
      <c r="H132" s="473"/>
      <c r="I132" s="166">
        <f t="shared" si="54"/>
        <v>4</v>
      </c>
      <c r="J132" s="166">
        <f t="shared" si="54"/>
        <v>2754.4289379974857</v>
      </c>
      <c r="K132" s="265">
        <f t="shared" si="54"/>
        <v>688.60723449937143</v>
      </c>
      <c r="L132" s="460"/>
      <c r="M132" s="166">
        <f>RANK(K132, K$112:$K$141)</f>
        <v>17</v>
      </c>
      <c r="N132" s="462"/>
      <c r="O132" s="462"/>
      <c r="P132" s="180">
        <v>4</v>
      </c>
      <c r="Q132" s="166">
        <v>2784.3749999999964</v>
      </c>
      <c r="R132" s="265">
        <v>696.09374999999909</v>
      </c>
      <c r="S132" s="180">
        <f t="shared" si="53"/>
        <v>15</v>
      </c>
      <c r="T132" s="473"/>
      <c r="U132" s="180">
        <v>4</v>
      </c>
      <c r="V132" s="166">
        <v>2790.0000000000032</v>
      </c>
      <c r="W132" s="265">
        <v>697.5000000000008</v>
      </c>
      <c r="X132" s="180">
        <f t="shared" si="40"/>
        <v>15</v>
      </c>
      <c r="Y132" s="473"/>
      <c r="Z132" s="180">
        <v>4</v>
      </c>
      <c r="AA132" s="166">
        <v>2659.354838709673</v>
      </c>
      <c r="AB132" s="265">
        <v>664.83870967741825</v>
      </c>
      <c r="AC132" s="180">
        <f t="shared" si="42"/>
        <v>18</v>
      </c>
      <c r="AD132" s="473"/>
      <c r="AE132" s="180">
        <v>4</v>
      </c>
      <c r="AF132" s="166">
        <v>2900.0000000000009</v>
      </c>
      <c r="AG132" s="265">
        <v>725.00000000000023</v>
      </c>
      <c r="AH132" s="180">
        <f t="shared" si="44"/>
        <v>14</v>
      </c>
      <c r="AI132" s="473"/>
      <c r="AJ132" s="180">
        <v>4</v>
      </c>
      <c r="AK132" s="166">
        <v>2820.0000000000009</v>
      </c>
      <c r="AL132" s="265">
        <v>705.00000000000023</v>
      </c>
      <c r="AM132" s="180">
        <f t="shared" si="46"/>
        <v>15</v>
      </c>
      <c r="AN132" s="473"/>
      <c r="AO132" s="180">
        <v>4</v>
      </c>
      <c r="AP132" s="166">
        <v>2745.4545454545419</v>
      </c>
      <c r="AQ132" s="265">
        <v>686.36363636363546</v>
      </c>
      <c r="AR132" s="180">
        <f t="shared" si="48"/>
        <v>17</v>
      </c>
      <c r="AS132" s="473"/>
      <c r="AT132" s="180">
        <v>4</v>
      </c>
      <c r="AU132" s="166">
        <v>2581.8181818181843</v>
      </c>
      <c r="AV132" s="265">
        <v>645.45454545454606</v>
      </c>
      <c r="AW132" s="180">
        <f t="shared" si="50"/>
        <v>18</v>
      </c>
      <c r="AX132" s="473"/>
    </row>
    <row r="133" spans="2:50">
      <c r="B133" s="479"/>
      <c r="C133" s="180">
        <v>22</v>
      </c>
      <c r="D133" s="180"/>
      <c r="E133" s="180"/>
      <c r="F133" s="180"/>
      <c r="G133" s="180"/>
      <c r="H133" s="473"/>
      <c r="I133" s="166"/>
      <c r="J133" s="166"/>
      <c r="K133" s="265"/>
      <c r="L133" s="460"/>
      <c r="M133" s="166" t="e">
        <f>RANK(K133, K$112:$K$141)</f>
        <v>#N/A</v>
      </c>
      <c r="N133" s="462"/>
      <c r="O133" s="462"/>
      <c r="P133" s="180"/>
      <c r="Q133" s="166"/>
      <c r="R133" s="265"/>
      <c r="S133" s="180" t="e">
        <f t="shared" si="53"/>
        <v>#N/A</v>
      </c>
      <c r="T133" s="473"/>
      <c r="U133" s="180"/>
      <c r="V133" s="166"/>
      <c r="W133" s="265"/>
      <c r="X133" s="180" t="e">
        <f t="shared" si="40"/>
        <v>#N/A</v>
      </c>
      <c r="Y133" s="473"/>
      <c r="Z133" s="180"/>
      <c r="AA133" s="166"/>
      <c r="AB133" s="265"/>
      <c r="AC133" s="180" t="e">
        <f t="shared" si="42"/>
        <v>#N/A</v>
      </c>
      <c r="AD133" s="473"/>
      <c r="AE133" s="180"/>
      <c r="AF133" s="166"/>
      <c r="AG133" s="265"/>
      <c r="AH133" s="180" t="e">
        <f t="shared" si="44"/>
        <v>#N/A</v>
      </c>
      <c r="AI133" s="473"/>
      <c r="AJ133" s="180"/>
      <c r="AK133" s="166"/>
      <c r="AL133" s="265"/>
      <c r="AM133" s="180" t="e">
        <f t="shared" si="46"/>
        <v>#N/A</v>
      </c>
      <c r="AN133" s="473"/>
      <c r="AO133" s="180"/>
      <c r="AP133" s="166"/>
      <c r="AQ133" s="265"/>
      <c r="AR133" s="180" t="e">
        <f t="shared" si="48"/>
        <v>#N/A</v>
      </c>
      <c r="AS133" s="473"/>
      <c r="AT133" s="180"/>
      <c r="AU133" s="166"/>
      <c r="AV133" s="265"/>
      <c r="AW133" s="180" t="e">
        <f t="shared" si="50"/>
        <v>#N/A</v>
      </c>
      <c r="AX133" s="473"/>
    </row>
    <row r="134" spans="2:50">
      <c r="B134" s="479"/>
      <c r="C134" s="180">
        <v>23</v>
      </c>
      <c r="D134" s="180"/>
      <c r="E134" s="180"/>
      <c r="F134" s="180"/>
      <c r="G134" s="180"/>
      <c r="H134" s="473"/>
      <c r="I134" s="166"/>
      <c r="J134" s="166"/>
      <c r="K134" s="265"/>
      <c r="L134" s="460"/>
      <c r="M134" s="166" t="e">
        <f>RANK(K134, K$112:$K$141)</f>
        <v>#N/A</v>
      </c>
      <c r="N134" s="462"/>
      <c r="O134" s="462"/>
      <c r="P134" s="180"/>
      <c r="Q134" s="166"/>
      <c r="R134" s="265"/>
      <c r="S134" s="180" t="e">
        <f t="shared" si="53"/>
        <v>#N/A</v>
      </c>
      <c r="T134" s="473"/>
      <c r="U134" s="180"/>
      <c r="V134" s="166"/>
      <c r="W134" s="265"/>
      <c r="X134" s="180" t="e">
        <f t="shared" si="40"/>
        <v>#N/A</v>
      </c>
      <c r="Y134" s="473"/>
      <c r="Z134" s="180"/>
      <c r="AA134" s="166"/>
      <c r="AB134" s="265"/>
      <c r="AC134" s="180" t="e">
        <f t="shared" si="42"/>
        <v>#N/A</v>
      </c>
      <c r="AD134" s="473"/>
      <c r="AE134" s="180"/>
      <c r="AF134" s="166"/>
      <c r="AG134" s="265"/>
      <c r="AH134" s="180" t="e">
        <f t="shared" si="44"/>
        <v>#N/A</v>
      </c>
      <c r="AI134" s="473"/>
      <c r="AJ134" s="180"/>
      <c r="AK134" s="166"/>
      <c r="AL134" s="265"/>
      <c r="AM134" s="180" t="e">
        <f t="shared" si="46"/>
        <v>#N/A</v>
      </c>
      <c r="AN134" s="473"/>
      <c r="AO134" s="180"/>
      <c r="AP134" s="166"/>
      <c r="AQ134" s="265"/>
      <c r="AR134" s="180" t="e">
        <f t="shared" si="48"/>
        <v>#N/A</v>
      </c>
      <c r="AS134" s="473"/>
      <c r="AT134" s="180"/>
      <c r="AU134" s="166"/>
      <c r="AV134" s="265"/>
      <c r="AW134" s="180" t="e">
        <f t="shared" si="50"/>
        <v>#N/A</v>
      </c>
      <c r="AX134" s="473"/>
    </row>
    <row r="135" spans="2:50">
      <c r="B135" s="479"/>
      <c r="C135" s="180">
        <v>24</v>
      </c>
      <c r="D135" s="180"/>
      <c r="E135" s="180"/>
      <c r="F135" s="180"/>
      <c r="G135" s="180"/>
      <c r="H135" s="473"/>
      <c r="I135" s="166"/>
      <c r="J135" s="166"/>
      <c r="K135" s="265"/>
      <c r="L135" s="460"/>
      <c r="M135" s="166" t="e">
        <f>RANK(K135, K$112:$K$141)</f>
        <v>#N/A</v>
      </c>
      <c r="N135" s="462"/>
      <c r="O135" s="462"/>
      <c r="P135" s="180"/>
      <c r="Q135" s="166"/>
      <c r="R135" s="265"/>
      <c r="S135" s="180" t="e">
        <f t="shared" si="53"/>
        <v>#N/A</v>
      </c>
      <c r="T135" s="473"/>
      <c r="U135" s="180"/>
      <c r="V135" s="166"/>
      <c r="W135" s="265"/>
      <c r="X135" s="180" t="e">
        <f t="shared" si="40"/>
        <v>#N/A</v>
      </c>
      <c r="Y135" s="473"/>
      <c r="Z135" s="180"/>
      <c r="AA135" s="166"/>
      <c r="AB135" s="265"/>
      <c r="AC135" s="180" t="e">
        <f t="shared" si="42"/>
        <v>#N/A</v>
      </c>
      <c r="AD135" s="473"/>
      <c r="AE135" s="180"/>
      <c r="AF135" s="166"/>
      <c r="AG135" s="265"/>
      <c r="AH135" s="180" t="e">
        <f t="shared" si="44"/>
        <v>#N/A</v>
      </c>
      <c r="AI135" s="473"/>
      <c r="AJ135" s="180"/>
      <c r="AK135" s="166"/>
      <c r="AL135" s="265"/>
      <c r="AM135" s="180" t="e">
        <f t="shared" si="46"/>
        <v>#N/A</v>
      </c>
      <c r="AN135" s="473"/>
      <c r="AO135" s="180"/>
      <c r="AP135" s="166"/>
      <c r="AQ135" s="265"/>
      <c r="AR135" s="180" t="e">
        <f t="shared" si="48"/>
        <v>#N/A</v>
      </c>
      <c r="AS135" s="473"/>
      <c r="AT135" s="180"/>
      <c r="AU135" s="166"/>
      <c r="AV135" s="265"/>
      <c r="AW135" s="180" t="e">
        <f t="shared" si="50"/>
        <v>#N/A</v>
      </c>
      <c r="AX135" s="473"/>
    </row>
    <row r="136" spans="2:50">
      <c r="B136" s="479"/>
      <c r="C136" s="180">
        <v>25</v>
      </c>
      <c r="D136" s="180"/>
      <c r="E136" s="180"/>
      <c r="F136" s="180"/>
      <c r="G136" s="180"/>
      <c r="H136" s="473"/>
      <c r="I136" s="180"/>
      <c r="J136" s="180"/>
      <c r="K136" s="180"/>
      <c r="L136" s="460"/>
      <c r="M136" s="166" t="e">
        <f>RANK(K136, K$112:$K$141)</f>
        <v>#N/A</v>
      </c>
      <c r="N136" s="462"/>
      <c r="O136" s="462"/>
      <c r="P136" s="180"/>
      <c r="Q136" s="166"/>
      <c r="R136" s="265"/>
      <c r="S136" s="180" t="e">
        <f t="shared" si="53"/>
        <v>#N/A</v>
      </c>
      <c r="T136" s="473"/>
      <c r="U136" s="180"/>
      <c r="V136" s="166"/>
      <c r="W136" s="265"/>
      <c r="X136" s="180" t="e">
        <f t="shared" si="40"/>
        <v>#N/A</v>
      </c>
      <c r="Y136" s="473"/>
      <c r="Z136" s="180"/>
      <c r="AA136" s="166"/>
      <c r="AB136" s="265"/>
      <c r="AC136" s="180" t="e">
        <f t="shared" si="42"/>
        <v>#N/A</v>
      </c>
      <c r="AD136" s="473"/>
      <c r="AE136" s="180"/>
      <c r="AF136" s="166"/>
      <c r="AG136" s="265"/>
      <c r="AH136" s="180" t="e">
        <f t="shared" si="44"/>
        <v>#N/A</v>
      </c>
      <c r="AI136" s="473"/>
      <c r="AJ136" s="180"/>
      <c r="AK136" s="166"/>
      <c r="AL136" s="265"/>
      <c r="AM136" s="180" t="e">
        <f t="shared" si="46"/>
        <v>#N/A</v>
      </c>
      <c r="AN136" s="473"/>
      <c r="AO136" s="180"/>
      <c r="AP136" s="166"/>
      <c r="AQ136" s="265"/>
      <c r="AR136" s="180" t="e">
        <f t="shared" si="48"/>
        <v>#N/A</v>
      </c>
      <c r="AS136" s="473"/>
      <c r="AT136" s="180"/>
      <c r="AU136" s="166"/>
      <c r="AV136" s="265"/>
      <c r="AW136" s="180" t="e">
        <f t="shared" si="50"/>
        <v>#N/A</v>
      </c>
      <c r="AX136" s="473"/>
    </row>
    <row r="137" spans="2:50">
      <c r="B137" s="479"/>
      <c r="C137" s="180">
        <v>26</v>
      </c>
      <c r="D137" s="180"/>
      <c r="E137" s="180"/>
      <c r="F137" s="180"/>
      <c r="G137" s="180"/>
      <c r="H137" s="473"/>
      <c r="I137" s="180"/>
      <c r="J137" s="180"/>
      <c r="K137" s="180"/>
      <c r="L137" s="460"/>
      <c r="M137" s="166" t="e">
        <f>RANK(K137, K$112:$K$141)</f>
        <v>#N/A</v>
      </c>
      <c r="N137" s="462"/>
      <c r="O137" s="462"/>
      <c r="P137" s="180"/>
      <c r="Q137" s="166"/>
      <c r="R137" s="265"/>
      <c r="S137" s="180" t="e">
        <f t="shared" si="53"/>
        <v>#N/A</v>
      </c>
      <c r="T137" s="473"/>
      <c r="U137" s="180"/>
      <c r="V137" s="166"/>
      <c r="W137" s="265"/>
      <c r="X137" s="180" t="e">
        <f t="shared" si="40"/>
        <v>#N/A</v>
      </c>
      <c r="Y137" s="473"/>
      <c r="Z137" s="180"/>
      <c r="AA137" s="166"/>
      <c r="AB137" s="265"/>
      <c r="AC137" s="180" t="e">
        <f t="shared" si="42"/>
        <v>#N/A</v>
      </c>
      <c r="AD137" s="473"/>
      <c r="AE137" s="180"/>
      <c r="AF137" s="166"/>
      <c r="AG137" s="265"/>
      <c r="AH137" s="180" t="e">
        <f t="shared" si="44"/>
        <v>#N/A</v>
      </c>
      <c r="AI137" s="473"/>
      <c r="AJ137" s="180"/>
      <c r="AK137" s="166"/>
      <c r="AL137" s="265"/>
      <c r="AM137" s="180" t="e">
        <f t="shared" si="46"/>
        <v>#N/A</v>
      </c>
      <c r="AN137" s="473"/>
      <c r="AO137" s="180"/>
      <c r="AP137" s="166"/>
      <c r="AQ137" s="265"/>
      <c r="AR137" s="180" t="e">
        <f t="shared" si="48"/>
        <v>#N/A</v>
      </c>
      <c r="AS137" s="473"/>
      <c r="AT137" s="180"/>
      <c r="AU137" s="166"/>
      <c r="AV137" s="265"/>
      <c r="AW137" s="180" t="e">
        <f t="shared" si="50"/>
        <v>#N/A</v>
      </c>
      <c r="AX137" s="473"/>
    </row>
    <row r="138" spans="2:50">
      <c r="B138" s="479"/>
      <c r="C138" s="180">
        <v>27</v>
      </c>
      <c r="D138" s="180"/>
      <c r="E138" s="180"/>
      <c r="F138" s="180"/>
      <c r="G138" s="180"/>
      <c r="H138" s="473"/>
      <c r="I138" s="180"/>
      <c r="J138" s="180"/>
      <c r="K138" s="180"/>
      <c r="L138" s="460"/>
      <c r="M138" s="166" t="e">
        <f>RANK(K138, K$112:$K$141)</f>
        <v>#N/A</v>
      </c>
      <c r="N138" s="462"/>
      <c r="O138" s="462"/>
      <c r="P138" s="180"/>
      <c r="Q138" s="166"/>
      <c r="R138" s="265"/>
      <c r="S138" s="180" t="e">
        <f t="shared" si="53"/>
        <v>#N/A</v>
      </c>
      <c r="T138" s="473"/>
      <c r="U138" s="180"/>
      <c r="V138" s="166"/>
      <c r="W138" s="265"/>
      <c r="X138" s="180" t="e">
        <f t="shared" si="40"/>
        <v>#N/A</v>
      </c>
      <c r="Y138" s="473"/>
      <c r="Z138" s="180"/>
      <c r="AA138" s="166"/>
      <c r="AB138" s="265"/>
      <c r="AC138" s="180" t="e">
        <f t="shared" si="42"/>
        <v>#N/A</v>
      </c>
      <c r="AD138" s="473"/>
      <c r="AE138" s="180"/>
      <c r="AF138" s="166"/>
      <c r="AG138" s="265"/>
      <c r="AH138" s="180" t="e">
        <f t="shared" si="44"/>
        <v>#N/A</v>
      </c>
      <c r="AI138" s="473"/>
      <c r="AJ138" s="180"/>
      <c r="AK138" s="166"/>
      <c r="AL138" s="265"/>
      <c r="AM138" s="180" t="e">
        <f t="shared" si="46"/>
        <v>#N/A</v>
      </c>
      <c r="AN138" s="473"/>
      <c r="AO138" s="180"/>
      <c r="AP138" s="166"/>
      <c r="AQ138" s="265"/>
      <c r="AR138" s="180" t="e">
        <f t="shared" si="48"/>
        <v>#N/A</v>
      </c>
      <c r="AS138" s="473"/>
      <c r="AT138" s="180"/>
      <c r="AU138" s="166"/>
      <c r="AV138" s="265"/>
      <c r="AW138" s="180" t="e">
        <f t="shared" si="50"/>
        <v>#N/A</v>
      </c>
      <c r="AX138" s="473"/>
    </row>
    <row r="139" spans="2:50">
      <c r="B139" s="479"/>
      <c r="C139" s="180">
        <v>28</v>
      </c>
      <c r="D139" s="180"/>
      <c r="E139" s="180"/>
      <c r="F139" s="180"/>
      <c r="G139" s="180"/>
      <c r="H139" s="473"/>
      <c r="I139" s="180"/>
      <c r="J139" s="180"/>
      <c r="K139" s="180"/>
      <c r="L139" s="460"/>
      <c r="M139" s="166" t="e">
        <f>RANK(K139, K$112:$K$141)</f>
        <v>#N/A</v>
      </c>
      <c r="N139" s="462"/>
      <c r="O139" s="462"/>
      <c r="P139" s="180"/>
      <c r="Q139" s="166"/>
      <c r="R139" s="265"/>
      <c r="S139" s="180" t="e">
        <f t="shared" si="53"/>
        <v>#N/A</v>
      </c>
      <c r="T139" s="473"/>
      <c r="U139" s="180"/>
      <c r="V139" s="166"/>
      <c r="W139" s="265"/>
      <c r="X139" s="180" t="e">
        <f t="shared" si="40"/>
        <v>#N/A</v>
      </c>
      <c r="Y139" s="473"/>
      <c r="Z139" s="180"/>
      <c r="AA139" s="166"/>
      <c r="AB139" s="265"/>
      <c r="AC139" s="180" t="e">
        <f t="shared" si="42"/>
        <v>#N/A</v>
      </c>
      <c r="AD139" s="473"/>
      <c r="AE139" s="180"/>
      <c r="AF139" s="166"/>
      <c r="AG139" s="265"/>
      <c r="AH139" s="180" t="e">
        <f t="shared" si="44"/>
        <v>#N/A</v>
      </c>
      <c r="AI139" s="473"/>
      <c r="AJ139" s="180"/>
      <c r="AK139" s="166"/>
      <c r="AL139" s="265"/>
      <c r="AM139" s="180" t="e">
        <f t="shared" si="46"/>
        <v>#N/A</v>
      </c>
      <c r="AN139" s="473"/>
      <c r="AO139" s="180"/>
      <c r="AP139" s="166"/>
      <c r="AQ139" s="265"/>
      <c r="AR139" s="180" t="e">
        <f t="shared" si="48"/>
        <v>#N/A</v>
      </c>
      <c r="AS139" s="473"/>
      <c r="AT139" s="180"/>
      <c r="AU139" s="166"/>
      <c r="AV139" s="265"/>
      <c r="AW139" s="180" t="e">
        <f t="shared" si="50"/>
        <v>#N/A</v>
      </c>
      <c r="AX139" s="473"/>
    </row>
    <row r="140" spans="2:50">
      <c r="B140" s="479"/>
      <c r="C140" s="180">
        <v>29</v>
      </c>
      <c r="D140" s="180"/>
      <c r="E140" s="180"/>
      <c r="F140" s="180"/>
      <c r="G140" s="180"/>
      <c r="H140" s="473"/>
      <c r="I140" s="180"/>
      <c r="J140" s="180"/>
      <c r="K140" s="180"/>
      <c r="L140" s="460"/>
      <c r="M140" s="166" t="e">
        <f>RANK(K140, K$112:$K$141)</f>
        <v>#N/A</v>
      </c>
      <c r="N140" s="462"/>
      <c r="O140" s="462"/>
      <c r="P140" s="180"/>
      <c r="Q140" s="166"/>
      <c r="R140" s="265"/>
      <c r="S140" s="180" t="e">
        <f t="shared" si="53"/>
        <v>#N/A</v>
      </c>
      <c r="T140" s="473"/>
      <c r="U140" s="180"/>
      <c r="V140" s="166"/>
      <c r="W140" s="265"/>
      <c r="X140" s="180" t="e">
        <f t="shared" si="40"/>
        <v>#N/A</v>
      </c>
      <c r="Y140" s="473"/>
      <c r="Z140" s="180"/>
      <c r="AA140" s="166"/>
      <c r="AB140" s="265"/>
      <c r="AC140" s="180" t="e">
        <f t="shared" si="42"/>
        <v>#N/A</v>
      </c>
      <c r="AD140" s="473"/>
      <c r="AE140" s="180"/>
      <c r="AF140" s="166"/>
      <c r="AG140" s="265"/>
      <c r="AH140" s="180" t="e">
        <f t="shared" si="44"/>
        <v>#N/A</v>
      </c>
      <c r="AI140" s="473"/>
      <c r="AJ140" s="180"/>
      <c r="AK140" s="166"/>
      <c r="AL140" s="265"/>
      <c r="AM140" s="180" t="e">
        <f t="shared" si="46"/>
        <v>#N/A</v>
      </c>
      <c r="AN140" s="473"/>
      <c r="AO140" s="180"/>
      <c r="AP140" s="166"/>
      <c r="AQ140" s="265"/>
      <c r="AR140" s="180" t="e">
        <f t="shared" si="48"/>
        <v>#N/A</v>
      </c>
      <c r="AS140" s="473"/>
      <c r="AT140" s="180"/>
      <c r="AU140" s="166"/>
      <c r="AV140" s="265"/>
      <c r="AW140" s="180" t="e">
        <f t="shared" si="50"/>
        <v>#N/A</v>
      </c>
      <c r="AX140" s="473"/>
    </row>
    <row r="141" spans="2:50">
      <c r="B141" s="479"/>
      <c r="C141" s="180">
        <v>30</v>
      </c>
      <c r="D141" s="180"/>
      <c r="E141" s="180"/>
      <c r="F141" s="180"/>
      <c r="G141" s="180"/>
      <c r="H141" s="474"/>
      <c r="I141" s="180"/>
      <c r="J141" s="180"/>
      <c r="K141" s="180"/>
      <c r="L141" s="461"/>
      <c r="M141" s="166" t="e">
        <f>RANK(K141, K$112:$K$141)</f>
        <v>#N/A</v>
      </c>
      <c r="N141" s="462"/>
      <c r="O141" s="462"/>
      <c r="P141" s="180"/>
      <c r="Q141" s="166"/>
      <c r="R141" s="265"/>
      <c r="S141" s="180" t="e">
        <f t="shared" si="53"/>
        <v>#N/A</v>
      </c>
      <c r="T141" s="474"/>
      <c r="U141" s="180"/>
      <c r="V141" s="166"/>
      <c r="W141" s="265"/>
      <c r="X141" s="180" t="e">
        <f t="shared" si="40"/>
        <v>#N/A</v>
      </c>
      <c r="Y141" s="474"/>
      <c r="Z141" s="180"/>
      <c r="AA141" s="166"/>
      <c r="AB141" s="265"/>
      <c r="AC141" s="180" t="e">
        <f t="shared" si="42"/>
        <v>#N/A</v>
      </c>
      <c r="AD141" s="474"/>
      <c r="AE141" s="180"/>
      <c r="AF141" s="166"/>
      <c r="AG141" s="265"/>
      <c r="AH141" s="180" t="e">
        <f t="shared" si="44"/>
        <v>#N/A</v>
      </c>
      <c r="AI141" s="474"/>
      <c r="AJ141" s="180"/>
      <c r="AK141" s="166"/>
      <c r="AL141" s="265"/>
      <c r="AM141" s="180" t="e">
        <f t="shared" si="46"/>
        <v>#N/A</v>
      </c>
      <c r="AN141" s="474"/>
      <c r="AO141" s="180"/>
      <c r="AP141" s="166"/>
      <c r="AQ141" s="265"/>
      <c r="AR141" s="180" t="e">
        <f t="shared" si="48"/>
        <v>#N/A</v>
      </c>
      <c r="AS141" s="474"/>
      <c r="AT141" s="180"/>
      <c r="AU141" s="166"/>
      <c r="AV141" s="265"/>
      <c r="AW141" s="180" t="e">
        <f t="shared" si="50"/>
        <v>#N/A</v>
      </c>
      <c r="AX141" s="474"/>
    </row>
    <row r="142" spans="2:50" ht="15.75">
      <c r="B142" s="480" t="s">
        <v>721</v>
      </c>
      <c r="C142" s="481"/>
      <c r="D142" s="481"/>
      <c r="E142" s="481"/>
      <c r="F142" s="481"/>
      <c r="G142" s="481"/>
      <c r="H142" s="481"/>
      <c r="I142" s="184"/>
      <c r="J142" s="184"/>
      <c r="K142" s="184"/>
      <c r="L142" s="184"/>
      <c r="M142" s="183"/>
      <c r="N142" s="469" t="s">
        <v>722</v>
      </c>
      <c r="O142" s="469" t="s">
        <v>723</v>
      </c>
      <c r="P142" s="478">
        <f>P107+7</f>
        <v>46077</v>
      </c>
      <c r="Q142" s="479"/>
      <c r="R142" s="479"/>
      <c r="S142" s="479"/>
      <c r="T142" s="479"/>
      <c r="U142" s="475">
        <f>P142+1</f>
        <v>46078</v>
      </c>
      <c r="V142" s="476"/>
      <c r="W142" s="476"/>
      <c r="X142" s="476"/>
      <c r="Y142" s="477"/>
      <c r="Z142" s="475">
        <f>U142+1</f>
        <v>46079</v>
      </c>
      <c r="AA142" s="476"/>
      <c r="AB142" s="476"/>
      <c r="AC142" s="476"/>
      <c r="AD142" s="477"/>
      <c r="AE142" s="475">
        <f>Z142+1</f>
        <v>46080</v>
      </c>
      <c r="AF142" s="476"/>
      <c r="AG142" s="476"/>
      <c r="AH142" s="476"/>
      <c r="AI142" s="477"/>
      <c r="AJ142" s="475">
        <f>AE142+1</f>
        <v>46081</v>
      </c>
      <c r="AK142" s="476"/>
      <c r="AL142" s="476"/>
      <c r="AM142" s="476"/>
      <c r="AN142" s="477"/>
      <c r="AO142" s="475">
        <f>AJ142+1</f>
        <v>46082</v>
      </c>
      <c r="AP142" s="476"/>
      <c r="AQ142" s="476"/>
      <c r="AR142" s="476"/>
      <c r="AS142" s="477"/>
      <c r="AT142" s="475">
        <f>AO142+1</f>
        <v>46083</v>
      </c>
      <c r="AU142" s="476"/>
      <c r="AV142" s="476"/>
      <c r="AW142" s="476"/>
      <c r="AX142" s="477"/>
    </row>
    <row r="143" spans="2:50" ht="15.75">
      <c r="B143" s="482"/>
      <c r="C143" s="482"/>
      <c r="D143" s="482"/>
      <c r="E143" s="482"/>
      <c r="F143" s="482"/>
      <c r="G143" s="482"/>
      <c r="H143" s="482"/>
      <c r="I143" s="182"/>
      <c r="J143" s="182"/>
      <c r="K143" s="182"/>
      <c r="L143" s="182"/>
      <c r="M143" s="179"/>
      <c r="N143" s="471"/>
      <c r="O143" s="471"/>
      <c r="P143" s="478" t="s">
        <v>724</v>
      </c>
      <c r="Q143" s="479"/>
      <c r="R143" s="479"/>
      <c r="S143" s="479"/>
      <c r="T143" s="479"/>
      <c r="U143" s="478" t="s">
        <v>725</v>
      </c>
      <c r="V143" s="479"/>
      <c r="W143" s="479"/>
      <c r="X143" s="479"/>
      <c r="Y143" s="479"/>
      <c r="Z143" s="478" t="s">
        <v>726</v>
      </c>
      <c r="AA143" s="479"/>
      <c r="AB143" s="479"/>
      <c r="AC143" s="479"/>
      <c r="AD143" s="479"/>
      <c r="AE143" s="478" t="s">
        <v>727</v>
      </c>
      <c r="AF143" s="479"/>
      <c r="AG143" s="479"/>
      <c r="AH143" s="479"/>
      <c r="AI143" s="479"/>
      <c r="AJ143" s="478" t="s">
        <v>728</v>
      </c>
      <c r="AK143" s="479"/>
      <c r="AL143" s="479"/>
      <c r="AM143" s="479"/>
      <c r="AN143" s="479"/>
      <c r="AO143" s="478" t="s">
        <v>729</v>
      </c>
      <c r="AP143" s="479"/>
      <c r="AQ143" s="479"/>
      <c r="AR143" s="479"/>
      <c r="AS143" s="479"/>
      <c r="AT143" s="478" t="s">
        <v>730</v>
      </c>
      <c r="AU143" s="479"/>
      <c r="AV143" s="479"/>
      <c r="AW143" s="479"/>
      <c r="AX143" s="479"/>
    </row>
    <row r="144" spans="2:50">
      <c r="B144" s="462" t="s">
        <v>731</v>
      </c>
      <c r="C144" s="462" t="s">
        <v>732</v>
      </c>
      <c r="D144" s="462"/>
      <c r="E144" s="462" t="s">
        <v>733</v>
      </c>
      <c r="F144" s="462"/>
      <c r="G144" s="462"/>
      <c r="H144" s="463" t="s">
        <v>734</v>
      </c>
      <c r="I144" s="462" t="s">
        <v>735</v>
      </c>
      <c r="J144" s="462"/>
      <c r="K144" s="462"/>
      <c r="L144" s="463" t="s">
        <v>734</v>
      </c>
      <c r="M144" s="469" t="s">
        <v>736</v>
      </c>
      <c r="N144" s="462"/>
      <c r="O144" s="462" t="s">
        <v>737</v>
      </c>
      <c r="P144" s="466" t="s">
        <v>738</v>
      </c>
      <c r="Q144" s="467"/>
      <c r="R144" s="467"/>
      <c r="S144" s="468"/>
      <c r="T144" s="462" t="s">
        <v>734</v>
      </c>
      <c r="U144" s="466" t="s">
        <v>738</v>
      </c>
      <c r="V144" s="467"/>
      <c r="W144" s="467"/>
      <c r="X144" s="468"/>
      <c r="Y144" s="462" t="s">
        <v>734</v>
      </c>
      <c r="Z144" s="466" t="s">
        <v>738</v>
      </c>
      <c r="AA144" s="467"/>
      <c r="AB144" s="467"/>
      <c r="AC144" s="468"/>
      <c r="AD144" s="462" t="s">
        <v>734</v>
      </c>
      <c r="AE144" s="466" t="s">
        <v>738</v>
      </c>
      <c r="AF144" s="467"/>
      <c r="AG144" s="467"/>
      <c r="AH144" s="468"/>
      <c r="AI144" s="462" t="s">
        <v>734</v>
      </c>
      <c r="AJ144" s="466" t="s">
        <v>738</v>
      </c>
      <c r="AK144" s="467"/>
      <c r="AL144" s="467"/>
      <c r="AM144" s="468"/>
      <c r="AN144" s="462" t="s">
        <v>734</v>
      </c>
      <c r="AO144" s="466" t="s">
        <v>738</v>
      </c>
      <c r="AP144" s="467"/>
      <c r="AQ144" s="467"/>
      <c r="AR144" s="468"/>
      <c r="AS144" s="462" t="s">
        <v>734</v>
      </c>
      <c r="AT144" s="466" t="s">
        <v>738</v>
      </c>
      <c r="AU144" s="467"/>
      <c r="AV144" s="467"/>
      <c r="AW144" s="468"/>
      <c r="AX144" s="462" t="s">
        <v>734</v>
      </c>
    </row>
    <row r="145" spans="2:50">
      <c r="B145" s="462"/>
      <c r="C145" s="462"/>
      <c r="D145" s="462"/>
      <c r="E145" s="462" t="s">
        <v>739</v>
      </c>
      <c r="F145" s="462"/>
      <c r="G145" s="462"/>
      <c r="H145" s="464"/>
      <c r="I145" s="462" t="s">
        <v>739</v>
      </c>
      <c r="J145" s="462"/>
      <c r="K145" s="462"/>
      <c r="L145" s="464"/>
      <c r="M145" s="470"/>
      <c r="N145" s="462"/>
      <c r="O145" s="462"/>
      <c r="P145" s="466" t="s">
        <v>740</v>
      </c>
      <c r="Q145" s="467"/>
      <c r="R145" s="467"/>
      <c r="S145" s="468"/>
      <c r="T145" s="462"/>
      <c r="U145" s="466" t="s">
        <v>740</v>
      </c>
      <c r="V145" s="467"/>
      <c r="W145" s="467"/>
      <c r="X145" s="468"/>
      <c r="Y145" s="462"/>
      <c r="Z145" s="466" t="s">
        <v>740</v>
      </c>
      <c r="AA145" s="467"/>
      <c r="AB145" s="467"/>
      <c r="AC145" s="468"/>
      <c r="AD145" s="462"/>
      <c r="AE145" s="466" t="s">
        <v>740</v>
      </c>
      <c r="AF145" s="467"/>
      <c r="AG145" s="467"/>
      <c r="AH145" s="468"/>
      <c r="AI145" s="462"/>
      <c r="AJ145" s="466" t="s">
        <v>740</v>
      </c>
      <c r="AK145" s="467"/>
      <c r="AL145" s="467"/>
      <c r="AM145" s="468"/>
      <c r="AN145" s="462"/>
      <c r="AO145" s="466" t="s">
        <v>740</v>
      </c>
      <c r="AP145" s="467"/>
      <c r="AQ145" s="467"/>
      <c r="AR145" s="468"/>
      <c r="AS145" s="462"/>
      <c r="AT145" s="466" t="s">
        <v>740</v>
      </c>
      <c r="AU145" s="467"/>
      <c r="AV145" s="467"/>
      <c r="AW145" s="468"/>
      <c r="AX145" s="462"/>
    </row>
    <row r="146" spans="2:50">
      <c r="B146" s="462"/>
      <c r="C146" s="462"/>
      <c r="D146" s="462"/>
      <c r="E146" s="264" t="s">
        <v>741</v>
      </c>
      <c r="F146" s="264" t="s">
        <v>742</v>
      </c>
      <c r="G146" s="264" t="s">
        <v>743</v>
      </c>
      <c r="H146" s="465"/>
      <c r="I146" s="264" t="s">
        <v>741</v>
      </c>
      <c r="J146" s="264" t="s">
        <v>742</v>
      </c>
      <c r="K146" s="264" t="s">
        <v>743</v>
      </c>
      <c r="L146" s="465"/>
      <c r="M146" s="471"/>
      <c r="N146" s="462"/>
      <c r="O146" s="462"/>
      <c r="P146" s="264" t="s">
        <v>741</v>
      </c>
      <c r="Q146" s="264" t="s">
        <v>742</v>
      </c>
      <c r="R146" s="264" t="s">
        <v>743</v>
      </c>
      <c r="S146" s="264" t="s">
        <v>736</v>
      </c>
      <c r="T146" s="462"/>
      <c r="U146" s="264" t="s">
        <v>741</v>
      </c>
      <c r="V146" s="264" t="s">
        <v>742</v>
      </c>
      <c r="W146" s="264" t="s">
        <v>743</v>
      </c>
      <c r="X146" s="264" t="s">
        <v>736</v>
      </c>
      <c r="Y146" s="462"/>
      <c r="Z146" s="264" t="s">
        <v>741</v>
      </c>
      <c r="AA146" s="264" t="s">
        <v>742</v>
      </c>
      <c r="AB146" s="264" t="s">
        <v>743</v>
      </c>
      <c r="AC146" s="264" t="s">
        <v>736</v>
      </c>
      <c r="AD146" s="462"/>
      <c r="AE146" s="264" t="s">
        <v>741</v>
      </c>
      <c r="AF146" s="264" t="s">
        <v>742</v>
      </c>
      <c r="AG146" s="264" t="s">
        <v>743</v>
      </c>
      <c r="AH146" s="264" t="s">
        <v>736</v>
      </c>
      <c r="AI146" s="462"/>
      <c r="AJ146" s="264" t="s">
        <v>741</v>
      </c>
      <c r="AK146" s="264" t="s">
        <v>742</v>
      </c>
      <c r="AL146" s="264" t="s">
        <v>743</v>
      </c>
      <c r="AM146" s="264" t="s">
        <v>736</v>
      </c>
      <c r="AN146" s="462"/>
      <c r="AO146" s="264" t="s">
        <v>741</v>
      </c>
      <c r="AP146" s="264" t="s">
        <v>742</v>
      </c>
      <c r="AQ146" s="264" t="s">
        <v>743</v>
      </c>
      <c r="AR146" s="264" t="s">
        <v>736</v>
      </c>
      <c r="AS146" s="462"/>
      <c r="AT146" s="264" t="s">
        <v>741</v>
      </c>
      <c r="AU146" s="264" t="s">
        <v>742</v>
      </c>
      <c r="AV146" s="264" t="s">
        <v>743</v>
      </c>
      <c r="AW146" s="264" t="s">
        <v>736</v>
      </c>
      <c r="AX146" s="462"/>
    </row>
    <row r="147" spans="2:50">
      <c r="B147" s="479" t="s">
        <v>150</v>
      </c>
      <c r="C147" s="180">
        <v>1</v>
      </c>
      <c r="D147" s="180" t="s">
        <v>347</v>
      </c>
      <c r="E147" s="180">
        <v>4</v>
      </c>
      <c r="F147" s="180">
        <v>2200</v>
      </c>
      <c r="G147" s="166">
        <v>550</v>
      </c>
      <c r="H147" s="472">
        <f>AVERAGE(G147:G176)</f>
        <v>849.60317460317469</v>
      </c>
      <c r="I147" s="166">
        <f>AVERAGE(P147,U147,Z147,AE147,AJ147,AO147,AT147)</f>
        <v>3</v>
      </c>
      <c r="J147" s="166">
        <f>AVERAGE(Q147,V147,AA147,AF147,AK147,AP147,AU147)</f>
        <v>3218.0966632916379</v>
      </c>
      <c r="K147" s="265">
        <f>AVERAGE(R147,W147,AB147,AG147,AL147,AQ147,AV147)</f>
        <v>1072.6988877638792</v>
      </c>
      <c r="L147" s="459">
        <f>IFERROR(AVERAGE(K147:K176),"-")</f>
        <v>796.04842857918493</v>
      </c>
      <c r="M147" s="166">
        <f>RANK(K147, K$147:$K$176)</f>
        <v>3</v>
      </c>
      <c r="N147" s="462"/>
      <c r="O147" s="462"/>
      <c r="P147" s="324">
        <v>3</v>
      </c>
      <c r="Q147" s="166">
        <v>3216.4285714285738</v>
      </c>
      <c r="R147" s="166">
        <v>1072.142857142858</v>
      </c>
      <c r="S147" s="180">
        <f>RANK(R147, R$147:R$176)</f>
        <v>4</v>
      </c>
      <c r="T147" s="472">
        <f>AVERAGE(R147:R176)</f>
        <v>813.79512308639619</v>
      </c>
      <c r="U147" s="324">
        <v>3</v>
      </c>
      <c r="V147" s="166">
        <v>3234.7368421052615</v>
      </c>
      <c r="W147" s="166">
        <v>1078.2456140350871</v>
      </c>
      <c r="X147" s="180">
        <f t="shared" ref="X147:X176" si="55">RANK(W147, W$147:W$176)</f>
        <v>1</v>
      </c>
      <c r="Y147" s="472">
        <f t="shared" ref="Y147" si="56">AVERAGE(W147:W176)</f>
        <v>788.13471232655695</v>
      </c>
      <c r="Z147" s="324">
        <v>3</v>
      </c>
      <c r="AA147" s="166">
        <v>3177.5510204081643</v>
      </c>
      <c r="AB147" s="166">
        <v>1059.1836734693882</v>
      </c>
      <c r="AC147" s="180">
        <f t="shared" ref="AC147:AC176" si="57">RANK(AB147, AB$147:AB$176)</f>
        <v>3</v>
      </c>
      <c r="AD147" s="472">
        <f t="shared" ref="AD147" si="58">AVERAGE(AB147:AB176)</f>
        <v>776.59730355195097</v>
      </c>
      <c r="AE147" s="324">
        <v>3</v>
      </c>
      <c r="AF147" s="166">
        <v>3238.7234042553196</v>
      </c>
      <c r="AG147" s="166">
        <v>1079.5744680851064</v>
      </c>
      <c r="AH147" s="180">
        <f t="shared" ref="AH147:AH176" si="59">RANK(AG147, AG$147:AG$176)</f>
        <v>2</v>
      </c>
      <c r="AI147" s="472">
        <f t="shared" ref="AI147" si="60">AVERAGE(AG147:AG176)</f>
        <v>802.54495761165163</v>
      </c>
      <c r="AJ147" s="324">
        <v>3</v>
      </c>
      <c r="AK147" s="166">
        <v>3223.0434782608695</v>
      </c>
      <c r="AL147" s="166">
        <v>1074.3478260869565</v>
      </c>
      <c r="AM147" s="180">
        <f t="shared" ref="AM147:AM176" si="61">RANK(AL147, AL$147:AL$176)</f>
        <v>3</v>
      </c>
      <c r="AN147" s="472">
        <f t="shared" ref="AN147" si="62">AVERAGE(AL147:AL176)</f>
        <v>799.17004631936845</v>
      </c>
      <c r="AO147" s="324"/>
      <c r="AP147" s="166"/>
      <c r="AQ147" s="166"/>
      <c r="AR147" s="180" t="e">
        <f t="shared" ref="AR147:AR176" si="63">RANK(AQ147, AQ$147:AQ$176)</f>
        <v>#N/A</v>
      </c>
      <c r="AS147" s="472" t="e">
        <f t="shared" ref="AS147" si="64">AVERAGE(AQ147:AQ176)</f>
        <v>#DIV/0!</v>
      </c>
      <c r="AT147" s="324"/>
      <c r="AU147" s="166"/>
      <c r="AV147" s="166"/>
      <c r="AW147" s="180" t="e">
        <f t="shared" ref="AW147:AW176" si="65">RANK(AV147, AV$147:AV$176)</f>
        <v>#N/A</v>
      </c>
      <c r="AX147" s="472" t="e">
        <f t="shared" ref="AX147" si="66">AVERAGE(AV147:AV176)</f>
        <v>#DIV/0!</v>
      </c>
    </row>
    <row r="148" spans="2:50">
      <c r="B148" s="479"/>
      <c r="C148" s="180">
        <v>2</v>
      </c>
      <c r="D148" s="264" t="s">
        <v>744</v>
      </c>
      <c r="E148" s="180">
        <v>3</v>
      </c>
      <c r="F148" s="180">
        <v>2700</v>
      </c>
      <c r="G148" s="166">
        <v>900</v>
      </c>
      <c r="H148" s="473"/>
      <c r="I148" s="166">
        <f t="shared" ref="I148:K163" si="67">AVERAGE(P148,U148,Z148,AE148,AJ148,AO148,AT148)</f>
        <v>3</v>
      </c>
      <c r="J148" s="166">
        <f t="shared" si="67"/>
        <v>3076.7536199095075</v>
      </c>
      <c r="K148" s="265">
        <f t="shared" si="67"/>
        <v>1025.5845399698358</v>
      </c>
      <c r="L148" s="460"/>
      <c r="M148" s="166">
        <f>RANK(K148, K$147:$K$176)</f>
        <v>4</v>
      </c>
      <c r="N148" s="462"/>
      <c r="O148" s="462"/>
      <c r="P148" s="166">
        <v>3</v>
      </c>
      <c r="Q148" s="166">
        <v>3363.9999999999941</v>
      </c>
      <c r="R148" s="166">
        <v>1121.3333333333314</v>
      </c>
      <c r="S148" s="180">
        <f t="shared" ref="S148:S176" si="68">RANK(R148, R$147:R$176)</f>
        <v>1</v>
      </c>
      <c r="T148" s="473"/>
      <c r="U148" s="166">
        <v>3</v>
      </c>
      <c r="V148" s="166">
        <v>3063.7500000000109</v>
      </c>
      <c r="W148" s="166">
        <v>1021.2500000000036</v>
      </c>
      <c r="X148" s="180">
        <f t="shared" si="55"/>
        <v>4</v>
      </c>
      <c r="Y148" s="473"/>
      <c r="Z148" s="166">
        <v>3</v>
      </c>
      <c r="AA148" s="166">
        <v>2512.9411764705851</v>
      </c>
      <c r="AB148" s="166">
        <v>837.64705882352837</v>
      </c>
      <c r="AC148" s="180">
        <f t="shared" si="57"/>
        <v>8</v>
      </c>
      <c r="AD148" s="473"/>
      <c r="AE148" s="166">
        <v>3</v>
      </c>
      <c r="AF148" s="166">
        <v>3216.9230769231085</v>
      </c>
      <c r="AG148" s="166">
        <v>1072.3076923077028</v>
      </c>
      <c r="AH148" s="180">
        <f t="shared" si="59"/>
        <v>4</v>
      </c>
      <c r="AI148" s="473"/>
      <c r="AJ148" s="166">
        <v>3</v>
      </c>
      <c r="AK148" s="166">
        <v>3226.153846153838</v>
      </c>
      <c r="AL148" s="166">
        <v>1075.3846153846127</v>
      </c>
      <c r="AM148" s="180">
        <f t="shared" si="61"/>
        <v>2</v>
      </c>
      <c r="AN148" s="473"/>
      <c r="AO148" s="166"/>
      <c r="AP148" s="166"/>
      <c r="AQ148" s="166"/>
      <c r="AR148" s="180" t="e">
        <f t="shared" si="63"/>
        <v>#N/A</v>
      </c>
      <c r="AS148" s="473"/>
      <c r="AT148" s="166"/>
      <c r="AU148" s="166"/>
      <c r="AV148" s="166"/>
      <c r="AW148" s="180" t="e">
        <f t="shared" si="65"/>
        <v>#N/A</v>
      </c>
      <c r="AX148" s="473"/>
    </row>
    <row r="149" spans="2:50">
      <c r="B149" s="479"/>
      <c r="C149" s="180">
        <v>3</v>
      </c>
      <c r="D149" s="180" t="s">
        <v>336</v>
      </c>
      <c r="E149" s="180">
        <v>4</v>
      </c>
      <c r="F149" s="180">
        <v>3600</v>
      </c>
      <c r="G149" s="166">
        <v>900</v>
      </c>
      <c r="H149" s="473"/>
      <c r="I149" s="166">
        <f t="shared" si="67"/>
        <v>4</v>
      </c>
      <c r="J149" s="166">
        <f t="shared" si="67"/>
        <v>3224.910025062657</v>
      </c>
      <c r="K149" s="265">
        <f t="shared" si="67"/>
        <v>806.22750626566426</v>
      </c>
      <c r="L149" s="460"/>
      <c r="M149" s="166">
        <f>RANK(K149, K$147:$K$176)</f>
        <v>10</v>
      </c>
      <c r="N149" s="462"/>
      <c r="O149" s="462"/>
      <c r="P149" s="166">
        <v>4</v>
      </c>
      <c r="Q149" s="166">
        <v>3316.6666666666715</v>
      </c>
      <c r="R149" s="166">
        <v>829.16666666666788</v>
      </c>
      <c r="S149" s="180">
        <f t="shared" si="68"/>
        <v>9</v>
      </c>
      <c r="T149" s="473"/>
      <c r="U149" s="166">
        <v>4</v>
      </c>
      <c r="V149" s="166">
        <v>3170.5263157894788</v>
      </c>
      <c r="W149" s="166">
        <v>792.63157894736969</v>
      </c>
      <c r="X149" s="180">
        <f t="shared" si="55"/>
        <v>9</v>
      </c>
      <c r="Y149" s="473"/>
      <c r="Z149" s="166">
        <v>4</v>
      </c>
      <c r="AA149" s="166">
        <v>3052.5000000000036</v>
      </c>
      <c r="AB149" s="166">
        <v>763.12500000000091</v>
      </c>
      <c r="AC149" s="180">
        <f t="shared" si="57"/>
        <v>11</v>
      </c>
      <c r="AD149" s="473"/>
      <c r="AE149" s="166">
        <v>4</v>
      </c>
      <c r="AF149" s="166">
        <v>3372.8571428571358</v>
      </c>
      <c r="AG149" s="166">
        <v>843.21428571428396</v>
      </c>
      <c r="AH149" s="180">
        <f t="shared" si="59"/>
        <v>9</v>
      </c>
      <c r="AI149" s="473"/>
      <c r="AJ149" s="166">
        <v>4</v>
      </c>
      <c r="AK149" s="166">
        <v>3211.9999999999945</v>
      </c>
      <c r="AL149" s="166">
        <v>802.99999999999864</v>
      </c>
      <c r="AM149" s="180">
        <f t="shared" si="61"/>
        <v>11</v>
      </c>
      <c r="AN149" s="473"/>
      <c r="AO149" s="166"/>
      <c r="AP149" s="166"/>
      <c r="AQ149" s="166"/>
      <c r="AR149" s="180" t="e">
        <f t="shared" si="63"/>
        <v>#N/A</v>
      </c>
      <c r="AS149" s="473"/>
      <c r="AT149" s="166"/>
      <c r="AU149" s="166"/>
      <c r="AV149" s="166"/>
      <c r="AW149" s="180" t="e">
        <f t="shared" si="65"/>
        <v>#N/A</v>
      </c>
      <c r="AX149" s="473"/>
    </row>
    <row r="150" spans="2:50">
      <c r="B150" s="479"/>
      <c r="C150" s="180">
        <v>4</v>
      </c>
      <c r="D150" s="180" t="s">
        <v>350</v>
      </c>
      <c r="E150" s="180">
        <v>3</v>
      </c>
      <c r="F150" s="180">
        <v>3600</v>
      </c>
      <c r="G150" s="166">
        <v>1200</v>
      </c>
      <c r="H150" s="473"/>
      <c r="I150" s="166">
        <f t="shared" si="67"/>
        <v>3</v>
      </c>
      <c r="J150" s="166">
        <f t="shared" si="67"/>
        <v>3224.7274499154087</v>
      </c>
      <c r="K150" s="265">
        <f t="shared" si="67"/>
        <v>1074.9091499718029</v>
      </c>
      <c r="L150" s="460"/>
      <c r="M150" s="166">
        <f>RANK(K150, K$147:$K$176)</f>
        <v>2</v>
      </c>
      <c r="N150" s="462"/>
      <c r="O150" s="462"/>
      <c r="P150" s="166">
        <v>3</v>
      </c>
      <c r="Q150" s="166">
        <v>3276.2962962962979</v>
      </c>
      <c r="R150" s="166">
        <v>1092.0987654320993</v>
      </c>
      <c r="S150" s="180">
        <f t="shared" si="68"/>
        <v>2</v>
      </c>
      <c r="T150" s="473"/>
      <c r="U150" s="166">
        <v>3</v>
      </c>
      <c r="V150" s="166">
        <v>3198.2926829268281</v>
      </c>
      <c r="W150" s="166">
        <v>1066.0975609756094</v>
      </c>
      <c r="X150" s="180">
        <f t="shared" si="55"/>
        <v>2</v>
      </c>
      <c r="Y150" s="473"/>
      <c r="Z150" s="166">
        <v>3</v>
      </c>
      <c r="AA150" s="166">
        <v>3195.6521739130435</v>
      </c>
      <c r="AB150" s="166">
        <v>1065.2173913043478</v>
      </c>
      <c r="AC150" s="180">
        <f t="shared" si="57"/>
        <v>2</v>
      </c>
      <c r="AD150" s="473"/>
      <c r="AE150" s="166">
        <v>3</v>
      </c>
      <c r="AF150" s="166">
        <v>3234.6268656716379</v>
      </c>
      <c r="AG150" s="166">
        <v>1078.2089552238792</v>
      </c>
      <c r="AH150" s="180">
        <f t="shared" si="59"/>
        <v>3</v>
      </c>
      <c r="AI150" s="473"/>
      <c r="AJ150" s="166">
        <v>3</v>
      </c>
      <c r="AK150" s="166">
        <v>3218.7692307692346</v>
      </c>
      <c r="AL150" s="166">
        <v>1072.9230769230783</v>
      </c>
      <c r="AM150" s="180">
        <f t="shared" si="61"/>
        <v>4</v>
      </c>
      <c r="AN150" s="473"/>
      <c r="AO150" s="166"/>
      <c r="AP150" s="166"/>
      <c r="AQ150" s="166"/>
      <c r="AR150" s="180" t="e">
        <f t="shared" si="63"/>
        <v>#N/A</v>
      </c>
      <c r="AS150" s="473"/>
      <c r="AT150" s="166"/>
      <c r="AU150" s="166"/>
      <c r="AV150" s="166"/>
      <c r="AW150" s="180" t="e">
        <f t="shared" si="65"/>
        <v>#N/A</v>
      </c>
      <c r="AX150" s="473"/>
    </row>
    <row r="151" spans="2:50">
      <c r="B151" s="479"/>
      <c r="C151" s="180">
        <v>5</v>
      </c>
      <c r="D151" s="180" t="s">
        <v>351</v>
      </c>
      <c r="E151" s="180">
        <v>3</v>
      </c>
      <c r="F151" s="180">
        <v>3600</v>
      </c>
      <c r="G151" s="166">
        <v>1200</v>
      </c>
      <c r="H151" s="473"/>
      <c r="I151" s="166">
        <f t="shared" si="67"/>
        <v>4</v>
      </c>
      <c r="J151" s="166">
        <f t="shared" si="67"/>
        <v>3203.5607940446635</v>
      </c>
      <c r="K151" s="265">
        <f t="shared" si="67"/>
        <v>800.89019851116586</v>
      </c>
      <c r="L151" s="460"/>
      <c r="M151" s="166">
        <f>RANK(K151, K$147:$K$176)</f>
        <v>11</v>
      </c>
      <c r="N151" s="462"/>
      <c r="O151" s="462"/>
      <c r="P151" s="166">
        <v>4</v>
      </c>
      <c r="Q151" s="166">
        <v>3210.9677419354825</v>
      </c>
      <c r="R151" s="166">
        <v>802.74193548387063</v>
      </c>
      <c r="S151" s="180">
        <f t="shared" si="68"/>
        <v>10</v>
      </c>
      <c r="T151" s="473"/>
      <c r="U151" s="166">
        <v>4</v>
      </c>
      <c r="V151" s="166">
        <v>3166.4516129032249</v>
      </c>
      <c r="W151" s="166">
        <v>791.61290322580624</v>
      </c>
      <c r="X151" s="180">
        <f t="shared" si="55"/>
        <v>10</v>
      </c>
      <c r="Y151" s="473"/>
      <c r="Z151" s="166">
        <v>4</v>
      </c>
      <c r="AA151" s="166">
        <v>3175.3846153846116</v>
      </c>
      <c r="AB151" s="166">
        <v>793.8461538461529</v>
      </c>
      <c r="AC151" s="180">
        <f t="shared" si="57"/>
        <v>9</v>
      </c>
      <c r="AD151" s="473"/>
      <c r="AE151" s="166">
        <v>4</v>
      </c>
      <c r="AF151" s="166">
        <v>3242.5000000000009</v>
      </c>
      <c r="AG151" s="166">
        <v>810.62500000000023</v>
      </c>
      <c r="AH151" s="180">
        <f t="shared" si="59"/>
        <v>11</v>
      </c>
      <c r="AI151" s="473"/>
      <c r="AJ151" s="166">
        <v>4</v>
      </c>
      <c r="AK151" s="166">
        <v>3222.5000000000009</v>
      </c>
      <c r="AL151" s="166">
        <v>805.62500000000023</v>
      </c>
      <c r="AM151" s="180">
        <f t="shared" si="61"/>
        <v>10</v>
      </c>
      <c r="AN151" s="473"/>
      <c r="AO151" s="166"/>
      <c r="AP151" s="166"/>
      <c r="AQ151" s="166"/>
      <c r="AR151" s="180" t="e">
        <f t="shared" si="63"/>
        <v>#N/A</v>
      </c>
      <c r="AS151" s="473"/>
      <c r="AT151" s="166"/>
      <c r="AU151" s="166"/>
      <c r="AV151" s="166"/>
      <c r="AW151" s="180" t="e">
        <f t="shared" si="65"/>
        <v>#N/A</v>
      </c>
      <c r="AX151" s="473"/>
    </row>
    <row r="152" spans="2:50">
      <c r="B152" s="479"/>
      <c r="C152" s="180">
        <v>6</v>
      </c>
      <c r="D152" s="180" t="s">
        <v>349</v>
      </c>
      <c r="E152" s="180">
        <v>4</v>
      </c>
      <c r="F152" s="180">
        <v>3600</v>
      </c>
      <c r="G152" s="166">
        <v>900</v>
      </c>
      <c r="H152" s="473"/>
      <c r="I152" s="166">
        <f t="shared" si="67"/>
        <v>4</v>
      </c>
      <c r="J152" s="166">
        <f t="shared" si="67"/>
        <v>3240.9558441558447</v>
      </c>
      <c r="K152" s="265">
        <f t="shared" si="67"/>
        <v>810.23896103896118</v>
      </c>
      <c r="L152" s="460"/>
      <c r="M152" s="166">
        <f>RANK(K152, K$147:$K$176)</f>
        <v>9</v>
      </c>
      <c r="N152" s="462"/>
      <c r="O152" s="462"/>
      <c r="P152" s="166">
        <v>4</v>
      </c>
      <c r="Q152" s="166">
        <v>3347.1428571428596</v>
      </c>
      <c r="R152" s="166">
        <v>836.7857142857149</v>
      </c>
      <c r="S152" s="180">
        <f t="shared" si="68"/>
        <v>8</v>
      </c>
      <c r="T152" s="473"/>
      <c r="U152" s="166">
        <v>4</v>
      </c>
      <c r="V152" s="166">
        <v>3128.0000000000027</v>
      </c>
      <c r="W152" s="166">
        <v>782.00000000000068</v>
      </c>
      <c r="X152" s="180">
        <f t="shared" si="55"/>
        <v>11</v>
      </c>
      <c r="Y152" s="473"/>
      <c r="Z152" s="166">
        <v>4</v>
      </c>
      <c r="AA152" s="166">
        <v>3080.0000000000009</v>
      </c>
      <c r="AB152" s="166">
        <v>770.00000000000023</v>
      </c>
      <c r="AC152" s="180">
        <f t="shared" si="57"/>
        <v>10</v>
      </c>
      <c r="AD152" s="473"/>
      <c r="AE152" s="166">
        <v>4</v>
      </c>
      <c r="AF152" s="166">
        <v>3283.6363636363635</v>
      </c>
      <c r="AG152" s="166">
        <v>820.90909090909088</v>
      </c>
      <c r="AH152" s="180">
        <f t="shared" si="59"/>
        <v>10</v>
      </c>
      <c r="AI152" s="473"/>
      <c r="AJ152" s="166">
        <v>4</v>
      </c>
      <c r="AK152" s="166">
        <v>3365.9999999999986</v>
      </c>
      <c r="AL152" s="166">
        <v>841.49999999999966</v>
      </c>
      <c r="AM152" s="180">
        <f t="shared" si="61"/>
        <v>8</v>
      </c>
      <c r="AN152" s="473"/>
      <c r="AO152" s="166"/>
      <c r="AP152" s="166"/>
      <c r="AQ152" s="166"/>
      <c r="AR152" s="180" t="e">
        <f t="shared" si="63"/>
        <v>#N/A</v>
      </c>
      <c r="AS152" s="473"/>
      <c r="AT152" s="166"/>
      <c r="AU152" s="166"/>
      <c r="AV152" s="166"/>
      <c r="AW152" s="180" t="e">
        <f t="shared" si="65"/>
        <v>#N/A</v>
      </c>
      <c r="AX152" s="473"/>
    </row>
    <row r="153" spans="2:50">
      <c r="B153" s="479"/>
      <c r="C153" s="180">
        <v>7</v>
      </c>
      <c r="D153" s="180" t="s">
        <v>352</v>
      </c>
      <c r="E153" s="180">
        <v>4</v>
      </c>
      <c r="F153" s="180">
        <v>3300</v>
      </c>
      <c r="G153" s="166">
        <v>825</v>
      </c>
      <c r="H153" s="473"/>
      <c r="I153" s="166">
        <f t="shared" si="67"/>
        <v>4</v>
      </c>
      <c r="J153" s="166">
        <f t="shared" si="67"/>
        <v>2907.5380619380617</v>
      </c>
      <c r="K153" s="265">
        <f t="shared" si="67"/>
        <v>726.88451548451542</v>
      </c>
      <c r="L153" s="460"/>
      <c r="M153" s="166">
        <f>RANK(K153, K$147:$K$176)</f>
        <v>14</v>
      </c>
      <c r="N153" s="462"/>
      <c r="O153" s="462"/>
      <c r="P153" s="166">
        <v>4</v>
      </c>
      <c r="Q153" s="166">
        <v>3013.8461538461552</v>
      </c>
      <c r="R153" s="166">
        <v>753.46153846153879</v>
      </c>
      <c r="S153" s="180">
        <f t="shared" si="68"/>
        <v>14</v>
      </c>
      <c r="T153" s="473"/>
      <c r="U153" s="166">
        <v>4</v>
      </c>
      <c r="V153" s="166">
        <v>2738.5714285714303</v>
      </c>
      <c r="W153" s="166">
        <v>684.64285714285757</v>
      </c>
      <c r="X153" s="180">
        <f t="shared" si="55"/>
        <v>18</v>
      </c>
      <c r="Y153" s="473"/>
      <c r="Z153" s="166">
        <v>4</v>
      </c>
      <c r="AA153" s="166">
        <v>2727.272727272727</v>
      </c>
      <c r="AB153" s="166">
        <v>681.81818181818176</v>
      </c>
      <c r="AC153" s="180">
        <f t="shared" si="57"/>
        <v>18</v>
      </c>
      <c r="AD153" s="473"/>
      <c r="AE153" s="166">
        <v>4</v>
      </c>
      <c r="AF153" s="166">
        <v>3099.9999999999977</v>
      </c>
      <c r="AG153" s="166">
        <v>774.99999999999943</v>
      </c>
      <c r="AH153" s="180">
        <f t="shared" si="59"/>
        <v>12</v>
      </c>
      <c r="AI153" s="473"/>
      <c r="AJ153" s="166">
        <v>4</v>
      </c>
      <c r="AK153" s="166">
        <v>2957.9999999999991</v>
      </c>
      <c r="AL153" s="166">
        <v>739.49999999999977</v>
      </c>
      <c r="AM153" s="180">
        <f t="shared" si="61"/>
        <v>12</v>
      </c>
      <c r="AN153" s="473"/>
      <c r="AO153" s="166"/>
      <c r="AP153" s="166"/>
      <c r="AQ153" s="166"/>
      <c r="AR153" s="180" t="e">
        <f t="shared" si="63"/>
        <v>#N/A</v>
      </c>
      <c r="AS153" s="473"/>
      <c r="AT153" s="166"/>
      <c r="AU153" s="166"/>
      <c r="AV153" s="166"/>
      <c r="AW153" s="180" t="e">
        <f t="shared" si="65"/>
        <v>#N/A</v>
      </c>
      <c r="AX153" s="473"/>
    </row>
    <row r="154" spans="2:50">
      <c r="B154" s="479"/>
      <c r="C154" s="180">
        <v>8</v>
      </c>
      <c r="D154" s="180" t="s">
        <v>353</v>
      </c>
      <c r="E154" s="180">
        <v>3</v>
      </c>
      <c r="F154" s="180">
        <v>3300</v>
      </c>
      <c r="G154" s="166">
        <v>1100</v>
      </c>
      <c r="H154" s="473"/>
      <c r="I154" s="166">
        <f t="shared" si="67"/>
        <v>3</v>
      </c>
      <c r="J154" s="166">
        <f t="shared" si="67"/>
        <v>3226.4252329749124</v>
      </c>
      <c r="K154" s="265">
        <f t="shared" si="67"/>
        <v>1075.4750776583041</v>
      </c>
      <c r="L154" s="460"/>
      <c r="M154" s="166">
        <f>RANK(K154, K$147:$K$176)</f>
        <v>1</v>
      </c>
      <c r="N154" s="462"/>
      <c r="O154" s="462"/>
      <c r="P154" s="166">
        <v>3</v>
      </c>
      <c r="Q154" s="166">
        <v>3276.0000000000032</v>
      </c>
      <c r="R154" s="166">
        <v>1092.0000000000011</v>
      </c>
      <c r="S154" s="180">
        <f t="shared" si="68"/>
        <v>3</v>
      </c>
      <c r="T154" s="473"/>
      <c r="U154" s="166">
        <v>3</v>
      </c>
      <c r="V154" s="166">
        <v>3133.5483870967773</v>
      </c>
      <c r="W154" s="166">
        <v>1044.5161290322592</v>
      </c>
      <c r="X154" s="180">
        <f t="shared" si="55"/>
        <v>3</v>
      </c>
      <c r="Y154" s="473"/>
      <c r="Z154" s="166">
        <v>3</v>
      </c>
      <c r="AA154" s="166">
        <v>3117.7777777777792</v>
      </c>
      <c r="AB154" s="166">
        <v>1039.2592592592598</v>
      </c>
      <c r="AC154" s="180">
        <f t="shared" si="57"/>
        <v>4</v>
      </c>
      <c r="AD154" s="473"/>
      <c r="AE154" s="166">
        <v>3</v>
      </c>
      <c r="AF154" s="166">
        <v>3324.0000000000009</v>
      </c>
      <c r="AG154" s="166">
        <v>1108.0000000000002</v>
      </c>
      <c r="AH154" s="180">
        <f t="shared" si="59"/>
        <v>1</v>
      </c>
      <c r="AI154" s="473"/>
      <c r="AJ154" s="166">
        <v>3</v>
      </c>
      <c r="AK154" s="166">
        <v>3280.8000000000006</v>
      </c>
      <c r="AL154" s="166">
        <v>1093.6000000000001</v>
      </c>
      <c r="AM154" s="180">
        <f t="shared" si="61"/>
        <v>1</v>
      </c>
      <c r="AN154" s="473"/>
      <c r="AO154" s="166"/>
      <c r="AP154" s="166"/>
      <c r="AQ154" s="166"/>
      <c r="AR154" s="180" t="e">
        <f t="shared" si="63"/>
        <v>#N/A</v>
      </c>
      <c r="AS154" s="473"/>
      <c r="AT154" s="166"/>
      <c r="AU154" s="166"/>
      <c r="AV154" s="166"/>
      <c r="AW154" s="180" t="e">
        <f t="shared" si="65"/>
        <v>#N/A</v>
      </c>
      <c r="AX154" s="473"/>
    </row>
    <row r="155" spans="2:50">
      <c r="B155" s="479"/>
      <c r="C155" s="180">
        <v>9</v>
      </c>
      <c r="D155" s="180" t="s">
        <v>354</v>
      </c>
      <c r="E155" s="180">
        <v>3</v>
      </c>
      <c r="F155" s="180">
        <v>3300</v>
      </c>
      <c r="G155" s="166">
        <v>1100</v>
      </c>
      <c r="H155" s="473"/>
      <c r="I155" s="166">
        <f t="shared" si="67"/>
        <v>3</v>
      </c>
      <c r="J155" s="166">
        <f t="shared" si="67"/>
        <v>2796.5483031674207</v>
      </c>
      <c r="K155" s="265">
        <f t="shared" si="67"/>
        <v>932.1827677224735</v>
      </c>
      <c r="L155" s="460"/>
      <c r="M155" s="166">
        <f>RANK(K155, K$147:$K$176)</f>
        <v>7</v>
      </c>
      <c r="N155" s="462"/>
      <c r="O155" s="462"/>
      <c r="P155" s="166">
        <v>3</v>
      </c>
      <c r="Q155" s="166">
        <v>2812.307692307691</v>
      </c>
      <c r="R155" s="166">
        <v>937.435897435897</v>
      </c>
      <c r="S155" s="180">
        <f t="shared" si="68"/>
        <v>7</v>
      </c>
      <c r="T155" s="473"/>
      <c r="U155" s="166">
        <v>3</v>
      </c>
      <c r="V155" s="166">
        <v>2746.4999999999991</v>
      </c>
      <c r="W155" s="166">
        <v>915.49999999999966</v>
      </c>
      <c r="X155" s="180">
        <f t="shared" si="55"/>
        <v>8</v>
      </c>
      <c r="Y155" s="473"/>
      <c r="Z155" s="166">
        <v>3</v>
      </c>
      <c r="AA155" s="166">
        <v>2767.0588235294153</v>
      </c>
      <c r="AB155" s="166">
        <v>922.35294117647175</v>
      </c>
      <c r="AC155" s="180">
        <f t="shared" si="57"/>
        <v>5</v>
      </c>
      <c r="AD155" s="473"/>
      <c r="AE155" s="166">
        <v>3</v>
      </c>
      <c r="AF155" s="166">
        <v>2823.7500000000032</v>
      </c>
      <c r="AG155" s="166">
        <v>941.25000000000102</v>
      </c>
      <c r="AH155" s="180">
        <f t="shared" si="59"/>
        <v>7</v>
      </c>
      <c r="AI155" s="473"/>
      <c r="AJ155" s="166">
        <v>3</v>
      </c>
      <c r="AK155" s="166">
        <v>2833.1249999999964</v>
      </c>
      <c r="AL155" s="166">
        <v>944.37499999999875</v>
      </c>
      <c r="AM155" s="180">
        <f t="shared" si="61"/>
        <v>6</v>
      </c>
      <c r="AN155" s="473"/>
      <c r="AO155" s="166"/>
      <c r="AP155" s="166"/>
      <c r="AQ155" s="166"/>
      <c r="AR155" s="180" t="e">
        <f t="shared" si="63"/>
        <v>#N/A</v>
      </c>
      <c r="AS155" s="473"/>
      <c r="AT155" s="166"/>
      <c r="AU155" s="166"/>
      <c r="AV155" s="166"/>
      <c r="AW155" s="180" t="e">
        <f t="shared" si="65"/>
        <v>#N/A</v>
      </c>
      <c r="AX155" s="473"/>
    </row>
    <row r="156" spans="2:50">
      <c r="B156" s="479"/>
      <c r="C156" s="180">
        <v>10</v>
      </c>
      <c r="D156" s="180" t="s">
        <v>355</v>
      </c>
      <c r="E156" s="180">
        <v>4</v>
      </c>
      <c r="F156" s="180">
        <v>3300</v>
      </c>
      <c r="G156" s="166">
        <v>825</v>
      </c>
      <c r="H156" s="473"/>
      <c r="I156" s="166">
        <f t="shared" si="67"/>
        <v>4</v>
      </c>
      <c r="J156" s="166">
        <f t="shared" si="67"/>
        <v>2814.6462814936795</v>
      </c>
      <c r="K156" s="265">
        <f t="shared" si="67"/>
        <v>703.66157037341986</v>
      </c>
      <c r="L156" s="460"/>
      <c r="M156" s="166">
        <f>RANK(K156, K$147:$K$176)</f>
        <v>16</v>
      </c>
      <c r="N156" s="462"/>
      <c r="O156" s="462"/>
      <c r="P156" s="166">
        <v>4</v>
      </c>
      <c r="Q156" s="166">
        <v>2827.9999999999986</v>
      </c>
      <c r="R156" s="166">
        <v>706.99999999999966</v>
      </c>
      <c r="S156" s="180">
        <f t="shared" si="68"/>
        <v>18</v>
      </c>
      <c r="T156" s="473"/>
      <c r="U156" s="166">
        <v>4</v>
      </c>
      <c r="V156" s="166">
        <v>2787.5409836065578</v>
      </c>
      <c r="W156" s="166">
        <v>696.88524590163945</v>
      </c>
      <c r="X156" s="180">
        <f t="shared" si="55"/>
        <v>14</v>
      </c>
      <c r="Y156" s="473"/>
      <c r="Z156" s="166">
        <v>4</v>
      </c>
      <c r="AA156" s="166">
        <v>2766.9230769230739</v>
      </c>
      <c r="AB156" s="166">
        <v>691.73076923076849</v>
      </c>
      <c r="AC156" s="180">
        <f t="shared" si="57"/>
        <v>15</v>
      </c>
      <c r="AD156" s="473"/>
      <c r="AE156" s="166">
        <v>4</v>
      </c>
      <c r="AF156" s="166">
        <v>2852.3999999999965</v>
      </c>
      <c r="AG156" s="166">
        <v>713.09999999999911</v>
      </c>
      <c r="AH156" s="180">
        <f t="shared" si="59"/>
        <v>15</v>
      </c>
      <c r="AI156" s="473"/>
      <c r="AJ156" s="166">
        <v>4</v>
      </c>
      <c r="AK156" s="166">
        <v>2838.3673469387718</v>
      </c>
      <c r="AL156" s="166">
        <v>709.59183673469295</v>
      </c>
      <c r="AM156" s="180">
        <f t="shared" si="61"/>
        <v>17</v>
      </c>
      <c r="AN156" s="473"/>
      <c r="AO156" s="166"/>
      <c r="AP156" s="166"/>
      <c r="AQ156" s="166"/>
      <c r="AR156" s="180" t="e">
        <f t="shared" si="63"/>
        <v>#N/A</v>
      </c>
      <c r="AS156" s="473"/>
      <c r="AT156" s="166"/>
      <c r="AU156" s="166"/>
      <c r="AV156" s="166"/>
      <c r="AW156" s="180" t="e">
        <f t="shared" si="65"/>
        <v>#N/A</v>
      </c>
      <c r="AX156" s="473"/>
    </row>
    <row r="157" spans="2:50">
      <c r="B157" s="479"/>
      <c r="C157" s="180">
        <v>11</v>
      </c>
      <c r="D157" s="180" t="s">
        <v>356</v>
      </c>
      <c r="E157" s="180">
        <v>4</v>
      </c>
      <c r="F157" s="180">
        <v>3300</v>
      </c>
      <c r="G157" s="166">
        <v>825</v>
      </c>
      <c r="H157" s="473"/>
      <c r="I157" s="166">
        <f t="shared" si="67"/>
        <v>4</v>
      </c>
      <c r="J157" s="166">
        <f t="shared" si="67"/>
        <v>2813.930917111963</v>
      </c>
      <c r="K157" s="265">
        <f t="shared" si="67"/>
        <v>703.48272927799076</v>
      </c>
      <c r="L157" s="460"/>
      <c r="M157" s="166">
        <f>RANK(K157, K$147:$K$176)</f>
        <v>18</v>
      </c>
      <c r="N157" s="462"/>
      <c r="O157" s="462"/>
      <c r="P157" s="166">
        <v>4</v>
      </c>
      <c r="Q157" s="166">
        <v>2841.5625000000032</v>
      </c>
      <c r="R157" s="166">
        <v>710.3906250000008</v>
      </c>
      <c r="S157" s="180">
        <f t="shared" si="68"/>
        <v>17</v>
      </c>
      <c r="T157" s="473"/>
      <c r="U157" s="166">
        <v>4</v>
      </c>
      <c r="V157" s="166">
        <v>2779.047619047622</v>
      </c>
      <c r="W157" s="166">
        <v>694.7619047619055</v>
      </c>
      <c r="X157" s="180">
        <f t="shared" si="55"/>
        <v>15</v>
      </c>
      <c r="Y157" s="473"/>
      <c r="Z157" s="166">
        <v>4</v>
      </c>
      <c r="AA157" s="166">
        <v>2782.1052631578928</v>
      </c>
      <c r="AB157" s="166">
        <v>695.52631578947319</v>
      </c>
      <c r="AC157" s="180">
        <f t="shared" si="57"/>
        <v>14</v>
      </c>
      <c r="AD157" s="473"/>
      <c r="AE157" s="166">
        <v>4</v>
      </c>
      <c r="AF157" s="166">
        <v>2832.222222222224</v>
      </c>
      <c r="AG157" s="166">
        <v>708.055555555556</v>
      </c>
      <c r="AH157" s="180">
        <f t="shared" si="59"/>
        <v>16</v>
      </c>
      <c r="AI157" s="473"/>
      <c r="AJ157" s="166">
        <v>4</v>
      </c>
      <c r="AK157" s="166">
        <v>2834.7169811320728</v>
      </c>
      <c r="AL157" s="166">
        <v>708.67924528301819</v>
      </c>
      <c r="AM157" s="180">
        <f t="shared" si="61"/>
        <v>18</v>
      </c>
      <c r="AN157" s="473"/>
      <c r="AO157" s="166"/>
      <c r="AP157" s="166"/>
      <c r="AQ157" s="166"/>
      <c r="AR157" s="180" t="e">
        <f t="shared" si="63"/>
        <v>#N/A</v>
      </c>
      <c r="AS157" s="473"/>
      <c r="AT157" s="166"/>
      <c r="AU157" s="166"/>
      <c r="AV157" s="166"/>
      <c r="AW157" s="180" t="e">
        <f t="shared" si="65"/>
        <v>#N/A</v>
      </c>
      <c r="AX157" s="473"/>
    </row>
    <row r="158" spans="2:50">
      <c r="B158" s="479"/>
      <c r="C158" s="180">
        <v>12</v>
      </c>
      <c r="D158" s="180" t="s">
        <v>516</v>
      </c>
      <c r="E158" s="180">
        <v>4</v>
      </c>
      <c r="F158" s="180">
        <v>2800</v>
      </c>
      <c r="G158" s="166">
        <v>700</v>
      </c>
      <c r="H158" s="473"/>
      <c r="I158" s="166">
        <f t="shared" si="67"/>
        <v>4</v>
      </c>
      <c r="J158" s="166">
        <f t="shared" si="67"/>
        <v>2813.9415584415583</v>
      </c>
      <c r="K158" s="265">
        <f t="shared" si="67"/>
        <v>703.48538961038957</v>
      </c>
      <c r="L158" s="460"/>
      <c r="M158" s="166">
        <f>RANK(K158, K$147:$K$176)</f>
        <v>17</v>
      </c>
      <c r="N158" s="462"/>
      <c r="O158" s="462"/>
      <c r="P158" s="166">
        <v>4</v>
      </c>
      <c r="Q158" s="166">
        <v>2899.9999999999973</v>
      </c>
      <c r="R158" s="166">
        <v>724.99999999999932</v>
      </c>
      <c r="S158" s="180">
        <f t="shared" si="68"/>
        <v>16</v>
      </c>
      <c r="T158" s="473"/>
      <c r="U158" s="166">
        <v>4</v>
      </c>
      <c r="V158" s="166">
        <v>2753.5714285714303</v>
      </c>
      <c r="W158" s="166">
        <v>688.39285714285757</v>
      </c>
      <c r="X158" s="180">
        <f t="shared" si="55"/>
        <v>16</v>
      </c>
      <c r="Y158" s="473"/>
      <c r="Z158" s="166">
        <v>4</v>
      </c>
      <c r="AA158" s="166">
        <v>2732.5000000000055</v>
      </c>
      <c r="AB158" s="166">
        <v>683.12500000000136</v>
      </c>
      <c r="AC158" s="180">
        <f t="shared" si="57"/>
        <v>17</v>
      </c>
      <c r="AD158" s="473"/>
      <c r="AE158" s="166">
        <v>4</v>
      </c>
      <c r="AF158" s="166">
        <v>2809.090909090909</v>
      </c>
      <c r="AG158" s="166">
        <v>702.27272727272725</v>
      </c>
      <c r="AH158" s="180">
        <f t="shared" si="59"/>
        <v>17</v>
      </c>
      <c r="AI158" s="473"/>
      <c r="AJ158" s="166">
        <v>4</v>
      </c>
      <c r="AK158" s="166">
        <v>2874.545454545449</v>
      </c>
      <c r="AL158" s="166">
        <v>718.63636363636226</v>
      </c>
      <c r="AM158" s="180">
        <f t="shared" si="61"/>
        <v>15</v>
      </c>
      <c r="AN158" s="473"/>
      <c r="AO158" s="166"/>
      <c r="AP158" s="166"/>
      <c r="AQ158" s="166"/>
      <c r="AR158" s="180" t="e">
        <f t="shared" si="63"/>
        <v>#N/A</v>
      </c>
      <c r="AS158" s="473"/>
      <c r="AT158" s="166"/>
      <c r="AU158" s="166"/>
      <c r="AV158" s="166"/>
      <c r="AW158" s="180" t="e">
        <f t="shared" si="65"/>
        <v>#N/A</v>
      </c>
      <c r="AX158" s="473"/>
    </row>
    <row r="159" spans="2:50">
      <c r="B159" s="479"/>
      <c r="C159" s="180">
        <v>13</v>
      </c>
      <c r="D159" s="180" t="s">
        <v>357</v>
      </c>
      <c r="E159" s="180">
        <v>4</v>
      </c>
      <c r="F159" s="180">
        <v>3600</v>
      </c>
      <c r="G159" s="166">
        <v>900</v>
      </c>
      <c r="H159" s="473"/>
      <c r="I159" s="166">
        <f t="shared" si="67"/>
        <v>4</v>
      </c>
      <c r="J159" s="166">
        <f t="shared" si="67"/>
        <v>2927.3999999999869</v>
      </c>
      <c r="K159" s="265">
        <f t="shared" si="67"/>
        <v>731.84999999999673</v>
      </c>
      <c r="L159" s="460"/>
      <c r="M159" s="166">
        <f>RANK(K159, K$147:$K$176)</f>
        <v>13</v>
      </c>
      <c r="N159" s="462"/>
      <c r="O159" s="462"/>
      <c r="P159" s="166">
        <v>4</v>
      </c>
      <c r="Q159" s="166">
        <v>3089.9999999999864</v>
      </c>
      <c r="R159" s="166">
        <v>772.49999999999659</v>
      </c>
      <c r="S159" s="180">
        <f t="shared" si="68"/>
        <v>12</v>
      </c>
      <c r="T159" s="473"/>
      <c r="U159" s="166">
        <v>4</v>
      </c>
      <c r="V159" s="166">
        <v>2999.9999999999868</v>
      </c>
      <c r="W159" s="166">
        <v>749.9999999999967</v>
      </c>
      <c r="X159" s="180">
        <f t="shared" si="55"/>
        <v>12</v>
      </c>
      <c r="Y159" s="473"/>
      <c r="Z159" s="166">
        <v>4</v>
      </c>
      <c r="AA159" s="166">
        <v>2816.9999999999873</v>
      </c>
      <c r="AB159" s="166">
        <v>704.24999999999682</v>
      </c>
      <c r="AC159" s="180">
        <f t="shared" si="57"/>
        <v>13</v>
      </c>
      <c r="AD159" s="473"/>
      <c r="AE159" s="166">
        <v>4</v>
      </c>
      <c r="AF159" s="166">
        <v>2786.9999999999877</v>
      </c>
      <c r="AG159" s="166">
        <v>696.74999999999693</v>
      </c>
      <c r="AH159" s="180">
        <f t="shared" si="59"/>
        <v>18</v>
      </c>
      <c r="AI159" s="473"/>
      <c r="AJ159" s="166">
        <v>4</v>
      </c>
      <c r="AK159" s="166">
        <v>2942.9999999999873</v>
      </c>
      <c r="AL159" s="166">
        <v>735.74999999999682</v>
      </c>
      <c r="AM159" s="180">
        <f t="shared" si="61"/>
        <v>13</v>
      </c>
      <c r="AN159" s="473"/>
      <c r="AO159" s="166"/>
      <c r="AP159" s="166"/>
      <c r="AQ159" s="166"/>
      <c r="AR159" s="180" t="e">
        <f t="shared" si="63"/>
        <v>#N/A</v>
      </c>
      <c r="AS159" s="473"/>
      <c r="AT159" s="166"/>
      <c r="AU159" s="166"/>
      <c r="AV159" s="166"/>
      <c r="AW159" s="180" t="e">
        <f t="shared" si="65"/>
        <v>#N/A</v>
      </c>
      <c r="AX159" s="473"/>
    </row>
    <row r="160" spans="2:50">
      <c r="B160" s="479"/>
      <c r="C160" s="180">
        <v>14</v>
      </c>
      <c r="D160" s="180" t="s">
        <v>358</v>
      </c>
      <c r="E160" s="180">
        <v>4</v>
      </c>
      <c r="F160" s="180">
        <v>3600</v>
      </c>
      <c r="G160" s="166">
        <v>900</v>
      </c>
      <c r="H160" s="473"/>
      <c r="I160" s="166">
        <f t="shared" si="67"/>
        <v>4</v>
      </c>
      <c r="J160" s="166">
        <f t="shared" si="67"/>
        <v>2451.6000000000263</v>
      </c>
      <c r="K160" s="265">
        <f t="shared" si="67"/>
        <v>612.90000000000657</v>
      </c>
      <c r="L160" s="460"/>
      <c r="M160" s="166">
        <f>RANK(K160, K$147:$K$176)</f>
        <v>19</v>
      </c>
      <c r="N160" s="462"/>
      <c r="O160" s="462"/>
      <c r="P160" s="166">
        <v>4</v>
      </c>
      <c r="Q160" s="166">
        <v>2904.0000000000564</v>
      </c>
      <c r="R160" s="166">
        <v>726.0000000000141</v>
      </c>
      <c r="S160" s="180">
        <f t="shared" si="68"/>
        <v>15</v>
      </c>
      <c r="T160" s="473"/>
      <c r="U160" s="166">
        <v>4</v>
      </c>
      <c r="V160" s="166">
        <v>2454.0000000000091</v>
      </c>
      <c r="W160" s="166">
        <v>613.50000000000227</v>
      </c>
      <c r="X160" s="180">
        <f t="shared" si="55"/>
        <v>19</v>
      </c>
      <c r="Y160" s="473"/>
      <c r="Z160" s="166">
        <v>4</v>
      </c>
      <c r="AA160" s="166">
        <v>2130.0000000000077</v>
      </c>
      <c r="AB160" s="166">
        <v>532.50000000000193</v>
      </c>
      <c r="AC160" s="180">
        <f t="shared" si="57"/>
        <v>19</v>
      </c>
      <c r="AD160" s="473"/>
      <c r="AE160" s="166">
        <v>4</v>
      </c>
      <c r="AF160" s="166">
        <v>2214.0000000000082</v>
      </c>
      <c r="AG160" s="166">
        <v>553.50000000000205</v>
      </c>
      <c r="AH160" s="180">
        <f t="shared" si="59"/>
        <v>19</v>
      </c>
      <c r="AI160" s="473"/>
      <c r="AJ160" s="166">
        <v>4</v>
      </c>
      <c r="AK160" s="166">
        <v>2556.00000000005</v>
      </c>
      <c r="AL160" s="166">
        <v>639.00000000001251</v>
      </c>
      <c r="AM160" s="180">
        <f t="shared" si="61"/>
        <v>19</v>
      </c>
      <c r="AN160" s="473"/>
      <c r="AO160" s="166"/>
      <c r="AP160" s="166"/>
      <c r="AQ160" s="166"/>
      <c r="AR160" s="180" t="e">
        <f t="shared" si="63"/>
        <v>#N/A</v>
      </c>
      <c r="AS160" s="473"/>
      <c r="AT160" s="166"/>
      <c r="AU160" s="166"/>
      <c r="AV160" s="166"/>
      <c r="AW160" s="180" t="e">
        <f t="shared" si="65"/>
        <v>#N/A</v>
      </c>
      <c r="AX160" s="473"/>
    </row>
    <row r="161" spans="2:50">
      <c r="B161" s="479"/>
      <c r="C161" s="180">
        <v>15</v>
      </c>
      <c r="D161" s="180" t="s">
        <v>439</v>
      </c>
      <c r="E161" s="180">
        <v>4</v>
      </c>
      <c r="F161" s="180">
        <v>3300</v>
      </c>
      <c r="G161" s="166">
        <v>825</v>
      </c>
      <c r="H161" s="473"/>
      <c r="I161" s="166">
        <f t="shared" si="67"/>
        <v>3</v>
      </c>
      <c r="J161" s="166">
        <f t="shared" si="67"/>
        <v>2829.2058823529428</v>
      </c>
      <c r="K161" s="265">
        <f t="shared" si="67"/>
        <v>943.06862745098078</v>
      </c>
      <c r="L161" s="460"/>
      <c r="M161" s="166">
        <f>RANK(K161, K$147:$K$176)</f>
        <v>5</v>
      </c>
      <c r="N161" s="462"/>
      <c r="O161" s="462"/>
      <c r="P161" s="166">
        <v>3</v>
      </c>
      <c r="Q161" s="166">
        <v>2853.0000000000045</v>
      </c>
      <c r="R161" s="166">
        <v>951.00000000000148</v>
      </c>
      <c r="S161" s="180">
        <f t="shared" si="68"/>
        <v>5</v>
      </c>
      <c r="T161" s="473"/>
      <c r="U161" s="166">
        <v>3</v>
      </c>
      <c r="V161" s="166">
        <v>2798.9999999999991</v>
      </c>
      <c r="W161" s="166">
        <v>932.99999999999966</v>
      </c>
      <c r="X161" s="180">
        <f t="shared" si="55"/>
        <v>6</v>
      </c>
      <c r="Y161" s="473"/>
      <c r="Z161" s="166">
        <v>3</v>
      </c>
      <c r="AA161" s="166">
        <v>2703.5294117647027</v>
      </c>
      <c r="AB161" s="166">
        <v>901.17647058823422</v>
      </c>
      <c r="AC161" s="180">
        <f t="shared" si="57"/>
        <v>7</v>
      </c>
      <c r="AD161" s="473"/>
      <c r="AE161" s="166">
        <v>3</v>
      </c>
      <c r="AF161" s="166">
        <v>2948.0000000000027</v>
      </c>
      <c r="AG161" s="166">
        <v>982.66666666666754</v>
      </c>
      <c r="AH161" s="180">
        <f t="shared" si="59"/>
        <v>5</v>
      </c>
      <c r="AI161" s="473"/>
      <c r="AJ161" s="166">
        <v>3</v>
      </c>
      <c r="AK161" s="166">
        <v>2842.5000000000032</v>
      </c>
      <c r="AL161" s="166">
        <v>947.50000000000102</v>
      </c>
      <c r="AM161" s="180">
        <f t="shared" si="61"/>
        <v>5</v>
      </c>
      <c r="AN161" s="473"/>
      <c r="AO161" s="166"/>
      <c r="AP161" s="166"/>
      <c r="AQ161" s="166"/>
      <c r="AR161" s="180" t="e">
        <f t="shared" si="63"/>
        <v>#N/A</v>
      </c>
      <c r="AS161" s="473"/>
      <c r="AT161" s="166"/>
      <c r="AU161" s="166"/>
      <c r="AV161" s="166"/>
      <c r="AW161" s="180" t="e">
        <f t="shared" si="65"/>
        <v>#N/A</v>
      </c>
      <c r="AX161" s="473"/>
    </row>
    <row r="162" spans="2:50">
      <c r="B162" s="479"/>
      <c r="C162" s="180">
        <v>16</v>
      </c>
      <c r="D162" s="180" t="s">
        <v>514</v>
      </c>
      <c r="E162" s="180">
        <v>3</v>
      </c>
      <c r="F162" s="180">
        <v>2800</v>
      </c>
      <c r="G162" s="166">
        <v>933.33333333333337</v>
      </c>
      <c r="H162" s="473"/>
      <c r="I162" s="166">
        <f t="shared" si="67"/>
        <v>3</v>
      </c>
      <c r="J162" s="166">
        <f t="shared" si="67"/>
        <v>2703.1200000000013</v>
      </c>
      <c r="K162" s="265">
        <f t="shared" si="67"/>
        <v>901.0400000000003</v>
      </c>
      <c r="L162" s="460"/>
      <c r="M162" s="166">
        <f>RANK(K162, K$147:$K$176)</f>
        <v>8</v>
      </c>
      <c r="N162" s="462"/>
      <c r="O162" s="462"/>
      <c r="P162" s="166">
        <v>3</v>
      </c>
      <c r="Q162" s="166">
        <v>2389.9999999999959</v>
      </c>
      <c r="R162" s="166">
        <v>796.66666666666526</v>
      </c>
      <c r="S162" s="180">
        <f t="shared" si="68"/>
        <v>11</v>
      </c>
      <c r="T162" s="473"/>
      <c r="U162" s="166">
        <v>3</v>
      </c>
      <c r="V162" s="166">
        <v>2762.3999999999924</v>
      </c>
      <c r="W162" s="166">
        <v>920.79999999999745</v>
      </c>
      <c r="X162" s="180">
        <f t="shared" si="55"/>
        <v>7</v>
      </c>
      <c r="Y162" s="473"/>
      <c r="Z162" s="166">
        <v>3</v>
      </c>
      <c r="AA162" s="166">
        <v>3288.0000000000118</v>
      </c>
      <c r="AB162" s="166">
        <v>1096.0000000000039</v>
      </c>
      <c r="AC162" s="180">
        <f t="shared" si="57"/>
        <v>1</v>
      </c>
      <c r="AD162" s="473"/>
      <c r="AE162" s="166">
        <v>3</v>
      </c>
      <c r="AF162" s="166">
        <v>2587.2000000000094</v>
      </c>
      <c r="AG162" s="166">
        <v>862.40000000000316</v>
      </c>
      <c r="AH162" s="180">
        <f t="shared" si="59"/>
        <v>8</v>
      </c>
      <c r="AI162" s="473"/>
      <c r="AJ162" s="166">
        <v>3</v>
      </c>
      <c r="AK162" s="166">
        <v>2487.9999999999955</v>
      </c>
      <c r="AL162" s="166">
        <v>829.33333333333178</v>
      </c>
      <c r="AM162" s="180">
        <f t="shared" si="61"/>
        <v>9</v>
      </c>
      <c r="AN162" s="473"/>
      <c r="AO162" s="166"/>
      <c r="AP162" s="166"/>
      <c r="AQ162" s="166"/>
      <c r="AR162" s="180" t="e">
        <f t="shared" si="63"/>
        <v>#N/A</v>
      </c>
      <c r="AS162" s="473"/>
      <c r="AT162" s="166"/>
      <c r="AU162" s="166"/>
      <c r="AV162" s="166"/>
      <c r="AW162" s="180" t="e">
        <f t="shared" si="65"/>
        <v>#N/A</v>
      </c>
      <c r="AX162" s="473"/>
    </row>
    <row r="163" spans="2:50">
      <c r="B163" s="479"/>
      <c r="C163" s="180">
        <v>17</v>
      </c>
      <c r="D163" s="180" t="s">
        <v>570</v>
      </c>
      <c r="E163" s="180">
        <v>4</v>
      </c>
      <c r="F163" s="180">
        <v>3000</v>
      </c>
      <c r="G163" s="166">
        <v>750</v>
      </c>
      <c r="H163" s="473"/>
      <c r="I163" s="166">
        <f t="shared" si="67"/>
        <v>3</v>
      </c>
      <c r="J163" s="166">
        <f t="shared" si="67"/>
        <v>2228.1866666666624</v>
      </c>
      <c r="K163" s="265">
        <f t="shared" si="67"/>
        <v>742.72888888888758</v>
      </c>
      <c r="L163" s="460"/>
      <c r="M163" s="166">
        <f>RANK(K163, K$147:$K$176)</f>
        <v>12</v>
      </c>
      <c r="N163" s="462"/>
      <c r="O163" s="462"/>
      <c r="P163" s="166">
        <v>3</v>
      </c>
      <c r="Q163" s="166">
        <v>2311.1999999999935</v>
      </c>
      <c r="R163" s="166">
        <v>770.39999999999782</v>
      </c>
      <c r="S163" s="180">
        <f t="shared" si="68"/>
        <v>13</v>
      </c>
      <c r="T163" s="473"/>
      <c r="U163" s="166">
        <v>3</v>
      </c>
      <c r="V163" s="166">
        <v>2150.3999999999937</v>
      </c>
      <c r="W163" s="166">
        <v>716.79999999999791</v>
      </c>
      <c r="X163" s="180">
        <f t="shared" si="55"/>
        <v>13</v>
      </c>
      <c r="Y163" s="473"/>
      <c r="Z163" s="166">
        <v>3</v>
      </c>
      <c r="AA163" s="166">
        <v>2274.6666666666665</v>
      </c>
      <c r="AB163" s="166">
        <v>758.22222222222217</v>
      </c>
      <c r="AC163" s="180">
        <f t="shared" si="57"/>
        <v>12</v>
      </c>
      <c r="AD163" s="473"/>
      <c r="AE163" s="166">
        <v>3</v>
      </c>
      <c r="AF163" s="166">
        <v>2214.6666666666665</v>
      </c>
      <c r="AG163" s="166">
        <v>738.22222222222217</v>
      </c>
      <c r="AH163" s="180">
        <f t="shared" si="59"/>
        <v>13</v>
      </c>
      <c r="AI163" s="473"/>
      <c r="AJ163" s="166">
        <v>3</v>
      </c>
      <c r="AK163" s="166">
        <v>2189.9999999999936</v>
      </c>
      <c r="AL163" s="166">
        <v>729.99999999999784</v>
      </c>
      <c r="AM163" s="180">
        <f t="shared" si="61"/>
        <v>14</v>
      </c>
      <c r="AN163" s="473"/>
      <c r="AO163" s="166"/>
      <c r="AP163" s="166"/>
      <c r="AQ163" s="166"/>
      <c r="AR163" s="180" t="e">
        <f t="shared" si="63"/>
        <v>#N/A</v>
      </c>
      <c r="AS163" s="473"/>
      <c r="AT163" s="166"/>
      <c r="AU163" s="166"/>
      <c r="AV163" s="166"/>
      <c r="AW163" s="180" t="e">
        <f t="shared" si="65"/>
        <v>#N/A</v>
      </c>
      <c r="AX163" s="473"/>
    </row>
    <row r="164" spans="2:50">
      <c r="B164" s="479"/>
      <c r="C164" s="180">
        <v>18</v>
      </c>
      <c r="D164" s="180" t="s">
        <v>521</v>
      </c>
      <c r="E164" s="180">
        <v>12</v>
      </c>
      <c r="F164" s="180">
        <v>1500</v>
      </c>
      <c r="G164" s="166">
        <v>125</v>
      </c>
      <c r="H164" s="473"/>
      <c r="I164" s="166">
        <f t="shared" ref="I164:K167" si="69">AVERAGE(P164,U164,Z164,AE164,AJ164,AO164,AT164)</f>
        <v>9.1999999999999993</v>
      </c>
      <c r="J164" s="166">
        <f t="shared" si="69"/>
        <v>1493.4573426573413</v>
      </c>
      <c r="K164" s="265">
        <f t="shared" si="69"/>
        <v>167.22550116550104</v>
      </c>
      <c r="L164" s="460"/>
      <c r="M164" s="166">
        <f>RANK(K164, K$147:$K$176)</f>
        <v>21</v>
      </c>
      <c r="N164" s="462"/>
      <c r="O164" s="462"/>
      <c r="P164" s="166">
        <v>10</v>
      </c>
      <c r="Q164" s="166">
        <v>1627.9999999999973</v>
      </c>
      <c r="R164" s="166">
        <v>162.79999999999973</v>
      </c>
      <c r="S164" s="180">
        <f t="shared" si="68"/>
        <v>21</v>
      </c>
      <c r="T164" s="473"/>
      <c r="U164" s="166">
        <v>8</v>
      </c>
      <c r="V164" s="166">
        <v>1488.9230769230751</v>
      </c>
      <c r="W164" s="166">
        <v>186.11538461538439</v>
      </c>
      <c r="X164" s="180">
        <f t="shared" si="55"/>
        <v>21</v>
      </c>
      <c r="Y164" s="473"/>
      <c r="Z164" s="166">
        <v>8</v>
      </c>
      <c r="AA164" s="166">
        <v>1515.2727272727284</v>
      </c>
      <c r="AB164" s="166">
        <v>189.40909090909105</v>
      </c>
      <c r="AC164" s="180">
        <f t="shared" si="57"/>
        <v>21</v>
      </c>
      <c r="AD164" s="473"/>
      <c r="AE164" s="166">
        <v>8</v>
      </c>
      <c r="AF164" s="166">
        <v>1477.0909090909079</v>
      </c>
      <c r="AG164" s="166">
        <v>184.63636363636348</v>
      </c>
      <c r="AH164" s="180">
        <f t="shared" si="59"/>
        <v>21</v>
      </c>
      <c r="AI164" s="473"/>
      <c r="AJ164" s="166">
        <v>12</v>
      </c>
      <c r="AK164" s="166">
        <v>1357.9999999999977</v>
      </c>
      <c r="AL164" s="166">
        <v>113.16666666666647</v>
      </c>
      <c r="AM164" s="180">
        <f t="shared" si="61"/>
        <v>21</v>
      </c>
      <c r="AN164" s="473"/>
      <c r="AO164" s="166"/>
      <c r="AP164" s="166"/>
      <c r="AQ164" s="166"/>
      <c r="AR164" s="180" t="e">
        <f t="shared" si="63"/>
        <v>#N/A</v>
      </c>
      <c r="AS164" s="473"/>
      <c r="AT164" s="166"/>
      <c r="AU164" s="166"/>
      <c r="AV164" s="166"/>
      <c r="AW164" s="180" t="e">
        <f t="shared" si="65"/>
        <v>#N/A</v>
      </c>
      <c r="AX164" s="473"/>
    </row>
    <row r="165" spans="2:50">
      <c r="B165" s="479"/>
      <c r="C165" s="180">
        <v>19</v>
      </c>
      <c r="D165" s="180" t="s">
        <v>583</v>
      </c>
      <c r="E165" s="180">
        <v>4</v>
      </c>
      <c r="F165" s="180">
        <v>3000</v>
      </c>
      <c r="G165" s="166">
        <v>750</v>
      </c>
      <c r="H165" s="473"/>
      <c r="I165" s="166">
        <f t="shared" si="69"/>
        <v>4</v>
      </c>
      <c r="J165" s="166">
        <f t="shared" si="69"/>
        <v>2165.6000000000031</v>
      </c>
      <c r="K165" s="265">
        <f t="shared" si="69"/>
        <v>541.40000000000077</v>
      </c>
      <c r="L165" s="460"/>
      <c r="M165" s="166">
        <f>RANK(K165, K$147:$K$176)</f>
        <v>20</v>
      </c>
      <c r="N165" s="462"/>
      <c r="O165" s="462"/>
      <c r="P165" s="166">
        <v>4</v>
      </c>
      <c r="Q165" s="166">
        <v>2334.0000000000086</v>
      </c>
      <c r="R165" s="166">
        <v>583.50000000000216</v>
      </c>
      <c r="S165" s="180">
        <f t="shared" si="68"/>
        <v>20</v>
      </c>
      <c r="T165" s="473"/>
      <c r="U165" s="166">
        <v>4</v>
      </c>
      <c r="V165" s="166">
        <v>2212.0000000000077</v>
      </c>
      <c r="W165" s="166">
        <v>553.00000000000193</v>
      </c>
      <c r="X165" s="180">
        <f t="shared" si="55"/>
        <v>20</v>
      </c>
      <c r="Y165" s="473"/>
      <c r="Z165" s="166">
        <v>4</v>
      </c>
      <c r="AA165" s="166">
        <v>2081.9999999999964</v>
      </c>
      <c r="AB165" s="166">
        <v>520.49999999999909</v>
      </c>
      <c r="AC165" s="180">
        <f t="shared" si="57"/>
        <v>20</v>
      </c>
      <c r="AD165" s="473"/>
      <c r="AE165" s="166">
        <v>4</v>
      </c>
      <c r="AF165" s="166">
        <v>2011.9999999999964</v>
      </c>
      <c r="AG165" s="166">
        <v>502.99999999999909</v>
      </c>
      <c r="AH165" s="180">
        <f t="shared" si="59"/>
        <v>20</v>
      </c>
      <c r="AI165" s="473"/>
      <c r="AJ165" s="166">
        <v>4</v>
      </c>
      <c r="AK165" s="166">
        <v>2188.0000000000077</v>
      </c>
      <c r="AL165" s="166">
        <v>547.00000000000193</v>
      </c>
      <c r="AM165" s="180">
        <f t="shared" si="61"/>
        <v>20</v>
      </c>
      <c r="AN165" s="473"/>
      <c r="AO165" s="166"/>
      <c r="AP165" s="166"/>
      <c r="AQ165" s="166"/>
      <c r="AR165" s="180" t="e">
        <f t="shared" si="63"/>
        <v>#N/A</v>
      </c>
      <c r="AS165" s="473"/>
      <c r="AT165" s="166"/>
      <c r="AU165" s="166"/>
      <c r="AV165" s="166"/>
      <c r="AW165" s="180" t="e">
        <f t="shared" si="65"/>
        <v>#N/A</v>
      </c>
      <c r="AX165" s="473"/>
    </row>
    <row r="166" spans="2:50">
      <c r="B166" s="479"/>
      <c r="C166" s="180">
        <v>20</v>
      </c>
      <c r="D166" s="180" t="s">
        <v>627</v>
      </c>
      <c r="E166" s="180">
        <v>3</v>
      </c>
      <c r="F166" s="180">
        <v>2800</v>
      </c>
      <c r="G166" s="166">
        <v>933.33333333333337</v>
      </c>
      <c r="H166" s="473"/>
      <c r="I166" s="166">
        <f t="shared" si="69"/>
        <v>3</v>
      </c>
      <c r="J166" s="166">
        <f t="shared" si="69"/>
        <v>2812.1103047895504</v>
      </c>
      <c r="K166" s="265">
        <f t="shared" si="69"/>
        <v>937.37010159651675</v>
      </c>
      <c r="L166" s="460"/>
      <c r="M166" s="166">
        <f>RANK(K166, K$147:$K$176)</f>
        <v>6</v>
      </c>
      <c r="N166" s="462"/>
      <c r="O166" s="462"/>
      <c r="P166" s="166">
        <v>3</v>
      </c>
      <c r="Q166" s="166">
        <v>2831.3207547169827</v>
      </c>
      <c r="R166" s="166">
        <v>943.77358490566087</v>
      </c>
      <c r="S166" s="180">
        <f t="shared" si="68"/>
        <v>6</v>
      </c>
      <c r="T166" s="473"/>
      <c r="U166" s="166">
        <v>3</v>
      </c>
      <c r="V166" s="166">
        <v>2799.2307692307709</v>
      </c>
      <c r="W166" s="166">
        <v>933.07692307692366</v>
      </c>
      <c r="X166" s="180">
        <f t="shared" si="55"/>
        <v>5</v>
      </c>
      <c r="Y166" s="473"/>
      <c r="Z166" s="166">
        <v>3</v>
      </c>
      <c r="AA166" s="166">
        <v>2760</v>
      </c>
      <c r="AB166" s="166">
        <v>920</v>
      </c>
      <c r="AC166" s="180">
        <f t="shared" si="57"/>
        <v>6</v>
      </c>
      <c r="AD166" s="473"/>
      <c r="AE166" s="166">
        <v>3</v>
      </c>
      <c r="AF166" s="166">
        <v>2848.5714285714275</v>
      </c>
      <c r="AG166" s="166">
        <v>949.52380952380918</v>
      </c>
      <c r="AH166" s="180">
        <f t="shared" si="59"/>
        <v>6</v>
      </c>
      <c r="AI166" s="473"/>
      <c r="AJ166" s="166">
        <v>3</v>
      </c>
      <c r="AK166" s="166">
        <v>2821.4285714285706</v>
      </c>
      <c r="AL166" s="166">
        <v>940.47619047619025</v>
      </c>
      <c r="AM166" s="180">
        <f t="shared" si="61"/>
        <v>7</v>
      </c>
      <c r="AN166" s="473"/>
      <c r="AO166" s="166"/>
      <c r="AP166" s="166"/>
      <c r="AQ166" s="166"/>
      <c r="AR166" s="180" t="e">
        <f t="shared" si="63"/>
        <v>#N/A</v>
      </c>
      <c r="AS166" s="473"/>
      <c r="AT166" s="166"/>
      <c r="AU166" s="166"/>
      <c r="AV166" s="166"/>
      <c r="AW166" s="180" t="e">
        <f t="shared" si="65"/>
        <v>#N/A</v>
      </c>
      <c r="AX166" s="473"/>
    </row>
    <row r="167" spans="2:50">
      <c r="B167" s="479"/>
      <c r="C167" s="180">
        <v>21</v>
      </c>
      <c r="D167" s="381" t="s">
        <v>706</v>
      </c>
      <c r="E167" s="180">
        <v>4</v>
      </c>
      <c r="F167" s="180">
        <v>2800</v>
      </c>
      <c r="G167" s="166">
        <v>700</v>
      </c>
      <c r="H167" s="473"/>
      <c r="I167" s="166">
        <f t="shared" si="69"/>
        <v>4</v>
      </c>
      <c r="J167" s="166">
        <f t="shared" si="69"/>
        <v>2814.8503496503481</v>
      </c>
      <c r="K167" s="265">
        <f t="shared" si="69"/>
        <v>703.71258741258703</v>
      </c>
      <c r="L167" s="460"/>
      <c r="M167" s="166">
        <f>RANK(K167, K$147:$K$176)</f>
        <v>15</v>
      </c>
      <c r="N167" s="462"/>
      <c r="O167" s="462"/>
      <c r="P167" s="180">
        <v>4</v>
      </c>
      <c r="Q167" s="166">
        <v>2813.999999999995</v>
      </c>
      <c r="R167" s="265">
        <v>703.49999999999875</v>
      </c>
      <c r="S167" s="180">
        <f t="shared" si="68"/>
        <v>19</v>
      </c>
      <c r="T167" s="473"/>
      <c r="U167" s="180">
        <v>4</v>
      </c>
      <c r="V167" s="166">
        <v>2751.999999999995</v>
      </c>
      <c r="W167" s="265">
        <v>687.99999999999875</v>
      </c>
      <c r="X167" s="180">
        <f t="shared" si="55"/>
        <v>17</v>
      </c>
      <c r="Y167" s="473"/>
      <c r="Z167" s="180">
        <v>4</v>
      </c>
      <c r="AA167" s="166">
        <v>2734.6153846153861</v>
      </c>
      <c r="AB167" s="265">
        <v>683.65384615384653</v>
      </c>
      <c r="AC167" s="180">
        <f t="shared" si="57"/>
        <v>16</v>
      </c>
      <c r="AD167" s="473"/>
      <c r="AE167" s="180">
        <v>4</v>
      </c>
      <c r="AF167" s="166">
        <v>2920.909090909091</v>
      </c>
      <c r="AG167" s="265">
        <v>730.22727272727275</v>
      </c>
      <c r="AH167" s="180">
        <f t="shared" si="59"/>
        <v>14</v>
      </c>
      <c r="AI167" s="473"/>
      <c r="AJ167" s="180">
        <v>4</v>
      </c>
      <c r="AK167" s="166">
        <v>2852.727272727273</v>
      </c>
      <c r="AL167" s="265">
        <v>713.18181818181824</v>
      </c>
      <c r="AM167" s="180">
        <f t="shared" si="61"/>
        <v>16</v>
      </c>
      <c r="AN167" s="473"/>
      <c r="AO167" s="180"/>
      <c r="AP167" s="166"/>
      <c r="AQ167" s="265"/>
      <c r="AR167" s="180" t="e">
        <f t="shared" si="63"/>
        <v>#N/A</v>
      </c>
      <c r="AS167" s="473"/>
      <c r="AT167" s="180"/>
      <c r="AU167" s="166"/>
      <c r="AV167" s="265"/>
      <c r="AW167" s="180" t="e">
        <f t="shared" si="65"/>
        <v>#N/A</v>
      </c>
      <c r="AX167" s="473"/>
    </row>
    <row r="168" spans="2:50">
      <c r="B168" s="479"/>
      <c r="C168" s="180">
        <v>22</v>
      </c>
      <c r="D168" s="180"/>
      <c r="E168" s="180"/>
      <c r="F168" s="180"/>
      <c r="G168" s="180"/>
      <c r="H168" s="473"/>
      <c r="I168" s="166"/>
      <c r="J168" s="166"/>
      <c r="K168" s="265"/>
      <c r="L168" s="460"/>
      <c r="M168" s="166" t="e">
        <f>RANK(K168, K$147:$K$176)</f>
        <v>#N/A</v>
      </c>
      <c r="N168" s="462"/>
      <c r="O168" s="462"/>
      <c r="P168" s="180"/>
      <c r="Q168" s="166"/>
      <c r="R168" s="265"/>
      <c r="S168" s="180" t="e">
        <f t="shared" si="68"/>
        <v>#N/A</v>
      </c>
      <c r="T168" s="473"/>
      <c r="U168" s="180"/>
      <c r="V168" s="166"/>
      <c r="W168" s="265"/>
      <c r="X168" s="180" t="e">
        <f t="shared" si="55"/>
        <v>#N/A</v>
      </c>
      <c r="Y168" s="473"/>
      <c r="Z168" s="180"/>
      <c r="AA168" s="166"/>
      <c r="AB168" s="265"/>
      <c r="AC168" s="180" t="e">
        <f t="shared" si="57"/>
        <v>#N/A</v>
      </c>
      <c r="AD168" s="473"/>
      <c r="AE168" s="180"/>
      <c r="AF168" s="166"/>
      <c r="AG168" s="265"/>
      <c r="AH168" s="180" t="e">
        <f t="shared" si="59"/>
        <v>#N/A</v>
      </c>
      <c r="AI168" s="473"/>
      <c r="AJ168" s="180"/>
      <c r="AK168" s="166"/>
      <c r="AL168" s="265"/>
      <c r="AM168" s="180" t="e">
        <f t="shared" si="61"/>
        <v>#N/A</v>
      </c>
      <c r="AN168" s="473"/>
      <c r="AO168" s="180"/>
      <c r="AP168" s="166"/>
      <c r="AQ168" s="265"/>
      <c r="AR168" s="180" t="e">
        <f t="shared" si="63"/>
        <v>#N/A</v>
      </c>
      <c r="AS168" s="473"/>
      <c r="AT168" s="180"/>
      <c r="AU168" s="166"/>
      <c r="AV168" s="265"/>
      <c r="AW168" s="180" t="e">
        <f t="shared" si="65"/>
        <v>#N/A</v>
      </c>
      <c r="AX168" s="473"/>
    </row>
    <row r="169" spans="2:50">
      <c r="B169" s="479"/>
      <c r="C169" s="180">
        <v>23</v>
      </c>
      <c r="D169" s="180"/>
      <c r="E169" s="180"/>
      <c r="F169" s="180"/>
      <c r="G169" s="180"/>
      <c r="H169" s="473"/>
      <c r="I169" s="166"/>
      <c r="J169" s="166"/>
      <c r="K169" s="265"/>
      <c r="L169" s="460"/>
      <c r="M169" s="166" t="e">
        <f>RANK(K169, K$147:$K$176)</f>
        <v>#N/A</v>
      </c>
      <c r="N169" s="462"/>
      <c r="O169" s="462"/>
      <c r="P169" s="180"/>
      <c r="Q169" s="166"/>
      <c r="R169" s="265"/>
      <c r="S169" s="180" t="e">
        <f t="shared" si="68"/>
        <v>#N/A</v>
      </c>
      <c r="T169" s="473"/>
      <c r="U169" s="180"/>
      <c r="V169" s="166"/>
      <c r="W169" s="265"/>
      <c r="X169" s="180" t="e">
        <f t="shared" si="55"/>
        <v>#N/A</v>
      </c>
      <c r="Y169" s="473"/>
      <c r="Z169" s="180"/>
      <c r="AA169" s="166"/>
      <c r="AB169" s="265"/>
      <c r="AC169" s="180" t="e">
        <f t="shared" si="57"/>
        <v>#N/A</v>
      </c>
      <c r="AD169" s="473"/>
      <c r="AE169" s="180"/>
      <c r="AF169" s="166"/>
      <c r="AG169" s="265"/>
      <c r="AH169" s="180" t="e">
        <f t="shared" si="59"/>
        <v>#N/A</v>
      </c>
      <c r="AI169" s="473"/>
      <c r="AJ169" s="180"/>
      <c r="AK169" s="166"/>
      <c r="AL169" s="265"/>
      <c r="AM169" s="180" t="e">
        <f t="shared" si="61"/>
        <v>#N/A</v>
      </c>
      <c r="AN169" s="473"/>
      <c r="AO169" s="180"/>
      <c r="AP169" s="166"/>
      <c r="AQ169" s="265"/>
      <c r="AR169" s="180" t="e">
        <f t="shared" si="63"/>
        <v>#N/A</v>
      </c>
      <c r="AS169" s="473"/>
      <c r="AT169" s="180"/>
      <c r="AU169" s="166"/>
      <c r="AV169" s="265"/>
      <c r="AW169" s="180" t="e">
        <f t="shared" si="65"/>
        <v>#N/A</v>
      </c>
      <c r="AX169" s="473"/>
    </row>
    <row r="170" spans="2:50">
      <c r="B170" s="479"/>
      <c r="C170" s="180">
        <v>24</v>
      </c>
      <c r="D170" s="180"/>
      <c r="E170" s="180"/>
      <c r="F170" s="180"/>
      <c r="G170" s="180"/>
      <c r="H170" s="473"/>
      <c r="I170" s="166"/>
      <c r="J170" s="166"/>
      <c r="K170" s="265"/>
      <c r="L170" s="460"/>
      <c r="M170" s="166" t="e">
        <f>RANK(K170, K$147:$K$176)</f>
        <v>#N/A</v>
      </c>
      <c r="N170" s="462"/>
      <c r="O170" s="462"/>
      <c r="P170" s="180"/>
      <c r="Q170" s="166"/>
      <c r="R170" s="265"/>
      <c r="S170" s="180" t="e">
        <f t="shared" si="68"/>
        <v>#N/A</v>
      </c>
      <c r="T170" s="473"/>
      <c r="U170" s="180"/>
      <c r="V170" s="166"/>
      <c r="W170" s="265"/>
      <c r="X170" s="180" t="e">
        <f t="shared" si="55"/>
        <v>#N/A</v>
      </c>
      <c r="Y170" s="473"/>
      <c r="Z170" s="180"/>
      <c r="AA170" s="166"/>
      <c r="AB170" s="265"/>
      <c r="AC170" s="180" t="e">
        <f t="shared" si="57"/>
        <v>#N/A</v>
      </c>
      <c r="AD170" s="473"/>
      <c r="AE170" s="180"/>
      <c r="AF170" s="166"/>
      <c r="AG170" s="265"/>
      <c r="AH170" s="180" t="e">
        <f t="shared" si="59"/>
        <v>#N/A</v>
      </c>
      <c r="AI170" s="473"/>
      <c r="AJ170" s="180"/>
      <c r="AK170" s="166"/>
      <c r="AL170" s="265"/>
      <c r="AM170" s="180" t="e">
        <f t="shared" si="61"/>
        <v>#N/A</v>
      </c>
      <c r="AN170" s="473"/>
      <c r="AO170" s="180"/>
      <c r="AP170" s="166"/>
      <c r="AQ170" s="265"/>
      <c r="AR170" s="180" t="e">
        <f t="shared" si="63"/>
        <v>#N/A</v>
      </c>
      <c r="AS170" s="473"/>
      <c r="AT170" s="180"/>
      <c r="AU170" s="166"/>
      <c r="AV170" s="265"/>
      <c r="AW170" s="180" t="e">
        <f t="shared" si="65"/>
        <v>#N/A</v>
      </c>
      <c r="AX170" s="473"/>
    </row>
    <row r="171" spans="2:50">
      <c r="B171" s="479"/>
      <c r="C171" s="180">
        <v>25</v>
      </c>
      <c r="D171" s="180"/>
      <c r="E171" s="180"/>
      <c r="F171" s="180"/>
      <c r="G171" s="180"/>
      <c r="H171" s="473"/>
      <c r="I171" s="180"/>
      <c r="J171" s="180"/>
      <c r="K171" s="180"/>
      <c r="L171" s="460"/>
      <c r="M171" s="166" t="e">
        <f>RANK(K171, K$147:$K$176)</f>
        <v>#N/A</v>
      </c>
      <c r="N171" s="462"/>
      <c r="O171" s="462"/>
      <c r="P171" s="180"/>
      <c r="Q171" s="166"/>
      <c r="R171" s="265"/>
      <c r="S171" s="180" t="e">
        <f t="shared" si="68"/>
        <v>#N/A</v>
      </c>
      <c r="T171" s="473"/>
      <c r="U171" s="180"/>
      <c r="V171" s="166"/>
      <c r="W171" s="265"/>
      <c r="X171" s="180" t="e">
        <f t="shared" si="55"/>
        <v>#N/A</v>
      </c>
      <c r="Y171" s="473"/>
      <c r="Z171" s="180"/>
      <c r="AA171" s="166"/>
      <c r="AB171" s="265"/>
      <c r="AC171" s="180" t="e">
        <f t="shared" si="57"/>
        <v>#N/A</v>
      </c>
      <c r="AD171" s="473"/>
      <c r="AE171" s="180"/>
      <c r="AF171" s="166"/>
      <c r="AG171" s="265"/>
      <c r="AH171" s="180" t="e">
        <f t="shared" si="59"/>
        <v>#N/A</v>
      </c>
      <c r="AI171" s="473"/>
      <c r="AJ171" s="180"/>
      <c r="AK171" s="166"/>
      <c r="AL171" s="265"/>
      <c r="AM171" s="180" t="e">
        <f t="shared" si="61"/>
        <v>#N/A</v>
      </c>
      <c r="AN171" s="473"/>
      <c r="AO171" s="180"/>
      <c r="AP171" s="166"/>
      <c r="AQ171" s="265"/>
      <c r="AR171" s="180" t="e">
        <f t="shared" si="63"/>
        <v>#N/A</v>
      </c>
      <c r="AS171" s="473"/>
      <c r="AT171" s="180"/>
      <c r="AU171" s="166"/>
      <c r="AV171" s="265"/>
      <c r="AW171" s="180" t="e">
        <f t="shared" si="65"/>
        <v>#N/A</v>
      </c>
      <c r="AX171" s="473"/>
    </row>
    <row r="172" spans="2:50">
      <c r="B172" s="479"/>
      <c r="C172" s="180">
        <v>26</v>
      </c>
      <c r="D172" s="180"/>
      <c r="E172" s="180"/>
      <c r="F172" s="180"/>
      <c r="G172" s="180"/>
      <c r="H172" s="473"/>
      <c r="I172" s="180"/>
      <c r="J172" s="180"/>
      <c r="K172" s="180"/>
      <c r="L172" s="460"/>
      <c r="M172" s="166" t="e">
        <f>RANK(K172, K$147:$K$176)</f>
        <v>#N/A</v>
      </c>
      <c r="N172" s="462"/>
      <c r="O172" s="462"/>
      <c r="P172" s="180"/>
      <c r="Q172" s="166"/>
      <c r="R172" s="265"/>
      <c r="S172" s="180" t="e">
        <f t="shared" si="68"/>
        <v>#N/A</v>
      </c>
      <c r="T172" s="473"/>
      <c r="U172" s="180"/>
      <c r="V172" s="166"/>
      <c r="W172" s="265"/>
      <c r="X172" s="180" t="e">
        <f t="shared" si="55"/>
        <v>#N/A</v>
      </c>
      <c r="Y172" s="473"/>
      <c r="Z172" s="180"/>
      <c r="AA172" s="166"/>
      <c r="AB172" s="265"/>
      <c r="AC172" s="180" t="e">
        <f t="shared" si="57"/>
        <v>#N/A</v>
      </c>
      <c r="AD172" s="473"/>
      <c r="AE172" s="180"/>
      <c r="AF172" s="166"/>
      <c r="AG172" s="265"/>
      <c r="AH172" s="180" t="e">
        <f t="shared" si="59"/>
        <v>#N/A</v>
      </c>
      <c r="AI172" s="473"/>
      <c r="AJ172" s="180"/>
      <c r="AK172" s="166"/>
      <c r="AL172" s="265"/>
      <c r="AM172" s="180" t="e">
        <f t="shared" si="61"/>
        <v>#N/A</v>
      </c>
      <c r="AN172" s="473"/>
      <c r="AO172" s="180"/>
      <c r="AP172" s="166"/>
      <c r="AQ172" s="265"/>
      <c r="AR172" s="180" t="e">
        <f t="shared" si="63"/>
        <v>#N/A</v>
      </c>
      <c r="AS172" s="473"/>
      <c r="AT172" s="180"/>
      <c r="AU172" s="166"/>
      <c r="AV172" s="265"/>
      <c r="AW172" s="180" t="e">
        <f t="shared" si="65"/>
        <v>#N/A</v>
      </c>
      <c r="AX172" s="473"/>
    </row>
    <row r="173" spans="2:50">
      <c r="B173" s="479"/>
      <c r="C173" s="180">
        <v>27</v>
      </c>
      <c r="D173" s="180"/>
      <c r="E173" s="180"/>
      <c r="F173" s="180"/>
      <c r="G173" s="180"/>
      <c r="H173" s="473"/>
      <c r="I173" s="180"/>
      <c r="J173" s="180"/>
      <c r="K173" s="180"/>
      <c r="L173" s="460"/>
      <c r="M173" s="166" t="e">
        <f>RANK(K173, K$147:$K$176)</f>
        <v>#N/A</v>
      </c>
      <c r="N173" s="462"/>
      <c r="O173" s="462"/>
      <c r="P173" s="180"/>
      <c r="Q173" s="166"/>
      <c r="R173" s="265"/>
      <c r="S173" s="180" t="e">
        <f t="shared" si="68"/>
        <v>#N/A</v>
      </c>
      <c r="T173" s="473"/>
      <c r="U173" s="180"/>
      <c r="V173" s="166"/>
      <c r="W173" s="265"/>
      <c r="X173" s="180" t="e">
        <f t="shared" si="55"/>
        <v>#N/A</v>
      </c>
      <c r="Y173" s="473"/>
      <c r="Z173" s="180"/>
      <c r="AA173" s="166"/>
      <c r="AB173" s="265"/>
      <c r="AC173" s="180" t="e">
        <f t="shared" si="57"/>
        <v>#N/A</v>
      </c>
      <c r="AD173" s="473"/>
      <c r="AE173" s="180"/>
      <c r="AF173" s="166"/>
      <c r="AG173" s="265"/>
      <c r="AH173" s="180" t="e">
        <f t="shared" si="59"/>
        <v>#N/A</v>
      </c>
      <c r="AI173" s="473"/>
      <c r="AJ173" s="180"/>
      <c r="AK173" s="166"/>
      <c r="AL173" s="265"/>
      <c r="AM173" s="180" t="e">
        <f t="shared" si="61"/>
        <v>#N/A</v>
      </c>
      <c r="AN173" s="473"/>
      <c r="AO173" s="180"/>
      <c r="AP173" s="166"/>
      <c r="AQ173" s="265"/>
      <c r="AR173" s="180" t="e">
        <f t="shared" si="63"/>
        <v>#N/A</v>
      </c>
      <c r="AS173" s="473"/>
      <c r="AT173" s="180"/>
      <c r="AU173" s="166"/>
      <c r="AV173" s="265"/>
      <c r="AW173" s="180" t="e">
        <f t="shared" si="65"/>
        <v>#N/A</v>
      </c>
      <c r="AX173" s="473"/>
    </row>
    <row r="174" spans="2:50">
      <c r="B174" s="479"/>
      <c r="C174" s="180">
        <v>28</v>
      </c>
      <c r="D174" s="180"/>
      <c r="E174" s="180"/>
      <c r="F174" s="180"/>
      <c r="G174" s="180"/>
      <c r="H174" s="473"/>
      <c r="I174" s="180"/>
      <c r="J174" s="180"/>
      <c r="K174" s="180"/>
      <c r="L174" s="460"/>
      <c r="M174" s="166" t="e">
        <f>RANK(K174, K$147:$K$176)</f>
        <v>#N/A</v>
      </c>
      <c r="N174" s="462"/>
      <c r="O174" s="462"/>
      <c r="P174" s="180"/>
      <c r="Q174" s="166"/>
      <c r="R174" s="265"/>
      <c r="S174" s="180" t="e">
        <f t="shared" si="68"/>
        <v>#N/A</v>
      </c>
      <c r="T174" s="473"/>
      <c r="U174" s="180"/>
      <c r="V174" s="166"/>
      <c r="W174" s="265"/>
      <c r="X174" s="180" t="e">
        <f t="shared" si="55"/>
        <v>#N/A</v>
      </c>
      <c r="Y174" s="473"/>
      <c r="Z174" s="180"/>
      <c r="AA174" s="166"/>
      <c r="AB174" s="265"/>
      <c r="AC174" s="180" t="e">
        <f t="shared" si="57"/>
        <v>#N/A</v>
      </c>
      <c r="AD174" s="473"/>
      <c r="AE174" s="180"/>
      <c r="AF174" s="166"/>
      <c r="AG174" s="265"/>
      <c r="AH174" s="180" t="e">
        <f t="shared" si="59"/>
        <v>#N/A</v>
      </c>
      <c r="AI174" s="473"/>
      <c r="AJ174" s="180"/>
      <c r="AK174" s="166"/>
      <c r="AL174" s="265"/>
      <c r="AM174" s="180" t="e">
        <f t="shared" si="61"/>
        <v>#N/A</v>
      </c>
      <c r="AN174" s="473"/>
      <c r="AO174" s="180"/>
      <c r="AP174" s="166"/>
      <c r="AQ174" s="265"/>
      <c r="AR174" s="180" t="e">
        <f t="shared" si="63"/>
        <v>#N/A</v>
      </c>
      <c r="AS174" s="473"/>
      <c r="AT174" s="180"/>
      <c r="AU174" s="166"/>
      <c r="AV174" s="265"/>
      <c r="AW174" s="180" t="e">
        <f t="shared" si="65"/>
        <v>#N/A</v>
      </c>
      <c r="AX174" s="473"/>
    </row>
    <row r="175" spans="2:50">
      <c r="B175" s="479"/>
      <c r="C175" s="180">
        <v>29</v>
      </c>
      <c r="D175" s="180"/>
      <c r="E175" s="180"/>
      <c r="F175" s="180"/>
      <c r="G175" s="180"/>
      <c r="H175" s="473"/>
      <c r="I175" s="180"/>
      <c r="J175" s="180"/>
      <c r="K175" s="180"/>
      <c r="L175" s="460"/>
      <c r="M175" s="166" t="e">
        <f>RANK(K175, K$147:$K$176)</f>
        <v>#N/A</v>
      </c>
      <c r="N175" s="462"/>
      <c r="O175" s="462"/>
      <c r="P175" s="180"/>
      <c r="Q175" s="166"/>
      <c r="R175" s="265"/>
      <c r="S175" s="180" t="e">
        <f t="shared" si="68"/>
        <v>#N/A</v>
      </c>
      <c r="T175" s="473"/>
      <c r="U175" s="180"/>
      <c r="V175" s="166"/>
      <c r="W175" s="265"/>
      <c r="X175" s="180" t="e">
        <f t="shared" si="55"/>
        <v>#N/A</v>
      </c>
      <c r="Y175" s="473"/>
      <c r="Z175" s="180"/>
      <c r="AA175" s="166"/>
      <c r="AB175" s="265"/>
      <c r="AC175" s="180" t="e">
        <f t="shared" si="57"/>
        <v>#N/A</v>
      </c>
      <c r="AD175" s="473"/>
      <c r="AE175" s="180"/>
      <c r="AF175" s="166"/>
      <c r="AG175" s="265"/>
      <c r="AH175" s="180" t="e">
        <f t="shared" si="59"/>
        <v>#N/A</v>
      </c>
      <c r="AI175" s="473"/>
      <c r="AJ175" s="180"/>
      <c r="AK175" s="166"/>
      <c r="AL175" s="265"/>
      <c r="AM175" s="180" t="e">
        <f t="shared" si="61"/>
        <v>#N/A</v>
      </c>
      <c r="AN175" s="473"/>
      <c r="AO175" s="180"/>
      <c r="AP175" s="166"/>
      <c r="AQ175" s="265"/>
      <c r="AR175" s="180" t="e">
        <f t="shared" si="63"/>
        <v>#N/A</v>
      </c>
      <c r="AS175" s="473"/>
      <c r="AT175" s="180"/>
      <c r="AU175" s="166"/>
      <c r="AV175" s="265"/>
      <c r="AW175" s="180" t="e">
        <f t="shared" si="65"/>
        <v>#N/A</v>
      </c>
      <c r="AX175" s="473"/>
    </row>
    <row r="176" spans="2:50">
      <c r="B176" s="479"/>
      <c r="C176" s="180">
        <v>30</v>
      </c>
      <c r="D176" s="180"/>
      <c r="E176" s="180"/>
      <c r="F176" s="180"/>
      <c r="G176" s="180"/>
      <c r="H176" s="474"/>
      <c r="I176" s="180"/>
      <c r="J176" s="180"/>
      <c r="K176" s="180"/>
      <c r="L176" s="461"/>
      <c r="M176" s="166" t="e">
        <f>RANK(K176, K$147:$K$176)</f>
        <v>#N/A</v>
      </c>
      <c r="N176" s="462"/>
      <c r="O176" s="462"/>
      <c r="P176" s="180"/>
      <c r="Q176" s="166"/>
      <c r="R176" s="265"/>
      <c r="S176" s="180" t="e">
        <f t="shared" si="68"/>
        <v>#N/A</v>
      </c>
      <c r="T176" s="474"/>
      <c r="U176" s="180"/>
      <c r="V176" s="166"/>
      <c r="W176" s="265"/>
      <c r="X176" s="180" t="e">
        <f t="shared" si="55"/>
        <v>#N/A</v>
      </c>
      <c r="Y176" s="474"/>
      <c r="Z176" s="180"/>
      <c r="AA176" s="166"/>
      <c r="AB176" s="265"/>
      <c r="AC176" s="180" t="e">
        <f t="shared" si="57"/>
        <v>#N/A</v>
      </c>
      <c r="AD176" s="474"/>
      <c r="AE176" s="180"/>
      <c r="AF176" s="166"/>
      <c r="AG176" s="265"/>
      <c r="AH176" s="180" t="e">
        <f t="shared" si="59"/>
        <v>#N/A</v>
      </c>
      <c r="AI176" s="474"/>
      <c r="AJ176" s="180"/>
      <c r="AK176" s="166"/>
      <c r="AL176" s="265"/>
      <c r="AM176" s="180" t="e">
        <f t="shared" si="61"/>
        <v>#N/A</v>
      </c>
      <c r="AN176" s="474"/>
      <c r="AO176" s="180"/>
      <c r="AP176" s="166"/>
      <c r="AQ176" s="265"/>
      <c r="AR176" s="180" t="e">
        <f t="shared" si="63"/>
        <v>#N/A</v>
      </c>
      <c r="AS176" s="474"/>
      <c r="AT176" s="180"/>
      <c r="AU176" s="166"/>
      <c r="AV176" s="265"/>
      <c r="AW176" s="180" t="e">
        <f t="shared" si="65"/>
        <v>#N/A</v>
      </c>
      <c r="AX176" s="474"/>
    </row>
    <row r="177" spans="2:50" ht="15.75">
      <c r="B177" s="480" t="s">
        <v>721</v>
      </c>
      <c r="C177" s="481"/>
      <c r="D177" s="481"/>
      <c r="E177" s="481"/>
      <c r="F177" s="481"/>
      <c r="G177" s="481"/>
      <c r="H177" s="481"/>
      <c r="I177" s="184"/>
      <c r="J177" s="184"/>
      <c r="K177" s="184"/>
      <c r="L177" s="184"/>
      <c r="M177" s="183"/>
      <c r="N177" s="469" t="s">
        <v>722</v>
      </c>
      <c r="O177" s="469" t="s">
        <v>723</v>
      </c>
      <c r="P177" s="478">
        <f>P142+7</f>
        <v>46084</v>
      </c>
      <c r="Q177" s="479"/>
      <c r="R177" s="479"/>
      <c r="S177" s="479"/>
      <c r="T177" s="479"/>
      <c r="U177" s="475">
        <f>P177+1</f>
        <v>46085</v>
      </c>
      <c r="V177" s="476"/>
      <c r="W177" s="476"/>
      <c r="X177" s="476"/>
      <c r="Y177" s="477"/>
      <c r="Z177" s="475">
        <f>U177+1</f>
        <v>46086</v>
      </c>
      <c r="AA177" s="476"/>
      <c r="AB177" s="476"/>
      <c r="AC177" s="476"/>
      <c r="AD177" s="477"/>
      <c r="AE177" s="475">
        <f>Z177+1</f>
        <v>46087</v>
      </c>
      <c r="AF177" s="476"/>
      <c r="AG177" s="476"/>
      <c r="AH177" s="476"/>
      <c r="AI177" s="477"/>
      <c r="AJ177" s="475">
        <f>AE177+1</f>
        <v>46088</v>
      </c>
      <c r="AK177" s="476"/>
      <c r="AL177" s="476"/>
      <c r="AM177" s="476"/>
      <c r="AN177" s="477"/>
      <c r="AO177" s="475">
        <f>AJ177+1</f>
        <v>46089</v>
      </c>
      <c r="AP177" s="476"/>
      <c r="AQ177" s="476"/>
      <c r="AR177" s="476"/>
      <c r="AS177" s="477"/>
      <c r="AT177" s="475">
        <f>AO177+1</f>
        <v>46090</v>
      </c>
      <c r="AU177" s="476"/>
      <c r="AV177" s="476"/>
      <c r="AW177" s="476"/>
      <c r="AX177" s="477"/>
    </row>
    <row r="178" spans="2:50" ht="15.75">
      <c r="B178" s="482"/>
      <c r="C178" s="482"/>
      <c r="D178" s="482"/>
      <c r="E178" s="482"/>
      <c r="F178" s="482"/>
      <c r="G178" s="482"/>
      <c r="H178" s="482"/>
      <c r="I178" s="182"/>
      <c r="J178" s="182"/>
      <c r="K178" s="182"/>
      <c r="L178" s="182"/>
      <c r="M178" s="179"/>
      <c r="N178" s="471"/>
      <c r="O178" s="471"/>
      <c r="P178" s="478" t="s">
        <v>724</v>
      </c>
      <c r="Q178" s="479"/>
      <c r="R178" s="479"/>
      <c r="S178" s="479"/>
      <c r="T178" s="479"/>
      <c r="U178" s="478" t="s">
        <v>725</v>
      </c>
      <c r="V178" s="479"/>
      <c r="W178" s="479"/>
      <c r="X178" s="479"/>
      <c r="Y178" s="479"/>
      <c r="Z178" s="478" t="s">
        <v>726</v>
      </c>
      <c r="AA178" s="479"/>
      <c r="AB178" s="479"/>
      <c r="AC178" s="479"/>
      <c r="AD178" s="479"/>
      <c r="AE178" s="478" t="s">
        <v>727</v>
      </c>
      <c r="AF178" s="479"/>
      <c r="AG178" s="479"/>
      <c r="AH178" s="479"/>
      <c r="AI178" s="479"/>
      <c r="AJ178" s="478" t="s">
        <v>728</v>
      </c>
      <c r="AK178" s="479"/>
      <c r="AL178" s="479"/>
      <c r="AM178" s="479"/>
      <c r="AN178" s="479"/>
      <c r="AO178" s="478" t="s">
        <v>729</v>
      </c>
      <c r="AP178" s="479"/>
      <c r="AQ178" s="479"/>
      <c r="AR178" s="479"/>
      <c r="AS178" s="479"/>
      <c r="AT178" s="478" t="s">
        <v>730</v>
      </c>
      <c r="AU178" s="479"/>
      <c r="AV178" s="479"/>
      <c r="AW178" s="479"/>
      <c r="AX178" s="479"/>
    </row>
    <row r="179" spans="2:50">
      <c r="B179" s="462" t="s">
        <v>731</v>
      </c>
      <c r="C179" s="462" t="s">
        <v>732</v>
      </c>
      <c r="D179" s="462"/>
      <c r="E179" s="462" t="s">
        <v>733</v>
      </c>
      <c r="F179" s="462"/>
      <c r="G179" s="462"/>
      <c r="H179" s="463" t="s">
        <v>734</v>
      </c>
      <c r="I179" s="462" t="s">
        <v>735</v>
      </c>
      <c r="J179" s="462"/>
      <c r="K179" s="462"/>
      <c r="L179" s="463" t="s">
        <v>734</v>
      </c>
      <c r="M179" s="469" t="s">
        <v>736</v>
      </c>
      <c r="N179" s="462"/>
      <c r="O179" s="462" t="s">
        <v>737</v>
      </c>
      <c r="P179" s="466" t="s">
        <v>738</v>
      </c>
      <c r="Q179" s="467"/>
      <c r="R179" s="467"/>
      <c r="S179" s="468"/>
      <c r="T179" s="462" t="s">
        <v>734</v>
      </c>
      <c r="U179" s="466" t="s">
        <v>738</v>
      </c>
      <c r="V179" s="467"/>
      <c r="W179" s="467"/>
      <c r="X179" s="468"/>
      <c r="Y179" s="462" t="s">
        <v>734</v>
      </c>
      <c r="Z179" s="466" t="s">
        <v>738</v>
      </c>
      <c r="AA179" s="467"/>
      <c r="AB179" s="467"/>
      <c r="AC179" s="468"/>
      <c r="AD179" s="462" t="s">
        <v>734</v>
      </c>
      <c r="AE179" s="466" t="s">
        <v>738</v>
      </c>
      <c r="AF179" s="467"/>
      <c r="AG179" s="467"/>
      <c r="AH179" s="468"/>
      <c r="AI179" s="462" t="s">
        <v>734</v>
      </c>
      <c r="AJ179" s="466" t="s">
        <v>738</v>
      </c>
      <c r="AK179" s="467"/>
      <c r="AL179" s="467"/>
      <c r="AM179" s="468"/>
      <c r="AN179" s="462" t="s">
        <v>734</v>
      </c>
      <c r="AO179" s="466" t="s">
        <v>738</v>
      </c>
      <c r="AP179" s="467"/>
      <c r="AQ179" s="467"/>
      <c r="AR179" s="468"/>
      <c r="AS179" s="462" t="s">
        <v>734</v>
      </c>
      <c r="AT179" s="497" t="s">
        <v>738</v>
      </c>
      <c r="AU179" s="498"/>
      <c r="AV179" s="498"/>
      <c r="AW179" s="499"/>
      <c r="AX179" s="500" t="s">
        <v>734</v>
      </c>
    </row>
    <row r="180" spans="2:50">
      <c r="B180" s="462"/>
      <c r="C180" s="462"/>
      <c r="D180" s="462"/>
      <c r="E180" s="462" t="s">
        <v>739</v>
      </c>
      <c r="F180" s="462"/>
      <c r="G180" s="462"/>
      <c r="H180" s="464"/>
      <c r="I180" s="462" t="s">
        <v>739</v>
      </c>
      <c r="J180" s="462"/>
      <c r="K180" s="462"/>
      <c r="L180" s="464"/>
      <c r="M180" s="470"/>
      <c r="N180" s="462"/>
      <c r="O180" s="462"/>
      <c r="P180" s="466" t="s">
        <v>740</v>
      </c>
      <c r="Q180" s="467"/>
      <c r="R180" s="467"/>
      <c r="S180" s="468"/>
      <c r="T180" s="462"/>
      <c r="U180" s="466" t="s">
        <v>740</v>
      </c>
      <c r="V180" s="467"/>
      <c r="W180" s="467"/>
      <c r="X180" s="468"/>
      <c r="Y180" s="462"/>
      <c r="Z180" s="466" t="s">
        <v>740</v>
      </c>
      <c r="AA180" s="467"/>
      <c r="AB180" s="467"/>
      <c r="AC180" s="468"/>
      <c r="AD180" s="462"/>
      <c r="AE180" s="466" t="s">
        <v>740</v>
      </c>
      <c r="AF180" s="467"/>
      <c r="AG180" s="467"/>
      <c r="AH180" s="468"/>
      <c r="AI180" s="462"/>
      <c r="AJ180" s="466" t="s">
        <v>740</v>
      </c>
      <c r="AK180" s="467"/>
      <c r="AL180" s="467"/>
      <c r="AM180" s="468"/>
      <c r="AN180" s="462"/>
      <c r="AO180" s="466" t="s">
        <v>740</v>
      </c>
      <c r="AP180" s="467"/>
      <c r="AQ180" s="467"/>
      <c r="AR180" s="468"/>
      <c r="AS180" s="462"/>
      <c r="AT180" s="497" t="s">
        <v>740</v>
      </c>
      <c r="AU180" s="498"/>
      <c r="AV180" s="498"/>
      <c r="AW180" s="499"/>
      <c r="AX180" s="500"/>
    </row>
    <row r="181" spans="2:50">
      <c r="B181" s="462"/>
      <c r="C181" s="462"/>
      <c r="D181" s="462"/>
      <c r="E181" s="264" t="s">
        <v>741</v>
      </c>
      <c r="F181" s="264" t="s">
        <v>742</v>
      </c>
      <c r="G181" s="264" t="s">
        <v>743</v>
      </c>
      <c r="H181" s="465"/>
      <c r="I181" s="264" t="s">
        <v>741</v>
      </c>
      <c r="J181" s="264" t="s">
        <v>742</v>
      </c>
      <c r="K181" s="264" t="s">
        <v>743</v>
      </c>
      <c r="L181" s="465"/>
      <c r="M181" s="471"/>
      <c r="N181" s="462"/>
      <c r="O181" s="462"/>
      <c r="P181" s="264" t="s">
        <v>741</v>
      </c>
      <c r="Q181" s="264" t="s">
        <v>742</v>
      </c>
      <c r="R181" s="264" t="s">
        <v>743</v>
      </c>
      <c r="S181" s="264" t="s">
        <v>736</v>
      </c>
      <c r="T181" s="462"/>
      <c r="U181" s="264" t="s">
        <v>741</v>
      </c>
      <c r="V181" s="264" t="s">
        <v>742</v>
      </c>
      <c r="W181" s="264" t="s">
        <v>743</v>
      </c>
      <c r="X181" s="264" t="s">
        <v>736</v>
      </c>
      <c r="Y181" s="462"/>
      <c r="Z181" s="264" t="s">
        <v>741</v>
      </c>
      <c r="AA181" s="264" t="s">
        <v>742</v>
      </c>
      <c r="AB181" s="264" t="s">
        <v>743</v>
      </c>
      <c r="AC181" s="264" t="s">
        <v>736</v>
      </c>
      <c r="AD181" s="462"/>
      <c r="AE181" s="264" t="s">
        <v>741</v>
      </c>
      <c r="AF181" s="264" t="s">
        <v>742</v>
      </c>
      <c r="AG181" s="264" t="s">
        <v>743</v>
      </c>
      <c r="AH181" s="264" t="s">
        <v>736</v>
      </c>
      <c r="AI181" s="462"/>
      <c r="AJ181" s="264" t="s">
        <v>741</v>
      </c>
      <c r="AK181" s="264" t="s">
        <v>742</v>
      </c>
      <c r="AL181" s="264" t="s">
        <v>743</v>
      </c>
      <c r="AM181" s="264" t="s">
        <v>736</v>
      </c>
      <c r="AN181" s="462"/>
      <c r="AO181" s="264" t="s">
        <v>741</v>
      </c>
      <c r="AP181" s="264" t="s">
        <v>742</v>
      </c>
      <c r="AQ181" s="264" t="s">
        <v>743</v>
      </c>
      <c r="AR181" s="264" t="s">
        <v>736</v>
      </c>
      <c r="AS181" s="462"/>
      <c r="AT181" s="381" t="s">
        <v>741</v>
      </c>
      <c r="AU181" s="381" t="s">
        <v>742</v>
      </c>
      <c r="AV181" s="381" t="s">
        <v>743</v>
      </c>
      <c r="AW181" s="381" t="s">
        <v>736</v>
      </c>
      <c r="AX181" s="500"/>
    </row>
    <row r="182" spans="2:50">
      <c r="B182" s="496" t="s">
        <v>745</v>
      </c>
      <c r="C182" s="180">
        <v>1</v>
      </c>
      <c r="D182" s="180"/>
      <c r="E182" s="166"/>
      <c r="F182" s="166"/>
      <c r="G182" s="166"/>
      <c r="H182" s="459" t="e">
        <f>AVERAGE(G182:G211)</f>
        <v>#DIV/0!</v>
      </c>
      <c r="I182" s="166" t="e">
        <f>AVERAGE(P182,U182,Z182,AE182,AJ182,AO182,AT182)</f>
        <v>#DIV/0!</v>
      </c>
      <c r="J182" s="166" t="e">
        <f>AVERAGE(Q182,V182,AA182,AF182,AK182,AP182,AU182)</f>
        <v>#DIV/0!</v>
      </c>
      <c r="K182" s="265" t="e">
        <f>AVERAGE(R182,W182,AB182,AG182,AL182,AQ182,AV182)</f>
        <v>#DIV/0!</v>
      </c>
      <c r="L182" s="459" t="str">
        <f>IFERROR(AVERAGE(K182:K211),"-")</f>
        <v>-</v>
      </c>
      <c r="M182" s="166" t="e">
        <f>RANK(K182, K$182:$K$211)</f>
        <v>#DIV/0!</v>
      </c>
      <c r="N182" s="462"/>
      <c r="O182" s="462"/>
      <c r="P182" s="166"/>
      <c r="Q182" s="166"/>
      <c r="R182" s="166"/>
      <c r="S182" s="180" t="e">
        <f>RANK(R182, R$112:R$141)</f>
        <v>#N/A</v>
      </c>
      <c r="T182" s="486" t="e">
        <f>AVERAGE(R182:R211)</f>
        <v>#DIV/0!</v>
      </c>
      <c r="U182" s="166"/>
      <c r="V182" s="166"/>
      <c r="W182" s="166"/>
      <c r="X182" s="180" t="e">
        <f>RANK(W182, W$112:W$141)</f>
        <v>#N/A</v>
      </c>
      <c r="Y182" s="486" t="e">
        <f>AVERAGE(W182:W211)</f>
        <v>#DIV/0!</v>
      </c>
      <c r="Z182" s="166"/>
      <c r="AA182" s="166"/>
      <c r="AB182" s="166"/>
      <c r="AC182" s="180" t="e">
        <f>RANK(AB182, AB$112:AB$141)</f>
        <v>#N/A</v>
      </c>
      <c r="AD182" s="486" t="e">
        <f>AVERAGE(AB182:AB211)</f>
        <v>#DIV/0!</v>
      </c>
      <c r="AE182" s="166"/>
      <c r="AF182" s="166"/>
      <c r="AG182" s="166"/>
      <c r="AH182" s="180" t="e">
        <f>RANK(AG182, AG$112:AG$141)</f>
        <v>#N/A</v>
      </c>
      <c r="AI182" s="486" t="e">
        <f>AVERAGE(AG182:AG211)</f>
        <v>#DIV/0!</v>
      </c>
      <c r="AJ182" s="166"/>
      <c r="AK182" s="166"/>
      <c r="AL182" s="166"/>
      <c r="AM182" s="180" t="e">
        <f>RANK(AL182, AL$112:AL$141)</f>
        <v>#N/A</v>
      </c>
      <c r="AN182" s="486" t="e">
        <f>AVERAGE(AL182:AL211)</f>
        <v>#DIV/0!</v>
      </c>
      <c r="AO182" s="166"/>
      <c r="AP182" s="166"/>
      <c r="AQ182" s="166"/>
      <c r="AR182" s="180" t="e">
        <f>RANK(AQ182, AQ$112:AQ$141)</f>
        <v>#N/A</v>
      </c>
      <c r="AS182" s="486" t="e">
        <f>AVERAGE(AQ182:AQ211)</f>
        <v>#DIV/0!</v>
      </c>
      <c r="AT182" s="166"/>
      <c r="AU182" s="166"/>
      <c r="AV182" s="166"/>
      <c r="AW182" s="383" t="e">
        <f>RANK(AV182, AV$112:AV$141)</f>
        <v>#N/A</v>
      </c>
      <c r="AX182" s="501" t="e">
        <f>AVERAGE(AV182:AV211)</f>
        <v>#DIV/0!</v>
      </c>
    </row>
    <row r="183" spans="2:50">
      <c r="B183" s="479"/>
      <c r="C183" s="180">
        <v>2</v>
      </c>
      <c r="D183" s="180"/>
      <c r="E183" s="166"/>
      <c r="F183" s="166"/>
      <c r="G183" s="166"/>
      <c r="H183" s="460"/>
      <c r="I183" s="166" t="e">
        <f t="shared" ref="I183:K198" si="70">AVERAGE(P183,U183,Z183,AE183,AJ183,AO183,AT183)</f>
        <v>#DIV/0!</v>
      </c>
      <c r="J183" s="166" t="e">
        <f t="shared" si="70"/>
        <v>#DIV/0!</v>
      </c>
      <c r="K183" s="265" t="e">
        <f t="shared" si="70"/>
        <v>#DIV/0!</v>
      </c>
      <c r="L183" s="460"/>
      <c r="M183" s="166" t="e">
        <f>RANK(K183, K$182:$K$211)</f>
        <v>#DIV/0!</v>
      </c>
      <c r="N183" s="462"/>
      <c r="O183" s="462"/>
      <c r="P183" s="166"/>
      <c r="Q183" s="166"/>
      <c r="R183" s="166"/>
      <c r="S183" s="180" t="e">
        <f t="shared" ref="S183:S211" si="71">RANK(R183, R$112:R$141)</f>
        <v>#N/A</v>
      </c>
      <c r="T183" s="486"/>
      <c r="U183" s="166"/>
      <c r="V183" s="166"/>
      <c r="W183" s="166"/>
      <c r="X183" s="180" t="e">
        <f t="shared" ref="X183:X211" si="72">RANK(W183, W$112:W$141)</f>
        <v>#N/A</v>
      </c>
      <c r="Y183" s="486"/>
      <c r="Z183" s="166"/>
      <c r="AA183" s="166"/>
      <c r="AB183" s="166"/>
      <c r="AC183" s="180" t="e">
        <f t="shared" ref="AC183:AC211" si="73">RANK(AB183, AB$112:AB$141)</f>
        <v>#N/A</v>
      </c>
      <c r="AD183" s="486"/>
      <c r="AE183" s="166"/>
      <c r="AF183" s="166"/>
      <c r="AG183" s="166"/>
      <c r="AH183" s="180" t="e">
        <f t="shared" ref="AH183:AH211" si="74">RANK(AG183, AG$112:AG$141)</f>
        <v>#N/A</v>
      </c>
      <c r="AI183" s="486"/>
      <c r="AJ183" s="166"/>
      <c r="AK183" s="166"/>
      <c r="AL183" s="166"/>
      <c r="AM183" s="180" t="e">
        <f t="shared" ref="AM183:AM211" si="75">RANK(AL183, AL$112:AL$141)</f>
        <v>#N/A</v>
      </c>
      <c r="AN183" s="486"/>
      <c r="AO183" s="166"/>
      <c r="AP183" s="166"/>
      <c r="AQ183" s="166"/>
      <c r="AR183" s="180" t="e">
        <f t="shared" ref="AR183:AR211" si="76">RANK(AQ183, AQ$112:AQ$141)</f>
        <v>#N/A</v>
      </c>
      <c r="AS183" s="486"/>
      <c r="AT183" s="166"/>
      <c r="AU183" s="166"/>
      <c r="AV183" s="166"/>
      <c r="AW183" s="383" t="e">
        <f t="shared" ref="AW183:AW211" si="77">RANK(AV183, AV$112:AV$141)</f>
        <v>#N/A</v>
      </c>
      <c r="AX183" s="501"/>
    </row>
    <row r="184" spans="2:50">
      <c r="B184" s="479"/>
      <c r="C184" s="180">
        <v>3</v>
      </c>
      <c r="D184" s="180"/>
      <c r="E184" s="166"/>
      <c r="F184" s="166"/>
      <c r="G184" s="166"/>
      <c r="H184" s="460"/>
      <c r="I184" s="166" t="e">
        <f t="shared" si="70"/>
        <v>#DIV/0!</v>
      </c>
      <c r="J184" s="166" t="e">
        <f t="shared" si="70"/>
        <v>#DIV/0!</v>
      </c>
      <c r="K184" s="265" t="e">
        <f t="shared" si="70"/>
        <v>#DIV/0!</v>
      </c>
      <c r="L184" s="460"/>
      <c r="M184" s="166" t="e">
        <f>RANK(K184, K$182:$K$211)</f>
        <v>#DIV/0!</v>
      </c>
      <c r="N184" s="462"/>
      <c r="O184" s="462"/>
      <c r="P184" s="166"/>
      <c r="Q184" s="166"/>
      <c r="R184" s="166"/>
      <c r="S184" s="180" t="e">
        <f t="shared" si="71"/>
        <v>#N/A</v>
      </c>
      <c r="T184" s="486"/>
      <c r="U184" s="166"/>
      <c r="V184" s="166"/>
      <c r="W184" s="166"/>
      <c r="X184" s="180" t="e">
        <f t="shared" si="72"/>
        <v>#N/A</v>
      </c>
      <c r="Y184" s="486"/>
      <c r="Z184" s="166"/>
      <c r="AA184" s="166"/>
      <c r="AB184" s="166"/>
      <c r="AC184" s="180" t="e">
        <f t="shared" si="73"/>
        <v>#N/A</v>
      </c>
      <c r="AD184" s="486"/>
      <c r="AE184" s="166"/>
      <c r="AF184" s="166"/>
      <c r="AG184" s="166"/>
      <c r="AH184" s="180" t="e">
        <f t="shared" si="74"/>
        <v>#N/A</v>
      </c>
      <c r="AI184" s="486"/>
      <c r="AJ184" s="166"/>
      <c r="AK184" s="166"/>
      <c r="AL184" s="166"/>
      <c r="AM184" s="180" t="e">
        <f t="shared" si="75"/>
        <v>#N/A</v>
      </c>
      <c r="AN184" s="486"/>
      <c r="AO184" s="166"/>
      <c r="AP184" s="166"/>
      <c r="AQ184" s="166"/>
      <c r="AR184" s="180" t="e">
        <f t="shared" si="76"/>
        <v>#N/A</v>
      </c>
      <c r="AS184" s="486"/>
      <c r="AT184" s="166"/>
      <c r="AU184" s="166"/>
      <c r="AV184" s="166"/>
      <c r="AW184" s="383" t="e">
        <f t="shared" si="77"/>
        <v>#N/A</v>
      </c>
      <c r="AX184" s="501"/>
    </row>
    <row r="185" spans="2:50">
      <c r="B185" s="479"/>
      <c r="C185" s="180">
        <v>4</v>
      </c>
      <c r="D185" s="180"/>
      <c r="E185" s="166"/>
      <c r="F185" s="166"/>
      <c r="G185" s="166"/>
      <c r="H185" s="460"/>
      <c r="I185" s="166" t="e">
        <f t="shared" si="70"/>
        <v>#DIV/0!</v>
      </c>
      <c r="J185" s="166" t="e">
        <f t="shared" si="70"/>
        <v>#DIV/0!</v>
      </c>
      <c r="K185" s="265" t="e">
        <f t="shared" si="70"/>
        <v>#DIV/0!</v>
      </c>
      <c r="L185" s="460"/>
      <c r="M185" s="166" t="e">
        <f>RANK(K185, K$182:$K$211)</f>
        <v>#DIV/0!</v>
      </c>
      <c r="N185" s="462"/>
      <c r="O185" s="462"/>
      <c r="P185" s="166"/>
      <c r="Q185" s="166"/>
      <c r="R185" s="166"/>
      <c r="S185" s="180" t="e">
        <f t="shared" si="71"/>
        <v>#N/A</v>
      </c>
      <c r="T185" s="486"/>
      <c r="U185" s="166"/>
      <c r="V185" s="166"/>
      <c r="W185" s="166"/>
      <c r="X185" s="180" t="e">
        <f t="shared" si="72"/>
        <v>#N/A</v>
      </c>
      <c r="Y185" s="486"/>
      <c r="Z185" s="166"/>
      <c r="AA185" s="166"/>
      <c r="AB185" s="166"/>
      <c r="AC185" s="180" t="e">
        <f t="shared" si="73"/>
        <v>#N/A</v>
      </c>
      <c r="AD185" s="486"/>
      <c r="AE185" s="166"/>
      <c r="AF185" s="166"/>
      <c r="AG185" s="166"/>
      <c r="AH185" s="180" t="e">
        <f t="shared" si="74"/>
        <v>#N/A</v>
      </c>
      <c r="AI185" s="486"/>
      <c r="AJ185" s="166"/>
      <c r="AK185" s="166"/>
      <c r="AL185" s="166"/>
      <c r="AM185" s="180" t="e">
        <f t="shared" si="75"/>
        <v>#N/A</v>
      </c>
      <c r="AN185" s="486"/>
      <c r="AO185" s="166"/>
      <c r="AP185" s="166"/>
      <c r="AQ185" s="166"/>
      <c r="AR185" s="180" t="e">
        <f t="shared" si="76"/>
        <v>#N/A</v>
      </c>
      <c r="AS185" s="486"/>
      <c r="AT185" s="166"/>
      <c r="AU185" s="166"/>
      <c r="AV185" s="166"/>
      <c r="AW185" s="383" t="e">
        <f t="shared" si="77"/>
        <v>#N/A</v>
      </c>
      <c r="AX185" s="501"/>
    </row>
    <row r="186" spans="2:50">
      <c r="B186" s="479"/>
      <c r="C186" s="180">
        <v>5</v>
      </c>
      <c r="D186" s="180"/>
      <c r="E186" s="166"/>
      <c r="F186" s="166"/>
      <c r="G186" s="166"/>
      <c r="H186" s="460"/>
      <c r="I186" s="166" t="e">
        <f t="shared" si="70"/>
        <v>#DIV/0!</v>
      </c>
      <c r="J186" s="166" t="e">
        <f t="shared" si="70"/>
        <v>#DIV/0!</v>
      </c>
      <c r="K186" s="265" t="e">
        <f t="shared" si="70"/>
        <v>#DIV/0!</v>
      </c>
      <c r="L186" s="460"/>
      <c r="M186" s="166" t="e">
        <f>RANK(K186, K$182:$K$211)</f>
        <v>#DIV/0!</v>
      </c>
      <c r="N186" s="462"/>
      <c r="O186" s="462"/>
      <c r="P186" s="166"/>
      <c r="Q186" s="166"/>
      <c r="R186" s="166"/>
      <c r="S186" s="180" t="e">
        <f t="shared" si="71"/>
        <v>#N/A</v>
      </c>
      <c r="T186" s="486"/>
      <c r="U186" s="166"/>
      <c r="V186" s="166"/>
      <c r="W186" s="166"/>
      <c r="X186" s="180" t="e">
        <f t="shared" si="72"/>
        <v>#N/A</v>
      </c>
      <c r="Y186" s="486"/>
      <c r="Z186" s="166"/>
      <c r="AA186" s="166"/>
      <c r="AB186" s="166"/>
      <c r="AC186" s="180" t="e">
        <f t="shared" si="73"/>
        <v>#N/A</v>
      </c>
      <c r="AD186" s="486"/>
      <c r="AE186" s="166"/>
      <c r="AF186" s="166"/>
      <c r="AG186" s="166"/>
      <c r="AH186" s="180" t="e">
        <f t="shared" si="74"/>
        <v>#N/A</v>
      </c>
      <c r="AI186" s="486"/>
      <c r="AJ186" s="166"/>
      <c r="AK186" s="166"/>
      <c r="AL186" s="166"/>
      <c r="AM186" s="180" t="e">
        <f t="shared" si="75"/>
        <v>#N/A</v>
      </c>
      <c r="AN186" s="486"/>
      <c r="AO186" s="166"/>
      <c r="AP186" s="166"/>
      <c r="AQ186" s="166"/>
      <c r="AR186" s="180" t="e">
        <f t="shared" si="76"/>
        <v>#N/A</v>
      </c>
      <c r="AS186" s="486"/>
      <c r="AT186" s="166"/>
      <c r="AU186" s="166"/>
      <c r="AV186" s="166"/>
      <c r="AW186" s="383" t="e">
        <f t="shared" si="77"/>
        <v>#N/A</v>
      </c>
      <c r="AX186" s="501"/>
    </row>
    <row r="187" spans="2:50">
      <c r="B187" s="479"/>
      <c r="C187" s="180">
        <v>6</v>
      </c>
      <c r="D187" s="180"/>
      <c r="E187" s="166"/>
      <c r="F187" s="166"/>
      <c r="G187" s="166"/>
      <c r="H187" s="460"/>
      <c r="I187" s="166" t="e">
        <f t="shared" si="70"/>
        <v>#DIV/0!</v>
      </c>
      <c r="J187" s="166" t="e">
        <f t="shared" si="70"/>
        <v>#DIV/0!</v>
      </c>
      <c r="K187" s="265" t="e">
        <f t="shared" si="70"/>
        <v>#DIV/0!</v>
      </c>
      <c r="L187" s="460"/>
      <c r="M187" s="166" t="e">
        <f>RANK(K187, K$182:$K$211)</f>
        <v>#DIV/0!</v>
      </c>
      <c r="N187" s="462"/>
      <c r="O187" s="462"/>
      <c r="P187" s="166"/>
      <c r="Q187" s="166"/>
      <c r="R187" s="166"/>
      <c r="S187" s="180" t="e">
        <f t="shared" si="71"/>
        <v>#N/A</v>
      </c>
      <c r="T187" s="486"/>
      <c r="U187" s="166"/>
      <c r="V187" s="166"/>
      <c r="W187" s="166"/>
      <c r="X187" s="180" t="e">
        <f t="shared" si="72"/>
        <v>#N/A</v>
      </c>
      <c r="Y187" s="486"/>
      <c r="Z187" s="166"/>
      <c r="AA187" s="166"/>
      <c r="AB187" s="166"/>
      <c r="AC187" s="180" t="e">
        <f t="shared" si="73"/>
        <v>#N/A</v>
      </c>
      <c r="AD187" s="486"/>
      <c r="AE187" s="166"/>
      <c r="AF187" s="166"/>
      <c r="AG187" s="166"/>
      <c r="AH187" s="180" t="e">
        <f t="shared" si="74"/>
        <v>#N/A</v>
      </c>
      <c r="AI187" s="486"/>
      <c r="AJ187" s="166"/>
      <c r="AK187" s="166"/>
      <c r="AL187" s="166"/>
      <c r="AM187" s="180" t="e">
        <f t="shared" si="75"/>
        <v>#N/A</v>
      </c>
      <c r="AN187" s="486"/>
      <c r="AO187" s="166"/>
      <c r="AP187" s="166"/>
      <c r="AQ187" s="166"/>
      <c r="AR187" s="180" t="e">
        <f t="shared" si="76"/>
        <v>#N/A</v>
      </c>
      <c r="AS187" s="486"/>
      <c r="AT187" s="166"/>
      <c r="AU187" s="166"/>
      <c r="AV187" s="166"/>
      <c r="AW187" s="383" t="e">
        <f t="shared" si="77"/>
        <v>#N/A</v>
      </c>
      <c r="AX187" s="501"/>
    </row>
    <row r="188" spans="2:50">
      <c r="B188" s="479"/>
      <c r="C188" s="180">
        <v>7</v>
      </c>
      <c r="D188" s="180"/>
      <c r="E188" s="166"/>
      <c r="F188" s="166"/>
      <c r="G188" s="166"/>
      <c r="H188" s="460"/>
      <c r="I188" s="166" t="e">
        <f t="shared" si="70"/>
        <v>#DIV/0!</v>
      </c>
      <c r="J188" s="166" t="e">
        <f t="shared" si="70"/>
        <v>#DIV/0!</v>
      </c>
      <c r="K188" s="265" t="e">
        <f t="shared" si="70"/>
        <v>#DIV/0!</v>
      </c>
      <c r="L188" s="460"/>
      <c r="M188" s="166" t="e">
        <f>RANK(K188, K$182:$K$211)</f>
        <v>#DIV/0!</v>
      </c>
      <c r="N188" s="462"/>
      <c r="O188" s="462"/>
      <c r="P188" s="166"/>
      <c r="Q188" s="166"/>
      <c r="R188" s="166"/>
      <c r="S188" s="180" t="e">
        <f t="shared" si="71"/>
        <v>#N/A</v>
      </c>
      <c r="T188" s="486"/>
      <c r="U188" s="166"/>
      <c r="V188" s="166"/>
      <c r="W188" s="166"/>
      <c r="X188" s="180" t="e">
        <f t="shared" si="72"/>
        <v>#N/A</v>
      </c>
      <c r="Y188" s="486"/>
      <c r="Z188" s="166"/>
      <c r="AA188" s="166"/>
      <c r="AB188" s="166"/>
      <c r="AC188" s="180" t="e">
        <f t="shared" si="73"/>
        <v>#N/A</v>
      </c>
      <c r="AD188" s="486"/>
      <c r="AE188" s="166"/>
      <c r="AF188" s="166"/>
      <c r="AG188" s="166"/>
      <c r="AH188" s="180" t="e">
        <f t="shared" si="74"/>
        <v>#N/A</v>
      </c>
      <c r="AI188" s="486"/>
      <c r="AJ188" s="166"/>
      <c r="AK188" s="166"/>
      <c r="AL188" s="166"/>
      <c r="AM188" s="180" t="e">
        <f t="shared" si="75"/>
        <v>#N/A</v>
      </c>
      <c r="AN188" s="486"/>
      <c r="AO188" s="166"/>
      <c r="AP188" s="166"/>
      <c r="AQ188" s="166"/>
      <c r="AR188" s="180" t="e">
        <f t="shared" si="76"/>
        <v>#N/A</v>
      </c>
      <c r="AS188" s="486"/>
      <c r="AT188" s="166"/>
      <c r="AU188" s="166"/>
      <c r="AV188" s="166"/>
      <c r="AW188" s="383" t="e">
        <f t="shared" si="77"/>
        <v>#N/A</v>
      </c>
      <c r="AX188" s="501"/>
    </row>
    <row r="189" spans="2:50">
      <c r="B189" s="479"/>
      <c r="C189" s="180">
        <v>8</v>
      </c>
      <c r="D189" s="180"/>
      <c r="E189" s="166"/>
      <c r="F189" s="166"/>
      <c r="G189" s="166"/>
      <c r="H189" s="460"/>
      <c r="I189" s="166" t="e">
        <f t="shared" si="70"/>
        <v>#DIV/0!</v>
      </c>
      <c r="J189" s="166" t="e">
        <f t="shared" si="70"/>
        <v>#DIV/0!</v>
      </c>
      <c r="K189" s="265" t="e">
        <f t="shared" si="70"/>
        <v>#DIV/0!</v>
      </c>
      <c r="L189" s="460"/>
      <c r="M189" s="166" t="e">
        <f>RANK(K189, K$182:$K$211)</f>
        <v>#DIV/0!</v>
      </c>
      <c r="N189" s="462"/>
      <c r="O189" s="462"/>
      <c r="P189" s="166"/>
      <c r="Q189" s="166"/>
      <c r="R189" s="166"/>
      <c r="S189" s="180" t="e">
        <f t="shared" si="71"/>
        <v>#N/A</v>
      </c>
      <c r="T189" s="486"/>
      <c r="U189" s="166"/>
      <c r="V189" s="166"/>
      <c r="W189" s="166"/>
      <c r="X189" s="180" t="e">
        <f t="shared" si="72"/>
        <v>#N/A</v>
      </c>
      <c r="Y189" s="486"/>
      <c r="Z189" s="166"/>
      <c r="AA189" s="166"/>
      <c r="AB189" s="166"/>
      <c r="AC189" s="180" t="e">
        <f t="shared" si="73"/>
        <v>#N/A</v>
      </c>
      <c r="AD189" s="486"/>
      <c r="AE189" s="166"/>
      <c r="AF189" s="166"/>
      <c r="AG189" s="166"/>
      <c r="AH189" s="180" t="e">
        <f t="shared" si="74"/>
        <v>#N/A</v>
      </c>
      <c r="AI189" s="486"/>
      <c r="AJ189" s="166"/>
      <c r="AK189" s="166"/>
      <c r="AL189" s="166"/>
      <c r="AM189" s="180" t="e">
        <f t="shared" si="75"/>
        <v>#N/A</v>
      </c>
      <c r="AN189" s="486"/>
      <c r="AO189" s="166"/>
      <c r="AP189" s="166"/>
      <c r="AQ189" s="166"/>
      <c r="AR189" s="180" t="e">
        <f t="shared" si="76"/>
        <v>#N/A</v>
      </c>
      <c r="AS189" s="486"/>
      <c r="AT189" s="166"/>
      <c r="AU189" s="166"/>
      <c r="AV189" s="166"/>
      <c r="AW189" s="383" t="e">
        <f t="shared" si="77"/>
        <v>#N/A</v>
      </c>
      <c r="AX189" s="501"/>
    </row>
    <row r="190" spans="2:50">
      <c r="B190" s="479"/>
      <c r="C190" s="180">
        <v>9</v>
      </c>
      <c r="D190" s="180"/>
      <c r="E190" s="166"/>
      <c r="F190" s="166"/>
      <c r="G190" s="166"/>
      <c r="H190" s="460"/>
      <c r="I190" s="166" t="e">
        <f t="shared" si="70"/>
        <v>#DIV/0!</v>
      </c>
      <c r="J190" s="166" t="e">
        <f t="shared" si="70"/>
        <v>#DIV/0!</v>
      </c>
      <c r="K190" s="265" t="e">
        <f t="shared" si="70"/>
        <v>#DIV/0!</v>
      </c>
      <c r="L190" s="460"/>
      <c r="M190" s="166" t="e">
        <f>RANK(K190, K$182:$K$211)</f>
        <v>#DIV/0!</v>
      </c>
      <c r="N190" s="462"/>
      <c r="O190" s="462"/>
      <c r="P190" s="166"/>
      <c r="Q190" s="166"/>
      <c r="R190" s="166"/>
      <c r="S190" s="180" t="e">
        <f t="shared" si="71"/>
        <v>#N/A</v>
      </c>
      <c r="T190" s="486"/>
      <c r="U190" s="166"/>
      <c r="V190" s="166"/>
      <c r="W190" s="166"/>
      <c r="X190" s="180" t="e">
        <f t="shared" si="72"/>
        <v>#N/A</v>
      </c>
      <c r="Y190" s="486"/>
      <c r="Z190" s="166"/>
      <c r="AA190" s="166"/>
      <c r="AB190" s="166"/>
      <c r="AC190" s="180" t="e">
        <f t="shared" si="73"/>
        <v>#N/A</v>
      </c>
      <c r="AD190" s="486"/>
      <c r="AE190" s="166"/>
      <c r="AF190" s="166"/>
      <c r="AG190" s="166"/>
      <c r="AH190" s="180" t="e">
        <f t="shared" si="74"/>
        <v>#N/A</v>
      </c>
      <c r="AI190" s="486"/>
      <c r="AJ190" s="166"/>
      <c r="AK190" s="166"/>
      <c r="AL190" s="166"/>
      <c r="AM190" s="180" t="e">
        <f t="shared" si="75"/>
        <v>#N/A</v>
      </c>
      <c r="AN190" s="486"/>
      <c r="AO190" s="166"/>
      <c r="AP190" s="166"/>
      <c r="AQ190" s="166"/>
      <c r="AR190" s="180" t="e">
        <f t="shared" si="76"/>
        <v>#N/A</v>
      </c>
      <c r="AS190" s="486"/>
      <c r="AT190" s="166"/>
      <c r="AU190" s="166"/>
      <c r="AV190" s="166"/>
      <c r="AW190" s="383" t="e">
        <f t="shared" si="77"/>
        <v>#N/A</v>
      </c>
      <c r="AX190" s="501"/>
    </row>
    <row r="191" spans="2:50">
      <c r="B191" s="479"/>
      <c r="C191" s="180">
        <v>10</v>
      </c>
      <c r="D191" s="180"/>
      <c r="E191" s="166"/>
      <c r="F191" s="166"/>
      <c r="G191" s="166"/>
      <c r="H191" s="460"/>
      <c r="I191" s="166" t="e">
        <f t="shared" si="70"/>
        <v>#DIV/0!</v>
      </c>
      <c r="J191" s="166" t="e">
        <f t="shared" si="70"/>
        <v>#DIV/0!</v>
      </c>
      <c r="K191" s="265" t="e">
        <f t="shared" si="70"/>
        <v>#DIV/0!</v>
      </c>
      <c r="L191" s="460"/>
      <c r="M191" s="166" t="e">
        <f>RANK(K191, K$182:$K$211)</f>
        <v>#DIV/0!</v>
      </c>
      <c r="N191" s="462"/>
      <c r="O191" s="462"/>
      <c r="P191" s="166"/>
      <c r="Q191" s="166"/>
      <c r="R191" s="166"/>
      <c r="S191" s="180" t="e">
        <f t="shared" si="71"/>
        <v>#N/A</v>
      </c>
      <c r="T191" s="486"/>
      <c r="U191" s="166"/>
      <c r="V191" s="166"/>
      <c r="W191" s="166"/>
      <c r="X191" s="180" t="e">
        <f t="shared" si="72"/>
        <v>#N/A</v>
      </c>
      <c r="Y191" s="486"/>
      <c r="Z191" s="166"/>
      <c r="AA191" s="166"/>
      <c r="AB191" s="166"/>
      <c r="AC191" s="180" t="e">
        <f t="shared" si="73"/>
        <v>#N/A</v>
      </c>
      <c r="AD191" s="486"/>
      <c r="AE191" s="166"/>
      <c r="AF191" s="166"/>
      <c r="AG191" s="166"/>
      <c r="AH191" s="180" t="e">
        <f t="shared" si="74"/>
        <v>#N/A</v>
      </c>
      <c r="AI191" s="486"/>
      <c r="AJ191" s="166"/>
      <c r="AK191" s="166"/>
      <c r="AL191" s="166"/>
      <c r="AM191" s="180" t="e">
        <f t="shared" si="75"/>
        <v>#N/A</v>
      </c>
      <c r="AN191" s="486"/>
      <c r="AO191" s="166"/>
      <c r="AP191" s="166"/>
      <c r="AQ191" s="166"/>
      <c r="AR191" s="180" t="e">
        <f t="shared" si="76"/>
        <v>#N/A</v>
      </c>
      <c r="AS191" s="486"/>
      <c r="AT191" s="166"/>
      <c r="AU191" s="166"/>
      <c r="AV191" s="166"/>
      <c r="AW191" s="383" t="e">
        <f t="shared" si="77"/>
        <v>#N/A</v>
      </c>
      <c r="AX191" s="501"/>
    </row>
    <row r="192" spans="2:50">
      <c r="B192" s="479"/>
      <c r="C192" s="180">
        <v>11</v>
      </c>
      <c r="D192" s="180"/>
      <c r="E192" s="166"/>
      <c r="F192" s="166"/>
      <c r="G192" s="166"/>
      <c r="H192" s="460"/>
      <c r="I192" s="166" t="e">
        <f t="shared" si="70"/>
        <v>#DIV/0!</v>
      </c>
      <c r="J192" s="166" t="e">
        <f t="shared" si="70"/>
        <v>#DIV/0!</v>
      </c>
      <c r="K192" s="265" t="e">
        <f t="shared" si="70"/>
        <v>#DIV/0!</v>
      </c>
      <c r="L192" s="460"/>
      <c r="M192" s="166" t="e">
        <f>RANK(K192, K$182:$K$211)</f>
        <v>#DIV/0!</v>
      </c>
      <c r="N192" s="462"/>
      <c r="O192" s="462"/>
      <c r="P192" s="166"/>
      <c r="Q192" s="166"/>
      <c r="R192" s="166"/>
      <c r="S192" s="180" t="e">
        <f t="shared" si="71"/>
        <v>#N/A</v>
      </c>
      <c r="T192" s="486"/>
      <c r="U192" s="166"/>
      <c r="V192" s="166"/>
      <c r="W192" s="166"/>
      <c r="X192" s="180" t="e">
        <f t="shared" si="72"/>
        <v>#N/A</v>
      </c>
      <c r="Y192" s="486"/>
      <c r="Z192" s="166"/>
      <c r="AA192" s="166"/>
      <c r="AB192" s="166"/>
      <c r="AC192" s="180" t="e">
        <f t="shared" si="73"/>
        <v>#N/A</v>
      </c>
      <c r="AD192" s="486"/>
      <c r="AE192" s="166"/>
      <c r="AF192" s="166"/>
      <c r="AG192" s="166"/>
      <c r="AH192" s="180" t="e">
        <f t="shared" si="74"/>
        <v>#N/A</v>
      </c>
      <c r="AI192" s="486"/>
      <c r="AJ192" s="166"/>
      <c r="AK192" s="166"/>
      <c r="AL192" s="166"/>
      <c r="AM192" s="180" t="e">
        <f t="shared" si="75"/>
        <v>#N/A</v>
      </c>
      <c r="AN192" s="486"/>
      <c r="AO192" s="166"/>
      <c r="AP192" s="166"/>
      <c r="AQ192" s="166"/>
      <c r="AR192" s="180" t="e">
        <f t="shared" si="76"/>
        <v>#N/A</v>
      </c>
      <c r="AS192" s="486"/>
      <c r="AT192" s="166"/>
      <c r="AU192" s="166"/>
      <c r="AV192" s="166"/>
      <c r="AW192" s="383" t="e">
        <f t="shared" si="77"/>
        <v>#N/A</v>
      </c>
      <c r="AX192" s="501"/>
    </row>
    <row r="193" spans="2:50">
      <c r="B193" s="479"/>
      <c r="C193" s="180">
        <v>12</v>
      </c>
      <c r="D193" s="180"/>
      <c r="E193" s="166"/>
      <c r="F193" s="166"/>
      <c r="G193" s="166"/>
      <c r="H193" s="460"/>
      <c r="I193" s="166" t="e">
        <f t="shared" si="70"/>
        <v>#DIV/0!</v>
      </c>
      <c r="J193" s="166" t="e">
        <f t="shared" si="70"/>
        <v>#DIV/0!</v>
      </c>
      <c r="K193" s="265" t="e">
        <f t="shared" si="70"/>
        <v>#DIV/0!</v>
      </c>
      <c r="L193" s="460"/>
      <c r="M193" s="166" t="e">
        <f>RANK(K193, K$182:$K$211)</f>
        <v>#DIV/0!</v>
      </c>
      <c r="N193" s="462"/>
      <c r="O193" s="462"/>
      <c r="P193" s="166"/>
      <c r="Q193" s="166"/>
      <c r="R193" s="166"/>
      <c r="S193" s="180" t="e">
        <f t="shared" si="71"/>
        <v>#N/A</v>
      </c>
      <c r="T193" s="486"/>
      <c r="U193" s="166"/>
      <c r="V193" s="166"/>
      <c r="W193" s="166"/>
      <c r="X193" s="180" t="e">
        <f t="shared" si="72"/>
        <v>#N/A</v>
      </c>
      <c r="Y193" s="486"/>
      <c r="Z193" s="166"/>
      <c r="AA193" s="166"/>
      <c r="AB193" s="166"/>
      <c r="AC193" s="180" t="e">
        <f t="shared" si="73"/>
        <v>#N/A</v>
      </c>
      <c r="AD193" s="486"/>
      <c r="AE193" s="166"/>
      <c r="AF193" s="166"/>
      <c r="AG193" s="166"/>
      <c r="AH193" s="180" t="e">
        <f t="shared" si="74"/>
        <v>#N/A</v>
      </c>
      <c r="AI193" s="486"/>
      <c r="AJ193" s="166"/>
      <c r="AK193" s="166"/>
      <c r="AL193" s="166"/>
      <c r="AM193" s="180" t="e">
        <f t="shared" si="75"/>
        <v>#N/A</v>
      </c>
      <c r="AN193" s="486"/>
      <c r="AO193" s="166"/>
      <c r="AP193" s="166"/>
      <c r="AQ193" s="166"/>
      <c r="AR193" s="180" t="e">
        <f t="shared" si="76"/>
        <v>#N/A</v>
      </c>
      <c r="AS193" s="486"/>
      <c r="AT193" s="166"/>
      <c r="AU193" s="166"/>
      <c r="AV193" s="166"/>
      <c r="AW193" s="383" t="e">
        <f t="shared" si="77"/>
        <v>#N/A</v>
      </c>
      <c r="AX193" s="501"/>
    </row>
    <row r="194" spans="2:50">
      <c r="B194" s="479"/>
      <c r="C194" s="180">
        <v>13</v>
      </c>
      <c r="D194" s="180"/>
      <c r="E194" s="166"/>
      <c r="F194" s="166"/>
      <c r="G194" s="166"/>
      <c r="H194" s="460"/>
      <c r="I194" s="166" t="e">
        <f t="shared" si="70"/>
        <v>#DIV/0!</v>
      </c>
      <c r="J194" s="166" t="e">
        <f t="shared" si="70"/>
        <v>#DIV/0!</v>
      </c>
      <c r="K194" s="265" t="e">
        <f t="shared" si="70"/>
        <v>#DIV/0!</v>
      </c>
      <c r="L194" s="460"/>
      <c r="M194" s="166" t="e">
        <f>RANK(K194, K$182:$K$211)</f>
        <v>#DIV/0!</v>
      </c>
      <c r="N194" s="462"/>
      <c r="O194" s="462"/>
      <c r="P194" s="166"/>
      <c r="Q194" s="166"/>
      <c r="R194" s="166"/>
      <c r="S194" s="180" t="e">
        <f t="shared" si="71"/>
        <v>#N/A</v>
      </c>
      <c r="T194" s="486"/>
      <c r="U194" s="166"/>
      <c r="V194" s="166"/>
      <c r="W194" s="166"/>
      <c r="X194" s="180" t="e">
        <f t="shared" si="72"/>
        <v>#N/A</v>
      </c>
      <c r="Y194" s="486"/>
      <c r="Z194" s="166"/>
      <c r="AA194" s="166"/>
      <c r="AB194" s="166"/>
      <c r="AC194" s="180" t="e">
        <f t="shared" si="73"/>
        <v>#N/A</v>
      </c>
      <c r="AD194" s="486"/>
      <c r="AE194" s="166"/>
      <c r="AF194" s="166"/>
      <c r="AG194" s="166"/>
      <c r="AH194" s="180" t="e">
        <f t="shared" si="74"/>
        <v>#N/A</v>
      </c>
      <c r="AI194" s="486"/>
      <c r="AJ194" s="166"/>
      <c r="AK194" s="166"/>
      <c r="AL194" s="166"/>
      <c r="AM194" s="180" t="e">
        <f t="shared" si="75"/>
        <v>#N/A</v>
      </c>
      <c r="AN194" s="486"/>
      <c r="AO194" s="166"/>
      <c r="AP194" s="166"/>
      <c r="AQ194" s="166"/>
      <c r="AR194" s="180" t="e">
        <f t="shared" si="76"/>
        <v>#N/A</v>
      </c>
      <c r="AS194" s="486"/>
      <c r="AT194" s="166"/>
      <c r="AU194" s="166"/>
      <c r="AV194" s="166"/>
      <c r="AW194" s="383" t="e">
        <f t="shared" si="77"/>
        <v>#N/A</v>
      </c>
      <c r="AX194" s="501"/>
    </row>
    <row r="195" spans="2:50">
      <c r="B195" s="479"/>
      <c r="C195" s="180">
        <v>14</v>
      </c>
      <c r="D195" s="180"/>
      <c r="E195" s="166"/>
      <c r="F195" s="166"/>
      <c r="G195" s="166"/>
      <c r="H195" s="460"/>
      <c r="I195" s="166" t="e">
        <f t="shared" si="70"/>
        <v>#DIV/0!</v>
      </c>
      <c r="J195" s="166" t="e">
        <f t="shared" si="70"/>
        <v>#DIV/0!</v>
      </c>
      <c r="K195" s="265" t="e">
        <f t="shared" si="70"/>
        <v>#DIV/0!</v>
      </c>
      <c r="L195" s="460"/>
      <c r="M195" s="166" t="e">
        <f>RANK(K195, K$182:$K$211)</f>
        <v>#DIV/0!</v>
      </c>
      <c r="N195" s="462"/>
      <c r="O195" s="462"/>
      <c r="P195" s="166"/>
      <c r="Q195" s="166"/>
      <c r="R195" s="166"/>
      <c r="S195" s="180" t="e">
        <f t="shared" si="71"/>
        <v>#N/A</v>
      </c>
      <c r="T195" s="486"/>
      <c r="U195" s="166"/>
      <c r="V195" s="166"/>
      <c r="W195" s="166"/>
      <c r="X195" s="180" t="e">
        <f t="shared" si="72"/>
        <v>#N/A</v>
      </c>
      <c r="Y195" s="486"/>
      <c r="Z195" s="166"/>
      <c r="AA195" s="166"/>
      <c r="AB195" s="166"/>
      <c r="AC195" s="180" t="e">
        <f t="shared" si="73"/>
        <v>#N/A</v>
      </c>
      <c r="AD195" s="486"/>
      <c r="AE195" s="166"/>
      <c r="AF195" s="166"/>
      <c r="AG195" s="166"/>
      <c r="AH195" s="180" t="e">
        <f t="shared" si="74"/>
        <v>#N/A</v>
      </c>
      <c r="AI195" s="486"/>
      <c r="AJ195" s="166"/>
      <c r="AK195" s="166"/>
      <c r="AL195" s="166"/>
      <c r="AM195" s="180" t="e">
        <f t="shared" si="75"/>
        <v>#N/A</v>
      </c>
      <c r="AN195" s="486"/>
      <c r="AO195" s="166"/>
      <c r="AP195" s="166"/>
      <c r="AQ195" s="166"/>
      <c r="AR195" s="180" t="e">
        <f t="shared" si="76"/>
        <v>#N/A</v>
      </c>
      <c r="AS195" s="486"/>
      <c r="AT195" s="166"/>
      <c r="AU195" s="166"/>
      <c r="AV195" s="166"/>
      <c r="AW195" s="383" t="e">
        <f t="shared" si="77"/>
        <v>#N/A</v>
      </c>
      <c r="AX195" s="501"/>
    </row>
    <row r="196" spans="2:50">
      <c r="B196" s="479"/>
      <c r="C196" s="180">
        <v>15</v>
      </c>
      <c r="D196" s="180"/>
      <c r="E196" s="166"/>
      <c r="F196" s="166"/>
      <c r="G196" s="166"/>
      <c r="H196" s="460"/>
      <c r="I196" s="166" t="e">
        <f t="shared" si="70"/>
        <v>#DIV/0!</v>
      </c>
      <c r="J196" s="166" t="e">
        <f t="shared" si="70"/>
        <v>#DIV/0!</v>
      </c>
      <c r="K196" s="265" t="e">
        <f t="shared" si="70"/>
        <v>#DIV/0!</v>
      </c>
      <c r="L196" s="460"/>
      <c r="M196" s="166" t="e">
        <f>RANK(K196, K$182:$K$211)</f>
        <v>#DIV/0!</v>
      </c>
      <c r="N196" s="462"/>
      <c r="O196" s="462"/>
      <c r="P196" s="166"/>
      <c r="Q196" s="166"/>
      <c r="R196" s="166"/>
      <c r="S196" s="180" t="e">
        <f t="shared" si="71"/>
        <v>#N/A</v>
      </c>
      <c r="T196" s="486"/>
      <c r="U196" s="166"/>
      <c r="V196" s="166"/>
      <c r="W196" s="166"/>
      <c r="X196" s="180" t="e">
        <f t="shared" si="72"/>
        <v>#N/A</v>
      </c>
      <c r="Y196" s="486"/>
      <c r="Z196" s="166"/>
      <c r="AA196" s="166"/>
      <c r="AB196" s="166"/>
      <c r="AC196" s="180" t="e">
        <f t="shared" si="73"/>
        <v>#N/A</v>
      </c>
      <c r="AD196" s="486"/>
      <c r="AE196" s="166"/>
      <c r="AF196" s="166"/>
      <c r="AG196" s="166"/>
      <c r="AH196" s="180" t="e">
        <f t="shared" si="74"/>
        <v>#N/A</v>
      </c>
      <c r="AI196" s="486"/>
      <c r="AJ196" s="166"/>
      <c r="AK196" s="166"/>
      <c r="AL196" s="166"/>
      <c r="AM196" s="180" t="e">
        <f t="shared" si="75"/>
        <v>#N/A</v>
      </c>
      <c r="AN196" s="486"/>
      <c r="AO196" s="166"/>
      <c r="AP196" s="166"/>
      <c r="AQ196" s="166"/>
      <c r="AR196" s="180" t="e">
        <f t="shared" si="76"/>
        <v>#N/A</v>
      </c>
      <c r="AS196" s="486"/>
      <c r="AT196" s="166"/>
      <c r="AU196" s="166"/>
      <c r="AV196" s="166"/>
      <c r="AW196" s="383" t="e">
        <f t="shared" si="77"/>
        <v>#N/A</v>
      </c>
      <c r="AX196" s="501"/>
    </row>
    <row r="197" spans="2:50">
      <c r="B197" s="479"/>
      <c r="C197" s="180">
        <v>16</v>
      </c>
      <c r="D197" s="180"/>
      <c r="E197" s="166"/>
      <c r="F197" s="166"/>
      <c r="G197" s="166"/>
      <c r="H197" s="460"/>
      <c r="I197" s="166" t="e">
        <f t="shared" si="70"/>
        <v>#DIV/0!</v>
      </c>
      <c r="J197" s="166" t="e">
        <f t="shared" si="70"/>
        <v>#DIV/0!</v>
      </c>
      <c r="K197" s="265" t="e">
        <f t="shared" si="70"/>
        <v>#DIV/0!</v>
      </c>
      <c r="L197" s="460"/>
      <c r="M197" s="166" t="e">
        <f>RANK(K197, K$182:$K$211)</f>
        <v>#DIV/0!</v>
      </c>
      <c r="N197" s="462"/>
      <c r="O197" s="462"/>
      <c r="P197" s="166"/>
      <c r="Q197" s="166"/>
      <c r="R197" s="166"/>
      <c r="S197" s="180" t="e">
        <f t="shared" si="71"/>
        <v>#N/A</v>
      </c>
      <c r="T197" s="486"/>
      <c r="U197" s="166"/>
      <c r="V197" s="166"/>
      <c r="W197" s="166"/>
      <c r="X197" s="180" t="e">
        <f t="shared" si="72"/>
        <v>#N/A</v>
      </c>
      <c r="Y197" s="486"/>
      <c r="Z197" s="166"/>
      <c r="AA197" s="166"/>
      <c r="AB197" s="166"/>
      <c r="AC197" s="180" t="e">
        <f t="shared" si="73"/>
        <v>#N/A</v>
      </c>
      <c r="AD197" s="486"/>
      <c r="AE197" s="166"/>
      <c r="AF197" s="166"/>
      <c r="AG197" s="166"/>
      <c r="AH197" s="180" t="e">
        <f t="shared" si="74"/>
        <v>#N/A</v>
      </c>
      <c r="AI197" s="486"/>
      <c r="AJ197" s="166"/>
      <c r="AK197" s="166"/>
      <c r="AL197" s="166"/>
      <c r="AM197" s="180" t="e">
        <f t="shared" si="75"/>
        <v>#N/A</v>
      </c>
      <c r="AN197" s="486"/>
      <c r="AO197" s="166"/>
      <c r="AP197" s="166"/>
      <c r="AQ197" s="166"/>
      <c r="AR197" s="180" t="e">
        <f t="shared" si="76"/>
        <v>#N/A</v>
      </c>
      <c r="AS197" s="486"/>
      <c r="AT197" s="166"/>
      <c r="AU197" s="166"/>
      <c r="AV197" s="166"/>
      <c r="AW197" s="383" t="e">
        <f t="shared" si="77"/>
        <v>#N/A</v>
      </c>
      <c r="AX197" s="501"/>
    </row>
    <row r="198" spans="2:50">
      <c r="B198" s="479"/>
      <c r="C198" s="180">
        <v>17</v>
      </c>
      <c r="D198" s="180"/>
      <c r="E198" s="166"/>
      <c r="F198" s="166"/>
      <c r="G198" s="166"/>
      <c r="H198" s="460"/>
      <c r="I198" s="166" t="e">
        <f t="shared" si="70"/>
        <v>#DIV/0!</v>
      </c>
      <c r="J198" s="166" t="e">
        <f t="shared" si="70"/>
        <v>#DIV/0!</v>
      </c>
      <c r="K198" s="265" t="e">
        <f t="shared" si="70"/>
        <v>#DIV/0!</v>
      </c>
      <c r="L198" s="460"/>
      <c r="M198" s="166" t="e">
        <f>RANK(K198, K$182:$K$211)</f>
        <v>#DIV/0!</v>
      </c>
      <c r="N198" s="462"/>
      <c r="O198" s="462"/>
      <c r="P198" s="166"/>
      <c r="Q198" s="166"/>
      <c r="R198" s="166"/>
      <c r="S198" s="180" t="e">
        <f t="shared" si="71"/>
        <v>#N/A</v>
      </c>
      <c r="T198" s="486"/>
      <c r="U198" s="166"/>
      <c r="V198" s="166"/>
      <c r="W198" s="166"/>
      <c r="X198" s="180" t="e">
        <f t="shared" si="72"/>
        <v>#N/A</v>
      </c>
      <c r="Y198" s="486"/>
      <c r="Z198" s="166"/>
      <c r="AA198" s="166"/>
      <c r="AB198" s="166"/>
      <c r="AC198" s="180" t="e">
        <f t="shared" si="73"/>
        <v>#N/A</v>
      </c>
      <c r="AD198" s="486"/>
      <c r="AE198" s="166"/>
      <c r="AF198" s="166"/>
      <c r="AG198" s="166"/>
      <c r="AH198" s="180" t="e">
        <f t="shared" si="74"/>
        <v>#N/A</v>
      </c>
      <c r="AI198" s="486"/>
      <c r="AJ198" s="166"/>
      <c r="AK198" s="166"/>
      <c r="AL198" s="166"/>
      <c r="AM198" s="180" t="e">
        <f t="shared" si="75"/>
        <v>#N/A</v>
      </c>
      <c r="AN198" s="486"/>
      <c r="AO198" s="166"/>
      <c r="AP198" s="166"/>
      <c r="AQ198" s="166"/>
      <c r="AR198" s="180" t="e">
        <f t="shared" si="76"/>
        <v>#N/A</v>
      </c>
      <c r="AS198" s="486"/>
      <c r="AT198" s="166"/>
      <c r="AU198" s="166"/>
      <c r="AV198" s="166"/>
      <c r="AW198" s="383" t="e">
        <f t="shared" si="77"/>
        <v>#N/A</v>
      </c>
      <c r="AX198" s="501"/>
    </row>
    <row r="199" spans="2:50">
      <c r="B199" s="479"/>
      <c r="C199" s="180">
        <v>18</v>
      </c>
      <c r="D199" s="180"/>
      <c r="E199" s="166"/>
      <c r="F199" s="166"/>
      <c r="G199" s="166"/>
      <c r="H199" s="460"/>
      <c r="I199" s="166" t="e">
        <f t="shared" ref="I199:K202" si="78">AVERAGE(P199,U199,Z199,AE199,AJ199,AO199,AT199)</f>
        <v>#DIV/0!</v>
      </c>
      <c r="J199" s="166" t="e">
        <f t="shared" si="78"/>
        <v>#DIV/0!</v>
      </c>
      <c r="K199" s="265" t="e">
        <f t="shared" si="78"/>
        <v>#DIV/0!</v>
      </c>
      <c r="L199" s="460"/>
      <c r="M199" s="166" t="e">
        <f>RANK(K199, K$182:$K$211)</f>
        <v>#DIV/0!</v>
      </c>
      <c r="N199" s="462"/>
      <c r="O199" s="462"/>
      <c r="P199" s="166"/>
      <c r="Q199" s="166"/>
      <c r="R199" s="166"/>
      <c r="S199" s="180" t="e">
        <f t="shared" si="71"/>
        <v>#N/A</v>
      </c>
      <c r="T199" s="486"/>
      <c r="U199" s="166"/>
      <c r="V199" s="166"/>
      <c r="W199" s="166"/>
      <c r="X199" s="180" t="e">
        <f t="shared" si="72"/>
        <v>#N/A</v>
      </c>
      <c r="Y199" s="486"/>
      <c r="Z199" s="166"/>
      <c r="AA199" s="166"/>
      <c r="AB199" s="166"/>
      <c r="AC199" s="180" t="e">
        <f t="shared" si="73"/>
        <v>#N/A</v>
      </c>
      <c r="AD199" s="486"/>
      <c r="AE199" s="166"/>
      <c r="AF199" s="166"/>
      <c r="AG199" s="166"/>
      <c r="AH199" s="180" t="e">
        <f t="shared" si="74"/>
        <v>#N/A</v>
      </c>
      <c r="AI199" s="486"/>
      <c r="AJ199" s="166"/>
      <c r="AK199" s="166"/>
      <c r="AL199" s="166"/>
      <c r="AM199" s="180" t="e">
        <f t="shared" si="75"/>
        <v>#N/A</v>
      </c>
      <c r="AN199" s="486"/>
      <c r="AO199" s="166"/>
      <c r="AP199" s="166"/>
      <c r="AQ199" s="166"/>
      <c r="AR199" s="180" t="e">
        <f t="shared" si="76"/>
        <v>#N/A</v>
      </c>
      <c r="AS199" s="486"/>
      <c r="AT199" s="166"/>
      <c r="AU199" s="166"/>
      <c r="AV199" s="166"/>
      <c r="AW199" s="383" t="e">
        <f t="shared" si="77"/>
        <v>#N/A</v>
      </c>
      <c r="AX199" s="501"/>
    </row>
    <row r="200" spans="2:50">
      <c r="B200" s="479"/>
      <c r="C200" s="180">
        <v>19</v>
      </c>
      <c r="D200" s="180"/>
      <c r="E200" s="166"/>
      <c r="F200" s="166"/>
      <c r="G200" s="166"/>
      <c r="H200" s="460"/>
      <c r="I200" s="166" t="e">
        <f t="shared" si="78"/>
        <v>#DIV/0!</v>
      </c>
      <c r="J200" s="166" t="e">
        <f t="shared" si="78"/>
        <v>#DIV/0!</v>
      </c>
      <c r="K200" s="265" t="e">
        <f t="shared" si="78"/>
        <v>#DIV/0!</v>
      </c>
      <c r="L200" s="460"/>
      <c r="M200" s="166" t="e">
        <f>RANK(K200, K$182:$K$211)</f>
        <v>#DIV/0!</v>
      </c>
      <c r="N200" s="462"/>
      <c r="O200" s="462"/>
      <c r="P200" s="166"/>
      <c r="Q200" s="166"/>
      <c r="R200" s="166"/>
      <c r="S200" s="180" t="e">
        <f t="shared" si="71"/>
        <v>#N/A</v>
      </c>
      <c r="T200" s="486"/>
      <c r="U200" s="166"/>
      <c r="V200" s="166"/>
      <c r="W200" s="166"/>
      <c r="X200" s="180" t="e">
        <f t="shared" si="72"/>
        <v>#N/A</v>
      </c>
      <c r="Y200" s="486"/>
      <c r="Z200" s="166"/>
      <c r="AA200" s="166"/>
      <c r="AB200" s="166"/>
      <c r="AC200" s="180" t="e">
        <f t="shared" si="73"/>
        <v>#N/A</v>
      </c>
      <c r="AD200" s="486"/>
      <c r="AE200" s="166"/>
      <c r="AF200" s="166"/>
      <c r="AG200" s="166"/>
      <c r="AH200" s="180" t="e">
        <f t="shared" si="74"/>
        <v>#N/A</v>
      </c>
      <c r="AI200" s="486"/>
      <c r="AJ200" s="166"/>
      <c r="AK200" s="166"/>
      <c r="AL200" s="166"/>
      <c r="AM200" s="180" t="e">
        <f t="shared" si="75"/>
        <v>#N/A</v>
      </c>
      <c r="AN200" s="486"/>
      <c r="AO200" s="166"/>
      <c r="AP200" s="166"/>
      <c r="AQ200" s="166"/>
      <c r="AR200" s="180" t="e">
        <f t="shared" si="76"/>
        <v>#N/A</v>
      </c>
      <c r="AS200" s="486"/>
      <c r="AT200" s="166"/>
      <c r="AU200" s="166"/>
      <c r="AV200" s="166"/>
      <c r="AW200" s="383" t="e">
        <f t="shared" si="77"/>
        <v>#N/A</v>
      </c>
      <c r="AX200" s="501"/>
    </row>
    <row r="201" spans="2:50">
      <c r="B201" s="479"/>
      <c r="C201" s="180">
        <v>20</v>
      </c>
      <c r="D201" s="180"/>
      <c r="E201" s="166"/>
      <c r="F201" s="166"/>
      <c r="G201" s="166"/>
      <c r="H201" s="460"/>
      <c r="I201" s="166" t="e">
        <f t="shared" si="78"/>
        <v>#DIV/0!</v>
      </c>
      <c r="J201" s="166" t="e">
        <f t="shared" si="78"/>
        <v>#DIV/0!</v>
      </c>
      <c r="K201" s="265" t="e">
        <f t="shared" si="78"/>
        <v>#DIV/0!</v>
      </c>
      <c r="L201" s="460"/>
      <c r="M201" s="166" t="e">
        <f>RANK(K201, K$182:$K$211)</f>
        <v>#DIV/0!</v>
      </c>
      <c r="N201" s="462"/>
      <c r="O201" s="462"/>
      <c r="P201" s="166"/>
      <c r="Q201" s="166"/>
      <c r="R201" s="166"/>
      <c r="S201" s="180" t="e">
        <f t="shared" si="71"/>
        <v>#N/A</v>
      </c>
      <c r="T201" s="486"/>
      <c r="U201" s="166"/>
      <c r="V201" s="166"/>
      <c r="W201" s="166"/>
      <c r="X201" s="180" t="e">
        <f t="shared" si="72"/>
        <v>#N/A</v>
      </c>
      <c r="Y201" s="486"/>
      <c r="Z201" s="166"/>
      <c r="AA201" s="166"/>
      <c r="AB201" s="166"/>
      <c r="AC201" s="180" t="e">
        <f t="shared" si="73"/>
        <v>#N/A</v>
      </c>
      <c r="AD201" s="486"/>
      <c r="AE201" s="166"/>
      <c r="AF201" s="166"/>
      <c r="AG201" s="166"/>
      <c r="AH201" s="180" t="e">
        <f t="shared" si="74"/>
        <v>#N/A</v>
      </c>
      <c r="AI201" s="486"/>
      <c r="AJ201" s="166"/>
      <c r="AK201" s="166"/>
      <c r="AL201" s="166"/>
      <c r="AM201" s="180" t="e">
        <f t="shared" si="75"/>
        <v>#N/A</v>
      </c>
      <c r="AN201" s="486"/>
      <c r="AO201" s="166"/>
      <c r="AP201" s="166"/>
      <c r="AQ201" s="166"/>
      <c r="AR201" s="180" t="e">
        <f t="shared" si="76"/>
        <v>#N/A</v>
      </c>
      <c r="AS201" s="486"/>
      <c r="AT201" s="166"/>
      <c r="AU201" s="166"/>
      <c r="AV201" s="166"/>
      <c r="AW201" s="383" t="e">
        <f t="shared" si="77"/>
        <v>#N/A</v>
      </c>
      <c r="AX201" s="501"/>
    </row>
    <row r="202" spans="2:50">
      <c r="B202" s="479"/>
      <c r="C202" s="180">
        <v>21</v>
      </c>
      <c r="D202" s="365"/>
      <c r="E202" s="166"/>
      <c r="F202" s="166"/>
      <c r="G202" s="166"/>
      <c r="H202" s="460"/>
      <c r="I202" s="166" t="e">
        <f t="shared" si="78"/>
        <v>#DIV/0!</v>
      </c>
      <c r="J202" s="166" t="e">
        <f t="shared" si="78"/>
        <v>#DIV/0!</v>
      </c>
      <c r="K202" s="265" t="e">
        <f t="shared" si="78"/>
        <v>#DIV/0!</v>
      </c>
      <c r="L202" s="460"/>
      <c r="M202" s="166" t="e">
        <f>RANK(K202, K$182:$K$211)</f>
        <v>#DIV/0!</v>
      </c>
      <c r="N202" s="462"/>
      <c r="O202" s="462"/>
      <c r="P202" s="180"/>
      <c r="Q202" s="166"/>
      <c r="R202" s="265"/>
      <c r="S202" s="180" t="e">
        <f t="shared" si="71"/>
        <v>#N/A</v>
      </c>
      <c r="T202" s="486"/>
      <c r="U202" s="180"/>
      <c r="V202" s="166"/>
      <c r="W202" s="265"/>
      <c r="X202" s="180" t="e">
        <f t="shared" si="72"/>
        <v>#N/A</v>
      </c>
      <c r="Y202" s="486"/>
      <c r="Z202" s="180"/>
      <c r="AA202" s="166"/>
      <c r="AB202" s="265"/>
      <c r="AC202" s="180" t="e">
        <f t="shared" si="73"/>
        <v>#N/A</v>
      </c>
      <c r="AD202" s="486"/>
      <c r="AE202" s="180"/>
      <c r="AF202" s="166"/>
      <c r="AG202" s="265"/>
      <c r="AH202" s="180" t="e">
        <f t="shared" si="74"/>
        <v>#N/A</v>
      </c>
      <c r="AI202" s="486"/>
      <c r="AJ202" s="180"/>
      <c r="AK202" s="166"/>
      <c r="AL202" s="265"/>
      <c r="AM202" s="180" t="e">
        <f t="shared" si="75"/>
        <v>#N/A</v>
      </c>
      <c r="AN202" s="486"/>
      <c r="AO202" s="180"/>
      <c r="AP202" s="166"/>
      <c r="AQ202" s="265"/>
      <c r="AR202" s="180" t="e">
        <f t="shared" si="76"/>
        <v>#N/A</v>
      </c>
      <c r="AS202" s="486"/>
      <c r="AT202" s="180"/>
      <c r="AU202" s="166"/>
      <c r="AV202" s="265"/>
      <c r="AW202" s="383" t="e">
        <f t="shared" si="77"/>
        <v>#N/A</v>
      </c>
      <c r="AX202" s="501"/>
    </row>
    <row r="203" spans="2:50">
      <c r="B203" s="479"/>
      <c r="C203" s="180">
        <v>22</v>
      </c>
      <c r="D203" s="180"/>
      <c r="E203" s="166"/>
      <c r="F203" s="166"/>
      <c r="G203" s="166"/>
      <c r="H203" s="460"/>
      <c r="I203" s="166"/>
      <c r="J203" s="166"/>
      <c r="K203" s="265"/>
      <c r="L203" s="460"/>
      <c r="M203" s="166" t="e">
        <f>RANK(K203, K$182:$K$211)</f>
        <v>#DIV/0!</v>
      </c>
      <c r="N203" s="462"/>
      <c r="O203" s="462"/>
      <c r="P203" s="180"/>
      <c r="Q203" s="166"/>
      <c r="R203" s="265"/>
      <c r="S203" s="180" t="e">
        <f t="shared" si="71"/>
        <v>#N/A</v>
      </c>
      <c r="T203" s="486"/>
      <c r="U203" s="180"/>
      <c r="V203" s="166"/>
      <c r="W203" s="265"/>
      <c r="X203" s="180" t="e">
        <f t="shared" si="72"/>
        <v>#N/A</v>
      </c>
      <c r="Y203" s="486"/>
      <c r="Z203" s="180"/>
      <c r="AA203" s="166"/>
      <c r="AB203" s="265"/>
      <c r="AC203" s="180" t="e">
        <f t="shared" si="73"/>
        <v>#N/A</v>
      </c>
      <c r="AD203" s="486"/>
      <c r="AE203" s="180"/>
      <c r="AF203" s="166"/>
      <c r="AG203" s="265"/>
      <c r="AH203" s="180" t="e">
        <f t="shared" si="74"/>
        <v>#N/A</v>
      </c>
      <c r="AI203" s="486"/>
      <c r="AJ203" s="180"/>
      <c r="AK203" s="166"/>
      <c r="AL203" s="265"/>
      <c r="AM203" s="180" t="e">
        <f t="shared" si="75"/>
        <v>#N/A</v>
      </c>
      <c r="AN203" s="486"/>
      <c r="AO203" s="180"/>
      <c r="AP203" s="166"/>
      <c r="AQ203" s="265"/>
      <c r="AR203" s="180" t="e">
        <f t="shared" si="76"/>
        <v>#N/A</v>
      </c>
      <c r="AS203" s="486"/>
      <c r="AT203" s="180"/>
      <c r="AU203" s="166"/>
      <c r="AV203" s="265"/>
      <c r="AW203" s="383" t="e">
        <f t="shared" si="77"/>
        <v>#N/A</v>
      </c>
      <c r="AX203" s="501"/>
    </row>
    <row r="204" spans="2:50">
      <c r="B204" s="479"/>
      <c r="C204" s="180">
        <v>23</v>
      </c>
      <c r="D204" s="180"/>
      <c r="E204" s="166"/>
      <c r="F204" s="166"/>
      <c r="G204" s="166"/>
      <c r="H204" s="460"/>
      <c r="I204" s="166"/>
      <c r="J204" s="166"/>
      <c r="K204" s="265"/>
      <c r="L204" s="460"/>
      <c r="M204" s="166" t="e">
        <f>RANK(K204, K$182:$K$211)</f>
        <v>#DIV/0!</v>
      </c>
      <c r="N204" s="462"/>
      <c r="O204" s="462"/>
      <c r="P204" s="180"/>
      <c r="Q204" s="180"/>
      <c r="R204" s="265"/>
      <c r="S204" s="180" t="e">
        <f t="shared" si="71"/>
        <v>#N/A</v>
      </c>
      <c r="T204" s="486"/>
      <c r="U204" s="180"/>
      <c r="V204" s="180"/>
      <c r="W204" s="265"/>
      <c r="X204" s="180" t="e">
        <f t="shared" si="72"/>
        <v>#N/A</v>
      </c>
      <c r="Y204" s="486"/>
      <c r="Z204" s="180"/>
      <c r="AA204" s="180"/>
      <c r="AB204" s="265"/>
      <c r="AC204" s="180" t="e">
        <f t="shared" si="73"/>
        <v>#N/A</v>
      </c>
      <c r="AD204" s="486"/>
      <c r="AE204" s="180"/>
      <c r="AF204" s="180"/>
      <c r="AG204" s="265"/>
      <c r="AH204" s="180" t="e">
        <f t="shared" si="74"/>
        <v>#N/A</v>
      </c>
      <c r="AI204" s="486"/>
      <c r="AJ204" s="180"/>
      <c r="AK204" s="180"/>
      <c r="AL204" s="265"/>
      <c r="AM204" s="180" t="e">
        <f t="shared" si="75"/>
        <v>#N/A</v>
      </c>
      <c r="AN204" s="486"/>
      <c r="AO204" s="180"/>
      <c r="AP204" s="180"/>
      <c r="AQ204" s="265"/>
      <c r="AR204" s="180" t="e">
        <f t="shared" si="76"/>
        <v>#N/A</v>
      </c>
      <c r="AS204" s="486"/>
      <c r="AT204" s="180"/>
      <c r="AU204" s="180"/>
      <c r="AV204" s="265"/>
      <c r="AW204" s="383" t="e">
        <f t="shared" si="77"/>
        <v>#N/A</v>
      </c>
      <c r="AX204" s="501"/>
    </row>
    <row r="205" spans="2:50">
      <c r="B205" s="479"/>
      <c r="C205" s="180">
        <v>24</v>
      </c>
      <c r="D205" s="264"/>
      <c r="E205" s="166"/>
      <c r="F205" s="166"/>
      <c r="G205" s="166"/>
      <c r="H205" s="460"/>
      <c r="I205" s="166"/>
      <c r="J205" s="166"/>
      <c r="K205" s="265"/>
      <c r="L205" s="460"/>
      <c r="M205" s="166" t="e">
        <f>RANK(K205, K$182:$K$211)</f>
        <v>#DIV/0!</v>
      </c>
      <c r="N205" s="462"/>
      <c r="O205" s="462"/>
      <c r="P205" s="180"/>
      <c r="Q205" s="180"/>
      <c r="R205" s="180"/>
      <c r="S205" s="180" t="e">
        <f t="shared" si="71"/>
        <v>#N/A</v>
      </c>
      <c r="T205" s="486"/>
      <c r="U205" s="180"/>
      <c r="V205" s="180"/>
      <c r="W205" s="180"/>
      <c r="X205" s="180" t="e">
        <f t="shared" si="72"/>
        <v>#N/A</v>
      </c>
      <c r="Y205" s="486"/>
      <c r="Z205" s="180"/>
      <c r="AA205" s="180"/>
      <c r="AB205" s="180"/>
      <c r="AC205" s="180" t="e">
        <f t="shared" si="73"/>
        <v>#N/A</v>
      </c>
      <c r="AD205" s="486"/>
      <c r="AE205" s="180"/>
      <c r="AF205" s="180"/>
      <c r="AG205" s="180"/>
      <c r="AH205" s="180" t="e">
        <f t="shared" si="74"/>
        <v>#N/A</v>
      </c>
      <c r="AI205" s="486"/>
      <c r="AJ205" s="180"/>
      <c r="AK205" s="180"/>
      <c r="AL205" s="180"/>
      <c r="AM205" s="180" t="e">
        <f t="shared" si="75"/>
        <v>#N/A</v>
      </c>
      <c r="AN205" s="486"/>
      <c r="AO205" s="180"/>
      <c r="AP205" s="180"/>
      <c r="AQ205" s="180"/>
      <c r="AR205" s="180" t="e">
        <f t="shared" si="76"/>
        <v>#N/A</v>
      </c>
      <c r="AS205" s="486"/>
      <c r="AT205" s="180"/>
      <c r="AU205" s="180"/>
      <c r="AV205" s="180"/>
      <c r="AW205" s="383" t="e">
        <f t="shared" si="77"/>
        <v>#N/A</v>
      </c>
      <c r="AX205" s="501"/>
    </row>
    <row r="206" spans="2:50">
      <c r="B206" s="479"/>
      <c r="C206" s="180">
        <v>25</v>
      </c>
      <c r="D206" s="180"/>
      <c r="E206" s="166"/>
      <c r="F206" s="166"/>
      <c r="G206" s="166"/>
      <c r="H206" s="460"/>
      <c r="I206" s="166"/>
      <c r="J206" s="166"/>
      <c r="K206" s="265"/>
      <c r="L206" s="460"/>
      <c r="M206" s="166" t="e">
        <f>RANK(K206, K$182:$K$211)</f>
        <v>#DIV/0!</v>
      </c>
      <c r="N206" s="462"/>
      <c r="O206" s="462"/>
      <c r="P206" s="180"/>
      <c r="Q206" s="180"/>
      <c r="R206" s="180"/>
      <c r="S206" s="180" t="e">
        <f t="shared" si="71"/>
        <v>#N/A</v>
      </c>
      <c r="T206" s="486"/>
      <c r="U206" s="180"/>
      <c r="V206" s="180"/>
      <c r="W206" s="180"/>
      <c r="X206" s="180" t="e">
        <f t="shared" si="72"/>
        <v>#N/A</v>
      </c>
      <c r="Y206" s="486"/>
      <c r="Z206" s="180"/>
      <c r="AA206" s="180"/>
      <c r="AB206" s="180"/>
      <c r="AC206" s="180" t="e">
        <f t="shared" si="73"/>
        <v>#N/A</v>
      </c>
      <c r="AD206" s="486"/>
      <c r="AE206" s="180"/>
      <c r="AF206" s="180"/>
      <c r="AG206" s="180"/>
      <c r="AH206" s="180" t="e">
        <f t="shared" si="74"/>
        <v>#N/A</v>
      </c>
      <c r="AI206" s="486"/>
      <c r="AJ206" s="180"/>
      <c r="AK206" s="180"/>
      <c r="AL206" s="180"/>
      <c r="AM206" s="180" t="e">
        <f t="shared" si="75"/>
        <v>#N/A</v>
      </c>
      <c r="AN206" s="486"/>
      <c r="AO206" s="180"/>
      <c r="AP206" s="180"/>
      <c r="AQ206" s="180"/>
      <c r="AR206" s="180" t="e">
        <f t="shared" si="76"/>
        <v>#N/A</v>
      </c>
      <c r="AS206" s="486"/>
      <c r="AT206" s="180"/>
      <c r="AU206" s="180"/>
      <c r="AV206" s="180"/>
      <c r="AW206" s="383" t="e">
        <f t="shared" si="77"/>
        <v>#N/A</v>
      </c>
      <c r="AX206" s="501"/>
    </row>
    <row r="207" spans="2:50">
      <c r="B207" s="479"/>
      <c r="C207" s="180">
        <v>26</v>
      </c>
      <c r="D207" s="180"/>
      <c r="E207" s="166"/>
      <c r="F207" s="166"/>
      <c r="G207" s="166"/>
      <c r="H207" s="460"/>
      <c r="I207" s="166"/>
      <c r="J207" s="166"/>
      <c r="K207" s="265"/>
      <c r="L207" s="460"/>
      <c r="M207" s="166" t="e">
        <f>RANK(K207, K$182:$K$211)</f>
        <v>#DIV/0!</v>
      </c>
      <c r="N207" s="462"/>
      <c r="O207" s="462"/>
      <c r="P207" s="180"/>
      <c r="Q207" s="180"/>
      <c r="R207" s="180"/>
      <c r="S207" s="180" t="e">
        <f t="shared" si="71"/>
        <v>#N/A</v>
      </c>
      <c r="T207" s="486"/>
      <c r="U207" s="180"/>
      <c r="V207" s="180"/>
      <c r="W207" s="180"/>
      <c r="X207" s="180" t="e">
        <f t="shared" si="72"/>
        <v>#N/A</v>
      </c>
      <c r="Y207" s="486"/>
      <c r="Z207" s="180"/>
      <c r="AA207" s="180"/>
      <c r="AB207" s="180"/>
      <c r="AC207" s="180" t="e">
        <f t="shared" si="73"/>
        <v>#N/A</v>
      </c>
      <c r="AD207" s="486"/>
      <c r="AE207" s="180"/>
      <c r="AF207" s="180"/>
      <c r="AG207" s="180"/>
      <c r="AH207" s="180" t="e">
        <f t="shared" si="74"/>
        <v>#N/A</v>
      </c>
      <c r="AI207" s="486"/>
      <c r="AJ207" s="180"/>
      <c r="AK207" s="180"/>
      <c r="AL207" s="180"/>
      <c r="AM207" s="180" t="e">
        <f t="shared" si="75"/>
        <v>#N/A</v>
      </c>
      <c r="AN207" s="486"/>
      <c r="AO207" s="180"/>
      <c r="AP207" s="180"/>
      <c r="AQ207" s="180"/>
      <c r="AR207" s="180" t="e">
        <f t="shared" si="76"/>
        <v>#N/A</v>
      </c>
      <c r="AS207" s="486"/>
      <c r="AT207" s="180"/>
      <c r="AU207" s="180"/>
      <c r="AV207" s="180"/>
      <c r="AW207" s="383" t="e">
        <f t="shared" si="77"/>
        <v>#N/A</v>
      </c>
      <c r="AX207" s="501"/>
    </row>
    <row r="208" spans="2:50">
      <c r="B208" s="479"/>
      <c r="C208" s="180">
        <v>27</v>
      </c>
      <c r="D208" s="180"/>
      <c r="E208" s="166"/>
      <c r="F208" s="166"/>
      <c r="G208" s="166"/>
      <c r="H208" s="460"/>
      <c r="I208" s="166"/>
      <c r="J208" s="166"/>
      <c r="K208" s="265"/>
      <c r="L208" s="460"/>
      <c r="M208" s="166" t="e">
        <f>RANK(K208, K$182:$K$211)</f>
        <v>#DIV/0!</v>
      </c>
      <c r="N208" s="462"/>
      <c r="O208" s="462"/>
      <c r="P208" s="180"/>
      <c r="Q208" s="180"/>
      <c r="R208" s="180"/>
      <c r="S208" s="180" t="e">
        <f t="shared" si="71"/>
        <v>#N/A</v>
      </c>
      <c r="T208" s="486"/>
      <c r="U208" s="180"/>
      <c r="V208" s="180"/>
      <c r="W208" s="180"/>
      <c r="X208" s="180" t="e">
        <f t="shared" si="72"/>
        <v>#N/A</v>
      </c>
      <c r="Y208" s="486"/>
      <c r="Z208" s="180"/>
      <c r="AA208" s="180"/>
      <c r="AB208" s="180"/>
      <c r="AC208" s="180" t="e">
        <f t="shared" si="73"/>
        <v>#N/A</v>
      </c>
      <c r="AD208" s="486"/>
      <c r="AE208" s="180"/>
      <c r="AF208" s="180"/>
      <c r="AG208" s="180"/>
      <c r="AH208" s="180" t="e">
        <f t="shared" si="74"/>
        <v>#N/A</v>
      </c>
      <c r="AI208" s="486"/>
      <c r="AJ208" s="180"/>
      <c r="AK208" s="180"/>
      <c r="AL208" s="180"/>
      <c r="AM208" s="180" t="e">
        <f t="shared" si="75"/>
        <v>#N/A</v>
      </c>
      <c r="AN208" s="486"/>
      <c r="AO208" s="180"/>
      <c r="AP208" s="180"/>
      <c r="AQ208" s="180"/>
      <c r="AR208" s="180" t="e">
        <f t="shared" si="76"/>
        <v>#N/A</v>
      </c>
      <c r="AS208" s="486"/>
      <c r="AT208" s="180"/>
      <c r="AU208" s="180"/>
      <c r="AV208" s="180"/>
      <c r="AW208" s="383" t="e">
        <f t="shared" si="77"/>
        <v>#N/A</v>
      </c>
      <c r="AX208" s="501"/>
    </row>
    <row r="209" spans="2:50">
      <c r="B209" s="479"/>
      <c r="C209" s="180">
        <v>28</v>
      </c>
      <c r="D209" s="180"/>
      <c r="E209" s="166"/>
      <c r="F209" s="166"/>
      <c r="G209" s="166"/>
      <c r="H209" s="460"/>
      <c r="I209" s="166"/>
      <c r="J209" s="166"/>
      <c r="K209" s="265"/>
      <c r="L209" s="460"/>
      <c r="M209" s="166" t="e">
        <f>RANK(K209, K$182:$K$211)</f>
        <v>#DIV/0!</v>
      </c>
      <c r="N209" s="462"/>
      <c r="O209" s="462"/>
      <c r="P209" s="180"/>
      <c r="Q209" s="180"/>
      <c r="R209" s="180"/>
      <c r="S209" s="180" t="e">
        <f t="shared" si="71"/>
        <v>#N/A</v>
      </c>
      <c r="T209" s="486"/>
      <c r="U209" s="180"/>
      <c r="V209" s="180"/>
      <c r="W209" s="180"/>
      <c r="X209" s="180" t="e">
        <f t="shared" si="72"/>
        <v>#N/A</v>
      </c>
      <c r="Y209" s="486"/>
      <c r="Z209" s="180"/>
      <c r="AA209" s="180"/>
      <c r="AB209" s="180"/>
      <c r="AC209" s="180" t="e">
        <f t="shared" si="73"/>
        <v>#N/A</v>
      </c>
      <c r="AD209" s="486"/>
      <c r="AE209" s="180"/>
      <c r="AF209" s="180"/>
      <c r="AG209" s="180"/>
      <c r="AH209" s="180" t="e">
        <f t="shared" si="74"/>
        <v>#N/A</v>
      </c>
      <c r="AI209" s="486"/>
      <c r="AJ209" s="180"/>
      <c r="AK209" s="180"/>
      <c r="AL209" s="180"/>
      <c r="AM209" s="180" t="e">
        <f t="shared" si="75"/>
        <v>#N/A</v>
      </c>
      <c r="AN209" s="486"/>
      <c r="AO209" s="180"/>
      <c r="AP209" s="180"/>
      <c r="AQ209" s="180"/>
      <c r="AR209" s="180" t="e">
        <f t="shared" si="76"/>
        <v>#N/A</v>
      </c>
      <c r="AS209" s="486"/>
      <c r="AT209" s="180"/>
      <c r="AU209" s="180"/>
      <c r="AV209" s="180"/>
      <c r="AW209" s="383" t="e">
        <f t="shared" si="77"/>
        <v>#N/A</v>
      </c>
      <c r="AX209" s="501"/>
    </row>
    <row r="210" spans="2:50">
      <c r="B210" s="479"/>
      <c r="C210" s="180">
        <v>29</v>
      </c>
      <c r="D210" s="180"/>
      <c r="E210" s="166"/>
      <c r="F210" s="166"/>
      <c r="G210" s="166"/>
      <c r="H210" s="460"/>
      <c r="I210" s="166"/>
      <c r="J210" s="166"/>
      <c r="K210" s="265"/>
      <c r="L210" s="460"/>
      <c r="M210" s="166" t="e">
        <f>RANK(K210, K$182:$K$211)</f>
        <v>#DIV/0!</v>
      </c>
      <c r="N210" s="462"/>
      <c r="O210" s="462"/>
      <c r="P210" s="180"/>
      <c r="Q210" s="180"/>
      <c r="R210" s="180"/>
      <c r="S210" s="180" t="e">
        <f t="shared" si="71"/>
        <v>#N/A</v>
      </c>
      <c r="T210" s="486"/>
      <c r="U210" s="180"/>
      <c r="V210" s="180"/>
      <c r="W210" s="180"/>
      <c r="X210" s="180" t="e">
        <f t="shared" si="72"/>
        <v>#N/A</v>
      </c>
      <c r="Y210" s="486"/>
      <c r="Z210" s="180"/>
      <c r="AA210" s="180"/>
      <c r="AB210" s="180"/>
      <c r="AC210" s="180" t="e">
        <f t="shared" si="73"/>
        <v>#N/A</v>
      </c>
      <c r="AD210" s="486"/>
      <c r="AE210" s="180"/>
      <c r="AF210" s="180"/>
      <c r="AG210" s="180"/>
      <c r="AH210" s="180" t="e">
        <f t="shared" si="74"/>
        <v>#N/A</v>
      </c>
      <c r="AI210" s="486"/>
      <c r="AJ210" s="180"/>
      <c r="AK210" s="180"/>
      <c r="AL210" s="180"/>
      <c r="AM210" s="180" t="e">
        <f t="shared" si="75"/>
        <v>#N/A</v>
      </c>
      <c r="AN210" s="486"/>
      <c r="AO210" s="180"/>
      <c r="AP210" s="180"/>
      <c r="AQ210" s="180"/>
      <c r="AR210" s="180" t="e">
        <f t="shared" si="76"/>
        <v>#N/A</v>
      </c>
      <c r="AS210" s="486"/>
      <c r="AT210" s="180"/>
      <c r="AU210" s="180"/>
      <c r="AV210" s="180"/>
      <c r="AW210" s="383" t="e">
        <f t="shared" si="77"/>
        <v>#N/A</v>
      </c>
      <c r="AX210" s="501"/>
    </row>
    <row r="211" spans="2:50">
      <c r="B211" s="479"/>
      <c r="C211" s="180">
        <v>30</v>
      </c>
      <c r="D211" s="180"/>
      <c r="E211" s="166"/>
      <c r="F211" s="166"/>
      <c r="G211" s="166"/>
      <c r="H211" s="460"/>
      <c r="I211" s="166"/>
      <c r="J211" s="166"/>
      <c r="K211" s="265"/>
      <c r="L211" s="461"/>
      <c r="M211" s="166" t="e">
        <f>RANK(K211, K$182:$K$211)</f>
        <v>#DIV/0!</v>
      </c>
      <c r="N211" s="462"/>
      <c r="O211" s="462"/>
      <c r="P211" s="180"/>
      <c r="Q211" s="180"/>
      <c r="R211" s="180"/>
      <c r="S211" s="180" t="e">
        <f t="shared" si="71"/>
        <v>#N/A</v>
      </c>
      <c r="T211" s="486"/>
      <c r="U211" s="180"/>
      <c r="V211" s="180"/>
      <c r="W211" s="180"/>
      <c r="X211" s="180" t="e">
        <f t="shared" si="72"/>
        <v>#N/A</v>
      </c>
      <c r="Y211" s="486"/>
      <c r="Z211" s="180"/>
      <c r="AA211" s="180"/>
      <c r="AB211" s="180"/>
      <c r="AC211" s="180" t="e">
        <f t="shared" si="73"/>
        <v>#N/A</v>
      </c>
      <c r="AD211" s="486"/>
      <c r="AE211" s="180"/>
      <c r="AF211" s="180"/>
      <c r="AG211" s="180"/>
      <c r="AH211" s="180" t="e">
        <f t="shared" si="74"/>
        <v>#N/A</v>
      </c>
      <c r="AI211" s="486"/>
      <c r="AJ211" s="180"/>
      <c r="AK211" s="180"/>
      <c r="AL211" s="180"/>
      <c r="AM211" s="180" t="e">
        <f t="shared" si="75"/>
        <v>#N/A</v>
      </c>
      <c r="AN211" s="486"/>
      <c r="AO211" s="180"/>
      <c r="AP211" s="180"/>
      <c r="AQ211" s="180"/>
      <c r="AR211" s="180" t="e">
        <f t="shared" si="76"/>
        <v>#N/A</v>
      </c>
      <c r="AS211" s="486"/>
      <c r="AT211" s="180"/>
      <c r="AU211" s="180"/>
      <c r="AV211" s="180"/>
      <c r="AW211" s="383" t="e">
        <f t="shared" si="77"/>
        <v>#N/A</v>
      </c>
      <c r="AX211" s="501"/>
    </row>
    <row r="213" spans="2:50" ht="15.75">
      <c r="B213" s="502" t="s">
        <v>746</v>
      </c>
      <c r="C213" s="503"/>
      <c r="D213" s="503"/>
      <c r="E213" s="503"/>
      <c r="F213" s="503"/>
      <c r="G213" s="503"/>
      <c r="H213" s="503"/>
      <c r="I213" s="266"/>
      <c r="J213" s="266"/>
      <c r="K213" s="266"/>
      <c r="L213" s="266"/>
      <c r="M213" s="267"/>
    </row>
    <row r="214" spans="2:50" ht="15.75">
      <c r="B214" s="504"/>
      <c r="C214" s="504"/>
      <c r="D214" s="504"/>
      <c r="E214" s="504"/>
      <c r="F214" s="504"/>
      <c r="G214" s="504"/>
      <c r="H214" s="504"/>
      <c r="I214" s="268"/>
      <c r="J214" s="268"/>
      <c r="K214" s="268"/>
      <c r="L214" s="268"/>
      <c r="M214" s="269"/>
    </row>
    <row r="215" spans="2:50">
      <c r="B215" s="462" t="s">
        <v>731</v>
      </c>
      <c r="C215" s="462" t="s">
        <v>732</v>
      </c>
      <c r="D215" s="462"/>
      <c r="E215" s="462" t="s">
        <v>733</v>
      </c>
      <c r="F215" s="462"/>
      <c r="G215" s="462"/>
      <c r="H215" s="462" t="s">
        <v>734</v>
      </c>
      <c r="I215" s="505" t="s">
        <v>735</v>
      </c>
      <c r="J215" s="505"/>
      <c r="K215" s="505"/>
      <c r="L215" s="505" t="s">
        <v>734</v>
      </c>
      <c r="M215" s="505" t="s">
        <v>736</v>
      </c>
    </row>
    <row r="216" spans="2:50">
      <c r="B216" s="462"/>
      <c r="C216" s="462"/>
      <c r="D216" s="462"/>
      <c r="E216" s="462" t="s">
        <v>739</v>
      </c>
      <c r="F216" s="462"/>
      <c r="G216" s="462"/>
      <c r="H216" s="462"/>
      <c r="I216" s="505" t="s">
        <v>739</v>
      </c>
      <c r="J216" s="505"/>
      <c r="K216" s="505"/>
      <c r="L216" s="505"/>
      <c r="M216" s="505"/>
    </row>
    <row r="217" spans="2:50">
      <c r="B217" s="462"/>
      <c r="C217" s="462"/>
      <c r="D217" s="462"/>
      <c r="E217" s="264" t="s">
        <v>741</v>
      </c>
      <c r="F217" s="264" t="s">
        <v>742</v>
      </c>
      <c r="G217" s="264" t="s">
        <v>743</v>
      </c>
      <c r="H217" s="462"/>
      <c r="I217" s="270" t="s">
        <v>741</v>
      </c>
      <c r="J217" s="270" t="s">
        <v>742</v>
      </c>
      <c r="K217" s="270" t="s">
        <v>743</v>
      </c>
      <c r="L217" s="505"/>
      <c r="M217" s="505"/>
    </row>
    <row r="218" spans="2:50">
      <c r="B218" s="496" t="s">
        <v>745</v>
      </c>
      <c r="C218" s="180">
        <v>1</v>
      </c>
      <c r="D218" s="180"/>
      <c r="E218" s="180"/>
      <c r="F218" s="180"/>
      <c r="G218" s="180"/>
      <c r="H218" s="486" t="e">
        <f>AVERAGE(G218:G247)</f>
        <v>#DIV/0!</v>
      </c>
      <c r="I218" s="166" t="e">
        <f t="shared" ref="I218:K240" si="79">AVERAGEIF($D$7:$D$211,$D218,I$7:I$211)</f>
        <v>#DIV/0!</v>
      </c>
      <c r="J218" s="166" t="e">
        <f t="shared" si="79"/>
        <v>#DIV/0!</v>
      </c>
      <c r="K218" s="166" t="e">
        <f>AVERAGEIF($D$7:$D$211,$D218,K$7:K$211)</f>
        <v>#DIV/0!</v>
      </c>
      <c r="L218" s="506" t="e">
        <f>AVERAGE(K218:K247)</f>
        <v>#DIV/0!</v>
      </c>
      <c r="M218" s="166" t="e">
        <f>RANK(K218, K$218:$K$247)</f>
        <v>#DIV/0!</v>
      </c>
    </row>
    <row r="219" spans="2:50">
      <c r="B219" s="479"/>
      <c r="C219" s="180">
        <v>2</v>
      </c>
      <c r="D219" s="180"/>
      <c r="E219" s="180"/>
      <c r="F219" s="180"/>
      <c r="G219" s="180"/>
      <c r="H219" s="486"/>
      <c r="I219" s="166" t="e">
        <f t="shared" si="79"/>
        <v>#DIV/0!</v>
      </c>
      <c r="J219" s="166" t="e">
        <f t="shared" si="79"/>
        <v>#DIV/0!</v>
      </c>
      <c r="K219" s="166" t="e">
        <f t="shared" si="79"/>
        <v>#DIV/0!</v>
      </c>
      <c r="L219" s="506"/>
      <c r="M219" s="166" t="e">
        <f>RANK(K219, K$218:$K$247)</f>
        <v>#DIV/0!</v>
      </c>
    </row>
    <row r="220" spans="2:50">
      <c r="B220" s="479"/>
      <c r="C220" s="180">
        <v>3</v>
      </c>
      <c r="D220" s="180"/>
      <c r="E220" s="180"/>
      <c r="F220" s="180"/>
      <c r="G220" s="180"/>
      <c r="H220" s="486"/>
      <c r="I220" s="166" t="e">
        <f t="shared" si="79"/>
        <v>#DIV/0!</v>
      </c>
      <c r="J220" s="166" t="e">
        <f t="shared" si="79"/>
        <v>#DIV/0!</v>
      </c>
      <c r="K220" s="166" t="e">
        <f t="shared" si="79"/>
        <v>#DIV/0!</v>
      </c>
      <c r="L220" s="506"/>
      <c r="M220" s="166" t="e">
        <f>RANK(K220, K$218:$K$247)</f>
        <v>#DIV/0!</v>
      </c>
    </row>
    <row r="221" spans="2:50">
      <c r="B221" s="479"/>
      <c r="C221" s="180">
        <v>4</v>
      </c>
      <c r="D221" s="180"/>
      <c r="E221" s="180"/>
      <c r="F221" s="180"/>
      <c r="G221" s="180"/>
      <c r="H221" s="486"/>
      <c r="I221" s="166" t="e">
        <f t="shared" si="79"/>
        <v>#DIV/0!</v>
      </c>
      <c r="J221" s="166" t="e">
        <f t="shared" si="79"/>
        <v>#DIV/0!</v>
      </c>
      <c r="K221" s="166" t="e">
        <f t="shared" si="79"/>
        <v>#DIV/0!</v>
      </c>
      <c r="L221" s="506"/>
      <c r="M221" s="166" t="e">
        <f>RANK(K221, K$218:$K$247)</f>
        <v>#DIV/0!</v>
      </c>
    </row>
    <row r="222" spans="2:50">
      <c r="B222" s="479"/>
      <c r="C222" s="180">
        <v>5</v>
      </c>
      <c r="D222" s="180"/>
      <c r="E222" s="180"/>
      <c r="F222" s="180"/>
      <c r="G222" s="180"/>
      <c r="H222" s="486"/>
      <c r="I222" s="166" t="e">
        <f t="shared" si="79"/>
        <v>#DIV/0!</v>
      </c>
      <c r="J222" s="166" t="e">
        <f t="shared" si="79"/>
        <v>#DIV/0!</v>
      </c>
      <c r="K222" s="166" t="e">
        <f t="shared" si="79"/>
        <v>#DIV/0!</v>
      </c>
      <c r="L222" s="506"/>
      <c r="M222" s="166" t="e">
        <f>RANK(K222, K$218:$K$247)</f>
        <v>#DIV/0!</v>
      </c>
    </row>
    <row r="223" spans="2:50">
      <c r="B223" s="479"/>
      <c r="C223" s="180">
        <v>6</v>
      </c>
      <c r="D223" s="180"/>
      <c r="E223" s="180"/>
      <c r="F223" s="180"/>
      <c r="G223" s="180"/>
      <c r="H223" s="486"/>
      <c r="I223" s="166" t="e">
        <f t="shared" si="79"/>
        <v>#DIV/0!</v>
      </c>
      <c r="J223" s="166" t="e">
        <f t="shared" si="79"/>
        <v>#DIV/0!</v>
      </c>
      <c r="K223" s="166" t="e">
        <f t="shared" si="79"/>
        <v>#DIV/0!</v>
      </c>
      <c r="L223" s="506"/>
      <c r="M223" s="166" t="e">
        <f>RANK(K223, K$218:$K$247)</f>
        <v>#DIV/0!</v>
      </c>
    </row>
    <row r="224" spans="2:50">
      <c r="B224" s="479"/>
      <c r="C224" s="180">
        <v>7</v>
      </c>
      <c r="D224" s="264"/>
      <c r="E224" s="180"/>
      <c r="F224" s="180"/>
      <c r="G224" s="180"/>
      <c r="H224" s="486"/>
      <c r="I224" s="166" t="e">
        <f t="shared" si="79"/>
        <v>#DIV/0!</v>
      </c>
      <c r="J224" s="166" t="e">
        <f t="shared" si="79"/>
        <v>#DIV/0!</v>
      </c>
      <c r="K224" s="166" t="e">
        <f t="shared" si="79"/>
        <v>#DIV/0!</v>
      </c>
      <c r="L224" s="506"/>
      <c r="M224" s="166" t="e">
        <f>RANK(K224, K$218:$K$247)</f>
        <v>#DIV/0!</v>
      </c>
    </row>
    <row r="225" spans="2:13" s="103" customFormat="1">
      <c r="B225" s="479"/>
      <c r="C225" s="180">
        <v>8</v>
      </c>
      <c r="D225" s="264"/>
      <c r="E225" s="180"/>
      <c r="F225" s="180"/>
      <c r="G225" s="180"/>
      <c r="H225" s="486"/>
      <c r="I225" s="166" t="e">
        <f t="shared" si="79"/>
        <v>#DIV/0!</v>
      </c>
      <c r="J225" s="166" t="e">
        <f t="shared" si="79"/>
        <v>#DIV/0!</v>
      </c>
      <c r="K225" s="166" t="e">
        <f t="shared" si="79"/>
        <v>#DIV/0!</v>
      </c>
      <c r="L225" s="506"/>
      <c r="M225" s="166" t="e">
        <f>RANK(K225, K$218:$K$247)</f>
        <v>#DIV/0!</v>
      </c>
    </row>
    <row r="226" spans="2:13" s="103" customFormat="1">
      <c r="B226" s="479"/>
      <c r="C226" s="180">
        <v>9</v>
      </c>
      <c r="D226" s="180"/>
      <c r="E226" s="180"/>
      <c r="F226" s="180"/>
      <c r="G226" s="180"/>
      <c r="H226" s="486"/>
      <c r="I226" s="166" t="e">
        <f t="shared" si="79"/>
        <v>#DIV/0!</v>
      </c>
      <c r="J226" s="166" t="e">
        <f t="shared" si="79"/>
        <v>#DIV/0!</v>
      </c>
      <c r="K226" s="166" t="e">
        <f t="shared" si="79"/>
        <v>#DIV/0!</v>
      </c>
      <c r="L226" s="506"/>
      <c r="M226" s="166" t="e">
        <f>RANK(K226, K$218:$K$247)</f>
        <v>#DIV/0!</v>
      </c>
    </row>
    <row r="227" spans="2:13" s="103" customFormat="1">
      <c r="B227" s="479"/>
      <c r="C227" s="180">
        <v>10</v>
      </c>
      <c r="D227" s="180"/>
      <c r="E227" s="180"/>
      <c r="F227" s="180"/>
      <c r="G227" s="180"/>
      <c r="H227" s="486"/>
      <c r="I227" s="166" t="e">
        <f t="shared" si="79"/>
        <v>#DIV/0!</v>
      </c>
      <c r="J227" s="166" t="e">
        <f t="shared" si="79"/>
        <v>#DIV/0!</v>
      </c>
      <c r="K227" s="166" t="e">
        <f t="shared" si="79"/>
        <v>#DIV/0!</v>
      </c>
      <c r="L227" s="506"/>
      <c r="M227" s="166" t="e">
        <f>RANK(K227, K$218:$K$247)</f>
        <v>#DIV/0!</v>
      </c>
    </row>
    <row r="228" spans="2:13" s="103" customFormat="1">
      <c r="B228" s="479"/>
      <c r="C228" s="180">
        <v>11</v>
      </c>
      <c r="D228" s="180"/>
      <c r="E228" s="180"/>
      <c r="F228" s="180"/>
      <c r="G228" s="180"/>
      <c r="H228" s="486"/>
      <c r="I228" s="166" t="e">
        <f t="shared" si="79"/>
        <v>#DIV/0!</v>
      </c>
      <c r="J228" s="166" t="e">
        <f t="shared" si="79"/>
        <v>#DIV/0!</v>
      </c>
      <c r="K228" s="166" t="e">
        <f t="shared" si="79"/>
        <v>#DIV/0!</v>
      </c>
      <c r="L228" s="506"/>
      <c r="M228" s="166" t="e">
        <f>RANK(K228, K$218:$K$247)</f>
        <v>#DIV/0!</v>
      </c>
    </row>
    <row r="229" spans="2:13" s="103" customFormat="1">
      <c r="B229" s="479"/>
      <c r="C229" s="180">
        <v>12</v>
      </c>
      <c r="D229" s="180"/>
      <c r="E229" s="180"/>
      <c r="F229" s="180"/>
      <c r="G229" s="180"/>
      <c r="H229" s="486"/>
      <c r="I229" s="166" t="e">
        <f t="shared" si="79"/>
        <v>#DIV/0!</v>
      </c>
      <c r="J229" s="166" t="e">
        <f t="shared" si="79"/>
        <v>#DIV/0!</v>
      </c>
      <c r="K229" s="166" t="e">
        <f t="shared" si="79"/>
        <v>#DIV/0!</v>
      </c>
      <c r="L229" s="506"/>
      <c r="M229" s="166" t="e">
        <f>RANK(K229, K$218:$K$247)</f>
        <v>#DIV/0!</v>
      </c>
    </row>
    <row r="230" spans="2:13" s="103" customFormat="1">
      <c r="B230" s="479"/>
      <c r="C230" s="180">
        <v>13</v>
      </c>
      <c r="D230" s="180"/>
      <c r="E230" s="180"/>
      <c r="F230" s="180"/>
      <c r="G230" s="180"/>
      <c r="H230" s="486"/>
      <c r="I230" s="166" t="e">
        <f t="shared" si="79"/>
        <v>#DIV/0!</v>
      </c>
      <c r="J230" s="166" t="e">
        <f t="shared" si="79"/>
        <v>#DIV/0!</v>
      </c>
      <c r="K230" s="166" t="e">
        <f t="shared" si="79"/>
        <v>#DIV/0!</v>
      </c>
      <c r="L230" s="506"/>
      <c r="M230" s="166" t="e">
        <f>RANK(K230, K$218:$K$247)</f>
        <v>#DIV/0!</v>
      </c>
    </row>
    <row r="231" spans="2:13" s="103" customFormat="1">
      <c r="B231" s="479"/>
      <c r="C231" s="180">
        <v>14</v>
      </c>
      <c r="D231" s="180"/>
      <c r="E231" s="180"/>
      <c r="F231" s="180"/>
      <c r="G231" s="180"/>
      <c r="H231" s="486"/>
      <c r="I231" s="166" t="e">
        <f t="shared" si="79"/>
        <v>#DIV/0!</v>
      </c>
      <c r="J231" s="166" t="e">
        <f t="shared" si="79"/>
        <v>#DIV/0!</v>
      </c>
      <c r="K231" s="166" t="e">
        <f t="shared" si="79"/>
        <v>#DIV/0!</v>
      </c>
      <c r="L231" s="506"/>
      <c r="M231" s="166" t="e">
        <f>RANK(K231, K$218:$K$247)</f>
        <v>#DIV/0!</v>
      </c>
    </row>
    <row r="232" spans="2:13" s="103" customFormat="1">
      <c r="B232" s="479"/>
      <c r="C232" s="180">
        <v>15</v>
      </c>
      <c r="D232" s="180"/>
      <c r="E232" s="180"/>
      <c r="F232" s="180"/>
      <c r="G232" s="180"/>
      <c r="H232" s="486"/>
      <c r="I232" s="166" t="e">
        <f t="shared" si="79"/>
        <v>#DIV/0!</v>
      </c>
      <c r="J232" s="166" t="e">
        <f t="shared" si="79"/>
        <v>#DIV/0!</v>
      </c>
      <c r="K232" s="166" t="e">
        <f t="shared" si="79"/>
        <v>#DIV/0!</v>
      </c>
      <c r="L232" s="506"/>
      <c r="M232" s="166" t="e">
        <f>RANK(K232, K$218:$K$247)</f>
        <v>#DIV/0!</v>
      </c>
    </row>
    <row r="233" spans="2:13" s="103" customFormat="1">
      <c r="B233" s="479"/>
      <c r="C233" s="180">
        <v>16</v>
      </c>
      <c r="D233" s="180"/>
      <c r="E233" s="180"/>
      <c r="F233" s="180"/>
      <c r="G233" s="180"/>
      <c r="H233" s="486"/>
      <c r="I233" s="166" t="e">
        <f t="shared" si="79"/>
        <v>#DIV/0!</v>
      </c>
      <c r="J233" s="166" t="e">
        <f t="shared" si="79"/>
        <v>#DIV/0!</v>
      </c>
      <c r="K233" s="166" t="e">
        <f t="shared" si="79"/>
        <v>#DIV/0!</v>
      </c>
      <c r="L233" s="506"/>
      <c r="M233" s="166" t="e">
        <f>RANK(K233, K$218:$K$247)</f>
        <v>#DIV/0!</v>
      </c>
    </row>
    <row r="234" spans="2:13" s="103" customFormat="1">
      <c r="B234" s="479"/>
      <c r="C234" s="180">
        <v>17</v>
      </c>
      <c r="D234" s="180"/>
      <c r="E234" s="180"/>
      <c r="F234" s="180"/>
      <c r="G234" s="180"/>
      <c r="H234" s="486"/>
      <c r="I234" s="166" t="e">
        <f t="shared" si="79"/>
        <v>#DIV/0!</v>
      </c>
      <c r="J234" s="166" t="e">
        <f t="shared" si="79"/>
        <v>#DIV/0!</v>
      </c>
      <c r="K234" s="166" t="e">
        <f t="shared" si="79"/>
        <v>#DIV/0!</v>
      </c>
      <c r="L234" s="506"/>
      <c r="M234" s="166" t="e">
        <f>RANK(K234, K$218:$K$247)</f>
        <v>#DIV/0!</v>
      </c>
    </row>
    <row r="235" spans="2:13" s="103" customFormat="1">
      <c r="B235" s="479"/>
      <c r="C235" s="180">
        <v>18</v>
      </c>
      <c r="D235" s="180"/>
      <c r="E235" s="180"/>
      <c r="F235" s="180"/>
      <c r="G235" s="180"/>
      <c r="H235" s="486"/>
      <c r="I235" s="166" t="e">
        <f t="shared" si="79"/>
        <v>#DIV/0!</v>
      </c>
      <c r="J235" s="166" t="e">
        <f t="shared" si="79"/>
        <v>#DIV/0!</v>
      </c>
      <c r="K235" s="166" t="e">
        <f t="shared" si="79"/>
        <v>#DIV/0!</v>
      </c>
      <c r="L235" s="506"/>
      <c r="M235" s="166" t="e">
        <f>RANK(K235, K$218:$K$247)</f>
        <v>#DIV/0!</v>
      </c>
    </row>
    <row r="236" spans="2:13" s="103" customFormat="1">
      <c r="B236" s="479"/>
      <c r="C236" s="180">
        <v>19</v>
      </c>
      <c r="D236" s="180"/>
      <c r="E236" s="180"/>
      <c r="F236" s="180"/>
      <c r="G236" s="180"/>
      <c r="H236" s="486"/>
      <c r="I236" s="166" t="e">
        <f t="shared" si="79"/>
        <v>#DIV/0!</v>
      </c>
      <c r="J236" s="166" t="e">
        <f t="shared" si="79"/>
        <v>#DIV/0!</v>
      </c>
      <c r="K236" s="166" t="e">
        <f t="shared" si="79"/>
        <v>#DIV/0!</v>
      </c>
      <c r="L236" s="506"/>
      <c r="M236" s="166" t="e">
        <f>RANK(K236, K$218:$K$247)</f>
        <v>#DIV/0!</v>
      </c>
    </row>
    <row r="237" spans="2:13" s="103" customFormat="1">
      <c r="B237" s="479"/>
      <c r="C237" s="180">
        <v>20</v>
      </c>
      <c r="D237" s="180"/>
      <c r="E237" s="180"/>
      <c r="F237" s="180"/>
      <c r="G237" s="180"/>
      <c r="H237" s="486"/>
      <c r="I237" s="166" t="e">
        <f t="shared" si="79"/>
        <v>#DIV/0!</v>
      </c>
      <c r="J237" s="166" t="e">
        <f t="shared" si="79"/>
        <v>#DIV/0!</v>
      </c>
      <c r="K237" s="166" t="e">
        <f t="shared" si="79"/>
        <v>#DIV/0!</v>
      </c>
      <c r="L237" s="506"/>
      <c r="M237" s="166" t="e">
        <f>RANK(K237, K$218:$K$247)</f>
        <v>#DIV/0!</v>
      </c>
    </row>
    <row r="238" spans="2:13" s="103" customFormat="1">
      <c r="B238" s="479"/>
      <c r="C238" s="180">
        <v>21</v>
      </c>
      <c r="D238" s="180"/>
      <c r="E238" s="180"/>
      <c r="F238" s="180"/>
      <c r="G238" s="180"/>
      <c r="H238" s="486"/>
      <c r="I238" s="166" t="e">
        <f t="shared" si="79"/>
        <v>#DIV/0!</v>
      </c>
      <c r="J238" s="166" t="e">
        <f t="shared" si="79"/>
        <v>#DIV/0!</v>
      </c>
      <c r="K238" s="166" t="e">
        <f t="shared" si="79"/>
        <v>#DIV/0!</v>
      </c>
      <c r="L238" s="506"/>
      <c r="M238" s="166" t="e">
        <f>RANK(K238, K$218:$K$247)</f>
        <v>#DIV/0!</v>
      </c>
    </row>
    <row r="239" spans="2:13" s="103" customFormat="1">
      <c r="B239" s="479"/>
      <c r="C239" s="180">
        <v>22</v>
      </c>
      <c r="D239" s="180"/>
      <c r="E239" s="180"/>
      <c r="F239" s="180"/>
      <c r="G239" s="180"/>
      <c r="H239" s="486"/>
      <c r="I239" s="166" t="e">
        <f t="shared" si="79"/>
        <v>#DIV/0!</v>
      </c>
      <c r="J239" s="166" t="e">
        <f t="shared" si="79"/>
        <v>#DIV/0!</v>
      </c>
      <c r="K239" s="166" t="e">
        <f t="shared" si="79"/>
        <v>#DIV/0!</v>
      </c>
      <c r="L239" s="506"/>
      <c r="M239" s="166" t="e">
        <f>RANK(K239, K$218:$K$247)</f>
        <v>#DIV/0!</v>
      </c>
    </row>
    <row r="240" spans="2:13" s="103" customFormat="1">
      <c r="B240" s="479"/>
      <c r="C240" s="180">
        <v>23</v>
      </c>
      <c r="D240" s="180"/>
      <c r="E240" s="180"/>
      <c r="F240" s="180"/>
      <c r="G240" s="180"/>
      <c r="H240" s="486"/>
      <c r="I240" s="166" t="e">
        <f t="shared" si="79"/>
        <v>#DIV/0!</v>
      </c>
      <c r="J240" s="166" t="e">
        <f t="shared" si="79"/>
        <v>#DIV/0!</v>
      </c>
      <c r="K240" s="166" t="e">
        <f t="shared" si="79"/>
        <v>#DIV/0!</v>
      </c>
      <c r="L240" s="506"/>
      <c r="M240" s="166" t="e">
        <f>RANK(K240, K$218:$K$247)</f>
        <v>#DIV/0!</v>
      </c>
    </row>
    <row r="241" spans="2:39">
      <c r="B241" s="479"/>
      <c r="C241" s="180">
        <v>24</v>
      </c>
      <c r="D241" s="180"/>
      <c r="E241" s="180"/>
      <c r="F241" s="180"/>
      <c r="G241" s="180"/>
      <c r="H241" s="486"/>
      <c r="I241" s="166"/>
      <c r="J241" s="166"/>
      <c r="K241" s="166"/>
      <c r="L241" s="506"/>
      <c r="M241" s="166" t="e">
        <f>RANK(K241, K$218:$K$247)</f>
        <v>#DIV/0!</v>
      </c>
      <c r="N241" s="103"/>
      <c r="O241" s="103"/>
      <c r="P241" s="103"/>
      <c r="Q241" s="103"/>
      <c r="R241" s="103"/>
      <c r="S241" s="103"/>
      <c r="T241" s="103"/>
      <c r="X241" s="103"/>
      <c r="AC241" s="103"/>
      <c r="AH241" s="103"/>
      <c r="AM241" s="103"/>
    </row>
    <row r="242" spans="2:39">
      <c r="B242" s="479"/>
      <c r="C242" s="180">
        <v>25</v>
      </c>
      <c r="D242" s="180"/>
      <c r="E242" s="180"/>
      <c r="F242" s="180"/>
      <c r="G242" s="180"/>
      <c r="H242" s="486"/>
      <c r="I242" s="166"/>
      <c r="J242" s="166"/>
      <c r="K242" s="166"/>
      <c r="L242" s="506"/>
      <c r="M242" s="166" t="e">
        <f>RANK(K242, K$218:$K$247)</f>
        <v>#DIV/0!</v>
      </c>
      <c r="N242" s="103"/>
      <c r="O242" s="103"/>
      <c r="P242" s="103"/>
      <c r="Q242" s="103"/>
      <c r="R242" s="103"/>
      <c r="S242" s="103"/>
      <c r="T242" s="103"/>
      <c r="X242" s="103"/>
      <c r="AC242" s="103"/>
      <c r="AH242" s="103"/>
      <c r="AM242" s="103"/>
    </row>
    <row r="243" spans="2:39">
      <c r="B243" s="479"/>
      <c r="C243" s="180">
        <v>26</v>
      </c>
      <c r="D243" s="180"/>
      <c r="E243" s="180"/>
      <c r="F243" s="180"/>
      <c r="G243" s="180"/>
      <c r="H243" s="486"/>
      <c r="I243" s="166"/>
      <c r="J243" s="166"/>
      <c r="K243" s="166"/>
      <c r="L243" s="506"/>
      <c r="M243" s="166" t="e">
        <f>RANK(K243, K$218:$K$247)</f>
        <v>#DIV/0!</v>
      </c>
      <c r="N243" s="103"/>
      <c r="O243" s="103"/>
      <c r="P243" s="103"/>
      <c r="Q243" s="103"/>
      <c r="R243" s="103"/>
      <c r="S243" s="103"/>
      <c r="T243" s="103"/>
      <c r="X243" s="103"/>
      <c r="AC243" s="103"/>
      <c r="AH243" s="103"/>
      <c r="AM243" s="103"/>
    </row>
    <row r="244" spans="2:39">
      <c r="B244" s="479"/>
      <c r="C244" s="180">
        <v>27</v>
      </c>
      <c r="D244" s="180"/>
      <c r="E244" s="180"/>
      <c r="F244" s="180"/>
      <c r="G244" s="180"/>
      <c r="H244" s="486"/>
      <c r="I244" s="166"/>
      <c r="J244" s="166"/>
      <c r="K244" s="166"/>
      <c r="L244" s="506"/>
      <c r="M244" s="166" t="e">
        <f>RANK(K244, K$218:$K$247)</f>
        <v>#DIV/0!</v>
      </c>
      <c r="N244" s="103"/>
      <c r="O244" s="103"/>
      <c r="P244" s="103"/>
      <c r="Q244" s="103"/>
      <c r="R244" s="103"/>
      <c r="S244" s="103"/>
      <c r="T244" s="103"/>
      <c r="X244" s="103"/>
      <c r="AC244" s="103"/>
      <c r="AH244" s="103"/>
      <c r="AM244" s="103"/>
    </row>
    <row r="245" spans="2:39">
      <c r="B245" s="479"/>
      <c r="C245" s="180">
        <v>28</v>
      </c>
      <c r="D245" s="180"/>
      <c r="E245" s="180"/>
      <c r="F245" s="180"/>
      <c r="G245" s="180"/>
      <c r="H245" s="486"/>
      <c r="I245" s="166"/>
      <c r="J245" s="166"/>
      <c r="K245" s="166"/>
      <c r="L245" s="506"/>
      <c r="M245" s="166" t="e">
        <f>RANK(K245, K$218:$K$247)</f>
        <v>#DIV/0!</v>
      </c>
      <c r="N245" s="103"/>
      <c r="O245" s="103"/>
      <c r="P245" s="103"/>
      <c r="Q245" s="103"/>
      <c r="R245" s="103"/>
      <c r="S245" s="103"/>
      <c r="T245" s="103"/>
      <c r="X245" s="103"/>
      <c r="AC245" s="103"/>
      <c r="AH245" s="103"/>
      <c r="AM245" s="103"/>
    </row>
    <row r="246" spans="2:39">
      <c r="B246" s="479"/>
      <c r="C246" s="180">
        <v>29</v>
      </c>
      <c r="D246" s="180"/>
      <c r="E246" s="180"/>
      <c r="F246" s="180"/>
      <c r="G246" s="180"/>
      <c r="H246" s="486"/>
      <c r="I246" s="166"/>
      <c r="J246" s="166"/>
      <c r="K246" s="166"/>
      <c r="L246" s="506"/>
      <c r="M246" s="166" t="e">
        <f>RANK(K246, K$218:$K$247)</f>
        <v>#DIV/0!</v>
      </c>
      <c r="N246" s="103"/>
      <c r="O246" s="103"/>
      <c r="P246" s="103"/>
      <c r="Q246" s="103"/>
      <c r="R246" s="103"/>
      <c r="S246" s="103"/>
      <c r="T246" s="103"/>
      <c r="X246" s="103"/>
      <c r="AC246" s="103"/>
      <c r="AH246" s="103"/>
      <c r="AM246" s="103"/>
    </row>
    <row r="247" spans="2:39">
      <c r="B247" s="479"/>
      <c r="C247" s="180">
        <v>30</v>
      </c>
      <c r="D247" s="180"/>
      <c r="E247" s="180"/>
      <c r="F247" s="180"/>
      <c r="G247" s="180"/>
      <c r="H247" s="486"/>
      <c r="I247" s="166"/>
      <c r="J247" s="166"/>
      <c r="K247" s="166"/>
      <c r="L247" s="506"/>
      <c r="M247" s="166" t="e">
        <f>RANK(K247, K$218:$K$247)</f>
        <v>#DIV/0!</v>
      </c>
      <c r="N247" s="103"/>
      <c r="O247" s="103"/>
      <c r="P247" s="103"/>
      <c r="Q247" s="103"/>
      <c r="R247" s="103"/>
      <c r="S247" s="103"/>
      <c r="T247" s="103"/>
      <c r="X247" s="103"/>
      <c r="AC247" s="103"/>
      <c r="AH247" s="103"/>
      <c r="AM247" s="103"/>
    </row>
    <row r="250" spans="2:39">
      <c r="D250" s="180" t="s">
        <v>352</v>
      </c>
      <c r="E250" s="180">
        <v>4</v>
      </c>
      <c r="F250" s="180">
        <v>2700</v>
      </c>
      <c r="G250" s="180">
        <f>F250/E250</f>
        <v>675</v>
      </c>
      <c r="H250" s="102">
        <v>704.2</v>
      </c>
      <c r="N250" s="103"/>
      <c r="O250" s="103"/>
      <c r="P250" s="103"/>
      <c r="Q250" s="103"/>
      <c r="R250" s="103"/>
      <c r="S250" s="103"/>
      <c r="T250" s="103"/>
      <c r="X250" s="103"/>
      <c r="AC250" s="103"/>
      <c r="AH250" s="103"/>
      <c r="AM250" s="103"/>
    </row>
    <row r="251" spans="2:39">
      <c r="D251" s="180" t="s">
        <v>354</v>
      </c>
      <c r="E251" s="180">
        <v>3</v>
      </c>
      <c r="F251" s="180">
        <v>2700</v>
      </c>
      <c r="G251" s="180">
        <f t="shared" ref="G251:G255" si="80">F251/E251</f>
        <v>900</v>
      </c>
      <c r="N251" s="103"/>
      <c r="O251" s="103"/>
      <c r="P251" s="103"/>
      <c r="Q251" s="103"/>
      <c r="R251" s="103"/>
      <c r="S251" s="103"/>
      <c r="T251" s="103"/>
      <c r="X251" s="103"/>
      <c r="AC251" s="103"/>
      <c r="AH251" s="103"/>
      <c r="AM251" s="103"/>
    </row>
    <row r="252" spans="2:39">
      <c r="D252" s="180" t="s">
        <v>355</v>
      </c>
      <c r="E252" s="180">
        <v>4</v>
      </c>
      <c r="F252" s="180">
        <v>2700</v>
      </c>
      <c r="G252" s="180">
        <f t="shared" si="80"/>
        <v>675</v>
      </c>
      <c r="N252" s="103"/>
      <c r="O252" s="103"/>
      <c r="P252" s="103"/>
      <c r="Q252" s="103"/>
      <c r="R252" s="103"/>
      <c r="S252" s="103"/>
      <c r="T252" s="103"/>
      <c r="X252" s="103"/>
      <c r="AC252" s="103"/>
      <c r="AH252" s="103"/>
      <c r="AM252" s="103"/>
    </row>
    <row r="253" spans="2:39">
      <c r="D253" s="180" t="s">
        <v>521</v>
      </c>
      <c r="E253" s="180">
        <v>4</v>
      </c>
      <c r="F253" s="180">
        <v>2700</v>
      </c>
      <c r="G253" s="180">
        <f t="shared" si="80"/>
        <v>675</v>
      </c>
      <c r="N253" s="103"/>
      <c r="O253" s="103"/>
      <c r="P253" s="103"/>
      <c r="Q253" s="103"/>
      <c r="R253" s="103"/>
      <c r="S253" s="103"/>
      <c r="T253" s="103"/>
      <c r="X253" s="103"/>
      <c r="AC253" s="103"/>
      <c r="AH253" s="103"/>
      <c r="AM253" s="103"/>
    </row>
    <row r="254" spans="2:39">
      <c r="D254" s="264" t="s">
        <v>747</v>
      </c>
      <c r="E254" s="180">
        <v>4</v>
      </c>
      <c r="F254" s="180">
        <v>2600</v>
      </c>
      <c r="G254" s="180">
        <f t="shared" si="80"/>
        <v>650</v>
      </c>
      <c r="N254" s="103"/>
      <c r="O254" s="103"/>
      <c r="P254" s="103"/>
      <c r="Q254" s="103"/>
      <c r="R254" s="103"/>
      <c r="S254" s="103"/>
      <c r="T254" s="103"/>
      <c r="X254" s="103"/>
      <c r="AC254" s="103"/>
      <c r="AH254" s="103"/>
      <c r="AM254" s="103"/>
    </row>
    <row r="255" spans="2:39">
      <c r="D255" s="264" t="s">
        <v>748</v>
      </c>
      <c r="E255" s="180">
        <v>4</v>
      </c>
      <c r="F255" s="180">
        <v>2600</v>
      </c>
      <c r="G255" s="180">
        <f t="shared" si="80"/>
        <v>650</v>
      </c>
      <c r="N255" s="103"/>
      <c r="O255" s="103"/>
      <c r="P255" s="103"/>
      <c r="Q255" s="103"/>
      <c r="R255" s="103"/>
      <c r="S255" s="103"/>
      <c r="T255" s="103"/>
      <c r="X255" s="103"/>
      <c r="AC255" s="103"/>
      <c r="AH255" s="103"/>
      <c r="AM255" s="103"/>
    </row>
    <row r="257" spans="4:8" s="103" customFormat="1">
      <c r="D257" s="180" t="s">
        <v>352</v>
      </c>
      <c r="E257" s="180">
        <v>4</v>
      </c>
      <c r="F257" s="180">
        <v>3300</v>
      </c>
      <c r="G257" s="180">
        <f>F257/E257</f>
        <v>825</v>
      </c>
      <c r="H257" s="102">
        <v>845.8</v>
      </c>
    </row>
    <row r="258" spans="4:8" s="103" customFormat="1">
      <c r="D258" s="180" t="s">
        <v>354</v>
      </c>
      <c r="E258" s="180">
        <v>3</v>
      </c>
      <c r="F258" s="180">
        <v>3300</v>
      </c>
      <c r="G258" s="180">
        <f t="shared" ref="G258:G262" si="81">F258/E258</f>
        <v>1100</v>
      </c>
      <c r="H258" s="102"/>
    </row>
    <row r="259" spans="4:8" s="103" customFormat="1">
      <c r="D259" s="180" t="s">
        <v>355</v>
      </c>
      <c r="E259" s="180">
        <v>4</v>
      </c>
      <c r="F259" s="180">
        <v>3300</v>
      </c>
      <c r="G259" s="180">
        <f t="shared" si="81"/>
        <v>825</v>
      </c>
      <c r="H259" s="102"/>
    </row>
    <row r="260" spans="4:8" s="103" customFormat="1">
      <c r="D260" s="180" t="s">
        <v>521</v>
      </c>
      <c r="E260" s="180">
        <v>4</v>
      </c>
      <c r="F260" s="180">
        <v>3100</v>
      </c>
      <c r="G260" s="180">
        <f t="shared" si="81"/>
        <v>775</v>
      </c>
      <c r="H260" s="102"/>
    </row>
    <row r="261" spans="4:8" s="103" customFormat="1">
      <c r="D261" s="264" t="s">
        <v>747</v>
      </c>
      <c r="E261" s="180">
        <v>4</v>
      </c>
      <c r="F261" s="180">
        <v>3100</v>
      </c>
      <c r="G261" s="180">
        <f t="shared" si="81"/>
        <v>775</v>
      </c>
      <c r="H261" s="102"/>
    </row>
    <row r="262" spans="4:8" s="103" customFormat="1">
      <c r="D262" s="264" t="s">
        <v>748</v>
      </c>
      <c r="E262" s="180">
        <v>4</v>
      </c>
      <c r="F262" s="180">
        <v>3100</v>
      </c>
      <c r="G262" s="180">
        <f t="shared" si="81"/>
        <v>775</v>
      </c>
      <c r="H262" s="102"/>
    </row>
  </sheetData>
  <mergeCells count="367">
    <mergeCell ref="B218:B247"/>
    <mergeCell ref="H218:H247"/>
    <mergeCell ref="L218:L247"/>
    <mergeCell ref="T182:T211"/>
    <mergeCell ref="Y182:Y211"/>
    <mergeCell ref="AD182:AD211"/>
    <mergeCell ref="AI182:AI211"/>
    <mergeCell ref="AN182:AN211"/>
    <mergeCell ref="AS182:AS211"/>
    <mergeCell ref="AX182:AX211"/>
    <mergeCell ref="B213:H214"/>
    <mergeCell ref="B215:B217"/>
    <mergeCell ref="C215:D217"/>
    <mergeCell ref="E215:G215"/>
    <mergeCell ref="H215:H217"/>
    <mergeCell ref="I215:K215"/>
    <mergeCell ref="L215:L217"/>
    <mergeCell ref="M215:M217"/>
    <mergeCell ref="E216:G216"/>
    <mergeCell ref="I216:K216"/>
    <mergeCell ref="H182:H211"/>
    <mergeCell ref="L182:L211"/>
    <mergeCell ref="AE179:AH179"/>
    <mergeCell ref="AI179:AI181"/>
    <mergeCell ref="AJ179:AM179"/>
    <mergeCell ref="AN179:AN181"/>
    <mergeCell ref="AO179:AR179"/>
    <mergeCell ref="AS179:AS181"/>
    <mergeCell ref="AT179:AW179"/>
    <mergeCell ref="AX179:AX181"/>
    <mergeCell ref="P180:S180"/>
    <mergeCell ref="U180:X180"/>
    <mergeCell ref="Z180:AC180"/>
    <mergeCell ref="AE180:AH180"/>
    <mergeCell ref="AJ180:AM180"/>
    <mergeCell ref="AO180:AR180"/>
    <mergeCell ref="AT180:AW180"/>
    <mergeCell ref="AE177:AI177"/>
    <mergeCell ref="AJ177:AN177"/>
    <mergeCell ref="AO177:AS177"/>
    <mergeCell ref="AT177:AX177"/>
    <mergeCell ref="P178:T178"/>
    <mergeCell ref="U178:Y178"/>
    <mergeCell ref="Z178:AD178"/>
    <mergeCell ref="AE178:AI178"/>
    <mergeCell ref="AJ178:AN178"/>
    <mergeCell ref="AO178:AS178"/>
    <mergeCell ref="AT178:AX178"/>
    <mergeCell ref="B177:H178"/>
    <mergeCell ref="N177:N178"/>
    <mergeCell ref="O177:O178"/>
    <mergeCell ref="P177:T177"/>
    <mergeCell ref="U177:Y177"/>
    <mergeCell ref="Z177:AD177"/>
    <mergeCell ref="B179:B181"/>
    <mergeCell ref="C179:D181"/>
    <mergeCell ref="E179:G179"/>
    <mergeCell ref="H179:H181"/>
    <mergeCell ref="I179:K179"/>
    <mergeCell ref="L179:L181"/>
    <mergeCell ref="M179:M181"/>
    <mergeCell ref="N179:N211"/>
    <mergeCell ref="O179:O211"/>
    <mergeCell ref="P179:S179"/>
    <mergeCell ref="T179:T181"/>
    <mergeCell ref="U179:X179"/>
    <mergeCell ref="Y179:Y181"/>
    <mergeCell ref="Z179:AC179"/>
    <mergeCell ref="AD179:AD181"/>
    <mergeCell ref="E180:G180"/>
    <mergeCell ref="I180:K180"/>
    <mergeCell ref="B182:B211"/>
    <mergeCell ref="B2:H3"/>
    <mergeCell ref="B7:B36"/>
    <mergeCell ref="B4:B6"/>
    <mergeCell ref="C4:D6"/>
    <mergeCell ref="H4:H6"/>
    <mergeCell ref="H7:H36"/>
    <mergeCell ref="E5:G5"/>
    <mergeCell ref="M4:M6"/>
    <mergeCell ref="T4:T6"/>
    <mergeCell ref="T7:T36"/>
    <mergeCell ref="N4:N36"/>
    <mergeCell ref="O4:O36"/>
    <mergeCell ref="E4:G4"/>
    <mergeCell ref="O2:O3"/>
    <mergeCell ref="P3:T3"/>
    <mergeCell ref="U3:Y3"/>
    <mergeCell ref="Z3:AD3"/>
    <mergeCell ref="AE3:AI3"/>
    <mergeCell ref="N37:N38"/>
    <mergeCell ref="O37:O38"/>
    <mergeCell ref="P37:T37"/>
    <mergeCell ref="U37:Y37"/>
    <mergeCell ref="Z37:AD37"/>
    <mergeCell ref="Z2:AD2"/>
    <mergeCell ref="AD4:AD6"/>
    <mergeCell ref="AD7:AD36"/>
    <mergeCell ref="AE2:AI2"/>
    <mergeCell ref="AI4:AI6"/>
    <mergeCell ref="AI7:AI36"/>
    <mergeCell ref="P2:T2"/>
    <mergeCell ref="Z4:AC4"/>
    <mergeCell ref="Z5:AC5"/>
    <mergeCell ref="U2:Y2"/>
    <mergeCell ref="Y4:Y6"/>
    <mergeCell ref="Y7:Y36"/>
    <mergeCell ref="N2:N3"/>
    <mergeCell ref="AJ108:AN108"/>
    <mergeCell ref="Y39:Y41"/>
    <mergeCell ref="AD39:AD41"/>
    <mergeCell ref="AI39:AI41"/>
    <mergeCell ref="Z39:AC39"/>
    <mergeCell ref="P38:T38"/>
    <mergeCell ref="U38:Y38"/>
    <mergeCell ref="Z38:AD38"/>
    <mergeCell ref="AE38:AI38"/>
    <mergeCell ref="T39:T41"/>
    <mergeCell ref="AN112:AN141"/>
    <mergeCell ref="AS112:AS141"/>
    <mergeCell ref="AO108:AS108"/>
    <mergeCell ref="AD77:AD106"/>
    <mergeCell ref="AI77:AI106"/>
    <mergeCell ref="AN77:AN106"/>
    <mergeCell ref="AS77:AS106"/>
    <mergeCell ref="N142:N143"/>
    <mergeCell ref="O142:O143"/>
    <mergeCell ref="P142:T142"/>
    <mergeCell ref="U142:Y142"/>
    <mergeCell ref="Z142:AD142"/>
    <mergeCell ref="AE142:AI142"/>
    <mergeCell ref="AS109:AS111"/>
    <mergeCell ref="P109:S109"/>
    <mergeCell ref="U109:X109"/>
    <mergeCell ref="AD109:AD111"/>
    <mergeCell ref="AI109:AI111"/>
    <mergeCell ref="AN109:AN111"/>
    <mergeCell ref="Z109:AC109"/>
    <mergeCell ref="AE109:AH109"/>
    <mergeCell ref="AJ109:AM109"/>
    <mergeCell ref="N109:N141"/>
    <mergeCell ref="O109:O141"/>
    <mergeCell ref="AJ2:AN2"/>
    <mergeCell ref="AJ3:AN3"/>
    <mergeCell ref="AN4:AN6"/>
    <mergeCell ref="AN7:AN36"/>
    <mergeCell ref="AD147:AD176"/>
    <mergeCell ref="AI147:AI176"/>
    <mergeCell ref="AN147:AN176"/>
    <mergeCell ref="AS147:AS176"/>
    <mergeCell ref="AS144:AS146"/>
    <mergeCell ref="AJ142:AN142"/>
    <mergeCell ref="AO142:AS142"/>
    <mergeCell ref="AJ107:AN107"/>
    <mergeCell ref="AO107:AS107"/>
    <mergeCell ref="AJ72:AN72"/>
    <mergeCell ref="AO72:AS72"/>
    <mergeCell ref="Z73:AD73"/>
    <mergeCell ref="AE73:AI73"/>
    <mergeCell ref="AJ73:AN73"/>
    <mergeCell ref="AO73:AS73"/>
    <mergeCell ref="AJ37:AN37"/>
    <mergeCell ref="AO37:AS37"/>
    <mergeCell ref="AJ38:AN38"/>
    <mergeCell ref="AO38:AS38"/>
    <mergeCell ref="AE37:AI37"/>
    <mergeCell ref="B37:H38"/>
    <mergeCell ref="B39:B41"/>
    <mergeCell ref="AX144:AX146"/>
    <mergeCell ref="AX147:AX176"/>
    <mergeCell ref="AT107:AX107"/>
    <mergeCell ref="AT108:AX108"/>
    <mergeCell ref="AX109:AX111"/>
    <mergeCell ref="AX112:AX141"/>
    <mergeCell ref="AT72:AX72"/>
    <mergeCell ref="AT73:AX73"/>
    <mergeCell ref="AX74:AX76"/>
    <mergeCell ref="AX77:AX106"/>
    <mergeCell ref="AT142:AX142"/>
    <mergeCell ref="AT143:AX143"/>
    <mergeCell ref="N144:N176"/>
    <mergeCell ref="O144:O176"/>
    <mergeCell ref="T144:T146"/>
    <mergeCell ref="Y144:Y146"/>
    <mergeCell ref="T147:T176"/>
    <mergeCell ref="Y147:Y176"/>
    <mergeCell ref="T112:T141"/>
    <mergeCell ref="Y112:Y141"/>
    <mergeCell ref="P143:T143"/>
    <mergeCell ref="U143:Y143"/>
    <mergeCell ref="AX39:AX41"/>
    <mergeCell ref="AX42:AX71"/>
    <mergeCell ref="AT40:AW40"/>
    <mergeCell ref="B77:B106"/>
    <mergeCell ref="H77:H106"/>
    <mergeCell ref="B107:H108"/>
    <mergeCell ref="B109:B111"/>
    <mergeCell ref="C109:D111"/>
    <mergeCell ref="E109:G109"/>
    <mergeCell ref="H109:H111"/>
    <mergeCell ref="E110:G110"/>
    <mergeCell ref="B42:B71"/>
    <mergeCell ref="H42:H71"/>
    <mergeCell ref="B72:H73"/>
    <mergeCell ref="B74:B76"/>
    <mergeCell ref="C74:D76"/>
    <mergeCell ref="E74:G74"/>
    <mergeCell ref="H74:H76"/>
    <mergeCell ref="E75:G75"/>
    <mergeCell ref="AJ75:AM75"/>
    <mergeCell ref="N107:N108"/>
    <mergeCell ref="O107:O108"/>
    <mergeCell ref="P107:T107"/>
    <mergeCell ref="U107:Y107"/>
    <mergeCell ref="AE143:AI143"/>
    <mergeCell ref="AJ143:AN143"/>
    <mergeCell ref="AO143:AS143"/>
    <mergeCell ref="AD112:AD141"/>
    <mergeCell ref="AI112:AI141"/>
    <mergeCell ref="AT2:AX2"/>
    <mergeCell ref="AT3:AX3"/>
    <mergeCell ref="AX4:AX6"/>
    <mergeCell ref="AX7:AX36"/>
    <mergeCell ref="AT4:AW4"/>
    <mergeCell ref="AT5:AW5"/>
    <mergeCell ref="AO2:AS2"/>
    <mergeCell ref="AO3:AS3"/>
    <mergeCell ref="AS4:AS6"/>
    <mergeCell ref="AS7:AS36"/>
    <mergeCell ref="AO4:AR4"/>
    <mergeCell ref="AO5:AR5"/>
    <mergeCell ref="AE4:AH4"/>
    <mergeCell ref="AE5:AH5"/>
    <mergeCell ref="AJ4:AM4"/>
    <mergeCell ref="AJ5:AM5"/>
    <mergeCell ref="AE75:AH75"/>
    <mergeCell ref="AT37:AX37"/>
    <mergeCell ref="AT38:AX38"/>
    <mergeCell ref="E39:G39"/>
    <mergeCell ref="H39:H41"/>
    <mergeCell ref="E40:G40"/>
    <mergeCell ref="N72:N73"/>
    <mergeCell ref="O72:O73"/>
    <mergeCell ref="P72:T72"/>
    <mergeCell ref="U72:Y72"/>
    <mergeCell ref="Z72:AD72"/>
    <mergeCell ref="Z143:AD143"/>
    <mergeCell ref="Z75:AC75"/>
    <mergeCell ref="Z107:AD107"/>
    <mergeCell ref="Z74:AC74"/>
    <mergeCell ref="AD74:AD76"/>
    <mergeCell ref="N74:N106"/>
    <mergeCell ref="O74:O106"/>
    <mergeCell ref="T74:T76"/>
    <mergeCell ref="Y74:Y76"/>
    <mergeCell ref="T77:T106"/>
    <mergeCell ref="Y77:Y106"/>
    <mergeCell ref="P108:T108"/>
    <mergeCell ref="U108:Y108"/>
    <mergeCell ref="Z108:AD108"/>
    <mergeCell ref="N39:N71"/>
    <mergeCell ref="O39:O71"/>
    <mergeCell ref="B147:B176"/>
    <mergeCell ref="H147:H176"/>
    <mergeCell ref="P5:S5"/>
    <mergeCell ref="P4:S4"/>
    <mergeCell ref="U4:X4"/>
    <mergeCell ref="U5:X5"/>
    <mergeCell ref="P39:S39"/>
    <mergeCell ref="U39:X39"/>
    <mergeCell ref="P74:S74"/>
    <mergeCell ref="U74:X74"/>
    <mergeCell ref="B112:B141"/>
    <mergeCell ref="H112:H141"/>
    <mergeCell ref="B142:H143"/>
    <mergeCell ref="B144:B146"/>
    <mergeCell ref="C144:D146"/>
    <mergeCell ref="E144:G144"/>
    <mergeCell ref="H144:H146"/>
    <mergeCell ref="E145:G145"/>
    <mergeCell ref="P75:S75"/>
    <mergeCell ref="U75:X75"/>
    <mergeCell ref="M39:M41"/>
    <mergeCell ref="M74:M76"/>
    <mergeCell ref="M109:M111"/>
    <mergeCell ref="C39:D41"/>
    <mergeCell ref="M144:M146"/>
    <mergeCell ref="AO75:AR75"/>
    <mergeCell ref="AT75:AW75"/>
    <mergeCell ref="AE39:AH39"/>
    <mergeCell ref="AJ39:AM39"/>
    <mergeCell ref="AO39:AR39"/>
    <mergeCell ref="AT39:AW39"/>
    <mergeCell ref="P40:S40"/>
    <mergeCell ref="U40:X40"/>
    <mergeCell ref="Z40:AC40"/>
    <mergeCell ref="AE40:AH40"/>
    <mergeCell ref="AJ40:AM40"/>
    <mergeCell ref="AO40:AR40"/>
    <mergeCell ref="P73:T73"/>
    <mergeCell ref="U73:Y73"/>
    <mergeCell ref="AO74:AR74"/>
    <mergeCell ref="AT74:AW74"/>
    <mergeCell ref="AS39:AS41"/>
    <mergeCell ref="AN42:AN71"/>
    <mergeCell ref="AS42:AS71"/>
    <mergeCell ref="T42:T71"/>
    <mergeCell ref="Y42:Y71"/>
    <mergeCell ref="AD42:AD71"/>
    <mergeCell ref="AI42:AI71"/>
    <mergeCell ref="AO144:AR144"/>
    <mergeCell ref="AT144:AW144"/>
    <mergeCell ref="P145:S145"/>
    <mergeCell ref="U145:X145"/>
    <mergeCell ref="Z145:AC145"/>
    <mergeCell ref="AE145:AH145"/>
    <mergeCell ref="AJ145:AM145"/>
    <mergeCell ref="AO145:AR145"/>
    <mergeCell ref="AT145:AW145"/>
    <mergeCell ref="P144:S144"/>
    <mergeCell ref="U144:X144"/>
    <mergeCell ref="AD144:AD146"/>
    <mergeCell ref="AI144:AI146"/>
    <mergeCell ref="AN144:AN146"/>
    <mergeCell ref="Z144:AC144"/>
    <mergeCell ref="AE144:AH144"/>
    <mergeCell ref="AJ144:AM144"/>
    <mergeCell ref="AJ110:AM110"/>
    <mergeCell ref="AO110:AR110"/>
    <mergeCell ref="AT110:AW110"/>
    <mergeCell ref="T109:T111"/>
    <mergeCell ref="Y109:Y111"/>
    <mergeCell ref="I4:K4"/>
    <mergeCell ref="L4:L6"/>
    <mergeCell ref="I5:K5"/>
    <mergeCell ref="L7:L36"/>
    <mergeCell ref="AN39:AN41"/>
    <mergeCell ref="AO109:AR109"/>
    <mergeCell ref="AT109:AW109"/>
    <mergeCell ref="P110:S110"/>
    <mergeCell ref="U110:X110"/>
    <mergeCell ref="Z110:AC110"/>
    <mergeCell ref="AE110:AH110"/>
    <mergeCell ref="AE72:AI72"/>
    <mergeCell ref="AE107:AI107"/>
    <mergeCell ref="AS74:AS76"/>
    <mergeCell ref="AE74:AH74"/>
    <mergeCell ref="AI74:AI76"/>
    <mergeCell ref="AN74:AN76"/>
    <mergeCell ref="AJ74:AM74"/>
    <mergeCell ref="AE108:AI108"/>
    <mergeCell ref="L112:L141"/>
    <mergeCell ref="I144:K144"/>
    <mergeCell ref="L144:L146"/>
    <mergeCell ref="I145:K145"/>
    <mergeCell ref="L147:L176"/>
    <mergeCell ref="I39:K39"/>
    <mergeCell ref="L39:L41"/>
    <mergeCell ref="I40:K40"/>
    <mergeCell ref="L42:L71"/>
    <mergeCell ref="I74:K74"/>
    <mergeCell ref="L74:L76"/>
    <mergeCell ref="I75:K75"/>
    <mergeCell ref="L77:L106"/>
    <mergeCell ref="I109:K109"/>
    <mergeCell ref="L109:L111"/>
    <mergeCell ref="I110:K110"/>
  </mergeCells>
  <phoneticPr fontId="11" type="noConversion"/>
  <pageMargins left="0.7" right="0.7" top="0.75" bottom="0.75" header="0.3" footer="0.3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FFCC"/>
  </sheetPr>
  <dimension ref="A1:BB142"/>
  <sheetViews>
    <sheetView zoomScale="50" zoomScaleNormal="50" workbookViewId="0">
      <pane xSplit="15" topLeftCell="P1" activePane="topRight" state="frozen"/>
      <selection activeCell="B144" sqref="B144:AX176"/>
      <selection pane="topRight" activeCell="P95" sqref="P95"/>
    </sheetView>
  </sheetViews>
  <sheetFormatPr defaultColWidth="8.85546875" defaultRowHeight="12.75"/>
  <cols>
    <col min="1" max="1" width="5.5703125" style="103" customWidth="1"/>
    <col min="2" max="2" width="12.42578125" style="103" customWidth="1"/>
    <col min="3" max="3" width="8.85546875" style="102"/>
    <col min="4" max="4" width="26.42578125" style="102" customWidth="1"/>
    <col min="5" max="7" width="8.42578125" style="102" customWidth="1"/>
    <col min="8" max="8" width="11.140625" style="102" bestFit="1" customWidth="1"/>
    <col min="9" max="12" width="11.140625" style="102" customWidth="1"/>
    <col min="13" max="13" width="13.5703125" style="102" customWidth="1"/>
    <col min="14" max="14" width="9.85546875" style="102" customWidth="1"/>
    <col min="15" max="15" width="7.140625" style="102" customWidth="1"/>
    <col min="16" max="18" width="12.85546875" style="102" customWidth="1"/>
    <col min="19" max="19" width="5.42578125" style="102" customWidth="1"/>
    <col min="20" max="20" width="12.85546875" style="102" customWidth="1"/>
    <col min="21" max="23" width="12.85546875" style="103" customWidth="1"/>
    <col min="24" max="24" width="5.42578125" style="102" customWidth="1"/>
    <col min="25" max="28" width="12.85546875" style="103" customWidth="1"/>
    <col min="29" max="29" width="5.42578125" style="102" customWidth="1"/>
    <col min="30" max="30" width="12.85546875" style="103" customWidth="1"/>
    <col min="31" max="33" width="12.5703125" style="103" customWidth="1"/>
    <col min="34" max="34" width="5.42578125" style="102" customWidth="1"/>
    <col min="35" max="35" width="13" style="103" customWidth="1"/>
    <col min="36" max="38" width="12.5703125" style="103" customWidth="1"/>
    <col min="39" max="39" width="5.42578125" style="102" customWidth="1"/>
    <col min="40" max="40" width="13" style="103" customWidth="1"/>
    <col min="41" max="43" width="13.140625" style="103" customWidth="1"/>
    <col min="44" max="44" width="5.42578125" style="103" customWidth="1"/>
    <col min="45" max="48" width="13.140625" style="103" customWidth="1"/>
    <col min="49" max="49" width="5.42578125" style="103" customWidth="1"/>
    <col min="50" max="50" width="13.140625" style="103" customWidth="1"/>
    <col min="51" max="16384" width="8.85546875" style="103"/>
  </cols>
  <sheetData>
    <row r="1" spans="1:54" ht="24">
      <c r="A1" s="74"/>
      <c r="B1" s="196" t="s">
        <v>328</v>
      </c>
      <c r="C1" s="195">
        <f>AVERAGE(L7,L27,L47,L87,L87,L107)</f>
        <v>188.87834023020704</v>
      </c>
    </row>
    <row r="2" spans="1:54" ht="15.75">
      <c r="A2" s="79"/>
      <c r="B2" s="480" t="s">
        <v>721</v>
      </c>
      <c r="C2" s="480"/>
      <c r="D2" s="480"/>
      <c r="E2" s="480"/>
      <c r="F2" s="480"/>
      <c r="G2" s="480"/>
      <c r="H2" s="480"/>
      <c r="I2" s="181"/>
      <c r="J2" s="181"/>
      <c r="K2" s="181"/>
      <c r="L2" s="181"/>
      <c r="M2" s="178"/>
      <c r="N2" s="469" t="s">
        <v>722</v>
      </c>
      <c r="O2" s="469" t="s">
        <v>723</v>
      </c>
      <c r="P2" s="513"/>
      <c r="Q2" s="514"/>
      <c r="R2" s="514"/>
      <c r="S2" s="514"/>
      <c r="T2" s="515"/>
      <c r="U2" s="478"/>
      <c r="V2" s="479"/>
      <c r="W2" s="479"/>
      <c r="X2" s="479"/>
      <c r="Y2" s="479"/>
      <c r="Z2" s="478"/>
      <c r="AA2" s="479"/>
      <c r="AB2" s="479"/>
      <c r="AC2" s="479"/>
      <c r="AD2" s="479"/>
      <c r="AE2" s="478"/>
      <c r="AF2" s="479"/>
      <c r="AG2" s="479"/>
      <c r="AH2" s="479"/>
      <c r="AI2" s="479"/>
      <c r="AJ2" s="478"/>
      <c r="AK2" s="479"/>
      <c r="AL2" s="479"/>
      <c r="AM2" s="479"/>
      <c r="AN2" s="479"/>
      <c r="AO2" s="478">
        <v>46054</v>
      </c>
      <c r="AP2" s="479"/>
      <c r="AQ2" s="479"/>
      <c r="AR2" s="479"/>
      <c r="AS2" s="479"/>
      <c r="AT2" s="478">
        <f>AO2+1</f>
        <v>46055</v>
      </c>
      <c r="AU2" s="479"/>
      <c r="AV2" s="479"/>
      <c r="AW2" s="479"/>
      <c r="AX2" s="479"/>
    </row>
    <row r="3" spans="1:54" ht="15.75">
      <c r="A3" s="79"/>
      <c r="B3" s="495"/>
      <c r="C3" s="495"/>
      <c r="D3" s="495"/>
      <c r="E3" s="495"/>
      <c r="F3" s="495"/>
      <c r="G3" s="495"/>
      <c r="H3" s="495"/>
      <c r="I3" s="182"/>
      <c r="J3" s="182"/>
      <c r="K3" s="182"/>
      <c r="L3" s="182"/>
      <c r="M3" s="179"/>
      <c r="N3" s="471"/>
      <c r="O3" s="471"/>
      <c r="P3" s="478" t="s">
        <v>724</v>
      </c>
      <c r="Q3" s="479"/>
      <c r="R3" s="479"/>
      <c r="S3" s="479"/>
      <c r="T3" s="479"/>
      <c r="U3" s="478" t="s">
        <v>725</v>
      </c>
      <c r="V3" s="479"/>
      <c r="W3" s="479"/>
      <c r="X3" s="479"/>
      <c r="Y3" s="479"/>
      <c r="Z3" s="478" t="s">
        <v>726</v>
      </c>
      <c r="AA3" s="479"/>
      <c r="AB3" s="479"/>
      <c r="AC3" s="479"/>
      <c r="AD3" s="479"/>
      <c r="AE3" s="478" t="s">
        <v>727</v>
      </c>
      <c r="AF3" s="479"/>
      <c r="AG3" s="479"/>
      <c r="AH3" s="479"/>
      <c r="AI3" s="479"/>
      <c r="AJ3" s="478" t="s">
        <v>728</v>
      </c>
      <c r="AK3" s="479"/>
      <c r="AL3" s="479"/>
      <c r="AM3" s="479"/>
      <c r="AN3" s="479"/>
      <c r="AO3" s="478" t="s">
        <v>729</v>
      </c>
      <c r="AP3" s="479"/>
      <c r="AQ3" s="479"/>
      <c r="AR3" s="479"/>
      <c r="AS3" s="479"/>
      <c r="AT3" s="478" t="s">
        <v>730</v>
      </c>
      <c r="AU3" s="479"/>
      <c r="AV3" s="479"/>
      <c r="AW3" s="479"/>
      <c r="AX3" s="479"/>
    </row>
    <row r="4" spans="1:54" ht="14.25">
      <c r="A4" s="79"/>
      <c r="B4" s="462" t="s">
        <v>731</v>
      </c>
      <c r="C4" s="462" t="s">
        <v>732</v>
      </c>
      <c r="D4" s="462"/>
      <c r="E4" s="462" t="s">
        <v>733</v>
      </c>
      <c r="F4" s="462"/>
      <c r="G4" s="462"/>
      <c r="H4" s="463" t="s">
        <v>734</v>
      </c>
      <c r="I4" s="462" t="s">
        <v>735</v>
      </c>
      <c r="J4" s="462"/>
      <c r="K4" s="462"/>
      <c r="L4" s="463" t="s">
        <v>734</v>
      </c>
      <c r="M4" s="469" t="s">
        <v>736</v>
      </c>
      <c r="N4" s="462"/>
      <c r="O4" s="462" t="s">
        <v>737</v>
      </c>
      <c r="P4" s="466" t="s">
        <v>738</v>
      </c>
      <c r="Q4" s="467"/>
      <c r="R4" s="467"/>
      <c r="S4" s="468"/>
      <c r="T4" s="462" t="s">
        <v>734</v>
      </c>
      <c r="U4" s="466" t="s">
        <v>738</v>
      </c>
      <c r="V4" s="467"/>
      <c r="W4" s="467"/>
      <c r="X4" s="468"/>
      <c r="Y4" s="462" t="s">
        <v>734</v>
      </c>
      <c r="Z4" s="466" t="s">
        <v>738</v>
      </c>
      <c r="AA4" s="467"/>
      <c r="AB4" s="467"/>
      <c r="AC4" s="468"/>
      <c r="AD4" s="462" t="s">
        <v>734</v>
      </c>
      <c r="AE4" s="466" t="s">
        <v>738</v>
      </c>
      <c r="AF4" s="467"/>
      <c r="AG4" s="467"/>
      <c r="AH4" s="468"/>
      <c r="AI4" s="462" t="s">
        <v>734</v>
      </c>
      <c r="AJ4" s="466" t="s">
        <v>738</v>
      </c>
      <c r="AK4" s="467"/>
      <c r="AL4" s="467"/>
      <c r="AM4" s="468"/>
      <c r="AN4" s="462" t="s">
        <v>734</v>
      </c>
      <c r="AO4" s="466" t="s">
        <v>738</v>
      </c>
      <c r="AP4" s="467"/>
      <c r="AQ4" s="467"/>
      <c r="AR4" s="468"/>
      <c r="AS4" s="462" t="s">
        <v>734</v>
      </c>
      <c r="AT4" s="466" t="s">
        <v>738</v>
      </c>
      <c r="AU4" s="467"/>
      <c r="AV4" s="467"/>
      <c r="AW4" s="468"/>
      <c r="AX4" s="462" t="s">
        <v>734</v>
      </c>
    </row>
    <row r="5" spans="1:54" ht="14.25">
      <c r="A5" s="79"/>
      <c r="B5" s="462"/>
      <c r="C5" s="462"/>
      <c r="D5" s="462"/>
      <c r="E5" s="462" t="s">
        <v>739</v>
      </c>
      <c r="F5" s="462"/>
      <c r="G5" s="462"/>
      <c r="H5" s="464"/>
      <c r="I5" s="462" t="s">
        <v>739</v>
      </c>
      <c r="J5" s="462"/>
      <c r="K5" s="462"/>
      <c r="L5" s="464"/>
      <c r="M5" s="470"/>
      <c r="N5" s="462"/>
      <c r="O5" s="462"/>
      <c r="P5" s="466" t="s">
        <v>740</v>
      </c>
      <c r="Q5" s="467"/>
      <c r="R5" s="467"/>
      <c r="S5" s="468"/>
      <c r="T5" s="462"/>
      <c r="U5" s="466" t="s">
        <v>740</v>
      </c>
      <c r="V5" s="467"/>
      <c r="W5" s="467"/>
      <c r="X5" s="468"/>
      <c r="Y5" s="462"/>
      <c r="Z5" s="466" t="s">
        <v>740</v>
      </c>
      <c r="AA5" s="467"/>
      <c r="AB5" s="467"/>
      <c r="AC5" s="468"/>
      <c r="AD5" s="462"/>
      <c r="AE5" s="466" t="s">
        <v>740</v>
      </c>
      <c r="AF5" s="467"/>
      <c r="AG5" s="467"/>
      <c r="AH5" s="468"/>
      <c r="AI5" s="462"/>
      <c r="AJ5" s="466" t="s">
        <v>740</v>
      </c>
      <c r="AK5" s="467"/>
      <c r="AL5" s="467"/>
      <c r="AM5" s="468"/>
      <c r="AN5" s="462"/>
      <c r="AO5" s="466" t="s">
        <v>740</v>
      </c>
      <c r="AP5" s="467"/>
      <c r="AQ5" s="467"/>
      <c r="AR5" s="468"/>
      <c r="AS5" s="462"/>
      <c r="AT5" s="466" t="s">
        <v>740</v>
      </c>
      <c r="AU5" s="467"/>
      <c r="AV5" s="467"/>
      <c r="AW5" s="468"/>
      <c r="AX5" s="462"/>
    </row>
    <row r="6" spans="1:54" ht="14.25">
      <c r="A6" s="77"/>
      <c r="B6" s="462"/>
      <c r="C6" s="462"/>
      <c r="D6" s="462"/>
      <c r="E6" s="264" t="s">
        <v>741</v>
      </c>
      <c r="F6" s="264" t="s">
        <v>742</v>
      </c>
      <c r="G6" s="264" t="s">
        <v>743</v>
      </c>
      <c r="H6" s="465"/>
      <c r="I6" s="264" t="s">
        <v>741</v>
      </c>
      <c r="J6" s="264" t="s">
        <v>742</v>
      </c>
      <c r="K6" s="264" t="s">
        <v>743</v>
      </c>
      <c r="L6" s="465"/>
      <c r="M6" s="471"/>
      <c r="N6" s="462"/>
      <c r="O6" s="462"/>
      <c r="P6" s="264" t="s">
        <v>741</v>
      </c>
      <c r="Q6" s="264" t="s">
        <v>742</v>
      </c>
      <c r="R6" s="264" t="s">
        <v>743</v>
      </c>
      <c r="S6" s="264" t="s">
        <v>736</v>
      </c>
      <c r="T6" s="462"/>
      <c r="U6" s="264" t="s">
        <v>741</v>
      </c>
      <c r="V6" s="264" t="s">
        <v>742</v>
      </c>
      <c r="W6" s="264" t="s">
        <v>743</v>
      </c>
      <c r="X6" s="264" t="s">
        <v>736</v>
      </c>
      <c r="Y6" s="462"/>
      <c r="Z6" s="264" t="s">
        <v>741</v>
      </c>
      <c r="AA6" s="264" t="s">
        <v>742</v>
      </c>
      <c r="AB6" s="264" t="s">
        <v>743</v>
      </c>
      <c r="AC6" s="264" t="s">
        <v>736</v>
      </c>
      <c r="AD6" s="462"/>
      <c r="AE6" s="264" t="s">
        <v>741</v>
      </c>
      <c r="AF6" s="264" t="s">
        <v>742</v>
      </c>
      <c r="AG6" s="264" t="s">
        <v>743</v>
      </c>
      <c r="AH6" s="264" t="s">
        <v>736</v>
      </c>
      <c r="AI6" s="462"/>
      <c r="AJ6" s="264" t="s">
        <v>741</v>
      </c>
      <c r="AK6" s="264" t="s">
        <v>742</v>
      </c>
      <c r="AL6" s="264" t="s">
        <v>743</v>
      </c>
      <c r="AM6" s="264" t="s">
        <v>736</v>
      </c>
      <c r="AN6" s="462"/>
      <c r="AO6" s="264" t="s">
        <v>741</v>
      </c>
      <c r="AP6" s="264" t="s">
        <v>742</v>
      </c>
      <c r="AQ6" s="264" t="s">
        <v>743</v>
      </c>
      <c r="AR6" s="264" t="s">
        <v>736</v>
      </c>
      <c r="AS6" s="462"/>
      <c r="AT6" s="264" t="s">
        <v>741</v>
      </c>
      <c r="AU6" s="264" t="s">
        <v>742</v>
      </c>
      <c r="AV6" s="264" t="s">
        <v>743</v>
      </c>
      <c r="AW6" s="264" t="s">
        <v>736</v>
      </c>
      <c r="AX6" s="462"/>
    </row>
    <row r="7" spans="1:54" ht="14.25">
      <c r="A7" s="79"/>
      <c r="B7" s="507" t="s">
        <v>749</v>
      </c>
      <c r="C7" s="180">
        <v>1</v>
      </c>
      <c r="D7" s="201" t="s">
        <v>359</v>
      </c>
      <c r="E7" s="166">
        <v>10</v>
      </c>
      <c r="F7" s="166">
        <v>1500</v>
      </c>
      <c r="G7" s="166">
        <v>150</v>
      </c>
      <c r="H7" s="459">
        <f>AVERAGE(G7:G21)</f>
        <v>178.33333333333334</v>
      </c>
      <c r="I7" s="166">
        <f>AVERAGE(P7,U7,Z7,AE7,AJ7,AO7,AT7)</f>
        <v>10</v>
      </c>
      <c r="J7" s="166">
        <f>AVERAGE(Q7,V7,AA7,AF7,AK7,AP7,AU7)</f>
        <v>1414.800000000005</v>
      </c>
      <c r="K7" s="265">
        <f>AVERAGE(R7,W7,AB7,AG7,AL7,AQ7,AV7)</f>
        <v>141.48000000000047</v>
      </c>
      <c r="L7" s="459">
        <f>AVERAGE(K7:K21)</f>
        <v>184.0217211328978</v>
      </c>
      <c r="M7" s="272">
        <f>RANK(K7, K$7:$K$21)</f>
        <v>5</v>
      </c>
      <c r="N7" s="462"/>
      <c r="O7" s="462"/>
      <c r="P7" s="180"/>
      <c r="Q7" s="166"/>
      <c r="R7" s="166"/>
      <c r="S7" s="180" t="e">
        <f>RANK(R7, R$7:R$21)</f>
        <v>#N/A</v>
      </c>
      <c r="T7" s="486" t="e">
        <f>AVERAGE(R7:R21)</f>
        <v>#DIV/0!</v>
      </c>
      <c r="U7" s="180"/>
      <c r="V7" s="166"/>
      <c r="W7" s="166"/>
      <c r="X7" s="180" t="e">
        <f>RANK(W7, W$7:W$21)</f>
        <v>#N/A</v>
      </c>
      <c r="Y7" s="486" t="e">
        <f t="shared" ref="Y7" si="0">AVERAGE(W7:W21)</f>
        <v>#DIV/0!</v>
      </c>
      <c r="Z7" s="180"/>
      <c r="AA7" s="166"/>
      <c r="AB7" s="166"/>
      <c r="AC7" s="180" t="e">
        <f>RANK(AB7, AB$7:AB$21)</f>
        <v>#N/A</v>
      </c>
      <c r="AD7" s="486" t="e">
        <f t="shared" ref="AD7" si="1">AVERAGE(AB7:AB21)</f>
        <v>#DIV/0!</v>
      </c>
      <c r="AE7" s="180"/>
      <c r="AF7" s="166"/>
      <c r="AG7" s="166"/>
      <c r="AH7" s="180" t="e">
        <f>RANK(AG7, AG$7:AG$21)</f>
        <v>#N/A</v>
      </c>
      <c r="AI7" s="486" t="e">
        <f t="shared" ref="AI7" si="2">AVERAGE(AG7:AG21)</f>
        <v>#DIV/0!</v>
      </c>
      <c r="AJ7" s="180"/>
      <c r="AK7" s="166"/>
      <c r="AL7" s="166"/>
      <c r="AM7" s="180" t="e">
        <f>RANK(AL7, AL$7:AL$21)</f>
        <v>#N/A</v>
      </c>
      <c r="AN7" s="486" t="e">
        <f t="shared" ref="AN7" si="3">AVERAGE(AL7:AL21)</f>
        <v>#DIV/0!</v>
      </c>
      <c r="AO7" s="180">
        <v>10</v>
      </c>
      <c r="AP7" s="166">
        <v>1430.4000000000051</v>
      </c>
      <c r="AQ7" s="166">
        <v>143.0400000000005</v>
      </c>
      <c r="AR7" s="180">
        <f>RANK(AQ7, AQ$7:AQ$21)</f>
        <v>5</v>
      </c>
      <c r="AS7" s="486">
        <f t="shared" ref="AS7" si="4">AVERAGE(AQ7:AQ21)</f>
        <v>181.98569716775617</v>
      </c>
      <c r="AT7" s="180">
        <v>10</v>
      </c>
      <c r="AU7" s="166">
        <v>1399.2000000000048</v>
      </c>
      <c r="AV7" s="166">
        <v>139.92000000000047</v>
      </c>
      <c r="AW7" s="180">
        <f>RANK(AV7, AV$7:AV$21)</f>
        <v>5</v>
      </c>
      <c r="AX7" s="486">
        <f t="shared" ref="AX7" si="5">AVERAGE(AV7:AV21)</f>
        <v>186.05774509803939</v>
      </c>
      <c r="AZ7" s="272" t="e">
        <f>RANK(AX7, $K$7:AX$21)</f>
        <v>#N/A</v>
      </c>
      <c r="BB7" s="180" t="e">
        <f>RANK(BA7, BA$7:BA$21)</f>
        <v>#N/A</v>
      </c>
    </row>
    <row r="8" spans="1:54" ht="15" customHeight="1">
      <c r="A8" s="79"/>
      <c r="B8" s="479"/>
      <c r="C8" s="180">
        <v>2</v>
      </c>
      <c r="D8" s="201" t="s">
        <v>360</v>
      </c>
      <c r="E8" s="166">
        <v>15</v>
      </c>
      <c r="F8" s="166">
        <v>1800</v>
      </c>
      <c r="G8" s="166">
        <v>120</v>
      </c>
      <c r="H8" s="460"/>
      <c r="I8" s="166">
        <f t="shared" ref="I8:K10" si="6">AVERAGE(P8,U8,Z8,AE8,AJ8,AO8,AT8)</f>
        <v>12</v>
      </c>
      <c r="J8" s="166">
        <f t="shared" si="6"/>
        <v>1764.0000000000064</v>
      </c>
      <c r="K8" s="265">
        <f t="shared" si="6"/>
        <v>147.00000000000051</v>
      </c>
      <c r="L8" s="460"/>
      <c r="M8" s="272">
        <f>RANK(K8, K$7:$K$21)</f>
        <v>4</v>
      </c>
      <c r="N8" s="462"/>
      <c r="O8" s="462"/>
      <c r="P8" s="180"/>
      <c r="Q8" s="166"/>
      <c r="R8" s="166"/>
      <c r="S8" s="180" t="e">
        <f t="shared" ref="S8:S21" si="7">RANK(R8, R$7:R$21)</f>
        <v>#N/A</v>
      </c>
      <c r="T8" s="486"/>
      <c r="U8" s="180"/>
      <c r="V8" s="166"/>
      <c r="W8" s="166"/>
      <c r="X8" s="180" t="e">
        <f t="shared" ref="X8:X21" si="8">RANK(W8, W$7:W$21)</f>
        <v>#N/A</v>
      </c>
      <c r="Y8" s="486"/>
      <c r="Z8" s="180"/>
      <c r="AA8" s="166"/>
      <c r="AB8" s="166"/>
      <c r="AC8" s="180" t="e">
        <f t="shared" ref="AC8:AC21" si="9">RANK(AB8, AB$7:AB$21)</f>
        <v>#N/A</v>
      </c>
      <c r="AD8" s="486"/>
      <c r="AE8" s="180"/>
      <c r="AF8" s="166"/>
      <c r="AG8" s="166"/>
      <c r="AH8" s="180" t="e">
        <f t="shared" ref="AH8:AH21" si="10">RANK(AG8, AG$7:AG$21)</f>
        <v>#N/A</v>
      </c>
      <c r="AI8" s="486"/>
      <c r="AJ8" s="180"/>
      <c r="AK8" s="166"/>
      <c r="AL8" s="166"/>
      <c r="AM8" s="180" t="e">
        <f t="shared" ref="AM8:AM21" si="11">RANK(AL8, AL$7:AL$21)</f>
        <v>#N/A</v>
      </c>
      <c r="AN8" s="486"/>
      <c r="AO8" s="180">
        <v>12</v>
      </c>
      <c r="AP8" s="166">
        <v>1785.0000000000064</v>
      </c>
      <c r="AQ8" s="166">
        <v>148.75000000000054</v>
      </c>
      <c r="AR8" s="180">
        <f t="shared" ref="AR8:AR21" si="12">RANK(AQ8, AQ$7:AQ$21)</f>
        <v>4</v>
      </c>
      <c r="AS8" s="486"/>
      <c r="AT8" s="180">
        <v>12</v>
      </c>
      <c r="AU8" s="166">
        <v>1743.0000000000061</v>
      </c>
      <c r="AV8" s="166">
        <v>145.25000000000051</v>
      </c>
      <c r="AW8" s="180">
        <f t="shared" ref="AW8:AW21" si="13">RANK(AV8, AV$7:AV$21)</f>
        <v>4</v>
      </c>
      <c r="AX8" s="486"/>
      <c r="AZ8" s="272" t="e">
        <f>RANK(AX8, $K$7:AX$21)</f>
        <v>#N/A</v>
      </c>
      <c r="BB8" s="180" t="e">
        <f t="shared" ref="BB8:BB21" si="14">RANK(BA8, BA$7:BA$21)</f>
        <v>#N/A</v>
      </c>
    </row>
    <row r="9" spans="1:54" ht="14.25">
      <c r="A9" s="79"/>
      <c r="B9" s="479"/>
      <c r="C9" s="180">
        <v>3</v>
      </c>
      <c r="D9" s="201" t="s">
        <v>361</v>
      </c>
      <c r="E9" s="166">
        <v>15</v>
      </c>
      <c r="F9" s="166">
        <v>1800</v>
      </c>
      <c r="G9" s="166">
        <v>120</v>
      </c>
      <c r="H9" s="460"/>
      <c r="I9" s="166">
        <f t="shared" si="6"/>
        <v>12</v>
      </c>
      <c r="J9" s="166">
        <f t="shared" si="6"/>
        <v>2097.0000000000073</v>
      </c>
      <c r="K9" s="265">
        <f t="shared" si="6"/>
        <v>174.75000000000063</v>
      </c>
      <c r="L9" s="460"/>
      <c r="M9" s="272">
        <f>RANK(K9, K$7:$K$21)</f>
        <v>3</v>
      </c>
      <c r="N9" s="462"/>
      <c r="O9" s="462"/>
      <c r="P9" s="180"/>
      <c r="Q9" s="166"/>
      <c r="R9" s="166"/>
      <c r="S9" s="180" t="e">
        <f t="shared" si="7"/>
        <v>#N/A</v>
      </c>
      <c r="T9" s="486"/>
      <c r="U9" s="180"/>
      <c r="V9" s="166"/>
      <c r="W9" s="166"/>
      <c r="X9" s="180" t="e">
        <f t="shared" si="8"/>
        <v>#N/A</v>
      </c>
      <c r="Y9" s="486"/>
      <c r="Z9" s="180"/>
      <c r="AA9" s="166"/>
      <c r="AB9" s="166"/>
      <c r="AC9" s="180" t="e">
        <f t="shared" si="9"/>
        <v>#N/A</v>
      </c>
      <c r="AD9" s="486"/>
      <c r="AE9" s="180"/>
      <c r="AF9" s="166"/>
      <c r="AG9" s="166"/>
      <c r="AH9" s="180" t="e">
        <f t="shared" si="10"/>
        <v>#N/A</v>
      </c>
      <c r="AI9" s="486"/>
      <c r="AJ9" s="180"/>
      <c r="AK9" s="166"/>
      <c r="AL9" s="166"/>
      <c r="AM9" s="180" t="e">
        <f t="shared" si="11"/>
        <v>#N/A</v>
      </c>
      <c r="AN9" s="486"/>
      <c r="AO9" s="180">
        <v>12</v>
      </c>
      <c r="AP9" s="166">
        <v>1830.0000000000064</v>
      </c>
      <c r="AQ9" s="166">
        <v>152.50000000000054</v>
      </c>
      <c r="AR9" s="180">
        <f t="shared" si="12"/>
        <v>3</v>
      </c>
      <c r="AS9" s="486"/>
      <c r="AT9" s="180">
        <v>12</v>
      </c>
      <c r="AU9" s="166">
        <v>2364.0000000000086</v>
      </c>
      <c r="AV9" s="166">
        <v>197.00000000000071</v>
      </c>
      <c r="AW9" s="180">
        <f t="shared" si="13"/>
        <v>3</v>
      </c>
      <c r="AX9" s="486"/>
      <c r="AZ9" s="272" t="e">
        <f>RANK(AX9, $K$7:AX$21)</f>
        <v>#N/A</v>
      </c>
      <c r="BB9" s="180" t="e">
        <f t="shared" si="14"/>
        <v>#N/A</v>
      </c>
    </row>
    <row r="10" spans="1:54" ht="14.25">
      <c r="A10" s="79"/>
      <c r="B10" s="479"/>
      <c r="C10" s="180">
        <v>4</v>
      </c>
      <c r="D10" s="201" t="s">
        <v>517</v>
      </c>
      <c r="E10" s="166">
        <v>5</v>
      </c>
      <c r="F10" s="166">
        <v>1500</v>
      </c>
      <c r="G10" s="166">
        <v>300</v>
      </c>
      <c r="H10" s="460"/>
      <c r="I10" s="166">
        <f t="shared" si="6"/>
        <v>6</v>
      </c>
      <c r="J10" s="166">
        <f t="shared" si="6"/>
        <v>1528.2352941176491</v>
      </c>
      <c r="K10" s="265">
        <f t="shared" si="6"/>
        <v>254.7058823529415</v>
      </c>
      <c r="L10" s="460"/>
      <c r="M10" s="272">
        <f>RANK(K10, K$7:$K$21)</f>
        <v>2</v>
      </c>
      <c r="N10" s="462"/>
      <c r="O10" s="462"/>
      <c r="P10" s="180"/>
      <c r="Q10" s="166"/>
      <c r="R10" s="166"/>
      <c r="S10" s="180" t="e">
        <f t="shared" si="7"/>
        <v>#N/A</v>
      </c>
      <c r="T10" s="486"/>
      <c r="U10" s="180"/>
      <c r="V10" s="166"/>
      <c r="W10" s="166"/>
      <c r="X10" s="180" t="e">
        <f t="shared" si="8"/>
        <v>#N/A</v>
      </c>
      <c r="Y10" s="486"/>
      <c r="Z10" s="180"/>
      <c r="AA10" s="166"/>
      <c r="AB10" s="166"/>
      <c r="AC10" s="180" t="e">
        <f t="shared" si="9"/>
        <v>#N/A</v>
      </c>
      <c r="AD10" s="486"/>
      <c r="AE10" s="180"/>
      <c r="AF10" s="166"/>
      <c r="AG10" s="166"/>
      <c r="AH10" s="180" t="e">
        <f t="shared" si="10"/>
        <v>#N/A</v>
      </c>
      <c r="AI10" s="486"/>
      <c r="AJ10" s="180"/>
      <c r="AK10" s="166"/>
      <c r="AL10" s="166"/>
      <c r="AM10" s="180" t="e">
        <f t="shared" si="11"/>
        <v>#N/A</v>
      </c>
      <c r="AN10" s="486"/>
      <c r="AO10" s="180">
        <v>6</v>
      </c>
      <c r="AP10" s="166">
        <v>1549.4117647058843</v>
      </c>
      <c r="AQ10" s="166">
        <v>258.23529411764736</v>
      </c>
      <c r="AR10" s="180">
        <f t="shared" si="12"/>
        <v>2</v>
      </c>
      <c r="AS10" s="486"/>
      <c r="AT10" s="180">
        <v>6</v>
      </c>
      <c r="AU10" s="166">
        <v>1507.0588235294138</v>
      </c>
      <c r="AV10" s="166">
        <v>251.17647058823562</v>
      </c>
      <c r="AW10" s="180">
        <f t="shared" si="13"/>
        <v>2</v>
      </c>
      <c r="AX10" s="486"/>
      <c r="AZ10" s="272" t="e">
        <f>RANK(AX10, $K$7:AX$21)</f>
        <v>#N/A</v>
      </c>
      <c r="BB10" s="180" t="e">
        <f t="shared" si="14"/>
        <v>#N/A</v>
      </c>
    </row>
    <row r="11" spans="1:54" ht="14.25">
      <c r="A11" s="79"/>
      <c r="B11" s="479"/>
      <c r="C11" s="180">
        <v>5</v>
      </c>
      <c r="D11" s="201" t="s">
        <v>455</v>
      </c>
      <c r="E11" s="166">
        <v>5</v>
      </c>
      <c r="F11" s="166">
        <v>1500</v>
      </c>
      <c r="G11" s="166">
        <v>300</v>
      </c>
      <c r="H11" s="460"/>
      <c r="I11" s="166">
        <f>AVERAGE(P11,U11,Z11,AE11,AJ11,AO11,AT11)</f>
        <v>5</v>
      </c>
      <c r="J11" s="166">
        <f>AVERAGE(Q11,V11,AA11,AF11,AK11,AP11,AU11)</f>
        <v>1517.2222222222204</v>
      </c>
      <c r="K11" s="265">
        <f>AVERAGE(R11,W11,AB11,AG11,AL11,AQ11,AV11)</f>
        <v>303.44444444444406</v>
      </c>
      <c r="L11" s="460"/>
      <c r="M11" s="272">
        <f>RANK(K11, K$7:$K$21)</f>
        <v>1</v>
      </c>
      <c r="N11" s="462"/>
      <c r="O11" s="462"/>
      <c r="P11" s="180"/>
      <c r="Q11" s="166"/>
      <c r="R11" s="166"/>
      <c r="S11" s="180" t="e">
        <f t="shared" si="7"/>
        <v>#N/A</v>
      </c>
      <c r="T11" s="486"/>
      <c r="U11" s="180"/>
      <c r="V11" s="166"/>
      <c r="W11" s="166"/>
      <c r="X11" s="180" t="e">
        <f t="shared" si="8"/>
        <v>#N/A</v>
      </c>
      <c r="Y11" s="486"/>
      <c r="Z11" s="180"/>
      <c r="AA11" s="166"/>
      <c r="AB11" s="166"/>
      <c r="AC11" s="180" t="e">
        <f t="shared" si="9"/>
        <v>#N/A</v>
      </c>
      <c r="AD11" s="486"/>
      <c r="AE11" s="180"/>
      <c r="AF11" s="166"/>
      <c r="AG11" s="166"/>
      <c r="AH11" s="180" t="e">
        <f t="shared" si="10"/>
        <v>#N/A</v>
      </c>
      <c r="AI11" s="486"/>
      <c r="AJ11" s="180"/>
      <c r="AK11" s="166"/>
      <c r="AL11" s="166"/>
      <c r="AM11" s="180" t="e">
        <f t="shared" si="11"/>
        <v>#N/A</v>
      </c>
      <c r="AN11" s="486"/>
      <c r="AO11" s="180">
        <v>5</v>
      </c>
      <c r="AP11" s="166">
        <v>1524.444444444443</v>
      </c>
      <c r="AQ11" s="166">
        <v>304.88888888888857</v>
      </c>
      <c r="AR11" s="180">
        <f t="shared" si="12"/>
        <v>1</v>
      </c>
      <c r="AS11" s="486"/>
      <c r="AT11" s="180">
        <v>5</v>
      </c>
      <c r="AU11" s="166">
        <v>1509.9999999999977</v>
      </c>
      <c r="AV11" s="166">
        <v>301.99999999999955</v>
      </c>
      <c r="AW11" s="180">
        <f t="shared" si="13"/>
        <v>1</v>
      </c>
      <c r="AX11" s="486"/>
      <c r="AZ11" s="272" t="e">
        <f>RANK(AX11, $K$7:AX$21)</f>
        <v>#N/A</v>
      </c>
      <c r="BB11" s="180" t="e">
        <f t="shared" si="14"/>
        <v>#N/A</v>
      </c>
    </row>
    <row r="12" spans="1:54" ht="14.25">
      <c r="A12" s="79"/>
      <c r="B12" s="479"/>
      <c r="C12" s="180">
        <v>6</v>
      </c>
      <c r="D12" s="201" t="s">
        <v>519</v>
      </c>
      <c r="E12" s="166">
        <v>15</v>
      </c>
      <c r="F12" s="166">
        <v>1200</v>
      </c>
      <c r="G12" s="166">
        <v>80</v>
      </c>
      <c r="H12" s="460"/>
      <c r="I12" s="166">
        <f t="shared" ref="I12:K12" si="15">AVERAGE(P12,U12,Z12,AE12,AJ12,AO12,AT12)</f>
        <v>12</v>
      </c>
      <c r="J12" s="166">
        <f t="shared" si="15"/>
        <v>992.99999999999557</v>
      </c>
      <c r="K12" s="265">
        <f t="shared" si="15"/>
        <v>82.749999999999631</v>
      </c>
      <c r="L12" s="460"/>
      <c r="M12" s="272">
        <f>RANK(K12, K$7:$K$21)</f>
        <v>6</v>
      </c>
      <c r="N12" s="462"/>
      <c r="O12" s="462"/>
      <c r="P12" s="180"/>
      <c r="Q12" s="166"/>
      <c r="R12" s="166"/>
      <c r="S12" s="180" t="e">
        <f t="shared" si="7"/>
        <v>#N/A</v>
      </c>
      <c r="T12" s="486"/>
      <c r="U12" s="180"/>
      <c r="V12" s="166"/>
      <c r="W12" s="166"/>
      <c r="X12" s="180" t="e">
        <f t="shared" si="8"/>
        <v>#N/A</v>
      </c>
      <c r="Y12" s="486"/>
      <c r="Z12" s="180"/>
      <c r="AA12" s="166"/>
      <c r="AB12" s="166"/>
      <c r="AC12" s="180" t="e">
        <f t="shared" si="9"/>
        <v>#N/A</v>
      </c>
      <c r="AD12" s="486"/>
      <c r="AE12" s="180"/>
      <c r="AF12" s="166"/>
      <c r="AG12" s="166"/>
      <c r="AH12" s="180" t="e">
        <f t="shared" si="10"/>
        <v>#N/A</v>
      </c>
      <c r="AI12" s="486"/>
      <c r="AJ12" s="180"/>
      <c r="AK12" s="166"/>
      <c r="AL12" s="166"/>
      <c r="AM12" s="180" t="e">
        <f t="shared" si="11"/>
        <v>#N/A</v>
      </c>
      <c r="AN12" s="486"/>
      <c r="AO12" s="180">
        <v>12</v>
      </c>
      <c r="AP12" s="166">
        <v>1013.9999999999955</v>
      </c>
      <c r="AQ12" s="166">
        <v>84.499999999999616</v>
      </c>
      <c r="AR12" s="180">
        <f t="shared" si="12"/>
        <v>6</v>
      </c>
      <c r="AS12" s="486"/>
      <c r="AT12" s="180">
        <v>12</v>
      </c>
      <c r="AU12" s="166">
        <v>971.99999999999568</v>
      </c>
      <c r="AV12" s="166">
        <v>80.999999999999645</v>
      </c>
      <c r="AW12" s="180">
        <f t="shared" si="13"/>
        <v>6</v>
      </c>
      <c r="AX12" s="486"/>
      <c r="AZ12" s="272" t="e">
        <f>RANK(AX12, $K$7:AX$21)</f>
        <v>#N/A</v>
      </c>
      <c r="BB12" s="180" t="e">
        <f t="shared" si="14"/>
        <v>#N/A</v>
      </c>
    </row>
    <row r="13" spans="1:54" ht="14.25">
      <c r="A13" s="79"/>
      <c r="B13" s="479"/>
      <c r="C13" s="180">
        <v>7</v>
      </c>
      <c r="D13" s="201"/>
      <c r="E13" s="166"/>
      <c r="F13" s="166"/>
      <c r="G13" s="166"/>
      <c r="H13" s="460"/>
      <c r="I13" s="166"/>
      <c r="J13" s="166"/>
      <c r="K13" s="265"/>
      <c r="L13" s="460"/>
      <c r="M13" s="272" t="e">
        <f>RANK(K13, K$7:$K$21)</f>
        <v>#N/A</v>
      </c>
      <c r="N13" s="462"/>
      <c r="O13" s="462"/>
      <c r="P13" s="180"/>
      <c r="Q13" s="166"/>
      <c r="R13" s="166"/>
      <c r="S13" s="180" t="e">
        <f t="shared" si="7"/>
        <v>#N/A</v>
      </c>
      <c r="T13" s="486"/>
      <c r="U13" s="180"/>
      <c r="V13" s="166"/>
      <c r="W13" s="166"/>
      <c r="X13" s="180" t="e">
        <f t="shared" si="8"/>
        <v>#N/A</v>
      </c>
      <c r="Y13" s="486"/>
      <c r="Z13" s="180"/>
      <c r="AA13" s="166"/>
      <c r="AB13" s="166"/>
      <c r="AC13" s="180" t="e">
        <f t="shared" si="9"/>
        <v>#N/A</v>
      </c>
      <c r="AD13" s="486"/>
      <c r="AE13" s="180"/>
      <c r="AF13" s="166"/>
      <c r="AG13" s="166"/>
      <c r="AH13" s="180" t="e">
        <f t="shared" si="10"/>
        <v>#N/A</v>
      </c>
      <c r="AI13" s="486"/>
      <c r="AJ13" s="180"/>
      <c r="AK13" s="166"/>
      <c r="AL13" s="166"/>
      <c r="AM13" s="180" t="e">
        <f t="shared" si="11"/>
        <v>#N/A</v>
      </c>
      <c r="AN13" s="486"/>
      <c r="AO13" s="180"/>
      <c r="AP13" s="166"/>
      <c r="AQ13" s="166"/>
      <c r="AR13" s="180" t="e">
        <f t="shared" si="12"/>
        <v>#N/A</v>
      </c>
      <c r="AS13" s="486"/>
      <c r="AT13" s="180"/>
      <c r="AU13" s="166"/>
      <c r="AV13" s="166"/>
      <c r="AW13" s="180" t="e">
        <f t="shared" si="13"/>
        <v>#N/A</v>
      </c>
      <c r="AX13" s="486"/>
      <c r="AZ13" s="272" t="e">
        <f>RANK(AX13, $K$7:AX$21)</f>
        <v>#N/A</v>
      </c>
      <c r="BB13" s="180" t="e">
        <f t="shared" si="14"/>
        <v>#N/A</v>
      </c>
    </row>
    <row r="14" spans="1:54" ht="14.25">
      <c r="A14" s="79"/>
      <c r="B14" s="479"/>
      <c r="C14" s="180">
        <v>8</v>
      </c>
      <c r="D14" s="271"/>
      <c r="E14" s="166" t="s">
        <v>522</v>
      </c>
      <c r="F14" s="166" t="s">
        <v>522</v>
      </c>
      <c r="G14" s="166" t="s">
        <v>522</v>
      </c>
      <c r="H14" s="460"/>
      <c r="I14" s="166"/>
      <c r="J14" s="166"/>
      <c r="K14" s="265"/>
      <c r="L14" s="460"/>
      <c r="M14" s="272" t="e">
        <f>RANK(K14, K$7:$K$21)</f>
        <v>#N/A</v>
      </c>
      <c r="N14" s="462"/>
      <c r="O14" s="462"/>
      <c r="P14" s="180"/>
      <c r="Q14" s="166"/>
      <c r="R14" s="166"/>
      <c r="S14" s="180" t="e">
        <f t="shared" si="7"/>
        <v>#N/A</v>
      </c>
      <c r="T14" s="486"/>
      <c r="U14" s="180"/>
      <c r="V14" s="166"/>
      <c r="W14" s="166"/>
      <c r="X14" s="180" t="e">
        <f t="shared" si="8"/>
        <v>#N/A</v>
      </c>
      <c r="Y14" s="486"/>
      <c r="Z14" s="180"/>
      <c r="AA14" s="166"/>
      <c r="AB14" s="166"/>
      <c r="AC14" s="180" t="e">
        <f t="shared" si="9"/>
        <v>#N/A</v>
      </c>
      <c r="AD14" s="486"/>
      <c r="AE14" s="180"/>
      <c r="AF14" s="166"/>
      <c r="AG14" s="166"/>
      <c r="AH14" s="180" t="e">
        <f t="shared" si="10"/>
        <v>#N/A</v>
      </c>
      <c r="AI14" s="486"/>
      <c r="AJ14" s="180"/>
      <c r="AK14" s="166"/>
      <c r="AL14" s="166"/>
      <c r="AM14" s="180" t="e">
        <f t="shared" si="11"/>
        <v>#N/A</v>
      </c>
      <c r="AN14" s="486"/>
      <c r="AO14" s="180"/>
      <c r="AP14" s="166"/>
      <c r="AQ14" s="166"/>
      <c r="AR14" s="180" t="e">
        <f t="shared" si="12"/>
        <v>#N/A</v>
      </c>
      <c r="AS14" s="486"/>
      <c r="AT14" s="180"/>
      <c r="AU14" s="166"/>
      <c r="AV14" s="166"/>
      <c r="AW14" s="180" t="e">
        <f t="shared" si="13"/>
        <v>#N/A</v>
      </c>
      <c r="AX14" s="486"/>
      <c r="AZ14" s="272" t="e">
        <f>RANK(AX14, $K$7:AX$21)</f>
        <v>#N/A</v>
      </c>
      <c r="BB14" s="180" t="e">
        <f t="shared" si="14"/>
        <v>#N/A</v>
      </c>
    </row>
    <row r="15" spans="1:54" ht="14.25">
      <c r="A15" s="79"/>
      <c r="B15" s="479"/>
      <c r="C15" s="180">
        <v>9</v>
      </c>
      <c r="D15" s="201"/>
      <c r="E15" s="166" t="s">
        <v>522</v>
      </c>
      <c r="F15" s="166" t="s">
        <v>522</v>
      </c>
      <c r="G15" s="166" t="s">
        <v>522</v>
      </c>
      <c r="H15" s="460"/>
      <c r="I15" s="166"/>
      <c r="J15" s="166"/>
      <c r="K15" s="265"/>
      <c r="L15" s="460"/>
      <c r="M15" s="272" t="e">
        <f>RANK(K15, K$7:$K$21)</f>
        <v>#N/A</v>
      </c>
      <c r="N15" s="462"/>
      <c r="O15" s="462"/>
      <c r="P15" s="180"/>
      <c r="Q15" s="166"/>
      <c r="R15" s="166"/>
      <c r="S15" s="180" t="e">
        <f t="shared" si="7"/>
        <v>#N/A</v>
      </c>
      <c r="T15" s="486"/>
      <c r="U15" s="180"/>
      <c r="V15" s="166"/>
      <c r="W15" s="166"/>
      <c r="X15" s="180" t="e">
        <f t="shared" si="8"/>
        <v>#N/A</v>
      </c>
      <c r="Y15" s="486"/>
      <c r="Z15" s="180"/>
      <c r="AA15" s="166"/>
      <c r="AB15" s="166"/>
      <c r="AC15" s="180" t="e">
        <f t="shared" si="9"/>
        <v>#N/A</v>
      </c>
      <c r="AD15" s="486"/>
      <c r="AE15" s="180"/>
      <c r="AF15" s="166"/>
      <c r="AG15" s="166"/>
      <c r="AH15" s="180" t="e">
        <f t="shared" si="10"/>
        <v>#N/A</v>
      </c>
      <c r="AI15" s="486"/>
      <c r="AJ15" s="180"/>
      <c r="AK15" s="166"/>
      <c r="AL15" s="166"/>
      <c r="AM15" s="180" t="e">
        <f t="shared" si="11"/>
        <v>#N/A</v>
      </c>
      <c r="AN15" s="486"/>
      <c r="AO15" s="180"/>
      <c r="AP15" s="166"/>
      <c r="AQ15" s="166"/>
      <c r="AR15" s="180" t="e">
        <f t="shared" si="12"/>
        <v>#N/A</v>
      </c>
      <c r="AS15" s="486"/>
      <c r="AT15" s="180"/>
      <c r="AU15" s="166"/>
      <c r="AV15" s="166"/>
      <c r="AW15" s="180" t="e">
        <f t="shared" si="13"/>
        <v>#N/A</v>
      </c>
      <c r="AX15" s="486"/>
      <c r="AZ15" s="272" t="e">
        <f>RANK(AX15, $K$7:AX$21)</f>
        <v>#N/A</v>
      </c>
      <c r="BB15" s="180" t="e">
        <f t="shared" si="14"/>
        <v>#N/A</v>
      </c>
    </row>
    <row r="16" spans="1:54" ht="14.25">
      <c r="A16" s="79"/>
      <c r="B16" s="479"/>
      <c r="C16" s="180">
        <v>10</v>
      </c>
      <c r="D16" s="201"/>
      <c r="E16" s="166" t="s">
        <v>522</v>
      </c>
      <c r="F16" s="166" t="s">
        <v>522</v>
      </c>
      <c r="G16" s="166" t="s">
        <v>522</v>
      </c>
      <c r="H16" s="460"/>
      <c r="I16" s="166"/>
      <c r="J16" s="166"/>
      <c r="K16" s="265"/>
      <c r="L16" s="460"/>
      <c r="M16" s="272" t="e">
        <f>RANK(K16, K$7:$K$21)</f>
        <v>#N/A</v>
      </c>
      <c r="N16" s="462"/>
      <c r="O16" s="462"/>
      <c r="P16" s="180"/>
      <c r="Q16" s="166"/>
      <c r="R16" s="166"/>
      <c r="S16" s="180" t="e">
        <f t="shared" si="7"/>
        <v>#N/A</v>
      </c>
      <c r="T16" s="486"/>
      <c r="U16" s="180"/>
      <c r="V16" s="166"/>
      <c r="W16" s="166"/>
      <c r="X16" s="180" t="e">
        <f t="shared" si="8"/>
        <v>#N/A</v>
      </c>
      <c r="Y16" s="486"/>
      <c r="Z16" s="180"/>
      <c r="AA16" s="166"/>
      <c r="AB16" s="166"/>
      <c r="AC16" s="180" t="e">
        <f t="shared" si="9"/>
        <v>#N/A</v>
      </c>
      <c r="AD16" s="486"/>
      <c r="AE16" s="180"/>
      <c r="AF16" s="166"/>
      <c r="AG16" s="166"/>
      <c r="AH16" s="180" t="e">
        <f t="shared" si="10"/>
        <v>#N/A</v>
      </c>
      <c r="AI16" s="486"/>
      <c r="AJ16" s="180"/>
      <c r="AK16" s="166"/>
      <c r="AL16" s="166"/>
      <c r="AM16" s="180" t="e">
        <f t="shared" si="11"/>
        <v>#N/A</v>
      </c>
      <c r="AN16" s="486"/>
      <c r="AO16" s="180"/>
      <c r="AP16" s="166"/>
      <c r="AQ16" s="166"/>
      <c r="AR16" s="180" t="e">
        <f t="shared" si="12"/>
        <v>#N/A</v>
      </c>
      <c r="AS16" s="486"/>
      <c r="AT16" s="180"/>
      <c r="AU16" s="166"/>
      <c r="AV16" s="166"/>
      <c r="AW16" s="180" t="e">
        <f t="shared" si="13"/>
        <v>#N/A</v>
      </c>
      <c r="AX16" s="486"/>
      <c r="AZ16" s="272" t="e">
        <f>RANK(AX16, $K$7:AX$21)</f>
        <v>#N/A</v>
      </c>
      <c r="BB16" s="180" t="e">
        <f t="shared" si="14"/>
        <v>#N/A</v>
      </c>
    </row>
    <row r="17" spans="2:54">
      <c r="B17" s="479"/>
      <c r="C17" s="180">
        <v>11</v>
      </c>
      <c r="D17" s="201"/>
      <c r="E17" s="166" t="s">
        <v>522</v>
      </c>
      <c r="F17" s="166" t="s">
        <v>522</v>
      </c>
      <c r="G17" s="166" t="s">
        <v>522</v>
      </c>
      <c r="H17" s="460"/>
      <c r="I17" s="180"/>
      <c r="J17" s="180"/>
      <c r="K17" s="180"/>
      <c r="L17" s="460"/>
      <c r="M17" s="272" t="e">
        <f>RANK(K17, K$7:$K$21)</f>
        <v>#N/A</v>
      </c>
      <c r="N17" s="462"/>
      <c r="O17" s="462"/>
      <c r="P17" s="180"/>
      <c r="Q17" s="166"/>
      <c r="R17" s="166"/>
      <c r="S17" s="180" t="e">
        <f t="shared" si="7"/>
        <v>#N/A</v>
      </c>
      <c r="T17" s="486"/>
      <c r="U17" s="180"/>
      <c r="V17" s="166"/>
      <c r="W17" s="166"/>
      <c r="X17" s="180" t="e">
        <f t="shared" si="8"/>
        <v>#N/A</v>
      </c>
      <c r="Y17" s="486"/>
      <c r="Z17" s="180"/>
      <c r="AA17" s="166"/>
      <c r="AB17" s="166"/>
      <c r="AC17" s="180" t="e">
        <f t="shared" si="9"/>
        <v>#N/A</v>
      </c>
      <c r="AD17" s="486"/>
      <c r="AE17" s="180"/>
      <c r="AF17" s="166"/>
      <c r="AG17" s="166"/>
      <c r="AH17" s="180" t="e">
        <f t="shared" si="10"/>
        <v>#N/A</v>
      </c>
      <c r="AI17" s="486"/>
      <c r="AJ17" s="180"/>
      <c r="AK17" s="166"/>
      <c r="AL17" s="166"/>
      <c r="AM17" s="180" t="e">
        <f t="shared" si="11"/>
        <v>#N/A</v>
      </c>
      <c r="AN17" s="486"/>
      <c r="AO17" s="180"/>
      <c r="AP17" s="166"/>
      <c r="AQ17" s="166"/>
      <c r="AR17" s="180" t="e">
        <f t="shared" si="12"/>
        <v>#N/A</v>
      </c>
      <c r="AS17" s="486"/>
      <c r="AT17" s="180"/>
      <c r="AU17" s="166"/>
      <c r="AV17" s="166"/>
      <c r="AW17" s="180" t="e">
        <f t="shared" si="13"/>
        <v>#N/A</v>
      </c>
      <c r="AX17" s="486"/>
      <c r="AZ17" s="272" t="e">
        <f>RANK(AX17, $K$7:AX$21)</f>
        <v>#N/A</v>
      </c>
      <c r="BB17" s="180" t="e">
        <f t="shared" si="14"/>
        <v>#N/A</v>
      </c>
    </row>
    <row r="18" spans="2:54">
      <c r="B18" s="479"/>
      <c r="C18" s="180">
        <v>12</v>
      </c>
      <c r="D18" s="201"/>
      <c r="E18" s="166" t="s">
        <v>522</v>
      </c>
      <c r="F18" s="166" t="s">
        <v>522</v>
      </c>
      <c r="G18" s="166" t="s">
        <v>522</v>
      </c>
      <c r="H18" s="460"/>
      <c r="I18" s="180"/>
      <c r="J18" s="180"/>
      <c r="K18" s="180"/>
      <c r="L18" s="460"/>
      <c r="M18" s="272" t="e">
        <f>RANK(K18, K$7:$K$21)</f>
        <v>#N/A</v>
      </c>
      <c r="N18" s="462"/>
      <c r="O18" s="462"/>
      <c r="P18" s="180"/>
      <c r="Q18" s="166"/>
      <c r="R18" s="166"/>
      <c r="S18" s="180" t="e">
        <f t="shared" si="7"/>
        <v>#N/A</v>
      </c>
      <c r="T18" s="486"/>
      <c r="U18" s="180"/>
      <c r="V18" s="166"/>
      <c r="W18" s="166"/>
      <c r="X18" s="180" t="e">
        <f t="shared" si="8"/>
        <v>#N/A</v>
      </c>
      <c r="Y18" s="486"/>
      <c r="Z18" s="180"/>
      <c r="AA18" s="166"/>
      <c r="AB18" s="166"/>
      <c r="AC18" s="180" t="e">
        <f t="shared" si="9"/>
        <v>#N/A</v>
      </c>
      <c r="AD18" s="486"/>
      <c r="AE18" s="180"/>
      <c r="AF18" s="166"/>
      <c r="AG18" s="166"/>
      <c r="AH18" s="180" t="e">
        <f t="shared" si="10"/>
        <v>#N/A</v>
      </c>
      <c r="AI18" s="486"/>
      <c r="AJ18" s="180"/>
      <c r="AK18" s="166"/>
      <c r="AL18" s="166"/>
      <c r="AM18" s="180" t="e">
        <f t="shared" si="11"/>
        <v>#N/A</v>
      </c>
      <c r="AN18" s="486"/>
      <c r="AO18" s="180"/>
      <c r="AP18" s="166"/>
      <c r="AQ18" s="166"/>
      <c r="AR18" s="180" t="e">
        <f t="shared" si="12"/>
        <v>#N/A</v>
      </c>
      <c r="AS18" s="486"/>
      <c r="AT18" s="180"/>
      <c r="AU18" s="166"/>
      <c r="AV18" s="166"/>
      <c r="AW18" s="180" t="e">
        <f t="shared" si="13"/>
        <v>#N/A</v>
      </c>
      <c r="AX18" s="486"/>
      <c r="AZ18" s="272" t="e">
        <f>RANK(AX18, $K$7:AX$21)</f>
        <v>#N/A</v>
      </c>
      <c r="BB18" s="180" t="e">
        <f t="shared" si="14"/>
        <v>#N/A</v>
      </c>
    </row>
    <row r="19" spans="2:54">
      <c r="B19" s="479"/>
      <c r="C19" s="180">
        <v>13</v>
      </c>
      <c r="D19" s="201"/>
      <c r="E19" s="166" t="s">
        <v>522</v>
      </c>
      <c r="F19" s="166" t="s">
        <v>522</v>
      </c>
      <c r="G19" s="166" t="s">
        <v>522</v>
      </c>
      <c r="H19" s="460"/>
      <c r="I19" s="180"/>
      <c r="J19" s="180"/>
      <c r="K19" s="180"/>
      <c r="L19" s="460"/>
      <c r="M19" s="272" t="e">
        <f>RANK(K19, K$7:$K$21)</f>
        <v>#N/A</v>
      </c>
      <c r="N19" s="462"/>
      <c r="O19" s="462"/>
      <c r="P19" s="180"/>
      <c r="Q19" s="166"/>
      <c r="R19" s="166"/>
      <c r="S19" s="180" t="e">
        <f t="shared" si="7"/>
        <v>#N/A</v>
      </c>
      <c r="T19" s="486"/>
      <c r="U19" s="180"/>
      <c r="V19" s="166"/>
      <c r="W19" s="166"/>
      <c r="X19" s="180" t="e">
        <f t="shared" si="8"/>
        <v>#N/A</v>
      </c>
      <c r="Y19" s="486"/>
      <c r="Z19" s="180"/>
      <c r="AA19" s="166"/>
      <c r="AB19" s="166"/>
      <c r="AC19" s="180" t="e">
        <f t="shared" si="9"/>
        <v>#N/A</v>
      </c>
      <c r="AD19" s="486"/>
      <c r="AE19" s="180"/>
      <c r="AF19" s="166"/>
      <c r="AG19" s="166"/>
      <c r="AH19" s="180" t="e">
        <f t="shared" si="10"/>
        <v>#N/A</v>
      </c>
      <c r="AI19" s="486"/>
      <c r="AJ19" s="180"/>
      <c r="AK19" s="166"/>
      <c r="AL19" s="166"/>
      <c r="AM19" s="180" t="e">
        <f t="shared" si="11"/>
        <v>#N/A</v>
      </c>
      <c r="AN19" s="486"/>
      <c r="AO19" s="180"/>
      <c r="AP19" s="166"/>
      <c r="AQ19" s="166"/>
      <c r="AR19" s="180" t="e">
        <f t="shared" si="12"/>
        <v>#N/A</v>
      </c>
      <c r="AS19" s="486"/>
      <c r="AT19" s="180"/>
      <c r="AU19" s="166"/>
      <c r="AV19" s="166"/>
      <c r="AW19" s="180" t="e">
        <f t="shared" si="13"/>
        <v>#N/A</v>
      </c>
      <c r="AX19" s="486"/>
      <c r="AZ19" s="272" t="e">
        <f>RANK(AX19, $K$7:AX$21)</f>
        <v>#N/A</v>
      </c>
      <c r="BB19" s="180" t="e">
        <f t="shared" si="14"/>
        <v>#N/A</v>
      </c>
    </row>
    <row r="20" spans="2:54">
      <c r="B20" s="479"/>
      <c r="C20" s="180">
        <v>14</v>
      </c>
      <c r="D20" s="201"/>
      <c r="E20" s="166" t="s">
        <v>522</v>
      </c>
      <c r="F20" s="166" t="s">
        <v>522</v>
      </c>
      <c r="G20" s="166" t="s">
        <v>522</v>
      </c>
      <c r="H20" s="460"/>
      <c r="I20" s="180"/>
      <c r="J20" s="180"/>
      <c r="K20" s="180"/>
      <c r="L20" s="460"/>
      <c r="M20" s="272" t="e">
        <f>RANK(K20, K$7:$K$21)</f>
        <v>#N/A</v>
      </c>
      <c r="N20" s="462"/>
      <c r="O20" s="462"/>
      <c r="P20" s="180"/>
      <c r="Q20" s="166"/>
      <c r="R20" s="166"/>
      <c r="S20" s="180" t="e">
        <f t="shared" si="7"/>
        <v>#N/A</v>
      </c>
      <c r="T20" s="486"/>
      <c r="U20" s="180"/>
      <c r="V20" s="166"/>
      <c r="W20" s="166"/>
      <c r="X20" s="180" t="e">
        <f t="shared" si="8"/>
        <v>#N/A</v>
      </c>
      <c r="Y20" s="486"/>
      <c r="Z20" s="180"/>
      <c r="AA20" s="166"/>
      <c r="AB20" s="166"/>
      <c r="AC20" s="180" t="e">
        <f t="shared" si="9"/>
        <v>#N/A</v>
      </c>
      <c r="AD20" s="486"/>
      <c r="AE20" s="180"/>
      <c r="AF20" s="166"/>
      <c r="AG20" s="166"/>
      <c r="AH20" s="180" t="e">
        <f t="shared" si="10"/>
        <v>#N/A</v>
      </c>
      <c r="AI20" s="486"/>
      <c r="AJ20" s="180"/>
      <c r="AK20" s="166"/>
      <c r="AL20" s="166"/>
      <c r="AM20" s="180" t="e">
        <f t="shared" si="11"/>
        <v>#N/A</v>
      </c>
      <c r="AN20" s="486"/>
      <c r="AO20" s="180"/>
      <c r="AP20" s="166"/>
      <c r="AQ20" s="166"/>
      <c r="AR20" s="180" t="e">
        <f t="shared" si="12"/>
        <v>#N/A</v>
      </c>
      <c r="AS20" s="486"/>
      <c r="AT20" s="180"/>
      <c r="AU20" s="166"/>
      <c r="AV20" s="166"/>
      <c r="AW20" s="180" t="e">
        <f t="shared" si="13"/>
        <v>#N/A</v>
      </c>
      <c r="AX20" s="486"/>
      <c r="AZ20" s="272" t="e">
        <f>RANK(AX20, $K$7:AX$21)</f>
        <v>#N/A</v>
      </c>
      <c r="BB20" s="180" t="e">
        <f t="shared" si="14"/>
        <v>#N/A</v>
      </c>
    </row>
    <row r="21" spans="2:54">
      <c r="B21" s="479"/>
      <c r="C21" s="180">
        <v>15</v>
      </c>
      <c r="D21" s="201"/>
      <c r="E21" s="166" t="s">
        <v>522</v>
      </c>
      <c r="F21" s="166" t="s">
        <v>522</v>
      </c>
      <c r="G21" s="166" t="s">
        <v>522</v>
      </c>
      <c r="H21" s="461"/>
      <c r="I21" s="180"/>
      <c r="J21" s="180"/>
      <c r="K21" s="180"/>
      <c r="L21" s="461"/>
      <c r="M21" s="272" t="e">
        <f>RANK(K21, K$7:$K$21)</f>
        <v>#N/A</v>
      </c>
      <c r="N21" s="462"/>
      <c r="O21" s="462"/>
      <c r="P21" s="180"/>
      <c r="Q21" s="166"/>
      <c r="R21" s="166"/>
      <c r="S21" s="180" t="e">
        <f t="shared" si="7"/>
        <v>#N/A</v>
      </c>
      <c r="T21" s="486"/>
      <c r="U21" s="180"/>
      <c r="V21" s="166"/>
      <c r="W21" s="166"/>
      <c r="X21" s="180" t="e">
        <f t="shared" si="8"/>
        <v>#N/A</v>
      </c>
      <c r="Y21" s="486"/>
      <c r="Z21" s="180"/>
      <c r="AA21" s="166"/>
      <c r="AB21" s="166"/>
      <c r="AC21" s="180" t="e">
        <f t="shared" si="9"/>
        <v>#N/A</v>
      </c>
      <c r="AD21" s="486"/>
      <c r="AE21" s="180"/>
      <c r="AF21" s="166"/>
      <c r="AG21" s="166"/>
      <c r="AH21" s="180" t="e">
        <f t="shared" si="10"/>
        <v>#N/A</v>
      </c>
      <c r="AI21" s="486"/>
      <c r="AJ21" s="180"/>
      <c r="AK21" s="166"/>
      <c r="AL21" s="166"/>
      <c r="AM21" s="180" t="e">
        <f t="shared" si="11"/>
        <v>#N/A</v>
      </c>
      <c r="AN21" s="486"/>
      <c r="AO21" s="180"/>
      <c r="AP21" s="166"/>
      <c r="AQ21" s="166"/>
      <c r="AR21" s="180" t="e">
        <f t="shared" si="12"/>
        <v>#N/A</v>
      </c>
      <c r="AS21" s="486"/>
      <c r="AT21" s="180"/>
      <c r="AU21" s="166"/>
      <c r="AV21" s="166"/>
      <c r="AW21" s="180" t="e">
        <f t="shared" si="13"/>
        <v>#N/A</v>
      </c>
      <c r="AX21" s="486"/>
      <c r="AZ21" s="166" t="e">
        <f>RANK(AX21, $K$7:AX$21)</f>
        <v>#N/A</v>
      </c>
      <c r="BB21" s="180" t="e">
        <f t="shared" si="14"/>
        <v>#N/A</v>
      </c>
    </row>
    <row r="22" spans="2:54" ht="15.75">
      <c r="B22" s="490" t="s">
        <v>721</v>
      </c>
      <c r="C22" s="491"/>
      <c r="D22" s="491"/>
      <c r="E22" s="491"/>
      <c r="F22" s="491"/>
      <c r="G22" s="491"/>
      <c r="H22" s="491"/>
      <c r="I22" s="181"/>
      <c r="J22" s="181"/>
      <c r="K22" s="181"/>
      <c r="L22" s="181"/>
      <c r="M22" s="178"/>
      <c r="N22" s="469" t="s">
        <v>722</v>
      </c>
      <c r="O22" s="469" t="s">
        <v>723</v>
      </c>
      <c r="P22" s="511">
        <f>AT2+1</f>
        <v>46056</v>
      </c>
      <c r="Q22" s="512"/>
      <c r="R22" s="512"/>
      <c r="S22" s="512"/>
      <c r="T22" s="512"/>
      <c r="U22" s="478">
        <f>P22+1</f>
        <v>46057</v>
      </c>
      <c r="V22" s="479"/>
      <c r="W22" s="479"/>
      <c r="X22" s="479"/>
      <c r="Y22" s="479"/>
      <c r="Z22" s="478">
        <f>U22+1</f>
        <v>46058</v>
      </c>
      <c r="AA22" s="479"/>
      <c r="AB22" s="479"/>
      <c r="AC22" s="479"/>
      <c r="AD22" s="479"/>
      <c r="AE22" s="478">
        <f>Z22+1</f>
        <v>46059</v>
      </c>
      <c r="AF22" s="479"/>
      <c r="AG22" s="479"/>
      <c r="AH22" s="479"/>
      <c r="AI22" s="479"/>
      <c r="AJ22" s="478">
        <f>AE22+1</f>
        <v>46060</v>
      </c>
      <c r="AK22" s="479"/>
      <c r="AL22" s="479"/>
      <c r="AM22" s="479"/>
      <c r="AN22" s="479"/>
      <c r="AO22" s="478">
        <f>AJ22+1</f>
        <v>46061</v>
      </c>
      <c r="AP22" s="479"/>
      <c r="AQ22" s="479"/>
      <c r="AR22" s="479"/>
      <c r="AS22" s="479"/>
      <c r="AT22" s="478">
        <f>AO22+1</f>
        <v>46062</v>
      </c>
      <c r="AU22" s="479"/>
      <c r="AV22" s="479"/>
      <c r="AW22" s="479"/>
      <c r="AX22" s="479"/>
    </row>
    <row r="23" spans="2:54" ht="15.75">
      <c r="B23" s="482"/>
      <c r="C23" s="482"/>
      <c r="D23" s="482"/>
      <c r="E23" s="482"/>
      <c r="F23" s="482"/>
      <c r="G23" s="482"/>
      <c r="H23" s="482"/>
      <c r="I23" s="182"/>
      <c r="J23" s="182"/>
      <c r="K23" s="182"/>
      <c r="L23" s="182"/>
      <c r="M23" s="179"/>
      <c r="N23" s="471"/>
      <c r="O23" s="471"/>
      <c r="P23" s="478" t="s">
        <v>724</v>
      </c>
      <c r="Q23" s="479"/>
      <c r="R23" s="479"/>
      <c r="S23" s="479"/>
      <c r="T23" s="479"/>
      <c r="U23" s="478" t="s">
        <v>725</v>
      </c>
      <c r="V23" s="479"/>
      <c r="W23" s="479"/>
      <c r="X23" s="479"/>
      <c r="Y23" s="479"/>
      <c r="Z23" s="478" t="s">
        <v>726</v>
      </c>
      <c r="AA23" s="479"/>
      <c r="AB23" s="479"/>
      <c r="AC23" s="479"/>
      <c r="AD23" s="479"/>
      <c r="AE23" s="478" t="s">
        <v>727</v>
      </c>
      <c r="AF23" s="479"/>
      <c r="AG23" s="479"/>
      <c r="AH23" s="479"/>
      <c r="AI23" s="479"/>
      <c r="AJ23" s="478" t="s">
        <v>728</v>
      </c>
      <c r="AK23" s="479"/>
      <c r="AL23" s="479"/>
      <c r="AM23" s="479"/>
      <c r="AN23" s="479"/>
      <c r="AO23" s="478" t="s">
        <v>729</v>
      </c>
      <c r="AP23" s="479"/>
      <c r="AQ23" s="479"/>
      <c r="AR23" s="479"/>
      <c r="AS23" s="479"/>
      <c r="AT23" s="478" t="s">
        <v>730</v>
      </c>
      <c r="AU23" s="479"/>
      <c r="AV23" s="479"/>
      <c r="AW23" s="479"/>
      <c r="AX23" s="479"/>
    </row>
    <row r="24" spans="2:54">
      <c r="B24" s="462" t="s">
        <v>731</v>
      </c>
      <c r="C24" s="462" t="s">
        <v>732</v>
      </c>
      <c r="D24" s="462"/>
      <c r="E24" s="462" t="s">
        <v>733</v>
      </c>
      <c r="F24" s="462"/>
      <c r="G24" s="462"/>
      <c r="H24" s="463" t="s">
        <v>734</v>
      </c>
      <c r="I24" s="462" t="s">
        <v>735</v>
      </c>
      <c r="J24" s="462"/>
      <c r="K24" s="462"/>
      <c r="L24" s="463" t="s">
        <v>734</v>
      </c>
      <c r="M24" s="469" t="s">
        <v>736</v>
      </c>
      <c r="N24" s="462"/>
      <c r="O24" s="462" t="s">
        <v>737</v>
      </c>
      <c r="P24" s="466" t="s">
        <v>738</v>
      </c>
      <c r="Q24" s="467"/>
      <c r="R24" s="467"/>
      <c r="S24" s="468"/>
      <c r="T24" s="462" t="s">
        <v>734</v>
      </c>
      <c r="U24" s="466" t="s">
        <v>738</v>
      </c>
      <c r="V24" s="467"/>
      <c r="W24" s="467"/>
      <c r="X24" s="468"/>
      <c r="Y24" s="462" t="s">
        <v>734</v>
      </c>
      <c r="Z24" s="466" t="s">
        <v>738</v>
      </c>
      <c r="AA24" s="467"/>
      <c r="AB24" s="467"/>
      <c r="AC24" s="468"/>
      <c r="AD24" s="462" t="s">
        <v>734</v>
      </c>
      <c r="AE24" s="466" t="s">
        <v>738</v>
      </c>
      <c r="AF24" s="467"/>
      <c r="AG24" s="467"/>
      <c r="AH24" s="468"/>
      <c r="AI24" s="462" t="s">
        <v>734</v>
      </c>
      <c r="AJ24" s="466" t="s">
        <v>738</v>
      </c>
      <c r="AK24" s="467"/>
      <c r="AL24" s="467"/>
      <c r="AM24" s="468"/>
      <c r="AN24" s="462" t="s">
        <v>734</v>
      </c>
      <c r="AO24" s="466" t="s">
        <v>738</v>
      </c>
      <c r="AP24" s="467"/>
      <c r="AQ24" s="467"/>
      <c r="AR24" s="468"/>
      <c r="AS24" s="462" t="s">
        <v>734</v>
      </c>
      <c r="AT24" s="466" t="s">
        <v>738</v>
      </c>
      <c r="AU24" s="467"/>
      <c r="AV24" s="467"/>
      <c r="AW24" s="468"/>
      <c r="AX24" s="462" t="s">
        <v>734</v>
      </c>
    </row>
    <row r="25" spans="2:54">
      <c r="B25" s="462"/>
      <c r="C25" s="462"/>
      <c r="D25" s="462"/>
      <c r="E25" s="462" t="s">
        <v>739</v>
      </c>
      <c r="F25" s="462"/>
      <c r="G25" s="462"/>
      <c r="H25" s="464"/>
      <c r="I25" s="462" t="s">
        <v>739</v>
      </c>
      <c r="J25" s="462"/>
      <c r="K25" s="462"/>
      <c r="L25" s="464"/>
      <c r="M25" s="470"/>
      <c r="N25" s="462"/>
      <c r="O25" s="462"/>
      <c r="P25" s="466" t="s">
        <v>740</v>
      </c>
      <c r="Q25" s="467"/>
      <c r="R25" s="467"/>
      <c r="S25" s="468"/>
      <c r="T25" s="462"/>
      <c r="U25" s="466" t="s">
        <v>740</v>
      </c>
      <c r="V25" s="467"/>
      <c r="W25" s="467"/>
      <c r="X25" s="468"/>
      <c r="Y25" s="462"/>
      <c r="Z25" s="466" t="s">
        <v>740</v>
      </c>
      <c r="AA25" s="467"/>
      <c r="AB25" s="467"/>
      <c r="AC25" s="468"/>
      <c r="AD25" s="462"/>
      <c r="AE25" s="466" t="s">
        <v>740</v>
      </c>
      <c r="AF25" s="467"/>
      <c r="AG25" s="467"/>
      <c r="AH25" s="468"/>
      <c r="AI25" s="462"/>
      <c r="AJ25" s="466" t="s">
        <v>740</v>
      </c>
      <c r="AK25" s="467"/>
      <c r="AL25" s="467"/>
      <c r="AM25" s="468"/>
      <c r="AN25" s="462"/>
      <c r="AO25" s="466" t="s">
        <v>740</v>
      </c>
      <c r="AP25" s="467"/>
      <c r="AQ25" s="467"/>
      <c r="AR25" s="468"/>
      <c r="AS25" s="462"/>
      <c r="AT25" s="466" t="s">
        <v>740</v>
      </c>
      <c r="AU25" s="467"/>
      <c r="AV25" s="467"/>
      <c r="AW25" s="468"/>
      <c r="AX25" s="462"/>
    </row>
    <row r="26" spans="2:54">
      <c r="B26" s="462"/>
      <c r="C26" s="462"/>
      <c r="D26" s="462"/>
      <c r="E26" s="264" t="s">
        <v>741</v>
      </c>
      <c r="F26" s="264" t="s">
        <v>742</v>
      </c>
      <c r="G26" s="264" t="s">
        <v>743</v>
      </c>
      <c r="H26" s="465"/>
      <c r="I26" s="264" t="s">
        <v>741</v>
      </c>
      <c r="J26" s="264" t="s">
        <v>742</v>
      </c>
      <c r="K26" s="264" t="s">
        <v>743</v>
      </c>
      <c r="L26" s="465"/>
      <c r="M26" s="471"/>
      <c r="N26" s="462"/>
      <c r="O26" s="462"/>
      <c r="P26" s="264" t="s">
        <v>741</v>
      </c>
      <c r="Q26" s="264" t="s">
        <v>742</v>
      </c>
      <c r="R26" s="264" t="s">
        <v>743</v>
      </c>
      <c r="S26" s="264" t="s">
        <v>736</v>
      </c>
      <c r="T26" s="462"/>
      <c r="U26" s="264" t="s">
        <v>741</v>
      </c>
      <c r="V26" s="264" t="s">
        <v>742</v>
      </c>
      <c r="W26" s="264" t="s">
        <v>743</v>
      </c>
      <c r="X26" s="264" t="s">
        <v>736</v>
      </c>
      <c r="Y26" s="462"/>
      <c r="Z26" s="264" t="s">
        <v>741</v>
      </c>
      <c r="AA26" s="264" t="s">
        <v>742</v>
      </c>
      <c r="AB26" s="264" t="s">
        <v>743</v>
      </c>
      <c r="AC26" s="264" t="s">
        <v>736</v>
      </c>
      <c r="AD26" s="462"/>
      <c r="AE26" s="264" t="s">
        <v>741</v>
      </c>
      <c r="AF26" s="264" t="s">
        <v>742</v>
      </c>
      <c r="AG26" s="264" t="s">
        <v>743</v>
      </c>
      <c r="AH26" s="264" t="s">
        <v>736</v>
      </c>
      <c r="AI26" s="462"/>
      <c r="AJ26" s="264" t="s">
        <v>741</v>
      </c>
      <c r="AK26" s="264" t="s">
        <v>742</v>
      </c>
      <c r="AL26" s="264" t="s">
        <v>743</v>
      </c>
      <c r="AM26" s="264" t="s">
        <v>736</v>
      </c>
      <c r="AN26" s="462"/>
      <c r="AO26" s="264" t="s">
        <v>741</v>
      </c>
      <c r="AP26" s="264" t="s">
        <v>742</v>
      </c>
      <c r="AQ26" s="264" t="s">
        <v>743</v>
      </c>
      <c r="AR26" s="264" t="s">
        <v>736</v>
      </c>
      <c r="AS26" s="462"/>
      <c r="AT26" s="264" t="s">
        <v>741</v>
      </c>
      <c r="AU26" s="264" t="s">
        <v>742</v>
      </c>
      <c r="AV26" s="264" t="s">
        <v>743</v>
      </c>
      <c r="AW26" s="264" t="s">
        <v>736</v>
      </c>
      <c r="AX26" s="462"/>
    </row>
    <row r="27" spans="2:54">
      <c r="B27" s="507" t="s">
        <v>749</v>
      </c>
      <c r="C27" s="180">
        <v>1</v>
      </c>
      <c r="D27" s="180" t="s">
        <v>359</v>
      </c>
      <c r="E27" s="166">
        <v>10</v>
      </c>
      <c r="F27" s="166">
        <v>1500</v>
      </c>
      <c r="G27" s="166">
        <v>150</v>
      </c>
      <c r="H27" s="508">
        <f>AVERAGE(G27:G41)</f>
        <v>178.33333333333334</v>
      </c>
      <c r="I27" s="166">
        <f>AVERAGE(P27,U27,Z27,AE27,AJ27,AO27,AT27)</f>
        <v>10</v>
      </c>
      <c r="J27" s="166">
        <f>AVERAGE(Q27,V27,AA27,AF27,AK27,AP27,AU27)</f>
        <v>1485.1714285714293</v>
      </c>
      <c r="K27" s="265">
        <f>AVERAGE(R27,W27,AB27,AG27,AL27,AQ27,AV27)</f>
        <v>148.51714285714294</v>
      </c>
      <c r="L27" s="459">
        <f>IFERROR(AVERAGE(K27:K41),"-")</f>
        <v>183.38212061918293</v>
      </c>
      <c r="M27" s="272">
        <f>RANK(K27, K$27:$K$41)</f>
        <v>5</v>
      </c>
      <c r="N27" s="462"/>
      <c r="O27" s="462"/>
      <c r="P27" s="180">
        <v>10</v>
      </c>
      <c r="Q27" s="166">
        <v>1591.2000000000005</v>
      </c>
      <c r="R27" s="166">
        <v>159.12000000000006</v>
      </c>
      <c r="S27" s="180">
        <f>RANK(R27, R$27:R$41)</f>
        <v>3</v>
      </c>
      <c r="T27" s="486">
        <f>AVERAGE(R27:R41)</f>
        <v>186.21940476190468</v>
      </c>
      <c r="U27" s="180">
        <v>10</v>
      </c>
      <c r="V27" s="166">
        <v>1388.0000000000014</v>
      </c>
      <c r="W27" s="166">
        <v>138.80000000000013</v>
      </c>
      <c r="X27" s="180">
        <f>RANK(W27, W$27:W$41)</f>
        <v>5</v>
      </c>
      <c r="Y27" s="486">
        <f>AVERAGE(W27:W41)</f>
        <v>184.99886363636361</v>
      </c>
      <c r="Z27" s="180">
        <v>10</v>
      </c>
      <c r="AA27" s="166">
        <v>1377.9999999999975</v>
      </c>
      <c r="AB27" s="166">
        <v>137.79999999999976</v>
      </c>
      <c r="AC27" s="180">
        <f>RANK(AB27, AB$27:AB$41)</f>
        <v>5</v>
      </c>
      <c r="AD27" s="486">
        <f>AVERAGE(AB27:AB41)</f>
        <v>185.26236559139798</v>
      </c>
      <c r="AE27" s="180">
        <v>10</v>
      </c>
      <c r="AF27" s="166">
        <v>1607.9999999999993</v>
      </c>
      <c r="AG27" s="166">
        <v>160.79999999999993</v>
      </c>
      <c r="AH27" s="180">
        <f>RANK(AG27, AG$27:AG$41)</f>
        <v>5</v>
      </c>
      <c r="AI27" s="486">
        <f>AVERAGE(AG27:AG41)</f>
        <v>185.12638888888887</v>
      </c>
      <c r="AJ27" s="180">
        <v>10</v>
      </c>
      <c r="AK27" s="166">
        <v>1461.0000000000052</v>
      </c>
      <c r="AL27" s="166">
        <v>146.10000000000053</v>
      </c>
      <c r="AM27" s="180">
        <f>RANK(AL27, AL$27:AL$41)</f>
        <v>5</v>
      </c>
      <c r="AN27" s="486">
        <f>AVERAGE(AL27:AL41)</f>
        <v>179.69235209235239</v>
      </c>
      <c r="AO27" s="180">
        <v>10</v>
      </c>
      <c r="AP27" s="166">
        <v>1374.0000000000014</v>
      </c>
      <c r="AQ27" s="166">
        <v>137.40000000000015</v>
      </c>
      <c r="AR27" s="180">
        <f>RANK(AQ27, AQ$27:AQ$41)</f>
        <v>5</v>
      </c>
      <c r="AS27" s="486">
        <f>AVERAGE(AQ27:AQ41)</f>
        <v>177.76290322580655</v>
      </c>
      <c r="AT27" s="180">
        <v>10</v>
      </c>
      <c r="AU27" s="166">
        <v>1596.0000000000005</v>
      </c>
      <c r="AV27" s="166">
        <v>159.60000000000005</v>
      </c>
      <c r="AW27" s="180">
        <f>RANK(AV27, AV$27:AV$41)</f>
        <v>3</v>
      </c>
      <c r="AX27" s="486">
        <f>AVERAGE(AV27:AV41)</f>
        <v>184.61256613756635</v>
      </c>
    </row>
    <row r="28" spans="2:54">
      <c r="B28" s="479"/>
      <c r="C28" s="180">
        <v>2</v>
      </c>
      <c r="D28" s="180" t="s">
        <v>360</v>
      </c>
      <c r="E28" s="166">
        <v>15</v>
      </c>
      <c r="F28" s="166">
        <v>1800</v>
      </c>
      <c r="G28" s="166">
        <v>120</v>
      </c>
      <c r="H28" s="509"/>
      <c r="I28" s="166">
        <f t="shared" ref="I28:K32" si="16">AVERAGE(P28,U28,Z28,AE28,AJ28,AO28,AT28)</f>
        <v>12</v>
      </c>
      <c r="J28" s="166">
        <f t="shared" si="16"/>
        <v>1809.0714285714298</v>
      </c>
      <c r="K28" s="265">
        <f t="shared" si="16"/>
        <v>150.75595238095246</v>
      </c>
      <c r="L28" s="460"/>
      <c r="M28" s="272">
        <f>RANK(K28, K$27:$K$41)</f>
        <v>4</v>
      </c>
      <c r="N28" s="462"/>
      <c r="O28" s="462"/>
      <c r="P28" s="180">
        <v>12</v>
      </c>
      <c r="Q28" s="166">
        <v>1691.9999999999993</v>
      </c>
      <c r="R28" s="166">
        <v>140.99999999999994</v>
      </c>
      <c r="S28" s="180">
        <f t="shared" ref="S28:S41" si="17">RANK(R28, R$27:R$41)</f>
        <v>5</v>
      </c>
      <c r="T28" s="486"/>
      <c r="U28" s="180">
        <v>12</v>
      </c>
      <c r="V28" s="166">
        <v>1880.9999999999993</v>
      </c>
      <c r="W28" s="166">
        <v>156.74999999999994</v>
      </c>
      <c r="X28" s="180">
        <f t="shared" ref="X28:X41" si="18">RANK(W28, W$27:W$41)</f>
        <v>4</v>
      </c>
      <c r="Y28" s="486"/>
      <c r="Z28" s="180">
        <v>12</v>
      </c>
      <c r="AA28" s="166">
        <v>1801.500000000003</v>
      </c>
      <c r="AB28" s="166">
        <v>150.12500000000026</v>
      </c>
      <c r="AC28" s="180">
        <f t="shared" ref="AC28:AC41" si="19">RANK(AB28, AB$27:AB$41)</f>
        <v>4</v>
      </c>
      <c r="AD28" s="486"/>
      <c r="AE28" s="180">
        <v>12</v>
      </c>
      <c r="AF28" s="166">
        <v>1940.0000000000018</v>
      </c>
      <c r="AG28" s="166">
        <v>161.66666666666683</v>
      </c>
      <c r="AH28" s="180">
        <f t="shared" ref="AH28:AH41" si="20">RANK(AG28, AG$27:AG$41)</f>
        <v>4</v>
      </c>
      <c r="AI28" s="486"/>
      <c r="AJ28" s="180">
        <v>12</v>
      </c>
      <c r="AK28" s="166">
        <v>1824.0000000000018</v>
      </c>
      <c r="AL28" s="166">
        <v>152.00000000000014</v>
      </c>
      <c r="AM28" s="180">
        <f t="shared" ref="AM28:AM41" si="21">RANK(AL28, AL$27:AL$41)</f>
        <v>4</v>
      </c>
      <c r="AN28" s="486"/>
      <c r="AO28" s="180">
        <v>12</v>
      </c>
      <c r="AP28" s="166">
        <v>1778.9999999999993</v>
      </c>
      <c r="AQ28" s="166">
        <v>148.24999999999994</v>
      </c>
      <c r="AR28" s="180">
        <f t="shared" ref="AR28:AR41" si="22">RANK(AQ28, AQ$27:AQ$41)</f>
        <v>3</v>
      </c>
      <c r="AS28" s="486"/>
      <c r="AT28" s="180">
        <v>12</v>
      </c>
      <c r="AU28" s="166">
        <v>1746.000000000003</v>
      </c>
      <c r="AV28" s="166">
        <v>145.50000000000026</v>
      </c>
      <c r="AW28" s="180">
        <f t="shared" ref="AW28:AW41" si="23">RANK(AV28, AV$27:AV$41)</f>
        <v>5</v>
      </c>
      <c r="AX28" s="486"/>
    </row>
    <row r="29" spans="2:54">
      <c r="B29" s="479"/>
      <c r="C29" s="180">
        <v>3</v>
      </c>
      <c r="D29" s="180" t="s">
        <v>361</v>
      </c>
      <c r="E29" s="166">
        <v>15</v>
      </c>
      <c r="F29" s="166">
        <v>1800</v>
      </c>
      <c r="G29" s="166">
        <v>120</v>
      </c>
      <c r="H29" s="509"/>
      <c r="I29" s="166">
        <f t="shared" si="16"/>
        <v>12</v>
      </c>
      <c r="J29" s="166">
        <f t="shared" si="16"/>
        <v>1830.2142857142878</v>
      </c>
      <c r="K29" s="265">
        <f t="shared" si="16"/>
        <v>152.51785714285731</v>
      </c>
      <c r="L29" s="460"/>
      <c r="M29" s="272">
        <f>RANK(K29, K$27:$K$41)</f>
        <v>3</v>
      </c>
      <c r="N29" s="462"/>
      <c r="O29" s="462"/>
      <c r="P29" s="180">
        <v>12</v>
      </c>
      <c r="Q29" s="166">
        <v>1759.4999999999993</v>
      </c>
      <c r="R29" s="166">
        <v>146.62499999999994</v>
      </c>
      <c r="S29" s="180">
        <f t="shared" si="17"/>
        <v>4</v>
      </c>
      <c r="T29" s="486"/>
      <c r="U29" s="180">
        <v>12</v>
      </c>
      <c r="V29" s="166">
        <v>1921.4999999999995</v>
      </c>
      <c r="W29" s="166">
        <v>160.12499999999997</v>
      </c>
      <c r="X29" s="180">
        <f t="shared" si="18"/>
        <v>3</v>
      </c>
      <c r="Y29" s="486"/>
      <c r="Z29" s="180">
        <v>12</v>
      </c>
      <c r="AA29" s="166">
        <v>1864.5000000000066</v>
      </c>
      <c r="AB29" s="166">
        <v>155.37500000000054</v>
      </c>
      <c r="AC29" s="180">
        <f t="shared" si="19"/>
        <v>3</v>
      </c>
      <c r="AD29" s="486"/>
      <c r="AE29" s="180">
        <v>12</v>
      </c>
      <c r="AF29" s="166">
        <v>1958.0000000000016</v>
      </c>
      <c r="AG29" s="166">
        <v>163.1666666666668</v>
      </c>
      <c r="AH29" s="180">
        <f t="shared" si="20"/>
        <v>3</v>
      </c>
      <c r="AI29" s="486"/>
      <c r="AJ29" s="180">
        <v>12</v>
      </c>
      <c r="AK29" s="166">
        <v>1840.0000000000018</v>
      </c>
      <c r="AL29" s="166">
        <v>153.33333333333348</v>
      </c>
      <c r="AM29" s="180">
        <f t="shared" si="21"/>
        <v>3</v>
      </c>
      <c r="AN29" s="486"/>
      <c r="AO29" s="180">
        <v>12</v>
      </c>
      <c r="AP29" s="166">
        <v>1688.9999999999995</v>
      </c>
      <c r="AQ29" s="166">
        <v>140.74999999999997</v>
      </c>
      <c r="AR29" s="180">
        <f t="shared" si="22"/>
        <v>4</v>
      </c>
      <c r="AS29" s="486"/>
      <c r="AT29" s="180">
        <v>12</v>
      </c>
      <c r="AU29" s="166">
        <v>1779.0000000000064</v>
      </c>
      <c r="AV29" s="166">
        <v>148.25000000000054</v>
      </c>
      <c r="AW29" s="180">
        <f t="shared" si="23"/>
        <v>4</v>
      </c>
      <c r="AX29" s="486"/>
    </row>
    <row r="30" spans="2:54">
      <c r="B30" s="479"/>
      <c r="C30" s="180">
        <v>4</v>
      </c>
      <c r="D30" s="180" t="s">
        <v>517</v>
      </c>
      <c r="E30" s="166">
        <v>5</v>
      </c>
      <c r="F30" s="166">
        <v>1500</v>
      </c>
      <c r="G30" s="166">
        <v>300</v>
      </c>
      <c r="H30" s="509"/>
      <c r="I30" s="166">
        <f t="shared" si="16"/>
        <v>6</v>
      </c>
      <c r="J30" s="166">
        <f t="shared" si="16"/>
        <v>1524.3136982065569</v>
      </c>
      <c r="K30" s="265">
        <f t="shared" si="16"/>
        <v>254.05228303442615</v>
      </c>
      <c r="L30" s="460"/>
      <c r="M30" s="272">
        <f>RANK(K30, K$27:$K$41)</f>
        <v>2</v>
      </c>
      <c r="N30" s="462"/>
      <c r="O30" s="462"/>
      <c r="P30" s="180">
        <v>6</v>
      </c>
      <c r="Q30" s="166">
        <v>1539.0000000000025</v>
      </c>
      <c r="R30" s="166">
        <v>256.5000000000004</v>
      </c>
      <c r="S30" s="180">
        <f t="shared" si="17"/>
        <v>2</v>
      </c>
      <c r="T30" s="486"/>
      <c r="U30" s="180">
        <v>6</v>
      </c>
      <c r="V30" s="166">
        <v>1513.6363636363635</v>
      </c>
      <c r="W30" s="166">
        <v>252.27272727272725</v>
      </c>
      <c r="X30" s="180">
        <f t="shared" si="18"/>
        <v>2</v>
      </c>
      <c r="Y30" s="486"/>
      <c r="Z30" s="180">
        <v>6</v>
      </c>
      <c r="AA30" s="166">
        <v>1530.0000000000027</v>
      </c>
      <c r="AB30" s="166">
        <v>255.00000000000045</v>
      </c>
      <c r="AC30" s="180">
        <f t="shared" si="19"/>
        <v>2</v>
      </c>
      <c r="AD30" s="486"/>
      <c r="AE30" s="180">
        <v>6</v>
      </c>
      <c r="AF30" s="166">
        <v>1518.7500000000018</v>
      </c>
      <c r="AG30" s="166">
        <v>253.12500000000031</v>
      </c>
      <c r="AH30" s="180">
        <f t="shared" si="20"/>
        <v>2</v>
      </c>
      <c r="AI30" s="486"/>
      <c r="AJ30" s="180">
        <v>6</v>
      </c>
      <c r="AK30" s="166">
        <v>1517.1428571428582</v>
      </c>
      <c r="AL30" s="166">
        <v>252.85714285714303</v>
      </c>
      <c r="AM30" s="180">
        <f t="shared" si="21"/>
        <v>2</v>
      </c>
      <c r="AN30" s="486"/>
      <c r="AO30" s="180">
        <v>6</v>
      </c>
      <c r="AP30" s="166">
        <v>1484.9999999999995</v>
      </c>
      <c r="AQ30" s="166">
        <v>247.49999999999991</v>
      </c>
      <c r="AR30" s="180">
        <f t="shared" si="22"/>
        <v>2</v>
      </c>
      <c r="AS30" s="486"/>
      <c r="AT30" s="180">
        <v>6</v>
      </c>
      <c r="AU30" s="166">
        <v>1566.6666666666688</v>
      </c>
      <c r="AV30" s="166">
        <v>261.11111111111148</v>
      </c>
      <c r="AW30" s="180">
        <f t="shared" si="23"/>
        <v>2</v>
      </c>
      <c r="AX30" s="486"/>
    </row>
    <row r="31" spans="2:54">
      <c r="B31" s="479"/>
      <c r="C31" s="180">
        <v>5</v>
      </c>
      <c r="D31" s="180" t="s">
        <v>455</v>
      </c>
      <c r="E31" s="166">
        <v>5</v>
      </c>
      <c r="F31" s="166">
        <v>1500</v>
      </c>
      <c r="G31" s="166">
        <v>300</v>
      </c>
      <c r="H31" s="509"/>
      <c r="I31" s="166">
        <f t="shared" si="16"/>
        <v>5</v>
      </c>
      <c r="J31" s="166">
        <f t="shared" si="16"/>
        <v>1516.890298641451</v>
      </c>
      <c r="K31" s="265">
        <f t="shared" si="16"/>
        <v>303.37805972829022</v>
      </c>
      <c r="L31" s="460"/>
      <c r="M31" s="272">
        <f>RANK(K31, K$27:$K$41)</f>
        <v>1</v>
      </c>
      <c r="N31" s="462"/>
      <c r="O31" s="462"/>
      <c r="P31" s="180">
        <v>5</v>
      </c>
      <c r="Q31" s="166">
        <v>1542.8571428571418</v>
      </c>
      <c r="R31" s="166">
        <v>308.57142857142833</v>
      </c>
      <c r="S31" s="180">
        <f t="shared" si="17"/>
        <v>1</v>
      </c>
      <c r="T31" s="486"/>
      <c r="U31" s="180">
        <v>5</v>
      </c>
      <c r="V31" s="166">
        <v>1472.7272727272743</v>
      </c>
      <c r="W31" s="166">
        <v>294.54545454545485</v>
      </c>
      <c r="X31" s="180">
        <f t="shared" si="18"/>
        <v>1</v>
      </c>
      <c r="Y31" s="486"/>
      <c r="Z31" s="180">
        <v>5</v>
      </c>
      <c r="AA31" s="166">
        <v>1503.870967741937</v>
      </c>
      <c r="AB31" s="166">
        <v>300.77419354838742</v>
      </c>
      <c r="AC31" s="180">
        <f t="shared" si="19"/>
        <v>1</v>
      </c>
      <c r="AD31" s="486"/>
      <c r="AE31" s="180">
        <v>5</v>
      </c>
      <c r="AF31" s="166">
        <v>1519.9999999999977</v>
      </c>
      <c r="AG31" s="166">
        <v>303.99999999999955</v>
      </c>
      <c r="AH31" s="180">
        <f t="shared" si="20"/>
        <v>1</v>
      </c>
      <c r="AI31" s="486"/>
      <c r="AJ31" s="180">
        <v>5</v>
      </c>
      <c r="AK31" s="166">
        <v>1551.8181818181845</v>
      </c>
      <c r="AL31" s="166">
        <v>310.36363636363689</v>
      </c>
      <c r="AM31" s="180">
        <f t="shared" si="21"/>
        <v>1</v>
      </c>
      <c r="AN31" s="486"/>
      <c r="AO31" s="180">
        <v>5</v>
      </c>
      <c r="AP31" s="166">
        <v>1488.387096774195</v>
      </c>
      <c r="AQ31" s="166">
        <v>297.677419354839</v>
      </c>
      <c r="AR31" s="180">
        <f t="shared" si="22"/>
        <v>1</v>
      </c>
      <c r="AS31" s="486"/>
      <c r="AT31" s="180">
        <v>5</v>
      </c>
      <c r="AU31" s="166">
        <v>1538.5714285714275</v>
      </c>
      <c r="AV31" s="166">
        <v>307.7142857142855</v>
      </c>
      <c r="AW31" s="180">
        <f t="shared" si="23"/>
        <v>1</v>
      </c>
      <c r="AX31" s="486"/>
    </row>
    <row r="32" spans="2:54">
      <c r="B32" s="479"/>
      <c r="C32" s="180">
        <v>6</v>
      </c>
      <c r="D32" s="180" t="s">
        <v>519</v>
      </c>
      <c r="E32" s="166">
        <v>15</v>
      </c>
      <c r="F32" s="166">
        <v>1200</v>
      </c>
      <c r="G32" s="166">
        <v>80</v>
      </c>
      <c r="H32" s="509"/>
      <c r="I32" s="166">
        <f t="shared" si="16"/>
        <v>12</v>
      </c>
      <c r="J32" s="166">
        <f t="shared" si="16"/>
        <v>1092.8571428571413</v>
      </c>
      <c r="K32" s="265">
        <f t="shared" si="16"/>
        <v>91.071428571428456</v>
      </c>
      <c r="L32" s="460"/>
      <c r="M32" s="272">
        <f>RANK(K32, K$27:$K$41)</f>
        <v>6</v>
      </c>
      <c r="N32" s="462"/>
      <c r="O32" s="462"/>
      <c r="P32" s="180">
        <v>12</v>
      </c>
      <c r="Q32" s="166">
        <v>1265.9999999999943</v>
      </c>
      <c r="R32" s="166">
        <v>105.49999999999953</v>
      </c>
      <c r="S32" s="180">
        <f t="shared" si="17"/>
        <v>6</v>
      </c>
      <c r="T32" s="486"/>
      <c r="U32" s="180">
        <v>12</v>
      </c>
      <c r="V32" s="166">
        <v>1289.9999999999943</v>
      </c>
      <c r="W32" s="166">
        <v>107.49999999999953</v>
      </c>
      <c r="X32" s="180">
        <f t="shared" si="18"/>
        <v>6</v>
      </c>
      <c r="Y32" s="486"/>
      <c r="Z32" s="180">
        <v>12</v>
      </c>
      <c r="AA32" s="166">
        <v>1349.9999999999941</v>
      </c>
      <c r="AB32" s="166">
        <v>112.4999999999995</v>
      </c>
      <c r="AC32" s="180">
        <f t="shared" si="19"/>
        <v>6</v>
      </c>
      <c r="AD32" s="486"/>
      <c r="AE32" s="180">
        <v>12</v>
      </c>
      <c r="AF32" s="166">
        <v>815.99999999999636</v>
      </c>
      <c r="AG32" s="166">
        <v>67.999999999999702</v>
      </c>
      <c r="AH32" s="180">
        <f t="shared" si="20"/>
        <v>6</v>
      </c>
      <c r="AI32" s="486"/>
      <c r="AJ32" s="180">
        <v>12</v>
      </c>
      <c r="AK32" s="166">
        <v>762.00000000000273</v>
      </c>
      <c r="AL32" s="166">
        <v>63.500000000000227</v>
      </c>
      <c r="AM32" s="180">
        <f t="shared" si="21"/>
        <v>6</v>
      </c>
      <c r="AN32" s="486"/>
      <c r="AO32" s="180">
        <v>12</v>
      </c>
      <c r="AP32" s="166">
        <v>1140.0000000000041</v>
      </c>
      <c r="AQ32" s="166">
        <v>95.000000000000341</v>
      </c>
      <c r="AR32" s="180">
        <f t="shared" si="22"/>
        <v>6</v>
      </c>
      <c r="AS32" s="486"/>
      <c r="AT32" s="180">
        <v>12</v>
      </c>
      <c r="AU32" s="166">
        <v>1026.0000000000036</v>
      </c>
      <c r="AV32" s="166">
        <v>85.500000000000298</v>
      </c>
      <c r="AW32" s="180">
        <f t="shared" si="23"/>
        <v>6</v>
      </c>
      <c r="AX32" s="486"/>
    </row>
    <row r="33" spans="2:50">
      <c r="B33" s="479"/>
      <c r="C33" s="180">
        <v>7</v>
      </c>
      <c r="D33" s="180"/>
      <c r="E33" s="166"/>
      <c r="F33" s="166"/>
      <c r="G33" s="166"/>
      <c r="H33" s="509"/>
      <c r="I33" s="166"/>
      <c r="J33" s="166"/>
      <c r="K33" s="265"/>
      <c r="L33" s="460"/>
      <c r="M33" s="272" t="e">
        <f>RANK(K33, K$27:$K$41)</f>
        <v>#N/A</v>
      </c>
      <c r="N33" s="462"/>
      <c r="O33" s="462"/>
      <c r="P33" s="180"/>
      <c r="Q33" s="166"/>
      <c r="R33" s="166"/>
      <c r="S33" s="180" t="e">
        <f t="shared" si="17"/>
        <v>#N/A</v>
      </c>
      <c r="T33" s="486"/>
      <c r="U33" s="180"/>
      <c r="V33" s="166"/>
      <c r="W33" s="166"/>
      <c r="X33" s="180" t="e">
        <f t="shared" si="18"/>
        <v>#N/A</v>
      </c>
      <c r="Y33" s="486"/>
      <c r="Z33" s="180"/>
      <c r="AA33" s="166"/>
      <c r="AB33" s="166"/>
      <c r="AC33" s="180" t="e">
        <f t="shared" si="19"/>
        <v>#N/A</v>
      </c>
      <c r="AD33" s="486"/>
      <c r="AE33" s="180"/>
      <c r="AF33" s="166"/>
      <c r="AG33" s="166"/>
      <c r="AH33" s="180" t="e">
        <f t="shared" si="20"/>
        <v>#N/A</v>
      </c>
      <c r="AI33" s="486"/>
      <c r="AJ33" s="180"/>
      <c r="AK33" s="166"/>
      <c r="AL33" s="166"/>
      <c r="AM33" s="180" t="e">
        <f t="shared" si="21"/>
        <v>#N/A</v>
      </c>
      <c r="AN33" s="486"/>
      <c r="AO33" s="180"/>
      <c r="AP33" s="166"/>
      <c r="AQ33" s="166"/>
      <c r="AR33" s="180" t="e">
        <f t="shared" si="22"/>
        <v>#N/A</v>
      </c>
      <c r="AS33" s="486"/>
      <c r="AT33" s="180"/>
      <c r="AU33" s="166"/>
      <c r="AV33" s="166"/>
      <c r="AW33" s="180" t="e">
        <f t="shared" si="23"/>
        <v>#N/A</v>
      </c>
      <c r="AX33" s="486"/>
    </row>
    <row r="34" spans="2:50">
      <c r="B34" s="479"/>
      <c r="C34" s="180">
        <v>8</v>
      </c>
      <c r="D34" s="180"/>
      <c r="E34" s="166"/>
      <c r="F34" s="166"/>
      <c r="G34" s="166"/>
      <c r="H34" s="509"/>
      <c r="I34" s="166"/>
      <c r="J34" s="166"/>
      <c r="K34" s="265"/>
      <c r="L34" s="460"/>
      <c r="M34" s="272" t="e">
        <f>RANK(K34, K$27:$K$41)</f>
        <v>#N/A</v>
      </c>
      <c r="N34" s="462"/>
      <c r="O34" s="462"/>
      <c r="P34" s="180"/>
      <c r="Q34" s="166"/>
      <c r="R34" s="166"/>
      <c r="S34" s="180" t="e">
        <f t="shared" si="17"/>
        <v>#N/A</v>
      </c>
      <c r="T34" s="486"/>
      <c r="U34" s="180"/>
      <c r="V34" s="166"/>
      <c r="W34" s="166"/>
      <c r="X34" s="180" t="e">
        <f t="shared" si="18"/>
        <v>#N/A</v>
      </c>
      <c r="Y34" s="486"/>
      <c r="Z34" s="180"/>
      <c r="AA34" s="166"/>
      <c r="AB34" s="166"/>
      <c r="AC34" s="180" t="e">
        <f t="shared" si="19"/>
        <v>#N/A</v>
      </c>
      <c r="AD34" s="486"/>
      <c r="AE34" s="180"/>
      <c r="AF34" s="166"/>
      <c r="AG34" s="166"/>
      <c r="AH34" s="180" t="e">
        <f t="shared" si="20"/>
        <v>#N/A</v>
      </c>
      <c r="AI34" s="486"/>
      <c r="AJ34" s="180"/>
      <c r="AK34" s="166"/>
      <c r="AL34" s="166"/>
      <c r="AM34" s="180" t="e">
        <f t="shared" si="21"/>
        <v>#N/A</v>
      </c>
      <c r="AN34" s="486"/>
      <c r="AO34" s="180"/>
      <c r="AP34" s="166"/>
      <c r="AQ34" s="166"/>
      <c r="AR34" s="180" t="e">
        <f t="shared" si="22"/>
        <v>#N/A</v>
      </c>
      <c r="AS34" s="486"/>
      <c r="AT34" s="180"/>
      <c r="AU34" s="166"/>
      <c r="AV34" s="166"/>
      <c r="AW34" s="180" t="e">
        <f t="shared" si="23"/>
        <v>#N/A</v>
      </c>
      <c r="AX34" s="486"/>
    </row>
    <row r="35" spans="2:50">
      <c r="B35" s="479"/>
      <c r="C35" s="180">
        <v>9</v>
      </c>
      <c r="D35" s="180"/>
      <c r="E35" s="180"/>
      <c r="F35" s="180"/>
      <c r="G35" s="180"/>
      <c r="H35" s="509"/>
      <c r="I35" s="166"/>
      <c r="J35" s="166"/>
      <c r="K35" s="265"/>
      <c r="L35" s="460"/>
      <c r="M35" s="272" t="e">
        <f>RANK(K35, K$27:$K$41)</f>
        <v>#N/A</v>
      </c>
      <c r="N35" s="462"/>
      <c r="O35" s="462"/>
      <c r="P35" s="180"/>
      <c r="Q35" s="180"/>
      <c r="R35" s="180"/>
      <c r="S35" s="180" t="e">
        <f t="shared" si="17"/>
        <v>#N/A</v>
      </c>
      <c r="T35" s="486"/>
      <c r="U35" s="180"/>
      <c r="V35" s="180"/>
      <c r="W35" s="180"/>
      <c r="X35" s="180" t="e">
        <f t="shared" si="18"/>
        <v>#N/A</v>
      </c>
      <c r="Y35" s="486"/>
      <c r="Z35" s="180"/>
      <c r="AA35" s="180"/>
      <c r="AB35" s="180"/>
      <c r="AC35" s="180" t="e">
        <f t="shared" si="19"/>
        <v>#N/A</v>
      </c>
      <c r="AD35" s="486"/>
      <c r="AE35" s="180"/>
      <c r="AF35" s="180"/>
      <c r="AG35" s="180"/>
      <c r="AH35" s="180" t="e">
        <f t="shared" si="20"/>
        <v>#N/A</v>
      </c>
      <c r="AI35" s="486"/>
      <c r="AJ35" s="180"/>
      <c r="AK35" s="180"/>
      <c r="AL35" s="180"/>
      <c r="AM35" s="180" t="e">
        <f t="shared" si="21"/>
        <v>#N/A</v>
      </c>
      <c r="AN35" s="486"/>
      <c r="AO35" s="180"/>
      <c r="AP35" s="180"/>
      <c r="AQ35" s="180"/>
      <c r="AR35" s="180" t="e">
        <f t="shared" si="22"/>
        <v>#N/A</v>
      </c>
      <c r="AS35" s="486"/>
      <c r="AT35" s="180"/>
      <c r="AU35" s="180"/>
      <c r="AV35" s="180"/>
      <c r="AW35" s="180" t="e">
        <f t="shared" si="23"/>
        <v>#N/A</v>
      </c>
      <c r="AX35" s="486"/>
    </row>
    <row r="36" spans="2:50">
      <c r="B36" s="479"/>
      <c r="C36" s="180">
        <v>10</v>
      </c>
      <c r="D36" s="180"/>
      <c r="E36" s="180"/>
      <c r="F36" s="180"/>
      <c r="G36" s="180"/>
      <c r="H36" s="509"/>
      <c r="I36" s="166"/>
      <c r="J36" s="166"/>
      <c r="K36" s="265"/>
      <c r="L36" s="460"/>
      <c r="M36" s="272" t="e">
        <f>RANK(K36, K$27:$K$41)</f>
        <v>#N/A</v>
      </c>
      <c r="N36" s="462"/>
      <c r="O36" s="462"/>
      <c r="P36" s="180"/>
      <c r="Q36" s="180"/>
      <c r="R36" s="180"/>
      <c r="S36" s="180" t="e">
        <f t="shared" si="17"/>
        <v>#N/A</v>
      </c>
      <c r="T36" s="486"/>
      <c r="U36" s="180"/>
      <c r="V36" s="180"/>
      <c r="W36" s="180"/>
      <c r="X36" s="180" t="e">
        <f t="shared" si="18"/>
        <v>#N/A</v>
      </c>
      <c r="Y36" s="486"/>
      <c r="Z36" s="180"/>
      <c r="AA36" s="180"/>
      <c r="AB36" s="180"/>
      <c r="AC36" s="180" t="e">
        <f t="shared" si="19"/>
        <v>#N/A</v>
      </c>
      <c r="AD36" s="486"/>
      <c r="AE36" s="180"/>
      <c r="AF36" s="180"/>
      <c r="AG36" s="180"/>
      <c r="AH36" s="180" t="e">
        <f t="shared" si="20"/>
        <v>#N/A</v>
      </c>
      <c r="AI36" s="486"/>
      <c r="AJ36" s="180"/>
      <c r="AK36" s="180"/>
      <c r="AL36" s="180"/>
      <c r="AM36" s="180" t="e">
        <f t="shared" si="21"/>
        <v>#N/A</v>
      </c>
      <c r="AN36" s="486"/>
      <c r="AO36" s="180"/>
      <c r="AP36" s="180"/>
      <c r="AQ36" s="180"/>
      <c r="AR36" s="180" t="e">
        <f t="shared" si="22"/>
        <v>#N/A</v>
      </c>
      <c r="AS36" s="486"/>
      <c r="AT36" s="180"/>
      <c r="AU36" s="180"/>
      <c r="AV36" s="180"/>
      <c r="AW36" s="180" t="e">
        <f t="shared" si="23"/>
        <v>#N/A</v>
      </c>
      <c r="AX36" s="486"/>
    </row>
    <row r="37" spans="2:50">
      <c r="B37" s="479"/>
      <c r="C37" s="180">
        <v>11</v>
      </c>
      <c r="D37" s="180"/>
      <c r="E37" s="180"/>
      <c r="F37" s="180"/>
      <c r="G37" s="180"/>
      <c r="H37" s="509"/>
      <c r="I37" s="180"/>
      <c r="J37" s="180"/>
      <c r="K37" s="180"/>
      <c r="L37" s="460"/>
      <c r="M37" s="272" t="e">
        <f>RANK(K37, K$27:$K$41)</f>
        <v>#N/A</v>
      </c>
      <c r="N37" s="462"/>
      <c r="O37" s="462"/>
      <c r="P37" s="180"/>
      <c r="Q37" s="180"/>
      <c r="R37" s="180"/>
      <c r="S37" s="180" t="e">
        <f t="shared" si="17"/>
        <v>#N/A</v>
      </c>
      <c r="T37" s="486"/>
      <c r="U37" s="180"/>
      <c r="V37" s="180"/>
      <c r="W37" s="180"/>
      <c r="X37" s="180" t="e">
        <f t="shared" si="18"/>
        <v>#N/A</v>
      </c>
      <c r="Y37" s="486"/>
      <c r="Z37" s="180"/>
      <c r="AA37" s="180"/>
      <c r="AB37" s="180"/>
      <c r="AC37" s="180" t="e">
        <f t="shared" si="19"/>
        <v>#N/A</v>
      </c>
      <c r="AD37" s="486"/>
      <c r="AE37" s="180"/>
      <c r="AF37" s="180"/>
      <c r="AG37" s="180"/>
      <c r="AH37" s="180" t="e">
        <f t="shared" si="20"/>
        <v>#N/A</v>
      </c>
      <c r="AI37" s="486"/>
      <c r="AJ37" s="180"/>
      <c r="AK37" s="180"/>
      <c r="AL37" s="180"/>
      <c r="AM37" s="180" t="e">
        <f t="shared" si="21"/>
        <v>#N/A</v>
      </c>
      <c r="AN37" s="486"/>
      <c r="AO37" s="180"/>
      <c r="AP37" s="180"/>
      <c r="AQ37" s="180"/>
      <c r="AR37" s="180" t="e">
        <f t="shared" si="22"/>
        <v>#N/A</v>
      </c>
      <c r="AS37" s="486"/>
      <c r="AT37" s="180"/>
      <c r="AU37" s="180"/>
      <c r="AV37" s="180"/>
      <c r="AW37" s="180" t="e">
        <f t="shared" si="23"/>
        <v>#N/A</v>
      </c>
      <c r="AX37" s="486"/>
    </row>
    <row r="38" spans="2:50">
      <c r="B38" s="479"/>
      <c r="C38" s="180">
        <v>12</v>
      </c>
      <c r="D38" s="180"/>
      <c r="E38" s="180"/>
      <c r="F38" s="180"/>
      <c r="G38" s="180"/>
      <c r="H38" s="509"/>
      <c r="I38" s="180"/>
      <c r="J38" s="180"/>
      <c r="K38" s="180"/>
      <c r="L38" s="460"/>
      <c r="M38" s="272" t="e">
        <f>RANK(K38, K$27:$K$41)</f>
        <v>#N/A</v>
      </c>
      <c r="N38" s="462"/>
      <c r="O38" s="462"/>
      <c r="P38" s="180"/>
      <c r="Q38" s="180"/>
      <c r="R38" s="180"/>
      <c r="S38" s="180" t="e">
        <f t="shared" si="17"/>
        <v>#N/A</v>
      </c>
      <c r="T38" s="486"/>
      <c r="U38" s="180"/>
      <c r="V38" s="180"/>
      <c r="W38" s="180"/>
      <c r="X38" s="180" t="e">
        <f t="shared" si="18"/>
        <v>#N/A</v>
      </c>
      <c r="Y38" s="486"/>
      <c r="Z38" s="180"/>
      <c r="AA38" s="180"/>
      <c r="AB38" s="180"/>
      <c r="AC38" s="180" t="e">
        <f t="shared" si="19"/>
        <v>#N/A</v>
      </c>
      <c r="AD38" s="486"/>
      <c r="AE38" s="180"/>
      <c r="AF38" s="180"/>
      <c r="AG38" s="180"/>
      <c r="AH38" s="180" t="e">
        <f t="shared" si="20"/>
        <v>#N/A</v>
      </c>
      <c r="AI38" s="486"/>
      <c r="AJ38" s="180"/>
      <c r="AK38" s="180"/>
      <c r="AL38" s="180"/>
      <c r="AM38" s="180" t="e">
        <f t="shared" si="21"/>
        <v>#N/A</v>
      </c>
      <c r="AN38" s="486"/>
      <c r="AO38" s="180"/>
      <c r="AP38" s="180"/>
      <c r="AQ38" s="180"/>
      <c r="AR38" s="180" t="e">
        <f t="shared" si="22"/>
        <v>#N/A</v>
      </c>
      <c r="AS38" s="486"/>
      <c r="AT38" s="180"/>
      <c r="AU38" s="180"/>
      <c r="AV38" s="180"/>
      <c r="AW38" s="180" t="e">
        <f t="shared" si="23"/>
        <v>#N/A</v>
      </c>
      <c r="AX38" s="486"/>
    </row>
    <row r="39" spans="2:50">
      <c r="B39" s="479"/>
      <c r="C39" s="180">
        <v>13</v>
      </c>
      <c r="D39" s="180"/>
      <c r="E39" s="180"/>
      <c r="F39" s="180"/>
      <c r="G39" s="180"/>
      <c r="H39" s="509"/>
      <c r="I39" s="180"/>
      <c r="J39" s="180"/>
      <c r="K39" s="180"/>
      <c r="L39" s="460"/>
      <c r="M39" s="272" t="e">
        <f>RANK(K39, K$27:$K$41)</f>
        <v>#N/A</v>
      </c>
      <c r="N39" s="462"/>
      <c r="O39" s="462"/>
      <c r="P39" s="180"/>
      <c r="Q39" s="180"/>
      <c r="R39" s="180"/>
      <c r="S39" s="180" t="e">
        <f t="shared" si="17"/>
        <v>#N/A</v>
      </c>
      <c r="T39" s="486"/>
      <c r="U39" s="180"/>
      <c r="V39" s="180"/>
      <c r="W39" s="180"/>
      <c r="X39" s="180" t="e">
        <f t="shared" si="18"/>
        <v>#N/A</v>
      </c>
      <c r="Y39" s="486"/>
      <c r="Z39" s="180"/>
      <c r="AA39" s="180"/>
      <c r="AB39" s="180"/>
      <c r="AC39" s="180" t="e">
        <f t="shared" si="19"/>
        <v>#N/A</v>
      </c>
      <c r="AD39" s="486"/>
      <c r="AE39" s="180"/>
      <c r="AF39" s="180"/>
      <c r="AG39" s="180"/>
      <c r="AH39" s="180" t="e">
        <f t="shared" si="20"/>
        <v>#N/A</v>
      </c>
      <c r="AI39" s="486"/>
      <c r="AJ39" s="180"/>
      <c r="AK39" s="180"/>
      <c r="AL39" s="180"/>
      <c r="AM39" s="180" t="e">
        <f t="shared" si="21"/>
        <v>#N/A</v>
      </c>
      <c r="AN39" s="486"/>
      <c r="AO39" s="180"/>
      <c r="AP39" s="180"/>
      <c r="AQ39" s="180"/>
      <c r="AR39" s="180" t="e">
        <f t="shared" si="22"/>
        <v>#N/A</v>
      </c>
      <c r="AS39" s="486"/>
      <c r="AT39" s="180"/>
      <c r="AU39" s="180"/>
      <c r="AV39" s="180"/>
      <c r="AW39" s="180" t="e">
        <f t="shared" si="23"/>
        <v>#N/A</v>
      </c>
      <c r="AX39" s="486"/>
    </row>
    <row r="40" spans="2:50">
      <c r="B40" s="479"/>
      <c r="C40" s="180">
        <v>14</v>
      </c>
      <c r="D40" s="180"/>
      <c r="E40" s="180"/>
      <c r="F40" s="180"/>
      <c r="G40" s="180"/>
      <c r="H40" s="509"/>
      <c r="I40" s="180"/>
      <c r="J40" s="180"/>
      <c r="K40" s="180"/>
      <c r="L40" s="460"/>
      <c r="M40" s="272" t="e">
        <f>RANK(K40, K$27:$K$41)</f>
        <v>#N/A</v>
      </c>
      <c r="N40" s="462"/>
      <c r="O40" s="462"/>
      <c r="P40" s="180"/>
      <c r="Q40" s="180"/>
      <c r="R40" s="180"/>
      <c r="S40" s="180" t="e">
        <f t="shared" si="17"/>
        <v>#N/A</v>
      </c>
      <c r="T40" s="486"/>
      <c r="U40" s="180"/>
      <c r="V40" s="180"/>
      <c r="W40" s="180"/>
      <c r="X40" s="180" t="e">
        <f t="shared" si="18"/>
        <v>#N/A</v>
      </c>
      <c r="Y40" s="486"/>
      <c r="Z40" s="180"/>
      <c r="AA40" s="180"/>
      <c r="AB40" s="180"/>
      <c r="AC40" s="180" t="e">
        <f t="shared" si="19"/>
        <v>#N/A</v>
      </c>
      <c r="AD40" s="486"/>
      <c r="AE40" s="180"/>
      <c r="AF40" s="180"/>
      <c r="AG40" s="180"/>
      <c r="AH40" s="180" t="e">
        <f t="shared" si="20"/>
        <v>#N/A</v>
      </c>
      <c r="AI40" s="486"/>
      <c r="AJ40" s="180"/>
      <c r="AK40" s="180"/>
      <c r="AL40" s="180"/>
      <c r="AM40" s="180" t="e">
        <f t="shared" si="21"/>
        <v>#N/A</v>
      </c>
      <c r="AN40" s="486"/>
      <c r="AO40" s="180"/>
      <c r="AP40" s="180"/>
      <c r="AQ40" s="180"/>
      <c r="AR40" s="180" t="e">
        <f t="shared" si="22"/>
        <v>#N/A</v>
      </c>
      <c r="AS40" s="486"/>
      <c r="AT40" s="180"/>
      <c r="AU40" s="180"/>
      <c r="AV40" s="180"/>
      <c r="AW40" s="180" t="e">
        <f t="shared" si="23"/>
        <v>#N/A</v>
      </c>
      <c r="AX40" s="486"/>
    </row>
    <row r="41" spans="2:50">
      <c r="B41" s="479"/>
      <c r="C41" s="180">
        <v>15</v>
      </c>
      <c r="D41" s="180"/>
      <c r="E41" s="180"/>
      <c r="F41" s="180"/>
      <c r="G41" s="180"/>
      <c r="H41" s="510"/>
      <c r="I41" s="180"/>
      <c r="J41" s="180"/>
      <c r="K41" s="180"/>
      <c r="L41" s="461"/>
      <c r="M41" s="166" t="e">
        <f>RANK(K41, K$27:$K$41)</f>
        <v>#N/A</v>
      </c>
      <c r="N41" s="462"/>
      <c r="O41" s="462"/>
      <c r="P41" s="180"/>
      <c r="Q41" s="180"/>
      <c r="R41" s="180"/>
      <c r="S41" s="180" t="e">
        <f t="shared" si="17"/>
        <v>#N/A</v>
      </c>
      <c r="T41" s="486"/>
      <c r="U41" s="180"/>
      <c r="V41" s="180"/>
      <c r="W41" s="180"/>
      <c r="X41" s="180" t="e">
        <f t="shared" si="18"/>
        <v>#N/A</v>
      </c>
      <c r="Y41" s="486"/>
      <c r="Z41" s="180"/>
      <c r="AA41" s="180"/>
      <c r="AB41" s="180"/>
      <c r="AC41" s="180" t="e">
        <f t="shared" si="19"/>
        <v>#N/A</v>
      </c>
      <c r="AD41" s="486"/>
      <c r="AE41" s="180"/>
      <c r="AF41" s="180"/>
      <c r="AG41" s="180"/>
      <c r="AH41" s="180" t="e">
        <f t="shared" si="20"/>
        <v>#N/A</v>
      </c>
      <c r="AI41" s="486"/>
      <c r="AJ41" s="180"/>
      <c r="AK41" s="180"/>
      <c r="AL41" s="180"/>
      <c r="AM41" s="180" t="e">
        <f t="shared" si="21"/>
        <v>#N/A</v>
      </c>
      <c r="AN41" s="486"/>
      <c r="AO41" s="180"/>
      <c r="AP41" s="180"/>
      <c r="AQ41" s="180"/>
      <c r="AR41" s="180" t="e">
        <f t="shared" si="22"/>
        <v>#N/A</v>
      </c>
      <c r="AS41" s="486"/>
      <c r="AT41" s="180"/>
      <c r="AU41" s="180"/>
      <c r="AV41" s="180"/>
      <c r="AW41" s="180" t="e">
        <f t="shared" si="23"/>
        <v>#N/A</v>
      </c>
      <c r="AX41" s="486"/>
    </row>
    <row r="42" spans="2:50" ht="15.75">
      <c r="B42" s="490" t="s">
        <v>721</v>
      </c>
      <c r="C42" s="491"/>
      <c r="D42" s="491"/>
      <c r="E42" s="491"/>
      <c r="F42" s="491"/>
      <c r="G42" s="491"/>
      <c r="H42" s="491"/>
      <c r="I42" s="184"/>
      <c r="J42" s="181"/>
      <c r="K42" s="184"/>
      <c r="L42" s="184"/>
      <c r="M42" s="178"/>
      <c r="N42" s="469" t="s">
        <v>722</v>
      </c>
      <c r="O42" s="469" t="s">
        <v>723</v>
      </c>
      <c r="P42" s="478">
        <f>P22+7</f>
        <v>46063</v>
      </c>
      <c r="Q42" s="479"/>
      <c r="R42" s="479"/>
      <c r="S42" s="479"/>
      <c r="T42" s="479"/>
      <c r="U42" s="475">
        <f>P42+1</f>
        <v>46064</v>
      </c>
      <c r="V42" s="476"/>
      <c r="W42" s="476"/>
      <c r="X42" s="476"/>
      <c r="Y42" s="477"/>
      <c r="Z42" s="475">
        <f>U42+1</f>
        <v>46065</v>
      </c>
      <c r="AA42" s="476"/>
      <c r="AB42" s="476"/>
      <c r="AC42" s="476"/>
      <c r="AD42" s="477"/>
      <c r="AE42" s="475">
        <f>Z42+1</f>
        <v>46066</v>
      </c>
      <c r="AF42" s="476"/>
      <c r="AG42" s="476"/>
      <c r="AH42" s="476"/>
      <c r="AI42" s="477"/>
      <c r="AJ42" s="475">
        <f>AE42+1</f>
        <v>46067</v>
      </c>
      <c r="AK42" s="476"/>
      <c r="AL42" s="476"/>
      <c r="AM42" s="476"/>
      <c r="AN42" s="477"/>
      <c r="AO42" s="475">
        <f>AJ42+1</f>
        <v>46068</v>
      </c>
      <c r="AP42" s="476"/>
      <c r="AQ42" s="476"/>
      <c r="AR42" s="476"/>
      <c r="AS42" s="477"/>
      <c r="AT42" s="475">
        <f>AO42+1</f>
        <v>46069</v>
      </c>
      <c r="AU42" s="476"/>
      <c r="AV42" s="476"/>
      <c r="AW42" s="476"/>
      <c r="AX42" s="477"/>
    </row>
    <row r="43" spans="2:50" ht="15.75">
      <c r="B43" s="482"/>
      <c r="C43" s="482"/>
      <c r="D43" s="482"/>
      <c r="E43" s="482"/>
      <c r="F43" s="482"/>
      <c r="G43" s="482"/>
      <c r="H43" s="482"/>
      <c r="I43" s="182"/>
      <c r="J43" s="182"/>
      <c r="K43" s="182"/>
      <c r="L43" s="182"/>
      <c r="M43" s="179"/>
      <c r="N43" s="471"/>
      <c r="O43" s="471"/>
      <c r="P43" s="478" t="s">
        <v>724</v>
      </c>
      <c r="Q43" s="479"/>
      <c r="R43" s="479"/>
      <c r="S43" s="479"/>
      <c r="T43" s="479"/>
      <c r="U43" s="478" t="s">
        <v>725</v>
      </c>
      <c r="V43" s="479"/>
      <c r="W43" s="479"/>
      <c r="X43" s="479"/>
      <c r="Y43" s="479"/>
      <c r="Z43" s="478" t="s">
        <v>726</v>
      </c>
      <c r="AA43" s="479"/>
      <c r="AB43" s="479"/>
      <c r="AC43" s="479"/>
      <c r="AD43" s="479"/>
      <c r="AE43" s="478" t="s">
        <v>727</v>
      </c>
      <c r="AF43" s="479"/>
      <c r="AG43" s="479"/>
      <c r="AH43" s="479"/>
      <c r="AI43" s="479"/>
      <c r="AJ43" s="478" t="s">
        <v>728</v>
      </c>
      <c r="AK43" s="479"/>
      <c r="AL43" s="479"/>
      <c r="AM43" s="479"/>
      <c r="AN43" s="479"/>
      <c r="AO43" s="478" t="s">
        <v>729</v>
      </c>
      <c r="AP43" s="479"/>
      <c r="AQ43" s="479"/>
      <c r="AR43" s="479"/>
      <c r="AS43" s="479"/>
      <c r="AT43" s="478" t="s">
        <v>730</v>
      </c>
      <c r="AU43" s="479"/>
      <c r="AV43" s="479"/>
      <c r="AW43" s="479"/>
      <c r="AX43" s="479"/>
    </row>
    <row r="44" spans="2:50">
      <c r="B44" s="462" t="s">
        <v>731</v>
      </c>
      <c r="C44" s="462" t="s">
        <v>732</v>
      </c>
      <c r="D44" s="462"/>
      <c r="E44" s="462" t="s">
        <v>733</v>
      </c>
      <c r="F44" s="462"/>
      <c r="G44" s="462"/>
      <c r="H44" s="463" t="s">
        <v>734</v>
      </c>
      <c r="I44" s="462" t="s">
        <v>735</v>
      </c>
      <c r="J44" s="462"/>
      <c r="K44" s="462"/>
      <c r="L44" s="463" t="s">
        <v>734</v>
      </c>
      <c r="M44" s="469" t="s">
        <v>736</v>
      </c>
      <c r="N44" s="462"/>
      <c r="O44" s="462" t="s">
        <v>737</v>
      </c>
      <c r="P44" s="466" t="s">
        <v>738</v>
      </c>
      <c r="Q44" s="467"/>
      <c r="R44" s="467"/>
      <c r="S44" s="468"/>
      <c r="T44" s="462" t="s">
        <v>734</v>
      </c>
      <c r="U44" s="466" t="s">
        <v>738</v>
      </c>
      <c r="V44" s="467"/>
      <c r="W44" s="467"/>
      <c r="X44" s="468"/>
      <c r="Y44" s="462" t="s">
        <v>734</v>
      </c>
      <c r="Z44" s="466" t="s">
        <v>738</v>
      </c>
      <c r="AA44" s="467"/>
      <c r="AB44" s="467"/>
      <c r="AC44" s="468"/>
      <c r="AD44" s="462" t="s">
        <v>734</v>
      </c>
      <c r="AE44" s="466" t="s">
        <v>738</v>
      </c>
      <c r="AF44" s="467"/>
      <c r="AG44" s="467"/>
      <c r="AH44" s="468"/>
      <c r="AI44" s="462" t="s">
        <v>734</v>
      </c>
      <c r="AJ44" s="466" t="s">
        <v>738</v>
      </c>
      <c r="AK44" s="467"/>
      <c r="AL44" s="467"/>
      <c r="AM44" s="468"/>
      <c r="AN44" s="462" t="s">
        <v>734</v>
      </c>
      <c r="AO44" s="466" t="s">
        <v>738</v>
      </c>
      <c r="AP44" s="467"/>
      <c r="AQ44" s="467"/>
      <c r="AR44" s="468"/>
      <c r="AS44" s="462" t="s">
        <v>734</v>
      </c>
      <c r="AT44" s="466" t="s">
        <v>738</v>
      </c>
      <c r="AU44" s="467"/>
      <c r="AV44" s="467"/>
      <c r="AW44" s="468"/>
      <c r="AX44" s="462" t="s">
        <v>734</v>
      </c>
    </row>
    <row r="45" spans="2:50">
      <c r="B45" s="462"/>
      <c r="C45" s="462"/>
      <c r="D45" s="462"/>
      <c r="E45" s="462" t="s">
        <v>739</v>
      </c>
      <c r="F45" s="462"/>
      <c r="G45" s="462"/>
      <c r="H45" s="464"/>
      <c r="I45" s="462" t="s">
        <v>739</v>
      </c>
      <c r="J45" s="462"/>
      <c r="K45" s="462"/>
      <c r="L45" s="464"/>
      <c r="M45" s="470"/>
      <c r="N45" s="462"/>
      <c r="O45" s="462"/>
      <c r="P45" s="466" t="s">
        <v>740</v>
      </c>
      <c r="Q45" s="467"/>
      <c r="R45" s="467"/>
      <c r="S45" s="468"/>
      <c r="T45" s="462"/>
      <c r="U45" s="466" t="s">
        <v>740</v>
      </c>
      <c r="V45" s="467"/>
      <c r="W45" s="467"/>
      <c r="X45" s="468"/>
      <c r="Y45" s="462"/>
      <c r="Z45" s="466" t="s">
        <v>740</v>
      </c>
      <c r="AA45" s="467"/>
      <c r="AB45" s="467"/>
      <c r="AC45" s="468"/>
      <c r="AD45" s="462"/>
      <c r="AE45" s="466" t="s">
        <v>740</v>
      </c>
      <c r="AF45" s="467"/>
      <c r="AG45" s="467"/>
      <c r="AH45" s="468"/>
      <c r="AI45" s="462"/>
      <c r="AJ45" s="466" t="s">
        <v>740</v>
      </c>
      <c r="AK45" s="467"/>
      <c r="AL45" s="467"/>
      <c r="AM45" s="468"/>
      <c r="AN45" s="462"/>
      <c r="AO45" s="466" t="s">
        <v>740</v>
      </c>
      <c r="AP45" s="467"/>
      <c r="AQ45" s="467"/>
      <c r="AR45" s="468"/>
      <c r="AS45" s="462"/>
      <c r="AT45" s="466" t="s">
        <v>740</v>
      </c>
      <c r="AU45" s="467"/>
      <c r="AV45" s="467"/>
      <c r="AW45" s="468"/>
      <c r="AX45" s="462"/>
    </row>
    <row r="46" spans="2:50">
      <c r="B46" s="462"/>
      <c r="C46" s="462"/>
      <c r="D46" s="462"/>
      <c r="E46" s="264" t="s">
        <v>741</v>
      </c>
      <c r="F46" s="264" t="s">
        <v>742</v>
      </c>
      <c r="G46" s="264" t="s">
        <v>743</v>
      </c>
      <c r="H46" s="465"/>
      <c r="I46" s="264" t="s">
        <v>741</v>
      </c>
      <c r="J46" s="264" t="s">
        <v>742</v>
      </c>
      <c r="K46" s="264" t="s">
        <v>743</v>
      </c>
      <c r="L46" s="465"/>
      <c r="M46" s="471"/>
      <c r="N46" s="462"/>
      <c r="O46" s="462"/>
      <c r="P46" s="264" t="s">
        <v>741</v>
      </c>
      <c r="Q46" s="264" t="s">
        <v>742</v>
      </c>
      <c r="R46" s="264" t="s">
        <v>743</v>
      </c>
      <c r="S46" s="264" t="s">
        <v>736</v>
      </c>
      <c r="T46" s="462"/>
      <c r="U46" s="264" t="s">
        <v>741</v>
      </c>
      <c r="V46" s="264" t="s">
        <v>742</v>
      </c>
      <c r="W46" s="264" t="s">
        <v>743</v>
      </c>
      <c r="X46" s="264" t="s">
        <v>736</v>
      </c>
      <c r="Y46" s="462"/>
      <c r="Z46" s="264" t="s">
        <v>741</v>
      </c>
      <c r="AA46" s="264" t="s">
        <v>742</v>
      </c>
      <c r="AB46" s="264" t="s">
        <v>743</v>
      </c>
      <c r="AC46" s="264" t="s">
        <v>736</v>
      </c>
      <c r="AD46" s="462"/>
      <c r="AE46" s="264" t="s">
        <v>741</v>
      </c>
      <c r="AF46" s="264" t="s">
        <v>742</v>
      </c>
      <c r="AG46" s="264" t="s">
        <v>743</v>
      </c>
      <c r="AH46" s="264" t="s">
        <v>736</v>
      </c>
      <c r="AI46" s="462"/>
      <c r="AJ46" s="264" t="s">
        <v>741</v>
      </c>
      <c r="AK46" s="264" t="s">
        <v>742</v>
      </c>
      <c r="AL46" s="264" t="s">
        <v>743</v>
      </c>
      <c r="AM46" s="264" t="s">
        <v>736</v>
      </c>
      <c r="AN46" s="462"/>
      <c r="AO46" s="264" t="s">
        <v>741</v>
      </c>
      <c r="AP46" s="264" t="s">
        <v>742</v>
      </c>
      <c r="AQ46" s="264" t="s">
        <v>743</v>
      </c>
      <c r="AR46" s="264" t="s">
        <v>736</v>
      </c>
      <c r="AS46" s="462"/>
      <c r="AT46" s="264" t="s">
        <v>741</v>
      </c>
      <c r="AU46" s="264" t="s">
        <v>742</v>
      </c>
      <c r="AV46" s="264" t="s">
        <v>743</v>
      </c>
      <c r="AW46" s="264" t="s">
        <v>736</v>
      </c>
      <c r="AX46" s="462"/>
    </row>
    <row r="47" spans="2:50">
      <c r="B47" s="507" t="s">
        <v>749</v>
      </c>
      <c r="C47" s="180">
        <v>1</v>
      </c>
      <c r="D47" s="180" t="s">
        <v>359</v>
      </c>
      <c r="E47" s="180">
        <v>10</v>
      </c>
      <c r="F47" s="180">
        <v>1500</v>
      </c>
      <c r="G47" s="166">
        <v>150</v>
      </c>
      <c r="H47" s="459">
        <f>AVERAGE(G47:G61)</f>
        <v>178.33333333333334</v>
      </c>
      <c r="I47" s="166">
        <f>AVERAGE(P47,U47,Z47,AE47,AJ47,AO47,AT47)</f>
        <v>10</v>
      </c>
      <c r="J47" s="166">
        <f>AVERAGE(Q47,V47,AA47,AF47,AK47,AP47,AU47)</f>
        <v>1452.799999999999</v>
      </c>
      <c r="K47" s="265">
        <f>AVERAGE(R47,W47,AB47,AG47,AL47,AQ47,AV47)</f>
        <v>145.27999999999989</v>
      </c>
      <c r="L47" s="459">
        <f>IFERROR(AVERAGE(K47:K61),"-")</f>
        <v>179.39643407891558</v>
      </c>
      <c r="M47" s="272">
        <f>RANK(K47, K$47:$K$61)</f>
        <v>5</v>
      </c>
      <c r="N47" s="462"/>
      <c r="O47" s="462"/>
      <c r="P47" s="180">
        <v>10</v>
      </c>
      <c r="Q47" s="166">
        <v>1545.5999999999956</v>
      </c>
      <c r="R47" s="166">
        <v>154.55999999999955</v>
      </c>
      <c r="S47" s="180">
        <f>RANK(R47, R$47:R$61)</f>
        <v>3</v>
      </c>
      <c r="T47" s="486">
        <f>AVERAGE(R47:R61)</f>
        <v>178.21298208127124</v>
      </c>
      <c r="U47" s="180">
        <v>10</v>
      </c>
      <c r="V47" s="166">
        <v>1422.0000000000014</v>
      </c>
      <c r="W47" s="166">
        <v>142.20000000000013</v>
      </c>
      <c r="X47" s="180">
        <f>RANK(W47, W$47:W$61)</f>
        <v>3</v>
      </c>
      <c r="Y47" s="486">
        <f>AVERAGE(W47:W61)</f>
        <v>181.06081242532855</v>
      </c>
      <c r="Z47" s="180">
        <v>10</v>
      </c>
      <c r="AA47" s="166">
        <v>1393.9999999999975</v>
      </c>
      <c r="AB47" s="166">
        <v>139.39999999999975</v>
      </c>
      <c r="AC47" s="180">
        <f>RANK(AB47, AB$47:AB$61)</f>
        <v>5</v>
      </c>
      <c r="AD47" s="486">
        <f>AVERAGE(AB47:AB61)</f>
        <v>177.38888888888889</v>
      </c>
      <c r="AE47" s="180">
        <v>10</v>
      </c>
      <c r="AF47" s="166">
        <v>1501.9999999999973</v>
      </c>
      <c r="AG47" s="166">
        <v>150.19999999999973</v>
      </c>
      <c r="AH47" s="180">
        <f>RANK(AG47, AG$47:AG$61)</f>
        <v>5</v>
      </c>
      <c r="AI47" s="486">
        <f>AVERAGE(AG47:AG61)</f>
        <v>203.89266798418961</v>
      </c>
      <c r="AJ47" s="180">
        <v>10</v>
      </c>
      <c r="AK47" s="166">
        <v>1398.0000000000014</v>
      </c>
      <c r="AL47" s="166">
        <v>139.80000000000013</v>
      </c>
      <c r="AM47" s="180">
        <f>RANK(AL47, AL$47:AL$61)</f>
        <v>5</v>
      </c>
      <c r="AN47" s="486">
        <f>AVERAGE(AL47:AL61)</f>
        <v>198.86681818181836</v>
      </c>
      <c r="AO47" s="180">
        <v>10</v>
      </c>
      <c r="AP47" s="166">
        <v>1401.9999999999975</v>
      </c>
      <c r="AQ47" s="166">
        <v>140.19999999999976</v>
      </c>
      <c r="AR47" s="180">
        <f>RANK(AQ47, AQ$47:AQ$61)</f>
        <v>5</v>
      </c>
      <c r="AS47" s="486">
        <f>AVERAGE(AQ47:AQ61)</f>
        <v>200.08</v>
      </c>
      <c r="AT47" s="180">
        <v>10</v>
      </c>
      <c r="AU47" s="166">
        <v>1506.0000000000014</v>
      </c>
      <c r="AV47" s="166">
        <v>150.60000000000014</v>
      </c>
      <c r="AW47" s="180">
        <f>RANK(AV47, AV$47:AV$61)</f>
        <v>3</v>
      </c>
      <c r="AX47" s="486">
        <f>AVERAGE(AV47:AV61)</f>
        <v>194.71072463768104</v>
      </c>
    </row>
    <row r="48" spans="2:50">
      <c r="B48" s="479"/>
      <c r="C48" s="180">
        <v>2</v>
      </c>
      <c r="D48" s="180" t="s">
        <v>360</v>
      </c>
      <c r="E48" s="180">
        <v>15</v>
      </c>
      <c r="F48" s="180">
        <v>1800</v>
      </c>
      <c r="G48" s="166">
        <v>120</v>
      </c>
      <c r="H48" s="460"/>
      <c r="I48" s="166">
        <f t="shared" ref="I48:K52" si="24">AVERAGE(P48,U48,Z48,AE48,AJ48,AO48,AT48)</f>
        <v>12</v>
      </c>
      <c r="J48" s="166">
        <f t="shared" si="24"/>
        <v>1749.3238095238082</v>
      </c>
      <c r="K48" s="265">
        <f t="shared" si="24"/>
        <v>145.77698412698402</v>
      </c>
      <c r="L48" s="460"/>
      <c r="M48" s="272">
        <f>RANK(K48, K$47:$K$61)</f>
        <v>4</v>
      </c>
      <c r="N48" s="462"/>
      <c r="O48" s="462"/>
      <c r="P48" s="180">
        <v>12</v>
      </c>
      <c r="Q48" s="166">
        <v>1700.9999999999959</v>
      </c>
      <c r="R48" s="166">
        <v>141.74999999999966</v>
      </c>
      <c r="S48" s="180">
        <f t="shared" ref="S48:S53" si="25">RANK(R48, R$47:R$61)</f>
        <v>5</v>
      </c>
      <c r="T48" s="486"/>
      <c r="U48" s="180">
        <v>12</v>
      </c>
      <c r="V48" s="166">
        <v>1704</v>
      </c>
      <c r="W48" s="166">
        <v>142</v>
      </c>
      <c r="X48" s="180">
        <f t="shared" ref="X48:X53" si="26">RANK(W48, W$47:W$61)</f>
        <v>4</v>
      </c>
      <c r="Y48" s="486"/>
      <c r="Z48" s="180">
        <v>12</v>
      </c>
      <c r="AA48" s="166">
        <v>1738.6666666666638</v>
      </c>
      <c r="AB48" s="166">
        <v>144.88888888888866</v>
      </c>
      <c r="AC48" s="180">
        <f t="shared" ref="AC48:AC53" si="27">RANK(AB48, AB$47:AB$61)</f>
        <v>3</v>
      </c>
      <c r="AD48" s="486"/>
      <c r="AE48" s="180">
        <v>12</v>
      </c>
      <c r="AF48" s="166">
        <v>1837.4999999999955</v>
      </c>
      <c r="AG48" s="166">
        <v>153.12499999999963</v>
      </c>
      <c r="AH48" s="180">
        <f t="shared" ref="AH48:AH53" si="28">RANK(AG48, AG$47:AG$61)</f>
        <v>3</v>
      </c>
      <c r="AI48" s="486"/>
      <c r="AJ48" s="180">
        <v>12</v>
      </c>
      <c r="AK48" s="166">
        <v>1800.000000000003</v>
      </c>
      <c r="AL48" s="166">
        <v>150.00000000000026</v>
      </c>
      <c r="AM48" s="180">
        <f t="shared" ref="AM48:AM53" si="29">RANK(AL48, AL$47:AL$61)</f>
        <v>4</v>
      </c>
      <c r="AN48" s="486"/>
      <c r="AO48" s="180">
        <v>12</v>
      </c>
      <c r="AP48" s="166">
        <v>1762.4999999999993</v>
      </c>
      <c r="AQ48" s="166">
        <v>146.87499999999994</v>
      </c>
      <c r="AR48" s="180">
        <f t="shared" ref="AR48:AR53" si="30">RANK(AQ48, AQ$47:AQ$61)</f>
        <v>3</v>
      </c>
      <c r="AS48" s="486"/>
      <c r="AT48" s="180">
        <v>12</v>
      </c>
      <c r="AU48" s="166">
        <v>1701.5999999999979</v>
      </c>
      <c r="AV48" s="166">
        <v>141.79999999999981</v>
      </c>
      <c r="AW48" s="180">
        <f t="shared" ref="AW48:AW53" si="31">RANK(AV48, AV$47:AV$61)</f>
        <v>4</v>
      </c>
      <c r="AX48" s="486"/>
    </row>
    <row r="49" spans="2:50">
      <c r="B49" s="479"/>
      <c r="C49" s="180">
        <v>3</v>
      </c>
      <c r="D49" s="180" t="s">
        <v>361</v>
      </c>
      <c r="E49" s="180">
        <v>15</v>
      </c>
      <c r="F49" s="180">
        <v>1800</v>
      </c>
      <c r="G49" s="166">
        <v>120</v>
      </c>
      <c r="H49" s="460"/>
      <c r="I49" s="166">
        <f t="shared" si="24"/>
        <v>12</v>
      </c>
      <c r="J49" s="166">
        <f t="shared" si="24"/>
        <v>1752.2095238095228</v>
      </c>
      <c r="K49" s="265">
        <f t="shared" si="24"/>
        <v>146.01746031746023</v>
      </c>
      <c r="L49" s="460"/>
      <c r="M49" s="272">
        <f>RANK(K49, K$47:$K$61)</f>
        <v>3</v>
      </c>
      <c r="N49" s="462"/>
      <c r="O49" s="462"/>
      <c r="P49" s="180">
        <v>12</v>
      </c>
      <c r="Q49" s="166">
        <v>1756.4999999999923</v>
      </c>
      <c r="R49" s="166">
        <v>146.37499999999935</v>
      </c>
      <c r="S49" s="180">
        <f t="shared" si="25"/>
        <v>4</v>
      </c>
      <c r="T49" s="486"/>
      <c r="U49" s="180">
        <v>12</v>
      </c>
      <c r="V49" s="166">
        <v>1701.3333333333333</v>
      </c>
      <c r="W49" s="166">
        <v>141.77777777777777</v>
      </c>
      <c r="X49" s="180">
        <f t="shared" si="26"/>
        <v>5</v>
      </c>
      <c r="Y49" s="486"/>
      <c r="Z49" s="180">
        <v>12</v>
      </c>
      <c r="AA49" s="166">
        <v>1733.3333333333333</v>
      </c>
      <c r="AB49" s="166">
        <v>144.44444444444443</v>
      </c>
      <c r="AC49" s="180">
        <f t="shared" si="27"/>
        <v>4</v>
      </c>
      <c r="AD49" s="486"/>
      <c r="AE49" s="180">
        <v>12</v>
      </c>
      <c r="AF49" s="166">
        <v>1835.9999999999995</v>
      </c>
      <c r="AG49" s="166">
        <v>152.99999999999997</v>
      </c>
      <c r="AH49" s="180">
        <f t="shared" si="28"/>
        <v>4</v>
      </c>
      <c r="AI49" s="486"/>
      <c r="AJ49" s="180">
        <v>12</v>
      </c>
      <c r="AK49" s="166">
        <v>1812.000000000003</v>
      </c>
      <c r="AL49" s="166">
        <v>151.00000000000026</v>
      </c>
      <c r="AM49" s="180">
        <f t="shared" si="29"/>
        <v>3</v>
      </c>
      <c r="AN49" s="486"/>
      <c r="AO49" s="180">
        <v>12</v>
      </c>
      <c r="AP49" s="166">
        <v>1741.5000000000027</v>
      </c>
      <c r="AQ49" s="166">
        <v>145.12500000000023</v>
      </c>
      <c r="AR49" s="180">
        <f t="shared" si="30"/>
        <v>4</v>
      </c>
      <c r="AS49" s="486"/>
      <c r="AT49" s="180">
        <v>12</v>
      </c>
      <c r="AU49" s="166">
        <v>1684.7999999999952</v>
      </c>
      <c r="AV49" s="166">
        <v>140.39999999999961</v>
      </c>
      <c r="AW49" s="180">
        <f t="shared" si="31"/>
        <v>5</v>
      </c>
      <c r="AX49" s="486"/>
    </row>
    <row r="50" spans="2:50">
      <c r="B50" s="479"/>
      <c r="C50" s="180">
        <v>4</v>
      </c>
      <c r="D50" s="180" t="s">
        <v>517</v>
      </c>
      <c r="E50" s="180">
        <v>5</v>
      </c>
      <c r="F50" s="180">
        <v>1500</v>
      </c>
      <c r="G50" s="166">
        <v>300</v>
      </c>
      <c r="H50" s="460"/>
      <c r="I50" s="166">
        <f t="shared" si="24"/>
        <v>6</v>
      </c>
      <c r="J50" s="166">
        <f t="shared" si="24"/>
        <v>1523.3503224464325</v>
      </c>
      <c r="K50" s="265">
        <f t="shared" si="24"/>
        <v>253.89172040773877</v>
      </c>
      <c r="L50" s="460"/>
      <c r="M50" s="272">
        <f>RANK(K50, K$47:$K$61)</f>
        <v>2</v>
      </c>
      <c r="N50" s="462"/>
      <c r="O50" s="462"/>
      <c r="P50" s="180">
        <v>6</v>
      </c>
      <c r="Q50" s="166">
        <v>1474.736842105262</v>
      </c>
      <c r="R50" s="166">
        <v>245.78947368421032</v>
      </c>
      <c r="S50" s="180">
        <f t="shared" si="25"/>
        <v>2</v>
      </c>
      <c r="T50" s="486"/>
      <c r="U50" s="180">
        <v>6</v>
      </c>
      <c r="V50" s="166">
        <v>1655.9999999999995</v>
      </c>
      <c r="W50" s="166">
        <v>275.99999999999994</v>
      </c>
      <c r="X50" s="180">
        <f t="shared" si="26"/>
        <v>2</v>
      </c>
      <c r="Y50" s="486"/>
      <c r="Z50" s="180">
        <v>6</v>
      </c>
      <c r="AA50" s="166">
        <v>1466.9999999999995</v>
      </c>
      <c r="AB50" s="166">
        <v>244.49999999999991</v>
      </c>
      <c r="AC50" s="180">
        <f t="shared" si="27"/>
        <v>2</v>
      </c>
      <c r="AD50" s="486"/>
      <c r="AE50" s="180">
        <v>6</v>
      </c>
      <c r="AF50" s="166">
        <v>1541.7391304347855</v>
      </c>
      <c r="AG50" s="166">
        <v>256.95652173913089</v>
      </c>
      <c r="AH50" s="180">
        <f t="shared" si="28"/>
        <v>2</v>
      </c>
      <c r="AI50" s="486"/>
      <c r="AJ50" s="180">
        <v>6</v>
      </c>
      <c r="AK50" s="166">
        <v>1505.4545454545455</v>
      </c>
      <c r="AL50" s="166">
        <v>250.90909090909091</v>
      </c>
      <c r="AM50" s="180">
        <f t="shared" si="29"/>
        <v>2</v>
      </c>
      <c r="AN50" s="486"/>
      <c r="AO50" s="180">
        <v>6</v>
      </c>
      <c r="AP50" s="166">
        <v>1541.9999999999995</v>
      </c>
      <c r="AQ50" s="166">
        <v>256.99999999999994</v>
      </c>
      <c r="AR50" s="180">
        <f t="shared" si="30"/>
        <v>2</v>
      </c>
      <c r="AS50" s="486"/>
      <c r="AT50" s="180">
        <v>6</v>
      </c>
      <c r="AU50" s="166">
        <v>1476.5217391304348</v>
      </c>
      <c r="AV50" s="166">
        <v>246.08695652173913</v>
      </c>
      <c r="AW50" s="180">
        <f t="shared" si="31"/>
        <v>2</v>
      </c>
      <c r="AX50" s="486"/>
    </row>
    <row r="51" spans="2:50">
      <c r="B51" s="479"/>
      <c r="C51" s="180">
        <v>5</v>
      </c>
      <c r="D51" s="180" t="s">
        <v>455</v>
      </c>
      <c r="E51" s="180">
        <v>5</v>
      </c>
      <c r="F51" s="180">
        <v>1500</v>
      </c>
      <c r="G51" s="166">
        <v>300</v>
      </c>
      <c r="H51" s="460"/>
      <c r="I51" s="166">
        <f t="shared" si="24"/>
        <v>5</v>
      </c>
      <c r="J51" s="166">
        <f t="shared" si="24"/>
        <v>1518.4083519527071</v>
      </c>
      <c r="K51" s="265">
        <f t="shared" si="24"/>
        <v>303.68167039054146</v>
      </c>
      <c r="L51" s="460"/>
      <c r="M51" s="272">
        <f>RANK(K51, K$47:$K$61)</f>
        <v>1</v>
      </c>
      <c r="N51" s="462"/>
      <c r="O51" s="462"/>
      <c r="P51" s="180">
        <v>5</v>
      </c>
      <c r="Q51" s="166">
        <v>1555.5555555555563</v>
      </c>
      <c r="R51" s="166">
        <v>311.11111111111126</v>
      </c>
      <c r="S51" s="180">
        <f t="shared" si="25"/>
        <v>1</v>
      </c>
      <c r="T51" s="486"/>
      <c r="U51" s="180">
        <v>5</v>
      </c>
      <c r="V51" s="166">
        <v>1501.9354838709692</v>
      </c>
      <c r="W51" s="166">
        <v>300.38709677419382</v>
      </c>
      <c r="X51" s="180">
        <f t="shared" si="26"/>
        <v>1</v>
      </c>
      <c r="Y51" s="486"/>
      <c r="Z51" s="180">
        <v>5</v>
      </c>
      <c r="AA51" s="166">
        <v>1498.0000000000014</v>
      </c>
      <c r="AB51" s="166">
        <v>299.60000000000025</v>
      </c>
      <c r="AC51" s="180">
        <f t="shared" si="27"/>
        <v>1</v>
      </c>
      <c r="AD51" s="486"/>
      <c r="AE51" s="180">
        <v>5</v>
      </c>
      <c r="AF51" s="166">
        <v>1530.9090909090889</v>
      </c>
      <c r="AG51" s="166">
        <v>306.18181818181779</v>
      </c>
      <c r="AH51" s="180">
        <f t="shared" si="28"/>
        <v>1</v>
      </c>
      <c r="AI51" s="486"/>
      <c r="AJ51" s="180">
        <v>5</v>
      </c>
      <c r="AK51" s="166">
        <v>1513.1250000000018</v>
      </c>
      <c r="AL51" s="166">
        <v>302.62500000000034</v>
      </c>
      <c r="AM51" s="180">
        <f t="shared" si="29"/>
        <v>1</v>
      </c>
      <c r="AN51" s="486"/>
      <c r="AO51" s="180">
        <v>5</v>
      </c>
      <c r="AP51" s="166">
        <v>1556.0000000000016</v>
      </c>
      <c r="AQ51" s="166">
        <v>311.20000000000033</v>
      </c>
      <c r="AR51" s="180">
        <f t="shared" si="30"/>
        <v>1</v>
      </c>
      <c r="AS51" s="486"/>
      <c r="AT51" s="180">
        <v>5</v>
      </c>
      <c r="AU51" s="166">
        <v>1473.3333333333321</v>
      </c>
      <c r="AV51" s="166">
        <v>294.6666666666664</v>
      </c>
      <c r="AW51" s="180">
        <f t="shared" si="31"/>
        <v>1</v>
      </c>
      <c r="AX51" s="486"/>
    </row>
    <row r="52" spans="2:50">
      <c r="B52" s="479"/>
      <c r="C52" s="180">
        <v>6</v>
      </c>
      <c r="D52" s="180" t="s">
        <v>519</v>
      </c>
      <c r="E52" s="180">
        <v>15</v>
      </c>
      <c r="F52" s="180">
        <v>1200</v>
      </c>
      <c r="G52" s="166">
        <v>80</v>
      </c>
      <c r="H52" s="460"/>
      <c r="I52" s="166">
        <f t="shared" si="24"/>
        <v>12.666666666666666</v>
      </c>
      <c r="J52" s="166">
        <f t="shared" si="24"/>
        <v>1031.9999999999982</v>
      </c>
      <c r="K52" s="265">
        <f t="shared" si="24"/>
        <v>81.730769230769113</v>
      </c>
      <c r="L52" s="460"/>
      <c r="M52" s="272">
        <f>RANK(K52, K$47:$K$61)</f>
        <v>6</v>
      </c>
      <c r="N52" s="462"/>
      <c r="O52" s="462"/>
      <c r="P52" s="180">
        <v>13</v>
      </c>
      <c r="Q52" s="166">
        <v>905.99999999999591</v>
      </c>
      <c r="R52" s="166">
        <v>69.692307692307381</v>
      </c>
      <c r="S52" s="180">
        <f t="shared" si="25"/>
        <v>6</v>
      </c>
      <c r="T52" s="486"/>
      <c r="U52" s="180">
        <v>13</v>
      </c>
      <c r="V52" s="166">
        <v>1091.999999999995</v>
      </c>
      <c r="W52" s="166">
        <v>83.999999999999616</v>
      </c>
      <c r="X52" s="180">
        <f t="shared" si="26"/>
        <v>6</v>
      </c>
      <c r="Y52" s="486"/>
      <c r="Z52" s="180">
        <v>12</v>
      </c>
      <c r="AA52" s="166">
        <v>1098.0000000000039</v>
      </c>
      <c r="AB52" s="166">
        <v>91.500000000000327</v>
      </c>
      <c r="AC52" s="180">
        <f t="shared" si="27"/>
        <v>6</v>
      </c>
      <c r="AD52" s="486"/>
      <c r="AE52" s="180"/>
      <c r="AF52" s="166"/>
      <c r="AG52" s="166"/>
      <c r="AH52" s="180" t="e">
        <f t="shared" si="28"/>
        <v>#N/A</v>
      </c>
      <c r="AI52" s="486"/>
      <c r="AJ52" s="180"/>
      <c r="AK52" s="166"/>
      <c r="AL52" s="166"/>
      <c r="AM52" s="180" t="e">
        <f t="shared" si="29"/>
        <v>#N/A</v>
      </c>
      <c r="AN52" s="486"/>
      <c r="AO52" s="180"/>
      <c r="AP52" s="166"/>
      <c r="AQ52" s="166"/>
      <c r="AR52" s="180" t="e">
        <f t="shared" si="30"/>
        <v>#N/A</v>
      </c>
      <c r="AS52" s="486"/>
      <c r="AT52" s="180"/>
      <c r="AU52" s="166"/>
      <c r="AV52" s="166"/>
      <c r="AW52" s="180" t="e">
        <f t="shared" si="31"/>
        <v>#N/A</v>
      </c>
      <c r="AX52" s="486"/>
    </row>
    <row r="53" spans="2:50">
      <c r="B53" s="479"/>
      <c r="C53" s="180">
        <v>7</v>
      </c>
      <c r="D53" s="180"/>
      <c r="E53" s="180"/>
      <c r="F53" s="180"/>
      <c r="G53" s="166"/>
      <c r="H53" s="460"/>
      <c r="I53" s="166"/>
      <c r="J53" s="166"/>
      <c r="K53" s="265"/>
      <c r="L53" s="460"/>
      <c r="M53" s="272" t="e">
        <f>RANK(K53, K$47:$K$61)</f>
        <v>#N/A</v>
      </c>
      <c r="N53" s="462"/>
      <c r="O53" s="462"/>
      <c r="P53" s="180"/>
      <c r="Q53" s="166"/>
      <c r="R53" s="166"/>
      <c r="S53" s="180" t="e">
        <f t="shared" si="25"/>
        <v>#N/A</v>
      </c>
      <c r="T53" s="486"/>
      <c r="U53" s="180"/>
      <c r="V53" s="166"/>
      <c r="W53" s="166"/>
      <c r="X53" s="180" t="e">
        <f t="shared" si="26"/>
        <v>#N/A</v>
      </c>
      <c r="Y53" s="486"/>
      <c r="Z53" s="180"/>
      <c r="AA53" s="166"/>
      <c r="AB53" s="166"/>
      <c r="AC53" s="180" t="e">
        <f t="shared" si="27"/>
        <v>#N/A</v>
      </c>
      <c r="AD53" s="486"/>
      <c r="AE53" s="180"/>
      <c r="AF53" s="166"/>
      <c r="AG53" s="166"/>
      <c r="AH53" s="180" t="e">
        <f t="shared" si="28"/>
        <v>#N/A</v>
      </c>
      <c r="AI53" s="486"/>
      <c r="AJ53" s="180"/>
      <c r="AK53" s="166"/>
      <c r="AL53" s="166"/>
      <c r="AM53" s="180" t="e">
        <f t="shared" si="29"/>
        <v>#N/A</v>
      </c>
      <c r="AN53" s="486"/>
      <c r="AO53" s="180"/>
      <c r="AP53" s="166"/>
      <c r="AQ53" s="166"/>
      <c r="AR53" s="180" t="e">
        <f t="shared" si="30"/>
        <v>#N/A</v>
      </c>
      <c r="AS53" s="486"/>
      <c r="AT53" s="180"/>
      <c r="AU53" s="166"/>
      <c r="AV53" s="166"/>
      <c r="AW53" s="180" t="e">
        <f t="shared" si="31"/>
        <v>#N/A</v>
      </c>
      <c r="AX53" s="486"/>
    </row>
    <row r="54" spans="2:50">
      <c r="B54" s="479"/>
      <c r="C54" s="180">
        <v>8</v>
      </c>
      <c r="D54" s="180"/>
      <c r="E54" s="180"/>
      <c r="F54" s="180"/>
      <c r="G54" s="166"/>
      <c r="H54" s="460"/>
      <c r="I54" s="166"/>
      <c r="J54" s="166"/>
      <c r="K54" s="265"/>
      <c r="L54" s="460"/>
      <c r="M54" s="272" t="e">
        <f>RANK(K54, K$47:$K$61)</f>
        <v>#N/A</v>
      </c>
      <c r="N54" s="462"/>
      <c r="O54" s="462"/>
      <c r="P54" s="180"/>
      <c r="Q54" s="180"/>
      <c r="R54" s="180"/>
      <c r="S54" s="180"/>
      <c r="T54" s="486"/>
      <c r="U54" s="180"/>
      <c r="V54" s="180"/>
      <c r="W54" s="180"/>
      <c r="X54" s="180"/>
      <c r="Y54" s="486"/>
      <c r="Z54" s="180"/>
      <c r="AA54" s="180"/>
      <c r="AB54" s="180"/>
      <c r="AC54" s="180"/>
      <c r="AD54" s="486"/>
      <c r="AE54" s="180"/>
      <c r="AF54" s="180"/>
      <c r="AG54" s="180"/>
      <c r="AH54" s="180"/>
      <c r="AI54" s="486"/>
      <c r="AJ54" s="180"/>
      <c r="AK54" s="180"/>
      <c r="AL54" s="180"/>
      <c r="AM54" s="180"/>
      <c r="AN54" s="486"/>
      <c r="AO54" s="180"/>
      <c r="AP54" s="180"/>
      <c r="AQ54" s="180"/>
      <c r="AR54" s="180"/>
      <c r="AS54" s="486"/>
      <c r="AT54" s="180"/>
      <c r="AU54" s="180"/>
      <c r="AV54" s="180"/>
      <c r="AW54" s="180"/>
      <c r="AX54" s="486"/>
    </row>
    <row r="55" spans="2:50">
      <c r="B55" s="479"/>
      <c r="C55" s="180">
        <v>9</v>
      </c>
      <c r="D55" s="180"/>
      <c r="E55" s="180"/>
      <c r="F55" s="180"/>
      <c r="G55" s="166"/>
      <c r="H55" s="460"/>
      <c r="I55" s="166"/>
      <c r="J55" s="166"/>
      <c r="K55" s="265"/>
      <c r="L55" s="460"/>
      <c r="M55" s="272" t="e">
        <f>RANK(K55, K$47:$K$61)</f>
        <v>#N/A</v>
      </c>
      <c r="N55" s="462"/>
      <c r="O55" s="462"/>
      <c r="P55" s="180"/>
      <c r="Q55" s="180"/>
      <c r="R55" s="180"/>
      <c r="S55" s="180"/>
      <c r="T55" s="486"/>
      <c r="U55" s="180"/>
      <c r="V55" s="180"/>
      <c r="W55" s="180"/>
      <c r="X55" s="180"/>
      <c r="Y55" s="486"/>
      <c r="Z55" s="180"/>
      <c r="AA55" s="180"/>
      <c r="AB55" s="180"/>
      <c r="AC55" s="180"/>
      <c r="AD55" s="486"/>
      <c r="AE55" s="180"/>
      <c r="AF55" s="180"/>
      <c r="AG55" s="180"/>
      <c r="AH55" s="180"/>
      <c r="AI55" s="486"/>
      <c r="AJ55" s="180"/>
      <c r="AK55" s="180"/>
      <c r="AL55" s="180"/>
      <c r="AM55" s="180"/>
      <c r="AN55" s="486"/>
      <c r="AO55" s="180"/>
      <c r="AP55" s="180"/>
      <c r="AQ55" s="180"/>
      <c r="AR55" s="180"/>
      <c r="AS55" s="486"/>
      <c r="AT55" s="180"/>
      <c r="AU55" s="180"/>
      <c r="AV55" s="180"/>
      <c r="AW55" s="180"/>
      <c r="AX55" s="486"/>
    </row>
    <row r="56" spans="2:50">
      <c r="B56" s="479"/>
      <c r="C56" s="180">
        <v>10</v>
      </c>
      <c r="D56" s="180"/>
      <c r="E56" s="180"/>
      <c r="F56" s="180"/>
      <c r="G56" s="166"/>
      <c r="H56" s="460"/>
      <c r="I56" s="166"/>
      <c r="J56" s="166"/>
      <c r="K56" s="265"/>
      <c r="L56" s="460"/>
      <c r="M56" s="272" t="e">
        <f>RANK(K56, K$47:$K$61)</f>
        <v>#N/A</v>
      </c>
      <c r="N56" s="462"/>
      <c r="O56" s="462"/>
      <c r="P56" s="180"/>
      <c r="Q56" s="180"/>
      <c r="R56" s="180"/>
      <c r="S56" s="180"/>
      <c r="T56" s="486"/>
      <c r="U56" s="180"/>
      <c r="V56" s="180"/>
      <c r="W56" s="180"/>
      <c r="X56" s="180"/>
      <c r="Y56" s="486"/>
      <c r="Z56" s="180"/>
      <c r="AA56" s="180"/>
      <c r="AB56" s="180"/>
      <c r="AC56" s="180"/>
      <c r="AD56" s="486"/>
      <c r="AE56" s="180"/>
      <c r="AF56" s="180"/>
      <c r="AG56" s="180"/>
      <c r="AH56" s="180"/>
      <c r="AI56" s="486"/>
      <c r="AJ56" s="180"/>
      <c r="AK56" s="180"/>
      <c r="AL56" s="180"/>
      <c r="AM56" s="180"/>
      <c r="AN56" s="486"/>
      <c r="AO56" s="180"/>
      <c r="AP56" s="180"/>
      <c r="AQ56" s="180"/>
      <c r="AR56" s="180"/>
      <c r="AS56" s="486"/>
      <c r="AT56" s="180"/>
      <c r="AU56" s="180"/>
      <c r="AV56" s="180"/>
      <c r="AW56" s="180"/>
      <c r="AX56" s="486"/>
    </row>
    <row r="57" spans="2:50">
      <c r="B57" s="479"/>
      <c r="C57" s="180">
        <v>11</v>
      </c>
      <c r="D57" s="180"/>
      <c r="E57" s="180"/>
      <c r="F57" s="180"/>
      <c r="G57" s="166"/>
      <c r="H57" s="460"/>
      <c r="I57" s="180"/>
      <c r="J57" s="180"/>
      <c r="K57" s="180"/>
      <c r="L57" s="460"/>
      <c r="M57" s="272" t="e">
        <f>RANK(K57, K$47:$K$61)</f>
        <v>#N/A</v>
      </c>
      <c r="N57" s="462"/>
      <c r="O57" s="462"/>
      <c r="P57" s="180"/>
      <c r="Q57" s="180"/>
      <c r="R57" s="180"/>
      <c r="S57" s="180"/>
      <c r="T57" s="486"/>
      <c r="U57" s="180"/>
      <c r="V57" s="180"/>
      <c r="W57" s="180"/>
      <c r="X57" s="180"/>
      <c r="Y57" s="486"/>
      <c r="Z57" s="180"/>
      <c r="AA57" s="180"/>
      <c r="AB57" s="180"/>
      <c r="AC57" s="180"/>
      <c r="AD57" s="486"/>
      <c r="AE57" s="180"/>
      <c r="AF57" s="180"/>
      <c r="AG57" s="180"/>
      <c r="AH57" s="180"/>
      <c r="AI57" s="486"/>
      <c r="AJ57" s="180"/>
      <c r="AK57" s="180"/>
      <c r="AL57" s="180"/>
      <c r="AM57" s="180"/>
      <c r="AN57" s="486"/>
      <c r="AO57" s="180"/>
      <c r="AP57" s="180"/>
      <c r="AQ57" s="180"/>
      <c r="AR57" s="180"/>
      <c r="AS57" s="486"/>
      <c r="AT57" s="180"/>
      <c r="AU57" s="180"/>
      <c r="AV57" s="180"/>
      <c r="AW57" s="180"/>
      <c r="AX57" s="486"/>
    </row>
    <row r="58" spans="2:50">
      <c r="B58" s="479"/>
      <c r="C58" s="180">
        <v>12</v>
      </c>
      <c r="D58" s="180"/>
      <c r="E58" s="180"/>
      <c r="F58" s="180"/>
      <c r="G58" s="166"/>
      <c r="H58" s="460"/>
      <c r="I58" s="180"/>
      <c r="J58" s="180"/>
      <c r="K58" s="180"/>
      <c r="L58" s="460"/>
      <c r="M58" s="272" t="e">
        <f>RANK(K58, K$47:$K$61)</f>
        <v>#N/A</v>
      </c>
      <c r="N58" s="462"/>
      <c r="O58" s="462"/>
      <c r="P58" s="180"/>
      <c r="Q58" s="180"/>
      <c r="R58" s="180"/>
      <c r="S58" s="180"/>
      <c r="T58" s="486"/>
      <c r="U58" s="180"/>
      <c r="V58" s="180"/>
      <c r="W58" s="180"/>
      <c r="X58" s="180"/>
      <c r="Y58" s="486"/>
      <c r="Z58" s="180"/>
      <c r="AA58" s="180"/>
      <c r="AB58" s="180"/>
      <c r="AC58" s="180"/>
      <c r="AD58" s="486"/>
      <c r="AE58" s="180"/>
      <c r="AF58" s="180"/>
      <c r="AG58" s="180"/>
      <c r="AH58" s="180"/>
      <c r="AI58" s="486"/>
      <c r="AJ58" s="180"/>
      <c r="AK58" s="180"/>
      <c r="AL58" s="180"/>
      <c r="AM58" s="180"/>
      <c r="AN58" s="486"/>
      <c r="AO58" s="180"/>
      <c r="AP58" s="180"/>
      <c r="AQ58" s="180"/>
      <c r="AR58" s="180"/>
      <c r="AS58" s="486"/>
      <c r="AT58" s="180"/>
      <c r="AU58" s="180"/>
      <c r="AV58" s="180"/>
      <c r="AW58" s="180"/>
      <c r="AX58" s="486"/>
    </row>
    <row r="59" spans="2:50">
      <c r="B59" s="479"/>
      <c r="C59" s="180">
        <v>13</v>
      </c>
      <c r="D59" s="180"/>
      <c r="E59" s="180"/>
      <c r="F59" s="180"/>
      <c r="G59" s="166"/>
      <c r="H59" s="460"/>
      <c r="I59" s="180"/>
      <c r="J59" s="180"/>
      <c r="K59" s="180"/>
      <c r="L59" s="460"/>
      <c r="M59" s="272" t="e">
        <f>RANK(K59, K$47:$K$61)</f>
        <v>#N/A</v>
      </c>
      <c r="N59" s="462"/>
      <c r="O59" s="462"/>
      <c r="P59" s="180"/>
      <c r="Q59" s="180"/>
      <c r="R59" s="180"/>
      <c r="S59" s="180"/>
      <c r="T59" s="486"/>
      <c r="U59" s="180"/>
      <c r="V59" s="180"/>
      <c r="W59" s="180"/>
      <c r="X59" s="180"/>
      <c r="Y59" s="486"/>
      <c r="Z59" s="180"/>
      <c r="AA59" s="180"/>
      <c r="AB59" s="180"/>
      <c r="AC59" s="180"/>
      <c r="AD59" s="486"/>
      <c r="AE59" s="180"/>
      <c r="AF59" s="180"/>
      <c r="AG59" s="180"/>
      <c r="AH59" s="180"/>
      <c r="AI59" s="486"/>
      <c r="AJ59" s="180"/>
      <c r="AK59" s="180"/>
      <c r="AL59" s="180"/>
      <c r="AM59" s="180"/>
      <c r="AN59" s="486"/>
      <c r="AO59" s="180"/>
      <c r="AP59" s="180"/>
      <c r="AQ59" s="180"/>
      <c r="AR59" s="180"/>
      <c r="AS59" s="486"/>
      <c r="AT59" s="180"/>
      <c r="AU59" s="180"/>
      <c r="AV59" s="180"/>
      <c r="AW59" s="180"/>
      <c r="AX59" s="486"/>
    </row>
    <row r="60" spans="2:50">
      <c r="B60" s="479"/>
      <c r="C60" s="180">
        <v>14</v>
      </c>
      <c r="D60" s="180"/>
      <c r="E60" s="180"/>
      <c r="F60" s="180"/>
      <c r="G60" s="166"/>
      <c r="H60" s="460"/>
      <c r="I60" s="180"/>
      <c r="J60" s="180"/>
      <c r="K60" s="180"/>
      <c r="L60" s="460"/>
      <c r="M60" s="272" t="e">
        <f>RANK(K60, K$47:$K$61)</f>
        <v>#N/A</v>
      </c>
      <c r="N60" s="462"/>
      <c r="O60" s="462"/>
      <c r="P60" s="180"/>
      <c r="Q60" s="180"/>
      <c r="R60" s="180"/>
      <c r="S60" s="180"/>
      <c r="T60" s="486"/>
      <c r="U60" s="180"/>
      <c r="V60" s="180"/>
      <c r="W60" s="180"/>
      <c r="X60" s="180"/>
      <c r="Y60" s="486"/>
      <c r="Z60" s="180"/>
      <c r="AA60" s="180"/>
      <c r="AB60" s="180"/>
      <c r="AC60" s="180"/>
      <c r="AD60" s="486"/>
      <c r="AE60" s="180"/>
      <c r="AF60" s="180"/>
      <c r="AG60" s="180"/>
      <c r="AH60" s="180"/>
      <c r="AI60" s="486"/>
      <c r="AJ60" s="180"/>
      <c r="AK60" s="180"/>
      <c r="AL60" s="180"/>
      <c r="AM60" s="180"/>
      <c r="AN60" s="486"/>
      <c r="AO60" s="180"/>
      <c r="AP60" s="180"/>
      <c r="AQ60" s="180"/>
      <c r="AR60" s="180"/>
      <c r="AS60" s="486"/>
      <c r="AT60" s="180"/>
      <c r="AU60" s="180"/>
      <c r="AV60" s="180"/>
      <c r="AW60" s="180"/>
      <c r="AX60" s="486"/>
    </row>
    <row r="61" spans="2:50">
      <c r="B61" s="479"/>
      <c r="C61" s="180">
        <v>15</v>
      </c>
      <c r="D61" s="180"/>
      <c r="E61" s="180"/>
      <c r="F61" s="180"/>
      <c r="G61" s="180"/>
      <c r="H61" s="461"/>
      <c r="I61" s="180"/>
      <c r="J61" s="180"/>
      <c r="K61" s="180"/>
      <c r="L61" s="461"/>
      <c r="M61" s="272" t="e">
        <f>RANK(K61, K$47:$K$61)</f>
        <v>#N/A</v>
      </c>
      <c r="N61" s="462"/>
      <c r="O61" s="462"/>
      <c r="P61" s="180"/>
      <c r="Q61" s="180"/>
      <c r="R61" s="180"/>
      <c r="S61" s="180"/>
      <c r="T61" s="486"/>
      <c r="U61" s="180"/>
      <c r="V61" s="180"/>
      <c r="W61" s="180"/>
      <c r="X61" s="180"/>
      <c r="Y61" s="486"/>
      <c r="Z61" s="180"/>
      <c r="AA61" s="180"/>
      <c r="AB61" s="180"/>
      <c r="AC61" s="180"/>
      <c r="AD61" s="486"/>
      <c r="AE61" s="180"/>
      <c r="AF61" s="180"/>
      <c r="AG61" s="180"/>
      <c r="AH61" s="180"/>
      <c r="AI61" s="486"/>
      <c r="AJ61" s="180"/>
      <c r="AK61" s="180"/>
      <c r="AL61" s="180"/>
      <c r="AM61" s="180"/>
      <c r="AN61" s="486"/>
      <c r="AO61" s="180"/>
      <c r="AP61" s="180"/>
      <c r="AQ61" s="180"/>
      <c r="AR61" s="180"/>
      <c r="AS61" s="486"/>
      <c r="AT61" s="180"/>
      <c r="AU61" s="180"/>
      <c r="AV61" s="180"/>
      <c r="AW61" s="180"/>
      <c r="AX61" s="486"/>
    </row>
    <row r="62" spans="2:50" ht="15.75">
      <c r="B62" s="480" t="s">
        <v>721</v>
      </c>
      <c r="C62" s="481"/>
      <c r="D62" s="481"/>
      <c r="E62" s="481"/>
      <c r="F62" s="481"/>
      <c r="G62" s="481"/>
      <c r="H62" s="481"/>
      <c r="I62" s="184"/>
      <c r="J62" s="184"/>
      <c r="K62" s="184"/>
      <c r="L62" s="184"/>
      <c r="M62" s="183"/>
      <c r="N62" s="469" t="s">
        <v>722</v>
      </c>
      <c r="O62" s="469" t="s">
        <v>723</v>
      </c>
      <c r="P62" s="478">
        <f>P42+7</f>
        <v>46070</v>
      </c>
      <c r="Q62" s="479"/>
      <c r="R62" s="479"/>
      <c r="S62" s="479"/>
      <c r="T62" s="479"/>
      <c r="U62" s="475">
        <f>P62+1</f>
        <v>46071</v>
      </c>
      <c r="V62" s="476"/>
      <c r="W62" s="476"/>
      <c r="X62" s="476"/>
      <c r="Y62" s="477"/>
      <c r="Z62" s="475">
        <f>U62+1</f>
        <v>46072</v>
      </c>
      <c r="AA62" s="476"/>
      <c r="AB62" s="476"/>
      <c r="AC62" s="476"/>
      <c r="AD62" s="477"/>
      <c r="AE62" s="475">
        <f>Z62+1</f>
        <v>46073</v>
      </c>
      <c r="AF62" s="476"/>
      <c r="AG62" s="476"/>
      <c r="AH62" s="476"/>
      <c r="AI62" s="477"/>
      <c r="AJ62" s="475">
        <f>AE62+1</f>
        <v>46074</v>
      </c>
      <c r="AK62" s="476"/>
      <c r="AL62" s="476"/>
      <c r="AM62" s="476"/>
      <c r="AN62" s="477"/>
      <c r="AO62" s="475">
        <f>AJ62+1</f>
        <v>46075</v>
      </c>
      <c r="AP62" s="476"/>
      <c r="AQ62" s="476"/>
      <c r="AR62" s="476"/>
      <c r="AS62" s="477"/>
      <c r="AT62" s="475">
        <f>AO62+1</f>
        <v>46076</v>
      </c>
      <c r="AU62" s="476"/>
      <c r="AV62" s="476"/>
      <c r="AW62" s="476"/>
      <c r="AX62" s="477"/>
    </row>
    <row r="63" spans="2:50" ht="15.75">
      <c r="B63" s="482"/>
      <c r="C63" s="482"/>
      <c r="D63" s="482"/>
      <c r="E63" s="482"/>
      <c r="F63" s="482"/>
      <c r="G63" s="482"/>
      <c r="H63" s="482"/>
      <c r="I63" s="182"/>
      <c r="J63" s="182"/>
      <c r="K63" s="182"/>
      <c r="L63" s="182"/>
      <c r="M63" s="179"/>
      <c r="N63" s="471"/>
      <c r="O63" s="471"/>
      <c r="P63" s="478" t="s">
        <v>724</v>
      </c>
      <c r="Q63" s="479"/>
      <c r="R63" s="479"/>
      <c r="S63" s="479"/>
      <c r="T63" s="479"/>
      <c r="U63" s="478" t="s">
        <v>725</v>
      </c>
      <c r="V63" s="479"/>
      <c r="W63" s="479"/>
      <c r="X63" s="479"/>
      <c r="Y63" s="479"/>
      <c r="Z63" s="478" t="s">
        <v>726</v>
      </c>
      <c r="AA63" s="479"/>
      <c r="AB63" s="479"/>
      <c r="AC63" s="479"/>
      <c r="AD63" s="479"/>
      <c r="AE63" s="478" t="s">
        <v>727</v>
      </c>
      <c r="AF63" s="479"/>
      <c r="AG63" s="479"/>
      <c r="AH63" s="479"/>
      <c r="AI63" s="479"/>
      <c r="AJ63" s="478" t="s">
        <v>728</v>
      </c>
      <c r="AK63" s="479"/>
      <c r="AL63" s="479"/>
      <c r="AM63" s="479"/>
      <c r="AN63" s="479"/>
      <c r="AO63" s="478" t="s">
        <v>729</v>
      </c>
      <c r="AP63" s="479"/>
      <c r="AQ63" s="479"/>
      <c r="AR63" s="479"/>
      <c r="AS63" s="479"/>
      <c r="AT63" s="478" t="s">
        <v>730</v>
      </c>
      <c r="AU63" s="479"/>
      <c r="AV63" s="479"/>
      <c r="AW63" s="479"/>
      <c r="AX63" s="479"/>
    </row>
    <row r="64" spans="2:50">
      <c r="B64" s="462" t="s">
        <v>731</v>
      </c>
      <c r="C64" s="462" t="s">
        <v>732</v>
      </c>
      <c r="D64" s="462"/>
      <c r="E64" s="462" t="s">
        <v>733</v>
      </c>
      <c r="F64" s="462"/>
      <c r="G64" s="462"/>
      <c r="H64" s="463" t="s">
        <v>734</v>
      </c>
      <c r="I64" s="462" t="s">
        <v>735</v>
      </c>
      <c r="J64" s="462"/>
      <c r="K64" s="462"/>
      <c r="L64" s="463" t="s">
        <v>734</v>
      </c>
      <c r="M64" s="469" t="s">
        <v>736</v>
      </c>
      <c r="N64" s="462"/>
      <c r="O64" s="462" t="s">
        <v>737</v>
      </c>
      <c r="P64" s="466" t="s">
        <v>738</v>
      </c>
      <c r="Q64" s="467"/>
      <c r="R64" s="467"/>
      <c r="S64" s="468"/>
      <c r="T64" s="462" t="s">
        <v>734</v>
      </c>
      <c r="U64" s="466" t="s">
        <v>738</v>
      </c>
      <c r="V64" s="467"/>
      <c r="W64" s="467"/>
      <c r="X64" s="468"/>
      <c r="Y64" s="462" t="s">
        <v>734</v>
      </c>
      <c r="Z64" s="466" t="s">
        <v>738</v>
      </c>
      <c r="AA64" s="467"/>
      <c r="AB64" s="467"/>
      <c r="AC64" s="468"/>
      <c r="AD64" s="462" t="s">
        <v>734</v>
      </c>
      <c r="AE64" s="466" t="s">
        <v>738</v>
      </c>
      <c r="AF64" s="467"/>
      <c r="AG64" s="467"/>
      <c r="AH64" s="468"/>
      <c r="AI64" s="462" t="s">
        <v>734</v>
      </c>
      <c r="AJ64" s="466" t="s">
        <v>738</v>
      </c>
      <c r="AK64" s="467"/>
      <c r="AL64" s="467"/>
      <c r="AM64" s="468"/>
      <c r="AN64" s="462" t="s">
        <v>734</v>
      </c>
      <c r="AO64" s="466" t="s">
        <v>738</v>
      </c>
      <c r="AP64" s="467"/>
      <c r="AQ64" s="467"/>
      <c r="AR64" s="468"/>
      <c r="AS64" s="462" t="s">
        <v>734</v>
      </c>
      <c r="AT64" s="466" t="s">
        <v>738</v>
      </c>
      <c r="AU64" s="467"/>
      <c r="AV64" s="467"/>
      <c r="AW64" s="468"/>
      <c r="AX64" s="462" t="s">
        <v>734</v>
      </c>
    </row>
    <row r="65" spans="2:50">
      <c r="B65" s="462"/>
      <c r="C65" s="462"/>
      <c r="D65" s="462"/>
      <c r="E65" s="462" t="s">
        <v>739</v>
      </c>
      <c r="F65" s="462"/>
      <c r="G65" s="462"/>
      <c r="H65" s="464"/>
      <c r="I65" s="462" t="s">
        <v>739</v>
      </c>
      <c r="J65" s="462"/>
      <c r="K65" s="462"/>
      <c r="L65" s="464"/>
      <c r="M65" s="470"/>
      <c r="N65" s="462"/>
      <c r="O65" s="462"/>
      <c r="P65" s="466" t="s">
        <v>740</v>
      </c>
      <c r="Q65" s="467"/>
      <c r="R65" s="467"/>
      <c r="S65" s="468"/>
      <c r="T65" s="462"/>
      <c r="U65" s="466" t="s">
        <v>740</v>
      </c>
      <c r="V65" s="467"/>
      <c r="W65" s="467"/>
      <c r="X65" s="468"/>
      <c r="Y65" s="462"/>
      <c r="Z65" s="466" t="s">
        <v>740</v>
      </c>
      <c r="AA65" s="467"/>
      <c r="AB65" s="467"/>
      <c r="AC65" s="468"/>
      <c r="AD65" s="462"/>
      <c r="AE65" s="466" t="s">
        <v>740</v>
      </c>
      <c r="AF65" s="467"/>
      <c r="AG65" s="467"/>
      <c r="AH65" s="468"/>
      <c r="AI65" s="462"/>
      <c r="AJ65" s="466" t="s">
        <v>740</v>
      </c>
      <c r="AK65" s="467"/>
      <c r="AL65" s="467"/>
      <c r="AM65" s="468"/>
      <c r="AN65" s="462"/>
      <c r="AO65" s="466" t="s">
        <v>740</v>
      </c>
      <c r="AP65" s="467"/>
      <c r="AQ65" s="467"/>
      <c r="AR65" s="468"/>
      <c r="AS65" s="462"/>
      <c r="AT65" s="466" t="s">
        <v>740</v>
      </c>
      <c r="AU65" s="467"/>
      <c r="AV65" s="467"/>
      <c r="AW65" s="468"/>
      <c r="AX65" s="462"/>
    </row>
    <row r="66" spans="2:50">
      <c r="B66" s="462"/>
      <c r="C66" s="462"/>
      <c r="D66" s="462"/>
      <c r="E66" s="264" t="s">
        <v>741</v>
      </c>
      <c r="F66" s="264" t="s">
        <v>742</v>
      </c>
      <c r="G66" s="264" t="s">
        <v>743</v>
      </c>
      <c r="H66" s="465"/>
      <c r="I66" s="264" t="s">
        <v>741</v>
      </c>
      <c r="J66" s="264" t="s">
        <v>742</v>
      </c>
      <c r="K66" s="264" t="s">
        <v>743</v>
      </c>
      <c r="L66" s="465"/>
      <c r="M66" s="471"/>
      <c r="N66" s="462"/>
      <c r="O66" s="462"/>
      <c r="P66" s="264" t="s">
        <v>741</v>
      </c>
      <c r="Q66" s="264" t="s">
        <v>742</v>
      </c>
      <c r="R66" s="264" t="s">
        <v>743</v>
      </c>
      <c r="S66" s="264" t="s">
        <v>736</v>
      </c>
      <c r="T66" s="462"/>
      <c r="U66" s="264" t="s">
        <v>741</v>
      </c>
      <c r="V66" s="264" t="s">
        <v>742</v>
      </c>
      <c r="W66" s="264" t="s">
        <v>743</v>
      </c>
      <c r="X66" s="264" t="s">
        <v>736</v>
      </c>
      <c r="Y66" s="462"/>
      <c r="Z66" s="264" t="s">
        <v>741</v>
      </c>
      <c r="AA66" s="264" t="s">
        <v>742</v>
      </c>
      <c r="AB66" s="264" t="s">
        <v>743</v>
      </c>
      <c r="AC66" s="264" t="s">
        <v>736</v>
      </c>
      <c r="AD66" s="462"/>
      <c r="AE66" s="264" t="s">
        <v>741</v>
      </c>
      <c r="AF66" s="264" t="s">
        <v>742</v>
      </c>
      <c r="AG66" s="264" t="s">
        <v>743</v>
      </c>
      <c r="AH66" s="264" t="s">
        <v>736</v>
      </c>
      <c r="AI66" s="462"/>
      <c r="AJ66" s="264" t="s">
        <v>741</v>
      </c>
      <c r="AK66" s="264" t="s">
        <v>742</v>
      </c>
      <c r="AL66" s="264" t="s">
        <v>743</v>
      </c>
      <c r="AM66" s="264" t="s">
        <v>736</v>
      </c>
      <c r="AN66" s="462"/>
      <c r="AO66" s="264" t="s">
        <v>741</v>
      </c>
      <c r="AP66" s="264" t="s">
        <v>742</v>
      </c>
      <c r="AQ66" s="264" t="s">
        <v>743</v>
      </c>
      <c r="AR66" s="264" t="s">
        <v>736</v>
      </c>
      <c r="AS66" s="462"/>
      <c r="AT66" s="264" t="s">
        <v>741</v>
      </c>
      <c r="AU66" s="264" t="s">
        <v>742</v>
      </c>
      <c r="AV66" s="264" t="s">
        <v>743</v>
      </c>
      <c r="AW66" s="264" t="s">
        <v>736</v>
      </c>
      <c r="AX66" s="462"/>
    </row>
    <row r="67" spans="2:50">
      <c r="B67" s="507" t="s">
        <v>749</v>
      </c>
      <c r="C67" s="180">
        <v>1</v>
      </c>
      <c r="D67" s="180" t="s">
        <v>359</v>
      </c>
      <c r="E67" s="180">
        <v>10</v>
      </c>
      <c r="F67" s="180">
        <v>1500</v>
      </c>
      <c r="G67" s="166">
        <v>150</v>
      </c>
      <c r="H67" s="459">
        <f>AVERAGE(G81:G87)</f>
        <v>150</v>
      </c>
      <c r="I67" s="166">
        <f>AVERAGE(P67,U67,Z67,AE67,AJ67,AO67,AT67)</f>
        <v>10</v>
      </c>
      <c r="J67" s="166">
        <f>AVERAGE(Q67,V67,AA67,AF67,AK67,AP67,AU67)</f>
        <v>1458.0000000000011</v>
      </c>
      <c r="K67" s="265">
        <f>AVERAGE(R67,W67,AB67,AG67,AL67,AQ67,AV67)</f>
        <v>145.80000000000013</v>
      </c>
      <c r="L67" s="459">
        <f>IFERROR(AVERAGE(K67:K81),"-")</f>
        <v>198.62615626598313</v>
      </c>
      <c r="M67" s="272">
        <f>RANK(K87, K$81:$K$87)</f>
        <v>1</v>
      </c>
      <c r="N67" s="462"/>
      <c r="O67" s="462"/>
      <c r="P67" s="166">
        <v>10</v>
      </c>
      <c r="Q67" s="166">
        <v>1477.7142857142844</v>
      </c>
      <c r="R67" s="265">
        <v>147.77142857142843</v>
      </c>
      <c r="S67" s="180">
        <f>RANK(R87, R$81:R$87)</f>
        <v>1</v>
      </c>
      <c r="T67" s="486">
        <f>AVERAGE(R81:R87)</f>
        <v>141.42857142857127</v>
      </c>
      <c r="U67" s="166">
        <v>10</v>
      </c>
      <c r="V67" s="166">
        <v>1453.7142857142876</v>
      </c>
      <c r="W67" s="265">
        <v>145.37142857142877</v>
      </c>
      <c r="X67" s="180">
        <f>RANK(W87, W$81:W$87)</f>
        <v>1</v>
      </c>
      <c r="Y67" s="486">
        <f>AVERAGE(W81:W87)</f>
        <v>137.82857142857128</v>
      </c>
      <c r="Z67" s="166">
        <v>10</v>
      </c>
      <c r="AA67" s="166">
        <v>1584.0000000000014</v>
      </c>
      <c r="AB67" s="265">
        <v>158.40000000000015</v>
      </c>
      <c r="AC67" s="180">
        <f>RANK(AB87, AB$81:AB$87)</f>
        <v>1</v>
      </c>
      <c r="AD67" s="486">
        <f>AVERAGE(AB81:AB87)</f>
        <v>138.85714285714303</v>
      </c>
      <c r="AE67" s="166">
        <v>10</v>
      </c>
      <c r="AF67" s="166">
        <v>1362.0000000000011</v>
      </c>
      <c r="AG67" s="265">
        <v>136.2000000000001</v>
      </c>
      <c r="AH67" s="180">
        <f>RANK(AG87, AG$81:AG$87)</f>
        <v>1</v>
      </c>
      <c r="AI67" s="486">
        <f>AVERAGE(AG81:AG87)</f>
        <v>151.99999999999972</v>
      </c>
      <c r="AJ67" s="166">
        <v>10</v>
      </c>
      <c r="AK67" s="166">
        <v>1356.0000000000014</v>
      </c>
      <c r="AL67" s="265">
        <v>135.60000000000014</v>
      </c>
      <c r="AM67" s="180">
        <f>RANK(AL87, AL$81:AL$87)</f>
        <v>1</v>
      </c>
      <c r="AN67" s="486">
        <f>AVERAGE(AL81:AL87)</f>
        <v>146.40000000000015</v>
      </c>
      <c r="AO67" s="166">
        <v>10</v>
      </c>
      <c r="AP67" s="166">
        <v>1481.1428571428589</v>
      </c>
      <c r="AQ67" s="265">
        <v>148.1142857142859</v>
      </c>
      <c r="AR67" s="180" t="e">
        <f>RANK(AQ87, AQ$81:AQ$87)</f>
        <v>#N/A</v>
      </c>
      <c r="AS67" s="486" t="e">
        <f>AVERAGE(AQ81:AQ87)</f>
        <v>#DIV/0!</v>
      </c>
      <c r="AT67" s="166">
        <v>10</v>
      </c>
      <c r="AU67" s="166">
        <v>1491.4285714285732</v>
      </c>
      <c r="AV67" s="265">
        <v>149.14285714285731</v>
      </c>
      <c r="AW67" s="180" t="e">
        <f>RANK(AV87, AV$81:AV$87)</f>
        <v>#N/A</v>
      </c>
      <c r="AX67" s="486" t="e">
        <f>AVERAGE(AV81:AV87)</f>
        <v>#DIV/0!</v>
      </c>
    </row>
    <row r="68" spans="2:50">
      <c r="B68" s="479"/>
      <c r="C68" s="180">
        <v>2</v>
      </c>
      <c r="D68" s="180" t="s">
        <v>360</v>
      </c>
      <c r="E68" s="180">
        <v>15</v>
      </c>
      <c r="F68" s="180">
        <v>1800</v>
      </c>
      <c r="G68" s="166">
        <v>120</v>
      </c>
      <c r="H68" s="460"/>
      <c r="I68" s="166">
        <f t="shared" ref="I68:K71" si="32">AVERAGE(P68,U68,Z68,AE68,AJ68,AO68,AT68)</f>
        <v>12</v>
      </c>
      <c r="J68" s="166">
        <f t="shared" si="32"/>
        <v>1784.3510822510818</v>
      </c>
      <c r="K68" s="265">
        <f t="shared" si="32"/>
        <v>148.69592352092351</v>
      </c>
      <c r="L68" s="460"/>
      <c r="M68" s="272" t="e">
        <f>RANK(K68, K$81:$K$87)</f>
        <v>#N/A</v>
      </c>
      <c r="N68" s="462"/>
      <c r="O68" s="462"/>
      <c r="P68" s="180">
        <v>12</v>
      </c>
      <c r="Q68" s="166">
        <v>1816.8000000000004</v>
      </c>
      <c r="R68" s="265">
        <v>151.40000000000003</v>
      </c>
      <c r="S68" s="180" t="e">
        <f t="shared" ref="S68:S81" si="33">RANK(R68, R$81:R$87)</f>
        <v>#N/A</v>
      </c>
      <c r="T68" s="486"/>
      <c r="U68" s="180">
        <v>12</v>
      </c>
      <c r="V68" s="166">
        <v>1792.7999999999979</v>
      </c>
      <c r="W68" s="265">
        <v>149.39999999999984</v>
      </c>
      <c r="X68" s="180" t="e">
        <f t="shared" ref="X68:X81" si="34">RANK(W68, W$81:W$87)</f>
        <v>#N/A</v>
      </c>
      <c r="Y68" s="486"/>
      <c r="Z68" s="180">
        <v>12</v>
      </c>
      <c r="AA68" s="166">
        <v>1761.5999999999979</v>
      </c>
      <c r="AB68" s="265">
        <v>146.79999999999981</v>
      </c>
      <c r="AC68" s="180" t="e">
        <f t="shared" ref="AC68:AC81" si="35">RANK(AB68, AB$81:AB$87)</f>
        <v>#N/A</v>
      </c>
      <c r="AD68" s="486"/>
      <c r="AE68" s="180">
        <v>12</v>
      </c>
      <c r="AF68" s="166">
        <v>1915.4999999999993</v>
      </c>
      <c r="AG68" s="265">
        <v>159.62499999999994</v>
      </c>
      <c r="AH68" s="180" t="e">
        <f t="shared" ref="AH68:AH81" si="36">RANK(AG68, AG$81:AG$87)</f>
        <v>#N/A</v>
      </c>
      <c r="AI68" s="486"/>
      <c r="AJ68" s="180">
        <v>12</v>
      </c>
      <c r="AK68" s="166">
        <v>1722.6666666666667</v>
      </c>
      <c r="AL68" s="265">
        <v>143.55555555555557</v>
      </c>
      <c r="AM68" s="180" t="e">
        <f t="shared" ref="AM68:AM81" si="37">RANK(AL68, AL$81:AL$87)</f>
        <v>#N/A</v>
      </c>
      <c r="AN68" s="486"/>
      <c r="AO68" s="180">
        <v>12</v>
      </c>
      <c r="AP68" s="166">
        <v>1774.9090909090919</v>
      </c>
      <c r="AQ68" s="265">
        <v>147.90909090909099</v>
      </c>
      <c r="AR68" s="180" t="e">
        <f t="shared" ref="AR68:AR81" si="38">RANK(AQ68, AQ$81:AQ$87)</f>
        <v>#N/A</v>
      </c>
      <c r="AS68" s="486"/>
      <c r="AT68" s="180">
        <v>12</v>
      </c>
      <c r="AU68" s="166">
        <v>1706.1818181818194</v>
      </c>
      <c r="AV68" s="265">
        <v>142.18181818181827</v>
      </c>
      <c r="AW68" s="180" t="e">
        <f t="shared" ref="AW68:AW81" si="39">RANK(AV68, AV$81:AV$87)</f>
        <v>#N/A</v>
      </c>
      <c r="AX68" s="486"/>
    </row>
    <row r="69" spans="2:50">
      <c r="B69" s="479"/>
      <c r="C69" s="180">
        <v>3</v>
      </c>
      <c r="D69" s="180" t="s">
        <v>361</v>
      </c>
      <c r="E69" s="180">
        <v>15</v>
      </c>
      <c r="F69" s="180">
        <v>1800</v>
      </c>
      <c r="G69" s="166">
        <v>120</v>
      </c>
      <c r="H69" s="460"/>
      <c r="I69" s="166">
        <f t="shared" si="32"/>
        <v>12</v>
      </c>
      <c r="J69" s="166">
        <f t="shared" si="32"/>
        <v>1782.5437229437225</v>
      </c>
      <c r="K69" s="265">
        <f t="shared" si="32"/>
        <v>148.54531024531022</v>
      </c>
      <c r="L69" s="460"/>
      <c r="M69" s="272" t="e">
        <f>RANK(K69, K$81:$K$87)</f>
        <v>#N/A</v>
      </c>
      <c r="N69" s="462"/>
      <c r="O69" s="462"/>
      <c r="P69" s="180">
        <v>12</v>
      </c>
      <c r="Q69" s="166">
        <v>1817.999999999995</v>
      </c>
      <c r="R69" s="265">
        <v>151.49999999999957</v>
      </c>
      <c r="S69" s="180" t="e">
        <f t="shared" si="33"/>
        <v>#N/A</v>
      </c>
      <c r="T69" s="486"/>
      <c r="U69" s="180">
        <v>12</v>
      </c>
      <c r="V69" s="166">
        <v>1855.2000000000005</v>
      </c>
      <c r="W69" s="265">
        <v>154.60000000000005</v>
      </c>
      <c r="X69" s="180" t="e">
        <f t="shared" si="34"/>
        <v>#N/A</v>
      </c>
      <c r="Y69" s="486"/>
      <c r="Z69" s="180">
        <v>12</v>
      </c>
      <c r="AA69" s="166">
        <v>1811.9999999999948</v>
      </c>
      <c r="AB69" s="265">
        <v>150.99999999999957</v>
      </c>
      <c r="AC69" s="180" t="e">
        <f t="shared" si="35"/>
        <v>#N/A</v>
      </c>
      <c r="AD69" s="486"/>
      <c r="AE69" s="180">
        <v>12</v>
      </c>
      <c r="AF69" s="166">
        <v>1760.0000000000032</v>
      </c>
      <c r="AG69" s="265">
        <v>146.66666666666694</v>
      </c>
      <c r="AH69" s="180" t="e">
        <f t="shared" si="36"/>
        <v>#N/A</v>
      </c>
      <c r="AI69" s="486"/>
      <c r="AJ69" s="180">
        <v>12</v>
      </c>
      <c r="AK69" s="166">
        <v>1749.3333333333333</v>
      </c>
      <c r="AL69" s="265">
        <v>145.77777777777777</v>
      </c>
      <c r="AM69" s="180" t="e">
        <f t="shared" si="37"/>
        <v>#N/A</v>
      </c>
      <c r="AN69" s="486"/>
      <c r="AO69" s="180">
        <v>12</v>
      </c>
      <c r="AP69" s="166">
        <v>1790.1818181818194</v>
      </c>
      <c r="AQ69" s="265">
        <v>149.18181818181827</v>
      </c>
      <c r="AR69" s="180" t="e">
        <f t="shared" si="38"/>
        <v>#N/A</v>
      </c>
      <c r="AS69" s="486"/>
      <c r="AT69" s="180">
        <v>12</v>
      </c>
      <c r="AU69" s="166">
        <v>1693.0909090909101</v>
      </c>
      <c r="AV69" s="265">
        <v>141.09090909090918</v>
      </c>
      <c r="AW69" s="180" t="e">
        <f t="shared" si="39"/>
        <v>#N/A</v>
      </c>
      <c r="AX69" s="486"/>
    </row>
    <row r="70" spans="2:50">
      <c r="B70" s="479"/>
      <c r="C70" s="180">
        <v>4</v>
      </c>
      <c r="D70" s="180" t="s">
        <v>517</v>
      </c>
      <c r="E70" s="180">
        <v>5</v>
      </c>
      <c r="F70" s="180">
        <v>1500</v>
      </c>
      <c r="G70" s="166">
        <v>300</v>
      </c>
      <c r="H70" s="460"/>
      <c r="I70" s="166">
        <f t="shared" si="32"/>
        <v>6</v>
      </c>
      <c r="J70" s="166">
        <f t="shared" si="32"/>
        <v>1510.3938071780451</v>
      </c>
      <c r="K70" s="265">
        <f t="shared" si="32"/>
        <v>251.73230119634084</v>
      </c>
      <c r="L70" s="460"/>
      <c r="M70" s="272" t="e">
        <f>RANK(K70, K$81:$K$87)</f>
        <v>#N/A</v>
      </c>
      <c r="N70" s="462"/>
      <c r="O70" s="462"/>
      <c r="P70" s="180">
        <v>6</v>
      </c>
      <c r="Q70" s="166">
        <v>1452.4137931034493</v>
      </c>
      <c r="R70" s="265">
        <v>242.06896551724154</v>
      </c>
      <c r="S70" s="180" t="e">
        <f t="shared" si="33"/>
        <v>#N/A</v>
      </c>
      <c r="T70" s="486"/>
      <c r="U70" s="180">
        <v>6</v>
      </c>
      <c r="V70" s="166">
        <v>1458.0000000000014</v>
      </c>
      <c r="W70" s="265">
        <v>243.00000000000023</v>
      </c>
      <c r="X70" s="180" t="e">
        <f t="shared" si="34"/>
        <v>#N/A</v>
      </c>
      <c r="Y70" s="486"/>
      <c r="Z70" s="180">
        <v>6</v>
      </c>
      <c r="AA70" s="166">
        <v>1663.2000000000005</v>
      </c>
      <c r="AB70" s="265">
        <v>277.2000000000001</v>
      </c>
      <c r="AC70" s="180" t="e">
        <f t="shared" si="35"/>
        <v>#N/A</v>
      </c>
      <c r="AD70" s="486"/>
      <c r="AE70" s="180">
        <v>6</v>
      </c>
      <c r="AF70" s="166">
        <v>1505.7142857142883</v>
      </c>
      <c r="AG70" s="265">
        <v>250.95238095238139</v>
      </c>
      <c r="AH70" s="180" t="e">
        <f t="shared" si="36"/>
        <v>#N/A</v>
      </c>
      <c r="AI70" s="486"/>
      <c r="AJ70" s="180">
        <v>6</v>
      </c>
      <c r="AK70" s="166">
        <v>1572.0000000000025</v>
      </c>
      <c r="AL70" s="265">
        <v>262.0000000000004</v>
      </c>
      <c r="AM70" s="180" t="e">
        <f t="shared" si="37"/>
        <v>#N/A</v>
      </c>
      <c r="AN70" s="486"/>
      <c r="AO70" s="180">
        <v>6</v>
      </c>
      <c r="AP70" s="166">
        <v>1460.0000000000014</v>
      </c>
      <c r="AQ70" s="265">
        <v>243.33333333333357</v>
      </c>
      <c r="AR70" s="180" t="e">
        <f t="shared" si="38"/>
        <v>#N/A</v>
      </c>
      <c r="AS70" s="486"/>
      <c r="AT70" s="180">
        <v>6</v>
      </c>
      <c r="AU70" s="166">
        <v>1461.4285714285725</v>
      </c>
      <c r="AV70" s="265">
        <v>243.57142857142875</v>
      </c>
      <c r="AW70" s="180" t="e">
        <f t="shared" si="39"/>
        <v>#N/A</v>
      </c>
      <c r="AX70" s="486"/>
    </row>
    <row r="71" spans="2:50">
      <c r="B71" s="479"/>
      <c r="C71" s="180">
        <v>5</v>
      </c>
      <c r="D71" s="180" t="s">
        <v>455</v>
      </c>
      <c r="E71" s="180">
        <v>5</v>
      </c>
      <c r="F71" s="180">
        <v>1500</v>
      </c>
      <c r="G71" s="166">
        <v>300</v>
      </c>
      <c r="H71" s="460"/>
      <c r="I71" s="166">
        <f t="shared" si="32"/>
        <v>5</v>
      </c>
      <c r="J71" s="166">
        <f t="shared" si="32"/>
        <v>1491.7862318367047</v>
      </c>
      <c r="K71" s="265">
        <f t="shared" si="32"/>
        <v>298.35724636734096</v>
      </c>
      <c r="L71" s="460"/>
      <c r="M71" s="272" t="e">
        <f>RANK(K71, K$81:$K$87)</f>
        <v>#N/A</v>
      </c>
      <c r="N71" s="462"/>
      <c r="O71" s="462"/>
      <c r="P71" s="180">
        <v>5</v>
      </c>
      <c r="Q71" s="166">
        <v>1501.5000000000007</v>
      </c>
      <c r="R71" s="265">
        <v>300.30000000000013</v>
      </c>
      <c r="S71" s="180" t="e">
        <f t="shared" si="33"/>
        <v>#N/A</v>
      </c>
      <c r="T71" s="486"/>
      <c r="U71" s="180">
        <v>5</v>
      </c>
      <c r="V71" s="166">
        <v>1473.6585365853668</v>
      </c>
      <c r="W71" s="265">
        <v>294.73170731707336</v>
      </c>
      <c r="X71" s="180" t="e">
        <f t="shared" si="34"/>
        <v>#N/A</v>
      </c>
      <c r="Y71" s="486"/>
      <c r="Z71" s="180">
        <v>5</v>
      </c>
      <c r="AA71" s="166">
        <v>1448.9999999999995</v>
      </c>
      <c r="AB71" s="265">
        <v>289.7999999999999</v>
      </c>
      <c r="AC71" s="180" t="e">
        <f t="shared" si="35"/>
        <v>#N/A</v>
      </c>
      <c r="AD71" s="486"/>
      <c r="AE71" s="180">
        <v>5</v>
      </c>
      <c r="AF71" s="166">
        <v>1527.9999999999993</v>
      </c>
      <c r="AG71" s="265">
        <v>305.59999999999985</v>
      </c>
      <c r="AH71" s="180" t="e">
        <f t="shared" si="36"/>
        <v>#N/A</v>
      </c>
      <c r="AI71" s="486"/>
      <c r="AJ71" s="180">
        <v>5</v>
      </c>
      <c r="AK71" s="166">
        <v>1532.903225806451</v>
      </c>
      <c r="AL71" s="265">
        <v>306.58064516129019</v>
      </c>
      <c r="AM71" s="180" t="e">
        <f t="shared" si="37"/>
        <v>#N/A</v>
      </c>
      <c r="AN71" s="486"/>
      <c r="AO71" s="180">
        <v>5</v>
      </c>
      <c r="AP71" s="166">
        <v>1487.4418604651173</v>
      </c>
      <c r="AQ71" s="265">
        <v>297.48837209302349</v>
      </c>
      <c r="AR71" s="180" t="e">
        <f t="shared" si="38"/>
        <v>#N/A</v>
      </c>
      <c r="AS71" s="486"/>
      <c r="AT71" s="180">
        <v>5</v>
      </c>
      <c r="AU71" s="166">
        <v>1470.0000000000009</v>
      </c>
      <c r="AV71" s="265">
        <v>294.00000000000017</v>
      </c>
      <c r="AW71" s="180" t="e">
        <f t="shared" si="39"/>
        <v>#N/A</v>
      </c>
      <c r="AX71" s="486"/>
    </row>
    <row r="72" spans="2:50">
      <c r="B72" s="479"/>
      <c r="C72" s="180">
        <v>6</v>
      </c>
      <c r="D72" s="180"/>
      <c r="E72" s="180"/>
      <c r="F72" s="180"/>
      <c r="G72" s="166"/>
      <c r="H72" s="460"/>
      <c r="I72" s="166"/>
      <c r="J72" s="166"/>
      <c r="K72" s="265"/>
      <c r="L72" s="460"/>
      <c r="M72" s="272" t="e">
        <f>RANK(K72, K$81:$K$87)</f>
        <v>#N/A</v>
      </c>
      <c r="N72" s="462"/>
      <c r="O72" s="462"/>
      <c r="P72" s="180"/>
      <c r="Q72" s="166"/>
      <c r="R72" s="265"/>
      <c r="S72" s="180" t="e">
        <f t="shared" si="33"/>
        <v>#N/A</v>
      </c>
      <c r="T72" s="486"/>
      <c r="U72" s="180"/>
      <c r="V72" s="166"/>
      <c r="W72" s="265"/>
      <c r="X72" s="180" t="e">
        <f t="shared" si="34"/>
        <v>#N/A</v>
      </c>
      <c r="Y72" s="486"/>
      <c r="Z72" s="180"/>
      <c r="AA72" s="166"/>
      <c r="AB72" s="265"/>
      <c r="AC72" s="180" t="e">
        <f t="shared" si="35"/>
        <v>#N/A</v>
      </c>
      <c r="AD72" s="486"/>
      <c r="AE72" s="180"/>
      <c r="AF72" s="166"/>
      <c r="AG72" s="265"/>
      <c r="AH72" s="180" t="e">
        <f t="shared" si="36"/>
        <v>#N/A</v>
      </c>
      <c r="AI72" s="486"/>
      <c r="AJ72" s="180"/>
      <c r="AK72" s="166"/>
      <c r="AL72" s="265"/>
      <c r="AM72" s="180" t="e">
        <f t="shared" si="37"/>
        <v>#N/A</v>
      </c>
      <c r="AN72" s="486"/>
      <c r="AO72" s="180"/>
      <c r="AP72" s="166"/>
      <c r="AQ72" s="265"/>
      <c r="AR72" s="180" t="e">
        <f t="shared" si="38"/>
        <v>#N/A</v>
      </c>
      <c r="AS72" s="486"/>
      <c r="AT72" s="180"/>
      <c r="AU72" s="166"/>
      <c r="AV72" s="265"/>
      <c r="AW72" s="180" t="e">
        <f t="shared" si="39"/>
        <v>#N/A</v>
      </c>
      <c r="AX72" s="486"/>
    </row>
    <row r="73" spans="2:50">
      <c r="B73" s="479"/>
      <c r="C73" s="180">
        <v>7</v>
      </c>
      <c r="D73" s="180"/>
      <c r="E73" s="180"/>
      <c r="F73" s="180"/>
      <c r="G73" s="166"/>
      <c r="H73" s="460"/>
      <c r="I73" s="166"/>
      <c r="J73" s="166"/>
      <c r="K73" s="265"/>
      <c r="L73" s="460"/>
      <c r="M73" s="272" t="e">
        <f>RANK(K73, K$81:$K$87)</f>
        <v>#N/A</v>
      </c>
      <c r="N73" s="462"/>
      <c r="O73" s="462"/>
      <c r="P73" s="180"/>
      <c r="Q73" s="166"/>
      <c r="R73" s="265"/>
      <c r="S73" s="180" t="e">
        <f t="shared" si="33"/>
        <v>#N/A</v>
      </c>
      <c r="T73" s="486"/>
      <c r="U73" s="180"/>
      <c r="V73" s="166"/>
      <c r="W73" s="265"/>
      <c r="X73" s="180" t="e">
        <f t="shared" si="34"/>
        <v>#N/A</v>
      </c>
      <c r="Y73" s="486"/>
      <c r="Z73" s="180"/>
      <c r="AA73" s="166"/>
      <c r="AB73" s="265"/>
      <c r="AC73" s="180" t="e">
        <f t="shared" si="35"/>
        <v>#N/A</v>
      </c>
      <c r="AD73" s="486"/>
      <c r="AE73" s="180"/>
      <c r="AF73" s="166"/>
      <c r="AG73" s="265"/>
      <c r="AH73" s="180" t="e">
        <f t="shared" si="36"/>
        <v>#N/A</v>
      </c>
      <c r="AI73" s="486"/>
      <c r="AJ73" s="180"/>
      <c r="AK73" s="166"/>
      <c r="AL73" s="265"/>
      <c r="AM73" s="180" t="e">
        <f t="shared" si="37"/>
        <v>#N/A</v>
      </c>
      <c r="AN73" s="486"/>
      <c r="AO73" s="180"/>
      <c r="AP73" s="166"/>
      <c r="AQ73" s="265"/>
      <c r="AR73" s="180" t="e">
        <f t="shared" si="38"/>
        <v>#N/A</v>
      </c>
      <c r="AS73" s="486"/>
      <c r="AT73" s="180"/>
      <c r="AU73" s="166"/>
      <c r="AV73" s="265"/>
      <c r="AW73" s="180" t="e">
        <f t="shared" si="39"/>
        <v>#N/A</v>
      </c>
      <c r="AX73" s="486"/>
    </row>
    <row r="74" spans="2:50">
      <c r="B74" s="479"/>
      <c r="C74" s="180">
        <v>8</v>
      </c>
      <c r="D74" s="180"/>
      <c r="E74" s="180"/>
      <c r="F74" s="180"/>
      <c r="G74" s="166"/>
      <c r="H74" s="460"/>
      <c r="I74" s="166"/>
      <c r="J74" s="166"/>
      <c r="K74" s="265"/>
      <c r="L74" s="460"/>
      <c r="M74" s="272" t="e">
        <f>RANK(K74, K$81:$K$87)</f>
        <v>#N/A</v>
      </c>
      <c r="N74" s="462"/>
      <c r="O74" s="462"/>
      <c r="P74" s="180"/>
      <c r="Q74" s="166"/>
      <c r="R74" s="265"/>
      <c r="S74" s="180" t="e">
        <f t="shared" si="33"/>
        <v>#N/A</v>
      </c>
      <c r="T74" s="486"/>
      <c r="U74" s="180"/>
      <c r="V74" s="166"/>
      <c r="W74" s="265"/>
      <c r="X74" s="180" t="e">
        <f t="shared" si="34"/>
        <v>#N/A</v>
      </c>
      <c r="Y74" s="486"/>
      <c r="Z74" s="180"/>
      <c r="AA74" s="166"/>
      <c r="AB74" s="265"/>
      <c r="AC74" s="180" t="e">
        <f t="shared" si="35"/>
        <v>#N/A</v>
      </c>
      <c r="AD74" s="486"/>
      <c r="AE74" s="180"/>
      <c r="AF74" s="166"/>
      <c r="AG74" s="265"/>
      <c r="AH74" s="180" t="e">
        <f t="shared" si="36"/>
        <v>#N/A</v>
      </c>
      <c r="AI74" s="486"/>
      <c r="AJ74" s="180"/>
      <c r="AK74" s="166"/>
      <c r="AL74" s="265"/>
      <c r="AM74" s="180" t="e">
        <f t="shared" si="37"/>
        <v>#N/A</v>
      </c>
      <c r="AN74" s="486"/>
      <c r="AO74" s="180"/>
      <c r="AP74" s="166"/>
      <c r="AQ74" s="265"/>
      <c r="AR74" s="180" t="e">
        <f t="shared" si="38"/>
        <v>#N/A</v>
      </c>
      <c r="AS74" s="486"/>
      <c r="AT74" s="180"/>
      <c r="AU74" s="166"/>
      <c r="AV74" s="265"/>
      <c r="AW74" s="180" t="e">
        <f t="shared" si="39"/>
        <v>#N/A</v>
      </c>
      <c r="AX74" s="486"/>
    </row>
    <row r="75" spans="2:50">
      <c r="B75" s="479"/>
      <c r="C75" s="180">
        <v>9</v>
      </c>
      <c r="D75" s="180"/>
      <c r="E75" s="180"/>
      <c r="F75" s="180"/>
      <c r="G75" s="166"/>
      <c r="H75" s="460"/>
      <c r="I75" s="166"/>
      <c r="J75" s="166"/>
      <c r="K75" s="265"/>
      <c r="L75" s="460"/>
      <c r="M75" s="272" t="e">
        <f>RANK(K75, K$81:$K$87)</f>
        <v>#N/A</v>
      </c>
      <c r="N75" s="462"/>
      <c r="O75" s="462"/>
      <c r="P75" s="180"/>
      <c r="Q75" s="166"/>
      <c r="R75" s="265"/>
      <c r="S75" s="180" t="e">
        <f t="shared" si="33"/>
        <v>#N/A</v>
      </c>
      <c r="T75" s="486"/>
      <c r="U75" s="180"/>
      <c r="V75" s="166"/>
      <c r="W75" s="265"/>
      <c r="X75" s="180" t="e">
        <f t="shared" si="34"/>
        <v>#N/A</v>
      </c>
      <c r="Y75" s="486"/>
      <c r="Z75" s="180"/>
      <c r="AA75" s="166"/>
      <c r="AB75" s="265"/>
      <c r="AC75" s="180" t="e">
        <f t="shared" si="35"/>
        <v>#N/A</v>
      </c>
      <c r="AD75" s="486"/>
      <c r="AE75" s="180"/>
      <c r="AF75" s="166"/>
      <c r="AG75" s="265"/>
      <c r="AH75" s="180" t="e">
        <f t="shared" si="36"/>
        <v>#N/A</v>
      </c>
      <c r="AI75" s="486"/>
      <c r="AJ75" s="180"/>
      <c r="AK75" s="166"/>
      <c r="AL75" s="265"/>
      <c r="AM75" s="180" t="e">
        <f t="shared" si="37"/>
        <v>#N/A</v>
      </c>
      <c r="AN75" s="486"/>
      <c r="AO75" s="180"/>
      <c r="AP75" s="166"/>
      <c r="AQ75" s="265"/>
      <c r="AR75" s="180" t="e">
        <f t="shared" si="38"/>
        <v>#N/A</v>
      </c>
      <c r="AS75" s="486"/>
      <c r="AT75" s="180"/>
      <c r="AU75" s="166"/>
      <c r="AV75" s="265"/>
      <c r="AW75" s="180" t="e">
        <f t="shared" si="39"/>
        <v>#N/A</v>
      </c>
      <c r="AX75" s="486"/>
    </row>
    <row r="76" spans="2:50">
      <c r="B76" s="479"/>
      <c r="C76" s="180">
        <v>10</v>
      </c>
      <c r="D76" s="180"/>
      <c r="E76" s="180"/>
      <c r="F76" s="180"/>
      <c r="G76" s="166"/>
      <c r="H76" s="460"/>
      <c r="I76" s="166"/>
      <c r="J76" s="166"/>
      <c r="K76" s="265"/>
      <c r="L76" s="460"/>
      <c r="M76" s="272" t="e">
        <f>RANK(K76, K$81:$K$87)</f>
        <v>#N/A</v>
      </c>
      <c r="N76" s="462"/>
      <c r="O76" s="462"/>
      <c r="P76" s="180"/>
      <c r="Q76" s="166"/>
      <c r="R76" s="265"/>
      <c r="S76" s="180" t="e">
        <f t="shared" si="33"/>
        <v>#N/A</v>
      </c>
      <c r="T76" s="486"/>
      <c r="U76" s="180"/>
      <c r="V76" s="166"/>
      <c r="W76" s="265"/>
      <c r="X76" s="180" t="e">
        <f t="shared" si="34"/>
        <v>#N/A</v>
      </c>
      <c r="Y76" s="486"/>
      <c r="Z76" s="180"/>
      <c r="AA76" s="166"/>
      <c r="AB76" s="265"/>
      <c r="AC76" s="180" t="e">
        <f t="shared" si="35"/>
        <v>#N/A</v>
      </c>
      <c r="AD76" s="486"/>
      <c r="AE76" s="180"/>
      <c r="AF76" s="166"/>
      <c r="AG76" s="265"/>
      <c r="AH76" s="180" t="e">
        <f t="shared" si="36"/>
        <v>#N/A</v>
      </c>
      <c r="AI76" s="486"/>
      <c r="AJ76" s="180"/>
      <c r="AK76" s="166"/>
      <c r="AL76" s="265"/>
      <c r="AM76" s="180" t="e">
        <f t="shared" si="37"/>
        <v>#N/A</v>
      </c>
      <c r="AN76" s="486"/>
      <c r="AO76" s="180"/>
      <c r="AP76" s="166"/>
      <c r="AQ76" s="265"/>
      <c r="AR76" s="180" t="e">
        <f t="shared" si="38"/>
        <v>#N/A</v>
      </c>
      <c r="AS76" s="486"/>
      <c r="AT76" s="180"/>
      <c r="AU76" s="166"/>
      <c r="AV76" s="265"/>
      <c r="AW76" s="180" t="e">
        <f t="shared" si="39"/>
        <v>#N/A</v>
      </c>
      <c r="AX76" s="486"/>
    </row>
    <row r="77" spans="2:50">
      <c r="B77" s="479"/>
      <c r="C77" s="180">
        <v>11</v>
      </c>
      <c r="D77" s="180"/>
      <c r="E77" s="180"/>
      <c r="F77" s="180"/>
      <c r="G77" s="166"/>
      <c r="H77" s="460"/>
      <c r="I77" s="180"/>
      <c r="J77" s="180"/>
      <c r="K77" s="180"/>
      <c r="L77" s="460"/>
      <c r="M77" s="272" t="e">
        <f>RANK(K77, K$81:$K$87)</f>
        <v>#N/A</v>
      </c>
      <c r="N77" s="462"/>
      <c r="O77" s="462"/>
      <c r="P77" s="180"/>
      <c r="Q77" s="180"/>
      <c r="R77" s="180"/>
      <c r="S77" s="180" t="e">
        <f t="shared" si="33"/>
        <v>#N/A</v>
      </c>
      <c r="T77" s="486"/>
      <c r="U77" s="180"/>
      <c r="V77" s="180"/>
      <c r="W77" s="180"/>
      <c r="X77" s="180" t="e">
        <f t="shared" si="34"/>
        <v>#N/A</v>
      </c>
      <c r="Y77" s="486"/>
      <c r="Z77" s="180"/>
      <c r="AA77" s="180"/>
      <c r="AB77" s="180"/>
      <c r="AC77" s="180" t="e">
        <f t="shared" si="35"/>
        <v>#N/A</v>
      </c>
      <c r="AD77" s="486"/>
      <c r="AE77" s="180"/>
      <c r="AF77" s="180"/>
      <c r="AG77" s="180"/>
      <c r="AH77" s="180" t="e">
        <f t="shared" si="36"/>
        <v>#N/A</v>
      </c>
      <c r="AI77" s="486"/>
      <c r="AJ77" s="180"/>
      <c r="AK77" s="180"/>
      <c r="AL77" s="180"/>
      <c r="AM77" s="180" t="e">
        <f t="shared" si="37"/>
        <v>#N/A</v>
      </c>
      <c r="AN77" s="486"/>
      <c r="AO77" s="180"/>
      <c r="AP77" s="180"/>
      <c r="AQ77" s="180"/>
      <c r="AR77" s="180" t="e">
        <f t="shared" si="38"/>
        <v>#N/A</v>
      </c>
      <c r="AS77" s="486"/>
      <c r="AT77" s="180"/>
      <c r="AU77" s="180"/>
      <c r="AV77" s="180"/>
      <c r="AW77" s="180" t="e">
        <f t="shared" si="39"/>
        <v>#N/A</v>
      </c>
      <c r="AX77" s="486"/>
    </row>
    <row r="78" spans="2:50">
      <c r="B78" s="479"/>
      <c r="C78" s="180">
        <v>12</v>
      </c>
      <c r="D78" s="180"/>
      <c r="E78" s="180"/>
      <c r="F78" s="180"/>
      <c r="G78" s="166"/>
      <c r="H78" s="460"/>
      <c r="I78" s="180"/>
      <c r="J78" s="180"/>
      <c r="K78" s="180"/>
      <c r="L78" s="460"/>
      <c r="M78" s="272" t="e">
        <f>RANK(K78, K$81:$K$87)</f>
        <v>#N/A</v>
      </c>
      <c r="N78" s="462"/>
      <c r="O78" s="462"/>
      <c r="P78" s="180"/>
      <c r="Q78" s="180"/>
      <c r="R78" s="180"/>
      <c r="S78" s="180" t="e">
        <f t="shared" si="33"/>
        <v>#N/A</v>
      </c>
      <c r="T78" s="486"/>
      <c r="U78" s="180"/>
      <c r="V78" s="180"/>
      <c r="W78" s="180"/>
      <c r="X78" s="180" t="e">
        <f t="shared" si="34"/>
        <v>#N/A</v>
      </c>
      <c r="Y78" s="486"/>
      <c r="Z78" s="180"/>
      <c r="AA78" s="180"/>
      <c r="AB78" s="180"/>
      <c r="AC78" s="180" t="e">
        <f t="shared" si="35"/>
        <v>#N/A</v>
      </c>
      <c r="AD78" s="486"/>
      <c r="AE78" s="180"/>
      <c r="AF78" s="180"/>
      <c r="AG78" s="180"/>
      <c r="AH78" s="180" t="e">
        <f t="shared" si="36"/>
        <v>#N/A</v>
      </c>
      <c r="AI78" s="486"/>
      <c r="AJ78" s="180"/>
      <c r="AK78" s="180"/>
      <c r="AL78" s="180"/>
      <c r="AM78" s="180" t="e">
        <f t="shared" si="37"/>
        <v>#N/A</v>
      </c>
      <c r="AN78" s="486"/>
      <c r="AO78" s="180"/>
      <c r="AP78" s="180"/>
      <c r="AQ78" s="180"/>
      <c r="AR78" s="180" t="e">
        <f t="shared" si="38"/>
        <v>#N/A</v>
      </c>
      <c r="AS78" s="486"/>
      <c r="AT78" s="180"/>
      <c r="AU78" s="180"/>
      <c r="AV78" s="180"/>
      <c r="AW78" s="180" t="e">
        <f t="shared" si="39"/>
        <v>#N/A</v>
      </c>
      <c r="AX78" s="486"/>
    </row>
    <row r="79" spans="2:50">
      <c r="B79" s="479"/>
      <c r="C79" s="180">
        <v>13</v>
      </c>
      <c r="D79" s="180"/>
      <c r="E79" s="180"/>
      <c r="F79" s="180"/>
      <c r="G79" s="166"/>
      <c r="H79" s="460"/>
      <c r="I79" s="180"/>
      <c r="J79" s="180"/>
      <c r="K79" s="180"/>
      <c r="L79" s="460"/>
      <c r="M79" s="272" t="e">
        <f>RANK(K79, K$81:$K$87)</f>
        <v>#N/A</v>
      </c>
      <c r="N79" s="462"/>
      <c r="O79" s="462"/>
      <c r="P79" s="180"/>
      <c r="Q79" s="180"/>
      <c r="R79" s="180"/>
      <c r="S79" s="180" t="e">
        <f t="shared" si="33"/>
        <v>#N/A</v>
      </c>
      <c r="T79" s="486"/>
      <c r="U79" s="180"/>
      <c r="V79" s="180"/>
      <c r="W79" s="180"/>
      <c r="X79" s="180" t="e">
        <f t="shared" si="34"/>
        <v>#N/A</v>
      </c>
      <c r="Y79" s="486"/>
      <c r="Z79" s="180"/>
      <c r="AA79" s="180"/>
      <c r="AB79" s="180"/>
      <c r="AC79" s="180" t="e">
        <f t="shared" si="35"/>
        <v>#N/A</v>
      </c>
      <c r="AD79" s="486"/>
      <c r="AE79" s="180"/>
      <c r="AF79" s="180"/>
      <c r="AG79" s="180"/>
      <c r="AH79" s="180" t="e">
        <f t="shared" si="36"/>
        <v>#N/A</v>
      </c>
      <c r="AI79" s="486"/>
      <c r="AJ79" s="180"/>
      <c r="AK79" s="180"/>
      <c r="AL79" s="180"/>
      <c r="AM79" s="180" t="e">
        <f t="shared" si="37"/>
        <v>#N/A</v>
      </c>
      <c r="AN79" s="486"/>
      <c r="AO79" s="180"/>
      <c r="AP79" s="180"/>
      <c r="AQ79" s="180"/>
      <c r="AR79" s="180" t="e">
        <f t="shared" si="38"/>
        <v>#N/A</v>
      </c>
      <c r="AS79" s="486"/>
      <c r="AT79" s="180"/>
      <c r="AU79" s="180"/>
      <c r="AV79" s="180"/>
      <c r="AW79" s="180" t="e">
        <f t="shared" si="39"/>
        <v>#N/A</v>
      </c>
      <c r="AX79" s="486"/>
    </row>
    <row r="80" spans="2:50">
      <c r="B80" s="479"/>
      <c r="C80" s="180">
        <v>14</v>
      </c>
      <c r="D80" s="180"/>
      <c r="E80" s="180"/>
      <c r="F80" s="180"/>
      <c r="G80" s="166"/>
      <c r="H80" s="460"/>
      <c r="I80" s="180"/>
      <c r="J80" s="180"/>
      <c r="K80" s="180"/>
      <c r="L80" s="460"/>
      <c r="M80" s="272" t="e">
        <f>RANK(K80, K$81:$K$87)</f>
        <v>#N/A</v>
      </c>
      <c r="N80" s="462"/>
      <c r="O80" s="462"/>
      <c r="P80" s="180"/>
      <c r="Q80" s="180"/>
      <c r="R80" s="180"/>
      <c r="S80" s="180" t="e">
        <f t="shared" si="33"/>
        <v>#N/A</v>
      </c>
      <c r="T80" s="486"/>
      <c r="U80" s="180"/>
      <c r="V80" s="180"/>
      <c r="W80" s="180"/>
      <c r="X80" s="180" t="e">
        <f t="shared" si="34"/>
        <v>#N/A</v>
      </c>
      <c r="Y80" s="486"/>
      <c r="Z80" s="180"/>
      <c r="AA80" s="180"/>
      <c r="AB80" s="180"/>
      <c r="AC80" s="180" t="e">
        <f t="shared" si="35"/>
        <v>#N/A</v>
      </c>
      <c r="AD80" s="486"/>
      <c r="AE80" s="180"/>
      <c r="AF80" s="180"/>
      <c r="AG80" s="180"/>
      <c r="AH80" s="180" t="e">
        <f t="shared" si="36"/>
        <v>#N/A</v>
      </c>
      <c r="AI80" s="486"/>
      <c r="AJ80" s="180"/>
      <c r="AK80" s="180"/>
      <c r="AL80" s="180"/>
      <c r="AM80" s="180" t="e">
        <f t="shared" si="37"/>
        <v>#N/A</v>
      </c>
      <c r="AN80" s="486"/>
      <c r="AO80" s="180"/>
      <c r="AP80" s="180"/>
      <c r="AQ80" s="180"/>
      <c r="AR80" s="180" t="e">
        <f t="shared" si="38"/>
        <v>#N/A</v>
      </c>
      <c r="AS80" s="486"/>
      <c r="AT80" s="180"/>
      <c r="AU80" s="180"/>
      <c r="AV80" s="180"/>
      <c r="AW80" s="180" t="e">
        <f t="shared" si="39"/>
        <v>#N/A</v>
      </c>
      <c r="AX80" s="486"/>
    </row>
    <row r="81" spans="2:50">
      <c r="B81" s="479"/>
      <c r="C81" s="180">
        <v>15</v>
      </c>
      <c r="D81" s="180"/>
      <c r="E81" s="180"/>
      <c r="F81" s="180"/>
      <c r="G81" s="180"/>
      <c r="H81" s="461"/>
      <c r="I81" s="180"/>
      <c r="J81" s="180"/>
      <c r="K81" s="180"/>
      <c r="L81" s="461"/>
      <c r="M81" s="272" t="e">
        <f>RANK(K81, K$81:$K$87)</f>
        <v>#N/A</v>
      </c>
      <c r="N81" s="462"/>
      <c r="O81" s="462"/>
      <c r="P81" s="180"/>
      <c r="Q81" s="180"/>
      <c r="R81" s="180"/>
      <c r="S81" s="180" t="e">
        <f t="shared" si="33"/>
        <v>#N/A</v>
      </c>
      <c r="T81" s="486"/>
      <c r="U81" s="180"/>
      <c r="V81" s="180"/>
      <c r="W81" s="180"/>
      <c r="X81" s="180" t="e">
        <f t="shared" si="34"/>
        <v>#N/A</v>
      </c>
      <c r="Y81" s="486"/>
      <c r="Z81" s="180"/>
      <c r="AA81" s="180"/>
      <c r="AB81" s="180"/>
      <c r="AC81" s="180" t="e">
        <f t="shared" si="35"/>
        <v>#N/A</v>
      </c>
      <c r="AD81" s="486"/>
      <c r="AE81" s="180"/>
      <c r="AF81" s="180"/>
      <c r="AG81" s="180"/>
      <c r="AH81" s="180" t="e">
        <f t="shared" si="36"/>
        <v>#N/A</v>
      </c>
      <c r="AI81" s="486"/>
      <c r="AJ81" s="180"/>
      <c r="AK81" s="180"/>
      <c r="AL81" s="180"/>
      <c r="AM81" s="180" t="e">
        <f t="shared" si="37"/>
        <v>#N/A</v>
      </c>
      <c r="AN81" s="486"/>
      <c r="AO81" s="180"/>
      <c r="AP81" s="180"/>
      <c r="AQ81" s="180"/>
      <c r="AR81" s="180" t="e">
        <f t="shared" si="38"/>
        <v>#N/A</v>
      </c>
      <c r="AS81" s="486"/>
      <c r="AT81" s="180"/>
      <c r="AU81" s="180"/>
      <c r="AV81" s="180"/>
      <c r="AW81" s="180" t="e">
        <f t="shared" si="39"/>
        <v>#N/A</v>
      </c>
      <c r="AX81" s="486"/>
    </row>
    <row r="82" spans="2:50" ht="15.75">
      <c r="B82" s="480" t="s">
        <v>721</v>
      </c>
      <c r="C82" s="481"/>
      <c r="D82" s="481"/>
      <c r="E82" s="481"/>
      <c r="F82" s="481"/>
      <c r="G82" s="481"/>
      <c r="H82" s="481"/>
      <c r="I82" s="184"/>
      <c r="J82" s="184"/>
      <c r="K82" s="184"/>
      <c r="L82" s="184"/>
      <c r="M82" s="183"/>
      <c r="N82" s="469" t="s">
        <v>722</v>
      </c>
      <c r="O82" s="469" t="s">
        <v>723</v>
      </c>
      <c r="P82" s="478">
        <f>P62+7</f>
        <v>46077</v>
      </c>
      <c r="Q82" s="479"/>
      <c r="R82" s="479"/>
      <c r="S82" s="479"/>
      <c r="T82" s="479"/>
      <c r="U82" s="475">
        <f>P82+1</f>
        <v>46078</v>
      </c>
      <c r="V82" s="476"/>
      <c r="W82" s="476"/>
      <c r="X82" s="476"/>
      <c r="Y82" s="477"/>
      <c r="Z82" s="475">
        <f>U82+1</f>
        <v>46079</v>
      </c>
      <c r="AA82" s="476"/>
      <c r="AB82" s="476"/>
      <c r="AC82" s="476"/>
      <c r="AD82" s="477"/>
      <c r="AE82" s="475">
        <f>Z82+1</f>
        <v>46080</v>
      </c>
      <c r="AF82" s="476"/>
      <c r="AG82" s="476"/>
      <c r="AH82" s="476"/>
      <c r="AI82" s="477"/>
      <c r="AJ82" s="475">
        <f>AE82+1</f>
        <v>46081</v>
      </c>
      <c r="AK82" s="476"/>
      <c r="AL82" s="476"/>
      <c r="AM82" s="476"/>
      <c r="AN82" s="477"/>
      <c r="AO82" s="475">
        <f>AJ82+1</f>
        <v>46082</v>
      </c>
      <c r="AP82" s="476"/>
      <c r="AQ82" s="476"/>
      <c r="AR82" s="476"/>
      <c r="AS82" s="477"/>
      <c r="AT82" s="475">
        <f>AO82+1</f>
        <v>46083</v>
      </c>
      <c r="AU82" s="476"/>
      <c r="AV82" s="476"/>
      <c r="AW82" s="476"/>
      <c r="AX82" s="477"/>
    </row>
    <row r="83" spans="2:50" ht="15.75">
      <c r="B83" s="482"/>
      <c r="C83" s="482"/>
      <c r="D83" s="482"/>
      <c r="E83" s="482"/>
      <c r="F83" s="482"/>
      <c r="G83" s="482"/>
      <c r="H83" s="482"/>
      <c r="I83" s="182"/>
      <c r="J83" s="182"/>
      <c r="K83" s="182"/>
      <c r="L83" s="182"/>
      <c r="M83" s="179"/>
      <c r="N83" s="471"/>
      <c r="O83" s="471"/>
      <c r="P83" s="478" t="s">
        <v>724</v>
      </c>
      <c r="Q83" s="479"/>
      <c r="R83" s="479"/>
      <c r="S83" s="479"/>
      <c r="T83" s="479"/>
      <c r="U83" s="478" t="s">
        <v>725</v>
      </c>
      <c r="V83" s="479"/>
      <c r="W83" s="479"/>
      <c r="X83" s="479"/>
      <c r="Y83" s="479"/>
      <c r="Z83" s="478" t="s">
        <v>726</v>
      </c>
      <c r="AA83" s="479"/>
      <c r="AB83" s="479"/>
      <c r="AC83" s="479"/>
      <c r="AD83" s="479"/>
      <c r="AE83" s="478" t="s">
        <v>727</v>
      </c>
      <c r="AF83" s="479"/>
      <c r="AG83" s="479"/>
      <c r="AH83" s="479"/>
      <c r="AI83" s="479"/>
      <c r="AJ83" s="478" t="s">
        <v>728</v>
      </c>
      <c r="AK83" s="479"/>
      <c r="AL83" s="479"/>
      <c r="AM83" s="479"/>
      <c r="AN83" s="479"/>
      <c r="AO83" s="478" t="s">
        <v>729</v>
      </c>
      <c r="AP83" s="479"/>
      <c r="AQ83" s="479"/>
      <c r="AR83" s="479"/>
      <c r="AS83" s="479"/>
      <c r="AT83" s="478" t="s">
        <v>730</v>
      </c>
      <c r="AU83" s="479"/>
      <c r="AV83" s="479"/>
      <c r="AW83" s="479"/>
      <c r="AX83" s="479"/>
    </row>
    <row r="84" spans="2:50">
      <c r="B84" s="462" t="s">
        <v>731</v>
      </c>
      <c r="C84" s="462" t="s">
        <v>732</v>
      </c>
      <c r="D84" s="462"/>
      <c r="E84" s="462" t="s">
        <v>733</v>
      </c>
      <c r="F84" s="462"/>
      <c r="G84" s="462"/>
      <c r="H84" s="463" t="s">
        <v>734</v>
      </c>
      <c r="I84" s="462" t="s">
        <v>735</v>
      </c>
      <c r="J84" s="462"/>
      <c r="K84" s="462"/>
      <c r="L84" s="463" t="s">
        <v>734</v>
      </c>
      <c r="M84" s="469" t="s">
        <v>736</v>
      </c>
      <c r="N84" s="462"/>
      <c r="O84" s="462" t="s">
        <v>737</v>
      </c>
      <c r="P84" s="466" t="s">
        <v>738</v>
      </c>
      <c r="Q84" s="467"/>
      <c r="R84" s="467"/>
      <c r="S84" s="468"/>
      <c r="T84" s="462" t="s">
        <v>734</v>
      </c>
      <c r="U84" s="466" t="s">
        <v>738</v>
      </c>
      <c r="V84" s="467"/>
      <c r="W84" s="467"/>
      <c r="X84" s="468"/>
      <c r="Y84" s="462" t="s">
        <v>734</v>
      </c>
      <c r="Z84" s="466" t="s">
        <v>738</v>
      </c>
      <c r="AA84" s="467"/>
      <c r="AB84" s="467"/>
      <c r="AC84" s="468"/>
      <c r="AD84" s="462" t="s">
        <v>734</v>
      </c>
      <c r="AE84" s="466" t="s">
        <v>738</v>
      </c>
      <c r="AF84" s="467"/>
      <c r="AG84" s="467"/>
      <c r="AH84" s="468"/>
      <c r="AI84" s="462" t="s">
        <v>734</v>
      </c>
      <c r="AJ84" s="466" t="s">
        <v>738</v>
      </c>
      <c r="AK84" s="467"/>
      <c r="AL84" s="467"/>
      <c r="AM84" s="468"/>
      <c r="AN84" s="462" t="s">
        <v>734</v>
      </c>
      <c r="AO84" s="466" t="s">
        <v>738</v>
      </c>
      <c r="AP84" s="467"/>
      <c r="AQ84" s="467"/>
      <c r="AR84" s="468"/>
      <c r="AS84" s="462" t="s">
        <v>734</v>
      </c>
      <c r="AT84" s="466" t="s">
        <v>738</v>
      </c>
      <c r="AU84" s="467"/>
      <c r="AV84" s="467"/>
      <c r="AW84" s="468"/>
      <c r="AX84" s="462" t="s">
        <v>734</v>
      </c>
    </row>
    <row r="85" spans="2:50">
      <c r="B85" s="462"/>
      <c r="C85" s="462"/>
      <c r="D85" s="462"/>
      <c r="E85" s="462" t="s">
        <v>739</v>
      </c>
      <c r="F85" s="462"/>
      <c r="G85" s="462"/>
      <c r="H85" s="464"/>
      <c r="I85" s="462" t="s">
        <v>739</v>
      </c>
      <c r="J85" s="462"/>
      <c r="K85" s="462"/>
      <c r="L85" s="464"/>
      <c r="M85" s="470"/>
      <c r="N85" s="462"/>
      <c r="O85" s="462"/>
      <c r="P85" s="466" t="s">
        <v>740</v>
      </c>
      <c r="Q85" s="467"/>
      <c r="R85" s="467"/>
      <c r="S85" s="468"/>
      <c r="T85" s="462"/>
      <c r="U85" s="466" t="s">
        <v>740</v>
      </c>
      <c r="V85" s="467"/>
      <c r="W85" s="467"/>
      <c r="X85" s="468"/>
      <c r="Y85" s="462"/>
      <c r="Z85" s="466" t="s">
        <v>740</v>
      </c>
      <c r="AA85" s="467"/>
      <c r="AB85" s="467"/>
      <c r="AC85" s="468"/>
      <c r="AD85" s="462"/>
      <c r="AE85" s="466" t="s">
        <v>740</v>
      </c>
      <c r="AF85" s="467"/>
      <c r="AG85" s="467"/>
      <c r="AH85" s="468"/>
      <c r="AI85" s="462"/>
      <c r="AJ85" s="466" t="s">
        <v>740</v>
      </c>
      <c r="AK85" s="467"/>
      <c r="AL85" s="467"/>
      <c r="AM85" s="468"/>
      <c r="AN85" s="462"/>
      <c r="AO85" s="466" t="s">
        <v>740</v>
      </c>
      <c r="AP85" s="467"/>
      <c r="AQ85" s="467"/>
      <c r="AR85" s="468"/>
      <c r="AS85" s="462"/>
      <c r="AT85" s="466" t="s">
        <v>740</v>
      </c>
      <c r="AU85" s="467"/>
      <c r="AV85" s="467"/>
      <c r="AW85" s="468"/>
      <c r="AX85" s="462"/>
    </row>
    <row r="86" spans="2:50">
      <c r="B86" s="462"/>
      <c r="C86" s="462"/>
      <c r="D86" s="462"/>
      <c r="E86" s="264" t="s">
        <v>741</v>
      </c>
      <c r="F86" s="264" t="s">
        <v>742</v>
      </c>
      <c r="G86" s="264" t="s">
        <v>743</v>
      </c>
      <c r="H86" s="465"/>
      <c r="I86" s="264" t="s">
        <v>741</v>
      </c>
      <c r="J86" s="264" t="s">
        <v>742</v>
      </c>
      <c r="K86" s="264" t="s">
        <v>743</v>
      </c>
      <c r="L86" s="465"/>
      <c r="M86" s="471"/>
      <c r="N86" s="462"/>
      <c r="O86" s="462"/>
      <c r="P86" s="264" t="s">
        <v>741</v>
      </c>
      <c r="Q86" s="264" t="s">
        <v>742</v>
      </c>
      <c r="R86" s="264" t="s">
        <v>743</v>
      </c>
      <c r="S86" s="264" t="s">
        <v>736</v>
      </c>
      <c r="T86" s="462"/>
      <c r="U86" s="264" t="s">
        <v>741</v>
      </c>
      <c r="V86" s="264" t="s">
        <v>742</v>
      </c>
      <c r="W86" s="264" t="s">
        <v>743</v>
      </c>
      <c r="X86" s="264" t="s">
        <v>736</v>
      </c>
      <c r="Y86" s="462"/>
      <c r="Z86" s="264" t="s">
        <v>741</v>
      </c>
      <c r="AA86" s="264" t="s">
        <v>742</v>
      </c>
      <c r="AB86" s="264" t="s">
        <v>743</v>
      </c>
      <c r="AC86" s="264" t="s">
        <v>736</v>
      </c>
      <c r="AD86" s="462"/>
      <c r="AE86" s="264" t="s">
        <v>741</v>
      </c>
      <c r="AF86" s="264" t="s">
        <v>742</v>
      </c>
      <c r="AG86" s="264" t="s">
        <v>743</v>
      </c>
      <c r="AH86" s="264" t="s">
        <v>736</v>
      </c>
      <c r="AI86" s="462"/>
      <c r="AJ86" s="264" t="s">
        <v>741</v>
      </c>
      <c r="AK86" s="264" t="s">
        <v>742</v>
      </c>
      <c r="AL86" s="264" t="s">
        <v>743</v>
      </c>
      <c r="AM86" s="264" t="s">
        <v>736</v>
      </c>
      <c r="AN86" s="462"/>
      <c r="AO86" s="264" t="s">
        <v>741</v>
      </c>
      <c r="AP86" s="264" t="s">
        <v>742</v>
      </c>
      <c r="AQ86" s="264" t="s">
        <v>743</v>
      </c>
      <c r="AR86" s="264" t="s">
        <v>736</v>
      </c>
      <c r="AS86" s="462"/>
      <c r="AT86" s="264" t="s">
        <v>741</v>
      </c>
      <c r="AU86" s="264" t="s">
        <v>742</v>
      </c>
      <c r="AV86" s="264" t="s">
        <v>743</v>
      </c>
      <c r="AW86" s="264" t="s">
        <v>736</v>
      </c>
      <c r="AX86" s="462"/>
    </row>
    <row r="87" spans="2:50">
      <c r="B87" s="507" t="s">
        <v>749</v>
      </c>
      <c r="C87" s="180">
        <v>1</v>
      </c>
      <c r="D87" s="180" t="s">
        <v>359</v>
      </c>
      <c r="E87" s="180">
        <v>10</v>
      </c>
      <c r="F87" s="180">
        <v>1500</v>
      </c>
      <c r="G87" s="166">
        <v>150</v>
      </c>
      <c r="H87" s="459">
        <f>AVERAGE(G87:G101)</f>
        <v>198</v>
      </c>
      <c r="I87" s="166">
        <f>AVERAGE(P87,U87,Z87,AE87,AJ87,AO87,AT87)</f>
        <v>10</v>
      </c>
      <c r="J87" s="166">
        <f>AVERAGE(Q87,V87,AA87,AF87,AK87,AP87,AU87)</f>
        <v>1433.028571428571</v>
      </c>
      <c r="K87" s="265">
        <f>AVERAGE(R87,W87,AB87,AG87,AL87,AQ87,AV87)</f>
        <v>143.30285714285705</v>
      </c>
      <c r="L87" s="459">
        <f>IFERROR(AVERAGE(K87:K101),"-")</f>
        <v>198.79571266001955</v>
      </c>
      <c r="M87" s="272">
        <f>RANK(K87, K$87:$K$101)</f>
        <v>5</v>
      </c>
      <c r="N87" s="462"/>
      <c r="O87" s="462"/>
      <c r="P87" s="166">
        <v>10</v>
      </c>
      <c r="Q87" s="166">
        <v>1414.2857142857129</v>
      </c>
      <c r="R87" s="166">
        <v>141.42857142857127</v>
      </c>
      <c r="S87" s="180">
        <f>RANK(R87, R$87:R$101)</f>
        <v>5</v>
      </c>
      <c r="T87" s="486">
        <f>AVERAGE(R87:R101)</f>
        <v>199.20787644787657</v>
      </c>
      <c r="U87" s="166">
        <v>10</v>
      </c>
      <c r="V87" s="166">
        <v>1378.2857142857129</v>
      </c>
      <c r="W87" s="166">
        <v>137.82857142857128</v>
      </c>
      <c r="X87" s="180">
        <f t="shared" ref="X87:X101" si="40">RANK(W87, W$87:W$101)</f>
        <v>5</v>
      </c>
      <c r="Y87" s="486">
        <f t="shared" ref="Y87" si="41">AVERAGE(W87:W101)</f>
        <v>193.9810989010989</v>
      </c>
      <c r="Z87" s="166">
        <v>10</v>
      </c>
      <c r="AA87" s="166">
        <v>1388.5714285714303</v>
      </c>
      <c r="AB87" s="166">
        <v>138.85714285714303</v>
      </c>
      <c r="AC87" s="180">
        <f t="shared" ref="AC87:AC101" si="42">RANK(AB87, AB$87:AB$101)</f>
        <v>5</v>
      </c>
      <c r="AD87" s="486">
        <f t="shared" ref="AD87" si="43">AVERAGE(AB87:AB101)</f>
        <v>193.86476190476188</v>
      </c>
      <c r="AE87" s="166">
        <v>10</v>
      </c>
      <c r="AF87" s="166">
        <v>1519.9999999999973</v>
      </c>
      <c r="AG87" s="265">
        <v>151.99999999999972</v>
      </c>
      <c r="AH87" s="180">
        <f t="shared" ref="AH87:AH101" si="44">RANK(AG87, AG$87:AG$101)</f>
        <v>4</v>
      </c>
      <c r="AI87" s="486">
        <f t="shared" ref="AI87" si="45">AVERAGE(AG87:AG101)</f>
        <v>203.30514350667801</v>
      </c>
      <c r="AJ87" s="166">
        <v>10</v>
      </c>
      <c r="AK87" s="166">
        <v>1464.0000000000014</v>
      </c>
      <c r="AL87" s="265">
        <v>146.40000000000015</v>
      </c>
      <c r="AM87" s="180">
        <f t="shared" ref="AM87:AM101" si="46">RANK(AL87, AL$87:AL$101)</f>
        <v>4</v>
      </c>
      <c r="AN87" s="486">
        <f t="shared" ref="AN87" si="47">AVERAGE(AL87:AL101)</f>
        <v>203.61968253968257</v>
      </c>
      <c r="AO87" s="166"/>
      <c r="AP87" s="166"/>
      <c r="AQ87" s="265"/>
      <c r="AR87" s="180" t="e">
        <f t="shared" ref="AR87:AR101" si="48">RANK(AQ87, AQ$87:AQ$101)</f>
        <v>#N/A</v>
      </c>
      <c r="AS87" s="486" t="e">
        <f t="shared" ref="AS87" si="49">AVERAGE(AQ87:AQ101)</f>
        <v>#DIV/0!</v>
      </c>
      <c r="AT87" s="166"/>
      <c r="AU87" s="166"/>
      <c r="AV87" s="265"/>
      <c r="AW87" s="180" t="e">
        <f t="shared" ref="AW87:AW101" si="50">RANK(AV87, AV$87:AV$101)</f>
        <v>#N/A</v>
      </c>
      <c r="AX87" s="486" t="e">
        <f t="shared" ref="AX87" si="51">AVERAGE(AV87:AV101)</f>
        <v>#DIV/0!</v>
      </c>
    </row>
    <row r="88" spans="2:50">
      <c r="B88" s="479"/>
      <c r="C88" s="180">
        <v>2</v>
      </c>
      <c r="D88" s="180" t="s">
        <v>360</v>
      </c>
      <c r="E88" s="180">
        <v>15</v>
      </c>
      <c r="F88" s="180">
        <v>1800</v>
      </c>
      <c r="G88" s="166">
        <v>120</v>
      </c>
      <c r="H88" s="460"/>
      <c r="I88" s="166">
        <f t="shared" ref="I88:K91" si="52">AVERAGE(P88,U88,Z88,AE88,AJ88,AO88,AT88)</f>
        <v>12</v>
      </c>
      <c r="J88" s="166">
        <f t="shared" si="52"/>
        <v>1748.0266666666666</v>
      </c>
      <c r="K88" s="265">
        <f t="shared" si="52"/>
        <v>145.66888888888886</v>
      </c>
      <c r="L88" s="460"/>
      <c r="M88" s="272">
        <f>RANK(K88, K$87:$K$101)</f>
        <v>4</v>
      </c>
      <c r="N88" s="462"/>
      <c r="O88" s="462"/>
      <c r="P88" s="166">
        <v>12</v>
      </c>
      <c r="Q88" s="166">
        <v>1757.9999999999977</v>
      </c>
      <c r="R88" s="166">
        <v>146.4999999999998</v>
      </c>
      <c r="S88" s="180">
        <f t="shared" ref="S88:S101" si="53">RANK(R88, R$87:R$101)</f>
        <v>4</v>
      </c>
      <c r="T88" s="486"/>
      <c r="U88" s="166">
        <v>12</v>
      </c>
      <c r="V88" s="166">
        <v>1784.4000000000005</v>
      </c>
      <c r="W88" s="166">
        <v>148.70000000000005</v>
      </c>
      <c r="X88" s="180">
        <f t="shared" si="40"/>
        <v>4</v>
      </c>
      <c r="Y88" s="486"/>
      <c r="Z88" s="166">
        <v>12</v>
      </c>
      <c r="AA88" s="166">
        <v>1688.4000000000005</v>
      </c>
      <c r="AB88" s="166">
        <v>140.70000000000005</v>
      </c>
      <c r="AC88" s="180">
        <f t="shared" si="42"/>
        <v>4</v>
      </c>
      <c r="AD88" s="486"/>
      <c r="AE88" s="180">
        <v>12</v>
      </c>
      <c r="AF88" s="166">
        <v>1784</v>
      </c>
      <c r="AG88" s="265">
        <v>148.66666666666666</v>
      </c>
      <c r="AH88" s="180">
        <f t="shared" si="44"/>
        <v>5</v>
      </c>
      <c r="AI88" s="486"/>
      <c r="AJ88" s="180">
        <v>12</v>
      </c>
      <c r="AK88" s="166">
        <v>1725.3333333333335</v>
      </c>
      <c r="AL88" s="265">
        <v>143.7777777777778</v>
      </c>
      <c r="AM88" s="180">
        <f t="shared" si="46"/>
        <v>5</v>
      </c>
      <c r="AN88" s="486"/>
      <c r="AO88" s="180"/>
      <c r="AP88" s="166"/>
      <c r="AQ88" s="265"/>
      <c r="AR88" s="180" t="e">
        <f t="shared" si="48"/>
        <v>#N/A</v>
      </c>
      <c r="AS88" s="486"/>
      <c r="AT88" s="180"/>
      <c r="AU88" s="166"/>
      <c r="AV88" s="265"/>
      <c r="AW88" s="180" t="e">
        <f t="shared" si="50"/>
        <v>#N/A</v>
      </c>
      <c r="AX88" s="486"/>
    </row>
    <row r="89" spans="2:50">
      <c r="B89" s="479"/>
      <c r="C89" s="180">
        <v>3</v>
      </c>
      <c r="D89" s="180" t="s">
        <v>361</v>
      </c>
      <c r="E89" s="180">
        <v>15</v>
      </c>
      <c r="F89" s="180">
        <v>1800</v>
      </c>
      <c r="G89" s="166">
        <v>120</v>
      </c>
      <c r="H89" s="460"/>
      <c r="I89" s="166">
        <f t="shared" si="52"/>
        <v>12</v>
      </c>
      <c r="J89" s="166">
        <f t="shared" si="52"/>
        <v>1778.8</v>
      </c>
      <c r="K89" s="265">
        <f t="shared" si="52"/>
        <v>148.23333333333332</v>
      </c>
      <c r="L89" s="460"/>
      <c r="M89" s="272">
        <f>RANK(K89, K$87:$K$101)</f>
        <v>3</v>
      </c>
      <c r="N89" s="462"/>
      <c r="O89" s="462"/>
      <c r="P89" s="166">
        <v>12</v>
      </c>
      <c r="Q89" s="166">
        <v>1762.8000000000006</v>
      </c>
      <c r="R89" s="166">
        <v>146.90000000000006</v>
      </c>
      <c r="S89" s="180">
        <f t="shared" si="53"/>
        <v>3</v>
      </c>
      <c r="T89" s="486"/>
      <c r="U89" s="166">
        <v>12</v>
      </c>
      <c r="V89" s="166">
        <v>1796.4000000000005</v>
      </c>
      <c r="W89" s="166">
        <v>149.70000000000005</v>
      </c>
      <c r="X89" s="180">
        <f t="shared" si="40"/>
        <v>3</v>
      </c>
      <c r="Y89" s="486"/>
      <c r="Z89" s="166">
        <v>12</v>
      </c>
      <c r="AA89" s="166">
        <v>1714.7999999999977</v>
      </c>
      <c r="AB89" s="166">
        <v>142.89999999999981</v>
      </c>
      <c r="AC89" s="180">
        <f t="shared" si="42"/>
        <v>3</v>
      </c>
      <c r="AD89" s="486"/>
      <c r="AE89" s="180">
        <v>12</v>
      </c>
      <c r="AF89" s="166">
        <v>1826.6666666666665</v>
      </c>
      <c r="AG89" s="265">
        <v>152.2222222222222</v>
      </c>
      <c r="AH89" s="180">
        <f t="shared" si="44"/>
        <v>3</v>
      </c>
      <c r="AI89" s="486"/>
      <c r="AJ89" s="180">
        <v>12</v>
      </c>
      <c r="AK89" s="166">
        <v>1793.3333333333333</v>
      </c>
      <c r="AL89" s="265">
        <v>149.44444444444443</v>
      </c>
      <c r="AM89" s="180">
        <f t="shared" si="46"/>
        <v>3</v>
      </c>
      <c r="AN89" s="486"/>
      <c r="AO89" s="180"/>
      <c r="AP89" s="166"/>
      <c r="AQ89" s="265"/>
      <c r="AR89" s="180" t="e">
        <f t="shared" si="48"/>
        <v>#N/A</v>
      </c>
      <c r="AS89" s="486"/>
      <c r="AT89" s="180"/>
      <c r="AU89" s="166"/>
      <c r="AV89" s="265"/>
      <c r="AW89" s="180" t="e">
        <f t="shared" si="50"/>
        <v>#N/A</v>
      </c>
      <c r="AX89" s="486"/>
    </row>
    <row r="90" spans="2:50">
      <c r="B90" s="479"/>
      <c r="C90" s="180">
        <v>4</v>
      </c>
      <c r="D90" s="180" t="s">
        <v>517</v>
      </c>
      <c r="E90" s="180">
        <v>5</v>
      </c>
      <c r="F90" s="180">
        <v>1500</v>
      </c>
      <c r="G90" s="166">
        <v>300</v>
      </c>
      <c r="H90" s="460"/>
      <c r="I90" s="166">
        <f t="shared" si="52"/>
        <v>6</v>
      </c>
      <c r="J90" s="166">
        <f t="shared" si="52"/>
        <v>1525.018518872434</v>
      </c>
      <c r="K90" s="265">
        <f t="shared" si="52"/>
        <v>254.16975314540565</v>
      </c>
      <c r="L90" s="460"/>
      <c r="M90" s="272">
        <f>RANK(K90, K$87:$K$101)</f>
        <v>2</v>
      </c>
      <c r="N90" s="462"/>
      <c r="O90" s="462"/>
      <c r="P90" s="166">
        <v>6</v>
      </c>
      <c r="Q90" s="166">
        <v>1526.400000000003</v>
      </c>
      <c r="R90" s="166">
        <v>254.40000000000052</v>
      </c>
      <c r="S90" s="180">
        <f t="shared" si="53"/>
        <v>2</v>
      </c>
      <c r="T90" s="486"/>
      <c r="U90" s="166">
        <v>6</v>
      </c>
      <c r="V90" s="166">
        <v>1488.4615384615392</v>
      </c>
      <c r="W90" s="166">
        <v>248.07692307692321</v>
      </c>
      <c r="X90" s="180">
        <f t="shared" si="40"/>
        <v>2</v>
      </c>
      <c r="Y90" s="486"/>
      <c r="Z90" s="166">
        <v>6</v>
      </c>
      <c r="AA90" s="166">
        <v>1495.2000000000005</v>
      </c>
      <c r="AB90" s="166">
        <v>249.20000000000007</v>
      </c>
      <c r="AC90" s="180">
        <f t="shared" si="42"/>
        <v>2</v>
      </c>
      <c r="AD90" s="486"/>
      <c r="AE90" s="180">
        <v>6</v>
      </c>
      <c r="AF90" s="166">
        <v>1552.173913043481</v>
      </c>
      <c r="AG90" s="265">
        <v>258.69565217391352</v>
      </c>
      <c r="AH90" s="180">
        <f t="shared" si="44"/>
        <v>2</v>
      </c>
      <c r="AI90" s="486"/>
      <c r="AJ90" s="180">
        <v>6</v>
      </c>
      <c r="AK90" s="166">
        <v>1562.8571428571454</v>
      </c>
      <c r="AL90" s="265">
        <v>260.47619047619088</v>
      </c>
      <c r="AM90" s="180">
        <f t="shared" si="46"/>
        <v>2</v>
      </c>
      <c r="AN90" s="486"/>
      <c r="AO90" s="180"/>
      <c r="AP90" s="166"/>
      <c r="AQ90" s="265"/>
      <c r="AR90" s="180" t="e">
        <f t="shared" si="48"/>
        <v>#N/A</v>
      </c>
      <c r="AS90" s="486"/>
      <c r="AT90" s="180"/>
      <c r="AU90" s="166"/>
      <c r="AV90" s="265"/>
      <c r="AW90" s="180" t="e">
        <f t="shared" si="50"/>
        <v>#N/A</v>
      </c>
      <c r="AX90" s="486"/>
    </row>
    <row r="91" spans="2:50">
      <c r="B91" s="479"/>
      <c r="C91" s="180">
        <v>5</v>
      </c>
      <c r="D91" s="180" t="s">
        <v>455</v>
      </c>
      <c r="E91" s="180">
        <v>5</v>
      </c>
      <c r="F91" s="180">
        <v>1500</v>
      </c>
      <c r="G91" s="166">
        <v>300</v>
      </c>
      <c r="H91" s="460"/>
      <c r="I91" s="166">
        <f t="shared" si="52"/>
        <v>5</v>
      </c>
      <c r="J91" s="166">
        <f t="shared" si="52"/>
        <v>1513.0186539480649</v>
      </c>
      <c r="K91" s="265">
        <f t="shared" si="52"/>
        <v>302.60373078961294</v>
      </c>
      <c r="L91" s="460"/>
      <c r="M91" s="272">
        <f>RANK(K91, K$87:$K$101)</f>
        <v>1</v>
      </c>
      <c r="N91" s="462"/>
      <c r="O91" s="462"/>
      <c r="P91" s="166">
        <v>5</v>
      </c>
      <c r="Q91" s="166">
        <v>1534.054054054056</v>
      </c>
      <c r="R91" s="166">
        <v>306.81081081081118</v>
      </c>
      <c r="S91" s="180">
        <f t="shared" si="53"/>
        <v>1</v>
      </c>
      <c r="T91" s="486"/>
      <c r="U91" s="166">
        <v>5</v>
      </c>
      <c r="V91" s="166">
        <v>1427.9999999999993</v>
      </c>
      <c r="W91" s="166">
        <v>285.59999999999985</v>
      </c>
      <c r="X91" s="180">
        <f t="shared" si="40"/>
        <v>1</v>
      </c>
      <c r="Y91" s="486"/>
      <c r="Z91" s="166">
        <v>5</v>
      </c>
      <c r="AA91" s="166">
        <v>1488.3333333333321</v>
      </c>
      <c r="AB91" s="166">
        <v>297.6666666666664</v>
      </c>
      <c r="AC91" s="180">
        <f t="shared" si="42"/>
        <v>1</v>
      </c>
      <c r="AD91" s="486"/>
      <c r="AE91" s="180">
        <v>5</v>
      </c>
      <c r="AF91" s="166">
        <v>1524.7058823529392</v>
      </c>
      <c r="AG91" s="265">
        <v>304.94117647058783</v>
      </c>
      <c r="AH91" s="180">
        <f t="shared" si="44"/>
        <v>1</v>
      </c>
      <c r="AI91" s="486"/>
      <c r="AJ91" s="180">
        <v>5</v>
      </c>
      <c r="AK91" s="166">
        <v>1589.999999999998</v>
      </c>
      <c r="AL91" s="265">
        <v>317.9999999999996</v>
      </c>
      <c r="AM91" s="180">
        <f t="shared" si="46"/>
        <v>1</v>
      </c>
      <c r="AN91" s="486"/>
      <c r="AO91" s="180"/>
      <c r="AP91" s="166"/>
      <c r="AQ91" s="265"/>
      <c r="AR91" s="180" t="e">
        <f t="shared" si="48"/>
        <v>#N/A</v>
      </c>
      <c r="AS91" s="486"/>
      <c r="AT91" s="180"/>
      <c r="AU91" s="166"/>
      <c r="AV91" s="265"/>
      <c r="AW91" s="180" t="e">
        <f t="shared" si="50"/>
        <v>#N/A</v>
      </c>
      <c r="AX91" s="486"/>
    </row>
    <row r="92" spans="2:50">
      <c r="B92" s="479"/>
      <c r="C92" s="180">
        <v>6</v>
      </c>
      <c r="D92" s="180"/>
      <c r="E92" s="180"/>
      <c r="F92" s="180"/>
      <c r="G92" s="166"/>
      <c r="H92" s="460"/>
      <c r="I92" s="166"/>
      <c r="J92" s="166"/>
      <c r="K92" s="265"/>
      <c r="L92" s="460"/>
      <c r="M92" s="272" t="e">
        <f>RANK(K92, K$87:$K$101)</f>
        <v>#N/A</v>
      </c>
      <c r="N92" s="462"/>
      <c r="O92" s="462"/>
      <c r="P92" s="166"/>
      <c r="Q92" s="166"/>
      <c r="R92" s="166"/>
      <c r="S92" s="180" t="e">
        <f t="shared" si="53"/>
        <v>#N/A</v>
      </c>
      <c r="T92" s="486"/>
      <c r="U92" s="166"/>
      <c r="V92" s="166"/>
      <c r="W92" s="166"/>
      <c r="X92" s="180" t="e">
        <f t="shared" si="40"/>
        <v>#N/A</v>
      </c>
      <c r="Y92" s="486"/>
      <c r="Z92" s="166"/>
      <c r="AA92" s="166"/>
      <c r="AB92" s="166"/>
      <c r="AC92" s="180" t="e">
        <f t="shared" si="42"/>
        <v>#N/A</v>
      </c>
      <c r="AD92" s="486"/>
      <c r="AE92" s="180"/>
      <c r="AF92" s="166"/>
      <c r="AG92" s="265"/>
      <c r="AH92" s="180" t="e">
        <f t="shared" si="44"/>
        <v>#N/A</v>
      </c>
      <c r="AI92" s="486"/>
      <c r="AJ92" s="180"/>
      <c r="AK92" s="166"/>
      <c r="AL92" s="265"/>
      <c r="AM92" s="180" t="e">
        <f t="shared" si="46"/>
        <v>#N/A</v>
      </c>
      <c r="AN92" s="486"/>
      <c r="AO92" s="180"/>
      <c r="AP92" s="166"/>
      <c r="AQ92" s="265"/>
      <c r="AR92" s="180" t="e">
        <f t="shared" si="48"/>
        <v>#N/A</v>
      </c>
      <c r="AS92" s="486"/>
      <c r="AT92" s="180"/>
      <c r="AU92" s="166"/>
      <c r="AV92" s="265"/>
      <c r="AW92" s="180" t="e">
        <f t="shared" si="50"/>
        <v>#N/A</v>
      </c>
      <c r="AX92" s="486"/>
    </row>
    <row r="93" spans="2:50">
      <c r="B93" s="479"/>
      <c r="C93" s="180">
        <v>7</v>
      </c>
      <c r="D93" s="180"/>
      <c r="E93" s="180"/>
      <c r="F93" s="180"/>
      <c r="G93" s="166"/>
      <c r="H93" s="460"/>
      <c r="I93" s="166"/>
      <c r="J93" s="166"/>
      <c r="K93" s="265"/>
      <c r="L93" s="460"/>
      <c r="M93" s="272" t="e">
        <f>RANK(K93, K$87:$K$101)</f>
        <v>#N/A</v>
      </c>
      <c r="N93" s="462"/>
      <c r="O93" s="462"/>
      <c r="P93" s="180"/>
      <c r="Q93" s="166"/>
      <c r="R93" s="265"/>
      <c r="S93" s="180" t="e">
        <f t="shared" si="53"/>
        <v>#N/A</v>
      </c>
      <c r="T93" s="486"/>
      <c r="U93" s="180"/>
      <c r="V93" s="166"/>
      <c r="W93" s="265"/>
      <c r="X93" s="180" t="e">
        <f t="shared" si="40"/>
        <v>#N/A</v>
      </c>
      <c r="Y93" s="486"/>
      <c r="Z93" s="180"/>
      <c r="AA93" s="166"/>
      <c r="AB93" s="265"/>
      <c r="AC93" s="180" t="e">
        <f t="shared" si="42"/>
        <v>#N/A</v>
      </c>
      <c r="AD93" s="486"/>
      <c r="AE93" s="180"/>
      <c r="AF93" s="166"/>
      <c r="AG93" s="265"/>
      <c r="AH93" s="180" t="e">
        <f t="shared" si="44"/>
        <v>#N/A</v>
      </c>
      <c r="AI93" s="486"/>
      <c r="AJ93" s="180"/>
      <c r="AK93" s="166"/>
      <c r="AL93" s="265"/>
      <c r="AM93" s="180" t="e">
        <f t="shared" si="46"/>
        <v>#N/A</v>
      </c>
      <c r="AN93" s="486"/>
      <c r="AO93" s="180"/>
      <c r="AP93" s="166"/>
      <c r="AQ93" s="265"/>
      <c r="AR93" s="180" t="e">
        <f t="shared" si="48"/>
        <v>#N/A</v>
      </c>
      <c r="AS93" s="486"/>
      <c r="AT93" s="180"/>
      <c r="AU93" s="166"/>
      <c r="AV93" s="265"/>
      <c r="AW93" s="180" t="e">
        <f t="shared" si="50"/>
        <v>#N/A</v>
      </c>
      <c r="AX93" s="486"/>
    </row>
    <row r="94" spans="2:50">
      <c r="B94" s="479"/>
      <c r="C94" s="180">
        <v>8</v>
      </c>
      <c r="D94" s="180"/>
      <c r="E94" s="180"/>
      <c r="F94" s="180"/>
      <c r="G94" s="166"/>
      <c r="H94" s="460"/>
      <c r="I94" s="166"/>
      <c r="J94" s="166"/>
      <c r="K94" s="265"/>
      <c r="L94" s="460"/>
      <c r="M94" s="272" t="e">
        <f>RANK(K94, K$87:$K$101)</f>
        <v>#N/A</v>
      </c>
      <c r="N94" s="462"/>
      <c r="O94" s="462"/>
      <c r="P94" s="180"/>
      <c r="Q94" s="166"/>
      <c r="R94" s="265"/>
      <c r="S94" s="180" t="e">
        <f t="shared" si="53"/>
        <v>#N/A</v>
      </c>
      <c r="T94" s="486"/>
      <c r="U94" s="180"/>
      <c r="V94" s="166"/>
      <c r="W94" s="265"/>
      <c r="X94" s="180" t="e">
        <f t="shared" si="40"/>
        <v>#N/A</v>
      </c>
      <c r="Y94" s="486"/>
      <c r="Z94" s="180"/>
      <c r="AA94" s="166"/>
      <c r="AB94" s="265"/>
      <c r="AC94" s="180" t="e">
        <f t="shared" si="42"/>
        <v>#N/A</v>
      </c>
      <c r="AD94" s="486"/>
      <c r="AE94" s="180"/>
      <c r="AF94" s="166"/>
      <c r="AG94" s="265"/>
      <c r="AH94" s="180" t="e">
        <f t="shared" si="44"/>
        <v>#N/A</v>
      </c>
      <c r="AI94" s="486"/>
      <c r="AJ94" s="180"/>
      <c r="AK94" s="166"/>
      <c r="AL94" s="265"/>
      <c r="AM94" s="180" t="e">
        <f t="shared" si="46"/>
        <v>#N/A</v>
      </c>
      <c r="AN94" s="486"/>
      <c r="AO94" s="180"/>
      <c r="AP94" s="166"/>
      <c r="AQ94" s="265"/>
      <c r="AR94" s="180" t="e">
        <f t="shared" si="48"/>
        <v>#N/A</v>
      </c>
      <c r="AS94" s="486"/>
      <c r="AT94" s="180"/>
      <c r="AU94" s="166"/>
      <c r="AV94" s="265"/>
      <c r="AW94" s="180" t="e">
        <f t="shared" si="50"/>
        <v>#N/A</v>
      </c>
      <c r="AX94" s="486"/>
    </row>
    <row r="95" spans="2:50">
      <c r="B95" s="479"/>
      <c r="C95" s="180">
        <v>9</v>
      </c>
      <c r="D95" s="180"/>
      <c r="E95" s="180"/>
      <c r="F95" s="180"/>
      <c r="G95" s="166"/>
      <c r="H95" s="460"/>
      <c r="I95" s="166"/>
      <c r="J95" s="166"/>
      <c r="K95" s="265"/>
      <c r="L95" s="460"/>
      <c r="M95" s="272" t="e">
        <f>RANK(K95, K$87:$K$101)</f>
        <v>#N/A</v>
      </c>
      <c r="N95" s="462"/>
      <c r="O95" s="462"/>
      <c r="P95" s="180"/>
      <c r="Q95" s="166"/>
      <c r="R95" s="265"/>
      <c r="S95" s="180" t="e">
        <f t="shared" si="53"/>
        <v>#N/A</v>
      </c>
      <c r="T95" s="486"/>
      <c r="U95" s="180"/>
      <c r="V95" s="166"/>
      <c r="W95" s="265"/>
      <c r="X95" s="180" t="e">
        <f t="shared" si="40"/>
        <v>#N/A</v>
      </c>
      <c r="Y95" s="486"/>
      <c r="Z95" s="180"/>
      <c r="AA95" s="166"/>
      <c r="AB95" s="265"/>
      <c r="AC95" s="180" t="e">
        <f t="shared" si="42"/>
        <v>#N/A</v>
      </c>
      <c r="AD95" s="486"/>
      <c r="AE95" s="180"/>
      <c r="AF95" s="166"/>
      <c r="AG95" s="265"/>
      <c r="AH95" s="180" t="e">
        <f t="shared" si="44"/>
        <v>#N/A</v>
      </c>
      <c r="AI95" s="486"/>
      <c r="AJ95" s="180"/>
      <c r="AK95" s="166"/>
      <c r="AL95" s="265"/>
      <c r="AM95" s="180" t="e">
        <f t="shared" si="46"/>
        <v>#N/A</v>
      </c>
      <c r="AN95" s="486"/>
      <c r="AO95" s="180"/>
      <c r="AP95" s="166"/>
      <c r="AQ95" s="265"/>
      <c r="AR95" s="180" t="e">
        <f t="shared" si="48"/>
        <v>#N/A</v>
      </c>
      <c r="AS95" s="486"/>
      <c r="AT95" s="180"/>
      <c r="AU95" s="166"/>
      <c r="AV95" s="265"/>
      <c r="AW95" s="180" t="e">
        <f t="shared" si="50"/>
        <v>#N/A</v>
      </c>
      <c r="AX95" s="486"/>
    </row>
    <row r="96" spans="2:50">
      <c r="B96" s="479"/>
      <c r="C96" s="180">
        <v>10</v>
      </c>
      <c r="D96" s="180"/>
      <c r="E96" s="180"/>
      <c r="F96" s="180"/>
      <c r="G96" s="166"/>
      <c r="H96" s="460"/>
      <c r="I96" s="166"/>
      <c r="J96" s="166"/>
      <c r="K96" s="265"/>
      <c r="L96" s="460"/>
      <c r="M96" s="272" t="e">
        <f>RANK(K96, K$87:$K$101)</f>
        <v>#N/A</v>
      </c>
      <c r="N96" s="462"/>
      <c r="O96" s="462"/>
      <c r="P96" s="180"/>
      <c r="Q96" s="166"/>
      <c r="R96" s="265"/>
      <c r="S96" s="180" t="e">
        <f t="shared" si="53"/>
        <v>#N/A</v>
      </c>
      <c r="T96" s="486"/>
      <c r="U96" s="180"/>
      <c r="V96" s="166"/>
      <c r="W96" s="265"/>
      <c r="X96" s="180" t="e">
        <f t="shared" si="40"/>
        <v>#N/A</v>
      </c>
      <c r="Y96" s="486"/>
      <c r="Z96" s="180"/>
      <c r="AA96" s="166"/>
      <c r="AB96" s="265"/>
      <c r="AC96" s="180" t="e">
        <f t="shared" si="42"/>
        <v>#N/A</v>
      </c>
      <c r="AD96" s="486"/>
      <c r="AE96" s="180"/>
      <c r="AF96" s="166"/>
      <c r="AG96" s="265"/>
      <c r="AH96" s="180" t="e">
        <f t="shared" si="44"/>
        <v>#N/A</v>
      </c>
      <c r="AI96" s="486"/>
      <c r="AJ96" s="180"/>
      <c r="AK96" s="166"/>
      <c r="AL96" s="265"/>
      <c r="AM96" s="180" t="e">
        <f t="shared" si="46"/>
        <v>#N/A</v>
      </c>
      <c r="AN96" s="486"/>
      <c r="AO96" s="180"/>
      <c r="AP96" s="166"/>
      <c r="AQ96" s="265"/>
      <c r="AR96" s="180" t="e">
        <f t="shared" si="48"/>
        <v>#N/A</v>
      </c>
      <c r="AS96" s="486"/>
      <c r="AT96" s="180"/>
      <c r="AU96" s="166"/>
      <c r="AV96" s="265"/>
      <c r="AW96" s="180" t="e">
        <f t="shared" si="50"/>
        <v>#N/A</v>
      </c>
      <c r="AX96" s="486"/>
    </row>
    <row r="97" spans="2:50">
      <c r="B97" s="479"/>
      <c r="C97" s="180">
        <v>11</v>
      </c>
      <c r="D97" s="180"/>
      <c r="E97" s="180"/>
      <c r="F97" s="180"/>
      <c r="G97" s="166"/>
      <c r="H97" s="460"/>
      <c r="I97" s="180"/>
      <c r="J97" s="180"/>
      <c r="K97" s="180"/>
      <c r="L97" s="460"/>
      <c r="M97" s="272" t="e">
        <f>RANK(K97, K$87:$K$101)</f>
        <v>#N/A</v>
      </c>
      <c r="N97" s="462"/>
      <c r="O97" s="462"/>
      <c r="P97" s="180"/>
      <c r="Q97" s="180"/>
      <c r="R97" s="180"/>
      <c r="S97" s="180" t="e">
        <f t="shared" si="53"/>
        <v>#N/A</v>
      </c>
      <c r="T97" s="486"/>
      <c r="U97" s="180"/>
      <c r="V97" s="180"/>
      <c r="W97" s="180"/>
      <c r="X97" s="180" t="e">
        <f t="shared" si="40"/>
        <v>#N/A</v>
      </c>
      <c r="Y97" s="486"/>
      <c r="Z97" s="180"/>
      <c r="AA97" s="180"/>
      <c r="AB97" s="180"/>
      <c r="AC97" s="180" t="e">
        <f t="shared" si="42"/>
        <v>#N/A</v>
      </c>
      <c r="AD97" s="486"/>
      <c r="AE97" s="180"/>
      <c r="AF97" s="180"/>
      <c r="AG97" s="180"/>
      <c r="AH97" s="180" t="e">
        <f t="shared" si="44"/>
        <v>#N/A</v>
      </c>
      <c r="AI97" s="486"/>
      <c r="AJ97" s="180"/>
      <c r="AK97" s="180"/>
      <c r="AL97" s="180"/>
      <c r="AM97" s="180" t="e">
        <f t="shared" si="46"/>
        <v>#N/A</v>
      </c>
      <c r="AN97" s="486"/>
      <c r="AO97" s="180"/>
      <c r="AP97" s="180"/>
      <c r="AQ97" s="180"/>
      <c r="AR97" s="180" t="e">
        <f t="shared" si="48"/>
        <v>#N/A</v>
      </c>
      <c r="AS97" s="486"/>
      <c r="AT97" s="180"/>
      <c r="AU97" s="180"/>
      <c r="AV97" s="180"/>
      <c r="AW97" s="180" t="e">
        <f t="shared" si="50"/>
        <v>#N/A</v>
      </c>
      <c r="AX97" s="486"/>
    </row>
    <row r="98" spans="2:50">
      <c r="B98" s="479"/>
      <c r="C98" s="180">
        <v>12</v>
      </c>
      <c r="D98" s="180"/>
      <c r="E98" s="180"/>
      <c r="F98" s="180"/>
      <c r="G98" s="166"/>
      <c r="H98" s="460"/>
      <c r="I98" s="180"/>
      <c r="J98" s="180"/>
      <c r="K98" s="180"/>
      <c r="L98" s="460"/>
      <c r="M98" s="272" t="e">
        <f>RANK(K98, K$87:$K$101)</f>
        <v>#N/A</v>
      </c>
      <c r="N98" s="462"/>
      <c r="O98" s="462"/>
      <c r="P98" s="180"/>
      <c r="Q98" s="180"/>
      <c r="R98" s="180"/>
      <c r="S98" s="180" t="e">
        <f t="shared" si="53"/>
        <v>#N/A</v>
      </c>
      <c r="T98" s="486"/>
      <c r="U98" s="180"/>
      <c r="V98" s="180"/>
      <c r="W98" s="180"/>
      <c r="X98" s="180" t="e">
        <f t="shared" si="40"/>
        <v>#N/A</v>
      </c>
      <c r="Y98" s="486"/>
      <c r="Z98" s="180"/>
      <c r="AA98" s="180"/>
      <c r="AB98" s="180"/>
      <c r="AC98" s="180" t="e">
        <f t="shared" si="42"/>
        <v>#N/A</v>
      </c>
      <c r="AD98" s="486"/>
      <c r="AE98" s="180"/>
      <c r="AF98" s="180"/>
      <c r="AG98" s="180"/>
      <c r="AH98" s="180" t="e">
        <f t="shared" si="44"/>
        <v>#N/A</v>
      </c>
      <c r="AI98" s="486"/>
      <c r="AJ98" s="180"/>
      <c r="AK98" s="180"/>
      <c r="AL98" s="180"/>
      <c r="AM98" s="180" t="e">
        <f t="shared" si="46"/>
        <v>#N/A</v>
      </c>
      <c r="AN98" s="486"/>
      <c r="AO98" s="180"/>
      <c r="AP98" s="180"/>
      <c r="AQ98" s="180"/>
      <c r="AR98" s="180" t="e">
        <f t="shared" si="48"/>
        <v>#N/A</v>
      </c>
      <c r="AS98" s="486"/>
      <c r="AT98" s="180"/>
      <c r="AU98" s="180"/>
      <c r="AV98" s="180"/>
      <c r="AW98" s="180" t="e">
        <f t="shared" si="50"/>
        <v>#N/A</v>
      </c>
      <c r="AX98" s="486"/>
    </row>
    <row r="99" spans="2:50">
      <c r="B99" s="479"/>
      <c r="C99" s="180">
        <v>13</v>
      </c>
      <c r="D99" s="180"/>
      <c r="E99" s="180"/>
      <c r="F99" s="180"/>
      <c r="G99" s="166"/>
      <c r="H99" s="460"/>
      <c r="I99" s="180"/>
      <c r="J99" s="180"/>
      <c r="K99" s="180"/>
      <c r="L99" s="460"/>
      <c r="M99" s="272" t="e">
        <f>RANK(K99, K$87:$K$101)</f>
        <v>#N/A</v>
      </c>
      <c r="N99" s="462"/>
      <c r="O99" s="462"/>
      <c r="P99" s="180"/>
      <c r="Q99" s="180"/>
      <c r="R99" s="180"/>
      <c r="S99" s="180" t="e">
        <f t="shared" si="53"/>
        <v>#N/A</v>
      </c>
      <c r="T99" s="486"/>
      <c r="U99" s="180"/>
      <c r="V99" s="180"/>
      <c r="W99" s="180"/>
      <c r="X99" s="180" t="e">
        <f t="shared" si="40"/>
        <v>#N/A</v>
      </c>
      <c r="Y99" s="486"/>
      <c r="Z99" s="180"/>
      <c r="AA99" s="180"/>
      <c r="AB99" s="180"/>
      <c r="AC99" s="180" t="e">
        <f t="shared" si="42"/>
        <v>#N/A</v>
      </c>
      <c r="AD99" s="486"/>
      <c r="AE99" s="180"/>
      <c r="AF99" s="180"/>
      <c r="AG99" s="180"/>
      <c r="AH99" s="180" t="e">
        <f t="shared" si="44"/>
        <v>#N/A</v>
      </c>
      <c r="AI99" s="486"/>
      <c r="AJ99" s="180"/>
      <c r="AK99" s="180"/>
      <c r="AL99" s="180"/>
      <c r="AM99" s="180" t="e">
        <f t="shared" si="46"/>
        <v>#N/A</v>
      </c>
      <c r="AN99" s="486"/>
      <c r="AO99" s="180"/>
      <c r="AP99" s="180"/>
      <c r="AQ99" s="180"/>
      <c r="AR99" s="180" t="e">
        <f t="shared" si="48"/>
        <v>#N/A</v>
      </c>
      <c r="AS99" s="486"/>
      <c r="AT99" s="180"/>
      <c r="AU99" s="180"/>
      <c r="AV99" s="180"/>
      <c r="AW99" s="180" t="e">
        <f t="shared" si="50"/>
        <v>#N/A</v>
      </c>
      <c r="AX99" s="486"/>
    </row>
    <row r="100" spans="2:50">
      <c r="B100" s="479"/>
      <c r="C100" s="180">
        <v>14</v>
      </c>
      <c r="D100" s="180"/>
      <c r="E100" s="180"/>
      <c r="F100" s="180"/>
      <c r="G100" s="166"/>
      <c r="H100" s="460"/>
      <c r="I100" s="180"/>
      <c r="J100" s="180"/>
      <c r="K100" s="180"/>
      <c r="L100" s="460"/>
      <c r="M100" s="272" t="e">
        <f>RANK(K100, K$87:$K$101)</f>
        <v>#N/A</v>
      </c>
      <c r="N100" s="462"/>
      <c r="O100" s="462"/>
      <c r="P100" s="180"/>
      <c r="Q100" s="180"/>
      <c r="R100" s="180"/>
      <c r="S100" s="180" t="e">
        <f t="shared" si="53"/>
        <v>#N/A</v>
      </c>
      <c r="T100" s="486"/>
      <c r="U100" s="180"/>
      <c r="V100" s="180"/>
      <c r="W100" s="180"/>
      <c r="X100" s="180" t="e">
        <f t="shared" si="40"/>
        <v>#N/A</v>
      </c>
      <c r="Y100" s="486"/>
      <c r="Z100" s="180"/>
      <c r="AA100" s="180"/>
      <c r="AB100" s="180"/>
      <c r="AC100" s="180" t="e">
        <f t="shared" si="42"/>
        <v>#N/A</v>
      </c>
      <c r="AD100" s="486"/>
      <c r="AE100" s="180"/>
      <c r="AF100" s="180"/>
      <c r="AG100" s="180"/>
      <c r="AH100" s="180" t="e">
        <f t="shared" si="44"/>
        <v>#N/A</v>
      </c>
      <c r="AI100" s="486"/>
      <c r="AJ100" s="180"/>
      <c r="AK100" s="180"/>
      <c r="AL100" s="180"/>
      <c r="AM100" s="180" t="e">
        <f t="shared" si="46"/>
        <v>#N/A</v>
      </c>
      <c r="AN100" s="486"/>
      <c r="AO100" s="180"/>
      <c r="AP100" s="180"/>
      <c r="AQ100" s="180"/>
      <c r="AR100" s="180" t="e">
        <f t="shared" si="48"/>
        <v>#N/A</v>
      </c>
      <c r="AS100" s="486"/>
      <c r="AT100" s="180"/>
      <c r="AU100" s="180"/>
      <c r="AV100" s="180"/>
      <c r="AW100" s="180" t="e">
        <f t="shared" si="50"/>
        <v>#N/A</v>
      </c>
      <c r="AX100" s="486"/>
    </row>
    <row r="101" spans="2:50">
      <c r="B101" s="479"/>
      <c r="C101" s="180">
        <v>15</v>
      </c>
      <c r="D101" s="180"/>
      <c r="E101" s="180"/>
      <c r="F101" s="180"/>
      <c r="G101" s="180"/>
      <c r="H101" s="461"/>
      <c r="I101" s="180"/>
      <c r="J101" s="180"/>
      <c r="K101" s="180"/>
      <c r="L101" s="461"/>
      <c r="M101" s="166" t="e">
        <f>RANK(K101, K$87:$K$101)</f>
        <v>#N/A</v>
      </c>
      <c r="N101" s="462"/>
      <c r="O101" s="462"/>
      <c r="P101" s="180"/>
      <c r="Q101" s="180"/>
      <c r="R101" s="180"/>
      <c r="S101" s="180" t="e">
        <f t="shared" si="53"/>
        <v>#N/A</v>
      </c>
      <c r="T101" s="486"/>
      <c r="U101" s="180"/>
      <c r="V101" s="180"/>
      <c r="W101" s="180"/>
      <c r="X101" s="180" t="e">
        <f t="shared" si="40"/>
        <v>#N/A</v>
      </c>
      <c r="Y101" s="486"/>
      <c r="Z101" s="180"/>
      <c r="AA101" s="180"/>
      <c r="AB101" s="180"/>
      <c r="AC101" s="180" t="e">
        <f t="shared" si="42"/>
        <v>#N/A</v>
      </c>
      <c r="AD101" s="486"/>
      <c r="AE101" s="180"/>
      <c r="AF101" s="180"/>
      <c r="AG101" s="180"/>
      <c r="AH101" s="180" t="e">
        <f t="shared" si="44"/>
        <v>#N/A</v>
      </c>
      <c r="AI101" s="486"/>
      <c r="AJ101" s="180"/>
      <c r="AK101" s="180"/>
      <c r="AL101" s="180"/>
      <c r="AM101" s="180" t="e">
        <f t="shared" si="46"/>
        <v>#N/A</v>
      </c>
      <c r="AN101" s="486"/>
      <c r="AO101" s="180"/>
      <c r="AP101" s="180"/>
      <c r="AQ101" s="180"/>
      <c r="AR101" s="180" t="e">
        <f t="shared" si="48"/>
        <v>#N/A</v>
      </c>
      <c r="AS101" s="486"/>
      <c r="AT101" s="180"/>
      <c r="AU101" s="180"/>
      <c r="AV101" s="180"/>
      <c r="AW101" s="180" t="e">
        <f t="shared" si="50"/>
        <v>#N/A</v>
      </c>
      <c r="AX101" s="486"/>
    </row>
    <row r="102" spans="2:50" ht="15.75">
      <c r="B102" s="480" t="s">
        <v>721</v>
      </c>
      <c r="C102" s="481"/>
      <c r="D102" s="481"/>
      <c r="E102" s="481"/>
      <c r="F102" s="481"/>
      <c r="G102" s="481"/>
      <c r="H102" s="481"/>
      <c r="I102" s="184"/>
      <c r="J102" s="184"/>
      <c r="K102" s="184"/>
      <c r="L102" s="184"/>
      <c r="M102" s="183"/>
      <c r="N102" s="469" t="s">
        <v>722</v>
      </c>
      <c r="O102" s="469" t="s">
        <v>723</v>
      </c>
      <c r="P102" s="478">
        <f>P82+7</f>
        <v>46084</v>
      </c>
      <c r="Q102" s="479"/>
      <c r="R102" s="479"/>
      <c r="S102" s="479"/>
      <c r="T102" s="479"/>
      <c r="U102" s="475">
        <f>P102+1</f>
        <v>46085</v>
      </c>
      <c r="V102" s="476"/>
      <c r="W102" s="476"/>
      <c r="X102" s="476"/>
      <c r="Y102" s="477"/>
      <c r="Z102" s="475">
        <f>U102+1</f>
        <v>46086</v>
      </c>
      <c r="AA102" s="476"/>
      <c r="AB102" s="476"/>
      <c r="AC102" s="476"/>
      <c r="AD102" s="477"/>
      <c r="AE102" s="475">
        <f>Z102+1</f>
        <v>46087</v>
      </c>
      <c r="AF102" s="476"/>
      <c r="AG102" s="476"/>
      <c r="AH102" s="476"/>
      <c r="AI102" s="477"/>
      <c r="AJ102" s="475">
        <f>AE102+1</f>
        <v>46088</v>
      </c>
      <c r="AK102" s="476"/>
      <c r="AL102" s="476"/>
      <c r="AM102" s="476"/>
      <c r="AN102" s="477"/>
      <c r="AO102" s="475">
        <f>AJ102+1</f>
        <v>46089</v>
      </c>
      <c r="AP102" s="476"/>
      <c r="AQ102" s="476"/>
      <c r="AR102" s="476"/>
      <c r="AS102" s="477"/>
      <c r="AT102" s="475">
        <f>AO102+1</f>
        <v>46090</v>
      </c>
      <c r="AU102" s="476"/>
      <c r="AV102" s="476"/>
      <c r="AW102" s="476"/>
      <c r="AX102" s="477"/>
    </row>
    <row r="103" spans="2:50" ht="15.75">
      <c r="B103" s="482"/>
      <c r="C103" s="482"/>
      <c r="D103" s="482"/>
      <c r="E103" s="482"/>
      <c r="F103" s="482"/>
      <c r="G103" s="482"/>
      <c r="H103" s="482"/>
      <c r="I103" s="182"/>
      <c r="J103" s="182"/>
      <c r="K103" s="182"/>
      <c r="L103" s="182"/>
      <c r="M103" s="179"/>
      <c r="N103" s="471"/>
      <c r="O103" s="471"/>
      <c r="P103" s="478" t="s">
        <v>724</v>
      </c>
      <c r="Q103" s="479"/>
      <c r="R103" s="479"/>
      <c r="S103" s="479"/>
      <c r="T103" s="479"/>
      <c r="U103" s="478" t="s">
        <v>725</v>
      </c>
      <c r="V103" s="479"/>
      <c r="W103" s="479"/>
      <c r="X103" s="479"/>
      <c r="Y103" s="479"/>
      <c r="Z103" s="478" t="s">
        <v>726</v>
      </c>
      <c r="AA103" s="479"/>
      <c r="AB103" s="479"/>
      <c r="AC103" s="479"/>
      <c r="AD103" s="479"/>
      <c r="AE103" s="478" t="s">
        <v>727</v>
      </c>
      <c r="AF103" s="479"/>
      <c r="AG103" s="479"/>
      <c r="AH103" s="479"/>
      <c r="AI103" s="479"/>
      <c r="AJ103" s="478" t="s">
        <v>728</v>
      </c>
      <c r="AK103" s="479"/>
      <c r="AL103" s="479"/>
      <c r="AM103" s="479"/>
      <c r="AN103" s="479"/>
      <c r="AO103" s="478" t="s">
        <v>729</v>
      </c>
      <c r="AP103" s="479"/>
      <c r="AQ103" s="479"/>
      <c r="AR103" s="479"/>
      <c r="AS103" s="479"/>
      <c r="AT103" s="478" t="s">
        <v>730</v>
      </c>
      <c r="AU103" s="479"/>
      <c r="AV103" s="479"/>
      <c r="AW103" s="479"/>
      <c r="AX103" s="479"/>
    </row>
    <row r="104" spans="2:50">
      <c r="B104" s="462" t="s">
        <v>731</v>
      </c>
      <c r="C104" s="462" t="s">
        <v>732</v>
      </c>
      <c r="D104" s="462"/>
      <c r="E104" s="462" t="s">
        <v>733</v>
      </c>
      <c r="F104" s="462"/>
      <c r="G104" s="462"/>
      <c r="H104" s="463" t="s">
        <v>734</v>
      </c>
      <c r="I104" s="462" t="s">
        <v>735</v>
      </c>
      <c r="J104" s="462"/>
      <c r="K104" s="462"/>
      <c r="L104" s="463" t="s">
        <v>734</v>
      </c>
      <c r="M104" s="469" t="s">
        <v>736</v>
      </c>
      <c r="N104" s="462"/>
      <c r="O104" s="462" t="s">
        <v>737</v>
      </c>
      <c r="P104" s="466" t="s">
        <v>738</v>
      </c>
      <c r="Q104" s="467"/>
      <c r="R104" s="467"/>
      <c r="S104" s="468"/>
      <c r="T104" s="462" t="s">
        <v>734</v>
      </c>
      <c r="U104" s="466" t="s">
        <v>738</v>
      </c>
      <c r="V104" s="467"/>
      <c r="W104" s="467"/>
      <c r="X104" s="468"/>
      <c r="Y104" s="462" t="s">
        <v>734</v>
      </c>
      <c r="Z104" s="466" t="s">
        <v>738</v>
      </c>
      <c r="AA104" s="467"/>
      <c r="AB104" s="467"/>
      <c r="AC104" s="468"/>
      <c r="AD104" s="462" t="s">
        <v>734</v>
      </c>
      <c r="AE104" s="466" t="s">
        <v>738</v>
      </c>
      <c r="AF104" s="467"/>
      <c r="AG104" s="467"/>
      <c r="AH104" s="468"/>
      <c r="AI104" s="462" t="s">
        <v>734</v>
      </c>
      <c r="AJ104" s="466" t="s">
        <v>738</v>
      </c>
      <c r="AK104" s="467"/>
      <c r="AL104" s="467"/>
      <c r="AM104" s="468"/>
      <c r="AN104" s="462" t="s">
        <v>734</v>
      </c>
      <c r="AO104" s="466" t="s">
        <v>738</v>
      </c>
      <c r="AP104" s="467"/>
      <c r="AQ104" s="467"/>
      <c r="AR104" s="468"/>
      <c r="AS104" s="462" t="s">
        <v>734</v>
      </c>
      <c r="AT104" s="466" t="s">
        <v>738</v>
      </c>
      <c r="AU104" s="467"/>
      <c r="AV104" s="467"/>
      <c r="AW104" s="468"/>
      <c r="AX104" s="462" t="s">
        <v>734</v>
      </c>
    </row>
    <row r="105" spans="2:50">
      <c r="B105" s="462"/>
      <c r="C105" s="462"/>
      <c r="D105" s="462"/>
      <c r="E105" s="462" t="s">
        <v>739</v>
      </c>
      <c r="F105" s="462"/>
      <c r="G105" s="462"/>
      <c r="H105" s="464"/>
      <c r="I105" s="462" t="s">
        <v>739</v>
      </c>
      <c r="J105" s="462"/>
      <c r="K105" s="462"/>
      <c r="L105" s="464"/>
      <c r="M105" s="470"/>
      <c r="N105" s="462"/>
      <c r="O105" s="462"/>
      <c r="P105" s="466" t="s">
        <v>740</v>
      </c>
      <c r="Q105" s="467"/>
      <c r="R105" s="467"/>
      <c r="S105" s="468"/>
      <c r="T105" s="462"/>
      <c r="U105" s="466" t="s">
        <v>740</v>
      </c>
      <c r="V105" s="467"/>
      <c r="W105" s="467"/>
      <c r="X105" s="468"/>
      <c r="Y105" s="462"/>
      <c r="Z105" s="466" t="s">
        <v>740</v>
      </c>
      <c r="AA105" s="467"/>
      <c r="AB105" s="467"/>
      <c r="AC105" s="468"/>
      <c r="AD105" s="462"/>
      <c r="AE105" s="466" t="s">
        <v>740</v>
      </c>
      <c r="AF105" s="467"/>
      <c r="AG105" s="467"/>
      <c r="AH105" s="468"/>
      <c r="AI105" s="462"/>
      <c r="AJ105" s="466" t="s">
        <v>740</v>
      </c>
      <c r="AK105" s="467"/>
      <c r="AL105" s="467"/>
      <c r="AM105" s="468"/>
      <c r="AN105" s="462"/>
      <c r="AO105" s="466" t="s">
        <v>740</v>
      </c>
      <c r="AP105" s="467"/>
      <c r="AQ105" s="467"/>
      <c r="AR105" s="468"/>
      <c r="AS105" s="462"/>
      <c r="AT105" s="466" t="s">
        <v>740</v>
      </c>
      <c r="AU105" s="467"/>
      <c r="AV105" s="467"/>
      <c r="AW105" s="468"/>
      <c r="AX105" s="462"/>
    </row>
    <row r="106" spans="2:50">
      <c r="B106" s="462"/>
      <c r="C106" s="462"/>
      <c r="D106" s="462"/>
      <c r="E106" s="264" t="s">
        <v>741</v>
      </c>
      <c r="F106" s="264" t="s">
        <v>742</v>
      </c>
      <c r="G106" s="264" t="s">
        <v>743</v>
      </c>
      <c r="H106" s="465"/>
      <c r="I106" s="264" t="s">
        <v>741</v>
      </c>
      <c r="J106" s="264" t="s">
        <v>742</v>
      </c>
      <c r="K106" s="264" t="s">
        <v>743</v>
      </c>
      <c r="L106" s="465"/>
      <c r="M106" s="471"/>
      <c r="N106" s="462"/>
      <c r="O106" s="462"/>
      <c r="P106" s="264" t="s">
        <v>741</v>
      </c>
      <c r="Q106" s="264" t="s">
        <v>742</v>
      </c>
      <c r="R106" s="264" t="s">
        <v>743</v>
      </c>
      <c r="S106" s="264" t="s">
        <v>736</v>
      </c>
      <c r="T106" s="462"/>
      <c r="U106" s="264" t="s">
        <v>741</v>
      </c>
      <c r="V106" s="264" t="s">
        <v>742</v>
      </c>
      <c r="W106" s="264" t="s">
        <v>743</v>
      </c>
      <c r="X106" s="264" t="s">
        <v>736</v>
      </c>
      <c r="Y106" s="462"/>
      <c r="Z106" s="264" t="s">
        <v>741</v>
      </c>
      <c r="AA106" s="264" t="s">
        <v>742</v>
      </c>
      <c r="AB106" s="264" t="s">
        <v>743</v>
      </c>
      <c r="AC106" s="264" t="s">
        <v>736</v>
      </c>
      <c r="AD106" s="462"/>
      <c r="AE106" s="264" t="s">
        <v>741</v>
      </c>
      <c r="AF106" s="264" t="s">
        <v>742</v>
      </c>
      <c r="AG106" s="264" t="s">
        <v>743</v>
      </c>
      <c r="AH106" s="264" t="s">
        <v>736</v>
      </c>
      <c r="AI106" s="462"/>
      <c r="AJ106" s="264" t="s">
        <v>741</v>
      </c>
      <c r="AK106" s="264" t="s">
        <v>742</v>
      </c>
      <c r="AL106" s="264" t="s">
        <v>743</v>
      </c>
      <c r="AM106" s="264" t="s">
        <v>736</v>
      </c>
      <c r="AN106" s="462"/>
      <c r="AO106" s="264" t="s">
        <v>741</v>
      </c>
      <c r="AP106" s="264" t="s">
        <v>742</v>
      </c>
      <c r="AQ106" s="264" t="s">
        <v>743</v>
      </c>
      <c r="AR106" s="264" t="s">
        <v>736</v>
      </c>
      <c r="AS106" s="462"/>
      <c r="AT106" s="264" t="s">
        <v>741</v>
      </c>
      <c r="AU106" s="264" t="s">
        <v>742</v>
      </c>
      <c r="AV106" s="264" t="s">
        <v>743</v>
      </c>
      <c r="AW106" s="264" t="s">
        <v>736</v>
      </c>
      <c r="AX106" s="462"/>
    </row>
    <row r="107" spans="2:50">
      <c r="B107" s="507" t="s">
        <v>749</v>
      </c>
      <c r="C107" s="180">
        <v>1</v>
      </c>
      <c r="D107" s="180"/>
      <c r="E107" s="180"/>
      <c r="F107" s="180"/>
      <c r="G107" s="166"/>
      <c r="H107" s="459" t="e">
        <f>AVERAGE(G107:G121)</f>
        <v>#DIV/0!</v>
      </c>
      <c r="I107" s="166" t="e">
        <f>AVERAGE(P107,U107,Z107,AE107,AJ107,AO107,AT107)</f>
        <v>#DIV/0!</v>
      </c>
      <c r="J107" s="166" t="e">
        <f>AVERAGE(Q107,V107,AA107,AF107,AK107,AP107,AU107)</f>
        <v>#DIV/0!</v>
      </c>
      <c r="K107" s="265" t="e">
        <f>AVERAGE(R107,W107,AB107,AG107,AL107,AQ107,AV107)</f>
        <v>#DIV/0!</v>
      </c>
      <c r="L107" s="459" t="str">
        <f>IFERROR(AVERAGE(K107:K121),"-")</f>
        <v>-</v>
      </c>
      <c r="M107" s="166" t="e">
        <f>RANK(K107, K$107:$K$121)</f>
        <v>#DIV/0!</v>
      </c>
      <c r="N107" s="462"/>
      <c r="O107" s="462"/>
      <c r="P107" s="166"/>
      <c r="Q107" s="166"/>
      <c r="R107" s="265"/>
      <c r="S107" s="180" t="e">
        <f t="shared" ref="S107:S121" si="54">RANK(R107, R$81:R$87)</f>
        <v>#N/A</v>
      </c>
      <c r="T107" s="486" t="e">
        <f>AVERAGE(R107:R121)</f>
        <v>#DIV/0!</v>
      </c>
      <c r="U107" s="166"/>
      <c r="V107" s="166"/>
      <c r="W107" s="265"/>
      <c r="X107" s="180" t="e">
        <f t="shared" ref="X107:X121" si="55">RANK(W107, W$81:W$87)</f>
        <v>#N/A</v>
      </c>
      <c r="Y107" s="486" t="e">
        <f t="shared" ref="Y107" si="56">AVERAGE(W107:W121)</f>
        <v>#DIV/0!</v>
      </c>
      <c r="Z107" s="166"/>
      <c r="AA107" s="166"/>
      <c r="AB107" s="265"/>
      <c r="AC107" s="180" t="e">
        <f t="shared" ref="AC107:AC121" si="57">RANK(AB107, AB$81:AB$87)</f>
        <v>#N/A</v>
      </c>
      <c r="AD107" s="486" t="e">
        <f t="shared" ref="AD107" si="58">AVERAGE(AB107:AB121)</f>
        <v>#DIV/0!</v>
      </c>
      <c r="AE107" s="166"/>
      <c r="AF107" s="166"/>
      <c r="AG107" s="265"/>
      <c r="AH107" s="180" t="e">
        <f t="shared" ref="AH107:AH121" si="59">RANK(AG107, AG$81:AG$87)</f>
        <v>#N/A</v>
      </c>
      <c r="AI107" s="486" t="e">
        <f t="shared" ref="AI107" si="60">AVERAGE(AG107:AG121)</f>
        <v>#DIV/0!</v>
      </c>
      <c r="AJ107" s="166"/>
      <c r="AK107" s="166"/>
      <c r="AL107" s="265"/>
      <c r="AM107" s="180" t="e">
        <f t="shared" ref="AM107:AM121" si="61">RANK(AL107, AL$81:AL$87)</f>
        <v>#N/A</v>
      </c>
      <c r="AN107" s="486" t="e">
        <f t="shared" ref="AN107" si="62">AVERAGE(AL107:AL121)</f>
        <v>#DIV/0!</v>
      </c>
      <c r="AO107" s="166"/>
      <c r="AP107" s="166"/>
      <c r="AQ107" s="265"/>
      <c r="AR107" s="180" t="e">
        <f t="shared" ref="AR107:AR121" si="63">RANK(AQ107, AQ$81:AQ$87)</f>
        <v>#N/A</v>
      </c>
      <c r="AS107" s="486" t="e">
        <f t="shared" ref="AS107" si="64">AVERAGE(AQ107:AQ121)</f>
        <v>#DIV/0!</v>
      </c>
      <c r="AT107" s="166"/>
      <c r="AU107" s="166"/>
      <c r="AV107" s="265"/>
      <c r="AW107" s="180" t="e">
        <f t="shared" ref="AW107:AW121" si="65">RANK(AV107, AV$81:AV$87)</f>
        <v>#N/A</v>
      </c>
      <c r="AX107" s="486" t="e">
        <f t="shared" ref="AX107" si="66">AVERAGE(AV107:AV121)</f>
        <v>#DIV/0!</v>
      </c>
    </row>
    <row r="108" spans="2:50">
      <c r="B108" s="479"/>
      <c r="C108" s="180">
        <v>2</v>
      </c>
      <c r="D108" s="180"/>
      <c r="E108" s="180"/>
      <c r="F108" s="180"/>
      <c r="G108" s="166"/>
      <c r="H108" s="460"/>
      <c r="I108" s="166" t="e">
        <f t="shared" ref="I108:K110" si="67">AVERAGE(P108,U108,Z108,AE108,AJ108,AO108,AT108)</f>
        <v>#DIV/0!</v>
      </c>
      <c r="J108" s="166" t="e">
        <f t="shared" si="67"/>
        <v>#DIV/0!</v>
      </c>
      <c r="K108" s="265" t="e">
        <f t="shared" si="67"/>
        <v>#DIV/0!</v>
      </c>
      <c r="L108" s="460"/>
      <c r="M108" s="166" t="e">
        <f>RANK(K108, K$107:$K$121)</f>
        <v>#DIV/0!</v>
      </c>
      <c r="N108" s="462"/>
      <c r="O108" s="462"/>
      <c r="P108" s="180"/>
      <c r="Q108" s="166"/>
      <c r="R108" s="265"/>
      <c r="S108" s="180" t="e">
        <f t="shared" si="54"/>
        <v>#N/A</v>
      </c>
      <c r="T108" s="486"/>
      <c r="U108" s="180"/>
      <c r="V108" s="166"/>
      <c r="W108" s="265"/>
      <c r="X108" s="180" t="e">
        <f t="shared" si="55"/>
        <v>#N/A</v>
      </c>
      <c r="Y108" s="486"/>
      <c r="Z108" s="180"/>
      <c r="AA108" s="166"/>
      <c r="AB108" s="265"/>
      <c r="AC108" s="180" t="e">
        <f t="shared" si="57"/>
        <v>#N/A</v>
      </c>
      <c r="AD108" s="486"/>
      <c r="AE108" s="180"/>
      <c r="AF108" s="166"/>
      <c r="AG108" s="265"/>
      <c r="AH108" s="180" t="e">
        <f t="shared" si="59"/>
        <v>#N/A</v>
      </c>
      <c r="AI108" s="486"/>
      <c r="AJ108" s="180"/>
      <c r="AK108" s="166"/>
      <c r="AL108" s="265"/>
      <c r="AM108" s="180" t="e">
        <f t="shared" si="61"/>
        <v>#N/A</v>
      </c>
      <c r="AN108" s="486"/>
      <c r="AO108" s="180"/>
      <c r="AP108" s="166"/>
      <c r="AQ108" s="265"/>
      <c r="AR108" s="180" t="e">
        <f t="shared" si="63"/>
        <v>#N/A</v>
      </c>
      <c r="AS108" s="486"/>
      <c r="AT108" s="180"/>
      <c r="AU108" s="166"/>
      <c r="AV108" s="265"/>
      <c r="AW108" s="180" t="e">
        <f t="shared" si="65"/>
        <v>#N/A</v>
      </c>
      <c r="AX108" s="486"/>
    </row>
    <row r="109" spans="2:50">
      <c r="B109" s="479"/>
      <c r="C109" s="180">
        <v>3</v>
      </c>
      <c r="D109" s="180"/>
      <c r="E109" s="180"/>
      <c r="F109" s="180"/>
      <c r="G109" s="166"/>
      <c r="H109" s="460"/>
      <c r="I109" s="166" t="e">
        <f t="shared" si="67"/>
        <v>#DIV/0!</v>
      </c>
      <c r="J109" s="166" t="e">
        <f t="shared" si="67"/>
        <v>#DIV/0!</v>
      </c>
      <c r="K109" s="265" t="e">
        <f t="shared" si="67"/>
        <v>#DIV/0!</v>
      </c>
      <c r="L109" s="460"/>
      <c r="M109" s="166" t="e">
        <f>RANK(K109, K$107:$K$121)</f>
        <v>#DIV/0!</v>
      </c>
      <c r="N109" s="462"/>
      <c r="O109" s="462"/>
      <c r="P109" s="180"/>
      <c r="Q109" s="166"/>
      <c r="R109" s="265"/>
      <c r="S109" s="180" t="e">
        <f t="shared" si="54"/>
        <v>#N/A</v>
      </c>
      <c r="T109" s="486"/>
      <c r="U109" s="180"/>
      <c r="V109" s="166"/>
      <c r="W109" s="265"/>
      <c r="X109" s="180" t="e">
        <f t="shared" si="55"/>
        <v>#N/A</v>
      </c>
      <c r="Y109" s="486"/>
      <c r="Z109" s="180"/>
      <c r="AA109" s="166"/>
      <c r="AB109" s="265"/>
      <c r="AC109" s="180" t="e">
        <f t="shared" si="57"/>
        <v>#N/A</v>
      </c>
      <c r="AD109" s="486"/>
      <c r="AE109" s="180"/>
      <c r="AF109" s="166"/>
      <c r="AG109" s="265"/>
      <c r="AH109" s="180" t="e">
        <f t="shared" si="59"/>
        <v>#N/A</v>
      </c>
      <c r="AI109" s="486"/>
      <c r="AJ109" s="180"/>
      <c r="AK109" s="166"/>
      <c r="AL109" s="265"/>
      <c r="AM109" s="180" t="e">
        <f t="shared" si="61"/>
        <v>#N/A</v>
      </c>
      <c r="AN109" s="486"/>
      <c r="AO109" s="180"/>
      <c r="AP109" s="166"/>
      <c r="AQ109" s="265"/>
      <c r="AR109" s="180" t="e">
        <f t="shared" si="63"/>
        <v>#N/A</v>
      </c>
      <c r="AS109" s="486"/>
      <c r="AT109" s="180"/>
      <c r="AU109" s="166"/>
      <c r="AV109" s="265"/>
      <c r="AW109" s="180" t="e">
        <f t="shared" si="65"/>
        <v>#N/A</v>
      </c>
      <c r="AX109" s="486"/>
    </row>
    <row r="110" spans="2:50">
      <c r="B110" s="479"/>
      <c r="C110" s="180">
        <v>4</v>
      </c>
      <c r="D110" s="180"/>
      <c r="E110" s="180"/>
      <c r="F110" s="180"/>
      <c r="G110" s="166"/>
      <c r="H110" s="460"/>
      <c r="I110" s="166" t="e">
        <f t="shared" si="67"/>
        <v>#DIV/0!</v>
      </c>
      <c r="J110" s="166" t="e">
        <f t="shared" si="67"/>
        <v>#DIV/0!</v>
      </c>
      <c r="K110" s="265" t="e">
        <f t="shared" si="67"/>
        <v>#DIV/0!</v>
      </c>
      <c r="L110" s="460"/>
      <c r="M110" s="166" t="e">
        <f>RANK(K110, K$107:$K$121)</f>
        <v>#DIV/0!</v>
      </c>
      <c r="N110" s="462"/>
      <c r="O110" s="462"/>
      <c r="P110" s="180"/>
      <c r="Q110" s="166"/>
      <c r="R110" s="265"/>
      <c r="S110" s="180" t="e">
        <f t="shared" si="54"/>
        <v>#N/A</v>
      </c>
      <c r="T110" s="486"/>
      <c r="U110" s="180"/>
      <c r="V110" s="166"/>
      <c r="W110" s="265"/>
      <c r="X110" s="180" t="e">
        <f t="shared" si="55"/>
        <v>#N/A</v>
      </c>
      <c r="Y110" s="486"/>
      <c r="Z110" s="180"/>
      <c r="AA110" s="166"/>
      <c r="AB110" s="265"/>
      <c r="AC110" s="180" t="e">
        <f t="shared" si="57"/>
        <v>#N/A</v>
      </c>
      <c r="AD110" s="486"/>
      <c r="AE110" s="180"/>
      <c r="AF110" s="166"/>
      <c r="AG110" s="265"/>
      <c r="AH110" s="180" t="e">
        <f t="shared" si="59"/>
        <v>#N/A</v>
      </c>
      <c r="AI110" s="486"/>
      <c r="AJ110" s="180"/>
      <c r="AK110" s="166"/>
      <c r="AL110" s="265"/>
      <c r="AM110" s="180" t="e">
        <f t="shared" si="61"/>
        <v>#N/A</v>
      </c>
      <c r="AN110" s="486"/>
      <c r="AO110" s="180"/>
      <c r="AP110" s="166"/>
      <c r="AQ110" s="265"/>
      <c r="AR110" s="180" t="e">
        <f t="shared" si="63"/>
        <v>#N/A</v>
      </c>
      <c r="AS110" s="486"/>
      <c r="AT110" s="180"/>
      <c r="AU110" s="166"/>
      <c r="AV110" s="265"/>
      <c r="AW110" s="180" t="e">
        <f t="shared" si="65"/>
        <v>#N/A</v>
      </c>
      <c r="AX110" s="486"/>
    </row>
    <row r="111" spans="2:50">
      <c r="B111" s="479"/>
      <c r="C111" s="180">
        <v>5</v>
      </c>
      <c r="D111" s="180"/>
      <c r="E111" s="180"/>
      <c r="F111" s="180"/>
      <c r="G111" s="166"/>
      <c r="H111" s="460"/>
      <c r="I111" s="166" t="e">
        <f>AVERAGE(P111,U111,Z111,AE111,AJ111,AO111,AT111)</f>
        <v>#DIV/0!</v>
      </c>
      <c r="J111" s="166" t="e">
        <f>AVERAGE(Q111,V111,AA111,AF111,AK111,AP111,AU111)</f>
        <v>#DIV/0!</v>
      </c>
      <c r="K111" s="265" t="e">
        <f>AVERAGE(R111,W111,AB111,AG111,AL111,AQ111,AV111)</f>
        <v>#DIV/0!</v>
      </c>
      <c r="L111" s="460"/>
      <c r="M111" s="166" t="e">
        <f>RANK(K111, K$107:$K$121)</f>
        <v>#DIV/0!</v>
      </c>
      <c r="N111" s="462"/>
      <c r="O111" s="462"/>
      <c r="P111" s="180"/>
      <c r="Q111" s="166"/>
      <c r="R111" s="265"/>
      <c r="S111" s="180" t="e">
        <f t="shared" si="54"/>
        <v>#N/A</v>
      </c>
      <c r="T111" s="486"/>
      <c r="U111" s="180"/>
      <c r="V111" s="166"/>
      <c r="W111" s="265"/>
      <c r="X111" s="180" t="e">
        <f t="shared" si="55"/>
        <v>#N/A</v>
      </c>
      <c r="Y111" s="486"/>
      <c r="Z111" s="180"/>
      <c r="AA111" s="166"/>
      <c r="AB111" s="265"/>
      <c r="AC111" s="180" t="e">
        <f t="shared" si="57"/>
        <v>#N/A</v>
      </c>
      <c r="AD111" s="486"/>
      <c r="AE111" s="180"/>
      <c r="AF111" s="166"/>
      <c r="AG111" s="265"/>
      <c r="AH111" s="180" t="e">
        <f t="shared" si="59"/>
        <v>#N/A</v>
      </c>
      <c r="AI111" s="486"/>
      <c r="AJ111" s="180"/>
      <c r="AK111" s="166"/>
      <c r="AL111" s="265"/>
      <c r="AM111" s="180" t="e">
        <f t="shared" si="61"/>
        <v>#N/A</v>
      </c>
      <c r="AN111" s="486"/>
      <c r="AO111" s="180"/>
      <c r="AP111" s="166"/>
      <c r="AQ111" s="265"/>
      <c r="AR111" s="180" t="e">
        <f t="shared" si="63"/>
        <v>#N/A</v>
      </c>
      <c r="AS111" s="486"/>
      <c r="AT111" s="180"/>
      <c r="AU111" s="166"/>
      <c r="AV111" s="265"/>
      <c r="AW111" s="180" t="e">
        <f t="shared" si="65"/>
        <v>#N/A</v>
      </c>
      <c r="AX111" s="486"/>
    </row>
    <row r="112" spans="2:50">
      <c r="B112" s="479"/>
      <c r="C112" s="180">
        <v>6</v>
      </c>
      <c r="D112" s="180"/>
      <c r="E112" s="180"/>
      <c r="F112" s="180"/>
      <c r="G112" s="166"/>
      <c r="H112" s="460"/>
      <c r="I112" s="166" t="e">
        <f t="shared" ref="I112:K113" si="68">AVERAGE(P112,U112,Z112,AE112,AJ112,AO112,AT112)</f>
        <v>#DIV/0!</v>
      </c>
      <c r="J112" s="166" t="e">
        <f t="shared" si="68"/>
        <v>#DIV/0!</v>
      </c>
      <c r="K112" s="265" t="e">
        <f t="shared" si="68"/>
        <v>#DIV/0!</v>
      </c>
      <c r="L112" s="460"/>
      <c r="M112" s="166" t="e">
        <f>RANK(K112, K$107:$K$121)</f>
        <v>#DIV/0!</v>
      </c>
      <c r="N112" s="462"/>
      <c r="O112" s="462"/>
      <c r="P112" s="180"/>
      <c r="Q112" s="166"/>
      <c r="R112" s="265"/>
      <c r="S112" s="180" t="e">
        <f t="shared" si="54"/>
        <v>#N/A</v>
      </c>
      <c r="T112" s="486"/>
      <c r="U112" s="180"/>
      <c r="V112" s="166"/>
      <c r="W112" s="265"/>
      <c r="X112" s="180" t="e">
        <f t="shared" si="55"/>
        <v>#N/A</v>
      </c>
      <c r="Y112" s="486"/>
      <c r="Z112" s="180"/>
      <c r="AA112" s="166"/>
      <c r="AB112" s="265"/>
      <c r="AC112" s="180" t="e">
        <f t="shared" si="57"/>
        <v>#N/A</v>
      </c>
      <c r="AD112" s="486"/>
      <c r="AE112" s="180"/>
      <c r="AF112" s="166"/>
      <c r="AG112" s="265"/>
      <c r="AH112" s="180" t="e">
        <f t="shared" si="59"/>
        <v>#N/A</v>
      </c>
      <c r="AI112" s="486"/>
      <c r="AJ112" s="180"/>
      <c r="AK112" s="166"/>
      <c r="AL112" s="265"/>
      <c r="AM112" s="180" t="e">
        <f t="shared" si="61"/>
        <v>#N/A</v>
      </c>
      <c r="AN112" s="486"/>
      <c r="AO112" s="180"/>
      <c r="AP112" s="166"/>
      <c r="AQ112" s="265"/>
      <c r="AR112" s="180" t="e">
        <f t="shared" si="63"/>
        <v>#N/A</v>
      </c>
      <c r="AS112" s="486"/>
      <c r="AT112" s="180"/>
      <c r="AU112" s="166"/>
      <c r="AV112" s="265"/>
      <c r="AW112" s="180" t="e">
        <f t="shared" si="65"/>
        <v>#N/A</v>
      </c>
      <c r="AX112" s="486"/>
    </row>
    <row r="113" spans="2:50">
      <c r="B113" s="479"/>
      <c r="C113" s="180">
        <v>7</v>
      </c>
      <c r="D113" s="180"/>
      <c r="E113" s="180"/>
      <c r="F113" s="180"/>
      <c r="G113" s="166"/>
      <c r="H113" s="460"/>
      <c r="I113" s="166" t="e">
        <f t="shared" si="68"/>
        <v>#DIV/0!</v>
      </c>
      <c r="J113" s="166" t="e">
        <f t="shared" si="68"/>
        <v>#DIV/0!</v>
      </c>
      <c r="K113" s="265" t="e">
        <f t="shared" si="68"/>
        <v>#DIV/0!</v>
      </c>
      <c r="L113" s="460"/>
      <c r="M113" s="166" t="e">
        <f>RANK(K113, K$107:$K$121)</f>
        <v>#DIV/0!</v>
      </c>
      <c r="N113" s="462"/>
      <c r="O113" s="462"/>
      <c r="P113" s="180"/>
      <c r="Q113" s="166"/>
      <c r="R113" s="265"/>
      <c r="S113" s="180" t="e">
        <f t="shared" si="54"/>
        <v>#N/A</v>
      </c>
      <c r="T113" s="486"/>
      <c r="U113" s="180"/>
      <c r="V113" s="166"/>
      <c r="W113" s="265"/>
      <c r="X113" s="180" t="e">
        <f t="shared" si="55"/>
        <v>#N/A</v>
      </c>
      <c r="Y113" s="486"/>
      <c r="Z113" s="180"/>
      <c r="AA113" s="166"/>
      <c r="AB113" s="265"/>
      <c r="AC113" s="180" t="e">
        <f t="shared" si="57"/>
        <v>#N/A</v>
      </c>
      <c r="AD113" s="486"/>
      <c r="AE113" s="180"/>
      <c r="AF113" s="166"/>
      <c r="AG113" s="265"/>
      <c r="AH113" s="180" t="e">
        <f t="shared" si="59"/>
        <v>#N/A</v>
      </c>
      <c r="AI113" s="486"/>
      <c r="AJ113" s="180"/>
      <c r="AK113" s="166"/>
      <c r="AL113" s="265"/>
      <c r="AM113" s="180" t="e">
        <f t="shared" si="61"/>
        <v>#N/A</v>
      </c>
      <c r="AN113" s="486"/>
      <c r="AO113" s="180"/>
      <c r="AP113" s="166"/>
      <c r="AQ113" s="265"/>
      <c r="AR113" s="180" t="e">
        <f t="shared" si="63"/>
        <v>#N/A</v>
      </c>
      <c r="AS113" s="486"/>
      <c r="AT113" s="180"/>
      <c r="AU113" s="166"/>
      <c r="AV113" s="265"/>
      <c r="AW113" s="180" t="e">
        <f t="shared" si="65"/>
        <v>#N/A</v>
      </c>
      <c r="AX113" s="486"/>
    </row>
    <row r="114" spans="2:50">
      <c r="B114" s="479"/>
      <c r="C114" s="180">
        <v>8</v>
      </c>
      <c r="D114" s="180"/>
      <c r="E114" s="180"/>
      <c r="F114" s="180"/>
      <c r="G114" s="166"/>
      <c r="H114" s="460"/>
      <c r="I114" s="166"/>
      <c r="J114" s="166"/>
      <c r="K114" s="265"/>
      <c r="L114" s="460"/>
      <c r="M114" s="166" t="e">
        <f>RANK(K114, K$107:$K$121)</f>
        <v>#DIV/0!</v>
      </c>
      <c r="N114" s="462"/>
      <c r="O114" s="462"/>
      <c r="P114" s="180"/>
      <c r="Q114" s="166"/>
      <c r="R114" s="265"/>
      <c r="S114" s="180" t="e">
        <f t="shared" si="54"/>
        <v>#N/A</v>
      </c>
      <c r="T114" s="486"/>
      <c r="U114" s="180"/>
      <c r="V114" s="166"/>
      <c r="W114" s="265"/>
      <c r="X114" s="180" t="e">
        <f t="shared" si="55"/>
        <v>#N/A</v>
      </c>
      <c r="Y114" s="486"/>
      <c r="Z114" s="180"/>
      <c r="AA114" s="166"/>
      <c r="AB114" s="265"/>
      <c r="AC114" s="180" t="e">
        <f t="shared" si="57"/>
        <v>#N/A</v>
      </c>
      <c r="AD114" s="486"/>
      <c r="AE114" s="180"/>
      <c r="AF114" s="166"/>
      <c r="AG114" s="265"/>
      <c r="AH114" s="180" t="e">
        <f t="shared" si="59"/>
        <v>#N/A</v>
      </c>
      <c r="AI114" s="486"/>
      <c r="AJ114" s="180"/>
      <c r="AK114" s="166"/>
      <c r="AL114" s="265"/>
      <c r="AM114" s="180" t="e">
        <f t="shared" si="61"/>
        <v>#N/A</v>
      </c>
      <c r="AN114" s="486"/>
      <c r="AO114" s="180"/>
      <c r="AP114" s="166"/>
      <c r="AQ114" s="265"/>
      <c r="AR114" s="180" t="e">
        <f t="shared" si="63"/>
        <v>#N/A</v>
      </c>
      <c r="AS114" s="486"/>
      <c r="AT114" s="180"/>
      <c r="AU114" s="166"/>
      <c r="AV114" s="265"/>
      <c r="AW114" s="180" t="e">
        <f t="shared" si="65"/>
        <v>#N/A</v>
      </c>
      <c r="AX114" s="486"/>
    </row>
    <row r="115" spans="2:50">
      <c r="B115" s="479"/>
      <c r="C115" s="180">
        <v>9</v>
      </c>
      <c r="D115" s="180"/>
      <c r="E115" s="180"/>
      <c r="F115" s="180"/>
      <c r="G115" s="166"/>
      <c r="H115" s="460"/>
      <c r="I115" s="166"/>
      <c r="J115" s="166"/>
      <c r="K115" s="265"/>
      <c r="L115" s="460"/>
      <c r="M115" s="166" t="e">
        <f>RANK(K115, K$107:$K$121)</f>
        <v>#DIV/0!</v>
      </c>
      <c r="N115" s="462"/>
      <c r="O115" s="462"/>
      <c r="P115" s="180"/>
      <c r="Q115" s="166"/>
      <c r="R115" s="265"/>
      <c r="S115" s="180" t="e">
        <f t="shared" si="54"/>
        <v>#N/A</v>
      </c>
      <c r="T115" s="486"/>
      <c r="U115" s="180"/>
      <c r="V115" s="166"/>
      <c r="W115" s="265"/>
      <c r="X115" s="180" t="e">
        <f t="shared" si="55"/>
        <v>#N/A</v>
      </c>
      <c r="Y115" s="486"/>
      <c r="Z115" s="180"/>
      <c r="AA115" s="166"/>
      <c r="AB115" s="265"/>
      <c r="AC115" s="180" t="e">
        <f t="shared" si="57"/>
        <v>#N/A</v>
      </c>
      <c r="AD115" s="486"/>
      <c r="AE115" s="180"/>
      <c r="AF115" s="166"/>
      <c r="AG115" s="265"/>
      <c r="AH115" s="180" t="e">
        <f t="shared" si="59"/>
        <v>#N/A</v>
      </c>
      <c r="AI115" s="486"/>
      <c r="AJ115" s="180"/>
      <c r="AK115" s="166"/>
      <c r="AL115" s="265"/>
      <c r="AM115" s="180" t="e">
        <f t="shared" si="61"/>
        <v>#N/A</v>
      </c>
      <c r="AN115" s="486"/>
      <c r="AO115" s="180"/>
      <c r="AP115" s="166"/>
      <c r="AQ115" s="265"/>
      <c r="AR115" s="180" t="e">
        <f t="shared" si="63"/>
        <v>#N/A</v>
      </c>
      <c r="AS115" s="486"/>
      <c r="AT115" s="180"/>
      <c r="AU115" s="166"/>
      <c r="AV115" s="265"/>
      <c r="AW115" s="180" t="e">
        <f t="shared" si="65"/>
        <v>#N/A</v>
      </c>
      <c r="AX115" s="486"/>
    </row>
    <row r="116" spans="2:50">
      <c r="B116" s="479"/>
      <c r="C116" s="180">
        <v>10</v>
      </c>
      <c r="D116" s="180"/>
      <c r="E116" s="180"/>
      <c r="F116" s="180"/>
      <c r="G116" s="166"/>
      <c r="H116" s="460"/>
      <c r="I116" s="166"/>
      <c r="J116" s="166"/>
      <c r="K116" s="265"/>
      <c r="L116" s="460"/>
      <c r="M116" s="166" t="e">
        <f>RANK(K116, K$107:$K$121)</f>
        <v>#DIV/0!</v>
      </c>
      <c r="N116" s="462"/>
      <c r="O116" s="462"/>
      <c r="P116" s="180"/>
      <c r="Q116" s="166"/>
      <c r="R116" s="265"/>
      <c r="S116" s="180" t="e">
        <f t="shared" si="54"/>
        <v>#N/A</v>
      </c>
      <c r="T116" s="486"/>
      <c r="U116" s="180"/>
      <c r="V116" s="166"/>
      <c r="W116" s="265"/>
      <c r="X116" s="180" t="e">
        <f t="shared" si="55"/>
        <v>#N/A</v>
      </c>
      <c r="Y116" s="486"/>
      <c r="Z116" s="180"/>
      <c r="AA116" s="166"/>
      <c r="AB116" s="265"/>
      <c r="AC116" s="180" t="e">
        <f t="shared" si="57"/>
        <v>#N/A</v>
      </c>
      <c r="AD116" s="486"/>
      <c r="AE116" s="180"/>
      <c r="AF116" s="166"/>
      <c r="AG116" s="265"/>
      <c r="AH116" s="180" t="e">
        <f t="shared" si="59"/>
        <v>#N/A</v>
      </c>
      <c r="AI116" s="486"/>
      <c r="AJ116" s="180"/>
      <c r="AK116" s="166"/>
      <c r="AL116" s="265"/>
      <c r="AM116" s="180" t="e">
        <f t="shared" si="61"/>
        <v>#N/A</v>
      </c>
      <c r="AN116" s="486"/>
      <c r="AO116" s="180"/>
      <c r="AP116" s="166"/>
      <c r="AQ116" s="265"/>
      <c r="AR116" s="180" t="e">
        <f t="shared" si="63"/>
        <v>#N/A</v>
      </c>
      <c r="AS116" s="486"/>
      <c r="AT116" s="180"/>
      <c r="AU116" s="166"/>
      <c r="AV116" s="265"/>
      <c r="AW116" s="180" t="e">
        <f t="shared" si="65"/>
        <v>#N/A</v>
      </c>
      <c r="AX116" s="486"/>
    </row>
    <row r="117" spans="2:50">
      <c r="B117" s="479"/>
      <c r="C117" s="180">
        <v>11</v>
      </c>
      <c r="D117" s="180"/>
      <c r="E117" s="180"/>
      <c r="F117" s="180"/>
      <c r="G117" s="166"/>
      <c r="H117" s="460"/>
      <c r="I117" s="180"/>
      <c r="J117" s="180"/>
      <c r="K117" s="180"/>
      <c r="L117" s="460"/>
      <c r="M117" s="166" t="e">
        <f>RANK(K117, K$107:$K$121)</f>
        <v>#DIV/0!</v>
      </c>
      <c r="N117" s="462"/>
      <c r="O117" s="462"/>
      <c r="P117" s="180"/>
      <c r="Q117" s="180"/>
      <c r="R117" s="180"/>
      <c r="S117" s="180" t="e">
        <f t="shared" si="54"/>
        <v>#N/A</v>
      </c>
      <c r="T117" s="486"/>
      <c r="U117" s="180"/>
      <c r="V117" s="180"/>
      <c r="W117" s="180"/>
      <c r="X117" s="180" t="e">
        <f t="shared" si="55"/>
        <v>#N/A</v>
      </c>
      <c r="Y117" s="486"/>
      <c r="Z117" s="180"/>
      <c r="AA117" s="180"/>
      <c r="AB117" s="180"/>
      <c r="AC117" s="180" t="e">
        <f t="shared" si="57"/>
        <v>#N/A</v>
      </c>
      <c r="AD117" s="486"/>
      <c r="AE117" s="180"/>
      <c r="AF117" s="180"/>
      <c r="AG117" s="180"/>
      <c r="AH117" s="180" t="e">
        <f t="shared" si="59"/>
        <v>#N/A</v>
      </c>
      <c r="AI117" s="486"/>
      <c r="AJ117" s="180"/>
      <c r="AK117" s="180"/>
      <c r="AL117" s="180"/>
      <c r="AM117" s="180" t="e">
        <f t="shared" si="61"/>
        <v>#N/A</v>
      </c>
      <c r="AN117" s="486"/>
      <c r="AO117" s="180"/>
      <c r="AP117" s="180"/>
      <c r="AQ117" s="180"/>
      <c r="AR117" s="180" t="e">
        <f t="shared" si="63"/>
        <v>#N/A</v>
      </c>
      <c r="AS117" s="486"/>
      <c r="AT117" s="180"/>
      <c r="AU117" s="180"/>
      <c r="AV117" s="180"/>
      <c r="AW117" s="180" t="e">
        <f t="shared" si="65"/>
        <v>#N/A</v>
      </c>
      <c r="AX117" s="486"/>
    </row>
    <row r="118" spans="2:50">
      <c r="B118" s="479"/>
      <c r="C118" s="180">
        <v>12</v>
      </c>
      <c r="D118" s="180"/>
      <c r="E118" s="180"/>
      <c r="F118" s="180"/>
      <c r="G118" s="166"/>
      <c r="H118" s="460"/>
      <c r="I118" s="180"/>
      <c r="J118" s="180"/>
      <c r="K118" s="180"/>
      <c r="L118" s="460"/>
      <c r="M118" s="166" t="e">
        <f>RANK(K118, K$107:$K$121)</f>
        <v>#DIV/0!</v>
      </c>
      <c r="N118" s="462"/>
      <c r="O118" s="462"/>
      <c r="P118" s="180"/>
      <c r="Q118" s="180"/>
      <c r="R118" s="180"/>
      <c r="S118" s="180" t="e">
        <f t="shared" si="54"/>
        <v>#N/A</v>
      </c>
      <c r="T118" s="486"/>
      <c r="U118" s="180"/>
      <c r="V118" s="180"/>
      <c r="W118" s="180"/>
      <c r="X118" s="180" t="e">
        <f t="shared" si="55"/>
        <v>#N/A</v>
      </c>
      <c r="Y118" s="486"/>
      <c r="Z118" s="180"/>
      <c r="AA118" s="180"/>
      <c r="AB118" s="180"/>
      <c r="AC118" s="180" t="e">
        <f t="shared" si="57"/>
        <v>#N/A</v>
      </c>
      <c r="AD118" s="486"/>
      <c r="AE118" s="180"/>
      <c r="AF118" s="180"/>
      <c r="AG118" s="180"/>
      <c r="AH118" s="180" t="e">
        <f t="shared" si="59"/>
        <v>#N/A</v>
      </c>
      <c r="AI118" s="486"/>
      <c r="AJ118" s="180"/>
      <c r="AK118" s="180"/>
      <c r="AL118" s="180"/>
      <c r="AM118" s="180" t="e">
        <f t="shared" si="61"/>
        <v>#N/A</v>
      </c>
      <c r="AN118" s="486"/>
      <c r="AO118" s="180"/>
      <c r="AP118" s="180"/>
      <c r="AQ118" s="180"/>
      <c r="AR118" s="180" t="e">
        <f t="shared" si="63"/>
        <v>#N/A</v>
      </c>
      <c r="AS118" s="486"/>
      <c r="AT118" s="180"/>
      <c r="AU118" s="180"/>
      <c r="AV118" s="180"/>
      <c r="AW118" s="180" t="e">
        <f t="shared" si="65"/>
        <v>#N/A</v>
      </c>
      <c r="AX118" s="486"/>
    </row>
    <row r="119" spans="2:50">
      <c r="B119" s="479"/>
      <c r="C119" s="180">
        <v>13</v>
      </c>
      <c r="D119" s="180"/>
      <c r="E119" s="180"/>
      <c r="F119" s="180"/>
      <c r="G119" s="166"/>
      <c r="H119" s="460"/>
      <c r="I119" s="180"/>
      <c r="J119" s="180"/>
      <c r="K119" s="180"/>
      <c r="L119" s="460"/>
      <c r="M119" s="166" t="e">
        <f>RANK(K119, K$107:$K$121)</f>
        <v>#DIV/0!</v>
      </c>
      <c r="N119" s="462"/>
      <c r="O119" s="462"/>
      <c r="P119" s="180"/>
      <c r="Q119" s="180"/>
      <c r="R119" s="180"/>
      <c r="S119" s="180" t="e">
        <f t="shared" si="54"/>
        <v>#N/A</v>
      </c>
      <c r="T119" s="486"/>
      <c r="U119" s="180"/>
      <c r="V119" s="180"/>
      <c r="W119" s="180"/>
      <c r="X119" s="180" t="e">
        <f t="shared" si="55"/>
        <v>#N/A</v>
      </c>
      <c r="Y119" s="486"/>
      <c r="Z119" s="180"/>
      <c r="AA119" s="180"/>
      <c r="AB119" s="180"/>
      <c r="AC119" s="180" t="e">
        <f t="shared" si="57"/>
        <v>#N/A</v>
      </c>
      <c r="AD119" s="486"/>
      <c r="AE119" s="180"/>
      <c r="AF119" s="180"/>
      <c r="AG119" s="180"/>
      <c r="AH119" s="180" t="e">
        <f t="shared" si="59"/>
        <v>#N/A</v>
      </c>
      <c r="AI119" s="486"/>
      <c r="AJ119" s="180"/>
      <c r="AK119" s="180"/>
      <c r="AL119" s="180"/>
      <c r="AM119" s="180" t="e">
        <f t="shared" si="61"/>
        <v>#N/A</v>
      </c>
      <c r="AN119" s="486"/>
      <c r="AO119" s="180"/>
      <c r="AP119" s="180"/>
      <c r="AQ119" s="180"/>
      <c r="AR119" s="180" t="e">
        <f t="shared" si="63"/>
        <v>#N/A</v>
      </c>
      <c r="AS119" s="486"/>
      <c r="AT119" s="180"/>
      <c r="AU119" s="180"/>
      <c r="AV119" s="180"/>
      <c r="AW119" s="180" t="e">
        <f t="shared" si="65"/>
        <v>#N/A</v>
      </c>
      <c r="AX119" s="486"/>
    </row>
    <row r="120" spans="2:50">
      <c r="B120" s="479"/>
      <c r="C120" s="180">
        <v>14</v>
      </c>
      <c r="D120" s="180"/>
      <c r="E120" s="180"/>
      <c r="F120" s="180"/>
      <c r="G120" s="166"/>
      <c r="H120" s="460"/>
      <c r="I120" s="180"/>
      <c r="J120" s="180"/>
      <c r="K120" s="180"/>
      <c r="L120" s="460"/>
      <c r="M120" s="166" t="e">
        <f>RANK(K120, K$107:$K$121)</f>
        <v>#DIV/0!</v>
      </c>
      <c r="N120" s="462"/>
      <c r="O120" s="462"/>
      <c r="P120" s="180"/>
      <c r="Q120" s="180"/>
      <c r="R120" s="180"/>
      <c r="S120" s="180" t="e">
        <f t="shared" si="54"/>
        <v>#N/A</v>
      </c>
      <c r="T120" s="486"/>
      <c r="U120" s="180"/>
      <c r="V120" s="180"/>
      <c r="W120" s="180"/>
      <c r="X120" s="180" t="e">
        <f t="shared" si="55"/>
        <v>#N/A</v>
      </c>
      <c r="Y120" s="486"/>
      <c r="Z120" s="180"/>
      <c r="AA120" s="180"/>
      <c r="AB120" s="180"/>
      <c r="AC120" s="180" t="e">
        <f t="shared" si="57"/>
        <v>#N/A</v>
      </c>
      <c r="AD120" s="486"/>
      <c r="AE120" s="180"/>
      <c r="AF120" s="180"/>
      <c r="AG120" s="180"/>
      <c r="AH120" s="180" t="e">
        <f t="shared" si="59"/>
        <v>#N/A</v>
      </c>
      <c r="AI120" s="486"/>
      <c r="AJ120" s="180"/>
      <c r="AK120" s="180"/>
      <c r="AL120" s="180"/>
      <c r="AM120" s="180" t="e">
        <f t="shared" si="61"/>
        <v>#N/A</v>
      </c>
      <c r="AN120" s="486"/>
      <c r="AO120" s="180"/>
      <c r="AP120" s="180"/>
      <c r="AQ120" s="180"/>
      <c r="AR120" s="180" t="e">
        <f t="shared" si="63"/>
        <v>#N/A</v>
      </c>
      <c r="AS120" s="486"/>
      <c r="AT120" s="180"/>
      <c r="AU120" s="180"/>
      <c r="AV120" s="180"/>
      <c r="AW120" s="180" t="e">
        <f t="shared" si="65"/>
        <v>#N/A</v>
      </c>
      <c r="AX120" s="486"/>
    </row>
    <row r="121" spans="2:50">
      <c r="B121" s="479"/>
      <c r="C121" s="180">
        <v>15</v>
      </c>
      <c r="D121" s="180"/>
      <c r="E121" s="180"/>
      <c r="F121" s="180"/>
      <c r="G121" s="180"/>
      <c r="H121" s="461"/>
      <c r="I121" s="180"/>
      <c r="J121" s="180"/>
      <c r="K121" s="180"/>
      <c r="L121" s="461"/>
      <c r="M121" s="166" t="e">
        <f>RANK(K121, K$107:$K$121)</f>
        <v>#DIV/0!</v>
      </c>
      <c r="N121" s="462"/>
      <c r="O121" s="462"/>
      <c r="P121" s="180"/>
      <c r="Q121" s="166"/>
      <c r="R121" s="166"/>
      <c r="S121" s="180" t="e">
        <f t="shared" si="54"/>
        <v>#N/A</v>
      </c>
      <c r="T121" s="486"/>
      <c r="U121" s="180"/>
      <c r="V121" s="166"/>
      <c r="W121" s="166"/>
      <c r="X121" s="180" t="e">
        <f t="shared" si="55"/>
        <v>#N/A</v>
      </c>
      <c r="Y121" s="486"/>
      <c r="Z121" s="180"/>
      <c r="AA121" s="166"/>
      <c r="AB121" s="166"/>
      <c r="AC121" s="180" t="e">
        <f t="shared" si="57"/>
        <v>#N/A</v>
      </c>
      <c r="AD121" s="486"/>
      <c r="AE121" s="180"/>
      <c r="AF121" s="166"/>
      <c r="AG121" s="166"/>
      <c r="AH121" s="180" t="e">
        <f t="shared" si="59"/>
        <v>#N/A</v>
      </c>
      <c r="AI121" s="486"/>
      <c r="AJ121" s="180"/>
      <c r="AK121" s="166"/>
      <c r="AL121" s="166"/>
      <c r="AM121" s="180" t="e">
        <f t="shared" si="61"/>
        <v>#N/A</v>
      </c>
      <c r="AN121" s="486"/>
      <c r="AO121" s="180"/>
      <c r="AP121" s="166"/>
      <c r="AQ121" s="166"/>
      <c r="AR121" s="180" t="e">
        <f t="shared" si="63"/>
        <v>#N/A</v>
      </c>
      <c r="AS121" s="486"/>
      <c r="AT121" s="180"/>
      <c r="AU121" s="166"/>
      <c r="AV121" s="166"/>
      <c r="AW121" s="180" t="e">
        <f t="shared" si="65"/>
        <v>#N/A</v>
      </c>
      <c r="AX121" s="486"/>
    </row>
    <row r="123" spans="2:50" ht="15.75">
      <c r="B123" s="502" t="s">
        <v>746</v>
      </c>
      <c r="C123" s="503"/>
      <c r="D123" s="503"/>
      <c r="E123" s="503"/>
      <c r="F123" s="503"/>
      <c r="G123" s="503"/>
      <c r="H123" s="503"/>
      <c r="I123" s="266"/>
      <c r="J123" s="266"/>
      <c r="K123" s="266"/>
      <c r="L123" s="266"/>
      <c r="M123" s="267"/>
    </row>
    <row r="124" spans="2:50" ht="15.75">
      <c r="B124" s="504"/>
      <c r="C124" s="504"/>
      <c r="D124" s="504"/>
      <c r="E124" s="504"/>
      <c r="F124" s="504"/>
      <c r="G124" s="504"/>
      <c r="H124" s="504"/>
      <c r="I124" s="268"/>
      <c r="J124" s="268"/>
      <c r="K124" s="268"/>
      <c r="L124" s="268"/>
      <c r="M124" s="269"/>
    </row>
    <row r="125" spans="2:50">
      <c r="B125" s="462" t="s">
        <v>731</v>
      </c>
      <c r="C125" s="462" t="s">
        <v>732</v>
      </c>
      <c r="D125" s="462"/>
      <c r="E125" s="462" t="s">
        <v>733</v>
      </c>
      <c r="F125" s="462"/>
      <c r="G125" s="462"/>
      <c r="H125" s="463" t="s">
        <v>734</v>
      </c>
      <c r="I125" s="505" t="s">
        <v>735</v>
      </c>
      <c r="J125" s="505"/>
      <c r="K125" s="505"/>
      <c r="L125" s="519" t="s">
        <v>734</v>
      </c>
      <c r="M125" s="522" t="s">
        <v>736</v>
      </c>
    </row>
    <row r="126" spans="2:50">
      <c r="B126" s="462"/>
      <c r="C126" s="462"/>
      <c r="D126" s="462"/>
      <c r="E126" s="462" t="s">
        <v>739</v>
      </c>
      <c r="F126" s="462"/>
      <c r="G126" s="462"/>
      <c r="H126" s="464"/>
      <c r="I126" s="505" t="s">
        <v>739</v>
      </c>
      <c r="J126" s="505"/>
      <c r="K126" s="505"/>
      <c r="L126" s="520"/>
      <c r="M126" s="523"/>
    </row>
    <row r="127" spans="2:50">
      <c r="B127" s="462"/>
      <c r="C127" s="462"/>
      <c r="D127" s="462"/>
      <c r="E127" s="264" t="s">
        <v>741</v>
      </c>
      <c r="F127" s="264" t="s">
        <v>742</v>
      </c>
      <c r="G127" s="264" t="s">
        <v>743</v>
      </c>
      <c r="H127" s="465"/>
      <c r="I127" s="270" t="s">
        <v>741</v>
      </c>
      <c r="J127" s="270" t="s">
        <v>742</v>
      </c>
      <c r="K127" s="270" t="s">
        <v>743</v>
      </c>
      <c r="L127" s="521"/>
      <c r="M127" s="524"/>
    </row>
    <row r="128" spans="2:50">
      <c r="B128" s="507" t="s">
        <v>749</v>
      </c>
      <c r="C128" s="180">
        <v>1</v>
      </c>
      <c r="D128" s="201"/>
      <c r="E128" s="166"/>
      <c r="F128" s="180"/>
      <c r="G128" s="265"/>
      <c r="H128" s="459" t="e">
        <f>AVERAGE(G128:G142)</f>
        <v>#DIV/0!</v>
      </c>
      <c r="I128" s="166" t="e">
        <f t="shared" ref="I128:K134" si="69">AVERAGEIF($D$7:$D$121,$D128,I$7:I$121)</f>
        <v>#DIV/0!</v>
      </c>
      <c r="J128" s="166" t="e">
        <f t="shared" si="69"/>
        <v>#DIV/0!</v>
      </c>
      <c r="K128" s="166" t="e">
        <f>AVERAGEIF($D$7:$D$121,$D128,K$7:K$121)</f>
        <v>#DIV/0!</v>
      </c>
      <c r="L128" s="516" t="e">
        <f>AVERAGE(K128:K142)</f>
        <v>#DIV/0!</v>
      </c>
      <c r="M128" s="166" t="e">
        <f>RANK(K128, K$128:$K$142)</f>
        <v>#DIV/0!</v>
      </c>
    </row>
    <row r="129" spans="2:13" s="103" customFormat="1">
      <c r="B129" s="479"/>
      <c r="C129" s="180">
        <v>2</v>
      </c>
      <c r="D129" s="201"/>
      <c r="E129" s="166"/>
      <c r="F129" s="180"/>
      <c r="G129" s="265"/>
      <c r="H129" s="460"/>
      <c r="I129" s="166" t="e">
        <f t="shared" si="69"/>
        <v>#DIV/0!</v>
      </c>
      <c r="J129" s="166" t="e">
        <f t="shared" si="69"/>
        <v>#DIV/0!</v>
      </c>
      <c r="K129" s="166" t="e">
        <f t="shared" si="69"/>
        <v>#DIV/0!</v>
      </c>
      <c r="L129" s="517"/>
      <c r="M129" s="166" t="e">
        <f>RANK(K129, K$128:$K$142)</f>
        <v>#DIV/0!</v>
      </c>
    </row>
    <row r="130" spans="2:13" s="103" customFormat="1">
      <c r="B130" s="479"/>
      <c r="C130" s="180">
        <v>3</v>
      </c>
      <c r="D130" s="201"/>
      <c r="E130" s="166"/>
      <c r="F130" s="180"/>
      <c r="G130" s="265"/>
      <c r="H130" s="460"/>
      <c r="I130" s="166" t="e">
        <f t="shared" si="69"/>
        <v>#DIV/0!</v>
      </c>
      <c r="J130" s="166" t="e">
        <f t="shared" si="69"/>
        <v>#DIV/0!</v>
      </c>
      <c r="K130" s="166" t="e">
        <f t="shared" si="69"/>
        <v>#DIV/0!</v>
      </c>
      <c r="L130" s="517"/>
      <c r="M130" s="166" t="e">
        <f>RANK(K130, K$128:$K$142)</f>
        <v>#DIV/0!</v>
      </c>
    </row>
    <row r="131" spans="2:13" s="103" customFormat="1">
      <c r="B131" s="479"/>
      <c r="C131" s="180">
        <v>4</v>
      </c>
      <c r="D131" s="201"/>
      <c r="E131" s="166"/>
      <c r="F131" s="180"/>
      <c r="G131" s="265"/>
      <c r="H131" s="460"/>
      <c r="I131" s="166" t="e">
        <f t="shared" si="69"/>
        <v>#DIV/0!</v>
      </c>
      <c r="J131" s="166" t="e">
        <f t="shared" si="69"/>
        <v>#DIV/0!</v>
      </c>
      <c r="K131" s="166" t="e">
        <f t="shared" si="69"/>
        <v>#DIV/0!</v>
      </c>
      <c r="L131" s="517"/>
      <c r="M131" s="166" t="e">
        <f>RANK(K131, K$128:$K$142)</f>
        <v>#DIV/0!</v>
      </c>
    </row>
    <row r="132" spans="2:13" s="103" customFormat="1">
      <c r="B132" s="479"/>
      <c r="C132" s="180">
        <v>5</v>
      </c>
      <c r="D132" s="201"/>
      <c r="E132" s="166"/>
      <c r="F132" s="180"/>
      <c r="G132" s="265"/>
      <c r="H132" s="460"/>
      <c r="I132" s="166" t="e">
        <f t="shared" si="69"/>
        <v>#DIV/0!</v>
      </c>
      <c r="J132" s="166" t="e">
        <f t="shared" si="69"/>
        <v>#DIV/0!</v>
      </c>
      <c r="K132" s="166" t="e">
        <f t="shared" si="69"/>
        <v>#DIV/0!</v>
      </c>
      <c r="L132" s="517"/>
      <c r="M132" s="166" t="e">
        <f>RANK(K132, K$128:$K$142)</f>
        <v>#DIV/0!</v>
      </c>
    </row>
    <row r="133" spans="2:13" s="103" customFormat="1">
      <c r="B133" s="479"/>
      <c r="C133" s="180">
        <v>6</v>
      </c>
      <c r="D133" s="271"/>
      <c r="E133" s="166"/>
      <c r="F133" s="180"/>
      <c r="G133" s="265"/>
      <c r="H133" s="460"/>
      <c r="I133" s="166" t="e">
        <f t="shared" si="69"/>
        <v>#DIV/0!</v>
      </c>
      <c r="J133" s="166" t="e">
        <f t="shared" si="69"/>
        <v>#DIV/0!</v>
      </c>
      <c r="K133" s="166" t="e">
        <f t="shared" si="69"/>
        <v>#DIV/0!</v>
      </c>
      <c r="L133" s="517"/>
      <c r="M133" s="166" t="e">
        <f>RANK(K133, K$128:$K$142)</f>
        <v>#DIV/0!</v>
      </c>
    </row>
    <row r="134" spans="2:13" s="103" customFormat="1">
      <c r="B134" s="479"/>
      <c r="C134" s="180">
        <v>7</v>
      </c>
      <c r="D134" s="201"/>
      <c r="E134" s="166"/>
      <c r="F134" s="180"/>
      <c r="G134" s="265"/>
      <c r="H134" s="460"/>
      <c r="I134" s="166" t="e">
        <f t="shared" si="69"/>
        <v>#DIV/0!</v>
      </c>
      <c r="J134" s="166" t="e">
        <f t="shared" si="69"/>
        <v>#DIV/0!</v>
      </c>
      <c r="K134" s="166" t="e">
        <f t="shared" si="69"/>
        <v>#DIV/0!</v>
      </c>
      <c r="L134" s="517"/>
      <c r="M134" s="166" t="e">
        <f>RANK(K134, K$128:$K$142)</f>
        <v>#DIV/0!</v>
      </c>
    </row>
    <row r="135" spans="2:13" s="103" customFormat="1">
      <c r="B135" s="479"/>
      <c r="C135" s="180">
        <v>8</v>
      </c>
      <c r="D135" s="201"/>
      <c r="E135" s="166"/>
      <c r="F135" s="180"/>
      <c r="G135" s="265"/>
      <c r="H135" s="460"/>
      <c r="I135" s="166"/>
      <c r="J135" s="166"/>
      <c r="K135" s="166"/>
      <c r="L135" s="517"/>
      <c r="M135" s="166" t="e">
        <f>RANK(K135, K$128:$K$142)</f>
        <v>#DIV/0!</v>
      </c>
    </row>
    <row r="136" spans="2:13" s="103" customFormat="1">
      <c r="B136" s="479"/>
      <c r="C136" s="180">
        <v>9</v>
      </c>
      <c r="D136" s="201"/>
      <c r="E136" s="180"/>
      <c r="F136" s="180"/>
      <c r="G136" s="180"/>
      <c r="H136" s="460"/>
      <c r="I136" s="166"/>
      <c r="J136" s="166"/>
      <c r="K136" s="166"/>
      <c r="L136" s="517"/>
      <c r="M136" s="166" t="e">
        <f>RANK(K136, K$128:$K$142)</f>
        <v>#DIV/0!</v>
      </c>
    </row>
    <row r="137" spans="2:13" s="103" customFormat="1">
      <c r="B137" s="479"/>
      <c r="C137" s="180">
        <v>10</v>
      </c>
      <c r="D137" s="201"/>
      <c r="E137" s="180"/>
      <c r="F137" s="180"/>
      <c r="G137" s="180"/>
      <c r="H137" s="460"/>
      <c r="I137" s="166"/>
      <c r="J137" s="166"/>
      <c r="K137" s="166"/>
      <c r="L137" s="517"/>
      <c r="M137" s="166" t="e">
        <f>RANK(K137, K$128:$K$142)</f>
        <v>#DIV/0!</v>
      </c>
    </row>
    <row r="138" spans="2:13" s="103" customFormat="1">
      <c r="B138" s="479"/>
      <c r="C138" s="180">
        <v>11</v>
      </c>
      <c r="D138" s="201"/>
      <c r="E138" s="180"/>
      <c r="F138" s="180"/>
      <c r="G138" s="180"/>
      <c r="H138" s="460"/>
      <c r="I138" s="166"/>
      <c r="J138" s="166"/>
      <c r="K138" s="166"/>
      <c r="L138" s="517"/>
      <c r="M138" s="166" t="e">
        <f>RANK(K138, K$128:$K$142)</f>
        <v>#DIV/0!</v>
      </c>
    </row>
    <row r="139" spans="2:13" s="103" customFormat="1">
      <c r="B139" s="479"/>
      <c r="C139" s="180">
        <v>12</v>
      </c>
      <c r="D139" s="201"/>
      <c r="E139" s="180"/>
      <c r="F139" s="180"/>
      <c r="G139" s="180"/>
      <c r="H139" s="460"/>
      <c r="I139" s="166"/>
      <c r="J139" s="166"/>
      <c r="K139" s="166"/>
      <c r="L139" s="517"/>
      <c r="M139" s="166" t="e">
        <f>RANK(K139, K$128:$K$142)</f>
        <v>#DIV/0!</v>
      </c>
    </row>
    <row r="140" spans="2:13" s="103" customFormat="1">
      <c r="B140" s="479"/>
      <c r="C140" s="180">
        <v>13</v>
      </c>
      <c r="D140" s="201"/>
      <c r="E140" s="180"/>
      <c r="F140" s="180"/>
      <c r="G140" s="180"/>
      <c r="H140" s="460"/>
      <c r="I140" s="166"/>
      <c r="J140" s="166"/>
      <c r="K140" s="166"/>
      <c r="L140" s="517"/>
      <c r="M140" s="166" t="e">
        <f>RANK(K140, K$128:$K$142)</f>
        <v>#DIV/0!</v>
      </c>
    </row>
    <row r="141" spans="2:13" s="103" customFormat="1">
      <c r="B141" s="479"/>
      <c r="C141" s="180">
        <v>14</v>
      </c>
      <c r="D141" s="201"/>
      <c r="E141" s="180"/>
      <c r="F141" s="180"/>
      <c r="G141" s="180"/>
      <c r="H141" s="460"/>
      <c r="I141" s="166"/>
      <c r="J141" s="166"/>
      <c r="K141" s="166"/>
      <c r="L141" s="517"/>
      <c r="M141" s="166" t="e">
        <f>RANK(K141, K$128:$K$142)</f>
        <v>#DIV/0!</v>
      </c>
    </row>
    <row r="142" spans="2:13" s="103" customFormat="1">
      <c r="B142" s="479"/>
      <c r="C142" s="180">
        <v>15</v>
      </c>
      <c r="D142" s="201"/>
      <c r="E142" s="180"/>
      <c r="F142" s="180"/>
      <c r="G142" s="180"/>
      <c r="H142" s="461"/>
      <c r="I142" s="166"/>
      <c r="J142" s="166"/>
      <c r="K142" s="166"/>
      <c r="L142" s="518"/>
      <c r="M142" s="166" t="e">
        <f>RANK(K142, K$128:$K$142)</f>
        <v>#DIV/0!</v>
      </c>
    </row>
  </sheetData>
  <mergeCells count="367">
    <mergeCell ref="B128:B142"/>
    <mergeCell ref="H128:H142"/>
    <mergeCell ref="L128:L142"/>
    <mergeCell ref="AX107:AX121"/>
    <mergeCell ref="B123:H124"/>
    <mergeCell ref="B125:B127"/>
    <mergeCell ref="C125:D127"/>
    <mergeCell ref="E125:G125"/>
    <mergeCell ref="H125:H127"/>
    <mergeCell ref="I125:K125"/>
    <mergeCell ref="L125:L127"/>
    <mergeCell ref="M125:M127"/>
    <mergeCell ref="E126:G126"/>
    <mergeCell ref="I126:K126"/>
    <mergeCell ref="B107:B121"/>
    <mergeCell ref="H107:H121"/>
    <mergeCell ref="L107:L121"/>
    <mergeCell ref="T107:T121"/>
    <mergeCell ref="Y107:Y121"/>
    <mergeCell ref="AD107:AD121"/>
    <mergeCell ref="AI107:AI121"/>
    <mergeCell ref="AN107:AN121"/>
    <mergeCell ref="AS107:AS121"/>
    <mergeCell ref="AI104:AI106"/>
    <mergeCell ref="AJ104:AM104"/>
    <mergeCell ref="AN104:AN106"/>
    <mergeCell ref="AO104:AR104"/>
    <mergeCell ref="AS104:AS106"/>
    <mergeCell ref="AT104:AW104"/>
    <mergeCell ref="AX104:AX106"/>
    <mergeCell ref="E105:G105"/>
    <mergeCell ref="I105:K105"/>
    <mergeCell ref="P105:S105"/>
    <mergeCell ref="U105:X105"/>
    <mergeCell ref="Z105:AC105"/>
    <mergeCell ref="AE105:AH105"/>
    <mergeCell ref="AJ105:AM105"/>
    <mergeCell ref="AO105:AR105"/>
    <mergeCell ref="AT105:AW105"/>
    <mergeCell ref="AT102:AX102"/>
    <mergeCell ref="P103:T103"/>
    <mergeCell ref="U103:Y103"/>
    <mergeCell ref="Z103:AD103"/>
    <mergeCell ref="AE103:AI103"/>
    <mergeCell ref="AJ103:AN103"/>
    <mergeCell ref="AO103:AS103"/>
    <mergeCell ref="AT103:AX103"/>
    <mergeCell ref="B104:B106"/>
    <mergeCell ref="C104:D106"/>
    <mergeCell ref="E104:G104"/>
    <mergeCell ref="H104:H106"/>
    <mergeCell ref="I104:K104"/>
    <mergeCell ref="L104:L106"/>
    <mergeCell ref="M104:M106"/>
    <mergeCell ref="N104:N121"/>
    <mergeCell ref="O104:O121"/>
    <mergeCell ref="P104:S104"/>
    <mergeCell ref="T104:T106"/>
    <mergeCell ref="U104:X104"/>
    <mergeCell ref="Y104:Y106"/>
    <mergeCell ref="Z104:AC104"/>
    <mergeCell ref="AD104:AD106"/>
    <mergeCell ref="AE104:AH104"/>
    <mergeCell ref="B102:H103"/>
    <mergeCell ref="N102:N103"/>
    <mergeCell ref="O102:O103"/>
    <mergeCell ref="P102:T102"/>
    <mergeCell ref="U102:Y102"/>
    <mergeCell ref="Z102:AD102"/>
    <mergeCell ref="AE102:AI102"/>
    <mergeCell ref="AJ102:AN102"/>
    <mergeCell ref="AO102:AS102"/>
    <mergeCell ref="AE2:AI2"/>
    <mergeCell ref="AJ2:AN2"/>
    <mergeCell ref="AO2:AS2"/>
    <mergeCell ref="AT2:AX2"/>
    <mergeCell ref="P3:T3"/>
    <mergeCell ref="U3:Y3"/>
    <mergeCell ref="Z3:AD3"/>
    <mergeCell ref="AE3:AI3"/>
    <mergeCell ref="AJ3:AN3"/>
    <mergeCell ref="AO3:AS3"/>
    <mergeCell ref="P2:T2"/>
    <mergeCell ref="U2:Y2"/>
    <mergeCell ref="Z2:AD2"/>
    <mergeCell ref="AT3:AX3"/>
    <mergeCell ref="B2:H3"/>
    <mergeCell ref="N2:N3"/>
    <mergeCell ref="O2:O3"/>
    <mergeCell ref="AT4:AW4"/>
    <mergeCell ref="AX4:AX6"/>
    <mergeCell ref="E5:G5"/>
    <mergeCell ref="I5:K5"/>
    <mergeCell ref="P5:S5"/>
    <mergeCell ref="U5:X5"/>
    <mergeCell ref="Z5:AC5"/>
    <mergeCell ref="AE5:AH5"/>
    <mergeCell ref="AJ5:AM5"/>
    <mergeCell ref="AO5:AR5"/>
    <mergeCell ref="AE4:AH4"/>
    <mergeCell ref="AI4:AI6"/>
    <mergeCell ref="AJ4:AM4"/>
    <mergeCell ref="AN4:AN6"/>
    <mergeCell ref="AO4:AR4"/>
    <mergeCell ref="AS4:AS6"/>
    <mergeCell ref="P4:S4"/>
    <mergeCell ref="T4:T6"/>
    <mergeCell ref="U4:X4"/>
    <mergeCell ref="Y4:Y6"/>
    <mergeCell ref="Z4:AC4"/>
    <mergeCell ref="AD4:AD6"/>
    <mergeCell ref="AT5:AW5"/>
    <mergeCell ref="B7:B21"/>
    <mergeCell ref="H7:H21"/>
    <mergeCell ref="L7:L21"/>
    <mergeCell ref="T7:T21"/>
    <mergeCell ref="Y7:Y21"/>
    <mergeCell ref="AD7:AD21"/>
    <mergeCell ref="AI7:AI21"/>
    <mergeCell ref="AN7:AN21"/>
    <mergeCell ref="AS7:AS21"/>
    <mergeCell ref="B4:B6"/>
    <mergeCell ref="C4:D6"/>
    <mergeCell ref="E4:G4"/>
    <mergeCell ref="H4:H6"/>
    <mergeCell ref="I4:K4"/>
    <mergeCell ref="L4:L6"/>
    <mergeCell ref="M4:M6"/>
    <mergeCell ref="N4:N21"/>
    <mergeCell ref="O4:O21"/>
    <mergeCell ref="B22:H23"/>
    <mergeCell ref="N22:N23"/>
    <mergeCell ref="O22:O23"/>
    <mergeCell ref="P22:T22"/>
    <mergeCell ref="U22:Y22"/>
    <mergeCell ref="Z22:AD22"/>
    <mergeCell ref="AE22:AI22"/>
    <mergeCell ref="AJ22:AN22"/>
    <mergeCell ref="AO22:AS22"/>
    <mergeCell ref="AT22:AX22"/>
    <mergeCell ref="P23:T23"/>
    <mergeCell ref="U23:Y23"/>
    <mergeCell ref="Z23:AD23"/>
    <mergeCell ref="AE23:AI23"/>
    <mergeCell ref="AJ23:AN23"/>
    <mergeCell ref="AO23:AS23"/>
    <mergeCell ref="AT23:AX23"/>
    <mergeCell ref="AX7:AX21"/>
    <mergeCell ref="AX24:AX26"/>
    <mergeCell ref="E25:G25"/>
    <mergeCell ref="I25:K25"/>
    <mergeCell ref="P25:S25"/>
    <mergeCell ref="U25:X25"/>
    <mergeCell ref="Z25:AC25"/>
    <mergeCell ref="Y24:Y26"/>
    <mergeCell ref="Z24:AC24"/>
    <mergeCell ref="AD24:AD26"/>
    <mergeCell ref="AE24:AH24"/>
    <mergeCell ref="AI24:AI26"/>
    <mergeCell ref="AJ24:AM24"/>
    <mergeCell ref="AE25:AH25"/>
    <mergeCell ref="AJ25:AM25"/>
    <mergeCell ref="M24:M26"/>
    <mergeCell ref="N24:N41"/>
    <mergeCell ref="O24:O41"/>
    <mergeCell ref="P24:S24"/>
    <mergeCell ref="T24:T26"/>
    <mergeCell ref="U24:X24"/>
    <mergeCell ref="E24:G24"/>
    <mergeCell ref="H24:H26"/>
    <mergeCell ref="I24:K24"/>
    <mergeCell ref="L24:L26"/>
    <mergeCell ref="AO25:AR25"/>
    <mergeCell ref="AT25:AW25"/>
    <mergeCell ref="B27:B41"/>
    <mergeCell ref="H27:H41"/>
    <mergeCell ref="L27:L41"/>
    <mergeCell ref="T27:T41"/>
    <mergeCell ref="Y27:Y41"/>
    <mergeCell ref="AD27:AD41"/>
    <mergeCell ref="AI27:AI41"/>
    <mergeCell ref="AN27:AN41"/>
    <mergeCell ref="AN24:AN26"/>
    <mergeCell ref="AO24:AR24"/>
    <mergeCell ref="AS24:AS26"/>
    <mergeCell ref="AT24:AW24"/>
    <mergeCell ref="B24:B26"/>
    <mergeCell ref="C24:D26"/>
    <mergeCell ref="AS27:AS41"/>
    <mergeCell ref="AX27:AX41"/>
    <mergeCell ref="B42:H43"/>
    <mergeCell ref="N42:N43"/>
    <mergeCell ref="O42:O43"/>
    <mergeCell ref="P42:T42"/>
    <mergeCell ref="U42:Y42"/>
    <mergeCell ref="Z42:AD42"/>
    <mergeCell ref="AE42:AI42"/>
    <mergeCell ref="AJ42:AN42"/>
    <mergeCell ref="AO42:AS42"/>
    <mergeCell ref="AT42:AX42"/>
    <mergeCell ref="P43:T43"/>
    <mergeCell ref="U43:Y43"/>
    <mergeCell ref="Z43:AD43"/>
    <mergeCell ref="AE43:AI43"/>
    <mergeCell ref="AJ43:AN43"/>
    <mergeCell ref="AO43:AS43"/>
    <mergeCell ref="AT43:AX43"/>
    <mergeCell ref="AX44:AX46"/>
    <mergeCell ref="E45:G45"/>
    <mergeCell ref="I45:K45"/>
    <mergeCell ref="P45:S45"/>
    <mergeCell ref="U45:X45"/>
    <mergeCell ref="Z45:AC45"/>
    <mergeCell ref="Y44:Y46"/>
    <mergeCell ref="Z44:AC44"/>
    <mergeCell ref="AD44:AD46"/>
    <mergeCell ref="AE44:AH44"/>
    <mergeCell ref="AI44:AI46"/>
    <mergeCell ref="AJ44:AM44"/>
    <mergeCell ref="AE45:AH45"/>
    <mergeCell ref="AJ45:AM45"/>
    <mergeCell ref="M44:M46"/>
    <mergeCell ref="N44:N61"/>
    <mergeCell ref="O44:O61"/>
    <mergeCell ref="P44:S44"/>
    <mergeCell ref="T44:T46"/>
    <mergeCell ref="U44:X44"/>
    <mergeCell ref="E44:G44"/>
    <mergeCell ref="H44:H46"/>
    <mergeCell ref="I44:K44"/>
    <mergeCell ref="L44:L46"/>
    <mergeCell ref="AO45:AR45"/>
    <mergeCell ref="AT45:AW45"/>
    <mergeCell ref="B47:B61"/>
    <mergeCell ref="H47:H61"/>
    <mergeCell ref="L47:L61"/>
    <mergeCell ref="T47:T61"/>
    <mergeCell ref="Y47:Y61"/>
    <mergeCell ref="AD47:AD61"/>
    <mergeCell ref="AI47:AI61"/>
    <mergeCell ref="AN47:AN61"/>
    <mergeCell ref="AN44:AN46"/>
    <mergeCell ref="AO44:AR44"/>
    <mergeCell ref="AS44:AS46"/>
    <mergeCell ref="AT44:AW44"/>
    <mergeCell ref="B44:B46"/>
    <mergeCell ref="C44:D46"/>
    <mergeCell ref="AS47:AS61"/>
    <mergeCell ref="AX47:AX61"/>
    <mergeCell ref="B62:H63"/>
    <mergeCell ref="N62:N63"/>
    <mergeCell ref="O62:O63"/>
    <mergeCell ref="P62:T62"/>
    <mergeCell ref="U62:Y62"/>
    <mergeCell ref="Z62:AD62"/>
    <mergeCell ref="AE62:AI62"/>
    <mergeCell ref="AJ62:AN62"/>
    <mergeCell ref="AO62:AS62"/>
    <mergeCell ref="AT62:AX62"/>
    <mergeCell ref="P63:T63"/>
    <mergeCell ref="U63:Y63"/>
    <mergeCell ref="Z63:AD63"/>
    <mergeCell ref="AE63:AI63"/>
    <mergeCell ref="AJ63:AN63"/>
    <mergeCell ref="AO63:AS63"/>
    <mergeCell ref="AT63:AX63"/>
    <mergeCell ref="AD87:AD101"/>
    <mergeCell ref="AI87:AI101"/>
    <mergeCell ref="B84:B86"/>
    <mergeCell ref="AX64:AX66"/>
    <mergeCell ref="E65:G65"/>
    <mergeCell ref="I65:K65"/>
    <mergeCell ref="P65:S65"/>
    <mergeCell ref="U65:X65"/>
    <mergeCell ref="Z65:AC65"/>
    <mergeCell ref="Y64:Y66"/>
    <mergeCell ref="Z64:AC64"/>
    <mergeCell ref="AD64:AD66"/>
    <mergeCell ref="AE64:AH64"/>
    <mergeCell ref="AI64:AI66"/>
    <mergeCell ref="AJ64:AM64"/>
    <mergeCell ref="AE65:AH65"/>
    <mergeCell ref="AJ65:AM65"/>
    <mergeCell ref="M64:M66"/>
    <mergeCell ref="N64:N81"/>
    <mergeCell ref="O64:O81"/>
    <mergeCell ref="P64:S64"/>
    <mergeCell ref="T64:T66"/>
    <mergeCell ref="U64:X64"/>
    <mergeCell ref="E64:G64"/>
    <mergeCell ref="AO65:AR65"/>
    <mergeCell ref="AT65:AW65"/>
    <mergeCell ref="B67:B81"/>
    <mergeCell ref="H67:H81"/>
    <mergeCell ref="L67:L81"/>
    <mergeCell ref="T67:T81"/>
    <mergeCell ref="Y67:Y81"/>
    <mergeCell ref="AD67:AD81"/>
    <mergeCell ref="AI67:AI81"/>
    <mergeCell ref="AN67:AN81"/>
    <mergeCell ref="AN64:AN66"/>
    <mergeCell ref="AO64:AR64"/>
    <mergeCell ref="AS64:AS66"/>
    <mergeCell ref="AT64:AW64"/>
    <mergeCell ref="B64:B66"/>
    <mergeCell ref="C64:D66"/>
    <mergeCell ref="AS67:AS81"/>
    <mergeCell ref="H64:H66"/>
    <mergeCell ref="I64:K64"/>
    <mergeCell ref="L64:L66"/>
    <mergeCell ref="AX67:AX81"/>
    <mergeCell ref="B82:H83"/>
    <mergeCell ref="N82:N83"/>
    <mergeCell ref="O82:O83"/>
    <mergeCell ref="P82:T82"/>
    <mergeCell ref="U82:Y82"/>
    <mergeCell ref="Z82:AD82"/>
    <mergeCell ref="AE82:AI82"/>
    <mergeCell ref="AJ82:AN82"/>
    <mergeCell ref="AO82:AS82"/>
    <mergeCell ref="AT82:AX82"/>
    <mergeCell ref="P83:T83"/>
    <mergeCell ref="U83:Y83"/>
    <mergeCell ref="Z83:AD83"/>
    <mergeCell ref="AE83:AI83"/>
    <mergeCell ref="AJ83:AN83"/>
    <mergeCell ref="AO83:AS83"/>
    <mergeCell ref="AT83:AX83"/>
    <mergeCell ref="Z84:AC84"/>
    <mergeCell ref="P84:S84"/>
    <mergeCell ref="T84:T86"/>
    <mergeCell ref="U84:X84"/>
    <mergeCell ref="E85:G85"/>
    <mergeCell ref="I85:K85"/>
    <mergeCell ref="P85:S85"/>
    <mergeCell ref="U85:X85"/>
    <mergeCell ref="M84:M86"/>
    <mergeCell ref="N84:N101"/>
    <mergeCell ref="O84:O101"/>
    <mergeCell ref="H87:H101"/>
    <mergeCell ref="L87:L101"/>
    <mergeCell ref="T87:T101"/>
    <mergeCell ref="Y87:Y101"/>
    <mergeCell ref="B87:B101"/>
    <mergeCell ref="AS87:AS101"/>
    <mergeCell ref="AX87:AX101"/>
    <mergeCell ref="AO85:AR85"/>
    <mergeCell ref="AT85:AW85"/>
    <mergeCell ref="AO84:AR84"/>
    <mergeCell ref="AS84:AS86"/>
    <mergeCell ref="AT84:AW84"/>
    <mergeCell ref="AX84:AX86"/>
    <mergeCell ref="AJ85:AM85"/>
    <mergeCell ref="AN87:AN101"/>
    <mergeCell ref="AN84:AN86"/>
    <mergeCell ref="AJ84:AM84"/>
    <mergeCell ref="C84:D86"/>
    <mergeCell ref="E84:G84"/>
    <mergeCell ref="H84:H86"/>
    <mergeCell ref="I84:K84"/>
    <mergeCell ref="L84:L86"/>
    <mergeCell ref="AD84:AD86"/>
    <mergeCell ref="AE84:AH84"/>
    <mergeCell ref="AI84:AI86"/>
    <mergeCell ref="AE85:AH85"/>
    <mergeCell ref="Z85:AC85"/>
    <mergeCell ref="Y84:Y86"/>
  </mergeCells>
  <phoneticPr fontId="11" type="noConversion"/>
  <pageMargins left="0.7" right="0.7" top="0.75" bottom="0.75" header="0.3" footer="0.3"/>
  <pageSetup paperSize="9"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FFCC"/>
  </sheetPr>
  <dimension ref="A1:BB142"/>
  <sheetViews>
    <sheetView topLeftCell="A43" zoomScale="50" zoomScaleNormal="50" workbookViewId="0">
      <pane xSplit="15" topLeftCell="P1" activePane="topRight" state="frozen"/>
      <selection activeCell="B144" sqref="B144:AX176"/>
      <selection pane="topRight" activeCell="AO88" sqref="AO88:AQ97"/>
    </sheetView>
  </sheetViews>
  <sheetFormatPr defaultColWidth="8.85546875" defaultRowHeight="12.75"/>
  <cols>
    <col min="1" max="1" width="5.5703125" style="103" customWidth="1"/>
    <col min="2" max="2" width="12.42578125" style="103" customWidth="1"/>
    <col min="3" max="3" width="8.85546875" style="102"/>
    <col min="4" max="4" width="26.42578125" style="102" customWidth="1"/>
    <col min="5" max="7" width="8.42578125" style="102" customWidth="1"/>
    <col min="8" max="8" width="11.140625" style="102" bestFit="1" customWidth="1"/>
    <col min="9" max="12" width="11.140625" style="102" customWidth="1"/>
    <col min="13" max="13" width="13.5703125" style="102" customWidth="1"/>
    <col min="14" max="14" width="9.85546875" style="102" customWidth="1"/>
    <col min="15" max="15" width="7.140625" style="102" customWidth="1"/>
    <col min="16" max="18" width="12.85546875" style="102" customWidth="1"/>
    <col min="19" max="19" width="5.42578125" style="102" customWidth="1"/>
    <col min="20" max="20" width="12.85546875" style="102" customWidth="1"/>
    <col min="21" max="23" width="12.85546875" style="103" customWidth="1"/>
    <col min="24" max="24" width="5.42578125" style="102" customWidth="1"/>
    <col min="25" max="28" width="12.85546875" style="103" customWidth="1"/>
    <col min="29" max="29" width="5.42578125" style="102" customWidth="1"/>
    <col min="30" max="30" width="12.85546875" style="103" customWidth="1"/>
    <col min="31" max="33" width="12.5703125" style="103" customWidth="1"/>
    <col min="34" max="34" width="5.42578125" style="102" customWidth="1"/>
    <col min="35" max="35" width="13" style="103" customWidth="1"/>
    <col min="36" max="38" width="12.5703125" style="103" customWidth="1"/>
    <col min="39" max="39" width="5.42578125" style="102" customWidth="1"/>
    <col min="40" max="40" width="13" style="103" customWidth="1"/>
    <col min="41" max="43" width="13.140625" style="103" customWidth="1"/>
    <col min="44" max="44" width="5.42578125" style="103" customWidth="1"/>
    <col min="45" max="48" width="13.140625" style="103" customWidth="1"/>
    <col min="49" max="49" width="5.42578125" style="103" customWidth="1"/>
    <col min="50" max="50" width="13.140625" style="103" customWidth="1"/>
    <col min="51" max="16384" width="8.85546875" style="103"/>
  </cols>
  <sheetData>
    <row r="1" spans="1:54" ht="24">
      <c r="A1" s="74"/>
      <c r="B1" s="196" t="s">
        <v>328</v>
      </c>
      <c r="C1" s="195">
        <f>AVERAGE(L7,L27,L47,L67,L87,L107)</f>
        <v>249.81281035213033</v>
      </c>
    </row>
    <row r="2" spans="1:54" ht="15.75">
      <c r="A2" s="79"/>
      <c r="B2" s="480" t="s">
        <v>721</v>
      </c>
      <c r="C2" s="480"/>
      <c r="D2" s="480"/>
      <c r="E2" s="480"/>
      <c r="F2" s="480"/>
      <c r="G2" s="480"/>
      <c r="H2" s="480"/>
      <c r="I2" s="181"/>
      <c r="J2" s="181"/>
      <c r="K2" s="181"/>
      <c r="L2" s="181"/>
      <c r="M2" s="178"/>
      <c r="N2" s="469" t="s">
        <v>722</v>
      </c>
      <c r="O2" s="469" t="s">
        <v>723</v>
      </c>
      <c r="P2" s="513"/>
      <c r="Q2" s="514"/>
      <c r="R2" s="514"/>
      <c r="S2" s="514"/>
      <c r="T2" s="515"/>
      <c r="U2" s="478"/>
      <c r="V2" s="479"/>
      <c r="W2" s="479"/>
      <c r="X2" s="479"/>
      <c r="Y2" s="479"/>
      <c r="Z2" s="478"/>
      <c r="AA2" s="479"/>
      <c r="AB2" s="479"/>
      <c r="AC2" s="479"/>
      <c r="AD2" s="479"/>
      <c r="AE2" s="478"/>
      <c r="AF2" s="479"/>
      <c r="AG2" s="479"/>
      <c r="AH2" s="479"/>
      <c r="AI2" s="479"/>
      <c r="AJ2" s="478"/>
      <c r="AK2" s="479"/>
      <c r="AL2" s="479"/>
      <c r="AM2" s="479"/>
      <c r="AN2" s="479"/>
      <c r="AO2" s="478">
        <v>46054</v>
      </c>
      <c r="AP2" s="479"/>
      <c r="AQ2" s="479"/>
      <c r="AR2" s="479"/>
      <c r="AS2" s="479"/>
      <c r="AT2" s="478">
        <f>AO2+1</f>
        <v>46055</v>
      </c>
      <c r="AU2" s="479"/>
      <c r="AV2" s="479"/>
      <c r="AW2" s="479"/>
      <c r="AX2" s="479"/>
    </row>
    <row r="3" spans="1:54" ht="15.75">
      <c r="A3" s="79"/>
      <c r="B3" s="495"/>
      <c r="C3" s="495"/>
      <c r="D3" s="495"/>
      <c r="E3" s="495"/>
      <c r="F3" s="495"/>
      <c r="G3" s="495"/>
      <c r="H3" s="495"/>
      <c r="I3" s="182"/>
      <c r="J3" s="182"/>
      <c r="K3" s="182"/>
      <c r="L3" s="182"/>
      <c r="M3" s="179"/>
      <c r="N3" s="471"/>
      <c r="O3" s="471"/>
      <c r="P3" s="475" t="s">
        <v>724</v>
      </c>
      <c r="Q3" s="476"/>
      <c r="R3" s="476"/>
      <c r="S3" s="476"/>
      <c r="T3" s="477"/>
      <c r="U3" s="475" t="s">
        <v>725</v>
      </c>
      <c r="V3" s="476"/>
      <c r="W3" s="476"/>
      <c r="X3" s="476"/>
      <c r="Y3" s="477"/>
      <c r="Z3" s="475" t="s">
        <v>726</v>
      </c>
      <c r="AA3" s="476"/>
      <c r="AB3" s="476"/>
      <c r="AC3" s="476"/>
      <c r="AD3" s="477"/>
      <c r="AE3" s="475" t="s">
        <v>727</v>
      </c>
      <c r="AF3" s="476"/>
      <c r="AG3" s="476"/>
      <c r="AH3" s="476"/>
      <c r="AI3" s="477"/>
      <c r="AJ3" s="475" t="s">
        <v>728</v>
      </c>
      <c r="AK3" s="476"/>
      <c r="AL3" s="476"/>
      <c r="AM3" s="476"/>
      <c r="AN3" s="477"/>
      <c r="AO3" s="475" t="s">
        <v>729</v>
      </c>
      <c r="AP3" s="476"/>
      <c r="AQ3" s="476"/>
      <c r="AR3" s="476"/>
      <c r="AS3" s="477"/>
      <c r="AT3" s="475" t="s">
        <v>730</v>
      </c>
      <c r="AU3" s="476"/>
      <c r="AV3" s="476"/>
      <c r="AW3" s="476"/>
      <c r="AX3" s="477"/>
    </row>
    <row r="4" spans="1:54" ht="14.25">
      <c r="A4" s="79"/>
      <c r="B4" s="462" t="s">
        <v>731</v>
      </c>
      <c r="C4" s="462" t="s">
        <v>732</v>
      </c>
      <c r="D4" s="462"/>
      <c r="E4" s="462" t="s">
        <v>733</v>
      </c>
      <c r="F4" s="462"/>
      <c r="G4" s="462"/>
      <c r="H4" s="463" t="s">
        <v>734</v>
      </c>
      <c r="I4" s="462" t="s">
        <v>735</v>
      </c>
      <c r="J4" s="462"/>
      <c r="K4" s="462"/>
      <c r="L4" s="463" t="s">
        <v>734</v>
      </c>
      <c r="M4" s="469" t="s">
        <v>736</v>
      </c>
      <c r="N4" s="462"/>
      <c r="O4" s="462" t="s">
        <v>737</v>
      </c>
      <c r="P4" s="466" t="s">
        <v>738</v>
      </c>
      <c r="Q4" s="467"/>
      <c r="R4" s="467"/>
      <c r="S4" s="468"/>
      <c r="T4" s="462" t="s">
        <v>734</v>
      </c>
      <c r="U4" s="466" t="s">
        <v>738</v>
      </c>
      <c r="V4" s="467"/>
      <c r="W4" s="467"/>
      <c r="X4" s="468"/>
      <c r="Y4" s="462" t="s">
        <v>734</v>
      </c>
      <c r="Z4" s="466" t="s">
        <v>738</v>
      </c>
      <c r="AA4" s="467"/>
      <c r="AB4" s="467"/>
      <c r="AC4" s="468"/>
      <c r="AD4" s="462" t="s">
        <v>734</v>
      </c>
      <c r="AE4" s="466" t="s">
        <v>738</v>
      </c>
      <c r="AF4" s="467"/>
      <c r="AG4" s="467"/>
      <c r="AH4" s="468"/>
      <c r="AI4" s="462" t="s">
        <v>734</v>
      </c>
      <c r="AJ4" s="466" t="s">
        <v>738</v>
      </c>
      <c r="AK4" s="467"/>
      <c r="AL4" s="467"/>
      <c r="AM4" s="468"/>
      <c r="AN4" s="462" t="s">
        <v>734</v>
      </c>
      <c r="AO4" s="466" t="s">
        <v>738</v>
      </c>
      <c r="AP4" s="467"/>
      <c r="AQ4" s="467"/>
      <c r="AR4" s="468"/>
      <c r="AS4" s="462" t="s">
        <v>734</v>
      </c>
      <c r="AT4" s="466" t="s">
        <v>738</v>
      </c>
      <c r="AU4" s="467"/>
      <c r="AV4" s="467"/>
      <c r="AW4" s="468"/>
      <c r="AX4" s="462" t="s">
        <v>734</v>
      </c>
    </row>
    <row r="5" spans="1:54" ht="14.25">
      <c r="A5" s="79"/>
      <c r="B5" s="462"/>
      <c r="C5" s="462"/>
      <c r="D5" s="462"/>
      <c r="E5" s="462" t="s">
        <v>739</v>
      </c>
      <c r="F5" s="462"/>
      <c r="G5" s="462"/>
      <c r="H5" s="464"/>
      <c r="I5" s="462" t="s">
        <v>739</v>
      </c>
      <c r="J5" s="462"/>
      <c r="K5" s="462"/>
      <c r="L5" s="464"/>
      <c r="M5" s="470"/>
      <c r="N5" s="462"/>
      <c r="O5" s="462"/>
      <c r="P5" s="466" t="s">
        <v>740</v>
      </c>
      <c r="Q5" s="467"/>
      <c r="R5" s="467"/>
      <c r="S5" s="468"/>
      <c r="T5" s="462"/>
      <c r="U5" s="466" t="s">
        <v>740</v>
      </c>
      <c r="V5" s="467"/>
      <c r="W5" s="467"/>
      <c r="X5" s="468"/>
      <c r="Y5" s="462"/>
      <c r="Z5" s="466" t="s">
        <v>740</v>
      </c>
      <c r="AA5" s="467"/>
      <c r="AB5" s="467"/>
      <c r="AC5" s="468"/>
      <c r="AD5" s="462"/>
      <c r="AE5" s="466" t="s">
        <v>740</v>
      </c>
      <c r="AF5" s="467"/>
      <c r="AG5" s="467"/>
      <c r="AH5" s="468"/>
      <c r="AI5" s="462"/>
      <c r="AJ5" s="466" t="s">
        <v>740</v>
      </c>
      <c r="AK5" s="467"/>
      <c r="AL5" s="467"/>
      <c r="AM5" s="468"/>
      <c r="AN5" s="462"/>
      <c r="AO5" s="466" t="s">
        <v>740</v>
      </c>
      <c r="AP5" s="467"/>
      <c r="AQ5" s="467"/>
      <c r="AR5" s="468"/>
      <c r="AS5" s="462"/>
      <c r="AT5" s="466" t="s">
        <v>740</v>
      </c>
      <c r="AU5" s="467"/>
      <c r="AV5" s="467"/>
      <c r="AW5" s="468"/>
      <c r="AX5" s="462"/>
    </row>
    <row r="6" spans="1:54" ht="14.25">
      <c r="A6" s="77"/>
      <c r="B6" s="462"/>
      <c r="C6" s="462"/>
      <c r="D6" s="462"/>
      <c r="E6" s="264" t="s">
        <v>741</v>
      </c>
      <c r="F6" s="264" t="s">
        <v>742</v>
      </c>
      <c r="G6" s="264" t="s">
        <v>743</v>
      </c>
      <c r="H6" s="465"/>
      <c r="I6" s="264" t="s">
        <v>741</v>
      </c>
      <c r="J6" s="264" t="s">
        <v>742</v>
      </c>
      <c r="K6" s="264" t="s">
        <v>743</v>
      </c>
      <c r="L6" s="465"/>
      <c r="M6" s="471"/>
      <c r="N6" s="462"/>
      <c r="O6" s="462"/>
      <c r="P6" s="264" t="s">
        <v>741</v>
      </c>
      <c r="Q6" s="264" t="s">
        <v>742</v>
      </c>
      <c r="R6" s="264" t="s">
        <v>743</v>
      </c>
      <c r="S6" s="264" t="s">
        <v>736</v>
      </c>
      <c r="T6" s="462"/>
      <c r="U6" s="264" t="s">
        <v>741</v>
      </c>
      <c r="V6" s="264" t="s">
        <v>742</v>
      </c>
      <c r="W6" s="264" t="s">
        <v>743</v>
      </c>
      <c r="X6" s="264" t="s">
        <v>736</v>
      </c>
      <c r="Y6" s="462"/>
      <c r="Z6" s="264" t="s">
        <v>741</v>
      </c>
      <c r="AA6" s="264" t="s">
        <v>742</v>
      </c>
      <c r="AB6" s="264" t="s">
        <v>743</v>
      </c>
      <c r="AC6" s="264" t="s">
        <v>736</v>
      </c>
      <c r="AD6" s="462"/>
      <c r="AE6" s="264" t="s">
        <v>741</v>
      </c>
      <c r="AF6" s="264" t="s">
        <v>742</v>
      </c>
      <c r="AG6" s="264" t="s">
        <v>743</v>
      </c>
      <c r="AH6" s="264" t="s">
        <v>736</v>
      </c>
      <c r="AI6" s="462"/>
      <c r="AJ6" s="264" t="s">
        <v>741</v>
      </c>
      <c r="AK6" s="264" t="s">
        <v>742</v>
      </c>
      <c r="AL6" s="264" t="s">
        <v>743</v>
      </c>
      <c r="AM6" s="264" t="s">
        <v>736</v>
      </c>
      <c r="AN6" s="462"/>
      <c r="AO6" s="264" t="s">
        <v>741</v>
      </c>
      <c r="AP6" s="264" t="s">
        <v>742</v>
      </c>
      <c r="AQ6" s="264" t="s">
        <v>743</v>
      </c>
      <c r="AR6" s="264" t="s">
        <v>736</v>
      </c>
      <c r="AS6" s="462"/>
      <c r="AT6" s="264" t="s">
        <v>741</v>
      </c>
      <c r="AU6" s="264" t="s">
        <v>742</v>
      </c>
      <c r="AV6" s="264" t="s">
        <v>743</v>
      </c>
      <c r="AW6" s="264" t="s">
        <v>736</v>
      </c>
      <c r="AX6" s="462"/>
    </row>
    <row r="7" spans="1:54" ht="14.25">
      <c r="A7" s="79"/>
      <c r="B7" s="507" t="s">
        <v>750</v>
      </c>
      <c r="C7" s="180">
        <v>1</v>
      </c>
      <c r="D7" s="201" t="s">
        <v>387</v>
      </c>
      <c r="E7" s="166">
        <v>4</v>
      </c>
      <c r="F7" s="166">
        <v>2000</v>
      </c>
      <c r="G7" s="166">
        <v>500</v>
      </c>
      <c r="H7" s="459">
        <f>AVERAGE(G7:G21)</f>
        <v>291.83148148148149</v>
      </c>
      <c r="I7" s="166">
        <f>AVERAGE(P7,U7,Z7,AE7,AJ7,AO7,AT7)</f>
        <v>5</v>
      </c>
      <c r="J7" s="166">
        <f>AVERAGE(Q7,V7,AA7,AF7,AK7,AP7,AU7)</f>
        <v>2136.0206659012629</v>
      </c>
      <c r="K7" s="265">
        <f>AVERAGE(R7,W7,AB7,AG7,AL7,AQ7,AV7)</f>
        <v>427.2041331802526</v>
      </c>
      <c r="L7" s="459">
        <f>AVERAGE(K7:K21)</f>
        <v>253.86024978438491</v>
      </c>
      <c r="M7" s="166">
        <f>RANK(K7, K$7:$K$21)</f>
        <v>3</v>
      </c>
      <c r="N7" s="462"/>
      <c r="O7" s="462"/>
      <c r="P7" s="180"/>
      <c r="Q7" s="166"/>
      <c r="R7" s="166"/>
      <c r="S7" s="180" t="e">
        <f>RANK(R7, R$7:R$21)</f>
        <v>#N/A</v>
      </c>
      <c r="T7" s="486" t="e">
        <f>AVERAGE(R7:R21)</f>
        <v>#DIV/0!</v>
      </c>
      <c r="U7" s="180"/>
      <c r="V7" s="166"/>
      <c r="W7" s="166"/>
      <c r="X7" s="180" t="e">
        <f>RANK(W7, W$7:W$21)</f>
        <v>#N/A</v>
      </c>
      <c r="Y7" s="486" t="e">
        <f t="shared" ref="Y7" si="0">AVERAGE(W7:W21)</f>
        <v>#DIV/0!</v>
      </c>
      <c r="Z7" s="180"/>
      <c r="AA7" s="166"/>
      <c r="AB7" s="166"/>
      <c r="AC7" s="180" t="e">
        <f>RANK(AB7, AB$7:AB$21)</f>
        <v>#N/A</v>
      </c>
      <c r="AD7" s="486" t="e">
        <f t="shared" ref="AD7" si="1">AVERAGE(AB7:AB21)</f>
        <v>#DIV/0!</v>
      </c>
      <c r="AE7" s="180"/>
      <c r="AF7" s="166"/>
      <c r="AG7" s="166"/>
      <c r="AH7" s="180" t="e">
        <f>RANK(AG7, AG$7:AG$21)</f>
        <v>#N/A</v>
      </c>
      <c r="AI7" s="486" t="e">
        <f t="shared" ref="AI7" si="2">AVERAGE(AG7:AG21)</f>
        <v>#DIV/0!</v>
      </c>
      <c r="AJ7" s="180"/>
      <c r="AK7" s="166"/>
      <c r="AL7" s="166"/>
      <c r="AM7" s="180" t="e">
        <f>RANK(AL7, AL$7:AL$21)</f>
        <v>#N/A</v>
      </c>
      <c r="AN7" s="486" t="e">
        <f t="shared" ref="AN7" si="3">AVERAGE(AL7:AL21)</f>
        <v>#DIV/0!</v>
      </c>
      <c r="AO7" s="180">
        <v>5</v>
      </c>
      <c r="AP7" s="166">
        <v>2128.6567164179105</v>
      </c>
      <c r="AQ7" s="166">
        <v>425.73134328358208</v>
      </c>
      <c r="AR7" s="180">
        <f>RANK(AQ7, AQ$7:AQ$21)</f>
        <v>3</v>
      </c>
      <c r="AS7" s="486">
        <f t="shared" ref="AS7" si="4">AVERAGE(AQ7:AQ21)</f>
        <v>252.49998289950057</v>
      </c>
      <c r="AT7" s="180">
        <v>5</v>
      </c>
      <c r="AU7" s="166">
        <v>2143.3846153846152</v>
      </c>
      <c r="AV7" s="166">
        <v>428.67692307692306</v>
      </c>
      <c r="AW7" s="180">
        <f>RANK(AV7, AV$7:AV$21)</f>
        <v>2</v>
      </c>
      <c r="AX7" s="486">
        <f t="shared" ref="AX7" si="5">AVERAGE(AV7:AV21)</f>
        <v>255.22051666926927</v>
      </c>
      <c r="AZ7" s="272" t="e">
        <f>RANK(AX7, $K$7:AX$21)</f>
        <v>#N/A</v>
      </c>
      <c r="BB7" s="180" t="e">
        <f>RANK(BA7, BA$7:BA$21)</f>
        <v>#N/A</v>
      </c>
    </row>
    <row r="8" spans="1:54" ht="15" customHeight="1">
      <c r="A8" s="79"/>
      <c r="B8" s="479"/>
      <c r="C8" s="180">
        <v>2</v>
      </c>
      <c r="D8" s="201" t="s">
        <v>427</v>
      </c>
      <c r="E8" s="166">
        <v>4</v>
      </c>
      <c r="F8" s="166">
        <v>2000</v>
      </c>
      <c r="G8" s="166">
        <v>500</v>
      </c>
      <c r="H8" s="460"/>
      <c r="I8" s="166">
        <f t="shared" ref="I8:K18" si="6">AVERAGE(P8,U8,Z8,AE8,AJ8,AO8,AT8)</f>
        <v>5</v>
      </c>
      <c r="J8" s="166">
        <f t="shared" si="6"/>
        <v>2165.3117433414054</v>
      </c>
      <c r="K8" s="265">
        <f t="shared" si="6"/>
        <v>433.06234866828106</v>
      </c>
      <c r="L8" s="460"/>
      <c r="M8" s="166">
        <f>RANK(K8, K$7:$K$21)</f>
        <v>2</v>
      </c>
      <c r="N8" s="462"/>
      <c r="O8" s="462"/>
      <c r="P8" s="180"/>
      <c r="Q8" s="166"/>
      <c r="R8" s="166"/>
      <c r="S8" s="180" t="e">
        <f t="shared" ref="S8:S21" si="7">RANK(R8, R$7:R$21)</f>
        <v>#N/A</v>
      </c>
      <c r="T8" s="486"/>
      <c r="U8" s="180"/>
      <c r="V8" s="166"/>
      <c r="W8" s="166"/>
      <c r="X8" s="180" t="e">
        <f t="shared" ref="X8:X21" si="8">RANK(W8, W$7:W$21)</f>
        <v>#N/A</v>
      </c>
      <c r="Y8" s="486"/>
      <c r="Z8" s="180"/>
      <c r="AA8" s="166"/>
      <c r="AB8" s="166"/>
      <c r="AC8" s="180" t="e">
        <f t="shared" ref="AC8:AC21" si="9">RANK(AB8, AB$7:AB$21)</f>
        <v>#N/A</v>
      </c>
      <c r="AD8" s="486"/>
      <c r="AE8" s="180"/>
      <c r="AF8" s="166"/>
      <c r="AG8" s="166"/>
      <c r="AH8" s="180" t="e">
        <f t="shared" ref="AH8:AH21" si="10">RANK(AG8, AG$7:AG$21)</f>
        <v>#N/A</v>
      </c>
      <c r="AI8" s="486"/>
      <c r="AJ8" s="180"/>
      <c r="AK8" s="166"/>
      <c r="AL8" s="166"/>
      <c r="AM8" s="180" t="e">
        <f t="shared" ref="AM8:AM21" si="11">RANK(AL8, AL$7:AL$21)</f>
        <v>#N/A</v>
      </c>
      <c r="AN8" s="486"/>
      <c r="AO8" s="180">
        <v>5</v>
      </c>
      <c r="AP8" s="166">
        <v>2188.9285714285729</v>
      </c>
      <c r="AQ8" s="166">
        <v>437.78571428571456</v>
      </c>
      <c r="AR8" s="180">
        <f t="shared" ref="AR8:AR21" si="12">RANK(AQ8, AQ$7:AQ$21)</f>
        <v>1</v>
      </c>
      <c r="AS8" s="486"/>
      <c r="AT8" s="180">
        <v>5</v>
      </c>
      <c r="AU8" s="166">
        <v>2141.6949152542375</v>
      </c>
      <c r="AV8" s="166">
        <v>428.3389830508475</v>
      </c>
      <c r="AW8" s="180">
        <f t="shared" ref="AW8:AW21" si="13">RANK(AV8, AV$7:AV$21)</f>
        <v>3</v>
      </c>
      <c r="AX8" s="486"/>
      <c r="AZ8" s="272" t="e">
        <f>RANK(AX8, $K$7:AX$21)</f>
        <v>#N/A</v>
      </c>
      <c r="BB8" s="180" t="e">
        <f t="shared" ref="BB8:BB21" si="14">RANK(BA8, BA$7:BA$21)</f>
        <v>#N/A</v>
      </c>
    </row>
    <row r="9" spans="1:54" ht="14.25">
      <c r="A9" s="79"/>
      <c r="B9" s="479"/>
      <c r="C9" s="180">
        <v>3</v>
      </c>
      <c r="D9" s="201" t="s">
        <v>388</v>
      </c>
      <c r="E9" s="166">
        <v>13</v>
      </c>
      <c r="F9" s="166">
        <v>2250</v>
      </c>
      <c r="G9" s="166">
        <v>160.69999999999999</v>
      </c>
      <c r="H9" s="460"/>
      <c r="I9" s="166">
        <f t="shared" si="6"/>
        <v>13</v>
      </c>
      <c r="J9" s="166">
        <f t="shared" si="6"/>
        <v>1987.1206896551728</v>
      </c>
      <c r="K9" s="265">
        <f t="shared" si="6"/>
        <v>152.85543766578252</v>
      </c>
      <c r="L9" s="460"/>
      <c r="M9" s="166">
        <f>RANK(K9, K$7:$K$21)</f>
        <v>11</v>
      </c>
      <c r="N9" s="462"/>
      <c r="O9" s="462"/>
      <c r="P9" s="180"/>
      <c r="Q9" s="166"/>
      <c r="R9" s="166"/>
      <c r="S9" s="180" t="e">
        <f t="shared" si="7"/>
        <v>#N/A</v>
      </c>
      <c r="T9" s="486"/>
      <c r="U9" s="180"/>
      <c r="V9" s="166"/>
      <c r="W9" s="166"/>
      <c r="X9" s="180" t="e">
        <f t="shared" si="8"/>
        <v>#N/A</v>
      </c>
      <c r="Y9" s="486"/>
      <c r="Z9" s="180"/>
      <c r="AA9" s="166"/>
      <c r="AB9" s="166"/>
      <c r="AC9" s="180" t="e">
        <f t="shared" si="9"/>
        <v>#N/A</v>
      </c>
      <c r="AD9" s="486"/>
      <c r="AE9" s="180"/>
      <c r="AF9" s="166"/>
      <c r="AG9" s="166"/>
      <c r="AH9" s="180" t="e">
        <f t="shared" si="10"/>
        <v>#N/A</v>
      </c>
      <c r="AI9" s="486"/>
      <c r="AJ9" s="180"/>
      <c r="AK9" s="166"/>
      <c r="AL9" s="166"/>
      <c r="AM9" s="180" t="e">
        <f t="shared" si="11"/>
        <v>#N/A</v>
      </c>
      <c r="AN9" s="486"/>
      <c r="AO9" s="180">
        <v>13</v>
      </c>
      <c r="AP9" s="166">
        <v>1987.2413793103451</v>
      </c>
      <c r="AQ9" s="166">
        <v>152.86472148541117</v>
      </c>
      <c r="AR9" s="180">
        <f t="shared" si="12"/>
        <v>11</v>
      </c>
      <c r="AS9" s="486"/>
      <c r="AT9" s="180">
        <v>13</v>
      </c>
      <c r="AU9" s="166">
        <v>1987.0000000000005</v>
      </c>
      <c r="AV9" s="166">
        <v>152.84615384615387</v>
      </c>
      <c r="AW9" s="180">
        <f t="shared" si="13"/>
        <v>11</v>
      </c>
      <c r="AX9" s="486"/>
      <c r="AZ9" s="272" t="e">
        <f>RANK(AX9, $K$7:AX$21)</f>
        <v>#N/A</v>
      </c>
      <c r="BB9" s="180" t="e">
        <f t="shared" si="14"/>
        <v>#N/A</v>
      </c>
    </row>
    <row r="10" spans="1:54" ht="14.25">
      <c r="A10" s="79"/>
      <c r="B10" s="479"/>
      <c r="C10" s="180">
        <v>4</v>
      </c>
      <c r="D10" s="201" t="s">
        <v>389</v>
      </c>
      <c r="E10" s="166">
        <v>12</v>
      </c>
      <c r="F10" s="166">
        <v>2250</v>
      </c>
      <c r="G10" s="166">
        <v>176.5</v>
      </c>
      <c r="H10" s="460"/>
      <c r="I10" s="166">
        <f t="shared" si="6"/>
        <v>12</v>
      </c>
      <c r="J10" s="166">
        <f t="shared" si="6"/>
        <v>1951.3432835820909</v>
      </c>
      <c r="K10" s="265">
        <f t="shared" si="6"/>
        <v>162.61194029850756</v>
      </c>
      <c r="L10" s="460"/>
      <c r="M10" s="166">
        <f>RANK(K10, K$7:$K$21)</f>
        <v>10</v>
      </c>
      <c r="N10" s="462"/>
      <c r="O10" s="462"/>
      <c r="P10" s="180"/>
      <c r="Q10" s="166"/>
      <c r="R10" s="166"/>
      <c r="S10" s="180" t="e">
        <f t="shared" si="7"/>
        <v>#N/A</v>
      </c>
      <c r="T10" s="486"/>
      <c r="U10" s="180"/>
      <c r="V10" s="166"/>
      <c r="W10" s="166"/>
      <c r="X10" s="180" t="e">
        <f t="shared" si="8"/>
        <v>#N/A</v>
      </c>
      <c r="Y10" s="486"/>
      <c r="Z10" s="180"/>
      <c r="AA10" s="166"/>
      <c r="AB10" s="166"/>
      <c r="AC10" s="180" t="e">
        <f t="shared" si="9"/>
        <v>#N/A</v>
      </c>
      <c r="AD10" s="486"/>
      <c r="AE10" s="180"/>
      <c r="AF10" s="166"/>
      <c r="AG10" s="166"/>
      <c r="AH10" s="180" t="e">
        <f t="shared" si="10"/>
        <v>#N/A</v>
      </c>
      <c r="AI10" s="486"/>
      <c r="AJ10" s="180"/>
      <c r="AK10" s="166"/>
      <c r="AL10" s="166"/>
      <c r="AM10" s="180" t="e">
        <f t="shared" si="11"/>
        <v>#N/A</v>
      </c>
      <c r="AN10" s="486"/>
      <c r="AO10" s="180">
        <v>12</v>
      </c>
      <c r="AP10" s="166">
        <v>1941.492537313434</v>
      </c>
      <c r="AQ10" s="166">
        <v>161.79104477611949</v>
      </c>
      <c r="AR10" s="180">
        <f t="shared" si="12"/>
        <v>10</v>
      </c>
      <c r="AS10" s="486"/>
      <c r="AT10" s="180">
        <v>12</v>
      </c>
      <c r="AU10" s="166">
        <v>1961.1940298507475</v>
      </c>
      <c r="AV10" s="166">
        <v>163.43283582089563</v>
      </c>
      <c r="AW10" s="180">
        <f t="shared" si="13"/>
        <v>10</v>
      </c>
      <c r="AX10" s="486"/>
      <c r="AZ10" s="272" t="e">
        <f>RANK(AX10, $K$7:AX$21)</f>
        <v>#N/A</v>
      </c>
      <c r="BB10" s="180" t="e">
        <f t="shared" si="14"/>
        <v>#N/A</v>
      </c>
    </row>
    <row r="11" spans="1:54" ht="14.25">
      <c r="A11" s="79"/>
      <c r="B11" s="479"/>
      <c r="C11" s="180">
        <v>5</v>
      </c>
      <c r="D11" s="201" t="s">
        <v>390</v>
      </c>
      <c r="E11" s="166">
        <v>12</v>
      </c>
      <c r="F11" s="166">
        <v>2250</v>
      </c>
      <c r="G11" s="166">
        <v>187.5</v>
      </c>
      <c r="H11" s="460"/>
      <c r="I11" s="166">
        <f t="shared" si="6"/>
        <v>12</v>
      </c>
      <c r="J11" s="166">
        <f t="shared" si="6"/>
        <v>2202.624666920442</v>
      </c>
      <c r="K11" s="265">
        <f t="shared" si="6"/>
        <v>183.55205557670348</v>
      </c>
      <c r="L11" s="460"/>
      <c r="M11" s="166">
        <f>RANK(K11, K$7:$K$21)</f>
        <v>8</v>
      </c>
      <c r="N11" s="462"/>
      <c r="O11" s="462"/>
      <c r="P11" s="180"/>
      <c r="Q11" s="166"/>
      <c r="R11" s="166"/>
      <c r="S11" s="180" t="e">
        <f t="shared" si="7"/>
        <v>#N/A</v>
      </c>
      <c r="T11" s="486"/>
      <c r="U11" s="180"/>
      <c r="V11" s="166"/>
      <c r="W11" s="166"/>
      <c r="X11" s="180" t="e">
        <f t="shared" si="8"/>
        <v>#N/A</v>
      </c>
      <c r="Y11" s="486"/>
      <c r="Z11" s="180"/>
      <c r="AA11" s="166"/>
      <c r="AB11" s="166"/>
      <c r="AC11" s="180" t="e">
        <f t="shared" si="9"/>
        <v>#N/A</v>
      </c>
      <c r="AD11" s="486"/>
      <c r="AE11" s="180"/>
      <c r="AF11" s="166"/>
      <c r="AG11" s="166"/>
      <c r="AH11" s="180" t="e">
        <f t="shared" si="10"/>
        <v>#N/A</v>
      </c>
      <c r="AI11" s="486"/>
      <c r="AJ11" s="180"/>
      <c r="AK11" s="166"/>
      <c r="AL11" s="166"/>
      <c r="AM11" s="180" t="e">
        <f t="shared" si="11"/>
        <v>#N/A</v>
      </c>
      <c r="AN11" s="486"/>
      <c r="AO11" s="180">
        <v>12</v>
      </c>
      <c r="AP11" s="166">
        <v>2162.4324324324321</v>
      </c>
      <c r="AQ11" s="166">
        <v>180.20270270270268</v>
      </c>
      <c r="AR11" s="180">
        <f t="shared" si="12"/>
        <v>8</v>
      </c>
      <c r="AS11" s="486"/>
      <c r="AT11" s="180">
        <v>12</v>
      </c>
      <c r="AU11" s="166">
        <v>2242.8169014084515</v>
      </c>
      <c r="AV11" s="166">
        <v>186.90140845070428</v>
      </c>
      <c r="AW11" s="180">
        <f t="shared" si="13"/>
        <v>7</v>
      </c>
      <c r="AX11" s="486"/>
      <c r="AZ11" s="272" t="e">
        <f>RANK(AX11, $K$7:AX$21)</f>
        <v>#N/A</v>
      </c>
      <c r="BB11" s="180" t="e">
        <f t="shared" si="14"/>
        <v>#N/A</v>
      </c>
    </row>
    <row r="12" spans="1:54" ht="14.25">
      <c r="A12" s="79"/>
      <c r="B12" s="479"/>
      <c r="C12" s="180">
        <v>6</v>
      </c>
      <c r="D12" s="201" t="s">
        <v>391</v>
      </c>
      <c r="E12" s="166">
        <v>13</v>
      </c>
      <c r="F12" s="166">
        <v>2250</v>
      </c>
      <c r="G12" s="166">
        <v>173</v>
      </c>
      <c r="H12" s="460"/>
      <c r="I12" s="166">
        <f t="shared" si="6"/>
        <v>13</v>
      </c>
      <c r="J12" s="166">
        <f t="shared" si="6"/>
        <v>2179.4523809523807</v>
      </c>
      <c r="K12" s="265">
        <f t="shared" si="6"/>
        <v>167.65018315018315</v>
      </c>
      <c r="L12" s="460"/>
      <c r="M12" s="166">
        <f>RANK(K12, K$7:$K$21)</f>
        <v>9</v>
      </c>
      <c r="N12" s="462"/>
      <c r="O12" s="462"/>
      <c r="P12" s="180"/>
      <c r="Q12" s="166"/>
      <c r="R12" s="166"/>
      <c r="S12" s="180" t="e">
        <f t="shared" si="7"/>
        <v>#N/A</v>
      </c>
      <c r="T12" s="486"/>
      <c r="U12" s="180"/>
      <c r="V12" s="166"/>
      <c r="W12" s="166"/>
      <c r="X12" s="180" t="e">
        <f t="shared" si="8"/>
        <v>#N/A</v>
      </c>
      <c r="Y12" s="486"/>
      <c r="Z12" s="180"/>
      <c r="AA12" s="166"/>
      <c r="AB12" s="166"/>
      <c r="AC12" s="180" t="e">
        <f t="shared" si="9"/>
        <v>#N/A</v>
      </c>
      <c r="AD12" s="486"/>
      <c r="AE12" s="180"/>
      <c r="AF12" s="166"/>
      <c r="AG12" s="166"/>
      <c r="AH12" s="180" t="e">
        <f t="shared" si="10"/>
        <v>#N/A</v>
      </c>
      <c r="AI12" s="486"/>
      <c r="AJ12" s="180"/>
      <c r="AK12" s="166"/>
      <c r="AL12" s="166"/>
      <c r="AM12" s="180" t="e">
        <f t="shared" si="11"/>
        <v>#N/A</v>
      </c>
      <c r="AN12" s="486"/>
      <c r="AO12" s="180">
        <v>13</v>
      </c>
      <c r="AP12" s="166">
        <v>2198.3333333333339</v>
      </c>
      <c r="AQ12" s="166">
        <v>169.10256410256414</v>
      </c>
      <c r="AR12" s="180">
        <f t="shared" si="12"/>
        <v>9</v>
      </c>
      <c r="AS12" s="486"/>
      <c r="AT12" s="180">
        <v>13</v>
      </c>
      <c r="AU12" s="166">
        <v>2160.571428571428</v>
      </c>
      <c r="AV12" s="166">
        <v>166.19780219780216</v>
      </c>
      <c r="AW12" s="180">
        <f t="shared" si="13"/>
        <v>9</v>
      </c>
      <c r="AX12" s="486"/>
      <c r="AZ12" s="272" t="e">
        <f>RANK(AX12, $K$7:AX$21)</f>
        <v>#N/A</v>
      </c>
      <c r="BB12" s="180" t="e">
        <f t="shared" si="14"/>
        <v>#N/A</v>
      </c>
    </row>
    <row r="13" spans="1:54" ht="14.25">
      <c r="A13" s="79"/>
      <c r="B13" s="479"/>
      <c r="C13" s="180">
        <v>7</v>
      </c>
      <c r="D13" s="201" t="s">
        <v>392</v>
      </c>
      <c r="E13" s="166">
        <v>10</v>
      </c>
      <c r="F13" s="166">
        <v>2250</v>
      </c>
      <c r="G13" s="166">
        <v>225</v>
      </c>
      <c r="H13" s="460"/>
      <c r="I13" s="166">
        <f t="shared" si="6"/>
        <v>10</v>
      </c>
      <c r="J13" s="166">
        <f t="shared" si="6"/>
        <v>2016.1086206896543</v>
      </c>
      <c r="K13" s="265">
        <f t="shared" si="6"/>
        <v>201.61086206896545</v>
      </c>
      <c r="L13" s="460"/>
      <c r="M13" s="166">
        <f>RANK(K13, K$7:$K$21)</f>
        <v>6</v>
      </c>
      <c r="N13" s="462"/>
      <c r="O13" s="462"/>
      <c r="P13" s="180"/>
      <c r="Q13" s="166"/>
      <c r="R13" s="166"/>
      <c r="S13" s="180" t="e">
        <f t="shared" si="7"/>
        <v>#N/A</v>
      </c>
      <c r="T13" s="486"/>
      <c r="U13" s="180"/>
      <c r="V13" s="166"/>
      <c r="W13" s="166"/>
      <c r="X13" s="180" t="e">
        <f t="shared" si="8"/>
        <v>#N/A</v>
      </c>
      <c r="Y13" s="486"/>
      <c r="Z13" s="180"/>
      <c r="AA13" s="166"/>
      <c r="AB13" s="166"/>
      <c r="AC13" s="180" t="e">
        <f t="shared" si="9"/>
        <v>#N/A</v>
      </c>
      <c r="AD13" s="486"/>
      <c r="AE13" s="180"/>
      <c r="AF13" s="166"/>
      <c r="AG13" s="166"/>
      <c r="AH13" s="180" t="e">
        <f t="shared" si="10"/>
        <v>#N/A</v>
      </c>
      <c r="AI13" s="486"/>
      <c r="AJ13" s="180"/>
      <c r="AK13" s="166"/>
      <c r="AL13" s="166"/>
      <c r="AM13" s="180" t="e">
        <f t="shared" si="11"/>
        <v>#N/A</v>
      </c>
      <c r="AN13" s="486"/>
      <c r="AO13" s="180">
        <v>10</v>
      </c>
      <c r="AP13" s="166">
        <v>2001.5172413793098</v>
      </c>
      <c r="AQ13" s="166">
        <v>200.15172413793098</v>
      </c>
      <c r="AR13" s="180">
        <f t="shared" si="12"/>
        <v>6</v>
      </c>
      <c r="AS13" s="486"/>
      <c r="AT13" s="180">
        <v>10</v>
      </c>
      <c r="AU13" s="166">
        <v>2030.6999999999991</v>
      </c>
      <c r="AV13" s="166">
        <v>203.06999999999991</v>
      </c>
      <c r="AW13" s="180">
        <f t="shared" si="13"/>
        <v>6</v>
      </c>
      <c r="AX13" s="486"/>
      <c r="AZ13" s="272" t="e">
        <f>RANK(AX13, $K$7:AX$21)</f>
        <v>#N/A</v>
      </c>
      <c r="BB13" s="180" t="e">
        <f t="shared" si="14"/>
        <v>#N/A</v>
      </c>
    </row>
    <row r="14" spans="1:54" ht="14.25">
      <c r="A14" s="79"/>
      <c r="B14" s="479"/>
      <c r="C14" s="180">
        <v>8</v>
      </c>
      <c r="D14" s="201" t="s">
        <v>386</v>
      </c>
      <c r="E14" s="166">
        <v>18</v>
      </c>
      <c r="F14" s="166">
        <v>1250</v>
      </c>
      <c r="G14" s="166">
        <v>69.444444444444443</v>
      </c>
      <c r="H14" s="460"/>
      <c r="I14" s="166">
        <f t="shared" si="6"/>
        <v>13</v>
      </c>
      <c r="J14" s="166">
        <f t="shared" si="6"/>
        <v>1258.1250000000005</v>
      </c>
      <c r="K14" s="265">
        <f t="shared" si="6"/>
        <v>96.778846153846189</v>
      </c>
      <c r="L14" s="460"/>
      <c r="M14" s="166">
        <f>RANK(K14, K$7:$K$21)</f>
        <v>12</v>
      </c>
      <c r="N14" s="462"/>
      <c r="O14" s="462"/>
      <c r="P14" s="180"/>
      <c r="Q14" s="166"/>
      <c r="R14" s="166"/>
      <c r="S14" s="180" t="e">
        <f t="shared" si="7"/>
        <v>#N/A</v>
      </c>
      <c r="T14" s="486"/>
      <c r="U14" s="180"/>
      <c r="V14" s="166"/>
      <c r="W14" s="166"/>
      <c r="X14" s="180" t="e">
        <f t="shared" si="8"/>
        <v>#N/A</v>
      </c>
      <c r="Y14" s="486"/>
      <c r="Z14" s="180"/>
      <c r="AA14" s="166"/>
      <c r="AB14" s="166"/>
      <c r="AC14" s="180" t="e">
        <f t="shared" si="9"/>
        <v>#N/A</v>
      </c>
      <c r="AD14" s="486"/>
      <c r="AE14" s="180"/>
      <c r="AF14" s="166"/>
      <c r="AG14" s="166"/>
      <c r="AH14" s="180" t="e">
        <f t="shared" si="10"/>
        <v>#N/A</v>
      </c>
      <c r="AI14" s="486"/>
      <c r="AJ14" s="180"/>
      <c r="AK14" s="166"/>
      <c r="AL14" s="166"/>
      <c r="AM14" s="180" t="e">
        <f t="shared" si="11"/>
        <v>#N/A</v>
      </c>
      <c r="AN14" s="486"/>
      <c r="AO14" s="180">
        <v>13</v>
      </c>
      <c r="AP14" s="166">
        <v>1254.0000000000005</v>
      </c>
      <c r="AQ14" s="166">
        <v>96.461538461538495</v>
      </c>
      <c r="AR14" s="180">
        <f t="shared" si="12"/>
        <v>12</v>
      </c>
      <c r="AS14" s="486"/>
      <c r="AT14" s="180">
        <v>13</v>
      </c>
      <c r="AU14" s="166">
        <v>1262.2500000000007</v>
      </c>
      <c r="AV14" s="166">
        <v>97.096153846153896</v>
      </c>
      <c r="AW14" s="180">
        <f t="shared" si="13"/>
        <v>12</v>
      </c>
      <c r="AX14" s="486"/>
      <c r="AZ14" s="272" t="e">
        <f>RANK(AX14, $K$7:AX$21)</f>
        <v>#N/A</v>
      </c>
      <c r="BB14" s="180" t="e">
        <f t="shared" si="14"/>
        <v>#N/A</v>
      </c>
    </row>
    <row r="15" spans="1:54" ht="14.25">
      <c r="A15" s="79"/>
      <c r="B15" s="479"/>
      <c r="C15" s="180">
        <v>9</v>
      </c>
      <c r="D15" s="201" t="s">
        <v>557</v>
      </c>
      <c r="E15" s="166">
        <v>6</v>
      </c>
      <c r="F15" s="166">
        <v>2000</v>
      </c>
      <c r="G15" s="166">
        <v>333.33333333333331</v>
      </c>
      <c r="H15" s="460"/>
      <c r="I15" s="166">
        <f t="shared" si="6"/>
        <v>7</v>
      </c>
      <c r="J15" s="166">
        <f t="shared" si="6"/>
        <v>1751.2299465240662</v>
      </c>
      <c r="K15" s="265">
        <f t="shared" si="6"/>
        <v>250.17570664629517</v>
      </c>
      <c r="L15" s="460"/>
      <c r="M15" s="166">
        <f>RANK(K15, K$7:$K$21)</f>
        <v>5</v>
      </c>
      <c r="N15" s="462"/>
      <c r="O15" s="462"/>
      <c r="P15" s="180"/>
      <c r="Q15" s="166"/>
      <c r="R15" s="166"/>
      <c r="S15" s="180" t="e">
        <f t="shared" si="7"/>
        <v>#N/A</v>
      </c>
      <c r="T15" s="486"/>
      <c r="U15" s="180"/>
      <c r="V15" s="166"/>
      <c r="W15" s="166"/>
      <c r="X15" s="180" t="e">
        <f t="shared" si="8"/>
        <v>#N/A</v>
      </c>
      <c r="Y15" s="486"/>
      <c r="Z15" s="180"/>
      <c r="AA15" s="166"/>
      <c r="AB15" s="166"/>
      <c r="AC15" s="180" t="e">
        <f t="shared" si="9"/>
        <v>#N/A</v>
      </c>
      <c r="AD15" s="486"/>
      <c r="AE15" s="180"/>
      <c r="AF15" s="166"/>
      <c r="AG15" s="166"/>
      <c r="AH15" s="180" t="e">
        <f t="shared" si="10"/>
        <v>#N/A</v>
      </c>
      <c r="AI15" s="486"/>
      <c r="AJ15" s="180"/>
      <c r="AK15" s="166"/>
      <c r="AL15" s="166"/>
      <c r="AM15" s="180" t="e">
        <f t="shared" si="11"/>
        <v>#N/A</v>
      </c>
      <c r="AN15" s="486"/>
      <c r="AO15" s="180">
        <v>7</v>
      </c>
      <c r="AP15" s="166">
        <v>1723.6363636363699</v>
      </c>
      <c r="AQ15" s="166">
        <v>246.23376623376711</v>
      </c>
      <c r="AR15" s="180">
        <f t="shared" si="12"/>
        <v>5</v>
      </c>
      <c r="AS15" s="486"/>
      <c r="AT15" s="180">
        <v>7</v>
      </c>
      <c r="AU15" s="166">
        <v>1778.8235294117624</v>
      </c>
      <c r="AV15" s="166">
        <v>254.1176470588232</v>
      </c>
      <c r="AW15" s="180">
        <f t="shared" si="13"/>
        <v>5</v>
      </c>
      <c r="AX15" s="486"/>
      <c r="AZ15" s="272" t="e">
        <f>RANK(AX15, $K$7:AX$21)</f>
        <v>#N/A</v>
      </c>
      <c r="BB15" s="180" t="e">
        <f t="shared" si="14"/>
        <v>#N/A</v>
      </c>
    </row>
    <row r="16" spans="1:54" ht="14.25">
      <c r="A16" s="79"/>
      <c r="B16" s="479"/>
      <c r="C16" s="180">
        <v>10</v>
      </c>
      <c r="D16" s="201" t="s">
        <v>571</v>
      </c>
      <c r="E16" s="166">
        <v>4</v>
      </c>
      <c r="F16" s="166">
        <v>2000</v>
      </c>
      <c r="G16" s="166">
        <v>500</v>
      </c>
      <c r="H16" s="460"/>
      <c r="I16" s="166">
        <f t="shared" si="6"/>
        <v>5</v>
      </c>
      <c r="J16" s="166">
        <f t="shared" si="6"/>
        <v>1757.2500000000061</v>
      </c>
      <c r="K16" s="265">
        <f t="shared" si="6"/>
        <v>351.45000000000124</v>
      </c>
      <c r="L16" s="460"/>
      <c r="M16" s="166">
        <f>RANK(K16, K$7:$K$21)</f>
        <v>4</v>
      </c>
      <c r="N16" s="462"/>
      <c r="O16" s="462"/>
      <c r="P16" s="180"/>
      <c r="Q16" s="166"/>
      <c r="R16" s="166"/>
      <c r="S16" s="180" t="e">
        <f t="shared" si="7"/>
        <v>#N/A</v>
      </c>
      <c r="T16" s="486"/>
      <c r="U16" s="180"/>
      <c r="V16" s="166"/>
      <c r="W16" s="166"/>
      <c r="X16" s="180" t="e">
        <f t="shared" si="8"/>
        <v>#N/A</v>
      </c>
      <c r="Y16" s="486"/>
      <c r="Z16" s="180"/>
      <c r="AA16" s="166"/>
      <c r="AB16" s="166"/>
      <c r="AC16" s="180" t="e">
        <f t="shared" si="9"/>
        <v>#N/A</v>
      </c>
      <c r="AD16" s="486"/>
      <c r="AE16" s="180"/>
      <c r="AF16" s="166"/>
      <c r="AG16" s="166"/>
      <c r="AH16" s="180" t="e">
        <f t="shared" si="10"/>
        <v>#N/A</v>
      </c>
      <c r="AI16" s="486"/>
      <c r="AJ16" s="180"/>
      <c r="AK16" s="166"/>
      <c r="AL16" s="166"/>
      <c r="AM16" s="180" t="e">
        <f t="shared" si="11"/>
        <v>#N/A</v>
      </c>
      <c r="AN16" s="486"/>
      <c r="AO16" s="180">
        <v>5</v>
      </c>
      <c r="AP16" s="166">
        <v>1702.5000000000059</v>
      </c>
      <c r="AQ16" s="166">
        <v>340.50000000000119</v>
      </c>
      <c r="AR16" s="180">
        <f t="shared" si="12"/>
        <v>4</v>
      </c>
      <c r="AS16" s="486"/>
      <c r="AT16" s="180">
        <v>5</v>
      </c>
      <c r="AU16" s="166">
        <v>1812.0000000000064</v>
      </c>
      <c r="AV16" s="166">
        <v>362.40000000000128</v>
      </c>
      <c r="AW16" s="180">
        <f t="shared" si="13"/>
        <v>4</v>
      </c>
      <c r="AX16" s="486"/>
      <c r="AZ16" s="272" t="e">
        <f>RANK(AX16, $K$7:AX$21)</f>
        <v>#N/A</v>
      </c>
      <c r="BB16" s="180" t="e">
        <f t="shared" si="14"/>
        <v>#N/A</v>
      </c>
    </row>
    <row r="17" spans="2:54">
      <c r="B17" s="479"/>
      <c r="C17" s="180">
        <v>11</v>
      </c>
      <c r="D17" s="201" t="s">
        <v>584</v>
      </c>
      <c r="E17" s="166">
        <v>12</v>
      </c>
      <c r="F17" s="166">
        <v>2250</v>
      </c>
      <c r="G17" s="166">
        <v>176.5</v>
      </c>
      <c r="H17" s="460"/>
      <c r="I17" s="166">
        <f t="shared" si="6"/>
        <v>12</v>
      </c>
      <c r="J17" s="166">
        <f t="shared" si="6"/>
        <v>2212.2006651884694</v>
      </c>
      <c r="K17" s="265">
        <f t="shared" si="6"/>
        <v>184.35005543237244</v>
      </c>
      <c r="L17" s="460"/>
      <c r="M17" s="166">
        <f>RANK(K17, K$7:$K$21)</f>
        <v>7</v>
      </c>
      <c r="N17" s="462"/>
      <c r="O17" s="462"/>
      <c r="P17" s="180"/>
      <c r="Q17" s="166"/>
      <c r="R17" s="166"/>
      <c r="S17" s="180" t="e">
        <f t="shared" si="7"/>
        <v>#N/A</v>
      </c>
      <c r="T17" s="486"/>
      <c r="U17" s="180"/>
      <c r="V17" s="166"/>
      <c r="W17" s="166"/>
      <c r="X17" s="180" t="e">
        <f t="shared" si="8"/>
        <v>#N/A</v>
      </c>
      <c r="Y17" s="486"/>
      <c r="Z17" s="180"/>
      <c r="AA17" s="166"/>
      <c r="AB17" s="166"/>
      <c r="AC17" s="180" t="e">
        <f t="shared" si="9"/>
        <v>#N/A</v>
      </c>
      <c r="AD17" s="486"/>
      <c r="AE17" s="180"/>
      <c r="AF17" s="166"/>
      <c r="AG17" s="166"/>
      <c r="AH17" s="180" t="e">
        <f t="shared" si="10"/>
        <v>#N/A</v>
      </c>
      <c r="AI17" s="486"/>
      <c r="AJ17" s="180"/>
      <c r="AK17" s="166"/>
      <c r="AL17" s="166"/>
      <c r="AM17" s="180" t="e">
        <f t="shared" si="11"/>
        <v>#N/A</v>
      </c>
      <c r="AN17" s="486"/>
      <c r="AO17" s="180">
        <v>12</v>
      </c>
      <c r="AP17" s="166">
        <v>2213.181818181818</v>
      </c>
      <c r="AQ17" s="166">
        <v>184.43181818181816</v>
      </c>
      <c r="AR17" s="180">
        <f t="shared" si="12"/>
        <v>7</v>
      </c>
      <c r="AS17" s="486"/>
      <c r="AT17" s="180">
        <v>12</v>
      </c>
      <c r="AU17" s="166">
        <v>2211.2195121951208</v>
      </c>
      <c r="AV17" s="166">
        <v>184.26829268292673</v>
      </c>
      <c r="AW17" s="180">
        <f t="shared" si="13"/>
        <v>8</v>
      </c>
      <c r="AX17" s="486"/>
      <c r="AZ17" s="272" t="e">
        <f>RANK(AX17, $K$7:AX$21)</f>
        <v>#N/A</v>
      </c>
      <c r="BB17" s="180" t="e">
        <f t="shared" si="14"/>
        <v>#N/A</v>
      </c>
    </row>
    <row r="18" spans="2:54">
      <c r="B18" s="479"/>
      <c r="C18" s="180">
        <v>12</v>
      </c>
      <c r="D18" s="201" t="s">
        <v>668</v>
      </c>
      <c r="E18" s="166">
        <v>4</v>
      </c>
      <c r="F18" s="166">
        <v>2000</v>
      </c>
      <c r="G18" s="166">
        <v>500</v>
      </c>
      <c r="H18" s="460"/>
      <c r="I18" s="166">
        <f t="shared" si="6"/>
        <v>5</v>
      </c>
      <c r="J18" s="166">
        <f t="shared" si="6"/>
        <v>2175.1071428571413</v>
      </c>
      <c r="K18" s="265">
        <f t="shared" si="6"/>
        <v>435.02142857142826</v>
      </c>
      <c r="L18" s="460"/>
      <c r="M18" s="166">
        <f>RANK(K18, K$7:$K$21)</f>
        <v>1</v>
      </c>
      <c r="N18" s="462"/>
      <c r="O18" s="462"/>
      <c r="P18" s="180"/>
      <c r="Q18" s="166"/>
      <c r="R18" s="166"/>
      <c r="S18" s="180" t="e">
        <f t="shared" si="7"/>
        <v>#N/A</v>
      </c>
      <c r="T18" s="486"/>
      <c r="U18" s="180"/>
      <c r="V18" s="166"/>
      <c r="W18" s="166"/>
      <c r="X18" s="180" t="e">
        <f t="shared" si="8"/>
        <v>#N/A</v>
      </c>
      <c r="Y18" s="486"/>
      <c r="Z18" s="180"/>
      <c r="AA18" s="166"/>
      <c r="AB18" s="166"/>
      <c r="AC18" s="180" t="e">
        <f t="shared" si="9"/>
        <v>#N/A</v>
      </c>
      <c r="AD18" s="486"/>
      <c r="AE18" s="180"/>
      <c r="AF18" s="166"/>
      <c r="AG18" s="166"/>
      <c r="AH18" s="180" t="e">
        <f t="shared" si="10"/>
        <v>#N/A</v>
      </c>
      <c r="AI18" s="486"/>
      <c r="AJ18" s="180"/>
      <c r="AK18" s="166"/>
      <c r="AL18" s="166"/>
      <c r="AM18" s="180" t="e">
        <f t="shared" si="11"/>
        <v>#N/A</v>
      </c>
      <c r="AN18" s="486"/>
      <c r="AO18" s="180">
        <v>5</v>
      </c>
      <c r="AP18" s="166">
        <v>2173.7142857142835</v>
      </c>
      <c r="AQ18" s="166">
        <v>434.74285714285668</v>
      </c>
      <c r="AR18" s="180">
        <f t="shared" si="12"/>
        <v>2</v>
      </c>
      <c r="AS18" s="486"/>
      <c r="AT18" s="180">
        <v>5</v>
      </c>
      <c r="AU18" s="166">
        <v>2176.4999999999991</v>
      </c>
      <c r="AV18" s="166">
        <v>435.29999999999984</v>
      </c>
      <c r="AW18" s="180">
        <f t="shared" si="13"/>
        <v>1</v>
      </c>
      <c r="AX18" s="486"/>
      <c r="AZ18" s="272" t="e">
        <f>RANK(AX18, $K$7:AX$21)</f>
        <v>#N/A</v>
      </c>
      <c r="BB18" s="180" t="e">
        <f t="shared" si="14"/>
        <v>#N/A</v>
      </c>
    </row>
    <row r="19" spans="2:54">
      <c r="B19" s="479"/>
      <c r="C19" s="180">
        <v>13</v>
      </c>
      <c r="D19" s="201"/>
      <c r="E19" s="166" t="s">
        <v>522</v>
      </c>
      <c r="F19" s="166" t="s">
        <v>522</v>
      </c>
      <c r="G19" s="166" t="s">
        <v>522</v>
      </c>
      <c r="H19" s="460"/>
      <c r="I19" s="166"/>
      <c r="J19" s="166"/>
      <c r="K19" s="265"/>
      <c r="L19" s="460"/>
      <c r="M19" s="166" t="e">
        <f>RANK(K19, K$7:$K$21)</f>
        <v>#N/A</v>
      </c>
      <c r="N19" s="462"/>
      <c r="O19" s="462"/>
      <c r="P19" s="180"/>
      <c r="Q19" s="166"/>
      <c r="R19" s="166"/>
      <c r="S19" s="180" t="e">
        <f t="shared" si="7"/>
        <v>#N/A</v>
      </c>
      <c r="T19" s="486"/>
      <c r="U19" s="180"/>
      <c r="V19" s="166"/>
      <c r="W19" s="166"/>
      <c r="X19" s="180" t="e">
        <f t="shared" si="8"/>
        <v>#N/A</v>
      </c>
      <c r="Y19" s="486"/>
      <c r="Z19" s="180"/>
      <c r="AA19" s="166"/>
      <c r="AB19" s="166"/>
      <c r="AC19" s="180" t="e">
        <f t="shared" si="9"/>
        <v>#N/A</v>
      </c>
      <c r="AD19" s="486"/>
      <c r="AE19" s="180"/>
      <c r="AF19" s="166"/>
      <c r="AG19" s="166"/>
      <c r="AH19" s="180" t="e">
        <f t="shared" si="10"/>
        <v>#N/A</v>
      </c>
      <c r="AI19" s="486"/>
      <c r="AJ19" s="180"/>
      <c r="AK19" s="166"/>
      <c r="AL19" s="166"/>
      <c r="AM19" s="180" t="e">
        <f t="shared" si="11"/>
        <v>#N/A</v>
      </c>
      <c r="AN19" s="486"/>
      <c r="AO19" s="180"/>
      <c r="AP19" s="166"/>
      <c r="AQ19" s="166"/>
      <c r="AR19" s="180" t="e">
        <f t="shared" si="12"/>
        <v>#N/A</v>
      </c>
      <c r="AS19" s="486"/>
      <c r="AT19" s="180"/>
      <c r="AU19" s="166"/>
      <c r="AV19" s="166"/>
      <c r="AW19" s="180" t="e">
        <f t="shared" si="13"/>
        <v>#N/A</v>
      </c>
      <c r="AX19" s="486"/>
      <c r="AZ19" s="272" t="e">
        <f>RANK(AX19, $K$7:AX$21)</f>
        <v>#N/A</v>
      </c>
      <c r="BB19" s="180" t="e">
        <f t="shared" si="14"/>
        <v>#N/A</v>
      </c>
    </row>
    <row r="20" spans="2:54">
      <c r="B20" s="479"/>
      <c r="C20" s="180">
        <v>14</v>
      </c>
      <c r="D20" s="201"/>
      <c r="E20" s="166" t="s">
        <v>522</v>
      </c>
      <c r="F20" s="166" t="s">
        <v>522</v>
      </c>
      <c r="G20" s="166" t="s">
        <v>522</v>
      </c>
      <c r="H20" s="460"/>
      <c r="I20" s="166"/>
      <c r="J20" s="166"/>
      <c r="K20" s="265"/>
      <c r="L20" s="460"/>
      <c r="M20" s="166" t="e">
        <f>RANK(K20, K$7:$K$21)</f>
        <v>#N/A</v>
      </c>
      <c r="N20" s="462"/>
      <c r="O20" s="462"/>
      <c r="P20" s="180"/>
      <c r="Q20" s="166"/>
      <c r="R20" s="166"/>
      <c r="S20" s="180" t="e">
        <f t="shared" si="7"/>
        <v>#N/A</v>
      </c>
      <c r="T20" s="486"/>
      <c r="U20" s="180"/>
      <c r="V20" s="166"/>
      <c r="W20" s="166"/>
      <c r="X20" s="180" t="e">
        <f t="shared" si="8"/>
        <v>#N/A</v>
      </c>
      <c r="Y20" s="486"/>
      <c r="Z20" s="180"/>
      <c r="AA20" s="166"/>
      <c r="AB20" s="166"/>
      <c r="AC20" s="180" t="e">
        <f t="shared" si="9"/>
        <v>#N/A</v>
      </c>
      <c r="AD20" s="486"/>
      <c r="AE20" s="180"/>
      <c r="AF20" s="166"/>
      <c r="AG20" s="166"/>
      <c r="AH20" s="180" t="e">
        <f t="shared" si="10"/>
        <v>#N/A</v>
      </c>
      <c r="AI20" s="486"/>
      <c r="AJ20" s="180"/>
      <c r="AK20" s="166"/>
      <c r="AL20" s="166"/>
      <c r="AM20" s="180" t="e">
        <f t="shared" si="11"/>
        <v>#N/A</v>
      </c>
      <c r="AN20" s="486"/>
      <c r="AO20" s="180"/>
      <c r="AP20" s="166"/>
      <c r="AQ20" s="166"/>
      <c r="AR20" s="180" t="e">
        <f t="shared" si="12"/>
        <v>#N/A</v>
      </c>
      <c r="AS20" s="486"/>
      <c r="AT20" s="180"/>
      <c r="AU20" s="166"/>
      <c r="AV20" s="166"/>
      <c r="AW20" s="180" t="e">
        <f t="shared" si="13"/>
        <v>#N/A</v>
      </c>
      <c r="AX20" s="486"/>
      <c r="AZ20" s="272" t="e">
        <f>RANK(AX20, $K$7:AX$21)</f>
        <v>#N/A</v>
      </c>
      <c r="BB20" s="180" t="e">
        <f t="shared" si="14"/>
        <v>#N/A</v>
      </c>
    </row>
    <row r="21" spans="2:54">
      <c r="B21" s="479"/>
      <c r="C21" s="180">
        <v>15</v>
      </c>
      <c r="D21" s="201"/>
      <c r="E21" s="166" t="s">
        <v>522</v>
      </c>
      <c r="F21" s="166" t="s">
        <v>522</v>
      </c>
      <c r="G21" s="166" t="s">
        <v>522</v>
      </c>
      <c r="H21" s="461"/>
      <c r="I21" s="166"/>
      <c r="J21" s="166"/>
      <c r="K21" s="265"/>
      <c r="L21" s="461"/>
      <c r="M21" s="166" t="e">
        <f>RANK(K21, K$7:$K$21)</f>
        <v>#N/A</v>
      </c>
      <c r="N21" s="462"/>
      <c r="O21" s="462"/>
      <c r="P21" s="180"/>
      <c r="Q21" s="166"/>
      <c r="R21" s="166"/>
      <c r="S21" s="180" t="e">
        <f t="shared" si="7"/>
        <v>#N/A</v>
      </c>
      <c r="T21" s="486"/>
      <c r="U21" s="180"/>
      <c r="V21" s="166"/>
      <c r="W21" s="166"/>
      <c r="X21" s="180" t="e">
        <f t="shared" si="8"/>
        <v>#N/A</v>
      </c>
      <c r="Y21" s="486"/>
      <c r="Z21" s="180"/>
      <c r="AA21" s="166"/>
      <c r="AB21" s="166"/>
      <c r="AC21" s="180" t="e">
        <f t="shared" si="9"/>
        <v>#N/A</v>
      </c>
      <c r="AD21" s="486"/>
      <c r="AE21" s="180"/>
      <c r="AF21" s="166"/>
      <c r="AG21" s="166"/>
      <c r="AH21" s="180" t="e">
        <f t="shared" si="10"/>
        <v>#N/A</v>
      </c>
      <c r="AI21" s="486"/>
      <c r="AJ21" s="180"/>
      <c r="AK21" s="166"/>
      <c r="AL21" s="166"/>
      <c r="AM21" s="180" t="e">
        <f t="shared" si="11"/>
        <v>#N/A</v>
      </c>
      <c r="AN21" s="486"/>
      <c r="AO21" s="180"/>
      <c r="AP21" s="166"/>
      <c r="AQ21" s="166"/>
      <c r="AR21" s="180" t="e">
        <f t="shared" si="12"/>
        <v>#N/A</v>
      </c>
      <c r="AS21" s="486"/>
      <c r="AT21" s="180"/>
      <c r="AU21" s="166"/>
      <c r="AV21" s="166"/>
      <c r="AW21" s="180" t="e">
        <f t="shared" si="13"/>
        <v>#N/A</v>
      </c>
      <c r="AX21" s="486"/>
      <c r="AZ21" s="166" t="e">
        <f>RANK(AX21, $K$7:AX$21)</f>
        <v>#N/A</v>
      </c>
      <c r="BB21" s="180" t="e">
        <f t="shared" si="14"/>
        <v>#N/A</v>
      </c>
    </row>
    <row r="22" spans="2:54" ht="15.75">
      <c r="B22" s="490" t="s">
        <v>721</v>
      </c>
      <c r="C22" s="491"/>
      <c r="D22" s="491"/>
      <c r="E22" s="491"/>
      <c r="F22" s="491"/>
      <c r="G22" s="491"/>
      <c r="H22" s="491"/>
      <c r="I22" s="181"/>
      <c r="J22" s="181"/>
      <c r="K22" s="181"/>
      <c r="L22" s="181"/>
      <c r="M22" s="178"/>
      <c r="N22" s="469" t="s">
        <v>722</v>
      </c>
      <c r="O22" s="469" t="s">
        <v>723</v>
      </c>
      <c r="P22" s="478">
        <v>46056</v>
      </c>
      <c r="Q22" s="479"/>
      <c r="R22" s="479"/>
      <c r="S22" s="479"/>
      <c r="T22" s="479"/>
      <c r="U22" s="478">
        <f>P22+1</f>
        <v>46057</v>
      </c>
      <c r="V22" s="479"/>
      <c r="W22" s="479"/>
      <c r="X22" s="479"/>
      <c r="Y22" s="479"/>
      <c r="Z22" s="478">
        <f>U22+1</f>
        <v>46058</v>
      </c>
      <c r="AA22" s="479"/>
      <c r="AB22" s="479"/>
      <c r="AC22" s="479"/>
      <c r="AD22" s="479"/>
      <c r="AE22" s="478">
        <f>Z22+1</f>
        <v>46059</v>
      </c>
      <c r="AF22" s="479"/>
      <c r="AG22" s="479"/>
      <c r="AH22" s="479"/>
      <c r="AI22" s="479"/>
      <c r="AJ22" s="478">
        <f>AE22+1</f>
        <v>46060</v>
      </c>
      <c r="AK22" s="479"/>
      <c r="AL22" s="479"/>
      <c r="AM22" s="479"/>
      <c r="AN22" s="479"/>
      <c r="AO22" s="478">
        <f>AJ22+1</f>
        <v>46061</v>
      </c>
      <c r="AP22" s="479"/>
      <c r="AQ22" s="479"/>
      <c r="AR22" s="479"/>
      <c r="AS22" s="479"/>
      <c r="AT22" s="478">
        <f>AO22+1</f>
        <v>46062</v>
      </c>
      <c r="AU22" s="479"/>
      <c r="AV22" s="479"/>
      <c r="AW22" s="479"/>
      <c r="AX22" s="479"/>
    </row>
    <row r="23" spans="2:54" ht="15.75">
      <c r="B23" s="482"/>
      <c r="C23" s="482"/>
      <c r="D23" s="482"/>
      <c r="E23" s="482"/>
      <c r="F23" s="482"/>
      <c r="G23" s="482"/>
      <c r="H23" s="482"/>
      <c r="I23" s="182"/>
      <c r="J23" s="182"/>
      <c r="K23" s="182"/>
      <c r="L23" s="182"/>
      <c r="M23" s="179"/>
      <c r="N23" s="471"/>
      <c r="O23" s="471"/>
      <c r="P23" s="478" t="s">
        <v>724</v>
      </c>
      <c r="Q23" s="479"/>
      <c r="R23" s="479"/>
      <c r="S23" s="479"/>
      <c r="T23" s="479"/>
      <c r="U23" s="478" t="s">
        <v>725</v>
      </c>
      <c r="V23" s="479"/>
      <c r="W23" s="479"/>
      <c r="X23" s="479"/>
      <c r="Y23" s="479"/>
      <c r="Z23" s="478" t="s">
        <v>726</v>
      </c>
      <c r="AA23" s="479"/>
      <c r="AB23" s="479"/>
      <c r="AC23" s="479"/>
      <c r="AD23" s="479"/>
      <c r="AE23" s="478" t="s">
        <v>727</v>
      </c>
      <c r="AF23" s="479"/>
      <c r="AG23" s="479"/>
      <c r="AH23" s="479"/>
      <c r="AI23" s="479"/>
      <c r="AJ23" s="478" t="s">
        <v>728</v>
      </c>
      <c r="AK23" s="479"/>
      <c r="AL23" s="479"/>
      <c r="AM23" s="479"/>
      <c r="AN23" s="479"/>
      <c r="AO23" s="478" t="s">
        <v>729</v>
      </c>
      <c r="AP23" s="479"/>
      <c r="AQ23" s="479"/>
      <c r="AR23" s="479"/>
      <c r="AS23" s="479"/>
      <c r="AT23" s="478" t="s">
        <v>730</v>
      </c>
      <c r="AU23" s="479"/>
      <c r="AV23" s="479"/>
      <c r="AW23" s="479"/>
      <c r="AX23" s="479"/>
    </row>
    <row r="24" spans="2:54">
      <c r="B24" s="462" t="s">
        <v>731</v>
      </c>
      <c r="C24" s="462" t="s">
        <v>732</v>
      </c>
      <c r="D24" s="462"/>
      <c r="E24" s="462" t="s">
        <v>733</v>
      </c>
      <c r="F24" s="462"/>
      <c r="G24" s="462"/>
      <c r="H24" s="463" t="s">
        <v>734</v>
      </c>
      <c r="I24" s="462" t="s">
        <v>735</v>
      </c>
      <c r="J24" s="462"/>
      <c r="K24" s="462"/>
      <c r="L24" s="463" t="s">
        <v>734</v>
      </c>
      <c r="M24" s="469" t="s">
        <v>736</v>
      </c>
      <c r="N24" s="462"/>
      <c r="O24" s="462" t="s">
        <v>737</v>
      </c>
      <c r="P24" s="466" t="s">
        <v>738</v>
      </c>
      <c r="Q24" s="467"/>
      <c r="R24" s="467"/>
      <c r="S24" s="468"/>
      <c r="T24" s="462" t="s">
        <v>734</v>
      </c>
      <c r="U24" s="466" t="s">
        <v>738</v>
      </c>
      <c r="V24" s="467"/>
      <c r="W24" s="467"/>
      <c r="X24" s="468"/>
      <c r="Y24" s="462" t="s">
        <v>734</v>
      </c>
      <c r="Z24" s="466" t="s">
        <v>738</v>
      </c>
      <c r="AA24" s="467"/>
      <c r="AB24" s="467"/>
      <c r="AC24" s="468"/>
      <c r="AD24" s="462" t="s">
        <v>734</v>
      </c>
      <c r="AE24" s="466" t="s">
        <v>738</v>
      </c>
      <c r="AF24" s="467"/>
      <c r="AG24" s="467"/>
      <c r="AH24" s="468"/>
      <c r="AI24" s="462" t="s">
        <v>734</v>
      </c>
      <c r="AJ24" s="466" t="s">
        <v>738</v>
      </c>
      <c r="AK24" s="467"/>
      <c r="AL24" s="467"/>
      <c r="AM24" s="468"/>
      <c r="AN24" s="462" t="s">
        <v>734</v>
      </c>
      <c r="AO24" s="466" t="s">
        <v>738</v>
      </c>
      <c r="AP24" s="467"/>
      <c r="AQ24" s="467"/>
      <c r="AR24" s="468"/>
      <c r="AS24" s="462" t="s">
        <v>734</v>
      </c>
      <c r="AT24" s="466" t="s">
        <v>738</v>
      </c>
      <c r="AU24" s="467"/>
      <c r="AV24" s="467"/>
      <c r="AW24" s="468"/>
      <c r="AX24" s="462" t="s">
        <v>734</v>
      </c>
    </row>
    <row r="25" spans="2:54">
      <c r="B25" s="462"/>
      <c r="C25" s="462"/>
      <c r="D25" s="462"/>
      <c r="E25" s="462" t="s">
        <v>739</v>
      </c>
      <c r="F25" s="462"/>
      <c r="G25" s="462"/>
      <c r="H25" s="464"/>
      <c r="I25" s="462" t="s">
        <v>739</v>
      </c>
      <c r="J25" s="462"/>
      <c r="K25" s="462"/>
      <c r="L25" s="464"/>
      <c r="M25" s="470"/>
      <c r="N25" s="462"/>
      <c r="O25" s="462"/>
      <c r="P25" s="466" t="s">
        <v>740</v>
      </c>
      <c r="Q25" s="467"/>
      <c r="R25" s="467"/>
      <c r="S25" s="468"/>
      <c r="T25" s="462"/>
      <c r="U25" s="466" t="s">
        <v>740</v>
      </c>
      <c r="V25" s="467"/>
      <c r="W25" s="467"/>
      <c r="X25" s="468"/>
      <c r="Y25" s="462"/>
      <c r="Z25" s="466" t="s">
        <v>740</v>
      </c>
      <c r="AA25" s="467"/>
      <c r="AB25" s="467"/>
      <c r="AC25" s="468"/>
      <c r="AD25" s="462"/>
      <c r="AE25" s="466" t="s">
        <v>740</v>
      </c>
      <c r="AF25" s="467"/>
      <c r="AG25" s="467"/>
      <c r="AH25" s="468"/>
      <c r="AI25" s="462"/>
      <c r="AJ25" s="466" t="s">
        <v>740</v>
      </c>
      <c r="AK25" s="467"/>
      <c r="AL25" s="467"/>
      <c r="AM25" s="468"/>
      <c r="AN25" s="462"/>
      <c r="AO25" s="466" t="s">
        <v>740</v>
      </c>
      <c r="AP25" s="467"/>
      <c r="AQ25" s="467"/>
      <c r="AR25" s="468"/>
      <c r="AS25" s="462"/>
      <c r="AT25" s="466" t="s">
        <v>740</v>
      </c>
      <c r="AU25" s="467"/>
      <c r="AV25" s="467"/>
      <c r="AW25" s="468"/>
      <c r="AX25" s="462"/>
    </row>
    <row r="26" spans="2:54">
      <c r="B26" s="462"/>
      <c r="C26" s="462"/>
      <c r="D26" s="462"/>
      <c r="E26" s="264" t="s">
        <v>741</v>
      </c>
      <c r="F26" s="264" t="s">
        <v>742</v>
      </c>
      <c r="G26" s="264" t="s">
        <v>743</v>
      </c>
      <c r="H26" s="465"/>
      <c r="I26" s="264" t="s">
        <v>741</v>
      </c>
      <c r="J26" s="264" t="s">
        <v>742</v>
      </c>
      <c r="K26" s="264" t="s">
        <v>743</v>
      </c>
      <c r="L26" s="465"/>
      <c r="M26" s="471"/>
      <c r="N26" s="462"/>
      <c r="O26" s="462"/>
      <c r="P26" s="264" t="s">
        <v>741</v>
      </c>
      <c r="Q26" s="264" t="s">
        <v>742</v>
      </c>
      <c r="R26" s="264" t="s">
        <v>743</v>
      </c>
      <c r="S26" s="264" t="s">
        <v>736</v>
      </c>
      <c r="T26" s="462"/>
      <c r="U26" s="264" t="s">
        <v>741</v>
      </c>
      <c r="V26" s="264" t="s">
        <v>742</v>
      </c>
      <c r="W26" s="264" t="s">
        <v>743</v>
      </c>
      <c r="X26" s="264" t="s">
        <v>736</v>
      </c>
      <c r="Y26" s="462"/>
      <c r="Z26" s="264" t="s">
        <v>741</v>
      </c>
      <c r="AA26" s="264" t="s">
        <v>742</v>
      </c>
      <c r="AB26" s="264" t="s">
        <v>743</v>
      </c>
      <c r="AC26" s="264" t="s">
        <v>736</v>
      </c>
      <c r="AD26" s="462"/>
      <c r="AE26" s="264" t="s">
        <v>741</v>
      </c>
      <c r="AF26" s="264" t="s">
        <v>742</v>
      </c>
      <c r="AG26" s="264" t="s">
        <v>743</v>
      </c>
      <c r="AH26" s="264" t="s">
        <v>736</v>
      </c>
      <c r="AI26" s="462"/>
      <c r="AJ26" s="264" t="s">
        <v>741</v>
      </c>
      <c r="AK26" s="264" t="s">
        <v>742</v>
      </c>
      <c r="AL26" s="264" t="s">
        <v>743</v>
      </c>
      <c r="AM26" s="264" t="s">
        <v>736</v>
      </c>
      <c r="AN26" s="462"/>
      <c r="AO26" s="264" t="s">
        <v>741</v>
      </c>
      <c r="AP26" s="264" t="s">
        <v>742</v>
      </c>
      <c r="AQ26" s="264" t="s">
        <v>743</v>
      </c>
      <c r="AR26" s="264" t="s">
        <v>736</v>
      </c>
      <c r="AS26" s="462"/>
      <c r="AT26" s="264" t="s">
        <v>741</v>
      </c>
      <c r="AU26" s="264" t="s">
        <v>742</v>
      </c>
      <c r="AV26" s="264" t="s">
        <v>743</v>
      </c>
      <c r="AW26" s="264" t="s">
        <v>736</v>
      </c>
      <c r="AX26" s="462"/>
    </row>
    <row r="27" spans="2:54">
      <c r="B27" s="507" t="s">
        <v>750</v>
      </c>
      <c r="C27" s="180">
        <v>1</v>
      </c>
      <c r="D27" s="201" t="s">
        <v>387</v>
      </c>
      <c r="E27" s="166">
        <v>4</v>
      </c>
      <c r="F27" s="180">
        <v>2000</v>
      </c>
      <c r="G27" s="265">
        <v>500</v>
      </c>
      <c r="H27" s="459">
        <f>AVERAGE(G27:G41)</f>
        <v>291.83148148148149</v>
      </c>
      <c r="I27" s="166">
        <f>AVERAGE(P27,U27,Z27,AE27,AJ27,AO27,AT27)</f>
        <v>5</v>
      </c>
      <c r="J27" s="166">
        <f>AVERAGE(Q27,V27,AA27,AF27,AK27,AP27,AU27)</f>
        <v>2111.9289132947411</v>
      </c>
      <c r="K27" s="265">
        <f>AVERAGE(R27,W27,AB27,AG27,AL27,AQ27,AV27)</f>
        <v>422.38578265894824</v>
      </c>
      <c r="L27" s="459">
        <f>IFERROR(AVERAGE(K27:K41),"-")</f>
        <v>253.38927043933504</v>
      </c>
      <c r="M27" s="272">
        <f>RANK(K27, K$27:$K$41)</f>
        <v>2</v>
      </c>
      <c r="N27" s="462"/>
      <c r="O27" s="462"/>
      <c r="P27" s="166">
        <v>5</v>
      </c>
      <c r="Q27" s="166">
        <v>2092.6153846153843</v>
      </c>
      <c r="R27" s="166">
        <v>418.52307692307687</v>
      </c>
      <c r="S27" s="180">
        <f>RANK(R27, R$27:R$41)</f>
        <v>2</v>
      </c>
      <c r="T27" s="486">
        <f>AVERAGE(R27:R41)</f>
        <v>253.43664731963523</v>
      </c>
      <c r="U27" s="166">
        <v>5</v>
      </c>
      <c r="V27" s="166">
        <v>2130.9999999999991</v>
      </c>
      <c r="W27" s="166">
        <v>426.19999999999982</v>
      </c>
      <c r="X27" s="180">
        <f>RANK(W27, W$27:W$41)</f>
        <v>2</v>
      </c>
      <c r="Y27" s="486">
        <f>AVERAGE(W27:W41)</f>
        <v>253.69817494058529</v>
      </c>
      <c r="Z27" s="166">
        <v>5</v>
      </c>
      <c r="AA27" s="166">
        <v>2088.9999999999991</v>
      </c>
      <c r="AB27" s="166">
        <v>417.79999999999984</v>
      </c>
      <c r="AC27" s="180">
        <f>RANK(AB27, AB$27:AB$41)</f>
        <v>3</v>
      </c>
      <c r="AD27" s="486">
        <f>AVERAGE(AB27:AB41)</f>
        <v>243.75725726981719</v>
      </c>
      <c r="AE27" s="166">
        <v>5</v>
      </c>
      <c r="AF27" s="166">
        <v>2089.7872340425533</v>
      </c>
      <c r="AG27" s="166">
        <v>417.95744680851067</v>
      </c>
      <c r="AH27" s="180">
        <f>RANK(AG27, AG$27:AG$41)</f>
        <v>3</v>
      </c>
      <c r="AI27" s="486">
        <f>AVERAGE(AG27:AG41)</f>
        <v>244.40502849061602</v>
      </c>
      <c r="AJ27" s="166">
        <v>5</v>
      </c>
      <c r="AK27" s="166">
        <v>2135.094339622643</v>
      </c>
      <c r="AL27" s="166">
        <v>427.01886792452859</v>
      </c>
      <c r="AM27" s="180">
        <f>RANK(AL27, AL$27:AL$41)</f>
        <v>1</v>
      </c>
      <c r="AN27" s="486">
        <f>AVERAGE(AL27:AL41)</f>
        <v>243.98154870265213</v>
      </c>
      <c r="AO27" s="166">
        <v>5</v>
      </c>
      <c r="AP27" s="166">
        <v>2099.130434782609</v>
      </c>
      <c r="AQ27" s="166">
        <v>419.82608695652181</v>
      </c>
      <c r="AR27" s="180"/>
      <c r="AS27" s="486">
        <f>AVERAGE(AQ27:AQ41)</f>
        <v>243.98244135001738</v>
      </c>
      <c r="AT27" s="166">
        <v>5</v>
      </c>
      <c r="AU27" s="166">
        <v>2146.8749999999995</v>
      </c>
      <c r="AV27" s="166">
        <v>429.37499999999989</v>
      </c>
      <c r="AW27" s="180"/>
      <c r="AX27" s="486">
        <f>AVERAGE(AV27:AV41)</f>
        <v>246.80970724673335</v>
      </c>
    </row>
    <row r="28" spans="2:54">
      <c r="B28" s="479"/>
      <c r="C28" s="180">
        <v>2</v>
      </c>
      <c r="D28" s="201" t="s">
        <v>427</v>
      </c>
      <c r="E28" s="166">
        <v>4</v>
      </c>
      <c r="F28" s="180">
        <v>2000</v>
      </c>
      <c r="G28" s="265">
        <v>500</v>
      </c>
      <c r="H28" s="460"/>
      <c r="I28" s="166">
        <f t="shared" ref="I28:K38" si="15">AVERAGE(P28,U28,Z28,AE28,AJ28,AO28,AT28)</f>
        <v>5</v>
      </c>
      <c r="J28" s="166">
        <f t="shared" si="15"/>
        <v>2124.1099748544016</v>
      </c>
      <c r="K28" s="265">
        <f t="shared" si="15"/>
        <v>424.82199497088021</v>
      </c>
      <c r="L28" s="460"/>
      <c r="M28" s="272">
        <f>RANK(K28, K$27:$K$41)</f>
        <v>1</v>
      </c>
      <c r="N28" s="462"/>
      <c r="O28" s="462"/>
      <c r="P28" s="166">
        <v>5</v>
      </c>
      <c r="Q28" s="166">
        <v>2121.7241379310331</v>
      </c>
      <c r="R28" s="166">
        <v>424.34482758620663</v>
      </c>
      <c r="S28" s="180">
        <f t="shared" ref="S28:S41" si="16">RANK(R28, R$27:R$41)</f>
        <v>1</v>
      </c>
      <c r="T28" s="486"/>
      <c r="U28" s="166">
        <v>5</v>
      </c>
      <c r="V28" s="166">
        <v>2165.4545454545469</v>
      </c>
      <c r="W28" s="166">
        <v>433.09090909090935</v>
      </c>
      <c r="X28" s="180">
        <f t="shared" ref="X28:X40" si="17">RANK(W28, W$27:W$41)</f>
        <v>1</v>
      </c>
      <c r="Y28" s="486"/>
      <c r="Z28" s="166">
        <v>5</v>
      </c>
      <c r="AA28" s="166">
        <v>2129.4545454545469</v>
      </c>
      <c r="AB28" s="166">
        <v>425.89090909090936</v>
      </c>
      <c r="AC28" s="180">
        <f t="shared" ref="AC28:AC40" si="18">RANK(AB28, AB$27:AB$41)</f>
        <v>1</v>
      </c>
      <c r="AD28" s="486"/>
      <c r="AE28" s="166">
        <v>5</v>
      </c>
      <c r="AF28" s="166">
        <v>2128.571428571428</v>
      </c>
      <c r="AG28" s="166">
        <v>425.71428571428561</v>
      </c>
      <c r="AH28" s="180">
        <f t="shared" ref="AH28:AH40" si="19">RANK(AG28, AG$27:AG$41)</f>
        <v>1</v>
      </c>
      <c r="AI28" s="486"/>
      <c r="AJ28" s="166">
        <v>5</v>
      </c>
      <c r="AK28" s="166">
        <v>2100.0000000000005</v>
      </c>
      <c r="AL28" s="166">
        <v>420.00000000000011</v>
      </c>
      <c r="AM28" s="180">
        <f t="shared" ref="AM28:AM40" si="20">RANK(AL28, AL$27:AL$41)</f>
        <v>2</v>
      </c>
      <c r="AN28" s="486"/>
      <c r="AO28" s="166">
        <v>5</v>
      </c>
      <c r="AP28" s="166">
        <v>2110.3448275862056</v>
      </c>
      <c r="AQ28" s="166">
        <v>422.06896551724111</v>
      </c>
      <c r="AR28" s="180"/>
      <c r="AS28" s="486"/>
      <c r="AT28" s="166">
        <v>5</v>
      </c>
      <c r="AU28" s="166">
        <v>2113.2203389830497</v>
      </c>
      <c r="AV28" s="166">
        <v>422.64406779660993</v>
      </c>
      <c r="AW28" s="180"/>
      <c r="AX28" s="486"/>
    </row>
    <row r="29" spans="2:54">
      <c r="B29" s="479"/>
      <c r="C29" s="180">
        <v>3</v>
      </c>
      <c r="D29" s="201" t="s">
        <v>388</v>
      </c>
      <c r="E29" s="166">
        <v>13</v>
      </c>
      <c r="F29" s="180">
        <v>2250</v>
      </c>
      <c r="G29" s="265">
        <v>160.69999999999999</v>
      </c>
      <c r="H29" s="460"/>
      <c r="I29" s="166">
        <f t="shared" si="15"/>
        <v>13</v>
      </c>
      <c r="J29" s="166">
        <f t="shared" si="15"/>
        <v>2081.587965960799</v>
      </c>
      <c r="K29" s="265">
        <f t="shared" si="15"/>
        <v>160.12215122775379</v>
      </c>
      <c r="L29" s="460"/>
      <c r="M29" s="272">
        <f>RANK(K29, K$27:$K$41)</f>
        <v>11</v>
      </c>
      <c r="N29" s="462"/>
      <c r="O29" s="462"/>
      <c r="P29" s="166">
        <v>13</v>
      </c>
      <c r="Q29" s="166">
        <v>2126.181818181818</v>
      </c>
      <c r="R29" s="166">
        <v>163.55244755244755</v>
      </c>
      <c r="S29" s="180">
        <f t="shared" si="16"/>
        <v>11</v>
      </c>
      <c r="T29" s="486"/>
      <c r="U29" s="166">
        <v>13</v>
      </c>
      <c r="V29" s="166">
        <v>2074.1379310344828</v>
      </c>
      <c r="W29" s="166">
        <v>159.54907161803715</v>
      </c>
      <c r="X29" s="180">
        <f t="shared" si="17"/>
        <v>11</v>
      </c>
      <c r="Y29" s="486"/>
      <c r="Z29" s="166">
        <v>13</v>
      </c>
      <c r="AA29" s="166">
        <v>2095.7894736842104</v>
      </c>
      <c r="AB29" s="166">
        <v>161.21457489878543</v>
      </c>
      <c r="AC29" s="180">
        <f t="shared" si="18"/>
        <v>10</v>
      </c>
      <c r="AD29" s="486"/>
      <c r="AE29" s="166">
        <v>13</v>
      </c>
      <c r="AF29" s="166">
        <v>2053.6363636363635</v>
      </c>
      <c r="AG29" s="166">
        <v>157.97202797202797</v>
      </c>
      <c r="AH29" s="180">
        <f t="shared" si="19"/>
        <v>10</v>
      </c>
      <c r="AI29" s="486"/>
      <c r="AJ29" s="166">
        <v>13</v>
      </c>
      <c r="AK29" s="166">
        <v>2061.1764705882342</v>
      </c>
      <c r="AL29" s="166">
        <v>158.55203619909494</v>
      </c>
      <c r="AM29" s="180">
        <f t="shared" si="20"/>
        <v>10</v>
      </c>
      <c r="AN29" s="486"/>
      <c r="AO29" s="166">
        <v>13</v>
      </c>
      <c r="AP29" s="166">
        <v>2057.1428571428569</v>
      </c>
      <c r="AQ29" s="166">
        <v>158.24175824175822</v>
      </c>
      <c r="AR29" s="180"/>
      <c r="AS29" s="486"/>
      <c r="AT29" s="166">
        <v>13</v>
      </c>
      <c r="AU29" s="166">
        <v>2103.0508474576272</v>
      </c>
      <c r="AV29" s="166">
        <v>161.77314211212519</v>
      </c>
      <c r="AW29" s="180"/>
      <c r="AX29" s="486"/>
    </row>
    <row r="30" spans="2:54">
      <c r="B30" s="479"/>
      <c r="C30" s="180">
        <v>4</v>
      </c>
      <c r="D30" s="201" t="s">
        <v>389</v>
      </c>
      <c r="E30" s="166">
        <v>12</v>
      </c>
      <c r="F30" s="180">
        <v>2250</v>
      </c>
      <c r="G30" s="265">
        <v>176.5</v>
      </c>
      <c r="H30" s="460"/>
      <c r="I30" s="166">
        <f t="shared" si="15"/>
        <v>12</v>
      </c>
      <c r="J30" s="166">
        <f t="shared" si="15"/>
        <v>2084.0198600009426</v>
      </c>
      <c r="K30" s="265">
        <f t="shared" si="15"/>
        <v>173.66832166674521</v>
      </c>
      <c r="L30" s="460"/>
      <c r="M30" s="272">
        <f>RANK(K30, K$27:$K$41)</f>
        <v>9</v>
      </c>
      <c r="N30" s="462"/>
      <c r="O30" s="462"/>
      <c r="P30" s="166">
        <v>12</v>
      </c>
      <c r="Q30" s="166">
        <v>2063.8095238095243</v>
      </c>
      <c r="R30" s="166">
        <v>171.98412698412702</v>
      </c>
      <c r="S30" s="180">
        <f t="shared" si="16"/>
        <v>9</v>
      </c>
      <c r="T30" s="486"/>
      <c r="U30" s="166">
        <v>12</v>
      </c>
      <c r="V30" s="166">
        <v>2080.6451612903229</v>
      </c>
      <c r="W30" s="166">
        <v>173.38709677419357</v>
      </c>
      <c r="X30" s="180">
        <f t="shared" si="17"/>
        <v>9</v>
      </c>
      <c r="Y30" s="486"/>
      <c r="Z30" s="166">
        <v>12</v>
      </c>
      <c r="AA30" s="166">
        <v>2078.7096774193556</v>
      </c>
      <c r="AB30" s="166">
        <v>173.22580645161295</v>
      </c>
      <c r="AC30" s="180">
        <f t="shared" si="18"/>
        <v>8</v>
      </c>
      <c r="AD30" s="486"/>
      <c r="AE30" s="166">
        <v>12</v>
      </c>
      <c r="AF30" s="166">
        <v>2046.923076923078</v>
      </c>
      <c r="AG30" s="166">
        <v>170.57692307692318</v>
      </c>
      <c r="AH30" s="180">
        <f t="shared" si="19"/>
        <v>8</v>
      </c>
      <c r="AI30" s="486"/>
      <c r="AJ30" s="166">
        <v>12</v>
      </c>
      <c r="AK30" s="166">
        <v>2066.3157894736842</v>
      </c>
      <c r="AL30" s="166">
        <v>172.19298245614036</v>
      </c>
      <c r="AM30" s="180">
        <f t="shared" si="20"/>
        <v>8</v>
      </c>
      <c r="AN30" s="486"/>
      <c r="AO30" s="166">
        <v>12</v>
      </c>
      <c r="AP30" s="166">
        <v>2119.354838709678</v>
      </c>
      <c r="AQ30" s="166">
        <v>176.61290322580649</v>
      </c>
      <c r="AR30" s="180"/>
      <c r="AS30" s="486"/>
      <c r="AT30" s="166">
        <v>12</v>
      </c>
      <c r="AU30" s="166">
        <v>2132.3809523809532</v>
      </c>
      <c r="AV30" s="166">
        <v>177.69841269841277</v>
      </c>
      <c r="AW30" s="180"/>
      <c r="AX30" s="486"/>
    </row>
    <row r="31" spans="2:54">
      <c r="B31" s="479"/>
      <c r="C31" s="180">
        <v>5</v>
      </c>
      <c r="D31" s="201" t="s">
        <v>390</v>
      </c>
      <c r="E31" s="166">
        <v>12</v>
      </c>
      <c r="F31" s="180">
        <v>2250</v>
      </c>
      <c r="G31" s="265">
        <v>187.5</v>
      </c>
      <c r="H31" s="460"/>
      <c r="I31" s="166">
        <f t="shared" si="15"/>
        <v>12</v>
      </c>
      <c r="J31" s="166">
        <f t="shared" si="15"/>
        <v>2220.8170547550621</v>
      </c>
      <c r="K31" s="265">
        <f t="shared" si="15"/>
        <v>185.06808789625521</v>
      </c>
      <c r="L31" s="460"/>
      <c r="M31" s="272">
        <f>RANK(K31, K$27:$K$41)</f>
        <v>8</v>
      </c>
      <c r="N31" s="462"/>
      <c r="O31" s="462"/>
      <c r="P31" s="166">
        <v>12</v>
      </c>
      <c r="Q31" s="166">
        <v>2242.608695652174</v>
      </c>
      <c r="R31" s="166">
        <v>186.8840579710145</v>
      </c>
      <c r="S31" s="180">
        <f t="shared" si="16"/>
        <v>7</v>
      </c>
      <c r="T31" s="486"/>
      <c r="U31" s="166">
        <v>12</v>
      </c>
      <c r="V31" s="166">
        <v>2221.7910447761196</v>
      </c>
      <c r="W31" s="166">
        <v>185.14925373134329</v>
      </c>
      <c r="X31" s="180">
        <f t="shared" si="17"/>
        <v>7</v>
      </c>
      <c r="Y31" s="486"/>
      <c r="Z31" s="166">
        <v>12</v>
      </c>
      <c r="AA31" s="166">
        <v>2190.8571428571431</v>
      </c>
      <c r="AB31" s="166">
        <v>182.57142857142858</v>
      </c>
      <c r="AC31" s="180">
        <f t="shared" si="18"/>
        <v>7</v>
      </c>
      <c r="AD31" s="486"/>
      <c r="AE31" s="166">
        <v>12</v>
      </c>
      <c r="AF31" s="166">
        <v>2231.9999999999995</v>
      </c>
      <c r="AG31" s="166">
        <v>185.99999999999997</v>
      </c>
      <c r="AH31" s="180">
        <f t="shared" si="19"/>
        <v>7</v>
      </c>
      <c r="AI31" s="486"/>
      <c r="AJ31" s="166">
        <v>12</v>
      </c>
      <c r="AK31" s="166">
        <v>2204.0624999999995</v>
      </c>
      <c r="AL31" s="166">
        <v>183.67187499999997</v>
      </c>
      <c r="AM31" s="180">
        <f t="shared" si="20"/>
        <v>7</v>
      </c>
      <c r="AN31" s="486"/>
      <c r="AO31" s="166">
        <v>12</v>
      </c>
      <c r="AP31" s="166">
        <v>2219.9999999999991</v>
      </c>
      <c r="AQ31" s="166">
        <v>184.99999999999991</v>
      </c>
      <c r="AR31" s="180"/>
      <c r="AS31" s="486"/>
      <c r="AT31" s="166">
        <v>12</v>
      </c>
      <c r="AU31" s="166">
        <v>2234.3999999999996</v>
      </c>
      <c r="AV31" s="166">
        <v>186.19999999999996</v>
      </c>
      <c r="AW31" s="180"/>
      <c r="AX31" s="486"/>
    </row>
    <row r="32" spans="2:54">
      <c r="B32" s="479"/>
      <c r="C32" s="180">
        <v>6</v>
      </c>
      <c r="D32" s="201" t="s">
        <v>391</v>
      </c>
      <c r="E32" s="166">
        <v>13</v>
      </c>
      <c r="F32" s="180">
        <v>2250</v>
      </c>
      <c r="G32" s="265">
        <v>173</v>
      </c>
      <c r="H32" s="460"/>
      <c r="I32" s="166">
        <f t="shared" si="15"/>
        <v>13</v>
      </c>
      <c r="J32" s="166">
        <f t="shared" si="15"/>
        <v>2164.316059786438</v>
      </c>
      <c r="K32" s="265">
        <f t="shared" si="15"/>
        <v>166.48585075280292</v>
      </c>
      <c r="L32" s="460"/>
      <c r="M32" s="272">
        <f>RANK(K32, K$27:$K$41)</f>
        <v>10</v>
      </c>
      <c r="N32" s="462"/>
      <c r="O32" s="462"/>
      <c r="P32" s="166">
        <v>13</v>
      </c>
      <c r="Q32" s="166">
        <v>2136.2264150943392</v>
      </c>
      <c r="R32" s="166">
        <v>164.32510885341071</v>
      </c>
      <c r="S32" s="180">
        <f t="shared" si="16"/>
        <v>10</v>
      </c>
      <c r="T32" s="486"/>
      <c r="U32" s="166">
        <v>13</v>
      </c>
      <c r="V32" s="166">
        <v>2189.3750000000005</v>
      </c>
      <c r="W32" s="166">
        <v>168.41346153846158</v>
      </c>
      <c r="X32" s="180">
        <f t="shared" si="17"/>
        <v>10</v>
      </c>
      <c r="Y32" s="486"/>
      <c r="Z32" s="166">
        <v>13</v>
      </c>
      <c r="AA32" s="166">
        <v>2141.489361702128</v>
      </c>
      <c r="AB32" s="166">
        <v>164.72995090016369</v>
      </c>
      <c r="AC32" s="180">
        <f t="shared" si="18"/>
        <v>9</v>
      </c>
      <c r="AD32" s="486"/>
      <c r="AE32" s="166">
        <v>13</v>
      </c>
      <c r="AF32" s="166">
        <v>2171.1111111111113</v>
      </c>
      <c r="AG32" s="166">
        <v>167.00854700854703</v>
      </c>
      <c r="AH32" s="180">
        <f t="shared" si="19"/>
        <v>9</v>
      </c>
      <c r="AI32" s="486"/>
      <c r="AJ32" s="166">
        <v>13</v>
      </c>
      <c r="AK32" s="166">
        <v>2150.217391304348</v>
      </c>
      <c r="AL32" s="166">
        <v>165.40133779264215</v>
      </c>
      <c r="AM32" s="180">
        <f t="shared" si="20"/>
        <v>9</v>
      </c>
      <c r="AN32" s="486"/>
      <c r="AO32" s="166">
        <v>13</v>
      </c>
      <c r="AP32" s="166">
        <v>2156.2162162162153</v>
      </c>
      <c r="AQ32" s="166">
        <v>165.86278586278578</v>
      </c>
      <c r="AR32" s="180"/>
      <c r="AS32" s="486"/>
      <c r="AT32" s="166">
        <v>13</v>
      </c>
      <c r="AU32" s="166">
        <v>2205.5769230769233</v>
      </c>
      <c r="AV32" s="166">
        <v>169.65976331360949</v>
      </c>
      <c r="AW32" s="180"/>
      <c r="AX32" s="486"/>
    </row>
    <row r="33" spans="2:50">
      <c r="B33" s="479"/>
      <c r="C33" s="180">
        <v>7</v>
      </c>
      <c r="D33" s="201" t="s">
        <v>392</v>
      </c>
      <c r="E33" s="166">
        <v>10</v>
      </c>
      <c r="F33" s="180">
        <v>2250</v>
      </c>
      <c r="G33" s="265">
        <v>225</v>
      </c>
      <c r="H33" s="460"/>
      <c r="I33" s="166">
        <f t="shared" si="15"/>
        <v>10</v>
      </c>
      <c r="J33" s="166">
        <f t="shared" si="15"/>
        <v>2098.7542761614654</v>
      </c>
      <c r="K33" s="265">
        <f t="shared" si="15"/>
        <v>209.8754276161466</v>
      </c>
      <c r="L33" s="460"/>
      <c r="M33" s="272">
        <f>RANK(K33, K$27:$K$41)</f>
        <v>6</v>
      </c>
      <c r="N33" s="462"/>
      <c r="O33" s="462"/>
      <c r="P33" s="166">
        <v>10</v>
      </c>
      <c r="Q33" s="166">
        <v>2077.6874999999995</v>
      </c>
      <c r="R33" s="166">
        <v>207.76874999999995</v>
      </c>
      <c r="S33" s="180">
        <f t="shared" si="16"/>
        <v>6</v>
      </c>
      <c r="T33" s="486"/>
      <c r="U33" s="166">
        <v>10</v>
      </c>
      <c r="V33" s="166">
        <v>2104.0746268656717</v>
      </c>
      <c r="W33" s="166">
        <v>210.40746268656716</v>
      </c>
      <c r="X33" s="180">
        <f t="shared" si="17"/>
        <v>6</v>
      </c>
      <c r="Y33" s="486"/>
      <c r="Z33" s="166">
        <v>10</v>
      </c>
      <c r="AA33" s="166">
        <v>2117.6129032258054</v>
      </c>
      <c r="AB33" s="166">
        <v>211.76129032258055</v>
      </c>
      <c r="AC33" s="180">
        <f t="shared" si="18"/>
        <v>5</v>
      </c>
      <c r="AD33" s="486"/>
      <c r="AE33" s="166">
        <v>10</v>
      </c>
      <c r="AF33" s="166">
        <v>2068.6721311475417</v>
      </c>
      <c r="AG33" s="166">
        <v>206.86721311475418</v>
      </c>
      <c r="AH33" s="180">
        <f t="shared" si="19"/>
        <v>5</v>
      </c>
      <c r="AI33" s="486"/>
      <c r="AJ33" s="166">
        <v>10</v>
      </c>
      <c r="AK33" s="166">
        <v>2133.3934426229498</v>
      </c>
      <c r="AL33" s="166">
        <v>213.33934426229499</v>
      </c>
      <c r="AM33" s="180">
        <f t="shared" si="20"/>
        <v>5</v>
      </c>
      <c r="AN33" s="486"/>
      <c r="AO33" s="166">
        <v>10</v>
      </c>
      <c r="AP33" s="166">
        <v>2054.9268292682918</v>
      </c>
      <c r="AQ33" s="166">
        <v>205.49268292682919</v>
      </c>
      <c r="AR33" s="180"/>
      <c r="AS33" s="486"/>
      <c r="AT33" s="166">
        <v>10</v>
      </c>
      <c r="AU33" s="166">
        <v>2134.912499999999</v>
      </c>
      <c r="AV33" s="166">
        <v>213.49124999999989</v>
      </c>
      <c r="AW33" s="180"/>
      <c r="AX33" s="486"/>
    </row>
    <row r="34" spans="2:50">
      <c r="B34" s="479"/>
      <c r="C34" s="180">
        <v>8</v>
      </c>
      <c r="D34" s="201" t="s">
        <v>386</v>
      </c>
      <c r="E34" s="166">
        <v>18</v>
      </c>
      <c r="F34" s="180">
        <v>1250</v>
      </c>
      <c r="G34" s="265">
        <v>69.444444444444443</v>
      </c>
      <c r="H34" s="460"/>
      <c r="I34" s="166">
        <f t="shared" si="15"/>
        <v>13</v>
      </c>
      <c r="J34" s="166">
        <f t="shared" si="15"/>
        <v>1243.8443977591039</v>
      </c>
      <c r="K34" s="265">
        <f t="shared" si="15"/>
        <v>95.680338289161838</v>
      </c>
      <c r="L34" s="460"/>
      <c r="M34" s="272">
        <f>RANK(K34, K$27:$K$41)</f>
        <v>12</v>
      </c>
      <c r="N34" s="462"/>
      <c r="O34" s="462"/>
      <c r="P34" s="166">
        <v>13</v>
      </c>
      <c r="Q34" s="166">
        <v>1247.2941176470597</v>
      </c>
      <c r="R34" s="166">
        <v>95.945701357466135</v>
      </c>
      <c r="S34" s="180">
        <f t="shared" si="16"/>
        <v>12</v>
      </c>
      <c r="T34" s="486"/>
      <c r="U34" s="166">
        <v>13</v>
      </c>
      <c r="V34" s="166">
        <v>1218.6666666666665</v>
      </c>
      <c r="W34" s="166">
        <v>93.743589743589737</v>
      </c>
      <c r="X34" s="180">
        <f t="shared" si="17"/>
        <v>12</v>
      </c>
      <c r="Y34" s="486"/>
      <c r="Z34" s="166">
        <v>13</v>
      </c>
      <c r="AA34" s="166">
        <v>1254.6666666666667</v>
      </c>
      <c r="AB34" s="166">
        <v>96.512820512820525</v>
      </c>
      <c r="AC34" s="180">
        <f t="shared" si="18"/>
        <v>11</v>
      </c>
      <c r="AD34" s="486"/>
      <c r="AE34" s="166">
        <v>13</v>
      </c>
      <c r="AF34" s="166">
        <v>1237.6000000000006</v>
      </c>
      <c r="AG34" s="166">
        <v>95.200000000000045</v>
      </c>
      <c r="AH34" s="180">
        <f t="shared" si="19"/>
        <v>11</v>
      </c>
      <c r="AI34" s="486"/>
      <c r="AJ34" s="166">
        <v>13</v>
      </c>
      <c r="AK34" s="166">
        <v>1224.7500000000007</v>
      </c>
      <c r="AL34" s="166">
        <v>94.21153846153851</v>
      </c>
      <c r="AM34" s="180">
        <f t="shared" si="20"/>
        <v>11</v>
      </c>
      <c r="AN34" s="486"/>
      <c r="AO34" s="166">
        <v>13</v>
      </c>
      <c r="AP34" s="166">
        <v>1260.6000000000004</v>
      </c>
      <c r="AQ34" s="166">
        <v>96.969230769230791</v>
      </c>
      <c r="AR34" s="180"/>
      <c r="AS34" s="486"/>
      <c r="AT34" s="166">
        <v>13</v>
      </c>
      <c r="AU34" s="166">
        <v>1263.3333333333335</v>
      </c>
      <c r="AV34" s="166">
        <v>97.179487179487197</v>
      </c>
      <c r="AW34" s="180"/>
      <c r="AX34" s="486"/>
    </row>
    <row r="35" spans="2:50">
      <c r="B35" s="479"/>
      <c r="C35" s="180">
        <v>9</v>
      </c>
      <c r="D35" s="201" t="s">
        <v>557</v>
      </c>
      <c r="E35" s="166">
        <v>6</v>
      </c>
      <c r="F35" s="180">
        <v>2000</v>
      </c>
      <c r="G35" s="265">
        <v>333.33333333333331</v>
      </c>
      <c r="H35" s="460"/>
      <c r="I35" s="166">
        <f t="shared" si="15"/>
        <v>7</v>
      </c>
      <c r="J35" s="166">
        <f t="shared" si="15"/>
        <v>1753.1868131868112</v>
      </c>
      <c r="K35" s="265">
        <f t="shared" si="15"/>
        <v>250.45525902668732</v>
      </c>
      <c r="L35" s="460"/>
      <c r="M35" s="272">
        <f>RANK(K35, K$27:$K$41)</f>
        <v>5</v>
      </c>
      <c r="N35" s="462"/>
      <c r="O35" s="462"/>
      <c r="P35" s="166">
        <v>7</v>
      </c>
      <c r="Q35" s="166">
        <v>1786.1538461538414</v>
      </c>
      <c r="R35" s="166">
        <v>255.1648351648345</v>
      </c>
      <c r="S35" s="180">
        <f t="shared" si="16"/>
        <v>5</v>
      </c>
      <c r="T35" s="486"/>
      <c r="U35" s="166">
        <v>7</v>
      </c>
      <c r="V35" s="166">
        <v>1799.9999999999961</v>
      </c>
      <c r="W35" s="166">
        <v>257.1428571428566</v>
      </c>
      <c r="X35" s="180">
        <f t="shared" si="17"/>
        <v>5</v>
      </c>
      <c r="Y35" s="486"/>
      <c r="Z35" s="166">
        <v>7</v>
      </c>
      <c r="AA35" s="166">
        <v>1705.7142857142819</v>
      </c>
      <c r="AB35" s="166">
        <v>243.67346938775455</v>
      </c>
      <c r="AC35" s="180">
        <f t="shared" si="18"/>
        <v>4</v>
      </c>
      <c r="AD35" s="486"/>
      <c r="AE35" s="166">
        <v>7</v>
      </c>
      <c r="AF35" s="166">
        <v>1757.1428571428635</v>
      </c>
      <c r="AG35" s="166">
        <v>251.02040816326621</v>
      </c>
      <c r="AH35" s="180">
        <f t="shared" si="19"/>
        <v>4</v>
      </c>
      <c r="AI35" s="486"/>
      <c r="AJ35" s="166">
        <v>7</v>
      </c>
      <c r="AK35" s="166">
        <v>1716.9230769230726</v>
      </c>
      <c r="AL35" s="166">
        <v>245.27472527472466</v>
      </c>
      <c r="AM35" s="180">
        <f t="shared" si="20"/>
        <v>4</v>
      </c>
      <c r="AN35" s="486"/>
      <c r="AO35" s="166" t="s">
        <v>522</v>
      </c>
      <c r="AP35" s="166" t="s">
        <v>522</v>
      </c>
      <c r="AQ35" s="166" t="s">
        <v>522</v>
      </c>
      <c r="AR35" s="180"/>
      <c r="AS35" s="486"/>
      <c r="AT35" s="166" t="s">
        <v>522</v>
      </c>
      <c r="AU35" s="166" t="s">
        <v>522</v>
      </c>
      <c r="AV35" s="166" t="s">
        <v>522</v>
      </c>
      <c r="AW35" s="180"/>
      <c r="AX35" s="486"/>
    </row>
    <row r="36" spans="2:50">
      <c r="B36" s="479"/>
      <c r="C36" s="180">
        <v>10</v>
      </c>
      <c r="D36" s="201" t="s">
        <v>571</v>
      </c>
      <c r="E36" s="166">
        <v>4</v>
      </c>
      <c r="F36" s="180">
        <v>2000</v>
      </c>
      <c r="G36" s="265">
        <v>500</v>
      </c>
      <c r="H36" s="460"/>
      <c r="I36" s="166">
        <f t="shared" si="15"/>
        <v>5</v>
      </c>
      <c r="J36" s="166">
        <f t="shared" si="15"/>
        <v>1736.6666666666729</v>
      </c>
      <c r="K36" s="265">
        <f t="shared" si="15"/>
        <v>347.33333333333456</v>
      </c>
      <c r="L36" s="460"/>
      <c r="M36" s="272">
        <f>RANK(K36, K$27:$K$41)</f>
        <v>4</v>
      </c>
      <c r="N36" s="462"/>
      <c r="O36" s="462"/>
      <c r="P36" s="166">
        <v>5</v>
      </c>
      <c r="Q36" s="166">
        <v>1753.3333333333394</v>
      </c>
      <c r="R36" s="166">
        <v>350.66666666666788</v>
      </c>
      <c r="S36" s="180">
        <f t="shared" si="16"/>
        <v>4</v>
      </c>
      <c r="T36" s="486"/>
      <c r="U36" s="166">
        <v>5</v>
      </c>
      <c r="V36" s="166">
        <v>1720.0000000000061</v>
      </c>
      <c r="W36" s="166">
        <v>344.00000000000125</v>
      </c>
      <c r="X36" s="180">
        <f t="shared" si="17"/>
        <v>4</v>
      </c>
      <c r="Y36" s="486"/>
      <c r="Z36" s="166"/>
      <c r="AA36" s="166"/>
      <c r="AB36" s="166"/>
      <c r="AC36" s="180" t="e">
        <f t="shared" si="18"/>
        <v>#N/A</v>
      </c>
      <c r="AD36" s="486"/>
      <c r="AE36" s="166"/>
      <c r="AF36" s="166"/>
      <c r="AG36" s="166"/>
      <c r="AH36" s="180" t="e">
        <f t="shared" si="19"/>
        <v>#N/A</v>
      </c>
      <c r="AI36" s="486"/>
      <c r="AJ36" s="166"/>
      <c r="AK36" s="166"/>
      <c r="AL36" s="166"/>
      <c r="AM36" s="180" t="e">
        <f t="shared" si="20"/>
        <v>#N/A</v>
      </c>
      <c r="AN36" s="486"/>
      <c r="AO36" s="166" t="s">
        <v>522</v>
      </c>
      <c r="AP36" s="166" t="s">
        <v>522</v>
      </c>
      <c r="AQ36" s="166" t="s">
        <v>522</v>
      </c>
      <c r="AR36" s="180"/>
      <c r="AS36" s="486"/>
      <c r="AT36" s="166" t="s">
        <v>522</v>
      </c>
      <c r="AU36" s="166" t="s">
        <v>522</v>
      </c>
      <c r="AV36" s="166" t="s">
        <v>522</v>
      </c>
      <c r="AW36" s="180"/>
      <c r="AX36" s="486"/>
    </row>
    <row r="37" spans="2:50">
      <c r="B37" s="479"/>
      <c r="C37" s="180">
        <v>11</v>
      </c>
      <c r="D37" s="201" t="s">
        <v>584</v>
      </c>
      <c r="E37" s="166">
        <v>12</v>
      </c>
      <c r="F37" s="180">
        <v>2250</v>
      </c>
      <c r="G37" s="265">
        <v>176.5</v>
      </c>
      <c r="H37" s="460"/>
      <c r="I37" s="166">
        <f t="shared" si="15"/>
        <v>12</v>
      </c>
      <c r="J37" s="166">
        <f t="shared" si="15"/>
        <v>2224.5237818858777</v>
      </c>
      <c r="K37" s="265">
        <f t="shared" si="15"/>
        <v>185.37698182382314</v>
      </c>
      <c r="L37" s="460"/>
      <c r="M37" s="272">
        <f>RANK(K37, K$27:$K$41)</f>
        <v>7</v>
      </c>
      <c r="N37" s="462"/>
      <c r="O37" s="462"/>
      <c r="P37" s="166">
        <v>12</v>
      </c>
      <c r="Q37" s="166">
        <v>2216.9620253164571</v>
      </c>
      <c r="R37" s="166">
        <v>184.74683544303809</v>
      </c>
      <c r="S37" s="180">
        <f t="shared" si="16"/>
        <v>8</v>
      </c>
      <c r="T37" s="486"/>
      <c r="U37" s="166">
        <v>12</v>
      </c>
      <c r="V37" s="166">
        <v>2168.1481481481474</v>
      </c>
      <c r="W37" s="166">
        <v>180.67901234567896</v>
      </c>
      <c r="X37" s="180">
        <f t="shared" si="17"/>
        <v>8</v>
      </c>
      <c r="Y37" s="486"/>
      <c r="Z37" s="166">
        <v>12</v>
      </c>
      <c r="AA37" s="166">
        <v>2228.5714285714298</v>
      </c>
      <c r="AB37" s="166">
        <v>185.71428571428581</v>
      </c>
      <c r="AC37" s="180">
        <f t="shared" si="18"/>
        <v>6</v>
      </c>
      <c r="AD37" s="486"/>
      <c r="AE37" s="166">
        <v>12</v>
      </c>
      <c r="AF37" s="166">
        <v>2238.4615384615381</v>
      </c>
      <c r="AG37" s="166">
        <v>186.53846153846152</v>
      </c>
      <c r="AH37" s="180">
        <f t="shared" si="19"/>
        <v>6</v>
      </c>
      <c r="AI37" s="486"/>
      <c r="AJ37" s="166">
        <v>12</v>
      </c>
      <c r="AK37" s="166">
        <v>2257.6119402985073</v>
      </c>
      <c r="AL37" s="166">
        <v>188.13432835820893</v>
      </c>
      <c r="AM37" s="180">
        <f t="shared" si="20"/>
        <v>6</v>
      </c>
      <c r="AN37" s="486"/>
      <c r="AO37" s="166">
        <v>12</v>
      </c>
      <c r="AP37" s="166">
        <v>2228.9999999999991</v>
      </c>
      <c r="AQ37" s="166">
        <v>185.74999999999991</v>
      </c>
      <c r="AR37" s="180"/>
      <c r="AS37" s="486"/>
      <c r="AT37" s="166">
        <v>12</v>
      </c>
      <c r="AU37" s="166">
        <v>2232.9113924050644</v>
      </c>
      <c r="AV37" s="166">
        <v>186.0759493670887</v>
      </c>
      <c r="AW37" s="180"/>
      <c r="AX37" s="486"/>
    </row>
    <row r="38" spans="2:50">
      <c r="B38" s="479"/>
      <c r="C38" s="180">
        <v>12</v>
      </c>
      <c r="D38" s="201" t="s">
        <v>668</v>
      </c>
      <c r="E38" s="166">
        <v>4</v>
      </c>
      <c r="F38" s="180">
        <v>2000</v>
      </c>
      <c r="G38" s="265">
        <v>500</v>
      </c>
      <c r="H38" s="460"/>
      <c r="I38" s="166">
        <f t="shared" si="15"/>
        <v>5</v>
      </c>
      <c r="J38" s="166">
        <f t="shared" si="15"/>
        <v>2096.9885800474035</v>
      </c>
      <c r="K38" s="265">
        <f t="shared" si="15"/>
        <v>419.3977160094808</v>
      </c>
      <c r="L38" s="460"/>
      <c r="M38" s="272">
        <f>RANK(K38, K$27:$K$41)</f>
        <v>3</v>
      </c>
      <c r="N38" s="462"/>
      <c r="O38" s="462"/>
      <c r="P38" s="166">
        <v>5</v>
      </c>
      <c r="Q38" s="166">
        <v>2086.6666666666652</v>
      </c>
      <c r="R38" s="166">
        <v>417.33333333333303</v>
      </c>
      <c r="S38" s="180">
        <f t="shared" si="16"/>
        <v>3</v>
      </c>
      <c r="T38" s="486"/>
      <c r="U38" s="166">
        <v>5</v>
      </c>
      <c r="V38" s="166">
        <v>2063.076923076922</v>
      </c>
      <c r="W38" s="166">
        <v>412.61538461538441</v>
      </c>
      <c r="X38" s="180">
        <f t="shared" si="17"/>
        <v>3</v>
      </c>
      <c r="Y38" s="486"/>
      <c r="Z38" s="166">
        <v>5</v>
      </c>
      <c r="AA38" s="166">
        <v>2091.1764705882379</v>
      </c>
      <c r="AB38" s="166">
        <v>418.23529411764758</v>
      </c>
      <c r="AC38" s="180">
        <f t="shared" si="18"/>
        <v>2</v>
      </c>
      <c r="AD38" s="486"/>
      <c r="AE38" s="166">
        <v>5</v>
      </c>
      <c r="AF38" s="166">
        <v>2117.9999999999995</v>
      </c>
      <c r="AG38" s="166">
        <v>423.59999999999991</v>
      </c>
      <c r="AH38" s="180">
        <f t="shared" si="19"/>
        <v>2</v>
      </c>
      <c r="AI38" s="486"/>
      <c r="AJ38" s="166">
        <v>5</v>
      </c>
      <c r="AK38" s="166">
        <v>2080.0000000000009</v>
      </c>
      <c r="AL38" s="166">
        <v>416.00000000000017</v>
      </c>
      <c r="AM38" s="180">
        <f t="shared" si="20"/>
        <v>3</v>
      </c>
      <c r="AN38" s="486"/>
      <c r="AO38" s="166">
        <v>5</v>
      </c>
      <c r="AP38" s="166">
        <v>2120.0000000000009</v>
      </c>
      <c r="AQ38" s="166">
        <v>424.00000000000017</v>
      </c>
      <c r="AR38" s="180"/>
      <c r="AS38" s="486"/>
      <c r="AT38" s="166">
        <v>5</v>
      </c>
      <c r="AU38" s="166">
        <v>2120.0000000000023</v>
      </c>
      <c r="AV38" s="166">
        <v>424.00000000000045</v>
      </c>
      <c r="AW38" s="180"/>
      <c r="AX38" s="486"/>
    </row>
    <row r="39" spans="2:50">
      <c r="B39" s="479"/>
      <c r="C39" s="180">
        <v>13</v>
      </c>
      <c r="D39" s="201"/>
      <c r="E39" s="166"/>
      <c r="F39" s="180"/>
      <c r="G39" s="265"/>
      <c r="H39" s="460"/>
      <c r="I39" s="180"/>
      <c r="J39" s="180"/>
      <c r="K39" s="180"/>
      <c r="L39" s="460"/>
      <c r="M39" s="272" t="e">
        <f>RANK(K39, K$27:$K$41)</f>
        <v>#N/A</v>
      </c>
      <c r="N39" s="462"/>
      <c r="O39" s="462"/>
      <c r="P39" s="166"/>
      <c r="Q39" s="166"/>
      <c r="R39" s="166"/>
      <c r="S39" s="180" t="e">
        <f t="shared" si="16"/>
        <v>#N/A</v>
      </c>
      <c r="T39" s="486"/>
      <c r="U39" s="166"/>
      <c r="V39" s="166"/>
      <c r="W39" s="166"/>
      <c r="X39" s="180" t="e">
        <f t="shared" si="17"/>
        <v>#N/A</v>
      </c>
      <c r="Y39" s="486"/>
      <c r="Z39" s="166"/>
      <c r="AA39" s="166"/>
      <c r="AB39" s="166"/>
      <c r="AC39" s="180" t="e">
        <f t="shared" si="18"/>
        <v>#N/A</v>
      </c>
      <c r="AD39" s="486"/>
      <c r="AE39" s="166"/>
      <c r="AF39" s="166"/>
      <c r="AG39" s="166"/>
      <c r="AH39" s="180" t="e">
        <f t="shared" si="19"/>
        <v>#N/A</v>
      </c>
      <c r="AI39" s="486"/>
      <c r="AJ39" s="166"/>
      <c r="AK39" s="166"/>
      <c r="AL39" s="166"/>
      <c r="AM39" s="180" t="e">
        <f t="shared" si="20"/>
        <v>#N/A</v>
      </c>
      <c r="AN39" s="486"/>
      <c r="AO39" s="166"/>
      <c r="AP39" s="166"/>
      <c r="AQ39" s="166"/>
      <c r="AR39" s="180"/>
      <c r="AS39" s="486"/>
      <c r="AT39" s="166"/>
      <c r="AU39" s="166"/>
      <c r="AV39" s="166"/>
      <c r="AW39" s="180"/>
      <c r="AX39" s="486"/>
    </row>
    <row r="40" spans="2:50">
      <c r="B40" s="479"/>
      <c r="C40" s="180">
        <v>14</v>
      </c>
      <c r="D40" s="201"/>
      <c r="E40" s="166"/>
      <c r="F40" s="180"/>
      <c r="G40" s="265"/>
      <c r="H40" s="460"/>
      <c r="I40" s="180"/>
      <c r="J40" s="180"/>
      <c r="K40" s="180"/>
      <c r="L40" s="460"/>
      <c r="M40" s="272" t="e">
        <f>RANK(K40, K$27:$K$41)</f>
        <v>#N/A</v>
      </c>
      <c r="N40" s="462"/>
      <c r="O40" s="462"/>
      <c r="P40" s="166"/>
      <c r="Q40" s="166"/>
      <c r="R40" s="166"/>
      <c r="S40" s="180" t="e">
        <f t="shared" si="16"/>
        <v>#N/A</v>
      </c>
      <c r="T40" s="486"/>
      <c r="U40" s="166"/>
      <c r="V40" s="166"/>
      <c r="W40" s="166"/>
      <c r="X40" s="180" t="e">
        <f t="shared" si="17"/>
        <v>#N/A</v>
      </c>
      <c r="Y40" s="486"/>
      <c r="Z40" s="166"/>
      <c r="AA40" s="166"/>
      <c r="AB40" s="166"/>
      <c r="AC40" s="180" t="e">
        <f t="shared" si="18"/>
        <v>#N/A</v>
      </c>
      <c r="AD40" s="486"/>
      <c r="AE40" s="166"/>
      <c r="AF40" s="166"/>
      <c r="AG40" s="166"/>
      <c r="AH40" s="180" t="e">
        <f t="shared" si="19"/>
        <v>#N/A</v>
      </c>
      <c r="AI40" s="486"/>
      <c r="AJ40" s="166"/>
      <c r="AK40" s="166"/>
      <c r="AL40" s="166"/>
      <c r="AM40" s="180" t="e">
        <f t="shared" si="20"/>
        <v>#N/A</v>
      </c>
      <c r="AN40" s="486"/>
      <c r="AO40" s="166"/>
      <c r="AP40" s="166"/>
      <c r="AQ40" s="166"/>
      <c r="AR40" s="180"/>
      <c r="AS40" s="486"/>
      <c r="AT40" s="166"/>
      <c r="AU40" s="166"/>
      <c r="AV40" s="166"/>
      <c r="AW40" s="180"/>
      <c r="AX40" s="486"/>
    </row>
    <row r="41" spans="2:50">
      <c r="B41" s="479"/>
      <c r="C41" s="180">
        <v>15</v>
      </c>
      <c r="D41" s="201"/>
      <c r="E41" s="166"/>
      <c r="F41" s="180"/>
      <c r="G41" s="265"/>
      <c r="H41" s="461"/>
      <c r="I41" s="180"/>
      <c r="J41" s="180"/>
      <c r="K41" s="180"/>
      <c r="L41" s="461"/>
      <c r="M41" s="166" t="e">
        <f>RANK(K41, K$27:$K$41)</f>
        <v>#N/A</v>
      </c>
      <c r="N41" s="462"/>
      <c r="O41" s="462"/>
      <c r="P41" s="166"/>
      <c r="Q41" s="166"/>
      <c r="R41" s="166"/>
      <c r="S41" s="180" t="e">
        <f t="shared" si="16"/>
        <v>#N/A</v>
      </c>
      <c r="T41" s="486"/>
      <c r="U41" s="166"/>
      <c r="V41" s="166"/>
      <c r="W41" s="166"/>
      <c r="X41" s="180"/>
      <c r="Y41" s="486"/>
      <c r="Z41" s="166"/>
      <c r="AA41" s="166"/>
      <c r="AB41" s="166"/>
      <c r="AC41" s="180"/>
      <c r="AD41" s="486"/>
      <c r="AE41" s="166"/>
      <c r="AF41" s="166"/>
      <c r="AG41" s="166"/>
      <c r="AH41" s="180"/>
      <c r="AI41" s="486"/>
      <c r="AJ41" s="166"/>
      <c r="AK41" s="166"/>
      <c r="AL41" s="166"/>
      <c r="AM41" s="180"/>
      <c r="AN41" s="486"/>
      <c r="AO41" s="166"/>
      <c r="AP41" s="166"/>
      <c r="AQ41" s="166"/>
      <c r="AR41" s="180"/>
      <c r="AS41" s="486"/>
      <c r="AT41" s="166"/>
      <c r="AU41" s="166"/>
      <c r="AV41" s="166"/>
      <c r="AW41" s="180"/>
      <c r="AX41" s="486"/>
    </row>
    <row r="42" spans="2:50" ht="15.75">
      <c r="B42" s="490" t="s">
        <v>721</v>
      </c>
      <c r="C42" s="491"/>
      <c r="D42" s="491"/>
      <c r="E42" s="491"/>
      <c r="F42" s="491"/>
      <c r="G42" s="491"/>
      <c r="H42" s="491"/>
      <c r="I42" s="184"/>
      <c r="J42" s="181"/>
      <c r="K42" s="184"/>
      <c r="L42" s="184"/>
      <c r="M42" s="178"/>
      <c r="N42" s="469" t="s">
        <v>722</v>
      </c>
      <c r="O42" s="469" t="s">
        <v>723</v>
      </c>
      <c r="P42" s="478">
        <f>P22+7</f>
        <v>46063</v>
      </c>
      <c r="Q42" s="479"/>
      <c r="R42" s="479"/>
      <c r="S42" s="479"/>
      <c r="T42" s="479"/>
      <c r="U42" s="475">
        <f>P42+1</f>
        <v>46064</v>
      </c>
      <c r="V42" s="476"/>
      <c r="W42" s="476"/>
      <c r="X42" s="476"/>
      <c r="Y42" s="477"/>
      <c r="Z42" s="475">
        <f>U42+1</f>
        <v>46065</v>
      </c>
      <c r="AA42" s="476"/>
      <c r="AB42" s="476"/>
      <c r="AC42" s="476"/>
      <c r="AD42" s="477"/>
      <c r="AE42" s="475">
        <f>Z42+1</f>
        <v>46066</v>
      </c>
      <c r="AF42" s="476"/>
      <c r="AG42" s="476"/>
      <c r="AH42" s="476"/>
      <c r="AI42" s="477"/>
      <c r="AJ42" s="475">
        <f>AE42+1</f>
        <v>46067</v>
      </c>
      <c r="AK42" s="476"/>
      <c r="AL42" s="476"/>
      <c r="AM42" s="476"/>
      <c r="AN42" s="477"/>
      <c r="AO42" s="475">
        <f>AJ42+1</f>
        <v>46068</v>
      </c>
      <c r="AP42" s="476"/>
      <c r="AQ42" s="476"/>
      <c r="AR42" s="476"/>
      <c r="AS42" s="477"/>
      <c r="AT42" s="475">
        <f>AO42+1</f>
        <v>46069</v>
      </c>
      <c r="AU42" s="476"/>
      <c r="AV42" s="476"/>
      <c r="AW42" s="476"/>
      <c r="AX42" s="477"/>
    </row>
    <row r="43" spans="2:50" ht="15.75">
      <c r="B43" s="482"/>
      <c r="C43" s="482"/>
      <c r="D43" s="482"/>
      <c r="E43" s="482"/>
      <c r="F43" s="482"/>
      <c r="G43" s="482"/>
      <c r="H43" s="482"/>
      <c r="I43" s="182"/>
      <c r="J43" s="182"/>
      <c r="K43" s="182"/>
      <c r="L43" s="182"/>
      <c r="M43" s="179"/>
      <c r="N43" s="471"/>
      <c r="O43" s="471"/>
      <c r="P43" s="478" t="s">
        <v>724</v>
      </c>
      <c r="Q43" s="479"/>
      <c r="R43" s="479"/>
      <c r="S43" s="479"/>
      <c r="T43" s="479"/>
      <c r="U43" s="478" t="s">
        <v>725</v>
      </c>
      <c r="V43" s="479"/>
      <c r="W43" s="479"/>
      <c r="X43" s="479"/>
      <c r="Y43" s="479"/>
      <c r="Z43" s="478" t="s">
        <v>726</v>
      </c>
      <c r="AA43" s="479"/>
      <c r="AB43" s="479"/>
      <c r="AC43" s="479"/>
      <c r="AD43" s="479"/>
      <c r="AE43" s="478" t="s">
        <v>727</v>
      </c>
      <c r="AF43" s="479"/>
      <c r="AG43" s="479"/>
      <c r="AH43" s="479"/>
      <c r="AI43" s="479"/>
      <c r="AJ43" s="478" t="s">
        <v>728</v>
      </c>
      <c r="AK43" s="479"/>
      <c r="AL43" s="479"/>
      <c r="AM43" s="479"/>
      <c r="AN43" s="479"/>
      <c r="AO43" s="478" t="s">
        <v>729</v>
      </c>
      <c r="AP43" s="479"/>
      <c r="AQ43" s="479"/>
      <c r="AR43" s="479"/>
      <c r="AS43" s="479"/>
      <c r="AT43" s="478" t="s">
        <v>730</v>
      </c>
      <c r="AU43" s="479"/>
      <c r="AV43" s="479"/>
      <c r="AW43" s="479"/>
      <c r="AX43" s="479"/>
    </row>
    <row r="44" spans="2:50">
      <c r="B44" s="462" t="s">
        <v>731</v>
      </c>
      <c r="C44" s="462" t="s">
        <v>732</v>
      </c>
      <c r="D44" s="462"/>
      <c r="E44" s="462" t="s">
        <v>733</v>
      </c>
      <c r="F44" s="462"/>
      <c r="G44" s="462"/>
      <c r="H44" s="463" t="s">
        <v>734</v>
      </c>
      <c r="I44" s="462" t="s">
        <v>735</v>
      </c>
      <c r="J44" s="462"/>
      <c r="K44" s="462"/>
      <c r="L44" s="463" t="s">
        <v>734</v>
      </c>
      <c r="M44" s="469" t="s">
        <v>736</v>
      </c>
      <c r="N44" s="462"/>
      <c r="O44" s="462" t="s">
        <v>737</v>
      </c>
      <c r="P44" s="466" t="s">
        <v>738</v>
      </c>
      <c r="Q44" s="467"/>
      <c r="R44" s="467"/>
      <c r="S44" s="468"/>
      <c r="T44" s="462" t="s">
        <v>734</v>
      </c>
      <c r="U44" s="466" t="s">
        <v>738</v>
      </c>
      <c r="V44" s="467"/>
      <c r="W44" s="467"/>
      <c r="X44" s="468"/>
      <c r="Y44" s="462" t="s">
        <v>734</v>
      </c>
      <c r="Z44" s="466" t="s">
        <v>738</v>
      </c>
      <c r="AA44" s="467"/>
      <c r="AB44" s="467"/>
      <c r="AC44" s="468"/>
      <c r="AD44" s="462" t="s">
        <v>734</v>
      </c>
      <c r="AE44" s="466" t="s">
        <v>738</v>
      </c>
      <c r="AF44" s="467"/>
      <c r="AG44" s="467"/>
      <c r="AH44" s="468"/>
      <c r="AI44" s="462" t="s">
        <v>734</v>
      </c>
      <c r="AJ44" s="466" t="s">
        <v>738</v>
      </c>
      <c r="AK44" s="467"/>
      <c r="AL44" s="467"/>
      <c r="AM44" s="468"/>
      <c r="AN44" s="462" t="s">
        <v>734</v>
      </c>
      <c r="AO44" s="466" t="s">
        <v>738</v>
      </c>
      <c r="AP44" s="467"/>
      <c r="AQ44" s="467"/>
      <c r="AR44" s="468"/>
      <c r="AS44" s="462" t="s">
        <v>734</v>
      </c>
      <c r="AT44" s="466" t="s">
        <v>738</v>
      </c>
      <c r="AU44" s="467"/>
      <c r="AV44" s="467"/>
      <c r="AW44" s="468"/>
      <c r="AX44" s="462" t="s">
        <v>734</v>
      </c>
    </row>
    <row r="45" spans="2:50">
      <c r="B45" s="462"/>
      <c r="C45" s="462"/>
      <c r="D45" s="462"/>
      <c r="E45" s="462" t="s">
        <v>739</v>
      </c>
      <c r="F45" s="462"/>
      <c r="G45" s="462"/>
      <c r="H45" s="464"/>
      <c r="I45" s="462" t="s">
        <v>739</v>
      </c>
      <c r="J45" s="462"/>
      <c r="K45" s="462"/>
      <c r="L45" s="464"/>
      <c r="M45" s="470"/>
      <c r="N45" s="462"/>
      <c r="O45" s="462"/>
      <c r="P45" s="466" t="s">
        <v>740</v>
      </c>
      <c r="Q45" s="467"/>
      <c r="R45" s="467"/>
      <c r="S45" s="468"/>
      <c r="T45" s="462"/>
      <c r="U45" s="466" t="s">
        <v>740</v>
      </c>
      <c r="V45" s="467"/>
      <c r="W45" s="467"/>
      <c r="X45" s="468"/>
      <c r="Y45" s="462"/>
      <c r="Z45" s="466" t="s">
        <v>740</v>
      </c>
      <c r="AA45" s="467"/>
      <c r="AB45" s="467"/>
      <c r="AC45" s="468"/>
      <c r="AD45" s="462"/>
      <c r="AE45" s="466" t="s">
        <v>740</v>
      </c>
      <c r="AF45" s="467"/>
      <c r="AG45" s="467"/>
      <c r="AH45" s="468"/>
      <c r="AI45" s="462"/>
      <c r="AJ45" s="466" t="s">
        <v>740</v>
      </c>
      <c r="AK45" s="467"/>
      <c r="AL45" s="467"/>
      <c r="AM45" s="468"/>
      <c r="AN45" s="462"/>
      <c r="AO45" s="466" t="s">
        <v>740</v>
      </c>
      <c r="AP45" s="467"/>
      <c r="AQ45" s="467"/>
      <c r="AR45" s="468"/>
      <c r="AS45" s="462"/>
      <c r="AT45" s="466" t="s">
        <v>740</v>
      </c>
      <c r="AU45" s="467"/>
      <c r="AV45" s="467"/>
      <c r="AW45" s="468"/>
      <c r="AX45" s="462"/>
    </row>
    <row r="46" spans="2:50">
      <c r="B46" s="462"/>
      <c r="C46" s="462"/>
      <c r="D46" s="462"/>
      <c r="E46" s="264" t="s">
        <v>741</v>
      </c>
      <c r="F46" s="264" t="s">
        <v>742</v>
      </c>
      <c r="G46" s="264" t="s">
        <v>743</v>
      </c>
      <c r="H46" s="465"/>
      <c r="I46" s="264" t="s">
        <v>741</v>
      </c>
      <c r="J46" s="264" t="s">
        <v>742</v>
      </c>
      <c r="K46" s="264" t="s">
        <v>743</v>
      </c>
      <c r="L46" s="465"/>
      <c r="M46" s="471"/>
      <c r="N46" s="462"/>
      <c r="O46" s="462"/>
      <c r="P46" s="264" t="s">
        <v>741</v>
      </c>
      <c r="Q46" s="264" t="s">
        <v>742</v>
      </c>
      <c r="R46" s="264" t="s">
        <v>743</v>
      </c>
      <c r="S46" s="264" t="s">
        <v>736</v>
      </c>
      <c r="T46" s="462"/>
      <c r="U46" s="264" t="s">
        <v>741</v>
      </c>
      <c r="V46" s="264" t="s">
        <v>742</v>
      </c>
      <c r="W46" s="264" t="s">
        <v>743</v>
      </c>
      <c r="X46" s="264" t="s">
        <v>736</v>
      </c>
      <c r="Y46" s="462"/>
      <c r="Z46" s="264" t="s">
        <v>741</v>
      </c>
      <c r="AA46" s="264" t="s">
        <v>742</v>
      </c>
      <c r="AB46" s="264" t="s">
        <v>743</v>
      </c>
      <c r="AC46" s="264" t="s">
        <v>736</v>
      </c>
      <c r="AD46" s="462"/>
      <c r="AE46" s="264" t="s">
        <v>741</v>
      </c>
      <c r="AF46" s="264" t="s">
        <v>742</v>
      </c>
      <c r="AG46" s="264" t="s">
        <v>743</v>
      </c>
      <c r="AH46" s="264" t="s">
        <v>736</v>
      </c>
      <c r="AI46" s="462"/>
      <c r="AJ46" s="264" t="s">
        <v>741</v>
      </c>
      <c r="AK46" s="264" t="s">
        <v>742</v>
      </c>
      <c r="AL46" s="264" t="s">
        <v>743</v>
      </c>
      <c r="AM46" s="264" t="s">
        <v>736</v>
      </c>
      <c r="AN46" s="462"/>
      <c r="AO46" s="264" t="s">
        <v>741</v>
      </c>
      <c r="AP46" s="264" t="s">
        <v>742</v>
      </c>
      <c r="AQ46" s="264" t="s">
        <v>743</v>
      </c>
      <c r="AR46" s="264" t="s">
        <v>736</v>
      </c>
      <c r="AS46" s="462"/>
      <c r="AT46" s="264" t="s">
        <v>741</v>
      </c>
      <c r="AU46" s="264" t="s">
        <v>742</v>
      </c>
      <c r="AV46" s="264" t="s">
        <v>743</v>
      </c>
      <c r="AW46" s="264" t="s">
        <v>736</v>
      </c>
      <c r="AX46" s="462"/>
    </row>
    <row r="47" spans="2:50">
      <c r="B47" s="507" t="s">
        <v>750</v>
      </c>
      <c r="C47" s="180">
        <v>1</v>
      </c>
      <c r="D47" s="201" t="s">
        <v>387</v>
      </c>
      <c r="E47" s="166">
        <v>4</v>
      </c>
      <c r="F47" s="180">
        <v>2000</v>
      </c>
      <c r="G47" s="265">
        <v>500</v>
      </c>
      <c r="H47" s="459">
        <f>AVERAGE(G47:G61)</f>
        <v>266.86444444444442</v>
      </c>
      <c r="I47" s="166">
        <f>AVERAGE(P47,U47,Z47,AE47,AJ47,AO47,AT47)</f>
        <v>5</v>
      </c>
      <c r="J47" s="166">
        <f>AVERAGE(Q47,V47,AA47,AF47,AK47,AP47,AU47)</f>
        <v>2120.8430056216166</v>
      </c>
      <c r="K47" s="265">
        <f>AVERAGE(R47,W47,AB47,AG47,AL47,AQ47,AV47)</f>
        <v>424.16860112432329</v>
      </c>
      <c r="L47" s="459">
        <f>IFERROR(AVERAGE(K47:K61),"-")</f>
        <v>244.55582725360242</v>
      </c>
      <c r="M47" s="272">
        <f>RANK(K47, K$47:$K$61)</f>
        <v>1</v>
      </c>
      <c r="N47" s="462"/>
      <c r="O47" s="462"/>
      <c r="P47" s="166">
        <v>5</v>
      </c>
      <c r="Q47" s="166">
        <v>2161.9354838709669</v>
      </c>
      <c r="R47" s="166">
        <v>432.38709677419337</v>
      </c>
      <c r="S47" s="180">
        <f>RANK(R47, R$47:R$61)</f>
        <v>1</v>
      </c>
      <c r="T47" s="486">
        <f>AVERAGE(R47:R61)</f>
        <v>245.98162601852977</v>
      </c>
      <c r="U47" s="166">
        <v>5</v>
      </c>
      <c r="V47" s="166">
        <v>2108.2758620689642</v>
      </c>
      <c r="W47" s="166">
        <v>421.65517241379285</v>
      </c>
      <c r="X47" s="180">
        <f>RANK(W47, W$47:W$61)</f>
        <v>2</v>
      </c>
      <c r="Y47" s="486">
        <f>AVERAGE(W47:W61)</f>
        <v>246.19451503830632</v>
      </c>
      <c r="Z47" s="166">
        <v>5</v>
      </c>
      <c r="AA47" s="166">
        <v>2113.6842105263177</v>
      </c>
      <c r="AB47" s="166">
        <v>422.73684210526352</v>
      </c>
      <c r="AC47" s="180">
        <f>RANK(AB47, AB$47:AB$61)</f>
        <v>2</v>
      </c>
      <c r="AD47" s="486">
        <f>AVERAGE(AB47:AB61)</f>
        <v>245.00953086240256</v>
      </c>
      <c r="AE47" s="166">
        <v>5</v>
      </c>
      <c r="AF47" s="166">
        <v>2135.217391304348</v>
      </c>
      <c r="AG47" s="166">
        <v>427.04347826086962</v>
      </c>
      <c r="AH47" s="180">
        <f>RANK(AG47, AG$47:AG$61)</f>
        <v>2</v>
      </c>
      <c r="AI47" s="486">
        <f>AVERAGE(AG47:AG61)</f>
        <v>243.70235962125031</v>
      </c>
      <c r="AJ47" s="166">
        <v>5</v>
      </c>
      <c r="AK47" s="166">
        <v>2084.4444444444457</v>
      </c>
      <c r="AL47" s="166">
        <v>416.88888888888914</v>
      </c>
      <c r="AM47" s="180">
        <f>RANK(AL47, AL$47:AL$61)</f>
        <v>1</v>
      </c>
      <c r="AN47" s="486">
        <f>AVERAGE(AL47:AL61)</f>
        <v>242.13745640436022</v>
      </c>
      <c r="AO47" s="166">
        <v>5</v>
      </c>
      <c r="AP47" s="166">
        <v>2080.4081632653069</v>
      </c>
      <c r="AQ47" s="166">
        <v>416.08163265306138</v>
      </c>
      <c r="AR47" s="180">
        <f>RANK(AQ47, AQ$47:AQ$61)</f>
        <v>2</v>
      </c>
      <c r="AS47" s="486">
        <f>AVERAGE(AQ47:AQ61)</f>
        <v>242.88367681183809</v>
      </c>
      <c r="AT47" s="166">
        <v>5</v>
      </c>
      <c r="AU47" s="166">
        <v>2161.9354838709669</v>
      </c>
      <c r="AV47" s="166">
        <v>432.38709677419337</v>
      </c>
      <c r="AW47" s="180">
        <f>RANK(AV47, AV$47:AV$61)</f>
        <v>1</v>
      </c>
      <c r="AX47" s="486">
        <f>AVERAGE(AV47:AV61)</f>
        <v>245.98162601852977</v>
      </c>
    </row>
    <row r="48" spans="2:50">
      <c r="B48" s="479"/>
      <c r="C48" s="180">
        <v>2</v>
      </c>
      <c r="D48" s="201" t="s">
        <v>427</v>
      </c>
      <c r="E48" s="166">
        <v>4</v>
      </c>
      <c r="F48" s="180">
        <v>2000</v>
      </c>
      <c r="G48" s="265">
        <v>500</v>
      </c>
      <c r="H48" s="460"/>
      <c r="I48" s="166">
        <f t="shared" ref="I48:K56" si="21">AVERAGE(P48,U48,Z48,AE48,AJ48,AO48,AT48)</f>
        <v>5</v>
      </c>
      <c r="J48" s="166">
        <f t="shared" si="21"/>
        <v>2109.1424741391756</v>
      </c>
      <c r="K48" s="265">
        <f t="shared" si="21"/>
        <v>421.82849482783513</v>
      </c>
      <c r="L48" s="460"/>
      <c r="M48" s="272">
        <f>RANK(K48, K$47:$K$61)</f>
        <v>2</v>
      </c>
      <c r="N48" s="462"/>
      <c r="O48" s="462"/>
      <c r="P48" s="166">
        <v>5</v>
      </c>
      <c r="Q48" s="166">
        <v>2127.8571428571445</v>
      </c>
      <c r="R48" s="166">
        <v>425.5714285714289</v>
      </c>
      <c r="S48" s="180">
        <f t="shared" ref="S48:S61" si="22">RANK(R48, R$47:R$61)</f>
        <v>2</v>
      </c>
      <c r="T48" s="486"/>
      <c r="U48" s="166">
        <v>5</v>
      </c>
      <c r="V48" s="166">
        <v>2103.3333333333344</v>
      </c>
      <c r="W48" s="166">
        <v>420.66666666666686</v>
      </c>
      <c r="X48" s="180">
        <f t="shared" ref="X48:X61" si="23">RANK(W48, W$47:W$61)</f>
        <v>3</v>
      </c>
      <c r="Y48" s="486"/>
      <c r="Z48" s="166">
        <v>5</v>
      </c>
      <c r="AA48" s="166">
        <v>2155.4716981132087</v>
      </c>
      <c r="AB48" s="166">
        <v>431.09433962264177</v>
      </c>
      <c r="AC48" s="180">
        <f t="shared" ref="AC48:AC61" si="24">RANK(AB48, AB$47:AB$61)</f>
        <v>1</v>
      </c>
      <c r="AD48" s="486"/>
      <c r="AE48" s="166">
        <v>5</v>
      </c>
      <c r="AF48" s="166">
        <v>2139.1304347826085</v>
      </c>
      <c r="AG48" s="166">
        <v>427.82608695652169</v>
      </c>
      <c r="AH48" s="180">
        <f t="shared" ref="AH48:AH61" si="25">RANK(AG48, AG$47:AG$61)</f>
        <v>1</v>
      </c>
      <c r="AI48" s="486"/>
      <c r="AJ48" s="166">
        <v>5</v>
      </c>
      <c r="AK48" s="166">
        <v>2057.8947368421068</v>
      </c>
      <c r="AL48" s="166">
        <v>411.57894736842138</v>
      </c>
      <c r="AM48" s="180">
        <f t="shared" ref="AM48:AM61" si="26">RANK(AL48, AL$47:AL$61)</f>
        <v>3</v>
      </c>
      <c r="AN48" s="486"/>
      <c r="AO48" s="166">
        <v>5</v>
      </c>
      <c r="AP48" s="166">
        <v>2052.4528301886803</v>
      </c>
      <c r="AQ48" s="166">
        <v>410.49056603773607</v>
      </c>
      <c r="AR48" s="180">
        <f t="shared" ref="AR48:AR61" si="27">RANK(AQ48, AQ$47:AQ$61)</f>
        <v>3</v>
      </c>
      <c r="AS48" s="486"/>
      <c r="AT48" s="166">
        <v>5</v>
      </c>
      <c r="AU48" s="166">
        <v>2127.8571428571445</v>
      </c>
      <c r="AV48" s="166">
        <v>425.5714285714289</v>
      </c>
      <c r="AW48" s="180">
        <f t="shared" ref="AW48:AW61" si="28">RANK(AV48, AV$47:AV$61)</f>
        <v>2</v>
      </c>
      <c r="AX48" s="486"/>
    </row>
    <row r="49" spans="2:50">
      <c r="B49" s="479"/>
      <c r="C49" s="180">
        <v>3</v>
      </c>
      <c r="D49" s="201" t="s">
        <v>388</v>
      </c>
      <c r="E49" s="166">
        <v>13</v>
      </c>
      <c r="F49" s="180">
        <v>2250</v>
      </c>
      <c r="G49" s="265">
        <v>160.69999999999999</v>
      </c>
      <c r="H49" s="460"/>
      <c r="I49" s="166">
        <f t="shared" si="21"/>
        <v>13</v>
      </c>
      <c r="J49" s="166">
        <f t="shared" si="21"/>
        <v>2086.369693640168</v>
      </c>
      <c r="K49" s="265">
        <f t="shared" si="21"/>
        <v>160.48997643385908</v>
      </c>
      <c r="L49" s="460"/>
      <c r="M49" s="272">
        <f>RANK(K49, K$47:$K$61)</f>
        <v>9</v>
      </c>
      <c r="N49" s="462"/>
      <c r="O49" s="462"/>
      <c r="P49" s="166">
        <v>13</v>
      </c>
      <c r="Q49" s="166">
        <v>2101.0714285714289</v>
      </c>
      <c r="R49" s="166">
        <v>161.62087912087915</v>
      </c>
      <c r="S49" s="180">
        <f t="shared" si="22"/>
        <v>9</v>
      </c>
      <c r="T49" s="486"/>
      <c r="U49" s="166">
        <v>13</v>
      </c>
      <c r="V49" s="166">
        <v>2133.333333333333</v>
      </c>
      <c r="W49" s="166">
        <v>164.10256410256409</v>
      </c>
      <c r="X49" s="180">
        <f t="shared" si="23"/>
        <v>9</v>
      </c>
      <c r="Y49" s="486"/>
      <c r="Z49" s="166">
        <v>13</v>
      </c>
      <c r="AA49" s="166">
        <v>2053.0000000000005</v>
      </c>
      <c r="AB49" s="166">
        <v>157.92307692307696</v>
      </c>
      <c r="AC49" s="180">
        <f t="shared" si="24"/>
        <v>9</v>
      </c>
      <c r="AD49" s="486"/>
      <c r="AE49" s="166">
        <v>13</v>
      </c>
      <c r="AF49" s="166">
        <v>2058.823529411764</v>
      </c>
      <c r="AG49" s="166">
        <v>158.37104072398185</v>
      </c>
      <c r="AH49" s="180">
        <f t="shared" si="25"/>
        <v>9</v>
      </c>
      <c r="AI49" s="486"/>
      <c r="AJ49" s="166">
        <v>13</v>
      </c>
      <c r="AK49" s="166">
        <v>2093.898305084746</v>
      </c>
      <c r="AL49" s="166">
        <v>161.0691003911343</v>
      </c>
      <c r="AM49" s="180">
        <f t="shared" si="26"/>
        <v>9</v>
      </c>
      <c r="AN49" s="486"/>
      <c r="AO49" s="166">
        <v>13</v>
      </c>
      <c r="AP49" s="166">
        <v>2063.3898305084749</v>
      </c>
      <c r="AQ49" s="166">
        <v>158.72229465449806</v>
      </c>
      <c r="AR49" s="180">
        <f t="shared" si="27"/>
        <v>9</v>
      </c>
      <c r="AS49" s="486"/>
      <c r="AT49" s="166">
        <v>13</v>
      </c>
      <c r="AU49" s="166">
        <v>2101.0714285714289</v>
      </c>
      <c r="AV49" s="166">
        <v>161.62087912087915</v>
      </c>
      <c r="AW49" s="180">
        <f t="shared" si="28"/>
        <v>9</v>
      </c>
      <c r="AX49" s="486"/>
    </row>
    <row r="50" spans="2:50">
      <c r="B50" s="479"/>
      <c r="C50" s="180">
        <v>4</v>
      </c>
      <c r="D50" s="201" t="s">
        <v>389</v>
      </c>
      <c r="E50" s="166">
        <v>12</v>
      </c>
      <c r="F50" s="180">
        <v>2250</v>
      </c>
      <c r="G50" s="265">
        <v>176.5</v>
      </c>
      <c r="H50" s="460"/>
      <c r="I50" s="166">
        <f t="shared" si="21"/>
        <v>12</v>
      </c>
      <c r="J50" s="166">
        <f t="shared" si="21"/>
        <v>2115.3604268847917</v>
      </c>
      <c r="K50" s="265">
        <f t="shared" si="21"/>
        <v>176.28003557373265</v>
      </c>
      <c r="L50" s="460"/>
      <c r="M50" s="272">
        <f>RANK(K50, K$47:$K$61)</f>
        <v>7</v>
      </c>
      <c r="N50" s="462"/>
      <c r="O50" s="462"/>
      <c r="P50" s="166">
        <v>12</v>
      </c>
      <c r="Q50" s="166">
        <v>2122.3728813559323</v>
      </c>
      <c r="R50" s="166">
        <v>176.86440677966104</v>
      </c>
      <c r="S50" s="180">
        <f t="shared" si="22"/>
        <v>7</v>
      </c>
      <c r="T50" s="486"/>
      <c r="U50" s="166">
        <v>12</v>
      </c>
      <c r="V50" s="166">
        <v>2137.6271186440681</v>
      </c>
      <c r="W50" s="166">
        <v>178.13559322033902</v>
      </c>
      <c r="X50" s="180">
        <f t="shared" si="23"/>
        <v>7</v>
      </c>
      <c r="Y50" s="486"/>
      <c r="Z50" s="166">
        <v>12</v>
      </c>
      <c r="AA50" s="166">
        <v>2116.6153846153843</v>
      </c>
      <c r="AB50" s="166">
        <v>176.38461538461536</v>
      </c>
      <c r="AC50" s="180">
        <f t="shared" si="24"/>
        <v>7</v>
      </c>
      <c r="AD50" s="486"/>
      <c r="AE50" s="166">
        <v>12</v>
      </c>
      <c r="AF50" s="166">
        <v>2122.2222222222222</v>
      </c>
      <c r="AG50" s="166">
        <v>176.85185185185185</v>
      </c>
      <c r="AH50" s="180">
        <f t="shared" si="25"/>
        <v>7</v>
      </c>
      <c r="AI50" s="486"/>
      <c r="AJ50" s="166">
        <v>12</v>
      </c>
      <c r="AK50" s="166">
        <v>2076.0000000000009</v>
      </c>
      <c r="AL50" s="166">
        <v>173.00000000000009</v>
      </c>
      <c r="AM50" s="180">
        <f t="shared" si="26"/>
        <v>7</v>
      </c>
      <c r="AN50" s="486"/>
      <c r="AO50" s="166">
        <v>12</v>
      </c>
      <c r="AP50" s="166">
        <v>2110.3125000000009</v>
      </c>
      <c r="AQ50" s="166">
        <v>175.85937500000009</v>
      </c>
      <c r="AR50" s="180">
        <f t="shared" si="27"/>
        <v>7</v>
      </c>
      <c r="AS50" s="486"/>
      <c r="AT50" s="166">
        <v>12</v>
      </c>
      <c r="AU50" s="166">
        <v>2122.3728813559323</v>
      </c>
      <c r="AV50" s="166">
        <v>176.86440677966104</v>
      </c>
      <c r="AW50" s="180">
        <f t="shared" si="28"/>
        <v>7</v>
      </c>
      <c r="AX50" s="486"/>
    </row>
    <row r="51" spans="2:50">
      <c r="B51" s="479"/>
      <c r="C51" s="180">
        <v>5</v>
      </c>
      <c r="D51" s="201" t="s">
        <v>390</v>
      </c>
      <c r="E51" s="166">
        <v>12</v>
      </c>
      <c r="F51" s="180">
        <v>2250</v>
      </c>
      <c r="G51" s="265">
        <v>187.5</v>
      </c>
      <c r="H51" s="460"/>
      <c r="I51" s="166">
        <f t="shared" si="21"/>
        <v>12</v>
      </c>
      <c r="J51" s="166">
        <f t="shared" si="21"/>
        <v>2228.7395632197222</v>
      </c>
      <c r="K51" s="265">
        <f t="shared" si="21"/>
        <v>185.7282969349769</v>
      </c>
      <c r="L51" s="460"/>
      <c r="M51" s="272">
        <f>RANK(K51, K$47:$K$61)</f>
        <v>5</v>
      </c>
      <c r="N51" s="462"/>
      <c r="O51" s="462"/>
      <c r="P51" s="166">
        <v>12</v>
      </c>
      <c r="Q51" s="166">
        <v>2237.74647887324</v>
      </c>
      <c r="R51" s="166">
        <v>186.47887323943667</v>
      </c>
      <c r="S51" s="180">
        <f t="shared" si="22"/>
        <v>5</v>
      </c>
      <c r="T51" s="486"/>
      <c r="U51" s="166">
        <v>12</v>
      </c>
      <c r="V51" s="166">
        <v>2232.8571428571431</v>
      </c>
      <c r="W51" s="166">
        <v>186.07142857142858</v>
      </c>
      <c r="X51" s="180">
        <f t="shared" si="23"/>
        <v>5</v>
      </c>
      <c r="Y51" s="486"/>
      <c r="Z51" s="166">
        <v>12</v>
      </c>
      <c r="AA51" s="166">
        <v>2264.1666666666656</v>
      </c>
      <c r="AB51" s="166">
        <v>188.68055555555546</v>
      </c>
      <c r="AC51" s="180">
        <f t="shared" si="24"/>
        <v>5</v>
      </c>
      <c r="AD51" s="486"/>
      <c r="AE51" s="166">
        <v>12</v>
      </c>
      <c r="AF51" s="166">
        <v>2255.0769230769224</v>
      </c>
      <c r="AG51" s="166">
        <v>187.92307692307688</v>
      </c>
      <c r="AH51" s="180">
        <f t="shared" si="25"/>
        <v>5</v>
      </c>
      <c r="AI51" s="486"/>
      <c r="AJ51" s="166">
        <v>12</v>
      </c>
      <c r="AK51" s="166">
        <v>2180.506329113924</v>
      </c>
      <c r="AL51" s="166">
        <v>181.70886075949366</v>
      </c>
      <c r="AM51" s="180">
        <f t="shared" si="26"/>
        <v>6</v>
      </c>
      <c r="AN51" s="486"/>
      <c r="AO51" s="166">
        <v>12</v>
      </c>
      <c r="AP51" s="166">
        <v>2193.0769230769229</v>
      </c>
      <c r="AQ51" s="166">
        <v>182.75641025641025</v>
      </c>
      <c r="AR51" s="180">
        <f t="shared" si="27"/>
        <v>6</v>
      </c>
      <c r="AS51" s="486"/>
      <c r="AT51" s="166">
        <v>12</v>
      </c>
      <c r="AU51" s="166">
        <v>2237.74647887324</v>
      </c>
      <c r="AV51" s="166">
        <v>186.47887323943667</v>
      </c>
      <c r="AW51" s="180">
        <f t="shared" si="28"/>
        <v>5</v>
      </c>
      <c r="AX51" s="486"/>
    </row>
    <row r="52" spans="2:50">
      <c r="B52" s="479"/>
      <c r="C52" s="180">
        <v>6</v>
      </c>
      <c r="D52" s="201" t="s">
        <v>391</v>
      </c>
      <c r="E52" s="166">
        <v>13</v>
      </c>
      <c r="F52" s="180">
        <v>2250</v>
      </c>
      <c r="G52" s="265">
        <v>173</v>
      </c>
      <c r="H52" s="460"/>
      <c r="I52" s="166">
        <f t="shared" si="21"/>
        <v>13</v>
      </c>
      <c r="J52" s="166">
        <f t="shared" si="21"/>
        <v>2187.3606896248411</v>
      </c>
      <c r="K52" s="265">
        <f t="shared" si="21"/>
        <v>168.25851458652622</v>
      </c>
      <c r="L52" s="460"/>
      <c r="M52" s="272">
        <f>RANK(K52, K$47:$K$61)</f>
        <v>8</v>
      </c>
      <c r="N52" s="462"/>
      <c r="O52" s="462"/>
      <c r="P52" s="166">
        <v>13</v>
      </c>
      <c r="Q52" s="166">
        <v>2196.923076923078</v>
      </c>
      <c r="R52" s="166">
        <v>168.99408284023679</v>
      </c>
      <c r="S52" s="180">
        <f t="shared" si="22"/>
        <v>8</v>
      </c>
      <c r="T52" s="486"/>
      <c r="U52" s="166">
        <v>13</v>
      </c>
      <c r="V52" s="166">
        <v>2208.484848484849</v>
      </c>
      <c r="W52" s="166">
        <v>169.88344988344991</v>
      </c>
      <c r="X52" s="180">
        <f t="shared" si="23"/>
        <v>8</v>
      </c>
      <c r="Y52" s="486"/>
      <c r="Z52" s="166">
        <v>13</v>
      </c>
      <c r="AA52" s="166">
        <v>2162.8301886792456</v>
      </c>
      <c r="AB52" s="166">
        <v>166.37155297532658</v>
      </c>
      <c r="AC52" s="180">
        <f t="shared" si="24"/>
        <v>8</v>
      </c>
      <c r="AD52" s="486"/>
      <c r="AE52" s="166">
        <v>13</v>
      </c>
      <c r="AF52" s="166">
        <v>2175.757575757576</v>
      </c>
      <c r="AG52" s="166">
        <v>167.36596736596738</v>
      </c>
      <c r="AH52" s="180">
        <f t="shared" si="25"/>
        <v>8</v>
      </c>
      <c r="AI52" s="486"/>
      <c r="AJ52" s="166">
        <v>13</v>
      </c>
      <c r="AK52" s="166">
        <v>2183.3333333333339</v>
      </c>
      <c r="AL52" s="166">
        <v>167.94871794871798</v>
      </c>
      <c r="AM52" s="180">
        <f t="shared" si="26"/>
        <v>8</v>
      </c>
      <c r="AN52" s="486"/>
      <c r="AO52" s="166">
        <v>13</v>
      </c>
      <c r="AP52" s="166">
        <v>2187.2727272727261</v>
      </c>
      <c r="AQ52" s="166">
        <v>168.25174825174815</v>
      </c>
      <c r="AR52" s="180">
        <f t="shared" si="27"/>
        <v>8</v>
      </c>
      <c r="AS52" s="486"/>
      <c r="AT52" s="166">
        <v>13</v>
      </c>
      <c r="AU52" s="166">
        <v>2196.923076923078</v>
      </c>
      <c r="AV52" s="166">
        <v>168.99408284023679</v>
      </c>
      <c r="AW52" s="180">
        <f t="shared" si="28"/>
        <v>8</v>
      </c>
      <c r="AX52" s="486"/>
    </row>
    <row r="53" spans="2:50">
      <c r="B53" s="479"/>
      <c r="C53" s="180">
        <v>7</v>
      </c>
      <c r="D53" s="201" t="s">
        <v>392</v>
      </c>
      <c r="E53" s="166">
        <v>10</v>
      </c>
      <c r="F53" s="180">
        <v>2250</v>
      </c>
      <c r="G53" s="265">
        <v>225</v>
      </c>
      <c r="H53" s="460"/>
      <c r="I53" s="166">
        <f t="shared" si="21"/>
        <v>10</v>
      </c>
      <c r="J53" s="166">
        <f t="shared" si="21"/>
        <v>2106.3323430344685</v>
      </c>
      <c r="K53" s="265">
        <f t="shared" si="21"/>
        <v>210.63323430344684</v>
      </c>
      <c r="L53" s="460"/>
      <c r="M53" s="272">
        <f>RANK(K53, K$47:$K$61)</f>
        <v>4</v>
      </c>
      <c r="N53" s="462"/>
      <c r="O53" s="462"/>
      <c r="P53" s="166">
        <v>10</v>
      </c>
      <c r="Q53" s="166">
        <v>2106.645569620252</v>
      </c>
      <c r="R53" s="166">
        <v>210.66455696202519</v>
      </c>
      <c r="S53" s="180">
        <f t="shared" si="22"/>
        <v>4</v>
      </c>
      <c r="T53" s="486"/>
      <c r="U53" s="166">
        <v>10</v>
      </c>
      <c r="V53" s="166">
        <v>2139.6986301369861</v>
      </c>
      <c r="W53" s="166">
        <v>213.96986301369861</v>
      </c>
      <c r="X53" s="180">
        <f t="shared" si="23"/>
        <v>4</v>
      </c>
      <c r="Y53" s="486"/>
      <c r="Z53" s="166">
        <v>10</v>
      </c>
      <c r="AA53" s="166">
        <v>2072.4216867469872</v>
      </c>
      <c r="AB53" s="166">
        <v>207.24216867469872</v>
      </c>
      <c r="AC53" s="180">
        <f t="shared" si="24"/>
        <v>4</v>
      </c>
      <c r="AD53" s="486"/>
      <c r="AE53" s="166">
        <v>10</v>
      </c>
      <c r="AF53" s="166">
        <v>2072.3684210526312</v>
      </c>
      <c r="AG53" s="166">
        <v>207.23684210526312</v>
      </c>
      <c r="AH53" s="180">
        <f t="shared" si="25"/>
        <v>4</v>
      </c>
      <c r="AI53" s="486"/>
      <c r="AJ53" s="166">
        <v>10</v>
      </c>
      <c r="AK53" s="166">
        <v>2135.1818181818185</v>
      </c>
      <c r="AL53" s="166">
        <v>213.51818181818186</v>
      </c>
      <c r="AM53" s="180">
        <f t="shared" si="26"/>
        <v>4</v>
      </c>
      <c r="AN53" s="486"/>
      <c r="AO53" s="166">
        <v>10</v>
      </c>
      <c r="AP53" s="166">
        <v>2111.3647058823526</v>
      </c>
      <c r="AQ53" s="166">
        <v>211.13647058823526</v>
      </c>
      <c r="AR53" s="180">
        <f t="shared" si="27"/>
        <v>4</v>
      </c>
      <c r="AS53" s="486"/>
      <c r="AT53" s="166">
        <v>10</v>
      </c>
      <c r="AU53" s="166">
        <v>2106.645569620252</v>
      </c>
      <c r="AV53" s="166">
        <v>210.66455696202519</v>
      </c>
      <c r="AW53" s="180">
        <f t="shared" si="28"/>
        <v>4</v>
      </c>
      <c r="AX53" s="486"/>
    </row>
    <row r="54" spans="2:50">
      <c r="B54" s="479"/>
      <c r="C54" s="180">
        <v>8</v>
      </c>
      <c r="D54" s="201" t="s">
        <v>386</v>
      </c>
      <c r="E54" s="166">
        <v>18</v>
      </c>
      <c r="F54" s="180">
        <v>1250</v>
      </c>
      <c r="G54" s="265">
        <v>69.444444444444443</v>
      </c>
      <c r="H54" s="460"/>
      <c r="I54" s="166">
        <f t="shared" si="21"/>
        <v>13</v>
      </c>
      <c r="J54" s="166">
        <f t="shared" si="21"/>
        <v>1272.3727090836335</v>
      </c>
      <c r="K54" s="265">
        <f t="shared" si="21"/>
        <v>97.874823775664126</v>
      </c>
      <c r="L54" s="460"/>
      <c r="M54" s="272">
        <f>RANK(K54, K$47:$K$61)</f>
        <v>10</v>
      </c>
      <c r="N54" s="462"/>
      <c r="O54" s="462"/>
      <c r="P54" s="166">
        <v>13</v>
      </c>
      <c r="Q54" s="166">
        <v>1298.6666666666667</v>
      </c>
      <c r="R54" s="166">
        <v>99.897435897435898</v>
      </c>
      <c r="S54" s="180">
        <f t="shared" si="22"/>
        <v>10</v>
      </c>
      <c r="T54" s="486"/>
      <c r="U54" s="166">
        <v>13</v>
      </c>
      <c r="V54" s="166">
        <v>1277.6470588235302</v>
      </c>
      <c r="W54" s="166">
        <v>98.280542986425402</v>
      </c>
      <c r="X54" s="180">
        <f t="shared" si="23"/>
        <v>10</v>
      </c>
      <c r="Y54" s="486"/>
      <c r="Z54" s="166">
        <v>13</v>
      </c>
      <c r="AA54" s="166">
        <v>1252.2000000000003</v>
      </c>
      <c r="AB54" s="166">
        <v>96.32307692307694</v>
      </c>
      <c r="AC54" s="180">
        <f t="shared" si="24"/>
        <v>10</v>
      </c>
      <c r="AD54" s="486"/>
      <c r="AE54" s="166">
        <v>13</v>
      </c>
      <c r="AF54" s="166">
        <v>1200.6666666666667</v>
      </c>
      <c r="AG54" s="166">
        <v>92.358974358974365</v>
      </c>
      <c r="AH54" s="180">
        <f t="shared" si="25"/>
        <v>10</v>
      </c>
      <c r="AI54" s="486"/>
      <c r="AJ54" s="166">
        <v>13</v>
      </c>
      <c r="AK54" s="166">
        <v>1323.3333333333335</v>
      </c>
      <c r="AL54" s="166">
        <v>101.79487179487181</v>
      </c>
      <c r="AM54" s="180">
        <f t="shared" si="26"/>
        <v>10</v>
      </c>
      <c r="AN54" s="486"/>
      <c r="AO54" s="166">
        <v>13</v>
      </c>
      <c r="AP54" s="166">
        <v>1255.4285714285716</v>
      </c>
      <c r="AQ54" s="166">
        <v>96.571428571428584</v>
      </c>
      <c r="AR54" s="180">
        <f t="shared" si="27"/>
        <v>10</v>
      </c>
      <c r="AS54" s="486"/>
      <c r="AT54" s="166">
        <v>13</v>
      </c>
      <c r="AU54" s="166">
        <v>1298.6666666666667</v>
      </c>
      <c r="AV54" s="166">
        <v>99.897435897435898</v>
      </c>
      <c r="AW54" s="180">
        <f t="shared" si="28"/>
        <v>10</v>
      </c>
      <c r="AX54" s="486"/>
    </row>
    <row r="55" spans="2:50">
      <c r="B55" s="479"/>
      <c r="C55" s="180">
        <v>9</v>
      </c>
      <c r="D55" s="201" t="s">
        <v>584</v>
      </c>
      <c r="E55" s="166">
        <v>12</v>
      </c>
      <c r="F55" s="180">
        <v>2250</v>
      </c>
      <c r="G55" s="265">
        <v>176.5</v>
      </c>
      <c r="H55" s="460"/>
      <c r="I55" s="166">
        <f t="shared" si="21"/>
        <v>12</v>
      </c>
      <c r="J55" s="166">
        <f t="shared" si="21"/>
        <v>2196.6941181737857</v>
      </c>
      <c r="K55" s="265">
        <f t="shared" si="21"/>
        <v>183.05784318114885</v>
      </c>
      <c r="L55" s="460"/>
      <c r="M55" s="272">
        <f>RANK(K55, K$47:$K$61)</f>
        <v>6</v>
      </c>
      <c r="N55" s="462"/>
      <c r="O55" s="462"/>
      <c r="P55" s="166">
        <v>12</v>
      </c>
      <c r="Q55" s="166">
        <v>2171.2499999999991</v>
      </c>
      <c r="R55" s="166">
        <v>180.93749999999991</v>
      </c>
      <c r="S55" s="180">
        <f t="shared" si="22"/>
        <v>6</v>
      </c>
      <c r="T55" s="486"/>
      <c r="U55" s="166">
        <v>12</v>
      </c>
      <c r="V55" s="166">
        <v>2195.6756756756768</v>
      </c>
      <c r="W55" s="166">
        <v>182.97297297297305</v>
      </c>
      <c r="X55" s="180">
        <f t="shared" si="23"/>
        <v>6</v>
      </c>
      <c r="Y55" s="486"/>
      <c r="Z55" s="166">
        <v>12</v>
      </c>
      <c r="AA55" s="166">
        <v>2210.0000000000014</v>
      </c>
      <c r="AB55" s="166">
        <v>184.16666666666677</v>
      </c>
      <c r="AC55" s="180">
        <f t="shared" si="24"/>
        <v>6</v>
      </c>
      <c r="AD55" s="486"/>
      <c r="AE55" s="166">
        <v>12</v>
      </c>
      <c r="AF55" s="166">
        <v>2181.1267605633807</v>
      </c>
      <c r="AG55" s="166">
        <v>181.76056338028172</v>
      </c>
      <c r="AH55" s="180">
        <f t="shared" si="25"/>
        <v>6</v>
      </c>
      <c r="AI55" s="486"/>
      <c r="AJ55" s="166">
        <v>12</v>
      </c>
      <c r="AK55" s="166">
        <v>2185.7142857142867</v>
      </c>
      <c r="AL55" s="166">
        <v>182.14285714285722</v>
      </c>
      <c r="AM55" s="180">
        <f t="shared" si="26"/>
        <v>5</v>
      </c>
      <c r="AN55" s="486"/>
      <c r="AO55" s="166">
        <v>12</v>
      </c>
      <c r="AP55" s="166">
        <v>2261.8421052631588</v>
      </c>
      <c r="AQ55" s="166">
        <v>188.48684210526324</v>
      </c>
      <c r="AR55" s="180">
        <f t="shared" si="27"/>
        <v>5</v>
      </c>
      <c r="AS55" s="486"/>
      <c r="AT55" s="166">
        <v>12</v>
      </c>
      <c r="AU55" s="166">
        <v>2171.2499999999991</v>
      </c>
      <c r="AV55" s="166">
        <v>180.93749999999991</v>
      </c>
      <c r="AW55" s="180">
        <f t="shared" si="28"/>
        <v>6</v>
      </c>
      <c r="AX55" s="486"/>
    </row>
    <row r="56" spans="2:50">
      <c r="B56" s="479"/>
      <c r="C56" s="180">
        <v>10</v>
      </c>
      <c r="D56" s="201" t="s">
        <v>668</v>
      </c>
      <c r="E56" s="166">
        <v>4</v>
      </c>
      <c r="F56" s="180">
        <v>2000</v>
      </c>
      <c r="G56" s="265">
        <v>500</v>
      </c>
      <c r="H56" s="460"/>
      <c r="I56" s="166">
        <f t="shared" si="21"/>
        <v>5</v>
      </c>
      <c r="J56" s="166">
        <f t="shared" si="21"/>
        <v>2086.1922589725559</v>
      </c>
      <c r="K56" s="265">
        <f t="shared" si="21"/>
        <v>417.23845179451115</v>
      </c>
      <c r="L56" s="460"/>
      <c r="M56" s="272">
        <f>RANK(K56, K$47:$K$61)</f>
        <v>3</v>
      </c>
      <c r="N56" s="462"/>
      <c r="O56" s="462"/>
      <c r="P56" s="166">
        <v>5</v>
      </c>
      <c r="Q56" s="166">
        <v>2082.0000000000018</v>
      </c>
      <c r="R56" s="166">
        <v>416.40000000000038</v>
      </c>
      <c r="S56" s="180">
        <f t="shared" si="22"/>
        <v>3</v>
      </c>
      <c r="T56" s="486"/>
      <c r="U56" s="166">
        <v>5</v>
      </c>
      <c r="V56" s="166">
        <v>2131.0344827586223</v>
      </c>
      <c r="W56" s="166">
        <v>426.20689655172447</v>
      </c>
      <c r="X56" s="180">
        <f t="shared" si="23"/>
        <v>1</v>
      </c>
      <c r="Y56" s="486"/>
      <c r="Z56" s="166">
        <v>5</v>
      </c>
      <c r="AA56" s="166">
        <v>2095.862068965519</v>
      </c>
      <c r="AB56" s="166">
        <v>419.17241379310383</v>
      </c>
      <c r="AC56" s="180">
        <f t="shared" si="24"/>
        <v>3</v>
      </c>
      <c r="AD56" s="486"/>
      <c r="AE56" s="166">
        <v>5</v>
      </c>
      <c r="AF56" s="166">
        <v>2051.4285714285706</v>
      </c>
      <c r="AG56" s="166">
        <v>410.28571428571411</v>
      </c>
      <c r="AH56" s="180">
        <f t="shared" si="25"/>
        <v>3</v>
      </c>
      <c r="AI56" s="486"/>
      <c r="AJ56" s="166">
        <v>5</v>
      </c>
      <c r="AK56" s="166">
        <v>2058.6206896551739</v>
      </c>
      <c r="AL56" s="166">
        <v>411.72413793103476</v>
      </c>
      <c r="AM56" s="180">
        <f t="shared" si="26"/>
        <v>2</v>
      </c>
      <c r="AN56" s="486"/>
      <c r="AO56" s="166">
        <v>5</v>
      </c>
      <c r="AP56" s="166">
        <v>2102.400000000001</v>
      </c>
      <c r="AQ56" s="166">
        <v>420.48000000000019</v>
      </c>
      <c r="AR56" s="180">
        <f t="shared" si="27"/>
        <v>1</v>
      </c>
      <c r="AS56" s="486"/>
      <c r="AT56" s="166">
        <v>5</v>
      </c>
      <c r="AU56" s="166">
        <v>2082.0000000000018</v>
      </c>
      <c r="AV56" s="166">
        <v>416.40000000000038</v>
      </c>
      <c r="AW56" s="180">
        <f t="shared" si="28"/>
        <v>3</v>
      </c>
      <c r="AX56" s="486"/>
    </row>
    <row r="57" spans="2:50">
      <c r="B57" s="479"/>
      <c r="C57" s="180">
        <v>11</v>
      </c>
      <c r="D57" s="201"/>
      <c r="E57" s="166"/>
      <c r="F57" s="180"/>
      <c r="G57" s="265"/>
      <c r="H57" s="460"/>
      <c r="I57" s="166"/>
      <c r="J57" s="166"/>
      <c r="K57" s="265"/>
      <c r="L57" s="460"/>
      <c r="M57" s="272" t="e">
        <f>RANK(K57, K$47:$K$61)</f>
        <v>#N/A</v>
      </c>
      <c r="N57" s="462"/>
      <c r="O57" s="462"/>
      <c r="P57" s="166"/>
      <c r="Q57" s="166"/>
      <c r="R57" s="166"/>
      <c r="S57" s="180" t="e">
        <f t="shared" si="22"/>
        <v>#N/A</v>
      </c>
      <c r="T57" s="486"/>
      <c r="U57" s="166"/>
      <c r="V57" s="166"/>
      <c r="W57" s="166"/>
      <c r="X57" s="180" t="e">
        <f t="shared" si="23"/>
        <v>#N/A</v>
      </c>
      <c r="Y57" s="486"/>
      <c r="Z57" s="166"/>
      <c r="AA57" s="166"/>
      <c r="AB57" s="166"/>
      <c r="AC57" s="180" t="e">
        <f t="shared" si="24"/>
        <v>#N/A</v>
      </c>
      <c r="AD57" s="486"/>
      <c r="AE57" s="166"/>
      <c r="AF57" s="166"/>
      <c r="AG57" s="166"/>
      <c r="AH57" s="180" t="e">
        <f t="shared" si="25"/>
        <v>#N/A</v>
      </c>
      <c r="AI57" s="486"/>
      <c r="AJ57" s="166"/>
      <c r="AK57" s="166"/>
      <c r="AL57" s="166"/>
      <c r="AM57" s="180" t="e">
        <f t="shared" si="26"/>
        <v>#N/A</v>
      </c>
      <c r="AN57" s="486"/>
      <c r="AO57" s="166"/>
      <c r="AP57" s="166"/>
      <c r="AQ57" s="166"/>
      <c r="AR57" s="180" t="e">
        <f t="shared" si="27"/>
        <v>#N/A</v>
      </c>
      <c r="AS57" s="486"/>
      <c r="AT57" s="166"/>
      <c r="AU57" s="166"/>
      <c r="AV57" s="166"/>
      <c r="AW57" s="180" t="e">
        <f t="shared" si="28"/>
        <v>#N/A</v>
      </c>
      <c r="AX57" s="486"/>
    </row>
    <row r="58" spans="2:50">
      <c r="B58" s="479"/>
      <c r="C58" s="180">
        <v>12</v>
      </c>
      <c r="D58" s="201"/>
      <c r="E58" s="166"/>
      <c r="F58" s="180"/>
      <c r="G58" s="265"/>
      <c r="H58" s="460"/>
      <c r="I58" s="166"/>
      <c r="J58" s="166"/>
      <c r="K58" s="265"/>
      <c r="L58" s="460"/>
      <c r="M58" s="272" t="e">
        <f>RANK(K58, K$47:$K$61)</f>
        <v>#N/A</v>
      </c>
      <c r="N58" s="462"/>
      <c r="O58" s="462"/>
      <c r="P58" s="166"/>
      <c r="Q58" s="166"/>
      <c r="R58" s="166"/>
      <c r="S58" s="180" t="e">
        <f t="shared" si="22"/>
        <v>#N/A</v>
      </c>
      <c r="T58" s="486"/>
      <c r="U58" s="166"/>
      <c r="V58" s="166"/>
      <c r="W58" s="166"/>
      <c r="X58" s="180" t="e">
        <f t="shared" si="23"/>
        <v>#N/A</v>
      </c>
      <c r="Y58" s="486"/>
      <c r="Z58" s="166"/>
      <c r="AA58" s="166"/>
      <c r="AB58" s="166"/>
      <c r="AC58" s="180" t="e">
        <f t="shared" si="24"/>
        <v>#N/A</v>
      </c>
      <c r="AD58" s="486"/>
      <c r="AE58" s="166"/>
      <c r="AF58" s="166"/>
      <c r="AG58" s="166"/>
      <c r="AH58" s="180" t="e">
        <f t="shared" si="25"/>
        <v>#N/A</v>
      </c>
      <c r="AI58" s="486"/>
      <c r="AJ58" s="166"/>
      <c r="AK58" s="166"/>
      <c r="AL58" s="166"/>
      <c r="AM58" s="180" t="e">
        <f t="shared" si="26"/>
        <v>#N/A</v>
      </c>
      <c r="AN58" s="486"/>
      <c r="AO58" s="166"/>
      <c r="AP58" s="166"/>
      <c r="AQ58" s="166"/>
      <c r="AR58" s="180" t="e">
        <f t="shared" si="27"/>
        <v>#N/A</v>
      </c>
      <c r="AS58" s="486"/>
      <c r="AT58" s="166"/>
      <c r="AU58" s="166"/>
      <c r="AV58" s="166"/>
      <c r="AW58" s="180" t="e">
        <f t="shared" si="28"/>
        <v>#N/A</v>
      </c>
      <c r="AX58" s="486"/>
    </row>
    <row r="59" spans="2:50">
      <c r="B59" s="479"/>
      <c r="C59" s="180">
        <v>13</v>
      </c>
      <c r="D59" s="201"/>
      <c r="E59" s="166"/>
      <c r="F59" s="180"/>
      <c r="G59" s="265"/>
      <c r="H59" s="460"/>
      <c r="I59" s="180"/>
      <c r="J59" s="180"/>
      <c r="K59" s="180"/>
      <c r="L59" s="460"/>
      <c r="M59" s="272" t="e">
        <f>RANK(K59, K$47:$K$61)</f>
        <v>#N/A</v>
      </c>
      <c r="N59" s="462"/>
      <c r="O59" s="462"/>
      <c r="P59" s="166"/>
      <c r="Q59" s="166"/>
      <c r="R59" s="166"/>
      <c r="S59" s="180" t="e">
        <f t="shared" si="22"/>
        <v>#N/A</v>
      </c>
      <c r="T59" s="486"/>
      <c r="U59" s="166"/>
      <c r="V59" s="166"/>
      <c r="W59" s="166"/>
      <c r="X59" s="180" t="e">
        <f t="shared" si="23"/>
        <v>#N/A</v>
      </c>
      <c r="Y59" s="486"/>
      <c r="Z59" s="166"/>
      <c r="AA59" s="166"/>
      <c r="AB59" s="166"/>
      <c r="AC59" s="180" t="e">
        <f t="shared" si="24"/>
        <v>#N/A</v>
      </c>
      <c r="AD59" s="486"/>
      <c r="AE59" s="166"/>
      <c r="AF59" s="166"/>
      <c r="AG59" s="166"/>
      <c r="AH59" s="180" t="e">
        <f t="shared" si="25"/>
        <v>#N/A</v>
      </c>
      <c r="AI59" s="486"/>
      <c r="AJ59" s="166"/>
      <c r="AK59" s="166"/>
      <c r="AL59" s="166"/>
      <c r="AM59" s="180" t="e">
        <f t="shared" si="26"/>
        <v>#N/A</v>
      </c>
      <c r="AN59" s="486"/>
      <c r="AO59" s="166"/>
      <c r="AP59" s="166"/>
      <c r="AQ59" s="166"/>
      <c r="AR59" s="180" t="e">
        <f t="shared" si="27"/>
        <v>#N/A</v>
      </c>
      <c r="AS59" s="486"/>
      <c r="AT59" s="166"/>
      <c r="AU59" s="166"/>
      <c r="AV59" s="166"/>
      <c r="AW59" s="180" t="e">
        <f t="shared" si="28"/>
        <v>#N/A</v>
      </c>
      <c r="AX59" s="486"/>
    </row>
    <row r="60" spans="2:50">
      <c r="B60" s="479"/>
      <c r="C60" s="180">
        <v>14</v>
      </c>
      <c r="D60" s="201"/>
      <c r="E60" s="166"/>
      <c r="F60" s="180"/>
      <c r="G60" s="265"/>
      <c r="H60" s="460"/>
      <c r="I60" s="180"/>
      <c r="J60" s="180"/>
      <c r="K60" s="180"/>
      <c r="L60" s="460"/>
      <c r="M60" s="272" t="e">
        <f>RANK(K60, K$47:$K$61)</f>
        <v>#N/A</v>
      </c>
      <c r="N60" s="462"/>
      <c r="O60" s="462"/>
      <c r="P60" s="166"/>
      <c r="Q60" s="166"/>
      <c r="R60" s="166"/>
      <c r="S60" s="180" t="e">
        <f t="shared" si="22"/>
        <v>#N/A</v>
      </c>
      <c r="T60" s="486"/>
      <c r="U60" s="166"/>
      <c r="V60" s="166"/>
      <c r="W60" s="166"/>
      <c r="X60" s="180" t="e">
        <f t="shared" si="23"/>
        <v>#N/A</v>
      </c>
      <c r="Y60" s="486"/>
      <c r="Z60" s="166"/>
      <c r="AA60" s="166"/>
      <c r="AB60" s="166"/>
      <c r="AC60" s="180" t="e">
        <f t="shared" si="24"/>
        <v>#N/A</v>
      </c>
      <c r="AD60" s="486"/>
      <c r="AE60" s="166"/>
      <c r="AF60" s="166"/>
      <c r="AG60" s="166"/>
      <c r="AH60" s="180" t="e">
        <f t="shared" si="25"/>
        <v>#N/A</v>
      </c>
      <c r="AI60" s="486"/>
      <c r="AJ60" s="166"/>
      <c r="AK60" s="166"/>
      <c r="AL60" s="166"/>
      <c r="AM60" s="180" t="e">
        <f t="shared" si="26"/>
        <v>#N/A</v>
      </c>
      <c r="AN60" s="486"/>
      <c r="AO60" s="166"/>
      <c r="AP60" s="166"/>
      <c r="AQ60" s="166"/>
      <c r="AR60" s="180" t="e">
        <f t="shared" si="27"/>
        <v>#N/A</v>
      </c>
      <c r="AS60" s="486"/>
      <c r="AT60" s="166"/>
      <c r="AU60" s="166"/>
      <c r="AV60" s="166"/>
      <c r="AW60" s="180" t="e">
        <f t="shared" si="28"/>
        <v>#N/A</v>
      </c>
      <c r="AX60" s="486"/>
    </row>
    <row r="61" spans="2:50">
      <c r="B61" s="479"/>
      <c r="C61" s="180">
        <v>15</v>
      </c>
      <c r="D61" s="201"/>
      <c r="E61" s="166"/>
      <c r="F61" s="180"/>
      <c r="G61" s="265"/>
      <c r="H61" s="461"/>
      <c r="I61" s="180"/>
      <c r="J61" s="180"/>
      <c r="K61" s="180"/>
      <c r="L61" s="461"/>
      <c r="M61" s="272" t="e">
        <f>RANK(K61, K$47:$K$61)</f>
        <v>#N/A</v>
      </c>
      <c r="N61" s="462"/>
      <c r="O61" s="462"/>
      <c r="P61" s="166"/>
      <c r="Q61" s="166"/>
      <c r="R61" s="166"/>
      <c r="S61" s="180" t="e">
        <f t="shared" si="22"/>
        <v>#N/A</v>
      </c>
      <c r="T61" s="486"/>
      <c r="U61" s="166"/>
      <c r="V61" s="166"/>
      <c r="W61" s="166"/>
      <c r="X61" s="180" t="e">
        <f t="shared" si="23"/>
        <v>#N/A</v>
      </c>
      <c r="Y61" s="486"/>
      <c r="Z61" s="166"/>
      <c r="AA61" s="166"/>
      <c r="AB61" s="166"/>
      <c r="AC61" s="180" t="e">
        <f t="shared" si="24"/>
        <v>#N/A</v>
      </c>
      <c r="AD61" s="486"/>
      <c r="AE61" s="166"/>
      <c r="AF61" s="166"/>
      <c r="AG61" s="166"/>
      <c r="AH61" s="180" t="e">
        <f t="shared" si="25"/>
        <v>#N/A</v>
      </c>
      <c r="AI61" s="486"/>
      <c r="AJ61" s="166"/>
      <c r="AK61" s="166"/>
      <c r="AL61" s="166"/>
      <c r="AM61" s="180" t="e">
        <f t="shared" si="26"/>
        <v>#N/A</v>
      </c>
      <c r="AN61" s="486"/>
      <c r="AO61" s="166"/>
      <c r="AP61" s="166"/>
      <c r="AQ61" s="166"/>
      <c r="AR61" s="180" t="e">
        <f t="shared" si="27"/>
        <v>#N/A</v>
      </c>
      <c r="AS61" s="486"/>
      <c r="AT61" s="166"/>
      <c r="AU61" s="166"/>
      <c r="AV61" s="166"/>
      <c r="AW61" s="180" t="e">
        <f t="shared" si="28"/>
        <v>#N/A</v>
      </c>
      <c r="AX61" s="486"/>
    </row>
    <row r="62" spans="2:50" ht="15.75">
      <c r="B62" s="480" t="s">
        <v>721</v>
      </c>
      <c r="C62" s="481"/>
      <c r="D62" s="481"/>
      <c r="E62" s="481"/>
      <c r="F62" s="481"/>
      <c r="G62" s="481"/>
      <c r="H62" s="481"/>
      <c r="I62" s="184"/>
      <c r="J62" s="184"/>
      <c r="K62" s="184"/>
      <c r="L62" s="184"/>
      <c r="M62" s="183"/>
      <c r="N62" s="469" t="s">
        <v>722</v>
      </c>
      <c r="O62" s="469" t="s">
        <v>723</v>
      </c>
      <c r="P62" s="478">
        <f>P42+7</f>
        <v>46070</v>
      </c>
      <c r="Q62" s="479"/>
      <c r="R62" s="479"/>
      <c r="S62" s="479"/>
      <c r="T62" s="479"/>
      <c r="U62" s="475">
        <f>P62+1</f>
        <v>46071</v>
      </c>
      <c r="V62" s="476"/>
      <c r="W62" s="476"/>
      <c r="X62" s="476"/>
      <c r="Y62" s="477"/>
      <c r="Z62" s="475">
        <f>U62+1</f>
        <v>46072</v>
      </c>
      <c r="AA62" s="476"/>
      <c r="AB62" s="476"/>
      <c r="AC62" s="476"/>
      <c r="AD62" s="477"/>
      <c r="AE62" s="475">
        <f>Z62+1</f>
        <v>46073</v>
      </c>
      <c r="AF62" s="476"/>
      <c r="AG62" s="476"/>
      <c r="AH62" s="476"/>
      <c r="AI62" s="477"/>
      <c r="AJ62" s="475">
        <f>AE62+1</f>
        <v>46074</v>
      </c>
      <c r="AK62" s="476"/>
      <c r="AL62" s="476"/>
      <c r="AM62" s="476"/>
      <c r="AN62" s="477"/>
      <c r="AO62" s="475">
        <f>AJ62+1</f>
        <v>46075</v>
      </c>
      <c r="AP62" s="476"/>
      <c r="AQ62" s="476"/>
      <c r="AR62" s="476"/>
      <c r="AS62" s="477"/>
      <c r="AT62" s="475">
        <f>AO62+1</f>
        <v>46076</v>
      </c>
      <c r="AU62" s="476"/>
      <c r="AV62" s="476"/>
      <c r="AW62" s="476"/>
      <c r="AX62" s="477"/>
    </row>
    <row r="63" spans="2:50" ht="15.75">
      <c r="B63" s="482"/>
      <c r="C63" s="482"/>
      <c r="D63" s="482"/>
      <c r="E63" s="482"/>
      <c r="F63" s="482"/>
      <c r="G63" s="482"/>
      <c r="H63" s="482"/>
      <c r="I63" s="182"/>
      <c r="J63" s="182"/>
      <c r="K63" s="182"/>
      <c r="L63" s="182"/>
      <c r="M63" s="179"/>
      <c r="N63" s="471"/>
      <c r="O63" s="471"/>
      <c r="P63" s="478" t="s">
        <v>724</v>
      </c>
      <c r="Q63" s="479"/>
      <c r="R63" s="479"/>
      <c r="S63" s="479"/>
      <c r="T63" s="479"/>
      <c r="U63" s="478" t="s">
        <v>725</v>
      </c>
      <c r="V63" s="479"/>
      <c r="W63" s="479"/>
      <c r="X63" s="479"/>
      <c r="Y63" s="479"/>
      <c r="Z63" s="478" t="s">
        <v>726</v>
      </c>
      <c r="AA63" s="479"/>
      <c r="AB63" s="479"/>
      <c r="AC63" s="479"/>
      <c r="AD63" s="479"/>
      <c r="AE63" s="478" t="s">
        <v>727</v>
      </c>
      <c r="AF63" s="479"/>
      <c r="AG63" s="479"/>
      <c r="AH63" s="479"/>
      <c r="AI63" s="479"/>
      <c r="AJ63" s="478" t="s">
        <v>728</v>
      </c>
      <c r="AK63" s="479"/>
      <c r="AL63" s="479"/>
      <c r="AM63" s="479"/>
      <c r="AN63" s="479"/>
      <c r="AO63" s="478" t="s">
        <v>729</v>
      </c>
      <c r="AP63" s="479"/>
      <c r="AQ63" s="479"/>
      <c r="AR63" s="479"/>
      <c r="AS63" s="479"/>
      <c r="AT63" s="478" t="s">
        <v>730</v>
      </c>
      <c r="AU63" s="479"/>
      <c r="AV63" s="479"/>
      <c r="AW63" s="479"/>
      <c r="AX63" s="479"/>
    </row>
    <row r="64" spans="2:50">
      <c r="B64" s="462" t="s">
        <v>731</v>
      </c>
      <c r="C64" s="462" t="s">
        <v>732</v>
      </c>
      <c r="D64" s="462"/>
      <c r="E64" s="462" t="s">
        <v>733</v>
      </c>
      <c r="F64" s="462"/>
      <c r="G64" s="462"/>
      <c r="H64" s="463" t="s">
        <v>734</v>
      </c>
      <c r="I64" s="462" t="s">
        <v>735</v>
      </c>
      <c r="J64" s="462"/>
      <c r="K64" s="462"/>
      <c r="L64" s="463" t="s">
        <v>734</v>
      </c>
      <c r="M64" s="469" t="s">
        <v>736</v>
      </c>
      <c r="N64" s="462"/>
      <c r="O64" s="462" t="s">
        <v>737</v>
      </c>
      <c r="P64" s="466" t="s">
        <v>738</v>
      </c>
      <c r="Q64" s="467"/>
      <c r="R64" s="467"/>
      <c r="S64" s="468"/>
      <c r="T64" s="462" t="s">
        <v>734</v>
      </c>
      <c r="U64" s="466" t="s">
        <v>738</v>
      </c>
      <c r="V64" s="467"/>
      <c r="W64" s="467"/>
      <c r="X64" s="468"/>
      <c r="Y64" s="462" t="s">
        <v>734</v>
      </c>
      <c r="Z64" s="466" t="s">
        <v>738</v>
      </c>
      <c r="AA64" s="467"/>
      <c r="AB64" s="467"/>
      <c r="AC64" s="468"/>
      <c r="AD64" s="462" t="s">
        <v>734</v>
      </c>
      <c r="AE64" s="466" t="s">
        <v>738</v>
      </c>
      <c r="AF64" s="467"/>
      <c r="AG64" s="467"/>
      <c r="AH64" s="468"/>
      <c r="AI64" s="462" t="s">
        <v>734</v>
      </c>
      <c r="AJ64" s="466" t="s">
        <v>738</v>
      </c>
      <c r="AK64" s="467"/>
      <c r="AL64" s="467"/>
      <c r="AM64" s="468"/>
      <c r="AN64" s="462" t="s">
        <v>734</v>
      </c>
      <c r="AO64" s="466" t="s">
        <v>738</v>
      </c>
      <c r="AP64" s="467"/>
      <c r="AQ64" s="467"/>
      <c r="AR64" s="468"/>
      <c r="AS64" s="462" t="s">
        <v>734</v>
      </c>
      <c r="AT64" s="466" t="s">
        <v>738</v>
      </c>
      <c r="AU64" s="467"/>
      <c r="AV64" s="467"/>
      <c r="AW64" s="468"/>
      <c r="AX64" s="462" t="s">
        <v>734</v>
      </c>
    </row>
    <row r="65" spans="2:50">
      <c r="B65" s="462"/>
      <c r="C65" s="462"/>
      <c r="D65" s="462"/>
      <c r="E65" s="462" t="s">
        <v>739</v>
      </c>
      <c r="F65" s="462"/>
      <c r="G65" s="462"/>
      <c r="H65" s="464"/>
      <c r="I65" s="462" t="s">
        <v>739</v>
      </c>
      <c r="J65" s="462"/>
      <c r="K65" s="462"/>
      <c r="L65" s="464"/>
      <c r="M65" s="470"/>
      <c r="N65" s="462"/>
      <c r="O65" s="462"/>
      <c r="P65" s="466" t="s">
        <v>740</v>
      </c>
      <c r="Q65" s="467"/>
      <c r="R65" s="467"/>
      <c r="S65" s="468"/>
      <c r="T65" s="462"/>
      <c r="U65" s="466" t="s">
        <v>740</v>
      </c>
      <c r="V65" s="467"/>
      <c r="W65" s="467"/>
      <c r="X65" s="468"/>
      <c r="Y65" s="462"/>
      <c r="Z65" s="466" t="s">
        <v>740</v>
      </c>
      <c r="AA65" s="467"/>
      <c r="AB65" s="467"/>
      <c r="AC65" s="468"/>
      <c r="AD65" s="462"/>
      <c r="AE65" s="466" t="s">
        <v>740</v>
      </c>
      <c r="AF65" s="467"/>
      <c r="AG65" s="467"/>
      <c r="AH65" s="468"/>
      <c r="AI65" s="462"/>
      <c r="AJ65" s="466" t="s">
        <v>740</v>
      </c>
      <c r="AK65" s="467"/>
      <c r="AL65" s="467"/>
      <c r="AM65" s="468"/>
      <c r="AN65" s="462"/>
      <c r="AO65" s="466" t="s">
        <v>740</v>
      </c>
      <c r="AP65" s="467"/>
      <c r="AQ65" s="467"/>
      <c r="AR65" s="468"/>
      <c r="AS65" s="462"/>
      <c r="AT65" s="466" t="s">
        <v>740</v>
      </c>
      <c r="AU65" s="467"/>
      <c r="AV65" s="467"/>
      <c r="AW65" s="468"/>
      <c r="AX65" s="462"/>
    </row>
    <row r="66" spans="2:50">
      <c r="B66" s="462"/>
      <c r="C66" s="462"/>
      <c r="D66" s="462"/>
      <c r="E66" s="264" t="s">
        <v>741</v>
      </c>
      <c r="F66" s="264" t="s">
        <v>742</v>
      </c>
      <c r="G66" s="264" t="s">
        <v>743</v>
      </c>
      <c r="H66" s="465"/>
      <c r="I66" s="264" t="s">
        <v>741</v>
      </c>
      <c r="J66" s="264" t="s">
        <v>742</v>
      </c>
      <c r="K66" s="264" t="s">
        <v>743</v>
      </c>
      <c r="L66" s="465"/>
      <c r="M66" s="471"/>
      <c r="N66" s="462"/>
      <c r="O66" s="462"/>
      <c r="P66" s="264" t="s">
        <v>741</v>
      </c>
      <c r="Q66" s="264" t="s">
        <v>742</v>
      </c>
      <c r="R66" s="264" t="s">
        <v>743</v>
      </c>
      <c r="S66" s="264" t="s">
        <v>736</v>
      </c>
      <c r="T66" s="462"/>
      <c r="U66" s="264" t="s">
        <v>741</v>
      </c>
      <c r="V66" s="264" t="s">
        <v>742</v>
      </c>
      <c r="W66" s="264" t="s">
        <v>743</v>
      </c>
      <c r="X66" s="264" t="s">
        <v>736</v>
      </c>
      <c r="Y66" s="462"/>
      <c r="Z66" s="264" t="s">
        <v>741</v>
      </c>
      <c r="AA66" s="264" t="s">
        <v>742</v>
      </c>
      <c r="AB66" s="264" t="s">
        <v>743</v>
      </c>
      <c r="AC66" s="264" t="s">
        <v>736</v>
      </c>
      <c r="AD66" s="462"/>
      <c r="AE66" s="264" t="s">
        <v>741</v>
      </c>
      <c r="AF66" s="264" t="s">
        <v>742</v>
      </c>
      <c r="AG66" s="264" t="s">
        <v>743</v>
      </c>
      <c r="AH66" s="264" t="s">
        <v>736</v>
      </c>
      <c r="AI66" s="462"/>
      <c r="AJ66" s="264" t="s">
        <v>741</v>
      </c>
      <c r="AK66" s="264" t="s">
        <v>742</v>
      </c>
      <c r="AL66" s="264" t="s">
        <v>743</v>
      </c>
      <c r="AM66" s="264" t="s">
        <v>736</v>
      </c>
      <c r="AN66" s="462"/>
      <c r="AO66" s="264" t="s">
        <v>741</v>
      </c>
      <c r="AP66" s="264" t="s">
        <v>742</v>
      </c>
      <c r="AQ66" s="264" t="s">
        <v>743</v>
      </c>
      <c r="AR66" s="264" t="s">
        <v>736</v>
      </c>
      <c r="AS66" s="462"/>
      <c r="AT66" s="264" t="s">
        <v>741</v>
      </c>
      <c r="AU66" s="264" t="s">
        <v>742</v>
      </c>
      <c r="AV66" s="264" t="s">
        <v>743</v>
      </c>
      <c r="AW66" s="264" t="s">
        <v>736</v>
      </c>
      <c r="AX66" s="462"/>
    </row>
    <row r="67" spans="2:50">
      <c r="B67" s="507" t="s">
        <v>750</v>
      </c>
      <c r="C67" s="180">
        <v>1</v>
      </c>
      <c r="D67" s="201" t="s">
        <v>387</v>
      </c>
      <c r="E67" s="166">
        <v>4</v>
      </c>
      <c r="F67" s="180">
        <v>2000</v>
      </c>
      <c r="G67" s="265">
        <v>500</v>
      </c>
      <c r="H67" s="459">
        <f>AVERAGE(G67:G81)</f>
        <v>266.86444444444442</v>
      </c>
      <c r="I67" s="166">
        <f>AVERAGE(P67,U67,Z67,AE67,AJ67,AO67,AT67)</f>
        <v>5</v>
      </c>
      <c r="J67" s="166">
        <f>AVERAGE(Q67,V67,AA67,AF67,AK67,AP67,AU67)</f>
        <v>2095.5860786429357</v>
      </c>
      <c r="K67" s="265">
        <f>AVERAGE(R67,W67,AB67,AG67,AL67,AQ67,AV67)</f>
        <v>419.11721572858715</v>
      </c>
      <c r="L67" s="459">
        <f>IFERROR(AVERAGE(K67:K81),"-")</f>
        <v>242.58276763976693</v>
      </c>
      <c r="M67" s="272">
        <f>RANK(K67, K$67:$K$81)</f>
        <v>1</v>
      </c>
      <c r="N67" s="462"/>
      <c r="O67" s="462"/>
      <c r="P67" s="166">
        <v>5</v>
      </c>
      <c r="Q67" s="166">
        <v>2057.7777777777787</v>
      </c>
      <c r="R67" s="166">
        <v>411.55555555555577</v>
      </c>
      <c r="S67" s="180">
        <f>RANK(R67, R$67:R$81)</f>
        <v>2</v>
      </c>
      <c r="T67" s="486">
        <f>AVERAGE(R67:R81)</f>
        <v>240.73665045434723</v>
      </c>
      <c r="U67" s="166">
        <v>5</v>
      </c>
      <c r="V67" s="166">
        <v>2064.2307692307704</v>
      </c>
      <c r="W67" s="166">
        <v>412.8461538461541</v>
      </c>
      <c r="X67" s="180">
        <f t="shared" ref="X67:X81" si="29">RANK(W67, W$67:W$81)</f>
        <v>2</v>
      </c>
      <c r="Y67" s="486">
        <f t="shared" ref="Y67" si="30">AVERAGE(W67:W81)</f>
        <v>240.41120271954873</v>
      </c>
      <c r="Z67" s="166">
        <v>5</v>
      </c>
      <c r="AA67" s="166">
        <v>2096.3265306122453</v>
      </c>
      <c r="AB67" s="166">
        <v>419.26530612244903</v>
      </c>
      <c r="AC67" s="180">
        <f t="shared" ref="AC67:AC81" si="31">RANK(AB67, AB$67:AB$81)</f>
        <v>2</v>
      </c>
      <c r="AD67" s="486">
        <f t="shared" ref="AD67" si="32">AVERAGE(AB67:AB81)</f>
        <v>243.26157676348831</v>
      </c>
      <c r="AE67" s="166">
        <v>5</v>
      </c>
      <c r="AF67" s="166">
        <v>2128.1632653061229</v>
      </c>
      <c r="AG67" s="166">
        <v>425.63265306122457</v>
      </c>
      <c r="AH67" s="180">
        <f t="shared" ref="AH67:AH81" si="33">RANK(AG67, AG$67:AG$81)</f>
        <v>1</v>
      </c>
      <c r="AI67" s="486">
        <f t="shared" ref="AI67" si="34">AVERAGE(AG67:AG81)</f>
        <v>243.82987633095314</v>
      </c>
      <c r="AJ67" s="166">
        <v>5</v>
      </c>
      <c r="AK67" s="166">
        <v>2111.6129032258059</v>
      </c>
      <c r="AL67" s="166">
        <v>422.32258064516117</v>
      </c>
      <c r="AM67" s="180">
        <f t="shared" ref="AM67:AM81" si="35">RANK(AL67, AL$67:AL$81)</f>
        <v>2</v>
      </c>
      <c r="AN67" s="486">
        <f t="shared" ref="AN67" si="36">AVERAGE(AL67:AL81)</f>
        <v>244.24700701231814</v>
      </c>
      <c r="AO67" s="166">
        <v>5</v>
      </c>
      <c r="AP67" s="166">
        <v>2093.6000000000008</v>
      </c>
      <c r="AQ67" s="166">
        <v>418.72000000000014</v>
      </c>
      <c r="AR67" s="180">
        <f t="shared" ref="AR67:AR81" si="37">RANK(AQ67, AQ$67:AQ$81)</f>
        <v>3</v>
      </c>
      <c r="AS67" s="486">
        <f t="shared" ref="AS67" si="38">AVERAGE(AQ67:AQ81)</f>
        <v>243.35632338336677</v>
      </c>
      <c r="AT67" s="166">
        <v>5</v>
      </c>
      <c r="AU67" s="166">
        <v>2117.391304347826</v>
      </c>
      <c r="AV67" s="166">
        <v>423.47826086956519</v>
      </c>
      <c r="AW67" s="180">
        <f t="shared" ref="AW67:AW81" si="39">RANK(AV67, AV$67:AV$81)</f>
        <v>1</v>
      </c>
      <c r="AX67" s="486">
        <f t="shared" ref="AX67" si="40">AVERAGE(AV67:AV81)</f>
        <v>242.23673681434622</v>
      </c>
    </row>
    <row r="68" spans="2:50">
      <c r="B68" s="479"/>
      <c r="C68" s="180">
        <v>2</v>
      </c>
      <c r="D68" s="201" t="s">
        <v>427</v>
      </c>
      <c r="E68" s="166">
        <v>4</v>
      </c>
      <c r="F68" s="180">
        <v>2000</v>
      </c>
      <c r="G68" s="265">
        <v>500</v>
      </c>
      <c r="H68" s="460"/>
      <c r="I68" s="166">
        <f t="shared" ref="I68:K76" si="41">AVERAGE(P68,U68,Z68,AE68,AJ68,AO68,AT68)</f>
        <v>5</v>
      </c>
      <c r="J68" s="166">
        <f t="shared" si="41"/>
        <v>2087.1829569887109</v>
      </c>
      <c r="K68" s="265">
        <f t="shared" si="41"/>
        <v>417.43659139774218</v>
      </c>
      <c r="L68" s="460"/>
      <c r="M68" s="272">
        <f>RANK(K68, K$67:$K$81)</f>
        <v>2</v>
      </c>
      <c r="N68" s="462"/>
      <c r="O68" s="462"/>
      <c r="P68" s="166">
        <v>5</v>
      </c>
      <c r="Q68" s="166">
        <v>2100.0000000000014</v>
      </c>
      <c r="R68" s="166">
        <v>420.00000000000028</v>
      </c>
      <c r="S68" s="180">
        <f t="shared" ref="S68:S81" si="42">RANK(R68, R$67:R$81)</f>
        <v>1</v>
      </c>
      <c r="T68" s="486"/>
      <c r="U68" s="166">
        <v>5</v>
      </c>
      <c r="V68" s="166">
        <v>2093.0769230769242</v>
      </c>
      <c r="W68" s="166">
        <v>418.61538461538487</v>
      </c>
      <c r="X68" s="180">
        <f t="shared" si="29"/>
        <v>1</v>
      </c>
      <c r="Y68" s="486"/>
      <c r="Z68" s="166">
        <v>5</v>
      </c>
      <c r="AA68" s="166">
        <v>2097.7777777777792</v>
      </c>
      <c r="AB68" s="166">
        <v>419.55555555555583</v>
      </c>
      <c r="AC68" s="180">
        <f t="shared" si="31"/>
        <v>1</v>
      </c>
      <c r="AD68" s="486"/>
      <c r="AE68" s="166">
        <v>5</v>
      </c>
      <c r="AF68" s="166">
        <v>2063.7735849056617</v>
      </c>
      <c r="AG68" s="166">
        <v>412.75471698113233</v>
      </c>
      <c r="AH68" s="180">
        <f t="shared" si="33"/>
        <v>3</v>
      </c>
      <c r="AI68" s="486"/>
      <c r="AJ68" s="166">
        <v>5</v>
      </c>
      <c r="AK68" s="166">
        <v>2073.442622950819</v>
      </c>
      <c r="AL68" s="166">
        <v>414.68852459016381</v>
      </c>
      <c r="AM68" s="180">
        <f t="shared" si="35"/>
        <v>3</v>
      </c>
      <c r="AN68" s="486"/>
      <c r="AO68" s="166">
        <v>5</v>
      </c>
      <c r="AP68" s="166">
        <v>2125.8461538461534</v>
      </c>
      <c r="AQ68" s="166">
        <v>425.16923076923069</v>
      </c>
      <c r="AR68" s="180">
        <f t="shared" si="37"/>
        <v>1</v>
      </c>
      <c r="AS68" s="486"/>
      <c r="AT68" s="166">
        <v>5</v>
      </c>
      <c r="AU68" s="166">
        <v>2056.3636363636365</v>
      </c>
      <c r="AV68" s="166">
        <v>411.27272727272731</v>
      </c>
      <c r="AW68" s="180">
        <f t="shared" si="39"/>
        <v>2</v>
      </c>
      <c r="AX68" s="486"/>
    </row>
    <row r="69" spans="2:50">
      <c r="B69" s="479"/>
      <c r="C69" s="180">
        <v>3</v>
      </c>
      <c r="D69" s="201" t="s">
        <v>388</v>
      </c>
      <c r="E69" s="166">
        <v>13</v>
      </c>
      <c r="F69" s="180">
        <v>2250</v>
      </c>
      <c r="G69" s="265">
        <v>160.69999999999999</v>
      </c>
      <c r="H69" s="460"/>
      <c r="I69" s="166">
        <f t="shared" si="41"/>
        <v>13</v>
      </c>
      <c r="J69" s="166">
        <f t="shared" si="41"/>
        <v>2105.3258094451135</v>
      </c>
      <c r="K69" s="265">
        <f t="shared" si="41"/>
        <v>161.94813918808566</v>
      </c>
      <c r="L69" s="460"/>
      <c r="M69" s="272">
        <f>RANK(K69, K$67:$K$81)</f>
        <v>9</v>
      </c>
      <c r="N69" s="462"/>
      <c r="O69" s="462"/>
      <c r="P69" s="166">
        <v>13</v>
      </c>
      <c r="Q69" s="166">
        <v>2093.4374999999995</v>
      </c>
      <c r="R69" s="166">
        <v>161.03365384615381</v>
      </c>
      <c r="S69" s="180">
        <f t="shared" si="42"/>
        <v>9</v>
      </c>
      <c r="T69" s="486"/>
      <c r="U69" s="166">
        <v>13</v>
      </c>
      <c r="V69" s="166">
        <v>2119.354838709678</v>
      </c>
      <c r="W69" s="166">
        <v>163.02729528535986</v>
      </c>
      <c r="X69" s="180">
        <f t="shared" si="29"/>
        <v>9</v>
      </c>
      <c r="Y69" s="486"/>
      <c r="Z69" s="166">
        <v>13</v>
      </c>
      <c r="AA69" s="166">
        <v>2119.0000000000005</v>
      </c>
      <c r="AB69" s="166">
        <v>163.00000000000003</v>
      </c>
      <c r="AC69" s="180">
        <f t="shared" si="31"/>
        <v>9</v>
      </c>
      <c r="AD69" s="486"/>
      <c r="AE69" s="166">
        <v>13</v>
      </c>
      <c r="AF69" s="166">
        <v>2108.1355932203396</v>
      </c>
      <c r="AG69" s="166">
        <v>162.16427640156459</v>
      </c>
      <c r="AH69" s="180">
        <f t="shared" si="33"/>
        <v>9</v>
      </c>
      <c r="AI69" s="486"/>
      <c r="AJ69" s="166">
        <v>13</v>
      </c>
      <c r="AK69" s="166">
        <v>2098.2608695652175</v>
      </c>
      <c r="AL69" s="166">
        <v>161.40468227424751</v>
      </c>
      <c r="AM69" s="180">
        <f t="shared" si="35"/>
        <v>9</v>
      </c>
      <c r="AN69" s="486"/>
      <c r="AO69" s="166">
        <v>13</v>
      </c>
      <c r="AP69" s="166">
        <v>2115.211267605634</v>
      </c>
      <c r="AQ69" s="166">
        <v>162.70855904658723</v>
      </c>
      <c r="AR69" s="180">
        <f t="shared" si="37"/>
        <v>9</v>
      </c>
      <c r="AS69" s="486"/>
      <c r="AT69" s="166">
        <v>13</v>
      </c>
      <c r="AU69" s="166">
        <v>2083.8805970149256</v>
      </c>
      <c r="AV69" s="166">
        <v>160.29850746268659</v>
      </c>
      <c r="AW69" s="180">
        <f t="shared" si="39"/>
        <v>9</v>
      </c>
      <c r="AX69" s="486"/>
    </row>
    <row r="70" spans="2:50">
      <c r="B70" s="479"/>
      <c r="C70" s="180">
        <v>4</v>
      </c>
      <c r="D70" s="201" t="s">
        <v>389</v>
      </c>
      <c r="E70" s="166">
        <v>12</v>
      </c>
      <c r="F70" s="180">
        <v>2250</v>
      </c>
      <c r="G70" s="265">
        <v>176.5</v>
      </c>
      <c r="H70" s="460"/>
      <c r="I70" s="166">
        <f t="shared" si="41"/>
        <v>12</v>
      </c>
      <c r="J70" s="166">
        <f t="shared" si="41"/>
        <v>2088.2977128898574</v>
      </c>
      <c r="K70" s="265">
        <f t="shared" si="41"/>
        <v>174.02480940748814</v>
      </c>
      <c r="L70" s="460"/>
      <c r="M70" s="272">
        <f>RANK(K70, K$67:$K$81)</f>
        <v>7</v>
      </c>
      <c r="N70" s="462"/>
      <c r="O70" s="462"/>
      <c r="P70" s="166">
        <v>12</v>
      </c>
      <c r="Q70" s="166">
        <v>2057.1428571428573</v>
      </c>
      <c r="R70" s="166">
        <v>171.42857142857144</v>
      </c>
      <c r="S70" s="180">
        <f t="shared" si="42"/>
        <v>7</v>
      </c>
      <c r="T70" s="486"/>
      <c r="U70" s="166">
        <v>12</v>
      </c>
      <c r="V70" s="166">
        <v>2060.8695652173906</v>
      </c>
      <c r="W70" s="166">
        <v>171.73913043478254</v>
      </c>
      <c r="X70" s="180">
        <f t="shared" si="29"/>
        <v>7</v>
      </c>
      <c r="Y70" s="486"/>
      <c r="Z70" s="166">
        <v>12</v>
      </c>
      <c r="AA70" s="166">
        <v>2100.923076923078</v>
      </c>
      <c r="AB70" s="166">
        <v>175.07692307692318</v>
      </c>
      <c r="AC70" s="180">
        <f t="shared" si="31"/>
        <v>7</v>
      </c>
      <c r="AD70" s="486"/>
      <c r="AE70" s="166">
        <v>12</v>
      </c>
      <c r="AF70" s="166">
        <v>2097.1428571428578</v>
      </c>
      <c r="AG70" s="166">
        <v>174.76190476190482</v>
      </c>
      <c r="AH70" s="180">
        <f t="shared" si="33"/>
        <v>7</v>
      </c>
      <c r="AI70" s="486"/>
      <c r="AJ70" s="166">
        <v>12</v>
      </c>
      <c r="AK70" s="166">
        <v>2086.400000000001</v>
      </c>
      <c r="AL70" s="166">
        <v>173.86666666666676</v>
      </c>
      <c r="AM70" s="180">
        <f t="shared" si="35"/>
        <v>7</v>
      </c>
      <c r="AN70" s="486"/>
      <c r="AO70" s="166">
        <v>12</v>
      </c>
      <c r="AP70" s="166">
        <v>2108.0000000000009</v>
      </c>
      <c r="AQ70" s="166">
        <v>175.66666666666674</v>
      </c>
      <c r="AR70" s="180">
        <f t="shared" si="37"/>
        <v>7</v>
      </c>
      <c r="AS70" s="486"/>
      <c r="AT70" s="166">
        <v>12</v>
      </c>
      <c r="AU70" s="166">
        <v>2107.6056338028175</v>
      </c>
      <c r="AV70" s="166">
        <v>175.63380281690146</v>
      </c>
      <c r="AW70" s="180">
        <f t="shared" si="39"/>
        <v>7</v>
      </c>
      <c r="AX70" s="486"/>
    </row>
    <row r="71" spans="2:50">
      <c r="B71" s="479"/>
      <c r="C71" s="180">
        <v>5</v>
      </c>
      <c r="D71" s="201" t="s">
        <v>390</v>
      </c>
      <c r="E71" s="166">
        <v>12</v>
      </c>
      <c r="F71" s="180">
        <v>2250</v>
      </c>
      <c r="G71" s="265">
        <v>187.5</v>
      </c>
      <c r="H71" s="460"/>
      <c r="I71" s="166">
        <f t="shared" si="41"/>
        <v>12</v>
      </c>
      <c r="J71" s="166">
        <f t="shared" si="41"/>
        <v>2205.9691607132308</v>
      </c>
      <c r="K71" s="265">
        <f t="shared" si="41"/>
        <v>183.83076339276917</v>
      </c>
      <c r="L71" s="460"/>
      <c r="M71" s="272">
        <f>RANK(K71, K$67:$K$81)</f>
        <v>5</v>
      </c>
      <c r="N71" s="462"/>
      <c r="O71" s="462"/>
      <c r="P71" s="166">
        <v>12</v>
      </c>
      <c r="Q71" s="166">
        <v>2235.5555555555561</v>
      </c>
      <c r="R71" s="166">
        <v>186.29629629629633</v>
      </c>
      <c r="S71" s="180">
        <f t="shared" si="42"/>
        <v>5</v>
      </c>
      <c r="T71" s="486"/>
      <c r="U71" s="166">
        <v>12</v>
      </c>
      <c r="V71" s="166">
        <v>2183.414634146342</v>
      </c>
      <c r="W71" s="166">
        <v>181.95121951219517</v>
      </c>
      <c r="X71" s="180">
        <f t="shared" si="29"/>
        <v>6</v>
      </c>
      <c r="Y71" s="486"/>
      <c r="Z71" s="166">
        <v>12</v>
      </c>
      <c r="AA71" s="166">
        <v>2173.0769230769229</v>
      </c>
      <c r="AB71" s="166">
        <v>181.08974358974356</v>
      </c>
      <c r="AC71" s="180">
        <f t="shared" si="31"/>
        <v>6</v>
      </c>
      <c r="AD71" s="486"/>
      <c r="AE71" s="166">
        <v>12</v>
      </c>
      <c r="AF71" s="166">
        <v>2230.7692307692309</v>
      </c>
      <c r="AG71" s="166">
        <v>185.89743589743591</v>
      </c>
      <c r="AH71" s="180">
        <f t="shared" si="33"/>
        <v>5</v>
      </c>
      <c r="AI71" s="486"/>
      <c r="AJ71" s="166">
        <v>12</v>
      </c>
      <c r="AK71" s="166">
        <v>2208.131868131868</v>
      </c>
      <c r="AL71" s="166">
        <v>184.01098901098899</v>
      </c>
      <c r="AM71" s="180">
        <f t="shared" si="35"/>
        <v>6</v>
      </c>
      <c r="AN71" s="486"/>
      <c r="AO71" s="166">
        <v>12</v>
      </c>
      <c r="AP71" s="166">
        <v>2185.8947368421045</v>
      </c>
      <c r="AQ71" s="166">
        <v>182.15789473684205</v>
      </c>
      <c r="AR71" s="180">
        <f t="shared" si="37"/>
        <v>6</v>
      </c>
      <c r="AS71" s="486"/>
      <c r="AT71" s="166">
        <v>12</v>
      </c>
      <c r="AU71" s="166">
        <v>2224.9411764705887</v>
      </c>
      <c r="AV71" s="166">
        <v>185.4117647058824</v>
      </c>
      <c r="AW71" s="180">
        <f t="shared" si="39"/>
        <v>5</v>
      </c>
      <c r="AX71" s="486"/>
    </row>
    <row r="72" spans="2:50">
      <c r="B72" s="479"/>
      <c r="C72" s="180">
        <v>6</v>
      </c>
      <c r="D72" s="201" t="s">
        <v>391</v>
      </c>
      <c r="E72" s="166">
        <v>13</v>
      </c>
      <c r="F72" s="180">
        <v>2250</v>
      </c>
      <c r="G72" s="265">
        <v>173</v>
      </c>
      <c r="H72" s="460"/>
      <c r="I72" s="166">
        <f t="shared" si="41"/>
        <v>13</v>
      </c>
      <c r="J72" s="166">
        <f t="shared" si="41"/>
        <v>2164.9634060392041</v>
      </c>
      <c r="K72" s="265">
        <f t="shared" si="41"/>
        <v>166.53564661840031</v>
      </c>
      <c r="L72" s="460"/>
      <c r="M72" s="272">
        <f>RANK(K72, K$67:$K$81)</f>
        <v>8</v>
      </c>
      <c r="N72" s="462"/>
      <c r="O72" s="462"/>
      <c r="P72" s="166">
        <v>13</v>
      </c>
      <c r="Q72" s="166">
        <v>2135.6097560975613</v>
      </c>
      <c r="R72" s="166">
        <v>164.27767354596625</v>
      </c>
      <c r="S72" s="180">
        <f t="shared" si="42"/>
        <v>8</v>
      </c>
      <c r="T72" s="486"/>
      <c r="U72" s="166">
        <v>13</v>
      </c>
      <c r="V72" s="166">
        <v>2131.7355371900826</v>
      </c>
      <c r="W72" s="166">
        <v>163.97965670692943</v>
      </c>
      <c r="X72" s="180">
        <f t="shared" si="29"/>
        <v>8</v>
      </c>
      <c r="Y72" s="486"/>
      <c r="Z72" s="166">
        <v>13</v>
      </c>
      <c r="AA72" s="166">
        <v>2177.297297297298</v>
      </c>
      <c r="AB72" s="166">
        <v>167.48440748440754</v>
      </c>
      <c r="AC72" s="180">
        <f t="shared" si="31"/>
        <v>8</v>
      </c>
      <c r="AD72" s="486"/>
      <c r="AE72" s="166">
        <v>13</v>
      </c>
      <c r="AF72" s="166">
        <v>2173.0909090909081</v>
      </c>
      <c r="AG72" s="166">
        <v>167.16083916083909</v>
      </c>
      <c r="AH72" s="180">
        <f t="shared" si="33"/>
        <v>8</v>
      </c>
      <c r="AI72" s="486"/>
      <c r="AJ72" s="166">
        <v>13</v>
      </c>
      <c r="AK72" s="166">
        <v>2195.0000000000005</v>
      </c>
      <c r="AL72" s="166">
        <v>168.84615384615387</v>
      </c>
      <c r="AM72" s="180">
        <f t="shared" si="35"/>
        <v>8</v>
      </c>
      <c r="AN72" s="486"/>
      <c r="AO72" s="166">
        <v>13</v>
      </c>
      <c r="AP72" s="166">
        <v>2194.6153846153852</v>
      </c>
      <c r="AQ72" s="166">
        <v>168.81656804733731</v>
      </c>
      <c r="AR72" s="180">
        <f t="shared" si="37"/>
        <v>8</v>
      </c>
      <c r="AS72" s="486"/>
      <c r="AT72" s="166">
        <v>13</v>
      </c>
      <c r="AU72" s="166">
        <v>2147.3949579831933</v>
      </c>
      <c r="AV72" s="166">
        <v>165.18422753716871</v>
      </c>
      <c r="AW72" s="180">
        <f t="shared" si="39"/>
        <v>8</v>
      </c>
      <c r="AX72" s="486"/>
    </row>
    <row r="73" spans="2:50">
      <c r="B73" s="479"/>
      <c r="C73" s="180">
        <v>7</v>
      </c>
      <c r="D73" s="201" t="s">
        <v>392</v>
      </c>
      <c r="E73" s="166">
        <v>10</v>
      </c>
      <c r="F73" s="180">
        <v>2250</v>
      </c>
      <c r="G73" s="265">
        <v>225</v>
      </c>
      <c r="H73" s="460"/>
      <c r="I73" s="166">
        <f t="shared" si="41"/>
        <v>10</v>
      </c>
      <c r="J73" s="166">
        <f t="shared" si="41"/>
        <v>2113.8852059289848</v>
      </c>
      <c r="K73" s="265">
        <f t="shared" si="41"/>
        <v>211.38852059289852</v>
      </c>
      <c r="L73" s="460"/>
      <c r="M73" s="272">
        <f>RANK(K73, K$67:$K$81)</f>
        <v>4</v>
      </c>
      <c r="N73" s="462"/>
      <c r="O73" s="462"/>
      <c r="P73" s="166">
        <v>10</v>
      </c>
      <c r="Q73" s="166">
        <v>2065.5600000000004</v>
      </c>
      <c r="R73" s="166">
        <v>206.55600000000004</v>
      </c>
      <c r="S73" s="180">
        <f t="shared" si="42"/>
        <v>4</v>
      </c>
      <c r="T73" s="486"/>
      <c r="U73" s="166">
        <v>10</v>
      </c>
      <c r="V73" s="166">
        <v>2072.3414634146334</v>
      </c>
      <c r="W73" s="166">
        <v>207.23414634146334</v>
      </c>
      <c r="X73" s="180">
        <f t="shared" si="29"/>
        <v>4</v>
      </c>
      <c r="Y73" s="486"/>
      <c r="Z73" s="166">
        <v>10</v>
      </c>
      <c r="AA73" s="166">
        <v>2130.7605633802818</v>
      </c>
      <c r="AB73" s="166">
        <v>213.0760563380282</v>
      </c>
      <c r="AC73" s="180">
        <f t="shared" si="31"/>
        <v>4</v>
      </c>
      <c r="AD73" s="486"/>
      <c r="AE73" s="166">
        <v>10</v>
      </c>
      <c r="AF73" s="166">
        <v>2129.2297297297305</v>
      </c>
      <c r="AG73" s="166">
        <v>212.92297297297304</v>
      </c>
      <c r="AH73" s="180">
        <f t="shared" si="33"/>
        <v>4</v>
      </c>
      <c r="AI73" s="486"/>
      <c r="AJ73" s="166">
        <v>10</v>
      </c>
      <c r="AK73" s="166">
        <v>2133.2647058823532</v>
      </c>
      <c r="AL73" s="166">
        <v>213.32647058823531</v>
      </c>
      <c r="AM73" s="180">
        <f t="shared" si="35"/>
        <v>4</v>
      </c>
      <c r="AN73" s="486"/>
      <c r="AO73" s="166">
        <v>10</v>
      </c>
      <c r="AP73" s="166">
        <v>2131.8539325842694</v>
      </c>
      <c r="AQ73" s="166">
        <v>213.18539325842693</v>
      </c>
      <c r="AR73" s="180">
        <f t="shared" si="37"/>
        <v>4</v>
      </c>
      <c r="AS73" s="486"/>
      <c r="AT73" s="166">
        <v>10</v>
      </c>
      <c r="AU73" s="166">
        <v>2134.1860465116274</v>
      </c>
      <c r="AV73" s="166">
        <v>213.41860465116275</v>
      </c>
      <c r="AW73" s="180">
        <f t="shared" si="39"/>
        <v>4</v>
      </c>
      <c r="AX73" s="486"/>
    </row>
    <row r="74" spans="2:50">
      <c r="B74" s="479"/>
      <c r="C74" s="180">
        <v>8</v>
      </c>
      <c r="D74" s="201" t="s">
        <v>386</v>
      </c>
      <c r="E74" s="166">
        <v>18</v>
      </c>
      <c r="F74" s="180">
        <v>1250</v>
      </c>
      <c r="G74" s="265">
        <v>69.444444444444443</v>
      </c>
      <c r="H74" s="460"/>
      <c r="I74" s="166">
        <f t="shared" si="41"/>
        <v>13</v>
      </c>
      <c r="J74" s="166">
        <f t="shared" si="41"/>
        <v>1217.3325982941546</v>
      </c>
      <c r="K74" s="265">
        <f t="shared" si="41"/>
        <v>93.640969099550347</v>
      </c>
      <c r="L74" s="460"/>
      <c r="M74" s="272">
        <f>RANK(K74, K$67:$K$81)</f>
        <v>10</v>
      </c>
      <c r="N74" s="462"/>
      <c r="O74" s="462"/>
      <c r="P74" s="166">
        <v>13</v>
      </c>
      <c r="Q74" s="166">
        <v>1228.6956521739135</v>
      </c>
      <c r="R74" s="166">
        <v>94.515050167224118</v>
      </c>
      <c r="S74" s="180">
        <f t="shared" si="42"/>
        <v>10</v>
      </c>
      <c r="T74" s="486"/>
      <c r="U74" s="166">
        <v>13</v>
      </c>
      <c r="V74" s="166">
        <v>1214.727272727273</v>
      </c>
      <c r="W74" s="166">
        <v>93.440559440559454</v>
      </c>
      <c r="X74" s="180">
        <f t="shared" si="29"/>
        <v>10</v>
      </c>
      <c r="Y74" s="486"/>
      <c r="Z74" s="166">
        <v>13</v>
      </c>
      <c r="AA74" s="166">
        <v>1279.8000000000004</v>
      </c>
      <c r="AB74" s="166">
        <v>98.446153846153877</v>
      </c>
      <c r="AC74" s="180">
        <f t="shared" si="31"/>
        <v>10</v>
      </c>
      <c r="AD74" s="486"/>
      <c r="AE74" s="166">
        <v>13</v>
      </c>
      <c r="AF74" s="166">
        <v>1251.3333333333333</v>
      </c>
      <c r="AG74" s="166">
        <v>96.256410256410248</v>
      </c>
      <c r="AH74" s="180">
        <f t="shared" si="33"/>
        <v>10</v>
      </c>
      <c r="AI74" s="486"/>
      <c r="AJ74" s="166">
        <v>13</v>
      </c>
      <c r="AK74" s="166">
        <v>1238.6666666666667</v>
      </c>
      <c r="AL74" s="166">
        <v>95.282051282051285</v>
      </c>
      <c r="AM74" s="180">
        <f t="shared" si="35"/>
        <v>10</v>
      </c>
      <c r="AN74" s="486"/>
      <c r="AO74" s="166">
        <v>13</v>
      </c>
      <c r="AP74" s="166">
        <v>1086.0000000000002</v>
      </c>
      <c r="AQ74" s="166">
        <v>83.538461538461561</v>
      </c>
      <c r="AR74" s="180">
        <f t="shared" si="37"/>
        <v>10</v>
      </c>
      <c r="AS74" s="486"/>
      <c r="AT74" s="166">
        <v>13</v>
      </c>
      <c r="AU74" s="166">
        <v>1222.105263157895</v>
      </c>
      <c r="AV74" s="166">
        <v>94.008097165991927</v>
      </c>
      <c r="AW74" s="180">
        <f t="shared" si="39"/>
        <v>10</v>
      </c>
      <c r="AX74" s="486"/>
    </row>
    <row r="75" spans="2:50">
      <c r="B75" s="479"/>
      <c r="C75" s="180">
        <v>9</v>
      </c>
      <c r="D75" s="201" t="s">
        <v>584</v>
      </c>
      <c r="E75" s="166">
        <v>12</v>
      </c>
      <c r="F75" s="180">
        <v>2250</v>
      </c>
      <c r="G75" s="265">
        <v>176.5</v>
      </c>
      <c r="H75" s="460"/>
      <c r="I75" s="166">
        <f t="shared" si="41"/>
        <v>12</v>
      </c>
      <c r="J75" s="166">
        <f t="shared" si="41"/>
        <v>2204.940251665771</v>
      </c>
      <c r="K75" s="265">
        <f t="shared" si="41"/>
        <v>183.74502097214759</v>
      </c>
      <c r="L75" s="460"/>
      <c r="M75" s="272">
        <f>RANK(K75, K$67:$K$81)</f>
        <v>6</v>
      </c>
      <c r="N75" s="462"/>
      <c r="O75" s="462"/>
      <c r="P75" s="166">
        <v>12</v>
      </c>
      <c r="Q75" s="166">
        <v>2204.4444444444434</v>
      </c>
      <c r="R75" s="166">
        <v>183.70370370370361</v>
      </c>
      <c r="S75" s="180">
        <f t="shared" si="42"/>
        <v>6</v>
      </c>
      <c r="T75" s="486"/>
      <c r="U75" s="166">
        <v>12</v>
      </c>
      <c r="V75" s="166">
        <v>2187.3417721518999</v>
      </c>
      <c r="W75" s="166">
        <v>182.27848101265832</v>
      </c>
      <c r="X75" s="180">
        <f t="shared" si="29"/>
        <v>5</v>
      </c>
      <c r="Y75" s="486"/>
      <c r="Z75" s="166">
        <v>12</v>
      </c>
      <c r="AA75" s="166">
        <v>2179.45945945946</v>
      </c>
      <c r="AB75" s="166">
        <v>181.62162162162167</v>
      </c>
      <c r="AC75" s="180">
        <f t="shared" si="31"/>
        <v>5</v>
      </c>
      <c r="AD75" s="486"/>
      <c r="AE75" s="166">
        <v>12</v>
      </c>
      <c r="AF75" s="166">
        <v>2230.6849315068498</v>
      </c>
      <c r="AG75" s="166">
        <v>185.89041095890414</v>
      </c>
      <c r="AH75" s="180">
        <f t="shared" si="33"/>
        <v>6</v>
      </c>
      <c r="AI75" s="486"/>
      <c r="AJ75" s="166">
        <v>12</v>
      </c>
      <c r="AK75" s="166">
        <v>2221.4634146341455</v>
      </c>
      <c r="AL75" s="166">
        <v>185.12195121951211</v>
      </c>
      <c r="AM75" s="180">
        <f t="shared" si="35"/>
        <v>5</v>
      </c>
      <c r="AN75" s="486"/>
      <c r="AO75" s="166">
        <v>12</v>
      </c>
      <c r="AP75" s="166">
        <v>2208.9655172413786</v>
      </c>
      <c r="AQ75" s="166">
        <v>184.08045977011489</v>
      </c>
      <c r="AR75" s="180">
        <f t="shared" si="37"/>
        <v>5</v>
      </c>
      <c r="AS75" s="486"/>
      <c r="AT75" s="166">
        <v>12</v>
      </c>
      <c r="AU75" s="166">
        <v>2202.2222222222213</v>
      </c>
      <c r="AV75" s="166">
        <v>183.51851851851845</v>
      </c>
      <c r="AW75" s="180">
        <f t="shared" si="39"/>
        <v>6</v>
      </c>
      <c r="AX75" s="486"/>
    </row>
    <row r="76" spans="2:50">
      <c r="B76" s="479"/>
      <c r="C76" s="180">
        <v>10</v>
      </c>
      <c r="D76" s="201" t="s">
        <v>668</v>
      </c>
      <c r="E76" s="166">
        <v>4</v>
      </c>
      <c r="F76" s="180">
        <v>2000</v>
      </c>
      <c r="G76" s="265">
        <v>500</v>
      </c>
      <c r="H76" s="460"/>
      <c r="I76" s="166">
        <f t="shared" si="41"/>
        <v>5</v>
      </c>
      <c r="J76" s="166">
        <f t="shared" si="41"/>
        <v>2070.8000000000006</v>
      </c>
      <c r="K76" s="265">
        <f t="shared" si="41"/>
        <v>414.16000000000014</v>
      </c>
      <c r="L76" s="460"/>
      <c r="M76" s="272">
        <f>RANK(K76, K$67:$K$81)</f>
        <v>3</v>
      </c>
      <c r="N76" s="462"/>
      <c r="O76" s="462"/>
      <c r="P76" s="166">
        <v>5</v>
      </c>
      <c r="Q76" s="166">
        <v>2040.0000000000014</v>
      </c>
      <c r="R76" s="166">
        <v>408.00000000000028</v>
      </c>
      <c r="S76" s="180">
        <f t="shared" si="42"/>
        <v>3</v>
      </c>
      <c r="T76" s="486"/>
      <c r="U76" s="166">
        <v>5</v>
      </c>
      <c r="V76" s="166">
        <v>2045.0000000000005</v>
      </c>
      <c r="W76" s="166">
        <v>409.00000000000011</v>
      </c>
      <c r="X76" s="180">
        <f t="shared" si="29"/>
        <v>3</v>
      </c>
      <c r="Y76" s="486"/>
      <c r="Z76" s="166">
        <v>5</v>
      </c>
      <c r="AA76" s="166">
        <v>2070.0000000000005</v>
      </c>
      <c r="AB76" s="166">
        <v>414.00000000000011</v>
      </c>
      <c r="AC76" s="180">
        <f t="shared" si="31"/>
        <v>3</v>
      </c>
      <c r="AD76" s="486"/>
      <c r="AE76" s="166">
        <v>5</v>
      </c>
      <c r="AF76" s="166">
        <v>2074.2857142857138</v>
      </c>
      <c r="AG76" s="166">
        <v>414.85714285714278</v>
      </c>
      <c r="AH76" s="180">
        <f t="shared" si="33"/>
        <v>2</v>
      </c>
      <c r="AI76" s="486"/>
      <c r="AJ76" s="166">
        <v>5</v>
      </c>
      <c r="AK76" s="166">
        <v>2118.0000000000018</v>
      </c>
      <c r="AL76" s="166">
        <v>423.60000000000036</v>
      </c>
      <c r="AM76" s="180">
        <f t="shared" si="35"/>
        <v>1</v>
      </c>
      <c r="AN76" s="486"/>
      <c r="AO76" s="166">
        <v>5</v>
      </c>
      <c r="AP76" s="166">
        <v>2097.6000000000004</v>
      </c>
      <c r="AQ76" s="166">
        <v>419.5200000000001</v>
      </c>
      <c r="AR76" s="180">
        <f t="shared" si="37"/>
        <v>2</v>
      </c>
      <c r="AS76" s="486"/>
      <c r="AT76" s="166">
        <v>5</v>
      </c>
      <c r="AU76" s="166">
        <v>2050.7142857142871</v>
      </c>
      <c r="AV76" s="166">
        <v>410.14285714285745</v>
      </c>
      <c r="AW76" s="180">
        <f t="shared" si="39"/>
        <v>3</v>
      </c>
      <c r="AX76" s="486"/>
    </row>
    <row r="77" spans="2:50">
      <c r="B77" s="479"/>
      <c r="C77" s="180">
        <v>11</v>
      </c>
      <c r="D77" s="201"/>
      <c r="E77" s="166"/>
      <c r="F77" s="180"/>
      <c r="G77" s="265"/>
      <c r="H77" s="460"/>
      <c r="I77" s="166"/>
      <c r="J77" s="166"/>
      <c r="K77" s="265"/>
      <c r="L77" s="460"/>
      <c r="M77" s="272" t="e">
        <f>RANK(K77, K$67:$K$81)</f>
        <v>#N/A</v>
      </c>
      <c r="N77" s="462"/>
      <c r="O77" s="462"/>
      <c r="P77" s="166"/>
      <c r="Q77" s="166"/>
      <c r="R77" s="166"/>
      <c r="S77" s="180" t="e">
        <f t="shared" si="42"/>
        <v>#N/A</v>
      </c>
      <c r="T77" s="486"/>
      <c r="U77" s="166"/>
      <c r="V77" s="166"/>
      <c r="W77" s="166"/>
      <c r="X77" s="180" t="e">
        <f t="shared" si="29"/>
        <v>#N/A</v>
      </c>
      <c r="Y77" s="486"/>
      <c r="Z77" s="166"/>
      <c r="AA77" s="166"/>
      <c r="AB77" s="166"/>
      <c r="AC77" s="180" t="e">
        <f t="shared" si="31"/>
        <v>#N/A</v>
      </c>
      <c r="AD77" s="486"/>
      <c r="AE77" s="166"/>
      <c r="AF77" s="166"/>
      <c r="AG77" s="166"/>
      <c r="AH77" s="180" t="e">
        <f t="shared" si="33"/>
        <v>#N/A</v>
      </c>
      <c r="AI77" s="486"/>
      <c r="AJ77" s="166"/>
      <c r="AK77" s="166"/>
      <c r="AL77" s="166"/>
      <c r="AM77" s="180" t="e">
        <f t="shared" si="35"/>
        <v>#N/A</v>
      </c>
      <c r="AN77" s="486"/>
      <c r="AO77" s="166"/>
      <c r="AP77" s="166"/>
      <c r="AQ77" s="166"/>
      <c r="AR77" s="180" t="e">
        <f t="shared" si="37"/>
        <v>#N/A</v>
      </c>
      <c r="AS77" s="486"/>
      <c r="AT77" s="166"/>
      <c r="AU77" s="166"/>
      <c r="AV77" s="166"/>
      <c r="AW77" s="180" t="e">
        <f t="shared" si="39"/>
        <v>#N/A</v>
      </c>
      <c r="AX77" s="486"/>
    </row>
    <row r="78" spans="2:50">
      <c r="B78" s="479"/>
      <c r="C78" s="180">
        <v>12</v>
      </c>
      <c r="D78" s="201"/>
      <c r="E78" s="166"/>
      <c r="F78" s="180"/>
      <c r="G78" s="265"/>
      <c r="H78" s="460"/>
      <c r="I78" s="166"/>
      <c r="J78" s="166"/>
      <c r="K78" s="265"/>
      <c r="L78" s="460"/>
      <c r="M78" s="272" t="e">
        <f>RANK(K78, K$67:$K$81)</f>
        <v>#N/A</v>
      </c>
      <c r="N78" s="462"/>
      <c r="O78" s="462"/>
      <c r="P78" s="166"/>
      <c r="Q78" s="166"/>
      <c r="R78" s="166"/>
      <c r="S78" s="180" t="e">
        <f t="shared" si="42"/>
        <v>#N/A</v>
      </c>
      <c r="T78" s="486"/>
      <c r="U78" s="166"/>
      <c r="V78" s="166"/>
      <c r="W78" s="166"/>
      <c r="X78" s="180" t="e">
        <f t="shared" si="29"/>
        <v>#N/A</v>
      </c>
      <c r="Y78" s="486"/>
      <c r="Z78" s="166"/>
      <c r="AA78" s="166"/>
      <c r="AB78" s="166"/>
      <c r="AC78" s="180" t="e">
        <f t="shared" si="31"/>
        <v>#N/A</v>
      </c>
      <c r="AD78" s="486"/>
      <c r="AE78" s="166"/>
      <c r="AF78" s="166"/>
      <c r="AG78" s="166"/>
      <c r="AH78" s="180" t="e">
        <f t="shared" si="33"/>
        <v>#N/A</v>
      </c>
      <c r="AI78" s="486"/>
      <c r="AJ78" s="166"/>
      <c r="AK78" s="166"/>
      <c r="AL78" s="166"/>
      <c r="AM78" s="180" t="e">
        <f t="shared" si="35"/>
        <v>#N/A</v>
      </c>
      <c r="AN78" s="486"/>
      <c r="AO78" s="166"/>
      <c r="AP78" s="166"/>
      <c r="AQ78" s="166"/>
      <c r="AR78" s="180" t="e">
        <f t="shared" si="37"/>
        <v>#N/A</v>
      </c>
      <c r="AS78" s="486"/>
      <c r="AT78" s="166"/>
      <c r="AU78" s="166"/>
      <c r="AV78" s="166"/>
      <c r="AW78" s="180" t="e">
        <f t="shared" si="39"/>
        <v>#N/A</v>
      </c>
      <c r="AX78" s="486"/>
    </row>
    <row r="79" spans="2:50">
      <c r="B79" s="479"/>
      <c r="C79" s="180">
        <v>13</v>
      </c>
      <c r="D79" s="201"/>
      <c r="E79" s="166"/>
      <c r="F79" s="180"/>
      <c r="G79" s="265"/>
      <c r="H79" s="460"/>
      <c r="I79" s="180"/>
      <c r="J79" s="180"/>
      <c r="K79" s="180"/>
      <c r="L79" s="460"/>
      <c r="M79" s="272" t="e">
        <f>RANK(K79, K$67:$K$81)</f>
        <v>#N/A</v>
      </c>
      <c r="N79" s="462"/>
      <c r="O79" s="462"/>
      <c r="P79" s="166"/>
      <c r="Q79" s="166"/>
      <c r="R79" s="166"/>
      <c r="S79" s="180" t="e">
        <f t="shared" si="42"/>
        <v>#N/A</v>
      </c>
      <c r="T79" s="486"/>
      <c r="U79" s="166"/>
      <c r="V79" s="166"/>
      <c r="W79" s="166"/>
      <c r="X79" s="180" t="e">
        <f t="shared" si="29"/>
        <v>#N/A</v>
      </c>
      <c r="Y79" s="486"/>
      <c r="Z79" s="166"/>
      <c r="AA79" s="166"/>
      <c r="AB79" s="166"/>
      <c r="AC79" s="180" t="e">
        <f t="shared" si="31"/>
        <v>#N/A</v>
      </c>
      <c r="AD79" s="486"/>
      <c r="AE79" s="166"/>
      <c r="AF79" s="166"/>
      <c r="AG79" s="166"/>
      <c r="AH79" s="180" t="e">
        <f t="shared" si="33"/>
        <v>#N/A</v>
      </c>
      <c r="AI79" s="486"/>
      <c r="AJ79" s="166"/>
      <c r="AK79" s="166"/>
      <c r="AL79" s="166"/>
      <c r="AM79" s="180" t="e">
        <f t="shared" si="35"/>
        <v>#N/A</v>
      </c>
      <c r="AN79" s="486"/>
      <c r="AO79" s="166"/>
      <c r="AP79" s="166"/>
      <c r="AQ79" s="166"/>
      <c r="AR79" s="180" t="e">
        <f t="shared" si="37"/>
        <v>#N/A</v>
      </c>
      <c r="AS79" s="486"/>
      <c r="AT79" s="166"/>
      <c r="AU79" s="166"/>
      <c r="AV79" s="166"/>
      <c r="AW79" s="180" t="e">
        <f t="shared" si="39"/>
        <v>#N/A</v>
      </c>
      <c r="AX79" s="486"/>
    </row>
    <row r="80" spans="2:50">
      <c r="B80" s="479"/>
      <c r="C80" s="180">
        <v>14</v>
      </c>
      <c r="D80" s="201"/>
      <c r="E80" s="166"/>
      <c r="F80" s="180"/>
      <c r="G80" s="265"/>
      <c r="H80" s="460"/>
      <c r="I80" s="180"/>
      <c r="J80" s="180"/>
      <c r="K80" s="180"/>
      <c r="L80" s="460"/>
      <c r="M80" s="272" t="e">
        <f>RANK(K80, K$67:$K$81)</f>
        <v>#N/A</v>
      </c>
      <c r="N80" s="462"/>
      <c r="O80" s="462"/>
      <c r="P80" s="166"/>
      <c r="Q80" s="166"/>
      <c r="R80" s="166"/>
      <c r="S80" s="180" t="e">
        <f t="shared" si="42"/>
        <v>#N/A</v>
      </c>
      <c r="T80" s="486"/>
      <c r="U80" s="166"/>
      <c r="V80" s="166"/>
      <c r="W80" s="166"/>
      <c r="X80" s="180" t="e">
        <f t="shared" si="29"/>
        <v>#N/A</v>
      </c>
      <c r="Y80" s="486"/>
      <c r="Z80" s="166"/>
      <c r="AA80" s="166"/>
      <c r="AB80" s="166"/>
      <c r="AC80" s="180" t="e">
        <f t="shared" si="31"/>
        <v>#N/A</v>
      </c>
      <c r="AD80" s="486"/>
      <c r="AE80" s="166"/>
      <c r="AF80" s="166"/>
      <c r="AG80" s="166"/>
      <c r="AH80" s="180" t="e">
        <f t="shared" si="33"/>
        <v>#N/A</v>
      </c>
      <c r="AI80" s="486"/>
      <c r="AJ80" s="166"/>
      <c r="AK80" s="166"/>
      <c r="AL80" s="166"/>
      <c r="AM80" s="180" t="e">
        <f t="shared" si="35"/>
        <v>#N/A</v>
      </c>
      <c r="AN80" s="486"/>
      <c r="AO80" s="166"/>
      <c r="AP80" s="166"/>
      <c r="AQ80" s="166"/>
      <c r="AR80" s="180" t="e">
        <f t="shared" si="37"/>
        <v>#N/A</v>
      </c>
      <c r="AS80" s="486"/>
      <c r="AT80" s="166"/>
      <c r="AU80" s="166"/>
      <c r="AV80" s="166"/>
      <c r="AW80" s="180" t="e">
        <f t="shared" si="39"/>
        <v>#N/A</v>
      </c>
      <c r="AX80" s="486"/>
    </row>
    <row r="81" spans="2:50">
      <c r="B81" s="479"/>
      <c r="C81" s="180">
        <v>15</v>
      </c>
      <c r="D81" s="201"/>
      <c r="E81" s="166"/>
      <c r="F81" s="180"/>
      <c r="G81" s="265"/>
      <c r="H81" s="461"/>
      <c r="I81" s="180"/>
      <c r="J81" s="180"/>
      <c r="K81" s="180"/>
      <c r="L81" s="461"/>
      <c r="M81" s="272" t="e">
        <f>RANK(K81, K$67:$K$81)</f>
        <v>#N/A</v>
      </c>
      <c r="N81" s="462"/>
      <c r="O81" s="462"/>
      <c r="P81" s="166"/>
      <c r="Q81" s="166"/>
      <c r="R81" s="166"/>
      <c r="S81" s="180" t="e">
        <f t="shared" si="42"/>
        <v>#N/A</v>
      </c>
      <c r="T81" s="486"/>
      <c r="U81" s="166"/>
      <c r="V81" s="166"/>
      <c r="W81" s="166"/>
      <c r="X81" s="180" t="e">
        <f t="shared" si="29"/>
        <v>#N/A</v>
      </c>
      <c r="Y81" s="486"/>
      <c r="Z81" s="166"/>
      <c r="AA81" s="166"/>
      <c r="AB81" s="166"/>
      <c r="AC81" s="180" t="e">
        <f t="shared" si="31"/>
        <v>#N/A</v>
      </c>
      <c r="AD81" s="486"/>
      <c r="AE81" s="166"/>
      <c r="AF81" s="166"/>
      <c r="AG81" s="166"/>
      <c r="AH81" s="180" t="e">
        <f t="shared" si="33"/>
        <v>#N/A</v>
      </c>
      <c r="AI81" s="486"/>
      <c r="AJ81" s="166"/>
      <c r="AK81" s="166"/>
      <c r="AL81" s="166"/>
      <c r="AM81" s="180" t="e">
        <f t="shared" si="35"/>
        <v>#N/A</v>
      </c>
      <c r="AN81" s="486"/>
      <c r="AO81" s="166"/>
      <c r="AP81" s="166"/>
      <c r="AQ81" s="166"/>
      <c r="AR81" s="180" t="e">
        <f t="shared" si="37"/>
        <v>#N/A</v>
      </c>
      <c r="AS81" s="486"/>
      <c r="AT81" s="166"/>
      <c r="AU81" s="166"/>
      <c r="AV81" s="166"/>
      <c r="AW81" s="180" t="e">
        <f t="shared" si="39"/>
        <v>#N/A</v>
      </c>
      <c r="AX81" s="486"/>
    </row>
    <row r="82" spans="2:50" ht="15.75">
      <c r="B82" s="480" t="s">
        <v>721</v>
      </c>
      <c r="C82" s="481"/>
      <c r="D82" s="481"/>
      <c r="E82" s="481"/>
      <c r="F82" s="481"/>
      <c r="G82" s="481"/>
      <c r="H82" s="481"/>
      <c r="I82" s="184"/>
      <c r="J82" s="184"/>
      <c r="K82" s="184"/>
      <c r="L82" s="184"/>
      <c r="M82" s="183"/>
      <c r="N82" s="469" t="s">
        <v>722</v>
      </c>
      <c r="O82" s="469" t="s">
        <v>723</v>
      </c>
      <c r="P82" s="478">
        <f>P62+7</f>
        <v>46077</v>
      </c>
      <c r="Q82" s="479"/>
      <c r="R82" s="479"/>
      <c r="S82" s="479"/>
      <c r="T82" s="479"/>
      <c r="U82" s="475">
        <f>P82+1</f>
        <v>46078</v>
      </c>
      <c r="V82" s="476"/>
      <c r="W82" s="476"/>
      <c r="X82" s="476"/>
      <c r="Y82" s="477"/>
      <c r="Z82" s="475">
        <f>U82+1</f>
        <v>46079</v>
      </c>
      <c r="AA82" s="476"/>
      <c r="AB82" s="476"/>
      <c r="AC82" s="476"/>
      <c r="AD82" s="477"/>
      <c r="AE82" s="475">
        <f>Z82+1</f>
        <v>46080</v>
      </c>
      <c r="AF82" s="476"/>
      <c r="AG82" s="476"/>
      <c r="AH82" s="476"/>
      <c r="AI82" s="477"/>
      <c r="AJ82" s="475">
        <f>AE82+1</f>
        <v>46081</v>
      </c>
      <c r="AK82" s="476"/>
      <c r="AL82" s="476"/>
      <c r="AM82" s="476"/>
      <c r="AN82" s="477"/>
      <c r="AO82" s="475">
        <f>AJ82+1</f>
        <v>46082</v>
      </c>
      <c r="AP82" s="476"/>
      <c r="AQ82" s="476"/>
      <c r="AR82" s="476"/>
      <c r="AS82" s="477"/>
      <c r="AT82" s="475">
        <f>AO82+1</f>
        <v>46083</v>
      </c>
      <c r="AU82" s="476"/>
      <c r="AV82" s="476"/>
      <c r="AW82" s="476"/>
      <c r="AX82" s="477"/>
    </row>
    <row r="83" spans="2:50" ht="15.75">
      <c r="B83" s="482"/>
      <c r="C83" s="482"/>
      <c r="D83" s="482"/>
      <c r="E83" s="482"/>
      <c r="F83" s="482"/>
      <c r="G83" s="482"/>
      <c r="H83" s="482"/>
      <c r="I83" s="182"/>
      <c r="J83" s="182"/>
      <c r="K83" s="182"/>
      <c r="L83" s="182"/>
      <c r="M83" s="179"/>
      <c r="N83" s="471"/>
      <c r="O83" s="471"/>
      <c r="P83" s="478" t="s">
        <v>724</v>
      </c>
      <c r="Q83" s="479"/>
      <c r="R83" s="479"/>
      <c r="S83" s="479"/>
      <c r="T83" s="479"/>
      <c r="U83" s="478" t="s">
        <v>725</v>
      </c>
      <c r="V83" s="479"/>
      <c r="W83" s="479"/>
      <c r="X83" s="479"/>
      <c r="Y83" s="479"/>
      <c r="Z83" s="478" t="s">
        <v>726</v>
      </c>
      <c r="AA83" s="479"/>
      <c r="AB83" s="479"/>
      <c r="AC83" s="479"/>
      <c r="AD83" s="479"/>
      <c r="AE83" s="478" t="s">
        <v>727</v>
      </c>
      <c r="AF83" s="479"/>
      <c r="AG83" s="479"/>
      <c r="AH83" s="479"/>
      <c r="AI83" s="479"/>
      <c r="AJ83" s="478" t="s">
        <v>728</v>
      </c>
      <c r="AK83" s="479"/>
      <c r="AL83" s="479"/>
      <c r="AM83" s="479"/>
      <c r="AN83" s="479"/>
      <c r="AO83" s="478" t="s">
        <v>729</v>
      </c>
      <c r="AP83" s="479"/>
      <c r="AQ83" s="479"/>
      <c r="AR83" s="479"/>
      <c r="AS83" s="479"/>
      <c r="AT83" s="478" t="s">
        <v>730</v>
      </c>
      <c r="AU83" s="479"/>
      <c r="AV83" s="479"/>
      <c r="AW83" s="479"/>
      <c r="AX83" s="479"/>
    </row>
    <row r="84" spans="2:50">
      <c r="B84" s="462" t="s">
        <v>731</v>
      </c>
      <c r="C84" s="462" t="s">
        <v>732</v>
      </c>
      <c r="D84" s="462"/>
      <c r="E84" s="462" t="s">
        <v>733</v>
      </c>
      <c r="F84" s="462"/>
      <c r="G84" s="462"/>
      <c r="H84" s="463" t="s">
        <v>734</v>
      </c>
      <c r="I84" s="462" t="s">
        <v>735</v>
      </c>
      <c r="J84" s="462"/>
      <c r="K84" s="462"/>
      <c r="L84" s="463" t="s">
        <v>734</v>
      </c>
      <c r="M84" s="469" t="s">
        <v>736</v>
      </c>
      <c r="N84" s="462"/>
      <c r="O84" s="462" t="s">
        <v>737</v>
      </c>
      <c r="P84" s="466" t="s">
        <v>738</v>
      </c>
      <c r="Q84" s="467"/>
      <c r="R84" s="467"/>
      <c r="S84" s="468"/>
      <c r="T84" s="462" t="s">
        <v>734</v>
      </c>
      <c r="U84" s="466" t="s">
        <v>738</v>
      </c>
      <c r="V84" s="467"/>
      <c r="W84" s="467"/>
      <c r="X84" s="468"/>
      <c r="Y84" s="462" t="s">
        <v>734</v>
      </c>
      <c r="Z84" s="466" t="s">
        <v>738</v>
      </c>
      <c r="AA84" s="467"/>
      <c r="AB84" s="467"/>
      <c r="AC84" s="468"/>
      <c r="AD84" s="462" t="s">
        <v>734</v>
      </c>
      <c r="AE84" s="466" t="s">
        <v>738</v>
      </c>
      <c r="AF84" s="467"/>
      <c r="AG84" s="467"/>
      <c r="AH84" s="468"/>
      <c r="AI84" s="462" t="s">
        <v>734</v>
      </c>
      <c r="AJ84" s="466" t="s">
        <v>738</v>
      </c>
      <c r="AK84" s="467"/>
      <c r="AL84" s="467"/>
      <c r="AM84" s="468"/>
      <c r="AN84" s="462" t="s">
        <v>734</v>
      </c>
      <c r="AO84" s="466" t="s">
        <v>738</v>
      </c>
      <c r="AP84" s="467"/>
      <c r="AQ84" s="467"/>
      <c r="AR84" s="468"/>
      <c r="AS84" s="462" t="s">
        <v>734</v>
      </c>
      <c r="AT84" s="466" t="s">
        <v>738</v>
      </c>
      <c r="AU84" s="467"/>
      <c r="AV84" s="467"/>
      <c r="AW84" s="468"/>
      <c r="AX84" s="462" t="s">
        <v>734</v>
      </c>
    </row>
    <row r="85" spans="2:50">
      <c r="B85" s="462"/>
      <c r="C85" s="462"/>
      <c r="D85" s="462"/>
      <c r="E85" s="462" t="s">
        <v>739</v>
      </c>
      <c r="F85" s="462"/>
      <c r="G85" s="462"/>
      <c r="H85" s="464"/>
      <c r="I85" s="462" t="s">
        <v>739</v>
      </c>
      <c r="J85" s="462"/>
      <c r="K85" s="462"/>
      <c r="L85" s="464"/>
      <c r="M85" s="470"/>
      <c r="N85" s="462"/>
      <c r="O85" s="462"/>
      <c r="P85" s="466" t="s">
        <v>740</v>
      </c>
      <c r="Q85" s="467"/>
      <c r="R85" s="467"/>
      <c r="S85" s="468"/>
      <c r="T85" s="462"/>
      <c r="U85" s="466" t="s">
        <v>740</v>
      </c>
      <c r="V85" s="467"/>
      <c r="W85" s="467"/>
      <c r="X85" s="468"/>
      <c r="Y85" s="462"/>
      <c r="Z85" s="466" t="s">
        <v>740</v>
      </c>
      <c r="AA85" s="467"/>
      <c r="AB85" s="467"/>
      <c r="AC85" s="468"/>
      <c r="AD85" s="462"/>
      <c r="AE85" s="466" t="s">
        <v>740</v>
      </c>
      <c r="AF85" s="467"/>
      <c r="AG85" s="467"/>
      <c r="AH85" s="468"/>
      <c r="AI85" s="462"/>
      <c r="AJ85" s="466" t="s">
        <v>740</v>
      </c>
      <c r="AK85" s="467"/>
      <c r="AL85" s="467"/>
      <c r="AM85" s="468"/>
      <c r="AN85" s="462"/>
      <c r="AO85" s="466" t="s">
        <v>740</v>
      </c>
      <c r="AP85" s="467"/>
      <c r="AQ85" s="467"/>
      <c r="AR85" s="468"/>
      <c r="AS85" s="462"/>
      <c r="AT85" s="466" t="s">
        <v>740</v>
      </c>
      <c r="AU85" s="467"/>
      <c r="AV85" s="467"/>
      <c r="AW85" s="468"/>
      <c r="AX85" s="462"/>
    </row>
    <row r="86" spans="2:50">
      <c r="B86" s="462"/>
      <c r="C86" s="462"/>
      <c r="D86" s="462"/>
      <c r="E86" s="264" t="s">
        <v>741</v>
      </c>
      <c r="F86" s="264" t="s">
        <v>742</v>
      </c>
      <c r="G86" s="264" t="s">
        <v>743</v>
      </c>
      <c r="H86" s="465"/>
      <c r="I86" s="264" t="s">
        <v>741</v>
      </c>
      <c r="J86" s="264" t="s">
        <v>742</v>
      </c>
      <c r="K86" s="264" t="s">
        <v>743</v>
      </c>
      <c r="L86" s="465"/>
      <c r="M86" s="471"/>
      <c r="N86" s="462"/>
      <c r="O86" s="462"/>
      <c r="P86" s="264" t="s">
        <v>741</v>
      </c>
      <c r="Q86" s="264" t="s">
        <v>742</v>
      </c>
      <c r="R86" s="264" t="s">
        <v>743</v>
      </c>
      <c r="S86" s="264" t="s">
        <v>736</v>
      </c>
      <c r="T86" s="462"/>
      <c r="U86" s="264" t="s">
        <v>741</v>
      </c>
      <c r="V86" s="264" t="s">
        <v>742</v>
      </c>
      <c r="W86" s="264" t="s">
        <v>743</v>
      </c>
      <c r="X86" s="264" t="s">
        <v>736</v>
      </c>
      <c r="Y86" s="462"/>
      <c r="Z86" s="264" t="s">
        <v>741</v>
      </c>
      <c r="AA86" s="264" t="s">
        <v>742</v>
      </c>
      <c r="AB86" s="264" t="s">
        <v>743</v>
      </c>
      <c r="AC86" s="264" t="s">
        <v>736</v>
      </c>
      <c r="AD86" s="462"/>
      <c r="AE86" s="264" t="s">
        <v>741</v>
      </c>
      <c r="AF86" s="264" t="s">
        <v>742</v>
      </c>
      <c r="AG86" s="264" t="s">
        <v>743</v>
      </c>
      <c r="AH86" s="264" t="s">
        <v>736</v>
      </c>
      <c r="AI86" s="462"/>
      <c r="AJ86" s="264" t="s">
        <v>741</v>
      </c>
      <c r="AK86" s="264" t="s">
        <v>742</v>
      </c>
      <c r="AL86" s="264" t="s">
        <v>743</v>
      </c>
      <c r="AM86" s="264" t="s">
        <v>736</v>
      </c>
      <c r="AN86" s="462"/>
      <c r="AO86" s="264" t="s">
        <v>741</v>
      </c>
      <c r="AP86" s="264" t="s">
        <v>742</v>
      </c>
      <c r="AQ86" s="264" t="s">
        <v>743</v>
      </c>
      <c r="AR86" s="264" t="s">
        <v>736</v>
      </c>
      <c r="AS86" s="462"/>
      <c r="AT86" s="264" t="s">
        <v>741</v>
      </c>
      <c r="AU86" s="264" t="s">
        <v>742</v>
      </c>
      <c r="AV86" s="264" t="s">
        <v>743</v>
      </c>
      <c r="AW86" s="264" t="s">
        <v>736</v>
      </c>
      <c r="AX86" s="462"/>
    </row>
    <row r="87" spans="2:50">
      <c r="B87" s="507" t="s">
        <v>750</v>
      </c>
      <c r="C87" s="180">
        <v>1</v>
      </c>
      <c r="D87" s="201" t="s">
        <v>387</v>
      </c>
      <c r="E87" s="166">
        <v>4</v>
      </c>
      <c r="F87" s="180">
        <v>2000</v>
      </c>
      <c r="G87" s="265">
        <v>500</v>
      </c>
      <c r="H87" s="459">
        <f>AVERAGE(G87:G101)</f>
        <v>288.05858585858584</v>
      </c>
      <c r="I87" s="166">
        <f>AVERAGE(P87,U87,Z87,AE87,AJ87,AO87,AT87)</f>
        <v>5</v>
      </c>
      <c r="J87" s="166">
        <f>AVERAGE(Q87,V87,AA87,AF87,AK87,AP87,AU87)</f>
        <v>2089.2335265365527</v>
      </c>
      <c r="K87" s="265">
        <f>AVERAGE(R87,W87,AB87,AG87,AL87,AQ87,AV87)</f>
        <v>417.84670530731051</v>
      </c>
      <c r="L87" s="459">
        <f>IFERROR(AVERAGE(K87:K101),"-")</f>
        <v>254.67593664356252</v>
      </c>
      <c r="M87" s="272">
        <f>RANK(K87, K$87:$K$101)</f>
        <v>1</v>
      </c>
      <c r="N87" s="462"/>
      <c r="O87" s="462"/>
      <c r="P87" s="166">
        <v>5</v>
      </c>
      <c r="Q87" s="166">
        <v>2155.0819672131142</v>
      </c>
      <c r="R87" s="166">
        <v>431.01639344262287</v>
      </c>
      <c r="S87" s="180">
        <f>RANK(R87, R$87:R$101)</f>
        <v>1</v>
      </c>
      <c r="T87" s="486">
        <f>AVERAGE(R87:R101)</f>
        <v>260.99103367488163</v>
      </c>
      <c r="U87" s="166">
        <v>5</v>
      </c>
      <c r="V87" s="166">
        <v>2096.8421052631593</v>
      </c>
      <c r="W87" s="166">
        <v>419.36842105263185</v>
      </c>
      <c r="X87" s="180">
        <f t="shared" ref="X87:X101" si="43">RANK(W87, W$87:W$101)</f>
        <v>1</v>
      </c>
      <c r="Y87" s="486">
        <f t="shared" ref="Y87" si="44">AVERAGE(W87:W101)</f>
        <v>256.37956132371471</v>
      </c>
      <c r="Z87" s="166">
        <v>5</v>
      </c>
      <c r="AA87" s="166">
        <v>2077.5000000000005</v>
      </c>
      <c r="AB87" s="166">
        <v>415.50000000000011</v>
      </c>
      <c r="AC87" s="180">
        <f t="shared" ref="AC87:AC101" si="45">RANK(AB87, AB$87:AB$101)</f>
        <v>2</v>
      </c>
      <c r="AD87" s="486">
        <f t="shared" ref="AD87" si="46">AVERAGE(AB87:AB101)</f>
        <v>249.40007784608616</v>
      </c>
      <c r="AE87" s="166">
        <v>5</v>
      </c>
      <c r="AF87" s="166">
        <v>2069.36170212766</v>
      </c>
      <c r="AG87" s="166">
        <v>413.872340425532</v>
      </c>
      <c r="AH87" s="180">
        <f t="shared" ref="AH87:AH101" si="47">RANK(AG87, AG$87:AG$101)</f>
        <v>2</v>
      </c>
      <c r="AI87" s="486">
        <f t="shared" ref="AI87" si="48">AVERAGE(AG87:AG101)</f>
        <v>252.89339716960396</v>
      </c>
      <c r="AJ87" s="166">
        <v>5</v>
      </c>
      <c r="AK87" s="166">
        <v>2071.9999999999991</v>
      </c>
      <c r="AL87" s="166">
        <v>414.39999999999981</v>
      </c>
      <c r="AM87" s="180">
        <f t="shared" ref="AM87:AM101" si="49">RANK(AL87, AL$87:AL$101)</f>
        <v>1</v>
      </c>
      <c r="AN87" s="486">
        <f t="shared" ref="AN87" si="50">AVERAGE(AL87:AL101)</f>
        <v>254.16321578391123</v>
      </c>
      <c r="AO87" s="166">
        <v>5</v>
      </c>
      <c r="AP87" s="166">
        <v>2064.6153846153838</v>
      </c>
      <c r="AQ87" s="166">
        <v>412.92307692307679</v>
      </c>
      <c r="AR87" s="180">
        <f t="shared" ref="AR87:AR101" si="51">RANK(AQ87, AQ$87:AQ$101)</f>
        <v>1</v>
      </c>
      <c r="AS87" s="486">
        <f t="shared" ref="AS87" si="52">AVERAGE(AQ87:AQ101)</f>
        <v>412.92307692307679</v>
      </c>
      <c r="AT87" s="166"/>
      <c r="AU87" s="166"/>
      <c r="AV87" s="166"/>
      <c r="AW87" s="180" t="e">
        <f t="shared" ref="AW87:AW101" si="53">RANK(AV87, AV$87:AV$101)</f>
        <v>#N/A</v>
      </c>
      <c r="AX87" s="486" t="e">
        <f t="shared" ref="AX87" si="54">AVERAGE(AV87:AV101)</f>
        <v>#DIV/0!</v>
      </c>
    </row>
    <row r="88" spans="2:50">
      <c r="B88" s="479"/>
      <c r="C88" s="180">
        <v>2</v>
      </c>
      <c r="D88" s="201" t="s">
        <v>427</v>
      </c>
      <c r="E88" s="166">
        <v>4</v>
      </c>
      <c r="F88" s="180">
        <v>2000</v>
      </c>
      <c r="G88" s="265">
        <v>500</v>
      </c>
      <c r="H88" s="460"/>
      <c r="I88" s="166">
        <f t="shared" ref="I88:K97" si="55">AVERAGE(P88,U88,Z88,AE88,AJ88,AO88,AT88)</f>
        <v>5</v>
      </c>
      <c r="J88" s="166">
        <f t="shared" si="55"/>
        <v>2068.9837528018352</v>
      </c>
      <c r="K88" s="265">
        <f t="shared" si="55"/>
        <v>413.79675056036706</v>
      </c>
      <c r="L88" s="460"/>
      <c r="M88" s="272">
        <f>RANK(K88, K$87:$K$101)</f>
        <v>2</v>
      </c>
      <c r="N88" s="462"/>
      <c r="O88" s="462"/>
      <c r="P88" s="166">
        <v>5</v>
      </c>
      <c r="Q88" s="166">
        <v>2128.4745762711855</v>
      </c>
      <c r="R88" s="166">
        <v>425.69491525423712</v>
      </c>
      <c r="S88" s="180">
        <f t="shared" ref="S88:S101" si="56">RANK(R88, R$87:R$101)</f>
        <v>2</v>
      </c>
      <c r="T88" s="486"/>
      <c r="U88" s="166">
        <v>5</v>
      </c>
      <c r="V88" s="166">
        <v>2067.1698113207558</v>
      </c>
      <c r="W88" s="166">
        <v>413.43396226415115</v>
      </c>
      <c r="X88" s="180">
        <f t="shared" si="43"/>
        <v>3</v>
      </c>
      <c r="Y88" s="486"/>
      <c r="Z88" s="166">
        <v>5</v>
      </c>
      <c r="AA88" s="166">
        <v>2008.1632653061229</v>
      </c>
      <c r="AB88" s="166">
        <v>401.63265306122457</v>
      </c>
      <c r="AC88" s="180">
        <f t="shared" si="45"/>
        <v>3</v>
      </c>
      <c r="AD88" s="486"/>
      <c r="AE88" s="166">
        <v>5</v>
      </c>
      <c r="AF88" s="166">
        <v>2093.333333333333</v>
      </c>
      <c r="AG88" s="166">
        <v>418.66666666666663</v>
      </c>
      <c r="AH88" s="180">
        <f t="shared" si="47"/>
        <v>1</v>
      </c>
      <c r="AI88" s="486"/>
      <c r="AJ88" s="166">
        <v>5</v>
      </c>
      <c r="AK88" s="166">
        <v>2047.7777777777787</v>
      </c>
      <c r="AL88" s="166">
        <v>409.55555555555577</v>
      </c>
      <c r="AM88" s="180">
        <f t="shared" si="49"/>
        <v>3</v>
      </c>
      <c r="AN88" s="486"/>
      <c r="AO88" s="166"/>
      <c r="AP88" s="166"/>
      <c r="AQ88" s="166"/>
      <c r="AR88" s="180" t="e">
        <f t="shared" si="51"/>
        <v>#N/A</v>
      </c>
      <c r="AS88" s="486"/>
      <c r="AT88" s="166"/>
      <c r="AU88" s="166"/>
      <c r="AV88" s="166"/>
      <c r="AW88" s="180" t="e">
        <f t="shared" si="53"/>
        <v>#N/A</v>
      </c>
      <c r="AX88" s="486"/>
    </row>
    <row r="89" spans="2:50">
      <c r="B89" s="479"/>
      <c r="C89" s="180">
        <v>3</v>
      </c>
      <c r="D89" s="201" t="s">
        <v>388</v>
      </c>
      <c r="E89" s="166">
        <v>13</v>
      </c>
      <c r="F89" s="180">
        <v>2250</v>
      </c>
      <c r="G89" s="265">
        <v>160.69999999999999</v>
      </c>
      <c r="H89" s="460"/>
      <c r="I89" s="166">
        <f t="shared" si="55"/>
        <v>13</v>
      </c>
      <c r="J89" s="166">
        <f t="shared" si="55"/>
        <v>2130.3903814399318</v>
      </c>
      <c r="K89" s="265">
        <f t="shared" si="55"/>
        <v>163.8761831876871</v>
      </c>
      <c r="L89" s="460"/>
      <c r="M89" s="272">
        <f>RANK(K89, K$87:$K$101)</f>
        <v>9</v>
      </c>
      <c r="N89" s="462"/>
      <c r="O89" s="462"/>
      <c r="P89" s="166">
        <v>13</v>
      </c>
      <c r="Q89" s="166">
        <v>2192.2222222222217</v>
      </c>
      <c r="R89" s="166">
        <v>168.63247863247858</v>
      </c>
      <c r="S89" s="180">
        <f t="shared" si="56"/>
        <v>9</v>
      </c>
      <c r="T89" s="486"/>
      <c r="U89" s="166">
        <v>13</v>
      </c>
      <c r="V89" s="166">
        <v>2125.7142857142862</v>
      </c>
      <c r="W89" s="166">
        <v>163.51648351648356</v>
      </c>
      <c r="X89" s="180">
        <f t="shared" si="43"/>
        <v>9</v>
      </c>
      <c r="Y89" s="486"/>
      <c r="Z89" s="166">
        <v>13</v>
      </c>
      <c r="AA89" s="166">
        <v>2150.5882352941167</v>
      </c>
      <c r="AB89" s="166">
        <v>165.42986425339359</v>
      </c>
      <c r="AC89" s="180">
        <f t="shared" si="45"/>
        <v>9</v>
      </c>
      <c r="AD89" s="486"/>
      <c r="AE89" s="166">
        <v>13</v>
      </c>
      <c r="AF89" s="166">
        <v>2086.5306122448983</v>
      </c>
      <c r="AG89" s="166">
        <v>160.50235478806911</v>
      </c>
      <c r="AH89" s="180">
        <f t="shared" si="47"/>
        <v>9</v>
      </c>
      <c r="AI89" s="486"/>
      <c r="AJ89" s="166">
        <v>13</v>
      </c>
      <c r="AK89" s="166">
        <v>2096.8965517241381</v>
      </c>
      <c r="AL89" s="166">
        <v>161.29973474801062</v>
      </c>
      <c r="AM89" s="180">
        <f t="shared" si="49"/>
        <v>9</v>
      </c>
      <c r="AN89" s="486"/>
      <c r="AO89" s="166"/>
      <c r="AP89" s="166"/>
      <c r="AQ89" s="166"/>
      <c r="AR89" s="180" t="e">
        <f t="shared" si="51"/>
        <v>#N/A</v>
      </c>
      <c r="AS89" s="486"/>
      <c r="AT89" s="166"/>
      <c r="AU89" s="166"/>
      <c r="AV89" s="166"/>
      <c r="AW89" s="180" t="e">
        <f t="shared" si="53"/>
        <v>#N/A</v>
      </c>
      <c r="AX89" s="486"/>
    </row>
    <row r="90" spans="2:50">
      <c r="B90" s="479"/>
      <c r="C90" s="180">
        <v>4</v>
      </c>
      <c r="D90" s="201" t="s">
        <v>389</v>
      </c>
      <c r="E90" s="166">
        <v>12</v>
      </c>
      <c r="F90" s="180">
        <v>2250</v>
      </c>
      <c r="G90" s="265">
        <v>176.5</v>
      </c>
      <c r="H90" s="460"/>
      <c r="I90" s="166">
        <f t="shared" si="55"/>
        <v>12</v>
      </c>
      <c r="J90" s="166">
        <f t="shared" si="55"/>
        <v>2123.54669974845</v>
      </c>
      <c r="K90" s="265">
        <f t="shared" si="55"/>
        <v>176.9622249790375</v>
      </c>
      <c r="L90" s="460"/>
      <c r="M90" s="272">
        <f>RANK(K90, K$87:$K$101)</f>
        <v>8</v>
      </c>
      <c r="N90" s="462"/>
      <c r="O90" s="462"/>
      <c r="P90" s="166">
        <v>12</v>
      </c>
      <c r="Q90" s="166">
        <v>2135.4098360655744</v>
      </c>
      <c r="R90" s="166">
        <v>177.95081967213119</v>
      </c>
      <c r="S90" s="180">
        <f t="shared" si="56"/>
        <v>8</v>
      </c>
      <c r="T90" s="486"/>
      <c r="U90" s="166">
        <v>12</v>
      </c>
      <c r="V90" s="166">
        <v>2120.0000000000009</v>
      </c>
      <c r="W90" s="166">
        <v>176.66666666666674</v>
      </c>
      <c r="X90" s="180">
        <f t="shared" si="43"/>
        <v>8</v>
      </c>
      <c r="Y90" s="486"/>
      <c r="Z90" s="166">
        <v>12</v>
      </c>
      <c r="AA90" s="166">
        <v>2157.735849056603</v>
      </c>
      <c r="AB90" s="166">
        <v>179.81132075471692</v>
      </c>
      <c r="AC90" s="180">
        <f t="shared" si="45"/>
        <v>7</v>
      </c>
      <c r="AD90" s="486"/>
      <c r="AE90" s="166">
        <v>12</v>
      </c>
      <c r="AF90" s="166">
        <v>2135.5555555555552</v>
      </c>
      <c r="AG90" s="166">
        <v>177.96296296296293</v>
      </c>
      <c r="AH90" s="180">
        <f t="shared" si="47"/>
        <v>8</v>
      </c>
      <c r="AI90" s="486"/>
      <c r="AJ90" s="166">
        <v>12</v>
      </c>
      <c r="AK90" s="166">
        <v>2069.032258064517</v>
      </c>
      <c r="AL90" s="166">
        <v>172.41935483870975</v>
      </c>
      <c r="AM90" s="180">
        <f t="shared" si="49"/>
        <v>8</v>
      </c>
      <c r="AN90" s="486"/>
      <c r="AO90" s="166"/>
      <c r="AP90" s="166"/>
      <c r="AQ90" s="166"/>
      <c r="AR90" s="180" t="e">
        <f t="shared" si="51"/>
        <v>#N/A</v>
      </c>
      <c r="AS90" s="486"/>
      <c r="AT90" s="166"/>
      <c r="AU90" s="166"/>
      <c r="AV90" s="166"/>
      <c r="AW90" s="180" t="e">
        <f t="shared" si="53"/>
        <v>#N/A</v>
      </c>
      <c r="AX90" s="486"/>
    </row>
    <row r="91" spans="2:50">
      <c r="B91" s="479"/>
      <c r="C91" s="180">
        <v>5</v>
      </c>
      <c r="D91" s="201" t="s">
        <v>390</v>
      </c>
      <c r="E91" s="166">
        <v>12</v>
      </c>
      <c r="F91" s="180">
        <v>2250</v>
      </c>
      <c r="G91" s="265">
        <v>187.5</v>
      </c>
      <c r="H91" s="460"/>
      <c r="I91" s="166">
        <f t="shared" si="55"/>
        <v>12</v>
      </c>
      <c r="J91" s="166">
        <f t="shared" si="55"/>
        <v>2161.5667518770183</v>
      </c>
      <c r="K91" s="265">
        <f t="shared" si="55"/>
        <v>180.13056265641816</v>
      </c>
      <c r="L91" s="460"/>
      <c r="M91" s="272">
        <f>RANK(K91, K$87:$K$101)</f>
        <v>6</v>
      </c>
      <c r="N91" s="462"/>
      <c r="O91" s="462"/>
      <c r="P91" s="166">
        <v>12</v>
      </c>
      <c r="Q91" s="166">
        <v>2166.0759493670885</v>
      </c>
      <c r="R91" s="166">
        <v>180.50632911392404</v>
      </c>
      <c r="S91" s="180">
        <f t="shared" si="56"/>
        <v>7</v>
      </c>
      <c r="T91" s="486"/>
      <c r="U91" s="166">
        <v>12</v>
      </c>
      <c r="V91" s="166">
        <v>2136.0000000000005</v>
      </c>
      <c r="W91" s="166">
        <v>178.00000000000003</v>
      </c>
      <c r="X91" s="180">
        <f t="shared" si="43"/>
        <v>7</v>
      </c>
      <c r="Y91" s="486"/>
      <c r="Z91" s="166">
        <v>12</v>
      </c>
      <c r="AA91" s="166">
        <v>2161.6901408450708</v>
      </c>
      <c r="AB91" s="166">
        <v>180.14084507042256</v>
      </c>
      <c r="AC91" s="180">
        <f t="shared" si="45"/>
        <v>6</v>
      </c>
      <c r="AD91" s="486"/>
      <c r="AE91" s="166">
        <v>12</v>
      </c>
      <c r="AF91" s="166">
        <v>2184.8571428571431</v>
      </c>
      <c r="AG91" s="166">
        <v>182.07142857142858</v>
      </c>
      <c r="AH91" s="180">
        <f t="shared" si="47"/>
        <v>6</v>
      </c>
      <c r="AI91" s="486"/>
      <c r="AJ91" s="166">
        <v>12</v>
      </c>
      <c r="AK91" s="166">
        <v>2159.2105263157891</v>
      </c>
      <c r="AL91" s="166">
        <v>179.93421052631575</v>
      </c>
      <c r="AM91" s="180">
        <f t="shared" si="49"/>
        <v>6</v>
      </c>
      <c r="AN91" s="486"/>
      <c r="AO91" s="166"/>
      <c r="AP91" s="166"/>
      <c r="AQ91" s="166"/>
      <c r="AR91" s="180" t="e">
        <f t="shared" si="51"/>
        <v>#N/A</v>
      </c>
      <c r="AS91" s="486"/>
      <c r="AT91" s="166"/>
      <c r="AU91" s="166"/>
      <c r="AV91" s="166"/>
      <c r="AW91" s="180" t="e">
        <f t="shared" si="53"/>
        <v>#N/A</v>
      </c>
      <c r="AX91" s="486"/>
    </row>
    <row r="92" spans="2:50">
      <c r="B92" s="479"/>
      <c r="C92" s="180">
        <v>6</v>
      </c>
      <c r="D92" s="201" t="s">
        <v>391</v>
      </c>
      <c r="E92" s="166">
        <v>13</v>
      </c>
      <c r="F92" s="180">
        <v>2250</v>
      </c>
      <c r="G92" s="265">
        <v>173</v>
      </c>
      <c r="H92" s="460"/>
      <c r="I92" s="166">
        <f t="shared" si="55"/>
        <v>13</v>
      </c>
      <c r="J92" s="166">
        <f t="shared" si="55"/>
        <v>2075.1158318205212</v>
      </c>
      <c r="K92" s="265">
        <f t="shared" si="55"/>
        <v>159.62429475542473</v>
      </c>
      <c r="L92" s="460"/>
      <c r="M92" s="272">
        <f>RANK(K92, K$87:$K$101)</f>
        <v>10</v>
      </c>
      <c r="N92" s="462"/>
      <c r="O92" s="462"/>
      <c r="P92" s="166">
        <v>13</v>
      </c>
      <c r="Q92" s="166">
        <v>2067.0270270270271</v>
      </c>
      <c r="R92" s="166">
        <v>159.002079002079</v>
      </c>
      <c r="S92" s="180">
        <f t="shared" si="56"/>
        <v>10</v>
      </c>
      <c r="T92" s="486"/>
      <c r="U92" s="166">
        <v>13</v>
      </c>
      <c r="V92" s="166">
        <v>2097.9775280898884</v>
      </c>
      <c r="W92" s="166">
        <v>161.38288677614526</v>
      </c>
      <c r="X92" s="180">
        <f t="shared" si="43"/>
        <v>10</v>
      </c>
      <c r="Y92" s="486"/>
      <c r="Z92" s="166">
        <v>13</v>
      </c>
      <c r="AA92" s="166">
        <v>2060.2105263157887</v>
      </c>
      <c r="AB92" s="166">
        <v>158.47773279352219</v>
      </c>
      <c r="AC92" s="180">
        <f t="shared" si="45"/>
        <v>10</v>
      </c>
      <c r="AD92" s="486"/>
      <c r="AE92" s="166">
        <v>13</v>
      </c>
      <c r="AF92" s="166">
        <v>2072.5</v>
      </c>
      <c r="AG92" s="166">
        <v>159.42307692307693</v>
      </c>
      <c r="AH92" s="180">
        <f t="shared" si="47"/>
        <v>10</v>
      </c>
      <c r="AI92" s="486"/>
      <c r="AJ92" s="166">
        <v>13</v>
      </c>
      <c r="AK92" s="166">
        <v>2077.8640776699021</v>
      </c>
      <c r="AL92" s="166">
        <v>159.83569828230017</v>
      </c>
      <c r="AM92" s="180">
        <f t="shared" si="49"/>
        <v>10</v>
      </c>
      <c r="AN92" s="486"/>
      <c r="AO92" s="166"/>
      <c r="AP92" s="166"/>
      <c r="AQ92" s="166"/>
      <c r="AR92" s="180" t="e">
        <f t="shared" si="51"/>
        <v>#N/A</v>
      </c>
      <c r="AS92" s="486"/>
      <c r="AT92" s="166"/>
      <c r="AU92" s="166"/>
      <c r="AV92" s="166"/>
      <c r="AW92" s="180" t="e">
        <f t="shared" si="53"/>
        <v>#N/A</v>
      </c>
      <c r="AX92" s="486"/>
    </row>
    <row r="93" spans="2:50">
      <c r="B93" s="479"/>
      <c r="C93" s="180">
        <v>7</v>
      </c>
      <c r="D93" s="201" t="s">
        <v>392</v>
      </c>
      <c r="E93" s="166">
        <v>10</v>
      </c>
      <c r="F93" s="180">
        <v>2250</v>
      </c>
      <c r="G93" s="265">
        <v>225</v>
      </c>
      <c r="H93" s="460"/>
      <c r="I93" s="166">
        <f t="shared" si="55"/>
        <v>10</v>
      </c>
      <c r="J93" s="166">
        <f t="shared" si="55"/>
        <v>2106.0000707584231</v>
      </c>
      <c r="K93" s="265">
        <f t="shared" si="55"/>
        <v>210.60000707584231</v>
      </c>
      <c r="L93" s="460"/>
      <c r="M93" s="272">
        <f>RANK(K93, K$87:$K$101)</f>
        <v>5</v>
      </c>
      <c r="N93" s="462"/>
      <c r="O93" s="462"/>
      <c r="P93" s="166">
        <v>10</v>
      </c>
      <c r="Q93" s="166">
        <v>2160.2647058823527</v>
      </c>
      <c r="R93" s="166">
        <v>216.02647058823527</v>
      </c>
      <c r="S93" s="180">
        <f t="shared" si="56"/>
        <v>5</v>
      </c>
      <c r="T93" s="486"/>
      <c r="U93" s="166">
        <v>10</v>
      </c>
      <c r="V93" s="166">
        <v>2097.8437499999995</v>
      </c>
      <c r="W93" s="166">
        <v>209.78437499999995</v>
      </c>
      <c r="X93" s="180">
        <f t="shared" si="43"/>
        <v>5</v>
      </c>
      <c r="Y93" s="486"/>
      <c r="Z93" s="166">
        <v>10</v>
      </c>
      <c r="AA93" s="166">
        <v>2057.2258064516118</v>
      </c>
      <c r="AB93" s="166">
        <v>205.72258064516117</v>
      </c>
      <c r="AC93" s="180">
        <f t="shared" si="45"/>
        <v>5</v>
      </c>
      <c r="AD93" s="486"/>
      <c r="AE93" s="166">
        <v>10</v>
      </c>
      <c r="AF93" s="166">
        <v>2097.1578947368407</v>
      </c>
      <c r="AG93" s="166">
        <v>209.71578947368408</v>
      </c>
      <c r="AH93" s="180">
        <f t="shared" si="47"/>
        <v>5</v>
      </c>
      <c r="AI93" s="486"/>
      <c r="AJ93" s="166">
        <v>10</v>
      </c>
      <c r="AK93" s="166">
        <v>2117.5081967213105</v>
      </c>
      <c r="AL93" s="166">
        <v>211.75081967213106</v>
      </c>
      <c r="AM93" s="180">
        <f t="shared" si="49"/>
        <v>5</v>
      </c>
      <c r="AN93" s="486"/>
      <c r="AO93" s="166"/>
      <c r="AP93" s="166"/>
      <c r="AQ93" s="166"/>
      <c r="AR93" s="180" t="e">
        <f t="shared" si="51"/>
        <v>#N/A</v>
      </c>
      <c r="AS93" s="486"/>
      <c r="AT93" s="166"/>
      <c r="AU93" s="166"/>
      <c r="AV93" s="166"/>
      <c r="AW93" s="180" t="e">
        <f t="shared" si="53"/>
        <v>#N/A</v>
      </c>
      <c r="AX93" s="486"/>
    </row>
    <row r="94" spans="2:50">
      <c r="B94" s="479"/>
      <c r="C94" s="180">
        <v>8</v>
      </c>
      <c r="D94" s="201" t="s">
        <v>386</v>
      </c>
      <c r="E94" s="166">
        <v>18</v>
      </c>
      <c r="F94" s="180">
        <v>1250</v>
      </c>
      <c r="G94" s="265">
        <v>69.444444444444443</v>
      </c>
      <c r="H94" s="460"/>
      <c r="I94" s="166">
        <f t="shared" si="55"/>
        <v>12.6</v>
      </c>
      <c r="J94" s="166">
        <f t="shared" si="55"/>
        <v>1236.3264705882361</v>
      </c>
      <c r="K94" s="265">
        <f t="shared" si="55"/>
        <v>98.339140271493264</v>
      </c>
      <c r="L94" s="460"/>
      <c r="M94" s="272">
        <f>RANK(K94, K$87:$K$101)</f>
        <v>11</v>
      </c>
      <c r="N94" s="462"/>
      <c r="O94" s="462"/>
      <c r="P94" s="166">
        <v>12</v>
      </c>
      <c r="Q94" s="166">
        <v>1264.941176470589</v>
      </c>
      <c r="R94" s="166">
        <v>105.41176470588242</v>
      </c>
      <c r="S94" s="180">
        <f t="shared" si="56"/>
        <v>11</v>
      </c>
      <c r="T94" s="486"/>
      <c r="U94" s="166">
        <v>13</v>
      </c>
      <c r="V94" s="166">
        <v>1248</v>
      </c>
      <c r="W94" s="166">
        <v>96</v>
      </c>
      <c r="X94" s="180">
        <f t="shared" si="43"/>
        <v>11</v>
      </c>
      <c r="Y94" s="486"/>
      <c r="Z94" s="166">
        <v>13</v>
      </c>
      <c r="AA94" s="166">
        <v>1216.941176470589</v>
      </c>
      <c r="AB94" s="166">
        <v>93.610859728506838</v>
      </c>
      <c r="AC94" s="180">
        <f t="shared" si="45"/>
        <v>11</v>
      </c>
      <c r="AD94" s="486"/>
      <c r="AE94" s="166">
        <v>13</v>
      </c>
      <c r="AF94" s="166">
        <v>1191.7500000000007</v>
      </c>
      <c r="AG94" s="166">
        <v>91.673076923076977</v>
      </c>
      <c r="AH94" s="180">
        <f t="shared" si="47"/>
        <v>11</v>
      </c>
      <c r="AI94" s="486"/>
      <c r="AJ94" s="166">
        <v>12</v>
      </c>
      <c r="AK94" s="166">
        <v>1260.0000000000007</v>
      </c>
      <c r="AL94" s="166">
        <v>105.00000000000006</v>
      </c>
      <c r="AM94" s="180">
        <f t="shared" si="49"/>
        <v>11</v>
      </c>
      <c r="AN94" s="486"/>
      <c r="AO94" s="166"/>
      <c r="AP94" s="166"/>
      <c r="AQ94" s="166"/>
      <c r="AR94" s="180" t="e">
        <f t="shared" si="51"/>
        <v>#N/A</v>
      </c>
      <c r="AS94" s="486"/>
      <c r="AT94" s="166"/>
      <c r="AU94" s="166"/>
      <c r="AV94" s="166"/>
      <c r="AW94" s="180" t="e">
        <f t="shared" si="53"/>
        <v>#N/A</v>
      </c>
      <c r="AX94" s="486"/>
    </row>
    <row r="95" spans="2:50">
      <c r="B95" s="479"/>
      <c r="C95" s="180">
        <v>9</v>
      </c>
      <c r="D95" s="201" t="s">
        <v>584</v>
      </c>
      <c r="E95" s="166">
        <v>12</v>
      </c>
      <c r="F95" s="180">
        <v>2250</v>
      </c>
      <c r="G95" s="265">
        <v>176.5</v>
      </c>
      <c r="H95" s="460"/>
      <c r="I95" s="166">
        <f t="shared" si="55"/>
        <v>12</v>
      </c>
      <c r="J95" s="166">
        <f t="shared" si="55"/>
        <v>2138.1806233938723</v>
      </c>
      <c r="K95" s="265">
        <f t="shared" si="55"/>
        <v>178.18171861615605</v>
      </c>
      <c r="L95" s="460"/>
      <c r="M95" s="272">
        <f>RANK(K95, K$87:$K$101)</f>
        <v>7</v>
      </c>
      <c r="N95" s="462"/>
      <c r="O95" s="462"/>
      <c r="P95" s="166">
        <v>12</v>
      </c>
      <c r="Q95" s="166">
        <v>2170.9859154929582</v>
      </c>
      <c r="R95" s="166">
        <v>180.91549295774652</v>
      </c>
      <c r="S95" s="180">
        <f t="shared" si="56"/>
        <v>6</v>
      </c>
      <c r="T95" s="486"/>
      <c r="U95" s="166">
        <v>12</v>
      </c>
      <c r="V95" s="166">
        <v>2146.5517241379298</v>
      </c>
      <c r="W95" s="166">
        <v>178.87931034482747</v>
      </c>
      <c r="X95" s="180">
        <f t="shared" si="43"/>
        <v>6</v>
      </c>
      <c r="Y95" s="486"/>
      <c r="Z95" s="166">
        <v>12</v>
      </c>
      <c r="AA95" s="166">
        <v>2099.9999999999991</v>
      </c>
      <c r="AB95" s="166">
        <v>174.99999999999991</v>
      </c>
      <c r="AC95" s="180">
        <f t="shared" si="45"/>
        <v>8</v>
      </c>
      <c r="AD95" s="486"/>
      <c r="AE95" s="166">
        <v>12</v>
      </c>
      <c r="AF95" s="166">
        <v>2169.8360655737697</v>
      </c>
      <c r="AG95" s="166">
        <v>180.81967213114748</v>
      </c>
      <c r="AH95" s="180">
        <f t="shared" si="47"/>
        <v>7</v>
      </c>
      <c r="AI95" s="486"/>
      <c r="AJ95" s="166">
        <v>12</v>
      </c>
      <c r="AK95" s="166">
        <v>2103.5294117647063</v>
      </c>
      <c r="AL95" s="166">
        <v>175.29411764705887</v>
      </c>
      <c r="AM95" s="180">
        <f t="shared" si="49"/>
        <v>7</v>
      </c>
      <c r="AN95" s="486"/>
      <c r="AO95" s="166"/>
      <c r="AP95" s="166"/>
      <c r="AQ95" s="166"/>
      <c r="AR95" s="180" t="e">
        <f t="shared" si="51"/>
        <v>#N/A</v>
      </c>
      <c r="AS95" s="486"/>
      <c r="AT95" s="166"/>
      <c r="AU95" s="166"/>
      <c r="AV95" s="166"/>
      <c r="AW95" s="180" t="e">
        <f t="shared" si="53"/>
        <v>#N/A</v>
      </c>
      <c r="AX95" s="486"/>
    </row>
    <row r="96" spans="2:50">
      <c r="B96" s="479"/>
      <c r="C96" s="180">
        <v>10</v>
      </c>
      <c r="D96" s="201" t="s">
        <v>668</v>
      </c>
      <c r="E96" s="166">
        <v>4</v>
      </c>
      <c r="F96" s="180">
        <v>2000</v>
      </c>
      <c r="G96" s="265">
        <v>500</v>
      </c>
      <c r="H96" s="460"/>
      <c r="I96" s="166">
        <f t="shared" si="55"/>
        <v>5</v>
      </c>
      <c r="J96" s="166">
        <f t="shared" si="55"/>
        <v>1956.3112781954871</v>
      </c>
      <c r="K96" s="265">
        <f t="shared" si="55"/>
        <v>391.26225563909742</v>
      </c>
      <c r="L96" s="460"/>
      <c r="M96" s="272">
        <f>RANK(K96, K$87:$K$101)</f>
        <v>4</v>
      </c>
      <c r="N96" s="462"/>
      <c r="O96" s="462"/>
      <c r="P96" s="166">
        <v>5</v>
      </c>
      <c r="Q96" s="166">
        <v>2045.7142857142849</v>
      </c>
      <c r="R96" s="166">
        <v>409.142857142857</v>
      </c>
      <c r="S96" s="180">
        <f t="shared" si="56"/>
        <v>4</v>
      </c>
      <c r="T96" s="486"/>
      <c r="U96" s="166">
        <v>5</v>
      </c>
      <c r="V96" s="166">
        <v>2036.8421052631566</v>
      </c>
      <c r="W96" s="166">
        <v>407.36842105263133</v>
      </c>
      <c r="X96" s="180">
        <f t="shared" si="43"/>
        <v>4</v>
      </c>
      <c r="Y96" s="486"/>
      <c r="Z96" s="166">
        <v>5</v>
      </c>
      <c r="AA96" s="166">
        <v>1760.9999999999995</v>
      </c>
      <c r="AB96" s="166">
        <v>352.19999999999993</v>
      </c>
      <c r="AC96" s="180">
        <f t="shared" si="45"/>
        <v>4</v>
      </c>
      <c r="AD96" s="486"/>
      <c r="AE96" s="166">
        <v>5</v>
      </c>
      <c r="AF96" s="166">
        <v>1969.9999999999936</v>
      </c>
      <c r="AG96" s="166">
        <v>393.99999999999875</v>
      </c>
      <c r="AH96" s="180">
        <f t="shared" si="47"/>
        <v>3</v>
      </c>
      <c r="AI96" s="486"/>
      <c r="AJ96" s="166">
        <v>5</v>
      </c>
      <c r="AK96" s="166">
        <v>1968.0000000000007</v>
      </c>
      <c r="AL96" s="166">
        <v>393.60000000000014</v>
      </c>
      <c r="AM96" s="180">
        <f t="shared" si="49"/>
        <v>4</v>
      </c>
      <c r="AN96" s="486"/>
      <c r="AO96" s="166"/>
      <c r="AP96" s="166"/>
      <c r="AQ96" s="166"/>
      <c r="AR96" s="180" t="e">
        <f t="shared" si="51"/>
        <v>#N/A</v>
      </c>
      <c r="AS96" s="486"/>
      <c r="AT96" s="166"/>
      <c r="AU96" s="166"/>
      <c r="AV96" s="166"/>
      <c r="AW96" s="180" t="e">
        <f t="shared" si="53"/>
        <v>#N/A</v>
      </c>
      <c r="AX96" s="486"/>
    </row>
    <row r="97" spans="2:50">
      <c r="B97" s="479"/>
      <c r="C97" s="180">
        <v>11</v>
      </c>
      <c r="D97" s="201" t="s">
        <v>751</v>
      </c>
      <c r="E97" s="166">
        <v>4</v>
      </c>
      <c r="F97" s="180">
        <v>2000</v>
      </c>
      <c r="G97" s="265">
        <v>500</v>
      </c>
      <c r="H97" s="460"/>
      <c r="I97" s="166">
        <f t="shared" si="55"/>
        <v>5</v>
      </c>
      <c r="J97" s="166">
        <f t="shared" si="55"/>
        <v>2054.0773001517691</v>
      </c>
      <c r="K97" s="265">
        <f t="shared" si="55"/>
        <v>410.8154600303539</v>
      </c>
      <c r="L97" s="460"/>
      <c r="M97" s="272">
        <f>RANK(K97, K$87:$K$101)</f>
        <v>3</v>
      </c>
      <c r="N97" s="462"/>
      <c r="O97" s="462"/>
      <c r="P97" s="166">
        <v>5</v>
      </c>
      <c r="Q97" s="166">
        <v>2083.0088495575205</v>
      </c>
      <c r="R97" s="166">
        <v>416.60176991150411</v>
      </c>
      <c r="S97" s="180">
        <f t="shared" si="56"/>
        <v>3</v>
      </c>
      <c r="T97" s="486"/>
      <c r="U97" s="166">
        <v>5</v>
      </c>
      <c r="V97" s="166">
        <v>2078.8732394366202</v>
      </c>
      <c r="W97" s="166">
        <v>415.77464788732402</v>
      </c>
      <c r="X97" s="180">
        <f t="shared" si="43"/>
        <v>2</v>
      </c>
      <c r="Y97" s="486"/>
      <c r="Z97" s="166">
        <v>5</v>
      </c>
      <c r="AA97" s="166">
        <v>2079.3749999999995</v>
      </c>
      <c r="AB97" s="166">
        <v>415.87499999999989</v>
      </c>
      <c r="AC97" s="180">
        <f t="shared" si="45"/>
        <v>1</v>
      </c>
      <c r="AD97" s="486"/>
      <c r="AE97" s="166">
        <v>5</v>
      </c>
      <c r="AF97" s="166">
        <v>1965.6000000000008</v>
      </c>
      <c r="AG97" s="166">
        <v>393.12000000000018</v>
      </c>
      <c r="AH97" s="180">
        <f t="shared" si="47"/>
        <v>4</v>
      </c>
      <c r="AI97" s="486"/>
      <c r="AJ97" s="166">
        <v>5</v>
      </c>
      <c r="AK97" s="166">
        <v>2063.5294117647068</v>
      </c>
      <c r="AL97" s="166">
        <v>412.70588235294133</v>
      </c>
      <c r="AM97" s="180">
        <f t="shared" si="49"/>
        <v>2</v>
      </c>
      <c r="AN97" s="486"/>
      <c r="AO97" s="166"/>
      <c r="AP97" s="166"/>
      <c r="AQ97" s="166"/>
      <c r="AR97" s="180" t="e">
        <f t="shared" si="51"/>
        <v>#N/A</v>
      </c>
      <c r="AS97" s="486"/>
      <c r="AT97" s="166"/>
      <c r="AU97" s="166"/>
      <c r="AV97" s="166"/>
      <c r="AW97" s="180" t="e">
        <f t="shared" si="53"/>
        <v>#N/A</v>
      </c>
      <c r="AX97" s="486"/>
    </row>
    <row r="98" spans="2:50">
      <c r="B98" s="479"/>
      <c r="C98" s="180">
        <v>12</v>
      </c>
      <c r="D98" s="201"/>
      <c r="E98" s="166"/>
      <c r="F98" s="180"/>
      <c r="G98" s="265"/>
      <c r="H98" s="460"/>
      <c r="I98" s="166"/>
      <c r="J98" s="166"/>
      <c r="K98" s="265"/>
      <c r="L98" s="460"/>
      <c r="M98" s="272" t="e">
        <f>RANK(K98, K$87:$K$101)</f>
        <v>#N/A</v>
      </c>
      <c r="N98" s="462"/>
      <c r="O98" s="462"/>
      <c r="P98" s="166"/>
      <c r="Q98" s="166"/>
      <c r="R98" s="166"/>
      <c r="S98" s="180" t="e">
        <f t="shared" si="56"/>
        <v>#N/A</v>
      </c>
      <c r="T98" s="486"/>
      <c r="U98" s="166"/>
      <c r="V98" s="166"/>
      <c r="W98" s="166"/>
      <c r="X98" s="180" t="e">
        <f t="shared" si="43"/>
        <v>#N/A</v>
      </c>
      <c r="Y98" s="486"/>
      <c r="Z98" s="166"/>
      <c r="AA98" s="166"/>
      <c r="AB98" s="166"/>
      <c r="AC98" s="180" t="e">
        <f t="shared" si="45"/>
        <v>#N/A</v>
      </c>
      <c r="AD98" s="486"/>
      <c r="AE98" s="166"/>
      <c r="AF98" s="166"/>
      <c r="AG98" s="166"/>
      <c r="AH98" s="180" t="e">
        <f t="shared" si="47"/>
        <v>#N/A</v>
      </c>
      <c r="AI98" s="486"/>
      <c r="AJ98" s="166"/>
      <c r="AK98" s="166"/>
      <c r="AL98" s="166"/>
      <c r="AM98" s="180" t="e">
        <f t="shared" si="49"/>
        <v>#N/A</v>
      </c>
      <c r="AN98" s="486"/>
      <c r="AO98" s="166"/>
      <c r="AP98" s="166"/>
      <c r="AQ98" s="166"/>
      <c r="AR98" s="180" t="e">
        <f t="shared" si="51"/>
        <v>#N/A</v>
      </c>
      <c r="AS98" s="486"/>
      <c r="AT98" s="166"/>
      <c r="AU98" s="166"/>
      <c r="AV98" s="166"/>
      <c r="AW98" s="180" t="e">
        <f t="shared" si="53"/>
        <v>#N/A</v>
      </c>
      <c r="AX98" s="486"/>
    </row>
    <row r="99" spans="2:50">
      <c r="B99" s="479"/>
      <c r="C99" s="180">
        <v>13</v>
      </c>
      <c r="D99" s="201"/>
      <c r="E99" s="166"/>
      <c r="F99" s="180"/>
      <c r="G99" s="265"/>
      <c r="H99" s="460"/>
      <c r="I99" s="180"/>
      <c r="J99" s="180"/>
      <c r="K99" s="180"/>
      <c r="L99" s="460"/>
      <c r="M99" s="272" t="e">
        <f>RANK(K99, K$87:$K$101)</f>
        <v>#N/A</v>
      </c>
      <c r="N99" s="462"/>
      <c r="O99" s="462"/>
      <c r="P99" s="166"/>
      <c r="Q99" s="166"/>
      <c r="R99" s="166"/>
      <c r="S99" s="180" t="e">
        <f t="shared" si="56"/>
        <v>#N/A</v>
      </c>
      <c r="T99" s="486"/>
      <c r="U99" s="166"/>
      <c r="V99" s="166"/>
      <c r="W99" s="166"/>
      <c r="X99" s="180" t="e">
        <f t="shared" si="43"/>
        <v>#N/A</v>
      </c>
      <c r="Y99" s="486"/>
      <c r="Z99" s="166"/>
      <c r="AA99" s="166"/>
      <c r="AB99" s="166"/>
      <c r="AC99" s="180" t="e">
        <f t="shared" si="45"/>
        <v>#N/A</v>
      </c>
      <c r="AD99" s="486"/>
      <c r="AE99" s="166"/>
      <c r="AF99" s="166"/>
      <c r="AG99" s="166"/>
      <c r="AH99" s="180" t="e">
        <f t="shared" si="47"/>
        <v>#N/A</v>
      </c>
      <c r="AI99" s="486"/>
      <c r="AJ99" s="166"/>
      <c r="AK99" s="166"/>
      <c r="AL99" s="166"/>
      <c r="AM99" s="180" t="e">
        <f t="shared" si="49"/>
        <v>#N/A</v>
      </c>
      <c r="AN99" s="486"/>
      <c r="AO99" s="166"/>
      <c r="AP99" s="166"/>
      <c r="AQ99" s="166"/>
      <c r="AR99" s="180" t="e">
        <f t="shared" si="51"/>
        <v>#N/A</v>
      </c>
      <c r="AS99" s="486"/>
      <c r="AT99" s="166"/>
      <c r="AU99" s="166"/>
      <c r="AV99" s="166"/>
      <c r="AW99" s="180" t="e">
        <f t="shared" si="53"/>
        <v>#N/A</v>
      </c>
      <c r="AX99" s="486"/>
    </row>
    <row r="100" spans="2:50">
      <c r="B100" s="479"/>
      <c r="C100" s="180">
        <v>14</v>
      </c>
      <c r="D100" s="201"/>
      <c r="E100" s="166"/>
      <c r="F100" s="180"/>
      <c r="G100" s="265"/>
      <c r="H100" s="460"/>
      <c r="I100" s="180"/>
      <c r="J100" s="180"/>
      <c r="K100" s="180"/>
      <c r="L100" s="460"/>
      <c r="M100" s="272" t="e">
        <f>RANK(K100, K$87:$K$101)</f>
        <v>#N/A</v>
      </c>
      <c r="N100" s="462"/>
      <c r="O100" s="462"/>
      <c r="P100" s="166"/>
      <c r="Q100" s="166"/>
      <c r="R100" s="166"/>
      <c r="S100" s="180" t="e">
        <f t="shared" si="56"/>
        <v>#N/A</v>
      </c>
      <c r="T100" s="486"/>
      <c r="U100" s="166"/>
      <c r="V100" s="166"/>
      <c r="W100" s="166"/>
      <c r="X100" s="180" t="e">
        <f t="shared" si="43"/>
        <v>#N/A</v>
      </c>
      <c r="Y100" s="486"/>
      <c r="Z100" s="166"/>
      <c r="AA100" s="166"/>
      <c r="AB100" s="166"/>
      <c r="AC100" s="180" t="e">
        <f t="shared" si="45"/>
        <v>#N/A</v>
      </c>
      <c r="AD100" s="486"/>
      <c r="AE100" s="166"/>
      <c r="AF100" s="166"/>
      <c r="AG100" s="166"/>
      <c r="AH100" s="180" t="e">
        <f t="shared" si="47"/>
        <v>#N/A</v>
      </c>
      <c r="AI100" s="486"/>
      <c r="AJ100" s="166"/>
      <c r="AK100" s="166"/>
      <c r="AL100" s="166"/>
      <c r="AM100" s="180" t="e">
        <f t="shared" si="49"/>
        <v>#N/A</v>
      </c>
      <c r="AN100" s="486"/>
      <c r="AO100" s="166"/>
      <c r="AP100" s="166"/>
      <c r="AQ100" s="166"/>
      <c r="AR100" s="180" t="e">
        <f t="shared" si="51"/>
        <v>#N/A</v>
      </c>
      <c r="AS100" s="486"/>
      <c r="AT100" s="166"/>
      <c r="AU100" s="166"/>
      <c r="AV100" s="166"/>
      <c r="AW100" s="180" t="e">
        <f t="shared" si="53"/>
        <v>#N/A</v>
      </c>
      <c r="AX100" s="486"/>
    </row>
    <row r="101" spans="2:50">
      <c r="B101" s="479"/>
      <c r="C101" s="180">
        <v>15</v>
      </c>
      <c r="D101" s="201"/>
      <c r="E101" s="166"/>
      <c r="F101" s="180"/>
      <c r="G101" s="265"/>
      <c r="H101" s="461"/>
      <c r="I101" s="180"/>
      <c r="J101" s="180"/>
      <c r="K101" s="180"/>
      <c r="L101" s="461"/>
      <c r="M101" s="166" t="e">
        <f>RANK(K101, K$87:$K$101)</f>
        <v>#N/A</v>
      </c>
      <c r="N101" s="462"/>
      <c r="O101" s="462"/>
      <c r="P101" s="166"/>
      <c r="Q101" s="166"/>
      <c r="R101" s="166"/>
      <c r="S101" s="180" t="e">
        <f t="shared" si="56"/>
        <v>#N/A</v>
      </c>
      <c r="T101" s="486"/>
      <c r="U101" s="166"/>
      <c r="V101" s="166"/>
      <c r="W101" s="166"/>
      <c r="X101" s="180" t="e">
        <f t="shared" si="43"/>
        <v>#N/A</v>
      </c>
      <c r="Y101" s="486"/>
      <c r="Z101" s="166"/>
      <c r="AA101" s="166"/>
      <c r="AB101" s="166"/>
      <c r="AC101" s="180" t="e">
        <f t="shared" si="45"/>
        <v>#N/A</v>
      </c>
      <c r="AD101" s="486"/>
      <c r="AE101" s="166"/>
      <c r="AF101" s="166"/>
      <c r="AG101" s="166"/>
      <c r="AH101" s="180" t="e">
        <f t="shared" si="47"/>
        <v>#N/A</v>
      </c>
      <c r="AI101" s="486"/>
      <c r="AJ101" s="166"/>
      <c r="AK101" s="166"/>
      <c r="AL101" s="166"/>
      <c r="AM101" s="180" t="e">
        <f t="shared" si="49"/>
        <v>#N/A</v>
      </c>
      <c r="AN101" s="486"/>
      <c r="AO101" s="166"/>
      <c r="AP101" s="166"/>
      <c r="AQ101" s="166"/>
      <c r="AR101" s="180" t="e">
        <f t="shared" si="51"/>
        <v>#N/A</v>
      </c>
      <c r="AS101" s="486"/>
      <c r="AT101" s="166"/>
      <c r="AU101" s="166"/>
      <c r="AV101" s="166"/>
      <c r="AW101" s="180" t="e">
        <f t="shared" si="53"/>
        <v>#N/A</v>
      </c>
      <c r="AX101" s="486"/>
    </row>
    <row r="102" spans="2:50" ht="15.75">
      <c r="B102" s="480" t="s">
        <v>721</v>
      </c>
      <c r="C102" s="481"/>
      <c r="D102" s="481"/>
      <c r="E102" s="481"/>
      <c r="F102" s="481"/>
      <c r="G102" s="481"/>
      <c r="H102" s="481"/>
      <c r="I102" s="184"/>
      <c r="J102" s="184"/>
      <c r="K102" s="184"/>
      <c r="L102" s="184"/>
      <c r="M102" s="183"/>
      <c r="N102" s="469" t="s">
        <v>722</v>
      </c>
      <c r="O102" s="469" t="s">
        <v>723</v>
      </c>
      <c r="P102" s="478">
        <f>P82+7</f>
        <v>46084</v>
      </c>
      <c r="Q102" s="479"/>
      <c r="R102" s="479"/>
      <c r="S102" s="479"/>
      <c r="T102" s="479"/>
      <c r="U102" s="475">
        <f>P102+1</f>
        <v>46085</v>
      </c>
      <c r="V102" s="476"/>
      <c r="W102" s="476"/>
      <c r="X102" s="476"/>
      <c r="Y102" s="477"/>
      <c r="Z102" s="475">
        <f>U102+1</f>
        <v>46086</v>
      </c>
      <c r="AA102" s="476"/>
      <c r="AB102" s="476"/>
      <c r="AC102" s="476"/>
      <c r="AD102" s="477"/>
      <c r="AE102" s="475">
        <f>Z102+1</f>
        <v>46087</v>
      </c>
      <c r="AF102" s="476"/>
      <c r="AG102" s="476"/>
      <c r="AH102" s="476"/>
      <c r="AI102" s="477"/>
      <c r="AJ102" s="475">
        <f>AE102+1</f>
        <v>46088</v>
      </c>
      <c r="AK102" s="476"/>
      <c r="AL102" s="476"/>
      <c r="AM102" s="476"/>
      <c r="AN102" s="477"/>
      <c r="AO102" s="475">
        <f>AJ102+1</f>
        <v>46089</v>
      </c>
      <c r="AP102" s="476"/>
      <c r="AQ102" s="476"/>
      <c r="AR102" s="476"/>
      <c r="AS102" s="477"/>
      <c r="AT102" s="475">
        <f>AO102+1</f>
        <v>46090</v>
      </c>
      <c r="AU102" s="476"/>
      <c r="AV102" s="476"/>
      <c r="AW102" s="476"/>
      <c r="AX102" s="477"/>
    </row>
    <row r="103" spans="2:50" ht="15.75">
      <c r="B103" s="482"/>
      <c r="C103" s="482"/>
      <c r="D103" s="482"/>
      <c r="E103" s="482"/>
      <c r="F103" s="482"/>
      <c r="G103" s="482"/>
      <c r="H103" s="482"/>
      <c r="I103" s="182"/>
      <c r="J103" s="182"/>
      <c r="K103" s="182"/>
      <c r="L103" s="182"/>
      <c r="M103" s="179"/>
      <c r="N103" s="471"/>
      <c r="O103" s="471"/>
      <c r="P103" s="478" t="s">
        <v>724</v>
      </c>
      <c r="Q103" s="479"/>
      <c r="R103" s="479"/>
      <c r="S103" s="479"/>
      <c r="T103" s="479"/>
      <c r="U103" s="478" t="s">
        <v>725</v>
      </c>
      <c r="V103" s="479"/>
      <c r="W103" s="479"/>
      <c r="X103" s="479"/>
      <c r="Y103" s="479"/>
      <c r="Z103" s="478" t="s">
        <v>726</v>
      </c>
      <c r="AA103" s="479"/>
      <c r="AB103" s="479"/>
      <c r="AC103" s="479"/>
      <c r="AD103" s="479"/>
      <c r="AE103" s="478" t="s">
        <v>727</v>
      </c>
      <c r="AF103" s="479"/>
      <c r="AG103" s="479"/>
      <c r="AH103" s="479"/>
      <c r="AI103" s="479"/>
      <c r="AJ103" s="478" t="s">
        <v>728</v>
      </c>
      <c r="AK103" s="479"/>
      <c r="AL103" s="479"/>
      <c r="AM103" s="479"/>
      <c r="AN103" s="479"/>
      <c r="AO103" s="478" t="s">
        <v>729</v>
      </c>
      <c r="AP103" s="479"/>
      <c r="AQ103" s="479"/>
      <c r="AR103" s="479"/>
      <c r="AS103" s="479"/>
      <c r="AT103" s="478" t="s">
        <v>730</v>
      </c>
      <c r="AU103" s="479"/>
      <c r="AV103" s="479"/>
      <c r="AW103" s="479"/>
      <c r="AX103" s="479"/>
    </row>
    <row r="104" spans="2:50">
      <c r="B104" s="462" t="s">
        <v>731</v>
      </c>
      <c r="C104" s="462" t="s">
        <v>732</v>
      </c>
      <c r="D104" s="462"/>
      <c r="E104" s="462" t="s">
        <v>733</v>
      </c>
      <c r="F104" s="462"/>
      <c r="G104" s="462"/>
      <c r="H104" s="463" t="s">
        <v>734</v>
      </c>
      <c r="I104" s="462" t="s">
        <v>735</v>
      </c>
      <c r="J104" s="462"/>
      <c r="K104" s="462"/>
      <c r="L104" s="463" t="s">
        <v>734</v>
      </c>
      <c r="M104" s="469" t="s">
        <v>736</v>
      </c>
      <c r="N104" s="462"/>
      <c r="O104" s="462" t="s">
        <v>737</v>
      </c>
      <c r="P104" s="466" t="s">
        <v>738</v>
      </c>
      <c r="Q104" s="467"/>
      <c r="R104" s="467"/>
      <c r="S104" s="468"/>
      <c r="T104" s="462" t="s">
        <v>734</v>
      </c>
      <c r="U104" s="466" t="s">
        <v>738</v>
      </c>
      <c r="V104" s="467"/>
      <c r="W104" s="467"/>
      <c r="X104" s="468"/>
      <c r="Y104" s="462" t="s">
        <v>734</v>
      </c>
      <c r="Z104" s="466" t="s">
        <v>738</v>
      </c>
      <c r="AA104" s="467"/>
      <c r="AB104" s="467"/>
      <c r="AC104" s="468"/>
      <c r="AD104" s="462" t="s">
        <v>734</v>
      </c>
      <c r="AE104" s="466" t="s">
        <v>738</v>
      </c>
      <c r="AF104" s="467"/>
      <c r="AG104" s="467"/>
      <c r="AH104" s="468"/>
      <c r="AI104" s="462" t="s">
        <v>734</v>
      </c>
      <c r="AJ104" s="466" t="s">
        <v>738</v>
      </c>
      <c r="AK104" s="467"/>
      <c r="AL104" s="467"/>
      <c r="AM104" s="468"/>
      <c r="AN104" s="462" t="s">
        <v>734</v>
      </c>
      <c r="AO104" s="466" t="s">
        <v>738</v>
      </c>
      <c r="AP104" s="467"/>
      <c r="AQ104" s="467"/>
      <c r="AR104" s="468"/>
      <c r="AS104" s="462" t="s">
        <v>734</v>
      </c>
      <c r="AT104" s="466" t="s">
        <v>738</v>
      </c>
      <c r="AU104" s="467"/>
      <c r="AV104" s="467"/>
      <c r="AW104" s="468"/>
      <c r="AX104" s="462" t="s">
        <v>734</v>
      </c>
    </row>
    <row r="105" spans="2:50">
      <c r="B105" s="462"/>
      <c r="C105" s="462"/>
      <c r="D105" s="462"/>
      <c r="E105" s="462" t="s">
        <v>739</v>
      </c>
      <c r="F105" s="462"/>
      <c r="G105" s="462"/>
      <c r="H105" s="464"/>
      <c r="I105" s="462" t="s">
        <v>739</v>
      </c>
      <c r="J105" s="462"/>
      <c r="K105" s="462"/>
      <c r="L105" s="464"/>
      <c r="M105" s="470"/>
      <c r="N105" s="462"/>
      <c r="O105" s="462"/>
      <c r="P105" s="466" t="s">
        <v>740</v>
      </c>
      <c r="Q105" s="467"/>
      <c r="R105" s="467"/>
      <c r="S105" s="468"/>
      <c r="T105" s="462"/>
      <c r="U105" s="466" t="s">
        <v>740</v>
      </c>
      <c r="V105" s="467"/>
      <c r="W105" s="467"/>
      <c r="X105" s="468"/>
      <c r="Y105" s="462"/>
      <c r="Z105" s="466" t="s">
        <v>740</v>
      </c>
      <c r="AA105" s="467"/>
      <c r="AB105" s="467"/>
      <c r="AC105" s="468"/>
      <c r="AD105" s="462"/>
      <c r="AE105" s="466" t="s">
        <v>740</v>
      </c>
      <c r="AF105" s="467"/>
      <c r="AG105" s="467"/>
      <c r="AH105" s="468"/>
      <c r="AI105" s="462"/>
      <c r="AJ105" s="466" t="s">
        <v>740</v>
      </c>
      <c r="AK105" s="467"/>
      <c r="AL105" s="467"/>
      <c r="AM105" s="468"/>
      <c r="AN105" s="462"/>
      <c r="AO105" s="466" t="s">
        <v>740</v>
      </c>
      <c r="AP105" s="467"/>
      <c r="AQ105" s="467"/>
      <c r="AR105" s="468"/>
      <c r="AS105" s="462"/>
      <c r="AT105" s="466" t="s">
        <v>740</v>
      </c>
      <c r="AU105" s="467"/>
      <c r="AV105" s="467"/>
      <c r="AW105" s="468"/>
      <c r="AX105" s="462"/>
    </row>
    <row r="106" spans="2:50">
      <c r="B106" s="462"/>
      <c r="C106" s="462"/>
      <c r="D106" s="462"/>
      <c r="E106" s="264" t="s">
        <v>741</v>
      </c>
      <c r="F106" s="264" t="s">
        <v>742</v>
      </c>
      <c r="G106" s="264" t="s">
        <v>743</v>
      </c>
      <c r="H106" s="465"/>
      <c r="I106" s="264" t="s">
        <v>741</v>
      </c>
      <c r="J106" s="264" t="s">
        <v>742</v>
      </c>
      <c r="K106" s="264" t="s">
        <v>743</v>
      </c>
      <c r="L106" s="465"/>
      <c r="M106" s="471"/>
      <c r="N106" s="462"/>
      <c r="O106" s="462"/>
      <c r="P106" s="264" t="s">
        <v>741</v>
      </c>
      <c r="Q106" s="264" t="s">
        <v>742</v>
      </c>
      <c r="R106" s="264" t="s">
        <v>743</v>
      </c>
      <c r="S106" s="264" t="s">
        <v>736</v>
      </c>
      <c r="T106" s="462"/>
      <c r="U106" s="264" t="s">
        <v>741</v>
      </c>
      <c r="V106" s="264" t="s">
        <v>742</v>
      </c>
      <c r="W106" s="264" t="s">
        <v>743</v>
      </c>
      <c r="X106" s="264" t="s">
        <v>736</v>
      </c>
      <c r="Y106" s="462"/>
      <c r="Z106" s="264" t="s">
        <v>741</v>
      </c>
      <c r="AA106" s="264" t="s">
        <v>742</v>
      </c>
      <c r="AB106" s="264" t="s">
        <v>743</v>
      </c>
      <c r="AC106" s="264" t="s">
        <v>736</v>
      </c>
      <c r="AD106" s="462"/>
      <c r="AE106" s="264" t="s">
        <v>741</v>
      </c>
      <c r="AF106" s="264" t="s">
        <v>742</v>
      </c>
      <c r="AG106" s="264" t="s">
        <v>743</v>
      </c>
      <c r="AH106" s="264" t="s">
        <v>736</v>
      </c>
      <c r="AI106" s="462"/>
      <c r="AJ106" s="264" t="s">
        <v>741</v>
      </c>
      <c r="AK106" s="264" t="s">
        <v>742</v>
      </c>
      <c r="AL106" s="264" t="s">
        <v>743</v>
      </c>
      <c r="AM106" s="264" t="s">
        <v>736</v>
      </c>
      <c r="AN106" s="462"/>
      <c r="AO106" s="264" t="s">
        <v>741</v>
      </c>
      <c r="AP106" s="264" t="s">
        <v>742</v>
      </c>
      <c r="AQ106" s="264" t="s">
        <v>743</v>
      </c>
      <c r="AR106" s="264" t="s">
        <v>736</v>
      </c>
      <c r="AS106" s="462"/>
      <c r="AT106" s="264" t="s">
        <v>741</v>
      </c>
      <c r="AU106" s="264" t="s">
        <v>742</v>
      </c>
      <c r="AV106" s="264" t="s">
        <v>743</v>
      </c>
      <c r="AW106" s="264" t="s">
        <v>736</v>
      </c>
      <c r="AX106" s="462"/>
    </row>
    <row r="107" spans="2:50">
      <c r="B107" s="507" t="s">
        <v>750</v>
      </c>
      <c r="C107" s="180">
        <v>1</v>
      </c>
      <c r="D107" s="201"/>
      <c r="E107" s="166"/>
      <c r="F107" s="166"/>
      <c r="G107" s="166"/>
      <c r="H107" s="459" t="e">
        <f>AVERAGE(G107:G121)</f>
        <v>#DIV/0!</v>
      </c>
      <c r="I107" s="166" t="e">
        <f>AVERAGE(P107,U107,Z107,AE107,AJ107,AO107,AT107)</f>
        <v>#DIV/0!</v>
      </c>
      <c r="J107" s="166" t="e">
        <f>AVERAGE(Q107,V107,AA107,AF107,AK107,AP107,AU107)</f>
        <v>#DIV/0!</v>
      </c>
      <c r="K107" s="265" t="e">
        <f>AVERAGE(R107,W107,AB107,AG107,AL107,AQ107,AV107)</f>
        <v>#DIV/0!</v>
      </c>
      <c r="L107" s="459" t="str">
        <f>IFERROR(AVERAGE(K107:K121),"-")</f>
        <v>-</v>
      </c>
      <c r="M107" s="166" t="e">
        <f>RANK(K107, K$67:$K$81)</f>
        <v>#DIV/0!</v>
      </c>
      <c r="N107" s="462"/>
      <c r="O107" s="462"/>
      <c r="P107" s="166"/>
      <c r="Q107" s="166"/>
      <c r="R107" s="166"/>
      <c r="S107" s="180" t="e">
        <f>RANK(R107, R$67:R$81)</f>
        <v>#N/A</v>
      </c>
      <c r="T107" s="486" t="e">
        <f>AVERAGE(R107:R121)</f>
        <v>#DIV/0!</v>
      </c>
      <c r="U107" s="166"/>
      <c r="V107" s="166"/>
      <c r="W107" s="166"/>
      <c r="X107" s="180" t="e">
        <f t="shared" ref="X107:AM121" si="57">RANK(W107, W$67:W$81)</f>
        <v>#N/A</v>
      </c>
      <c r="Y107" s="486" t="e">
        <f t="shared" ref="Y107" si="58">AVERAGE(W107:W121)</f>
        <v>#DIV/0!</v>
      </c>
      <c r="Z107" s="166"/>
      <c r="AA107" s="166"/>
      <c r="AB107" s="166"/>
      <c r="AC107" s="180" t="e">
        <f t="shared" ref="AC107" si="59">RANK(AB107, AB$67:AB$81)</f>
        <v>#N/A</v>
      </c>
      <c r="AD107" s="486" t="e">
        <f t="shared" ref="AD107" si="60">AVERAGE(AB107:AB121)</f>
        <v>#DIV/0!</v>
      </c>
      <c r="AE107" s="166"/>
      <c r="AF107" s="166"/>
      <c r="AG107" s="166"/>
      <c r="AH107" s="180" t="e">
        <f t="shared" ref="AH107" si="61">RANK(AG107, AG$67:AG$81)</f>
        <v>#N/A</v>
      </c>
      <c r="AI107" s="486" t="e">
        <f t="shared" ref="AI107" si="62">AVERAGE(AG107:AG121)</f>
        <v>#DIV/0!</v>
      </c>
      <c r="AJ107" s="166"/>
      <c r="AK107" s="166"/>
      <c r="AL107" s="166"/>
      <c r="AM107" s="180" t="e">
        <f t="shared" ref="AM107" si="63">RANK(AL107, AL$67:AL$81)</f>
        <v>#N/A</v>
      </c>
      <c r="AN107" s="486" t="e">
        <f t="shared" ref="AN107" si="64">AVERAGE(AL107:AL121)</f>
        <v>#DIV/0!</v>
      </c>
      <c r="AO107" s="166"/>
      <c r="AP107" s="166"/>
      <c r="AQ107" s="166"/>
      <c r="AR107" s="180" t="e">
        <f t="shared" ref="AR107:AW121" si="65">RANK(AQ107, AQ$67:AQ$81)</f>
        <v>#N/A</v>
      </c>
      <c r="AS107" s="486" t="e">
        <f t="shared" ref="AS107" si="66">AVERAGE(AQ107:AQ121)</f>
        <v>#DIV/0!</v>
      </c>
      <c r="AT107" s="166"/>
      <c r="AU107" s="166"/>
      <c r="AV107" s="166"/>
      <c r="AW107" s="180" t="e">
        <f t="shared" ref="AW107" si="67">RANK(AV107, AV$67:AV$81)</f>
        <v>#N/A</v>
      </c>
      <c r="AX107" s="486" t="e">
        <f t="shared" ref="AX107" si="68">AVERAGE(AV107:AV121)</f>
        <v>#DIV/0!</v>
      </c>
    </row>
    <row r="108" spans="2:50">
      <c r="B108" s="479"/>
      <c r="C108" s="180">
        <v>2</v>
      </c>
      <c r="D108" s="201"/>
      <c r="E108" s="166"/>
      <c r="F108" s="166"/>
      <c r="G108" s="166"/>
      <c r="H108" s="460"/>
      <c r="I108" s="166" t="e">
        <f t="shared" ref="I108:K117" si="69">AVERAGE(P108,U108,Z108,AE108,AJ108,AO108,AT108)</f>
        <v>#DIV/0!</v>
      </c>
      <c r="J108" s="166" t="e">
        <f t="shared" si="69"/>
        <v>#DIV/0!</v>
      </c>
      <c r="K108" s="265" t="e">
        <f t="shared" si="69"/>
        <v>#DIV/0!</v>
      </c>
      <c r="L108" s="460"/>
      <c r="M108" s="166" t="e">
        <f>RANK(K108, K$67:$K$81)</f>
        <v>#DIV/0!</v>
      </c>
      <c r="N108" s="462"/>
      <c r="O108" s="462"/>
      <c r="P108" s="166"/>
      <c r="Q108" s="166"/>
      <c r="R108" s="166"/>
      <c r="S108" s="180" t="e">
        <f t="shared" ref="S108:S121" si="70">RANK(R108, R$67:R$81)</f>
        <v>#N/A</v>
      </c>
      <c r="T108" s="486"/>
      <c r="U108" s="166"/>
      <c r="V108" s="166"/>
      <c r="W108" s="166"/>
      <c r="X108" s="180" t="e">
        <f t="shared" si="57"/>
        <v>#N/A</v>
      </c>
      <c r="Y108" s="486"/>
      <c r="Z108" s="166"/>
      <c r="AA108" s="166"/>
      <c r="AB108" s="166"/>
      <c r="AC108" s="180" t="e">
        <f t="shared" si="57"/>
        <v>#N/A</v>
      </c>
      <c r="AD108" s="486"/>
      <c r="AE108" s="166"/>
      <c r="AF108" s="166"/>
      <c r="AG108" s="166"/>
      <c r="AH108" s="180" t="e">
        <f t="shared" si="57"/>
        <v>#N/A</v>
      </c>
      <c r="AI108" s="486"/>
      <c r="AJ108" s="166"/>
      <c r="AK108" s="166"/>
      <c r="AL108" s="166"/>
      <c r="AM108" s="180" t="e">
        <f t="shared" si="57"/>
        <v>#N/A</v>
      </c>
      <c r="AN108" s="486"/>
      <c r="AO108" s="166"/>
      <c r="AP108" s="166"/>
      <c r="AQ108" s="166"/>
      <c r="AR108" s="180" t="e">
        <f t="shared" si="65"/>
        <v>#N/A</v>
      </c>
      <c r="AS108" s="486"/>
      <c r="AT108" s="166"/>
      <c r="AU108" s="166"/>
      <c r="AV108" s="166"/>
      <c r="AW108" s="180" t="e">
        <f t="shared" si="65"/>
        <v>#N/A</v>
      </c>
      <c r="AX108" s="486"/>
    </row>
    <row r="109" spans="2:50">
      <c r="B109" s="479"/>
      <c r="C109" s="180">
        <v>3</v>
      </c>
      <c r="D109" s="201"/>
      <c r="E109" s="166"/>
      <c r="F109" s="166"/>
      <c r="G109" s="166"/>
      <c r="H109" s="460"/>
      <c r="I109" s="166" t="e">
        <f t="shared" si="69"/>
        <v>#DIV/0!</v>
      </c>
      <c r="J109" s="166" t="e">
        <f t="shared" si="69"/>
        <v>#DIV/0!</v>
      </c>
      <c r="K109" s="265" t="e">
        <f t="shared" si="69"/>
        <v>#DIV/0!</v>
      </c>
      <c r="L109" s="460"/>
      <c r="M109" s="166" t="e">
        <f>RANK(K109, K$67:$K$81)</f>
        <v>#DIV/0!</v>
      </c>
      <c r="N109" s="462"/>
      <c r="O109" s="462"/>
      <c r="P109" s="166"/>
      <c r="Q109" s="166"/>
      <c r="R109" s="166"/>
      <c r="S109" s="180" t="e">
        <f t="shared" si="70"/>
        <v>#N/A</v>
      </c>
      <c r="T109" s="486"/>
      <c r="U109" s="166"/>
      <c r="V109" s="166"/>
      <c r="W109" s="166"/>
      <c r="X109" s="180" t="e">
        <f t="shared" si="57"/>
        <v>#N/A</v>
      </c>
      <c r="Y109" s="486"/>
      <c r="Z109" s="166"/>
      <c r="AA109" s="166"/>
      <c r="AB109" s="166"/>
      <c r="AC109" s="180" t="e">
        <f t="shared" si="57"/>
        <v>#N/A</v>
      </c>
      <c r="AD109" s="486"/>
      <c r="AE109" s="166"/>
      <c r="AF109" s="166"/>
      <c r="AG109" s="166"/>
      <c r="AH109" s="180" t="e">
        <f t="shared" si="57"/>
        <v>#N/A</v>
      </c>
      <c r="AI109" s="486"/>
      <c r="AJ109" s="166"/>
      <c r="AK109" s="166"/>
      <c r="AL109" s="166"/>
      <c r="AM109" s="180" t="e">
        <f t="shared" si="57"/>
        <v>#N/A</v>
      </c>
      <c r="AN109" s="486"/>
      <c r="AO109" s="166"/>
      <c r="AP109" s="166"/>
      <c r="AQ109" s="166"/>
      <c r="AR109" s="180" t="e">
        <f t="shared" si="65"/>
        <v>#N/A</v>
      </c>
      <c r="AS109" s="486"/>
      <c r="AT109" s="166"/>
      <c r="AU109" s="166"/>
      <c r="AV109" s="166"/>
      <c r="AW109" s="180" t="e">
        <f t="shared" si="65"/>
        <v>#N/A</v>
      </c>
      <c r="AX109" s="486"/>
    </row>
    <row r="110" spans="2:50">
      <c r="B110" s="479"/>
      <c r="C110" s="180">
        <v>4</v>
      </c>
      <c r="D110" s="201"/>
      <c r="E110" s="166"/>
      <c r="F110" s="166"/>
      <c r="G110" s="166"/>
      <c r="H110" s="460"/>
      <c r="I110" s="166" t="e">
        <f t="shared" si="69"/>
        <v>#DIV/0!</v>
      </c>
      <c r="J110" s="166" t="e">
        <f t="shared" si="69"/>
        <v>#DIV/0!</v>
      </c>
      <c r="K110" s="265" t="e">
        <f t="shared" si="69"/>
        <v>#DIV/0!</v>
      </c>
      <c r="L110" s="460"/>
      <c r="M110" s="166" t="e">
        <f>RANK(K110, K$67:$K$81)</f>
        <v>#DIV/0!</v>
      </c>
      <c r="N110" s="462"/>
      <c r="O110" s="462"/>
      <c r="P110" s="166"/>
      <c r="Q110" s="166"/>
      <c r="R110" s="166"/>
      <c r="S110" s="180" t="e">
        <f t="shared" si="70"/>
        <v>#N/A</v>
      </c>
      <c r="T110" s="486"/>
      <c r="U110" s="166"/>
      <c r="V110" s="166"/>
      <c r="W110" s="166"/>
      <c r="X110" s="180" t="e">
        <f t="shared" si="57"/>
        <v>#N/A</v>
      </c>
      <c r="Y110" s="486"/>
      <c r="Z110" s="166"/>
      <c r="AA110" s="166"/>
      <c r="AB110" s="166"/>
      <c r="AC110" s="180" t="e">
        <f t="shared" si="57"/>
        <v>#N/A</v>
      </c>
      <c r="AD110" s="486"/>
      <c r="AE110" s="166"/>
      <c r="AF110" s="166"/>
      <c r="AG110" s="166"/>
      <c r="AH110" s="180" t="e">
        <f t="shared" si="57"/>
        <v>#N/A</v>
      </c>
      <c r="AI110" s="486"/>
      <c r="AJ110" s="166"/>
      <c r="AK110" s="166"/>
      <c r="AL110" s="166"/>
      <c r="AM110" s="180" t="e">
        <f t="shared" si="57"/>
        <v>#N/A</v>
      </c>
      <c r="AN110" s="486"/>
      <c r="AO110" s="166"/>
      <c r="AP110" s="166"/>
      <c r="AQ110" s="166"/>
      <c r="AR110" s="180" t="e">
        <f t="shared" si="65"/>
        <v>#N/A</v>
      </c>
      <c r="AS110" s="486"/>
      <c r="AT110" s="166"/>
      <c r="AU110" s="166"/>
      <c r="AV110" s="166"/>
      <c r="AW110" s="180" t="e">
        <f t="shared" si="65"/>
        <v>#N/A</v>
      </c>
      <c r="AX110" s="486"/>
    </row>
    <row r="111" spans="2:50">
      <c r="B111" s="479"/>
      <c r="C111" s="180">
        <v>5</v>
      </c>
      <c r="D111" s="201"/>
      <c r="E111" s="166"/>
      <c r="F111" s="166"/>
      <c r="G111" s="166"/>
      <c r="H111" s="460"/>
      <c r="I111" s="166" t="e">
        <f t="shared" si="69"/>
        <v>#DIV/0!</v>
      </c>
      <c r="J111" s="166" t="e">
        <f t="shared" si="69"/>
        <v>#DIV/0!</v>
      </c>
      <c r="K111" s="265" t="e">
        <f t="shared" si="69"/>
        <v>#DIV/0!</v>
      </c>
      <c r="L111" s="460"/>
      <c r="M111" s="166" t="e">
        <f>RANK(K111, K$67:$K$81)</f>
        <v>#DIV/0!</v>
      </c>
      <c r="N111" s="462"/>
      <c r="O111" s="462"/>
      <c r="P111" s="166"/>
      <c r="Q111" s="166"/>
      <c r="R111" s="166"/>
      <c r="S111" s="180" t="e">
        <f t="shared" si="70"/>
        <v>#N/A</v>
      </c>
      <c r="T111" s="486"/>
      <c r="U111" s="166"/>
      <c r="V111" s="166"/>
      <c r="W111" s="166"/>
      <c r="X111" s="180" t="e">
        <f t="shared" si="57"/>
        <v>#N/A</v>
      </c>
      <c r="Y111" s="486"/>
      <c r="Z111" s="166"/>
      <c r="AA111" s="166"/>
      <c r="AB111" s="166"/>
      <c r="AC111" s="180" t="e">
        <f t="shared" si="57"/>
        <v>#N/A</v>
      </c>
      <c r="AD111" s="486"/>
      <c r="AE111" s="166"/>
      <c r="AF111" s="166"/>
      <c r="AG111" s="166"/>
      <c r="AH111" s="180" t="e">
        <f t="shared" si="57"/>
        <v>#N/A</v>
      </c>
      <c r="AI111" s="486"/>
      <c r="AJ111" s="166"/>
      <c r="AK111" s="166"/>
      <c r="AL111" s="166"/>
      <c r="AM111" s="180" t="e">
        <f t="shared" si="57"/>
        <v>#N/A</v>
      </c>
      <c r="AN111" s="486"/>
      <c r="AO111" s="166"/>
      <c r="AP111" s="166"/>
      <c r="AQ111" s="166"/>
      <c r="AR111" s="180" t="e">
        <f t="shared" si="65"/>
        <v>#N/A</v>
      </c>
      <c r="AS111" s="486"/>
      <c r="AT111" s="166"/>
      <c r="AU111" s="166"/>
      <c r="AV111" s="166"/>
      <c r="AW111" s="180" t="e">
        <f t="shared" si="65"/>
        <v>#N/A</v>
      </c>
      <c r="AX111" s="486"/>
    </row>
    <row r="112" spans="2:50">
      <c r="B112" s="479"/>
      <c r="C112" s="180">
        <v>6</v>
      </c>
      <c r="D112" s="201"/>
      <c r="E112" s="166"/>
      <c r="F112" s="166"/>
      <c r="G112" s="166"/>
      <c r="H112" s="460"/>
      <c r="I112" s="166" t="e">
        <f t="shared" si="69"/>
        <v>#DIV/0!</v>
      </c>
      <c r="J112" s="166" t="e">
        <f t="shared" si="69"/>
        <v>#DIV/0!</v>
      </c>
      <c r="K112" s="265" t="e">
        <f t="shared" si="69"/>
        <v>#DIV/0!</v>
      </c>
      <c r="L112" s="460"/>
      <c r="M112" s="166" t="e">
        <f>RANK(K112, K$67:$K$81)</f>
        <v>#DIV/0!</v>
      </c>
      <c r="N112" s="462"/>
      <c r="O112" s="462"/>
      <c r="P112" s="166"/>
      <c r="Q112" s="166"/>
      <c r="R112" s="166"/>
      <c r="S112" s="180" t="e">
        <f t="shared" si="70"/>
        <v>#N/A</v>
      </c>
      <c r="T112" s="486"/>
      <c r="U112" s="166"/>
      <c r="V112" s="166"/>
      <c r="W112" s="166"/>
      <c r="X112" s="180" t="e">
        <f t="shared" si="57"/>
        <v>#N/A</v>
      </c>
      <c r="Y112" s="486"/>
      <c r="Z112" s="166"/>
      <c r="AA112" s="166"/>
      <c r="AB112" s="166"/>
      <c r="AC112" s="180" t="e">
        <f t="shared" si="57"/>
        <v>#N/A</v>
      </c>
      <c r="AD112" s="486"/>
      <c r="AE112" s="166"/>
      <c r="AF112" s="166"/>
      <c r="AG112" s="166"/>
      <c r="AH112" s="180" t="e">
        <f t="shared" si="57"/>
        <v>#N/A</v>
      </c>
      <c r="AI112" s="486"/>
      <c r="AJ112" s="166"/>
      <c r="AK112" s="166"/>
      <c r="AL112" s="166"/>
      <c r="AM112" s="180" t="e">
        <f t="shared" si="57"/>
        <v>#N/A</v>
      </c>
      <c r="AN112" s="486"/>
      <c r="AO112" s="166"/>
      <c r="AP112" s="166"/>
      <c r="AQ112" s="166"/>
      <c r="AR112" s="180" t="e">
        <f t="shared" si="65"/>
        <v>#N/A</v>
      </c>
      <c r="AS112" s="486"/>
      <c r="AT112" s="166"/>
      <c r="AU112" s="166"/>
      <c r="AV112" s="166"/>
      <c r="AW112" s="180" t="e">
        <f t="shared" si="65"/>
        <v>#N/A</v>
      </c>
      <c r="AX112" s="486"/>
    </row>
    <row r="113" spans="2:50">
      <c r="B113" s="479"/>
      <c r="C113" s="180">
        <v>7</v>
      </c>
      <c r="D113" s="201"/>
      <c r="E113" s="166"/>
      <c r="F113" s="166"/>
      <c r="G113" s="166"/>
      <c r="H113" s="460"/>
      <c r="I113" s="166" t="e">
        <f t="shared" si="69"/>
        <v>#DIV/0!</v>
      </c>
      <c r="J113" s="166" t="e">
        <f t="shared" si="69"/>
        <v>#DIV/0!</v>
      </c>
      <c r="K113" s="265" t="e">
        <f t="shared" si="69"/>
        <v>#DIV/0!</v>
      </c>
      <c r="L113" s="460"/>
      <c r="M113" s="166" t="e">
        <f>RANK(K113, K$67:$K$81)</f>
        <v>#DIV/0!</v>
      </c>
      <c r="N113" s="462"/>
      <c r="O113" s="462"/>
      <c r="P113" s="166"/>
      <c r="Q113" s="166"/>
      <c r="R113" s="166"/>
      <c r="S113" s="180" t="e">
        <f t="shared" si="70"/>
        <v>#N/A</v>
      </c>
      <c r="T113" s="486"/>
      <c r="U113" s="166"/>
      <c r="V113" s="166"/>
      <c r="W113" s="166"/>
      <c r="X113" s="180" t="e">
        <f t="shared" si="57"/>
        <v>#N/A</v>
      </c>
      <c r="Y113" s="486"/>
      <c r="Z113" s="166"/>
      <c r="AA113" s="166"/>
      <c r="AB113" s="166"/>
      <c r="AC113" s="180" t="e">
        <f t="shared" si="57"/>
        <v>#N/A</v>
      </c>
      <c r="AD113" s="486"/>
      <c r="AE113" s="166"/>
      <c r="AF113" s="166"/>
      <c r="AG113" s="166"/>
      <c r="AH113" s="180" t="e">
        <f t="shared" si="57"/>
        <v>#N/A</v>
      </c>
      <c r="AI113" s="486"/>
      <c r="AJ113" s="166"/>
      <c r="AK113" s="166"/>
      <c r="AL113" s="166"/>
      <c r="AM113" s="180" t="e">
        <f t="shared" si="57"/>
        <v>#N/A</v>
      </c>
      <c r="AN113" s="486"/>
      <c r="AO113" s="166"/>
      <c r="AP113" s="166"/>
      <c r="AQ113" s="166"/>
      <c r="AR113" s="180" t="e">
        <f t="shared" si="65"/>
        <v>#N/A</v>
      </c>
      <c r="AS113" s="486"/>
      <c r="AT113" s="166"/>
      <c r="AU113" s="166"/>
      <c r="AV113" s="166"/>
      <c r="AW113" s="180" t="e">
        <f t="shared" si="65"/>
        <v>#N/A</v>
      </c>
      <c r="AX113" s="486"/>
    </row>
    <row r="114" spans="2:50">
      <c r="B114" s="479"/>
      <c r="C114" s="180">
        <v>8</v>
      </c>
      <c r="D114" s="201"/>
      <c r="E114" s="166"/>
      <c r="F114" s="166"/>
      <c r="G114" s="166"/>
      <c r="H114" s="460"/>
      <c r="I114" s="166" t="e">
        <f t="shared" si="69"/>
        <v>#DIV/0!</v>
      </c>
      <c r="J114" s="166" t="e">
        <f t="shared" si="69"/>
        <v>#DIV/0!</v>
      </c>
      <c r="K114" s="265" t="e">
        <f t="shared" si="69"/>
        <v>#DIV/0!</v>
      </c>
      <c r="L114" s="460"/>
      <c r="M114" s="166" t="e">
        <f>RANK(K114, K$67:$K$81)</f>
        <v>#DIV/0!</v>
      </c>
      <c r="N114" s="462"/>
      <c r="O114" s="462"/>
      <c r="P114" s="166"/>
      <c r="Q114" s="166"/>
      <c r="R114" s="166"/>
      <c r="S114" s="180" t="e">
        <f t="shared" si="70"/>
        <v>#N/A</v>
      </c>
      <c r="T114" s="486"/>
      <c r="U114" s="166"/>
      <c r="V114" s="166"/>
      <c r="W114" s="166"/>
      <c r="X114" s="180" t="e">
        <f t="shared" si="57"/>
        <v>#N/A</v>
      </c>
      <c r="Y114" s="486"/>
      <c r="Z114" s="166"/>
      <c r="AA114" s="166"/>
      <c r="AB114" s="166"/>
      <c r="AC114" s="180" t="e">
        <f t="shared" si="57"/>
        <v>#N/A</v>
      </c>
      <c r="AD114" s="486"/>
      <c r="AE114" s="166"/>
      <c r="AF114" s="166"/>
      <c r="AG114" s="166"/>
      <c r="AH114" s="180" t="e">
        <f t="shared" si="57"/>
        <v>#N/A</v>
      </c>
      <c r="AI114" s="486"/>
      <c r="AJ114" s="166"/>
      <c r="AK114" s="166"/>
      <c r="AL114" s="166"/>
      <c r="AM114" s="180" t="e">
        <f t="shared" si="57"/>
        <v>#N/A</v>
      </c>
      <c r="AN114" s="486"/>
      <c r="AO114" s="166"/>
      <c r="AP114" s="166"/>
      <c r="AQ114" s="166"/>
      <c r="AR114" s="180" t="e">
        <f t="shared" si="65"/>
        <v>#N/A</v>
      </c>
      <c r="AS114" s="486"/>
      <c r="AT114" s="166"/>
      <c r="AU114" s="166"/>
      <c r="AV114" s="166"/>
      <c r="AW114" s="180" t="e">
        <f t="shared" si="65"/>
        <v>#N/A</v>
      </c>
      <c r="AX114" s="486"/>
    </row>
    <row r="115" spans="2:50">
      <c r="B115" s="479"/>
      <c r="C115" s="180">
        <v>9</v>
      </c>
      <c r="D115" s="201"/>
      <c r="E115" s="166"/>
      <c r="F115" s="166"/>
      <c r="G115" s="166"/>
      <c r="H115" s="460"/>
      <c r="I115" s="166" t="e">
        <f t="shared" si="69"/>
        <v>#DIV/0!</v>
      </c>
      <c r="J115" s="166" t="e">
        <f t="shared" si="69"/>
        <v>#DIV/0!</v>
      </c>
      <c r="K115" s="265" t="e">
        <f t="shared" si="69"/>
        <v>#DIV/0!</v>
      </c>
      <c r="L115" s="460"/>
      <c r="M115" s="166" t="e">
        <f>RANK(K115, K$67:$K$81)</f>
        <v>#DIV/0!</v>
      </c>
      <c r="N115" s="462"/>
      <c r="O115" s="462"/>
      <c r="P115" s="166"/>
      <c r="Q115" s="166"/>
      <c r="R115" s="166"/>
      <c r="S115" s="180" t="e">
        <f t="shared" si="70"/>
        <v>#N/A</v>
      </c>
      <c r="T115" s="486"/>
      <c r="U115" s="166"/>
      <c r="V115" s="166"/>
      <c r="W115" s="166"/>
      <c r="X115" s="180" t="e">
        <f t="shared" si="57"/>
        <v>#N/A</v>
      </c>
      <c r="Y115" s="486"/>
      <c r="Z115" s="166"/>
      <c r="AA115" s="166"/>
      <c r="AB115" s="166"/>
      <c r="AC115" s="180" t="e">
        <f t="shared" si="57"/>
        <v>#N/A</v>
      </c>
      <c r="AD115" s="486"/>
      <c r="AE115" s="166"/>
      <c r="AF115" s="166"/>
      <c r="AG115" s="166"/>
      <c r="AH115" s="180" t="e">
        <f t="shared" si="57"/>
        <v>#N/A</v>
      </c>
      <c r="AI115" s="486"/>
      <c r="AJ115" s="166"/>
      <c r="AK115" s="166"/>
      <c r="AL115" s="166"/>
      <c r="AM115" s="180" t="e">
        <f t="shared" si="57"/>
        <v>#N/A</v>
      </c>
      <c r="AN115" s="486"/>
      <c r="AO115" s="166"/>
      <c r="AP115" s="166"/>
      <c r="AQ115" s="166"/>
      <c r="AR115" s="180" t="e">
        <f t="shared" si="65"/>
        <v>#N/A</v>
      </c>
      <c r="AS115" s="486"/>
      <c r="AT115" s="166"/>
      <c r="AU115" s="166"/>
      <c r="AV115" s="166"/>
      <c r="AW115" s="180" t="e">
        <f t="shared" si="65"/>
        <v>#N/A</v>
      </c>
      <c r="AX115" s="486"/>
    </row>
    <row r="116" spans="2:50">
      <c r="B116" s="479"/>
      <c r="C116" s="180">
        <v>10</v>
      </c>
      <c r="D116" s="201"/>
      <c r="E116" s="166"/>
      <c r="F116" s="166"/>
      <c r="G116" s="166"/>
      <c r="H116" s="460"/>
      <c r="I116" s="166" t="e">
        <f t="shared" si="69"/>
        <v>#DIV/0!</v>
      </c>
      <c r="J116" s="166" t="e">
        <f t="shared" si="69"/>
        <v>#DIV/0!</v>
      </c>
      <c r="K116" s="265" t="e">
        <f t="shared" si="69"/>
        <v>#DIV/0!</v>
      </c>
      <c r="L116" s="460"/>
      <c r="M116" s="166" t="e">
        <f>RANK(K116, K$67:$K$81)</f>
        <v>#DIV/0!</v>
      </c>
      <c r="N116" s="462"/>
      <c r="O116" s="462"/>
      <c r="P116" s="166"/>
      <c r="Q116" s="166"/>
      <c r="R116" s="166"/>
      <c r="S116" s="180" t="e">
        <f t="shared" si="70"/>
        <v>#N/A</v>
      </c>
      <c r="T116" s="486"/>
      <c r="U116" s="166"/>
      <c r="V116" s="166"/>
      <c r="W116" s="166"/>
      <c r="X116" s="180" t="e">
        <f t="shared" si="57"/>
        <v>#N/A</v>
      </c>
      <c r="Y116" s="486"/>
      <c r="Z116" s="166"/>
      <c r="AA116" s="166"/>
      <c r="AB116" s="166"/>
      <c r="AC116" s="180" t="e">
        <f t="shared" si="57"/>
        <v>#N/A</v>
      </c>
      <c r="AD116" s="486"/>
      <c r="AE116" s="166"/>
      <c r="AF116" s="166"/>
      <c r="AG116" s="166"/>
      <c r="AH116" s="180" t="e">
        <f t="shared" si="57"/>
        <v>#N/A</v>
      </c>
      <c r="AI116" s="486"/>
      <c r="AJ116" s="166"/>
      <c r="AK116" s="166"/>
      <c r="AL116" s="166"/>
      <c r="AM116" s="180" t="e">
        <f t="shared" si="57"/>
        <v>#N/A</v>
      </c>
      <c r="AN116" s="486"/>
      <c r="AO116" s="166"/>
      <c r="AP116" s="166"/>
      <c r="AQ116" s="166"/>
      <c r="AR116" s="180" t="e">
        <f t="shared" si="65"/>
        <v>#N/A</v>
      </c>
      <c r="AS116" s="486"/>
      <c r="AT116" s="166"/>
      <c r="AU116" s="166"/>
      <c r="AV116" s="166"/>
      <c r="AW116" s="180" t="e">
        <f t="shared" si="65"/>
        <v>#N/A</v>
      </c>
      <c r="AX116" s="486"/>
    </row>
    <row r="117" spans="2:50">
      <c r="B117" s="479"/>
      <c r="C117" s="180">
        <v>11</v>
      </c>
      <c r="D117" s="201"/>
      <c r="E117" s="166"/>
      <c r="F117" s="166"/>
      <c r="G117" s="166"/>
      <c r="H117" s="460"/>
      <c r="I117" s="166" t="e">
        <f t="shared" si="69"/>
        <v>#DIV/0!</v>
      </c>
      <c r="J117" s="166" t="e">
        <f t="shared" si="69"/>
        <v>#DIV/0!</v>
      </c>
      <c r="K117" s="265" t="e">
        <f t="shared" si="69"/>
        <v>#DIV/0!</v>
      </c>
      <c r="L117" s="460"/>
      <c r="M117" s="166" t="e">
        <f>RANK(K117, K$67:$K$81)</f>
        <v>#DIV/0!</v>
      </c>
      <c r="N117" s="462"/>
      <c r="O117" s="462"/>
      <c r="P117" s="166"/>
      <c r="Q117" s="166"/>
      <c r="R117" s="166"/>
      <c r="S117" s="180" t="e">
        <f t="shared" si="70"/>
        <v>#N/A</v>
      </c>
      <c r="T117" s="486"/>
      <c r="U117" s="166"/>
      <c r="V117" s="166"/>
      <c r="W117" s="166"/>
      <c r="X117" s="180" t="e">
        <f t="shared" si="57"/>
        <v>#N/A</v>
      </c>
      <c r="Y117" s="486"/>
      <c r="Z117" s="166"/>
      <c r="AA117" s="166"/>
      <c r="AB117" s="166"/>
      <c r="AC117" s="180" t="e">
        <f t="shared" si="57"/>
        <v>#N/A</v>
      </c>
      <c r="AD117" s="486"/>
      <c r="AE117" s="166"/>
      <c r="AF117" s="166"/>
      <c r="AG117" s="166"/>
      <c r="AH117" s="180" t="e">
        <f t="shared" si="57"/>
        <v>#N/A</v>
      </c>
      <c r="AI117" s="486"/>
      <c r="AJ117" s="166"/>
      <c r="AK117" s="166"/>
      <c r="AL117" s="166"/>
      <c r="AM117" s="180" t="e">
        <f t="shared" si="57"/>
        <v>#N/A</v>
      </c>
      <c r="AN117" s="486"/>
      <c r="AO117" s="166"/>
      <c r="AP117" s="166"/>
      <c r="AQ117" s="166"/>
      <c r="AR117" s="180" t="e">
        <f t="shared" si="65"/>
        <v>#N/A</v>
      </c>
      <c r="AS117" s="486"/>
      <c r="AT117" s="166"/>
      <c r="AU117" s="166"/>
      <c r="AV117" s="166"/>
      <c r="AW117" s="180" t="e">
        <f t="shared" si="65"/>
        <v>#N/A</v>
      </c>
      <c r="AX117" s="486"/>
    </row>
    <row r="118" spans="2:50">
      <c r="B118" s="479"/>
      <c r="C118" s="180">
        <v>12</v>
      </c>
      <c r="D118" s="201"/>
      <c r="E118" s="166"/>
      <c r="F118" s="166"/>
      <c r="G118" s="166"/>
      <c r="H118" s="460"/>
      <c r="I118" s="166"/>
      <c r="J118" s="166"/>
      <c r="K118" s="265"/>
      <c r="L118" s="460"/>
      <c r="M118" s="166" t="e">
        <f>RANK(K118, K$67:$K$81)</f>
        <v>#N/A</v>
      </c>
      <c r="N118" s="462"/>
      <c r="O118" s="462"/>
      <c r="P118" s="166"/>
      <c r="Q118" s="166"/>
      <c r="R118" s="166"/>
      <c r="S118" s="180" t="e">
        <f t="shared" si="70"/>
        <v>#N/A</v>
      </c>
      <c r="T118" s="486"/>
      <c r="U118" s="166"/>
      <c r="V118" s="166"/>
      <c r="W118" s="166"/>
      <c r="X118" s="180" t="e">
        <f t="shared" si="57"/>
        <v>#N/A</v>
      </c>
      <c r="Y118" s="486"/>
      <c r="Z118" s="166"/>
      <c r="AA118" s="166"/>
      <c r="AB118" s="166"/>
      <c r="AC118" s="180" t="e">
        <f t="shared" si="57"/>
        <v>#N/A</v>
      </c>
      <c r="AD118" s="486"/>
      <c r="AE118" s="166"/>
      <c r="AF118" s="166"/>
      <c r="AG118" s="166"/>
      <c r="AH118" s="180" t="e">
        <f t="shared" si="57"/>
        <v>#N/A</v>
      </c>
      <c r="AI118" s="486"/>
      <c r="AJ118" s="166"/>
      <c r="AK118" s="166"/>
      <c r="AL118" s="166"/>
      <c r="AM118" s="180" t="e">
        <f t="shared" si="57"/>
        <v>#N/A</v>
      </c>
      <c r="AN118" s="486"/>
      <c r="AO118" s="166"/>
      <c r="AP118" s="166"/>
      <c r="AQ118" s="166"/>
      <c r="AR118" s="180" t="e">
        <f t="shared" si="65"/>
        <v>#N/A</v>
      </c>
      <c r="AS118" s="486"/>
      <c r="AT118" s="166"/>
      <c r="AU118" s="166"/>
      <c r="AV118" s="166"/>
      <c r="AW118" s="180" t="e">
        <f t="shared" si="65"/>
        <v>#N/A</v>
      </c>
      <c r="AX118" s="486"/>
    </row>
    <row r="119" spans="2:50">
      <c r="B119" s="479"/>
      <c r="C119" s="180">
        <v>13</v>
      </c>
      <c r="D119" s="201"/>
      <c r="E119" s="166"/>
      <c r="F119" s="166"/>
      <c r="G119" s="166"/>
      <c r="H119" s="460"/>
      <c r="I119" s="166"/>
      <c r="J119" s="166"/>
      <c r="K119" s="265"/>
      <c r="L119" s="460"/>
      <c r="M119" s="166" t="e">
        <f>RANK(K119, K$67:$K$81)</f>
        <v>#N/A</v>
      </c>
      <c r="N119" s="462"/>
      <c r="O119" s="462"/>
      <c r="P119" s="166"/>
      <c r="Q119" s="166"/>
      <c r="R119" s="166"/>
      <c r="S119" s="180" t="e">
        <f t="shared" si="70"/>
        <v>#N/A</v>
      </c>
      <c r="T119" s="486"/>
      <c r="U119" s="166"/>
      <c r="V119" s="166"/>
      <c r="W119" s="166"/>
      <c r="X119" s="180" t="e">
        <f t="shared" si="57"/>
        <v>#N/A</v>
      </c>
      <c r="Y119" s="486"/>
      <c r="Z119" s="166"/>
      <c r="AA119" s="166"/>
      <c r="AB119" s="166"/>
      <c r="AC119" s="180" t="e">
        <f t="shared" si="57"/>
        <v>#N/A</v>
      </c>
      <c r="AD119" s="486"/>
      <c r="AE119" s="166"/>
      <c r="AF119" s="166"/>
      <c r="AG119" s="166"/>
      <c r="AH119" s="180" t="e">
        <f t="shared" si="57"/>
        <v>#N/A</v>
      </c>
      <c r="AI119" s="486"/>
      <c r="AJ119" s="166"/>
      <c r="AK119" s="166"/>
      <c r="AL119" s="166"/>
      <c r="AM119" s="180" t="e">
        <f t="shared" si="57"/>
        <v>#N/A</v>
      </c>
      <c r="AN119" s="486"/>
      <c r="AO119" s="166"/>
      <c r="AP119" s="166"/>
      <c r="AQ119" s="166"/>
      <c r="AR119" s="180" t="e">
        <f t="shared" si="65"/>
        <v>#N/A</v>
      </c>
      <c r="AS119" s="486"/>
      <c r="AT119" s="166"/>
      <c r="AU119" s="166"/>
      <c r="AV119" s="166"/>
      <c r="AW119" s="180" t="e">
        <f t="shared" si="65"/>
        <v>#N/A</v>
      </c>
      <c r="AX119" s="486"/>
    </row>
    <row r="120" spans="2:50">
      <c r="B120" s="479"/>
      <c r="C120" s="180">
        <v>14</v>
      </c>
      <c r="D120" s="201"/>
      <c r="E120" s="166"/>
      <c r="F120" s="166"/>
      <c r="G120" s="166"/>
      <c r="H120" s="460"/>
      <c r="I120" s="166"/>
      <c r="J120" s="166"/>
      <c r="K120" s="265"/>
      <c r="L120" s="460"/>
      <c r="M120" s="166" t="e">
        <f>RANK(K120, K$67:$K$81)</f>
        <v>#N/A</v>
      </c>
      <c r="N120" s="462"/>
      <c r="O120" s="462"/>
      <c r="P120" s="166"/>
      <c r="Q120" s="166"/>
      <c r="R120" s="166"/>
      <c r="S120" s="180" t="e">
        <f t="shared" si="70"/>
        <v>#N/A</v>
      </c>
      <c r="T120" s="486"/>
      <c r="U120" s="166"/>
      <c r="V120" s="166"/>
      <c r="W120" s="166"/>
      <c r="X120" s="180" t="e">
        <f t="shared" si="57"/>
        <v>#N/A</v>
      </c>
      <c r="Y120" s="486"/>
      <c r="Z120" s="166"/>
      <c r="AA120" s="166"/>
      <c r="AB120" s="166"/>
      <c r="AC120" s="180" t="e">
        <f t="shared" si="57"/>
        <v>#N/A</v>
      </c>
      <c r="AD120" s="486"/>
      <c r="AE120" s="166"/>
      <c r="AF120" s="166"/>
      <c r="AG120" s="166"/>
      <c r="AH120" s="180" t="e">
        <f t="shared" si="57"/>
        <v>#N/A</v>
      </c>
      <c r="AI120" s="486"/>
      <c r="AJ120" s="166"/>
      <c r="AK120" s="166"/>
      <c r="AL120" s="166"/>
      <c r="AM120" s="180" t="e">
        <f t="shared" si="57"/>
        <v>#N/A</v>
      </c>
      <c r="AN120" s="486"/>
      <c r="AO120" s="166"/>
      <c r="AP120" s="166"/>
      <c r="AQ120" s="166"/>
      <c r="AR120" s="180" t="e">
        <f t="shared" si="65"/>
        <v>#N/A</v>
      </c>
      <c r="AS120" s="486"/>
      <c r="AT120" s="166"/>
      <c r="AU120" s="166"/>
      <c r="AV120" s="166"/>
      <c r="AW120" s="180" t="e">
        <f t="shared" si="65"/>
        <v>#N/A</v>
      </c>
      <c r="AX120" s="486"/>
    </row>
    <row r="121" spans="2:50">
      <c r="B121" s="479"/>
      <c r="C121" s="180">
        <v>15</v>
      </c>
      <c r="D121" s="201"/>
      <c r="E121" s="166"/>
      <c r="F121" s="166"/>
      <c r="G121" s="166"/>
      <c r="H121" s="461"/>
      <c r="I121" s="166"/>
      <c r="J121" s="166"/>
      <c r="K121" s="265"/>
      <c r="L121" s="461"/>
      <c r="M121" s="166" t="e">
        <f>RANK(K121, K$67:$K$81)</f>
        <v>#N/A</v>
      </c>
      <c r="N121" s="462"/>
      <c r="O121" s="462"/>
      <c r="P121" s="166"/>
      <c r="Q121" s="166"/>
      <c r="R121" s="166"/>
      <c r="S121" s="180" t="e">
        <f t="shared" si="70"/>
        <v>#N/A</v>
      </c>
      <c r="T121" s="486"/>
      <c r="U121" s="166"/>
      <c r="V121" s="166"/>
      <c r="W121" s="166"/>
      <c r="X121" s="180" t="e">
        <f t="shared" si="57"/>
        <v>#N/A</v>
      </c>
      <c r="Y121" s="486"/>
      <c r="Z121" s="166"/>
      <c r="AA121" s="166"/>
      <c r="AB121" s="166"/>
      <c r="AC121" s="180" t="e">
        <f t="shared" si="57"/>
        <v>#N/A</v>
      </c>
      <c r="AD121" s="486"/>
      <c r="AE121" s="166"/>
      <c r="AF121" s="166"/>
      <c r="AG121" s="166"/>
      <c r="AH121" s="180" t="e">
        <f t="shared" si="57"/>
        <v>#N/A</v>
      </c>
      <c r="AI121" s="486"/>
      <c r="AJ121" s="166"/>
      <c r="AK121" s="166"/>
      <c r="AL121" s="166"/>
      <c r="AM121" s="180" t="e">
        <f t="shared" si="57"/>
        <v>#N/A</v>
      </c>
      <c r="AN121" s="486"/>
      <c r="AO121" s="166"/>
      <c r="AP121" s="166"/>
      <c r="AQ121" s="166"/>
      <c r="AR121" s="180" t="e">
        <f t="shared" si="65"/>
        <v>#N/A</v>
      </c>
      <c r="AS121" s="486"/>
      <c r="AT121" s="166"/>
      <c r="AU121" s="166"/>
      <c r="AV121" s="166"/>
      <c r="AW121" s="180" t="e">
        <f t="shared" si="65"/>
        <v>#N/A</v>
      </c>
      <c r="AX121" s="486"/>
    </row>
    <row r="123" spans="2:50" ht="15.75">
      <c r="B123" s="502" t="s">
        <v>746</v>
      </c>
      <c r="C123" s="503"/>
      <c r="D123" s="503"/>
      <c r="E123" s="503"/>
      <c r="F123" s="503"/>
      <c r="G123" s="503"/>
      <c r="H123" s="503"/>
      <c r="I123" s="266"/>
      <c r="J123" s="266"/>
      <c r="K123" s="266"/>
      <c r="L123" s="266"/>
      <c r="M123" s="267"/>
    </row>
    <row r="124" spans="2:50" ht="15.75">
      <c r="B124" s="504"/>
      <c r="C124" s="504"/>
      <c r="D124" s="504"/>
      <c r="E124" s="504"/>
      <c r="F124" s="504"/>
      <c r="G124" s="504"/>
      <c r="H124" s="504"/>
      <c r="I124" s="268"/>
      <c r="J124" s="268"/>
      <c r="K124" s="268"/>
      <c r="L124" s="268"/>
      <c r="M124" s="269"/>
    </row>
    <row r="125" spans="2:50">
      <c r="B125" s="462" t="s">
        <v>731</v>
      </c>
      <c r="C125" s="462" t="s">
        <v>732</v>
      </c>
      <c r="D125" s="462"/>
      <c r="E125" s="462" t="s">
        <v>733</v>
      </c>
      <c r="F125" s="462"/>
      <c r="G125" s="462"/>
      <c r="H125" s="463" t="s">
        <v>734</v>
      </c>
      <c r="I125" s="505" t="s">
        <v>735</v>
      </c>
      <c r="J125" s="505"/>
      <c r="K125" s="505"/>
      <c r="L125" s="519" t="s">
        <v>734</v>
      </c>
      <c r="M125" s="522" t="s">
        <v>736</v>
      </c>
    </row>
    <row r="126" spans="2:50">
      <c r="B126" s="462"/>
      <c r="C126" s="462"/>
      <c r="D126" s="462"/>
      <c r="E126" s="462" t="s">
        <v>739</v>
      </c>
      <c r="F126" s="462"/>
      <c r="G126" s="462"/>
      <c r="H126" s="464"/>
      <c r="I126" s="505" t="s">
        <v>739</v>
      </c>
      <c r="J126" s="505"/>
      <c r="K126" s="505"/>
      <c r="L126" s="520"/>
      <c r="M126" s="523"/>
    </row>
    <row r="127" spans="2:50">
      <c r="B127" s="462"/>
      <c r="C127" s="462"/>
      <c r="D127" s="462"/>
      <c r="E127" s="264" t="s">
        <v>741</v>
      </c>
      <c r="F127" s="264" t="s">
        <v>742</v>
      </c>
      <c r="G127" s="264" t="s">
        <v>743</v>
      </c>
      <c r="H127" s="465"/>
      <c r="I127" s="270" t="s">
        <v>741</v>
      </c>
      <c r="J127" s="270" t="s">
        <v>742</v>
      </c>
      <c r="K127" s="270" t="s">
        <v>743</v>
      </c>
      <c r="L127" s="521"/>
      <c r="M127" s="524"/>
    </row>
    <row r="128" spans="2:50">
      <c r="B128" s="507" t="s">
        <v>750</v>
      </c>
      <c r="C128" s="180">
        <v>1</v>
      </c>
      <c r="D128" s="201"/>
      <c r="E128" s="166"/>
      <c r="F128" s="180"/>
      <c r="G128" s="265"/>
      <c r="H128" s="459" t="e">
        <f>AVERAGE(G128:G142)</f>
        <v>#DIV/0!</v>
      </c>
      <c r="I128" s="166" t="e">
        <f t="shared" ref="I128:K138" si="71">AVERAGEIF($D$7:$D$121,$D128,I$7:I$121)</f>
        <v>#DIV/0!</v>
      </c>
      <c r="J128" s="166" t="e">
        <f t="shared" si="71"/>
        <v>#DIV/0!</v>
      </c>
      <c r="K128" s="166" t="e">
        <f t="shared" si="71"/>
        <v>#DIV/0!</v>
      </c>
      <c r="L128" s="516" t="e">
        <f>AVERAGE(K128:K142)</f>
        <v>#DIV/0!</v>
      </c>
      <c r="M128" s="166" t="e">
        <f>RANK(K128, K$128:$K$142)</f>
        <v>#DIV/0!</v>
      </c>
    </row>
    <row r="129" spans="2:13" s="103" customFormat="1">
      <c r="B129" s="479"/>
      <c r="C129" s="180">
        <v>2</v>
      </c>
      <c r="D129" s="201"/>
      <c r="E129" s="166"/>
      <c r="F129" s="180"/>
      <c r="G129" s="265"/>
      <c r="H129" s="460"/>
      <c r="I129" s="166" t="e">
        <f t="shared" si="71"/>
        <v>#DIV/0!</v>
      </c>
      <c r="J129" s="166" t="e">
        <f t="shared" si="71"/>
        <v>#DIV/0!</v>
      </c>
      <c r="K129" s="166" t="e">
        <f t="shared" si="71"/>
        <v>#DIV/0!</v>
      </c>
      <c r="L129" s="517"/>
      <c r="M129" s="166" t="e">
        <f>RANK(K129, K$128:$K$142)</f>
        <v>#DIV/0!</v>
      </c>
    </row>
    <row r="130" spans="2:13" s="103" customFormat="1">
      <c r="B130" s="479"/>
      <c r="C130" s="180">
        <v>3</v>
      </c>
      <c r="D130" s="201"/>
      <c r="E130" s="166"/>
      <c r="F130" s="180"/>
      <c r="G130" s="265"/>
      <c r="H130" s="460"/>
      <c r="I130" s="166" t="e">
        <f t="shared" si="71"/>
        <v>#DIV/0!</v>
      </c>
      <c r="J130" s="166" t="e">
        <f t="shared" si="71"/>
        <v>#DIV/0!</v>
      </c>
      <c r="K130" s="166" t="e">
        <f t="shared" si="71"/>
        <v>#DIV/0!</v>
      </c>
      <c r="L130" s="517"/>
      <c r="M130" s="166" t="e">
        <f>RANK(K130, K$128:$K$142)</f>
        <v>#DIV/0!</v>
      </c>
    </row>
    <row r="131" spans="2:13" s="103" customFormat="1">
      <c r="B131" s="479"/>
      <c r="C131" s="180">
        <v>4</v>
      </c>
      <c r="D131" s="201"/>
      <c r="E131" s="166"/>
      <c r="F131" s="180"/>
      <c r="G131" s="265"/>
      <c r="H131" s="460"/>
      <c r="I131" s="166" t="e">
        <f t="shared" si="71"/>
        <v>#DIV/0!</v>
      </c>
      <c r="J131" s="166" t="e">
        <f t="shared" si="71"/>
        <v>#DIV/0!</v>
      </c>
      <c r="K131" s="166" t="e">
        <f t="shared" si="71"/>
        <v>#DIV/0!</v>
      </c>
      <c r="L131" s="517"/>
      <c r="M131" s="166" t="e">
        <f>RANK(K131, K$128:$K$142)</f>
        <v>#DIV/0!</v>
      </c>
    </row>
    <row r="132" spans="2:13" s="103" customFormat="1">
      <c r="B132" s="479"/>
      <c r="C132" s="180">
        <v>5</v>
      </c>
      <c r="D132" s="201"/>
      <c r="E132" s="166"/>
      <c r="F132" s="180"/>
      <c r="G132" s="265"/>
      <c r="H132" s="460"/>
      <c r="I132" s="166" t="e">
        <f t="shared" si="71"/>
        <v>#DIV/0!</v>
      </c>
      <c r="J132" s="166" t="e">
        <f t="shared" si="71"/>
        <v>#DIV/0!</v>
      </c>
      <c r="K132" s="166" t="e">
        <f t="shared" si="71"/>
        <v>#DIV/0!</v>
      </c>
      <c r="L132" s="517"/>
      <c r="M132" s="166" t="e">
        <f>RANK(K132, K$128:$K$142)</f>
        <v>#DIV/0!</v>
      </c>
    </row>
    <row r="133" spans="2:13" s="103" customFormat="1">
      <c r="B133" s="479"/>
      <c r="C133" s="180">
        <v>6</v>
      </c>
      <c r="D133" s="271"/>
      <c r="E133" s="166"/>
      <c r="F133" s="180"/>
      <c r="G133" s="265"/>
      <c r="H133" s="460"/>
      <c r="I133" s="166" t="e">
        <f t="shared" si="71"/>
        <v>#DIV/0!</v>
      </c>
      <c r="J133" s="166" t="e">
        <f t="shared" si="71"/>
        <v>#DIV/0!</v>
      </c>
      <c r="K133" s="166" t="e">
        <f t="shared" si="71"/>
        <v>#DIV/0!</v>
      </c>
      <c r="L133" s="517"/>
      <c r="M133" s="166" t="e">
        <f>RANK(K133, K$128:$K$142)</f>
        <v>#DIV/0!</v>
      </c>
    </row>
    <row r="134" spans="2:13" s="103" customFormat="1">
      <c r="B134" s="479"/>
      <c r="C134" s="180">
        <v>7</v>
      </c>
      <c r="D134" s="201"/>
      <c r="E134" s="166"/>
      <c r="F134" s="180"/>
      <c r="G134" s="265"/>
      <c r="H134" s="460"/>
      <c r="I134" s="166" t="e">
        <f t="shared" si="71"/>
        <v>#DIV/0!</v>
      </c>
      <c r="J134" s="166" t="e">
        <f t="shared" si="71"/>
        <v>#DIV/0!</v>
      </c>
      <c r="K134" s="166" t="e">
        <f t="shared" si="71"/>
        <v>#DIV/0!</v>
      </c>
      <c r="L134" s="517"/>
      <c r="M134" s="166" t="e">
        <f>RANK(K134, K$128:$K$142)</f>
        <v>#DIV/0!</v>
      </c>
    </row>
    <row r="135" spans="2:13" s="103" customFormat="1">
      <c r="B135" s="479"/>
      <c r="C135" s="180">
        <v>8</v>
      </c>
      <c r="D135" s="201"/>
      <c r="E135" s="166"/>
      <c r="F135" s="180"/>
      <c r="G135" s="265"/>
      <c r="H135" s="460"/>
      <c r="I135" s="166" t="e">
        <f t="shared" si="71"/>
        <v>#DIV/0!</v>
      </c>
      <c r="J135" s="166" t="e">
        <f t="shared" si="71"/>
        <v>#DIV/0!</v>
      </c>
      <c r="K135" s="166" t="e">
        <f t="shared" si="71"/>
        <v>#DIV/0!</v>
      </c>
      <c r="L135" s="517"/>
      <c r="M135" s="166" t="e">
        <f>RANK(K135, K$128:$K$142)</f>
        <v>#DIV/0!</v>
      </c>
    </row>
    <row r="136" spans="2:13" s="103" customFormat="1">
      <c r="B136" s="479"/>
      <c r="C136" s="180">
        <v>9</v>
      </c>
      <c r="D136" s="201"/>
      <c r="E136" s="180"/>
      <c r="F136" s="180"/>
      <c r="G136" s="180"/>
      <c r="H136" s="460"/>
      <c r="I136" s="166" t="e">
        <f t="shared" si="71"/>
        <v>#DIV/0!</v>
      </c>
      <c r="J136" s="166" t="e">
        <f t="shared" si="71"/>
        <v>#DIV/0!</v>
      </c>
      <c r="K136" s="166" t="e">
        <f t="shared" si="71"/>
        <v>#DIV/0!</v>
      </c>
      <c r="L136" s="517"/>
      <c r="M136" s="166" t="e">
        <f>RANK(K136, K$128:$K$142)</f>
        <v>#DIV/0!</v>
      </c>
    </row>
    <row r="137" spans="2:13" s="103" customFormat="1">
      <c r="B137" s="479"/>
      <c r="C137" s="180">
        <v>10</v>
      </c>
      <c r="D137" s="201"/>
      <c r="E137" s="180"/>
      <c r="F137" s="180"/>
      <c r="G137" s="180"/>
      <c r="H137" s="460"/>
      <c r="I137" s="166" t="e">
        <f t="shared" si="71"/>
        <v>#DIV/0!</v>
      </c>
      <c r="J137" s="166" t="e">
        <f t="shared" si="71"/>
        <v>#DIV/0!</v>
      </c>
      <c r="K137" s="166" t="e">
        <f t="shared" si="71"/>
        <v>#DIV/0!</v>
      </c>
      <c r="L137" s="517"/>
      <c r="M137" s="166" t="e">
        <f>RANK(K137, K$128:$K$142)</f>
        <v>#DIV/0!</v>
      </c>
    </row>
    <row r="138" spans="2:13" s="103" customFormat="1">
      <c r="B138" s="479"/>
      <c r="C138" s="180">
        <v>11</v>
      </c>
      <c r="D138" s="201"/>
      <c r="E138" s="180"/>
      <c r="F138" s="180"/>
      <c r="G138" s="180"/>
      <c r="H138" s="460"/>
      <c r="I138" s="166" t="e">
        <f t="shared" si="71"/>
        <v>#DIV/0!</v>
      </c>
      <c r="J138" s="166" t="e">
        <f t="shared" si="71"/>
        <v>#DIV/0!</v>
      </c>
      <c r="K138" s="166" t="e">
        <f t="shared" si="71"/>
        <v>#DIV/0!</v>
      </c>
      <c r="L138" s="517"/>
      <c r="M138" s="166" t="e">
        <f>RANK(K138, K$128:$K$142)</f>
        <v>#DIV/0!</v>
      </c>
    </row>
    <row r="139" spans="2:13" s="103" customFormat="1">
      <c r="B139" s="479"/>
      <c r="C139" s="180">
        <v>12</v>
      </c>
      <c r="D139" s="201"/>
      <c r="E139" s="180"/>
      <c r="F139" s="180"/>
      <c r="G139" s="180"/>
      <c r="H139" s="460"/>
      <c r="I139" s="166"/>
      <c r="J139" s="166"/>
      <c r="K139" s="166"/>
      <c r="L139" s="517"/>
      <c r="M139" s="166" t="e">
        <f>RANK(K139, K$128:$K$142)</f>
        <v>#DIV/0!</v>
      </c>
    </row>
    <row r="140" spans="2:13" s="103" customFormat="1">
      <c r="B140" s="479"/>
      <c r="C140" s="180">
        <v>13</v>
      </c>
      <c r="D140" s="201"/>
      <c r="E140" s="180"/>
      <c r="F140" s="180"/>
      <c r="G140" s="180"/>
      <c r="H140" s="460"/>
      <c r="I140" s="166"/>
      <c r="J140" s="166"/>
      <c r="K140" s="166"/>
      <c r="L140" s="517"/>
      <c r="M140" s="166" t="e">
        <f>RANK(K140, K$128:$K$142)</f>
        <v>#DIV/0!</v>
      </c>
    </row>
    <row r="141" spans="2:13" s="103" customFormat="1">
      <c r="B141" s="479"/>
      <c r="C141" s="180">
        <v>14</v>
      </c>
      <c r="D141" s="201"/>
      <c r="E141" s="180"/>
      <c r="F141" s="180"/>
      <c r="G141" s="180"/>
      <c r="H141" s="460"/>
      <c r="I141" s="166"/>
      <c r="J141" s="166"/>
      <c r="K141" s="166"/>
      <c r="L141" s="517"/>
      <c r="M141" s="166" t="e">
        <f>RANK(K141, K$128:$K$142)</f>
        <v>#DIV/0!</v>
      </c>
    </row>
    <row r="142" spans="2:13" s="103" customFormat="1">
      <c r="B142" s="479"/>
      <c r="C142" s="180">
        <v>15</v>
      </c>
      <c r="D142" s="201"/>
      <c r="E142" s="180"/>
      <c r="F142" s="180"/>
      <c r="G142" s="180"/>
      <c r="H142" s="461"/>
      <c r="I142" s="166"/>
      <c r="J142" s="166"/>
      <c r="K142" s="166"/>
      <c r="L142" s="518"/>
      <c r="M142" s="166" t="e">
        <f>RANK(K142, K$128:$K$142)</f>
        <v>#DIV/0!</v>
      </c>
    </row>
  </sheetData>
  <mergeCells count="367">
    <mergeCell ref="B128:B142"/>
    <mergeCell ref="H128:H142"/>
    <mergeCell ref="L128:L142"/>
    <mergeCell ref="AX107:AX121"/>
    <mergeCell ref="B123:H124"/>
    <mergeCell ref="B125:B127"/>
    <mergeCell ref="C125:D127"/>
    <mergeCell ref="E125:G125"/>
    <mergeCell ref="H125:H127"/>
    <mergeCell ref="I125:K125"/>
    <mergeCell ref="L125:L127"/>
    <mergeCell ref="M125:M127"/>
    <mergeCell ref="E126:G126"/>
    <mergeCell ref="I126:K126"/>
    <mergeCell ref="B107:B121"/>
    <mergeCell ref="H107:H121"/>
    <mergeCell ref="L107:L121"/>
    <mergeCell ref="T107:T121"/>
    <mergeCell ref="Y107:Y121"/>
    <mergeCell ref="AD107:AD121"/>
    <mergeCell ref="AI107:AI121"/>
    <mergeCell ref="AN107:AN121"/>
    <mergeCell ref="AS107:AS121"/>
    <mergeCell ref="AI104:AI106"/>
    <mergeCell ref="AJ104:AM104"/>
    <mergeCell ref="AN104:AN106"/>
    <mergeCell ref="AO104:AR104"/>
    <mergeCell ref="AS104:AS106"/>
    <mergeCell ref="AT104:AW104"/>
    <mergeCell ref="AX104:AX106"/>
    <mergeCell ref="E105:G105"/>
    <mergeCell ref="I105:K105"/>
    <mergeCell ref="P105:S105"/>
    <mergeCell ref="U105:X105"/>
    <mergeCell ref="Z105:AC105"/>
    <mergeCell ref="AE105:AH105"/>
    <mergeCell ref="AJ105:AM105"/>
    <mergeCell ref="AO105:AR105"/>
    <mergeCell ref="AT105:AW105"/>
    <mergeCell ref="AT102:AX102"/>
    <mergeCell ref="P103:T103"/>
    <mergeCell ref="U103:Y103"/>
    <mergeCell ref="Z103:AD103"/>
    <mergeCell ref="AE103:AI103"/>
    <mergeCell ref="AJ103:AN103"/>
    <mergeCell ref="AO103:AS103"/>
    <mergeCell ref="AT103:AX103"/>
    <mergeCell ref="B104:B106"/>
    <mergeCell ref="C104:D106"/>
    <mergeCell ref="E104:G104"/>
    <mergeCell ref="H104:H106"/>
    <mergeCell ref="I104:K104"/>
    <mergeCell ref="L104:L106"/>
    <mergeCell ref="M104:M106"/>
    <mergeCell ref="N104:N121"/>
    <mergeCell ref="O104:O121"/>
    <mergeCell ref="P104:S104"/>
    <mergeCell ref="T104:T106"/>
    <mergeCell ref="U104:X104"/>
    <mergeCell ref="Y104:Y106"/>
    <mergeCell ref="Z104:AC104"/>
    <mergeCell ref="AD104:AD106"/>
    <mergeCell ref="AE104:AH104"/>
    <mergeCell ref="B102:H103"/>
    <mergeCell ref="N102:N103"/>
    <mergeCell ref="O102:O103"/>
    <mergeCell ref="P102:T102"/>
    <mergeCell ref="U102:Y102"/>
    <mergeCell ref="Z102:AD102"/>
    <mergeCell ref="AE102:AI102"/>
    <mergeCell ref="AJ102:AN102"/>
    <mergeCell ref="AO102:AS102"/>
    <mergeCell ref="AE2:AI2"/>
    <mergeCell ref="AJ2:AN2"/>
    <mergeCell ref="AO2:AS2"/>
    <mergeCell ref="AT2:AX2"/>
    <mergeCell ref="P3:T3"/>
    <mergeCell ref="U3:Y3"/>
    <mergeCell ref="Z3:AD3"/>
    <mergeCell ref="AE3:AI3"/>
    <mergeCell ref="AJ3:AN3"/>
    <mergeCell ref="AO3:AS3"/>
    <mergeCell ref="P2:T2"/>
    <mergeCell ref="U2:Y2"/>
    <mergeCell ref="Z2:AD2"/>
    <mergeCell ref="AT3:AX3"/>
    <mergeCell ref="B2:H3"/>
    <mergeCell ref="N2:N3"/>
    <mergeCell ref="O2:O3"/>
    <mergeCell ref="AT4:AW4"/>
    <mergeCell ref="AX4:AX6"/>
    <mergeCell ref="E5:G5"/>
    <mergeCell ref="I5:K5"/>
    <mergeCell ref="P5:S5"/>
    <mergeCell ref="U5:X5"/>
    <mergeCell ref="Z5:AC5"/>
    <mergeCell ref="AE5:AH5"/>
    <mergeCell ref="AJ5:AM5"/>
    <mergeCell ref="AO5:AR5"/>
    <mergeCell ref="AE4:AH4"/>
    <mergeCell ref="AI4:AI6"/>
    <mergeCell ref="AJ4:AM4"/>
    <mergeCell ref="AN4:AN6"/>
    <mergeCell ref="AO4:AR4"/>
    <mergeCell ref="AS4:AS6"/>
    <mergeCell ref="P4:S4"/>
    <mergeCell ref="T4:T6"/>
    <mergeCell ref="U4:X4"/>
    <mergeCell ref="Y4:Y6"/>
    <mergeCell ref="Z4:AC4"/>
    <mergeCell ref="AD4:AD6"/>
    <mergeCell ref="AT5:AW5"/>
    <mergeCell ref="B7:B21"/>
    <mergeCell ref="H7:H21"/>
    <mergeCell ref="L7:L21"/>
    <mergeCell ref="T7:T21"/>
    <mergeCell ref="Y7:Y21"/>
    <mergeCell ref="AD7:AD21"/>
    <mergeCell ref="AI7:AI21"/>
    <mergeCell ref="AN7:AN21"/>
    <mergeCell ref="AS7:AS21"/>
    <mergeCell ref="B4:B6"/>
    <mergeCell ref="C4:D6"/>
    <mergeCell ref="E4:G4"/>
    <mergeCell ref="H4:H6"/>
    <mergeCell ref="I4:K4"/>
    <mergeCell ref="L4:L6"/>
    <mergeCell ref="M4:M6"/>
    <mergeCell ref="N4:N21"/>
    <mergeCell ref="O4:O21"/>
    <mergeCell ref="B22:H23"/>
    <mergeCell ref="N22:N23"/>
    <mergeCell ref="O22:O23"/>
    <mergeCell ref="P22:T22"/>
    <mergeCell ref="U22:Y22"/>
    <mergeCell ref="Z22:AD22"/>
    <mergeCell ref="AE22:AI22"/>
    <mergeCell ref="AJ22:AN22"/>
    <mergeCell ref="AO22:AS22"/>
    <mergeCell ref="AT22:AX22"/>
    <mergeCell ref="P23:T23"/>
    <mergeCell ref="U23:Y23"/>
    <mergeCell ref="Z23:AD23"/>
    <mergeCell ref="AE23:AI23"/>
    <mergeCell ref="AJ23:AN23"/>
    <mergeCell ref="AO23:AS23"/>
    <mergeCell ref="AT23:AX23"/>
    <mergeCell ref="AX7:AX21"/>
    <mergeCell ref="AX24:AX26"/>
    <mergeCell ref="E25:G25"/>
    <mergeCell ref="I25:K25"/>
    <mergeCell ref="P25:S25"/>
    <mergeCell ref="U25:X25"/>
    <mergeCell ref="Z25:AC25"/>
    <mergeCell ref="Y24:Y26"/>
    <mergeCell ref="Z24:AC24"/>
    <mergeCell ref="AD24:AD26"/>
    <mergeCell ref="AE24:AH24"/>
    <mergeCell ref="AI24:AI26"/>
    <mergeCell ref="AJ24:AM24"/>
    <mergeCell ref="AE25:AH25"/>
    <mergeCell ref="AJ25:AM25"/>
    <mergeCell ref="M24:M26"/>
    <mergeCell ref="N24:N41"/>
    <mergeCell ref="O24:O41"/>
    <mergeCell ref="P24:S24"/>
    <mergeCell ref="T24:T26"/>
    <mergeCell ref="U24:X24"/>
    <mergeCell ref="E24:G24"/>
    <mergeCell ref="H24:H26"/>
    <mergeCell ref="I24:K24"/>
    <mergeCell ref="L24:L26"/>
    <mergeCell ref="AO25:AR25"/>
    <mergeCell ref="AT25:AW25"/>
    <mergeCell ref="B27:B41"/>
    <mergeCell ref="H27:H41"/>
    <mergeCell ref="L27:L41"/>
    <mergeCell ref="T27:T41"/>
    <mergeCell ref="Y27:Y41"/>
    <mergeCell ref="AD27:AD41"/>
    <mergeCell ref="AI27:AI41"/>
    <mergeCell ref="AN27:AN41"/>
    <mergeCell ref="AN24:AN26"/>
    <mergeCell ref="AO24:AR24"/>
    <mergeCell ref="AS24:AS26"/>
    <mergeCell ref="AT24:AW24"/>
    <mergeCell ref="B24:B26"/>
    <mergeCell ref="C24:D26"/>
    <mergeCell ref="AS27:AS41"/>
    <mergeCell ref="AX27:AX41"/>
    <mergeCell ref="B42:H43"/>
    <mergeCell ref="N42:N43"/>
    <mergeCell ref="O42:O43"/>
    <mergeCell ref="P42:T42"/>
    <mergeCell ref="U42:Y42"/>
    <mergeCell ref="Z42:AD42"/>
    <mergeCell ref="AE42:AI42"/>
    <mergeCell ref="AJ42:AN42"/>
    <mergeCell ref="AO42:AS42"/>
    <mergeCell ref="AT42:AX42"/>
    <mergeCell ref="P43:T43"/>
    <mergeCell ref="U43:Y43"/>
    <mergeCell ref="Z43:AD43"/>
    <mergeCell ref="AE43:AI43"/>
    <mergeCell ref="AJ43:AN43"/>
    <mergeCell ref="AO43:AS43"/>
    <mergeCell ref="AT43:AX43"/>
    <mergeCell ref="AX44:AX46"/>
    <mergeCell ref="E45:G45"/>
    <mergeCell ref="I45:K45"/>
    <mergeCell ref="P45:S45"/>
    <mergeCell ref="U45:X45"/>
    <mergeCell ref="Z45:AC45"/>
    <mergeCell ref="Y44:Y46"/>
    <mergeCell ref="Z44:AC44"/>
    <mergeCell ref="AD44:AD46"/>
    <mergeCell ref="AE44:AH44"/>
    <mergeCell ref="AI44:AI46"/>
    <mergeCell ref="AJ44:AM44"/>
    <mergeCell ref="AE45:AH45"/>
    <mergeCell ref="AJ45:AM45"/>
    <mergeCell ref="M44:M46"/>
    <mergeCell ref="N44:N61"/>
    <mergeCell ref="O44:O61"/>
    <mergeCell ref="P44:S44"/>
    <mergeCell ref="T44:T46"/>
    <mergeCell ref="U44:X44"/>
    <mergeCell ref="E44:G44"/>
    <mergeCell ref="H44:H46"/>
    <mergeCell ref="I44:K44"/>
    <mergeCell ref="L44:L46"/>
    <mergeCell ref="AO45:AR45"/>
    <mergeCell ref="AT45:AW45"/>
    <mergeCell ref="B47:B61"/>
    <mergeCell ref="H47:H61"/>
    <mergeCell ref="L47:L61"/>
    <mergeCell ref="T47:T61"/>
    <mergeCell ref="Y47:Y61"/>
    <mergeCell ref="AD47:AD61"/>
    <mergeCell ref="AI47:AI61"/>
    <mergeCell ref="AN47:AN61"/>
    <mergeCell ref="AN44:AN46"/>
    <mergeCell ref="AO44:AR44"/>
    <mergeCell ref="AS44:AS46"/>
    <mergeCell ref="AT44:AW44"/>
    <mergeCell ref="B44:B46"/>
    <mergeCell ref="C44:D46"/>
    <mergeCell ref="AS47:AS61"/>
    <mergeCell ref="AX47:AX61"/>
    <mergeCell ref="B62:H63"/>
    <mergeCell ref="N62:N63"/>
    <mergeCell ref="O62:O63"/>
    <mergeCell ref="P62:T62"/>
    <mergeCell ref="U62:Y62"/>
    <mergeCell ref="Z62:AD62"/>
    <mergeCell ref="AE62:AI62"/>
    <mergeCell ref="AJ62:AN62"/>
    <mergeCell ref="AO62:AS62"/>
    <mergeCell ref="AT62:AX62"/>
    <mergeCell ref="P63:T63"/>
    <mergeCell ref="U63:Y63"/>
    <mergeCell ref="Z63:AD63"/>
    <mergeCell ref="AE63:AI63"/>
    <mergeCell ref="AJ63:AN63"/>
    <mergeCell ref="AO63:AS63"/>
    <mergeCell ref="AT63:AX63"/>
    <mergeCell ref="AD87:AD101"/>
    <mergeCell ref="AI87:AI101"/>
    <mergeCell ref="B84:B86"/>
    <mergeCell ref="AX64:AX66"/>
    <mergeCell ref="E65:G65"/>
    <mergeCell ref="I65:K65"/>
    <mergeCell ref="P65:S65"/>
    <mergeCell ref="U65:X65"/>
    <mergeCell ref="Z65:AC65"/>
    <mergeCell ref="Y64:Y66"/>
    <mergeCell ref="Z64:AC64"/>
    <mergeCell ref="AD64:AD66"/>
    <mergeCell ref="AE64:AH64"/>
    <mergeCell ref="AI64:AI66"/>
    <mergeCell ref="AJ64:AM64"/>
    <mergeCell ref="AE65:AH65"/>
    <mergeCell ref="AJ65:AM65"/>
    <mergeCell ref="M64:M66"/>
    <mergeCell ref="N64:N81"/>
    <mergeCell ref="O64:O81"/>
    <mergeCell ref="P64:S64"/>
    <mergeCell ref="T64:T66"/>
    <mergeCell ref="U64:X64"/>
    <mergeCell ref="E64:G64"/>
    <mergeCell ref="AO65:AR65"/>
    <mergeCell ref="AT65:AW65"/>
    <mergeCell ref="B67:B81"/>
    <mergeCell ref="H67:H81"/>
    <mergeCell ref="L67:L81"/>
    <mergeCell ref="T67:T81"/>
    <mergeCell ref="Y67:Y81"/>
    <mergeCell ref="AD67:AD81"/>
    <mergeCell ref="AI67:AI81"/>
    <mergeCell ref="AN67:AN81"/>
    <mergeCell ref="AN64:AN66"/>
    <mergeCell ref="AO64:AR64"/>
    <mergeCell ref="AS64:AS66"/>
    <mergeCell ref="AT64:AW64"/>
    <mergeCell ref="B64:B66"/>
    <mergeCell ref="C64:D66"/>
    <mergeCell ref="AS67:AS81"/>
    <mergeCell ref="H64:H66"/>
    <mergeCell ref="I64:K64"/>
    <mergeCell ref="L64:L66"/>
    <mergeCell ref="AX67:AX81"/>
    <mergeCell ref="B82:H83"/>
    <mergeCell ref="N82:N83"/>
    <mergeCell ref="O82:O83"/>
    <mergeCell ref="P82:T82"/>
    <mergeCell ref="U82:Y82"/>
    <mergeCell ref="Z82:AD82"/>
    <mergeCell ref="AE82:AI82"/>
    <mergeCell ref="AJ82:AN82"/>
    <mergeCell ref="AO82:AS82"/>
    <mergeCell ref="AT82:AX82"/>
    <mergeCell ref="P83:T83"/>
    <mergeCell ref="U83:Y83"/>
    <mergeCell ref="Z83:AD83"/>
    <mergeCell ref="AE83:AI83"/>
    <mergeCell ref="AJ83:AN83"/>
    <mergeCell ref="AO83:AS83"/>
    <mergeCell ref="AT83:AX83"/>
    <mergeCell ref="Z84:AC84"/>
    <mergeCell ref="P84:S84"/>
    <mergeCell ref="T84:T86"/>
    <mergeCell ref="U84:X84"/>
    <mergeCell ref="E85:G85"/>
    <mergeCell ref="I85:K85"/>
    <mergeCell ref="P85:S85"/>
    <mergeCell ref="U85:X85"/>
    <mergeCell ref="M84:M86"/>
    <mergeCell ref="N84:N101"/>
    <mergeCell ref="O84:O101"/>
    <mergeCell ref="H87:H101"/>
    <mergeCell ref="L87:L101"/>
    <mergeCell ref="T87:T101"/>
    <mergeCell ref="Y87:Y101"/>
    <mergeCell ref="B87:B101"/>
    <mergeCell ref="AS87:AS101"/>
    <mergeCell ref="AX87:AX101"/>
    <mergeCell ref="AO85:AR85"/>
    <mergeCell ref="AT85:AW85"/>
    <mergeCell ref="AO84:AR84"/>
    <mergeCell ref="AS84:AS86"/>
    <mergeCell ref="AT84:AW84"/>
    <mergeCell ref="AX84:AX86"/>
    <mergeCell ref="AJ85:AM85"/>
    <mergeCell ref="AN87:AN101"/>
    <mergeCell ref="AN84:AN86"/>
    <mergeCell ref="AJ84:AM84"/>
    <mergeCell ref="C84:D86"/>
    <mergeCell ref="E84:G84"/>
    <mergeCell ref="H84:H86"/>
    <mergeCell ref="I84:K84"/>
    <mergeCell ref="L84:L86"/>
    <mergeCell ref="AD84:AD86"/>
    <mergeCell ref="AE84:AH84"/>
    <mergeCell ref="AI84:AI86"/>
    <mergeCell ref="AE85:AH85"/>
    <mergeCell ref="Z85:AC85"/>
    <mergeCell ref="Y84:Y86"/>
  </mergeCells>
  <phoneticPr fontId="11" type="noConversion"/>
  <pageMargins left="0.7" right="0.7" top="0.75" bottom="0.75" header="0.3" footer="0.3"/>
  <pageSetup paperSize="9" orientation="portrait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FFCC"/>
  </sheetPr>
  <dimension ref="A1:BB142"/>
  <sheetViews>
    <sheetView zoomScale="55" zoomScaleNormal="55" workbookViewId="0">
      <pane xSplit="15" topLeftCell="P1" activePane="topRight" state="frozen"/>
      <selection activeCell="B144" sqref="B144:AX176"/>
      <selection pane="topRight" activeCell="AT87" sqref="AT87:AV88"/>
    </sheetView>
  </sheetViews>
  <sheetFormatPr defaultColWidth="8.85546875" defaultRowHeight="12.75"/>
  <cols>
    <col min="1" max="1" width="5.5703125" style="103" customWidth="1"/>
    <col min="2" max="2" width="12.42578125" style="103" customWidth="1"/>
    <col min="3" max="3" width="8.85546875" style="102"/>
    <col min="4" max="4" width="26.42578125" style="102" customWidth="1"/>
    <col min="5" max="7" width="8.42578125" style="102" customWidth="1"/>
    <col min="8" max="8" width="11.140625" style="102" bestFit="1" customWidth="1"/>
    <col min="9" max="12" width="11.140625" style="102" customWidth="1"/>
    <col min="13" max="13" width="13.5703125" style="102" customWidth="1"/>
    <col min="14" max="14" width="9.85546875" style="102" customWidth="1"/>
    <col min="15" max="15" width="7.140625" style="102" customWidth="1"/>
    <col min="16" max="18" width="12.85546875" style="102" customWidth="1"/>
    <col min="19" max="19" width="5.42578125" style="102" customWidth="1"/>
    <col min="20" max="20" width="12.85546875" style="102" customWidth="1"/>
    <col min="21" max="23" width="12.85546875" style="103" customWidth="1"/>
    <col min="24" max="24" width="5.42578125" style="102" customWidth="1"/>
    <col min="25" max="28" width="12.85546875" style="103" customWidth="1"/>
    <col min="29" max="29" width="5.42578125" style="102" customWidth="1"/>
    <col min="30" max="30" width="12.85546875" style="103" customWidth="1"/>
    <col min="31" max="33" width="12.5703125" style="103" customWidth="1"/>
    <col min="34" max="34" width="5.42578125" style="102" customWidth="1"/>
    <col min="35" max="35" width="13" style="103" customWidth="1"/>
    <col min="36" max="38" width="12.5703125" style="103" customWidth="1"/>
    <col min="39" max="39" width="5.42578125" style="102" customWidth="1"/>
    <col min="40" max="40" width="13" style="103" customWidth="1"/>
    <col min="41" max="43" width="13.140625" style="103" customWidth="1"/>
    <col min="44" max="44" width="5.42578125" style="103" customWidth="1"/>
    <col min="45" max="48" width="13.140625" style="103" customWidth="1"/>
    <col min="49" max="49" width="5.42578125" style="103" customWidth="1"/>
    <col min="50" max="50" width="13.140625" style="103" customWidth="1"/>
    <col min="51" max="16384" width="8.85546875" style="103"/>
  </cols>
  <sheetData>
    <row r="1" spans="1:54" ht="24">
      <c r="A1" s="74"/>
      <c r="B1" s="196" t="s">
        <v>328</v>
      </c>
      <c r="C1" s="195">
        <f>AVERAGE(L7,L27,L47,L67,L87,L107)</f>
        <v>122.98264299131024</v>
      </c>
    </row>
    <row r="2" spans="1:54" ht="15.75">
      <c r="A2" s="79"/>
      <c r="B2" s="480" t="s">
        <v>721</v>
      </c>
      <c r="C2" s="480"/>
      <c r="D2" s="480"/>
      <c r="E2" s="480"/>
      <c r="F2" s="480"/>
      <c r="G2" s="480"/>
      <c r="H2" s="480"/>
      <c r="I2" s="181"/>
      <c r="J2" s="181"/>
      <c r="K2" s="181"/>
      <c r="L2" s="181"/>
      <c r="M2" s="178"/>
      <c r="N2" s="469" t="s">
        <v>722</v>
      </c>
      <c r="O2" s="469" t="s">
        <v>723</v>
      </c>
      <c r="P2" s="513"/>
      <c r="Q2" s="514"/>
      <c r="R2" s="514"/>
      <c r="S2" s="514"/>
      <c r="T2" s="515"/>
      <c r="U2" s="478"/>
      <c r="V2" s="479"/>
      <c r="W2" s="479"/>
      <c r="X2" s="479"/>
      <c r="Y2" s="479"/>
      <c r="Z2" s="478"/>
      <c r="AA2" s="479"/>
      <c r="AB2" s="479"/>
      <c r="AC2" s="479"/>
      <c r="AD2" s="479"/>
      <c r="AE2" s="478"/>
      <c r="AF2" s="479"/>
      <c r="AG2" s="479"/>
      <c r="AH2" s="479"/>
      <c r="AI2" s="479"/>
      <c r="AJ2" s="478"/>
      <c r="AK2" s="479"/>
      <c r="AL2" s="479"/>
      <c r="AM2" s="479"/>
      <c r="AN2" s="479"/>
      <c r="AO2" s="478">
        <v>46054</v>
      </c>
      <c r="AP2" s="479"/>
      <c r="AQ2" s="479"/>
      <c r="AR2" s="479"/>
      <c r="AS2" s="479"/>
      <c r="AT2" s="478">
        <f>AO2+1</f>
        <v>46055</v>
      </c>
      <c r="AU2" s="479"/>
      <c r="AV2" s="479"/>
      <c r="AW2" s="479"/>
      <c r="AX2" s="479"/>
    </row>
    <row r="3" spans="1:54" ht="15.75">
      <c r="A3" s="79"/>
      <c r="B3" s="495"/>
      <c r="C3" s="495"/>
      <c r="D3" s="495"/>
      <c r="E3" s="495"/>
      <c r="F3" s="495"/>
      <c r="G3" s="495"/>
      <c r="H3" s="495"/>
      <c r="I3" s="182"/>
      <c r="J3" s="182"/>
      <c r="K3" s="182"/>
      <c r="L3" s="182"/>
      <c r="M3" s="179"/>
      <c r="N3" s="471"/>
      <c r="O3" s="471"/>
      <c r="P3" s="475" t="s">
        <v>724</v>
      </c>
      <c r="Q3" s="476"/>
      <c r="R3" s="476"/>
      <c r="S3" s="476"/>
      <c r="T3" s="477"/>
      <c r="U3" s="475" t="s">
        <v>725</v>
      </c>
      <c r="V3" s="476"/>
      <c r="W3" s="476"/>
      <c r="X3" s="476"/>
      <c r="Y3" s="477"/>
      <c r="Z3" s="475" t="s">
        <v>726</v>
      </c>
      <c r="AA3" s="476"/>
      <c r="AB3" s="476"/>
      <c r="AC3" s="476"/>
      <c r="AD3" s="477"/>
      <c r="AE3" s="475" t="s">
        <v>727</v>
      </c>
      <c r="AF3" s="476"/>
      <c r="AG3" s="476"/>
      <c r="AH3" s="476"/>
      <c r="AI3" s="477"/>
      <c r="AJ3" s="475" t="s">
        <v>728</v>
      </c>
      <c r="AK3" s="476"/>
      <c r="AL3" s="476"/>
      <c r="AM3" s="476"/>
      <c r="AN3" s="477"/>
      <c r="AO3" s="475" t="s">
        <v>729</v>
      </c>
      <c r="AP3" s="476"/>
      <c r="AQ3" s="476"/>
      <c r="AR3" s="476"/>
      <c r="AS3" s="477"/>
      <c r="AT3" s="475" t="s">
        <v>730</v>
      </c>
      <c r="AU3" s="476"/>
      <c r="AV3" s="476"/>
      <c r="AW3" s="476"/>
      <c r="AX3" s="477"/>
    </row>
    <row r="4" spans="1:54" ht="14.25">
      <c r="A4" s="79"/>
      <c r="B4" s="462" t="s">
        <v>731</v>
      </c>
      <c r="C4" s="462" t="s">
        <v>732</v>
      </c>
      <c r="D4" s="462"/>
      <c r="E4" s="462" t="s">
        <v>733</v>
      </c>
      <c r="F4" s="462"/>
      <c r="G4" s="462"/>
      <c r="H4" s="463" t="s">
        <v>734</v>
      </c>
      <c r="I4" s="462" t="s">
        <v>735</v>
      </c>
      <c r="J4" s="462"/>
      <c r="K4" s="462"/>
      <c r="L4" s="463" t="s">
        <v>734</v>
      </c>
      <c r="M4" s="469" t="s">
        <v>736</v>
      </c>
      <c r="N4" s="462"/>
      <c r="O4" s="462" t="s">
        <v>737</v>
      </c>
      <c r="P4" s="466" t="s">
        <v>738</v>
      </c>
      <c r="Q4" s="467"/>
      <c r="R4" s="467"/>
      <c r="S4" s="468"/>
      <c r="T4" s="462" t="s">
        <v>402</v>
      </c>
      <c r="U4" s="466" t="s">
        <v>738</v>
      </c>
      <c r="V4" s="467"/>
      <c r="W4" s="467"/>
      <c r="X4" s="468"/>
      <c r="Y4" s="462" t="s">
        <v>734</v>
      </c>
      <c r="Z4" s="466" t="s">
        <v>738</v>
      </c>
      <c r="AA4" s="467"/>
      <c r="AB4" s="467"/>
      <c r="AC4" s="468"/>
      <c r="AD4" s="462" t="s">
        <v>734</v>
      </c>
      <c r="AE4" s="466" t="s">
        <v>738</v>
      </c>
      <c r="AF4" s="467"/>
      <c r="AG4" s="467"/>
      <c r="AH4" s="468"/>
      <c r="AI4" s="462" t="s">
        <v>734</v>
      </c>
      <c r="AJ4" s="466" t="s">
        <v>738</v>
      </c>
      <c r="AK4" s="467"/>
      <c r="AL4" s="467"/>
      <c r="AM4" s="468"/>
      <c r="AN4" s="462" t="s">
        <v>734</v>
      </c>
      <c r="AO4" s="466" t="s">
        <v>738</v>
      </c>
      <c r="AP4" s="467"/>
      <c r="AQ4" s="467"/>
      <c r="AR4" s="468"/>
      <c r="AS4" s="462" t="s">
        <v>734</v>
      </c>
      <c r="AT4" s="466" t="s">
        <v>738</v>
      </c>
      <c r="AU4" s="467"/>
      <c r="AV4" s="467"/>
      <c r="AW4" s="468"/>
      <c r="AX4" s="462" t="s">
        <v>734</v>
      </c>
    </row>
    <row r="5" spans="1:54" ht="14.25">
      <c r="A5" s="79"/>
      <c r="B5" s="462"/>
      <c r="C5" s="462"/>
      <c r="D5" s="462"/>
      <c r="E5" s="462" t="s">
        <v>739</v>
      </c>
      <c r="F5" s="462"/>
      <c r="G5" s="462"/>
      <c r="H5" s="464"/>
      <c r="I5" s="462" t="s">
        <v>739</v>
      </c>
      <c r="J5" s="462"/>
      <c r="K5" s="462"/>
      <c r="L5" s="464"/>
      <c r="M5" s="470"/>
      <c r="N5" s="462"/>
      <c r="O5" s="462"/>
      <c r="P5" s="466" t="s">
        <v>740</v>
      </c>
      <c r="Q5" s="467"/>
      <c r="R5" s="467"/>
      <c r="S5" s="468"/>
      <c r="T5" s="462"/>
      <c r="U5" s="466" t="s">
        <v>740</v>
      </c>
      <c r="V5" s="467"/>
      <c r="W5" s="467"/>
      <c r="X5" s="468"/>
      <c r="Y5" s="462"/>
      <c r="Z5" s="466" t="s">
        <v>740</v>
      </c>
      <c r="AA5" s="467"/>
      <c r="AB5" s="467"/>
      <c r="AC5" s="468"/>
      <c r="AD5" s="462"/>
      <c r="AE5" s="466" t="s">
        <v>740</v>
      </c>
      <c r="AF5" s="467"/>
      <c r="AG5" s="467"/>
      <c r="AH5" s="468"/>
      <c r="AI5" s="462"/>
      <c r="AJ5" s="466" t="s">
        <v>740</v>
      </c>
      <c r="AK5" s="467"/>
      <c r="AL5" s="467"/>
      <c r="AM5" s="468"/>
      <c r="AN5" s="462"/>
      <c r="AO5" s="466" t="s">
        <v>740</v>
      </c>
      <c r="AP5" s="467"/>
      <c r="AQ5" s="467"/>
      <c r="AR5" s="468"/>
      <c r="AS5" s="462"/>
      <c r="AT5" s="466" t="s">
        <v>740</v>
      </c>
      <c r="AU5" s="467"/>
      <c r="AV5" s="467"/>
      <c r="AW5" s="468"/>
      <c r="AX5" s="462"/>
    </row>
    <row r="6" spans="1:54" ht="14.25">
      <c r="A6" s="77"/>
      <c r="B6" s="462"/>
      <c r="C6" s="462"/>
      <c r="D6" s="462"/>
      <c r="E6" s="264" t="s">
        <v>741</v>
      </c>
      <c r="F6" s="264" t="s">
        <v>742</v>
      </c>
      <c r="G6" s="264" t="s">
        <v>743</v>
      </c>
      <c r="H6" s="465"/>
      <c r="I6" s="264" t="s">
        <v>741</v>
      </c>
      <c r="J6" s="264" t="s">
        <v>742</v>
      </c>
      <c r="K6" s="264" t="s">
        <v>743</v>
      </c>
      <c r="L6" s="465"/>
      <c r="M6" s="471"/>
      <c r="N6" s="462"/>
      <c r="O6" s="462"/>
      <c r="P6" s="264" t="s">
        <v>741</v>
      </c>
      <c r="Q6" s="264" t="s">
        <v>742</v>
      </c>
      <c r="R6" s="264" t="s">
        <v>743</v>
      </c>
      <c r="S6" s="264" t="s">
        <v>736</v>
      </c>
      <c r="T6" s="462"/>
      <c r="U6" s="264" t="s">
        <v>741</v>
      </c>
      <c r="V6" s="264" t="s">
        <v>742</v>
      </c>
      <c r="W6" s="264" t="s">
        <v>743</v>
      </c>
      <c r="X6" s="264" t="s">
        <v>736</v>
      </c>
      <c r="Y6" s="462"/>
      <c r="Z6" s="264" t="s">
        <v>741</v>
      </c>
      <c r="AA6" s="264" t="s">
        <v>742</v>
      </c>
      <c r="AB6" s="264" t="s">
        <v>743</v>
      </c>
      <c r="AC6" s="264" t="s">
        <v>736</v>
      </c>
      <c r="AD6" s="462"/>
      <c r="AE6" s="264" t="s">
        <v>741</v>
      </c>
      <c r="AF6" s="264" t="s">
        <v>742</v>
      </c>
      <c r="AG6" s="264" t="s">
        <v>743</v>
      </c>
      <c r="AH6" s="264" t="s">
        <v>736</v>
      </c>
      <c r="AI6" s="462"/>
      <c r="AJ6" s="264" t="s">
        <v>741</v>
      </c>
      <c r="AK6" s="264" t="s">
        <v>742</v>
      </c>
      <c r="AL6" s="264" t="s">
        <v>743</v>
      </c>
      <c r="AM6" s="264" t="s">
        <v>736</v>
      </c>
      <c r="AN6" s="462"/>
      <c r="AO6" s="264" t="s">
        <v>741</v>
      </c>
      <c r="AP6" s="264" t="s">
        <v>742</v>
      </c>
      <c r="AQ6" s="264" t="s">
        <v>743</v>
      </c>
      <c r="AR6" s="264" t="s">
        <v>736</v>
      </c>
      <c r="AS6" s="462"/>
      <c r="AT6" s="264" t="s">
        <v>741</v>
      </c>
      <c r="AU6" s="264" t="s">
        <v>742</v>
      </c>
      <c r="AV6" s="264" t="s">
        <v>743</v>
      </c>
      <c r="AW6" s="264" t="s">
        <v>736</v>
      </c>
      <c r="AX6" s="462"/>
    </row>
    <row r="7" spans="1:54" ht="14.25">
      <c r="A7" s="79"/>
      <c r="B7" s="462" t="s">
        <v>752</v>
      </c>
      <c r="C7" s="180">
        <v>1</v>
      </c>
      <c r="D7" s="201" t="s">
        <v>669</v>
      </c>
      <c r="E7" s="166">
        <v>13</v>
      </c>
      <c r="F7" s="180">
        <v>1500</v>
      </c>
      <c r="G7" s="265">
        <v>115.38461538461539</v>
      </c>
      <c r="H7" s="459">
        <f>AVERAGE(G7:G21)</f>
        <v>107.69230769230769</v>
      </c>
      <c r="I7" s="166">
        <f t="shared" ref="I7:K8" si="0">AVERAGE(P7,U7,Z7,AE7,AJ7,AO7,AT7)</f>
        <v>13</v>
      </c>
      <c r="J7" s="166">
        <f t="shared" si="0"/>
        <v>1417.7142857142844</v>
      </c>
      <c r="K7" s="265">
        <f t="shared" si="0"/>
        <v>109.05494505494494</v>
      </c>
      <c r="L7" s="459">
        <f>IFERROR(AVERAGE(K7:K21),"-")</f>
        <v>112.12808200203153</v>
      </c>
      <c r="M7" s="272">
        <f>RANK(K7, $K$7:K$21)</f>
        <v>2</v>
      </c>
      <c r="N7" s="462"/>
      <c r="O7" s="462"/>
      <c r="P7" s="166"/>
      <c r="Q7" s="166"/>
      <c r="R7" s="265"/>
      <c r="S7" s="180" t="e">
        <f>RANK(R7, R$7:R$21)</f>
        <v>#N/A</v>
      </c>
      <c r="T7" s="486" t="e">
        <f>AVERAGE(R7:R21)</f>
        <v>#DIV/0!</v>
      </c>
      <c r="U7" s="166"/>
      <c r="V7" s="166"/>
      <c r="W7" s="265"/>
      <c r="X7" s="180" t="e">
        <f t="shared" ref="X7:X21" si="1">RANK(W7, W$7:W$21)</f>
        <v>#N/A</v>
      </c>
      <c r="Y7" s="486" t="e">
        <f t="shared" ref="Y7" si="2">AVERAGE(W7:W21)</f>
        <v>#DIV/0!</v>
      </c>
      <c r="Z7" s="166"/>
      <c r="AA7" s="166"/>
      <c r="AB7" s="265"/>
      <c r="AC7" s="180" t="e">
        <f t="shared" ref="AC7:AC21" si="3">RANK(AB7, AB$7:AB$21)</f>
        <v>#N/A</v>
      </c>
      <c r="AD7" s="486" t="e">
        <f t="shared" ref="AD7" si="4">AVERAGE(AB7:AB21)</f>
        <v>#DIV/0!</v>
      </c>
      <c r="AE7" s="166"/>
      <c r="AF7" s="166"/>
      <c r="AG7" s="265"/>
      <c r="AH7" s="180" t="e">
        <f t="shared" ref="AH7:AH21" si="5">RANK(AG7, AG$7:AG$21)</f>
        <v>#N/A</v>
      </c>
      <c r="AI7" s="486" t="e">
        <f t="shared" ref="AI7" si="6">AVERAGE(AG7:AG21)</f>
        <v>#DIV/0!</v>
      </c>
      <c r="AJ7" s="166"/>
      <c r="AK7" s="166"/>
      <c r="AL7" s="265"/>
      <c r="AM7" s="180" t="e">
        <f t="shared" ref="AM7:AM21" si="7">RANK(AL7, AL$7:AL$21)</f>
        <v>#N/A</v>
      </c>
      <c r="AN7" s="486" t="e">
        <f t="shared" ref="AN7" si="8">AVERAGE(AL7:AL21)</f>
        <v>#DIV/0!</v>
      </c>
      <c r="AO7" s="166">
        <v>13</v>
      </c>
      <c r="AP7" s="166">
        <v>1419.42857142857</v>
      </c>
      <c r="AQ7" s="265">
        <v>109.18681318681307</v>
      </c>
      <c r="AR7" s="180">
        <f t="shared" ref="AR7:AR21" si="9">RANK(AQ7, AQ$7:AQ$21)</f>
        <v>2</v>
      </c>
      <c r="AS7" s="486">
        <f t="shared" ref="AS7" si="10">AVERAGE(AQ7:AQ21)</f>
        <v>112.45525902668754</v>
      </c>
      <c r="AT7" s="166">
        <v>13</v>
      </c>
      <c r="AU7" s="166">
        <v>1415.9999999999986</v>
      </c>
      <c r="AV7" s="265">
        <v>108.92307692307682</v>
      </c>
      <c r="AW7" s="180">
        <f>RANK(AV7, AV$7:AV$21)</f>
        <v>2</v>
      </c>
      <c r="AX7" s="486">
        <f>AVERAGE(AV7:AV21)</f>
        <v>111.80090497737555</v>
      </c>
      <c r="AZ7" s="272" t="e">
        <f>RANK(AX7, $K$7:AX$21)</f>
        <v>#N/A</v>
      </c>
      <c r="BB7" s="180" t="e">
        <f>RANK(BA7, BA$7:BA$21)</f>
        <v>#N/A</v>
      </c>
    </row>
    <row r="8" spans="1:54" ht="15" customHeight="1">
      <c r="A8" s="79"/>
      <c r="B8" s="479"/>
      <c r="C8" s="180">
        <v>2</v>
      </c>
      <c r="D8" s="201" t="s">
        <v>693</v>
      </c>
      <c r="E8" s="166">
        <v>15</v>
      </c>
      <c r="F8" s="180">
        <v>1500</v>
      </c>
      <c r="G8" s="265">
        <v>100</v>
      </c>
      <c r="H8" s="460"/>
      <c r="I8" s="166">
        <f t="shared" si="0"/>
        <v>13</v>
      </c>
      <c r="J8" s="166">
        <f t="shared" si="0"/>
        <v>1497.6158463385359</v>
      </c>
      <c r="K8" s="265">
        <f t="shared" si="0"/>
        <v>115.20121894911814</v>
      </c>
      <c r="L8" s="460"/>
      <c r="M8" s="272">
        <f>RANK(K8, $K$7:K$21)</f>
        <v>1</v>
      </c>
      <c r="N8" s="462"/>
      <c r="O8" s="462"/>
      <c r="P8" s="180"/>
      <c r="Q8" s="166"/>
      <c r="R8" s="265"/>
      <c r="S8" s="180" t="e">
        <f t="shared" ref="S8:S21" si="11">RANK(R8, R$7:R$21)</f>
        <v>#N/A</v>
      </c>
      <c r="T8" s="486"/>
      <c r="U8" s="180"/>
      <c r="V8" s="166"/>
      <c r="W8" s="265"/>
      <c r="X8" s="180" t="e">
        <f t="shared" si="1"/>
        <v>#N/A</v>
      </c>
      <c r="Y8" s="486"/>
      <c r="Z8" s="180"/>
      <c r="AA8" s="166"/>
      <c r="AB8" s="265"/>
      <c r="AC8" s="180" t="e">
        <f t="shared" si="3"/>
        <v>#N/A</v>
      </c>
      <c r="AD8" s="486"/>
      <c r="AE8" s="180"/>
      <c r="AF8" s="166"/>
      <c r="AG8" s="265"/>
      <c r="AH8" s="180" t="e">
        <f t="shared" si="5"/>
        <v>#N/A</v>
      </c>
      <c r="AI8" s="486"/>
      <c r="AJ8" s="180"/>
      <c r="AK8" s="166"/>
      <c r="AL8" s="265"/>
      <c r="AM8" s="180" t="e">
        <f t="shared" si="7"/>
        <v>#N/A</v>
      </c>
      <c r="AN8" s="486"/>
      <c r="AO8" s="180">
        <v>13</v>
      </c>
      <c r="AP8" s="166">
        <v>1504.408163265306</v>
      </c>
      <c r="AQ8" s="265">
        <v>115.723704866562</v>
      </c>
      <c r="AR8" s="180">
        <f t="shared" si="9"/>
        <v>1</v>
      </c>
      <c r="AS8" s="486"/>
      <c r="AT8" s="180">
        <v>13</v>
      </c>
      <c r="AU8" s="166">
        <v>1490.8235294117658</v>
      </c>
      <c r="AV8" s="265">
        <v>114.67873303167428</v>
      </c>
      <c r="AW8" s="180">
        <f t="shared" ref="AW8:AW21" si="12">RANK(AV8, AV$7:AV$21)</f>
        <v>1</v>
      </c>
      <c r="AX8" s="486"/>
      <c r="AZ8" s="272" t="e">
        <f>RANK(AX8, $K$7:AX$21)</f>
        <v>#N/A</v>
      </c>
      <c r="BB8" s="180" t="e">
        <f t="shared" ref="BB8:BB21" si="13">RANK(BA8, BA$7:BA$21)</f>
        <v>#N/A</v>
      </c>
    </row>
    <row r="9" spans="1:54" ht="14.25">
      <c r="A9" s="79"/>
      <c r="B9" s="479"/>
      <c r="C9" s="180">
        <v>3</v>
      </c>
      <c r="D9" s="201"/>
      <c r="E9" s="166"/>
      <c r="F9" s="180"/>
      <c r="G9" s="265"/>
      <c r="H9" s="460"/>
      <c r="I9" s="166"/>
      <c r="J9" s="166"/>
      <c r="K9" s="265"/>
      <c r="L9" s="460"/>
      <c r="M9" s="272" t="e">
        <f>RANK(K9, $K$7:K$21)</f>
        <v>#N/A</v>
      </c>
      <c r="N9" s="462"/>
      <c r="O9" s="462"/>
      <c r="P9" s="180"/>
      <c r="Q9" s="180"/>
      <c r="R9" s="180"/>
      <c r="S9" s="180" t="e">
        <f t="shared" si="11"/>
        <v>#N/A</v>
      </c>
      <c r="T9" s="486"/>
      <c r="U9" s="180"/>
      <c r="V9" s="180"/>
      <c r="W9" s="180"/>
      <c r="X9" s="180" t="e">
        <f t="shared" si="1"/>
        <v>#N/A</v>
      </c>
      <c r="Y9" s="486"/>
      <c r="Z9" s="180"/>
      <c r="AA9" s="180"/>
      <c r="AB9" s="180"/>
      <c r="AC9" s="180" t="e">
        <f t="shared" si="3"/>
        <v>#N/A</v>
      </c>
      <c r="AD9" s="486"/>
      <c r="AE9" s="180"/>
      <c r="AF9" s="180"/>
      <c r="AG9" s="180"/>
      <c r="AH9" s="180" t="e">
        <f t="shared" si="5"/>
        <v>#N/A</v>
      </c>
      <c r="AI9" s="486"/>
      <c r="AJ9" s="180"/>
      <c r="AK9" s="180"/>
      <c r="AL9" s="180"/>
      <c r="AM9" s="180" t="e">
        <f t="shared" si="7"/>
        <v>#N/A</v>
      </c>
      <c r="AN9" s="486"/>
      <c r="AO9" s="180"/>
      <c r="AP9" s="180"/>
      <c r="AQ9" s="180"/>
      <c r="AR9" s="180" t="e">
        <f t="shared" si="9"/>
        <v>#N/A</v>
      </c>
      <c r="AS9" s="486"/>
      <c r="AT9" s="180"/>
      <c r="AU9" s="180"/>
      <c r="AV9" s="180"/>
      <c r="AW9" s="180" t="e">
        <f t="shared" si="12"/>
        <v>#N/A</v>
      </c>
      <c r="AX9" s="486"/>
      <c r="AZ9" s="272" t="e">
        <f>RANK(AX9, $K$7:AX$21)</f>
        <v>#N/A</v>
      </c>
      <c r="BB9" s="180" t="e">
        <f t="shared" si="13"/>
        <v>#N/A</v>
      </c>
    </row>
    <row r="10" spans="1:54" ht="14.25">
      <c r="A10" s="79"/>
      <c r="B10" s="479"/>
      <c r="C10" s="180">
        <v>4</v>
      </c>
      <c r="D10" s="201"/>
      <c r="E10" s="166"/>
      <c r="F10" s="180"/>
      <c r="G10" s="265"/>
      <c r="H10" s="460"/>
      <c r="I10" s="166"/>
      <c r="J10" s="166"/>
      <c r="K10" s="265"/>
      <c r="L10" s="460"/>
      <c r="M10" s="272" t="e">
        <f>RANK(K10, $K$7:K$21)</f>
        <v>#N/A</v>
      </c>
      <c r="N10" s="462"/>
      <c r="O10" s="462"/>
      <c r="P10" s="180"/>
      <c r="Q10" s="180"/>
      <c r="R10" s="180"/>
      <c r="S10" s="180" t="e">
        <f t="shared" si="11"/>
        <v>#N/A</v>
      </c>
      <c r="T10" s="486"/>
      <c r="U10" s="180"/>
      <c r="V10" s="180"/>
      <c r="W10" s="180"/>
      <c r="X10" s="180" t="e">
        <f t="shared" si="1"/>
        <v>#N/A</v>
      </c>
      <c r="Y10" s="486"/>
      <c r="Z10" s="180"/>
      <c r="AA10" s="180"/>
      <c r="AB10" s="180"/>
      <c r="AC10" s="180" t="e">
        <f t="shared" si="3"/>
        <v>#N/A</v>
      </c>
      <c r="AD10" s="486"/>
      <c r="AE10" s="180"/>
      <c r="AF10" s="180"/>
      <c r="AG10" s="180"/>
      <c r="AH10" s="180" t="e">
        <f t="shared" si="5"/>
        <v>#N/A</v>
      </c>
      <c r="AI10" s="486"/>
      <c r="AJ10" s="180"/>
      <c r="AK10" s="180"/>
      <c r="AL10" s="180"/>
      <c r="AM10" s="180" t="e">
        <f t="shared" si="7"/>
        <v>#N/A</v>
      </c>
      <c r="AN10" s="486"/>
      <c r="AO10" s="180"/>
      <c r="AP10" s="180"/>
      <c r="AQ10" s="180"/>
      <c r="AR10" s="180" t="e">
        <f t="shared" si="9"/>
        <v>#N/A</v>
      </c>
      <c r="AS10" s="486"/>
      <c r="AT10" s="180"/>
      <c r="AU10" s="180"/>
      <c r="AV10" s="180"/>
      <c r="AW10" s="180" t="e">
        <f t="shared" si="12"/>
        <v>#N/A</v>
      </c>
      <c r="AX10" s="486"/>
      <c r="AZ10" s="272" t="e">
        <f>RANK(AX10, $K$7:AX$21)</f>
        <v>#N/A</v>
      </c>
      <c r="BB10" s="180" t="e">
        <f t="shared" si="13"/>
        <v>#N/A</v>
      </c>
    </row>
    <row r="11" spans="1:54" ht="14.25">
      <c r="A11" s="79"/>
      <c r="B11" s="479"/>
      <c r="C11" s="180">
        <v>5</v>
      </c>
      <c r="D11" s="201"/>
      <c r="E11" s="166"/>
      <c r="F11" s="180"/>
      <c r="G11" s="265"/>
      <c r="H11" s="460"/>
      <c r="I11" s="166"/>
      <c r="J11" s="166"/>
      <c r="K11" s="265"/>
      <c r="L11" s="460"/>
      <c r="M11" s="272" t="e">
        <f>RANK(K11, $K$7:K$21)</f>
        <v>#N/A</v>
      </c>
      <c r="N11" s="462"/>
      <c r="O11" s="462"/>
      <c r="P11" s="180"/>
      <c r="Q11" s="180"/>
      <c r="R11" s="180"/>
      <c r="S11" s="180" t="e">
        <f t="shared" si="11"/>
        <v>#N/A</v>
      </c>
      <c r="T11" s="486"/>
      <c r="U11" s="180"/>
      <c r="V11" s="180"/>
      <c r="W11" s="180"/>
      <c r="X11" s="180" t="e">
        <f t="shared" si="1"/>
        <v>#N/A</v>
      </c>
      <c r="Y11" s="486"/>
      <c r="Z11" s="180"/>
      <c r="AA11" s="180"/>
      <c r="AB11" s="180"/>
      <c r="AC11" s="180" t="e">
        <f t="shared" si="3"/>
        <v>#N/A</v>
      </c>
      <c r="AD11" s="486"/>
      <c r="AE11" s="180"/>
      <c r="AF11" s="180"/>
      <c r="AG11" s="180"/>
      <c r="AH11" s="180" t="e">
        <f t="shared" si="5"/>
        <v>#N/A</v>
      </c>
      <c r="AI11" s="486"/>
      <c r="AJ11" s="180"/>
      <c r="AK11" s="180"/>
      <c r="AL11" s="180"/>
      <c r="AM11" s="180" t="e">
        <f t="shared" si="7"/>
        <v>#N/A</v>
      </c>
      <c r="AN11" s="486"/>
      <c r="AO11" s="180"/>
      <c r="AP11" s="180"/>
      <c r="AQ11" s="180"/>
      <c r="AR11" s="180" t="e">
        <f t="shared" si="9"/>
        <v>#N/A</v>
      </c>
      <c r="AS11" s="486"/>
      <c r="AT11" s="180"/>
      <c r="AU11" s="180"/>
      <c r="AV11" s="180"/>
      <c r="AW11" s="180" t="e">
        <f t="shared" si="12"/>
        <v>#N/A</v>
      </c>
      <c r="AX11" s="486"/>
      <c r="AZ11" s="272" t="e">
        <f>RANK(AX11, $K$7:AX$21)</f>
        <v>#N/A</v>
      </c>
      <c r="BB11" s="180" t="e">
        <f t="shared" si="13"/>
        <v>#N/A</v>
      </c>
    </row>
    <row r="12" spans="1:54" ht="14.25">
      <c r="A12" s="79"/>
      <c r="B12" s="479"/>
      <c r="C12" s="180">
        <v>6</v>
      </c>
      <c r="D12" s="201"/>
      <c r="E12" s="166"/>
      <c r="F12" s="180"/>
      <c r="G12" s="265"/>
      <c r="H12" s="460"/>
      <c r="I12" s="166"/>
      <c r="J12" s="166"/>
      <c r="K12" s="265"/>
      <c r="L12" s="460"/>
      <c r="M12" s="272" t="e">
        <f>RANK(K12, $K$7:K$21)</f>
        <v>#N/A</v>
      </c>
      <c r="N12" s="462"/>
      <c r="O12" s="462"/>
      <c r="P12" s="180"/>
      <c r="Q12" s="180"/>
      <c r="R12" s="180"/>
      <c r="S12" s="180" t="e">
        <f t="shared" si="11"/>
        <v>#N/A</v>
      </c>
      <c r="T12" s="486"/>
      <c r="U12" s="180"/>
      <c r="V12" s="180"/>
      <c r="W12" s="180"/>
      <c r="X12" s="180" t="e">
        <f t="shared" si="1"/>
        <v>#N/A</v>
      </c>
      <c r="Y12" s="486"/>
      <c r="Z12" s="180"/>
      <c r="AA12" s="180"/>
      <c r="AB12" s="180"/>
      <c r="AC12" s="180" t="e">
        <f t="shared" si="3"/>
        <v>#N/A</v>
      </c>
      <c r="AD12" s="486"/>
      <c r="AE12" s="180"/>
      <c r="AF12" s="180"/>
      <c r="AG12" s="180"/>
      <c r="AH12" s="180" t="e">
        <f t="shared" si="5"/>
        <v>#N/A</v>
      </c>
      <c r="AI12" s="486"/>
      <c r="AJ12" s="180"/>
      <c r="AK12" s="180"/>
      <c r="AL12" s="180"/>
      <c r="AM12" s="180" t="e">
        <f t="shared" si="7"/>
        <v>#N/A</v>
      </c>
      <c r="AN12" s="486"/>
      <c r="AO12" s="180"/>
      <c r="AP12" s="180"/>
      <c r="AQ12" s="180"/>
      <c r="AR12" s="180" t="e">
        <f t="shared" si="9"/>
        <v>#N/A</v>
      </c>
      <c r="AS12" s="486"/>
      <c r="AT12" s="180"/>
      <c r="AU12" s="180"/>
      <c r="AV12" s="180"/>
      <c r="AW12" s="180" t="e">
        <f t="shared" si="12"/>
        <v>#N/A</v>
      </c>
      <c r="AX12" s="486"/>
      <c r="AZ12" s="272" t="e">
        <f>RANK(AX12, $K$7:AX$21)</f>
        <v>#N/A</v>
      </c>
      <c r="BB12" s="180" t="e">
        <f t="shared" si="13"/>
        <v>#N/A</v>
      </c>
    </row>
    <row r="13" spans="1:54" ht="14.25">
      <c r="A13" s="79"/>
      <c r="B13" s="479"/>
      <c r="C13" s="180">
        <v>7</v>
      </c>
      <c r="D13" s="201"/>
      <c r="E13" s="166"/>
      <c r="F13" s="180"/>
      <c r="G13" s="265"/>
      <c r="H13" s="460"/>
      <c r="I13" s="166"/>
      <c r="J13" s="166"/>
      <c r="K13" s="265"/>
      <c r="L13" s="460"/>
      <c r="M13" s="272" t="e">
        <f>RANK(K13, $K$7:K$21)</f>
        <v>#N/A</v>
      </c>
      <c r="N13" s="462"/>
      <c r="O13" s="462"/>
      <c r="P13" s="180"/>
      <c r="Q13" s="180"/>
      <c r="R13" s="180"/>
      <c r="S13" s="180" t="e">
        <f t="shared" si="11"/>
        <v>#N/A</v>
      </c>
      <c r="T13" s="486"/>
      <c r="U13" s="180"/>
      <c r="V13" s="180"/>
      <c r="W13" s="180"/>
      <c r="X13" s="180" t="e">
        <f t="shared" si="1"/>
        <v>#N/A</v>
      </c>
      <c r="Y13" s="486"/>
      <c r="Z13" s="180"/>
      <c r="AA13" s="180"/>
      <c r="AB13" s="180"/>
      <c r="AC13" s="180" t="e">
        <f t="shared" si="3"/>
        <v>#N/A</v>
      </c>
      <c r="AD13" s="486"/>
      <c r="AE13" s="180"/>
      <c r="AF13" s="180"/>
      <c r="AG13" s="180"/>
      <c r="AH13" s="180" t="e">
        <f t="shared" si="5"/>
        <v>#N/A</v>
      </c>
      <c r="AI13" s="486"/>
      <c r="AJ13" s="180"/>
      <c r="AK13" s="180"/>
      <c r="AL13" s="180"/>
      <c r="AM13" s="180" t="e">
        <f t="shared" si="7"/>
        <v>#N/A</v>
      </c>
      <c r="AN13" s="486"/>
      <c r="AO13" s="180"/>
      <c r="AP13" s="180"/>
      <c r="AQ13" s="180"/>
      <c r="AR13" s="180" t="e">
        <f t="shared" si="9"/>
        <v>#N/A</v>
      </c>
      <c r="AS13" s="486"/>
      <c r="AT13" s="180"/>
      <c r="AU13" s="180"/>
      <c r="AV13" s="180"/>
      <c r="AW13" s="180" t="e">
        <f t="shared" si="12"/>
        <v>#N/A</v>
      </c>
      <c r="AX13" s="486"/>
      <c r="AZ13" s="272" t="e">
        <f>RANK(AX13, $K$7:AX$21)</f>
        <v>#N/A</v>
      </c>
      <c r="BB13" s="180" t="e">
        <f t="shared" si="13"/>
        <v>#N/A</v>
      </c>
    </row>
    <row r="14" spans="1:54" ht="14.25">
      <c r="A14" s="79"/>
      <c r="B14" s="479"/>
      <c r="C14" s="180">
        <v>8</v>
      </c>
      <c r="D14" s="201"/>
      <c r="E14" s="166"/>
      <c r="F14" s="180"/>
      <c r="G14" s="265"/>
      <c r="H14" s="460"/>
      <c r="I14" s="166"/>
      <c r="J14" s="166"/>
      <c r="K14" s="265"/>
      <c r="L14" s="460"/>
      <c r="M14" s="272" t="e">
        <f>RANK(K14, $K$7:K$21)</f>
        <v>#N/A</v>
      </c>
      <c r="N14" s="462"/>
      <c r="O14" s="462"/>
      <c r="P14" s="180"/>
      <c r="Q14" s="180"/>
      <c r="R14" s="180"/>
      <c r="S14" s="180" t="e">
        <f t="shared" si="11"/>
        <v>#N/A</v>
      </c>
      <c r="T14" s="486"/>
      <c r="U14" s="180"/>
      <c r="V14" s="180"/>
      <c r="W14" s="180"/>
      <c r="X14" s="180" t="e">
        <f t="shared" si="1"/>
        <v>#N/A</v>
      </c>
      <c r="Y14" s="486"/>
      <c r="Z14" s="180"/>
      <c r="AA14" s="180"/>
      <c r="AB14" s="180"/>
      <c r="AC14" s="180" t="e">
        <f t="shared" si="3"/>
        <v>#N/A</v>
      </c>
      <c r="AD14" s="486"/>
      <c r="AE14" s="180"/>
      <c r="AF14" s="180"/>
      <c r="AG14" s="180"/>
      <c r="AH14" s="180" t="e">
        <f t="shared" si="5"/>
        <v>#N/A</v>
      </c>
      <c r="AI14" s="486"/>
      <c r="AJ14" s="180"/>
      <c r="AK14" s="180"/>
      <c r="AL14" s="180"/>
      <c r="AM14" s="180" t="e">
        <f t="shared" si="7"/>
        <v>#N/A</v>
      </c>
      <c r="AN14" s="486"/>
      <c r="AO14" s="180"/>
      <c r="AP14" s="180"/>
      <c r="AQ14" s="180"/>
      <c r="AR14" s="180" t="e">
        <f t="shared" si="9"/>
        <v>#N/A</v>
      </c>
      <c r="AS14" s="486"/>
      <c r="AT14" s="180"/>
      <c r="AU14" s="180"/>
      <c r="AV14" s="180"/>
      <c r="AW14" s="180" t="e">
        <f t="shared" si="12"/>
        <v>#N/A</v>
      </c>
      <c r="AX14" s="486"/>
      <c r="AZ14" s="272" t="e">
        <f>RANK(AX14, $K$7:AX$21)</f>
        <v>#N/A</v>
      </c>
      <c r="BB14" s="180" t="e">
        <f t="shared" si="13"/>
        <v>#N/A</v>
      </c>
    </row>
    <row r="15" spans="1:54" ht="14.25">
      <c r="A15" s="79"/>
      <c r="B15" s="479"/>
      <c r="C15" s="180">
        <v>9</v>
      </c>
      <c r="D15" s="201"/>
      <c r="E15" s="166"/>
      <c r="F15" s="180"/>
      <c r="G15" s="265"/>
      <c r="H15" s="460"/>
      <c r="I15" s="166"/>
      <c r="J15" s="166"/>
      <c r="K15" s="265"/>
      <c r="L15" s="460"/>
      <c r="M15" s="272" t="e">
        <f>RANK(K15, $K$7:K$21)</f>
        <v>#N/A</v>
      </c>
      <c r="N15" s="462"/>
      <c r="O15" s="462"/>
      <c r="P15" s="180"/>
      <c r="Q15" s="180"/>
      <c r="R15" s="180"/>
      <c r="S15" s="180" t="e">
        <f t="shared" si="11"/>
        <v>#N/A</v>
      </c>
      <c r="T15" s="486"/>
      <c r="U15" s="180"/>
      <c r="V15" s="180"/>
      <c r="W15" s="180"/>
      <c r="X15" s="180" t="e">
        <f t="shared" si="1"/>
        <v>#N/A</v>
      </c>
      <c r="Y15" s="486"/>
      <c r="Z15" s="180"/>
      <c r="AA15" s="180"/>
      <c r="AB15" s="180"/>
      <c r="AC15" s="180" t="e">
        <f t="shared" si="3"/>
        <v>#N/A</v>
      </c>
      <c r="AD15" s="486"/>
      <c r="AE15" s="180"/>
      <c r="AF15" s="180"/>
      <c r="AG15" s="180"/>
      <c r="AH15" s="180" t="e">
        <f t="shared" si="5"/>
        <v>#N/A</v>
      </c>
      <c r="AI15" s="486"/>
      <c r="AJ15" s="180"/>
      <c r="AK15" s="180"/>
      <c r="AL15" s="180"/>
      <c r="AM15" s="180" t="e">
        <f t="shared" si="7"/>
        <v>#N/A</v>
      </c>
      <c r="AN15" s="486"/>
      <c r="AO15" s="180"/>
      <c r="AP15" s="180"/>
      <c r="AQ15" s="180"/>
      <c r="AR15" s="180" t="e">
        <f t="shared" si="9"/>
        <v>#N/A</v>
      </c>
      <c r="AS15" s="486"/>
      <c r="AT15" s="180"/>
      <c r="AU15" s="180"/>
      <c r="AV15" s="180"/>
      <c r="AW15" s="180" t="e">
        <f t="shared" si="12"/>
        <v>#N/A</v>
      </c>
      <c r="AX15" s="486"/>
      <c r="AZ15" s="272" t="e">
        <f>RANK(AX15, $K$7:AX$21)</f>
        <v>#N/A</v>
      </c>
      <c r="BB15" s="180" t="e">
        <f t="shared" si="13"/>
        <v>#N/A</v>
      </c>
    </row>
    <row r="16" spans="1:54" ht="14.25">
      <c r="A16" s="79"/>
      <c r="B16" s="479"/>
      <c r="C16" s="180">
        <v>10</v>
      </c>
      <c r="D16" s="201"/>
      <c r="E16" s="166"/>
      <c r="F16" s="180"/>
      <c r="G16" s="265"/>
      <c r="H16" s="460"/>
      <c r="I16" s="166"/>
      <c r="J16" s="166"/>
      <c r="K16" s="265"/>
      <c r="L16" s="460"/>
      <c r="M16" s="272" t="e">
        <f>RANK(K16, $K$7:K$21)</f>
        <v>#N/A</v>
      </c>
      <c r="N16" s="462"/>
      <c r="O16" s="462"/>
      <c r="P16" s="180"/>
      <c r="Q16" s="180"/>
      <c r="R16" s="180"/>
      <c r="S16" s="180" t="e">
        <f t="shared" si="11"/>
        <v>#N/A</v>
      </c>
      <c r="T16" s="486"/>
      <c r="U16" s="180"/>
      <c r="V16" s="180"/>
      <c r="W16" s="180"/>
      <c r="X16" s="180" t="e">
        <f t="shared" si="1"/>
        <v>#N/A</v>
      </c>
      <c r="Y16" s="486"/>
      <c r="Z16" s="180"/>
      <c r="AA16" s="180"/>
      <c r="AB16" s="180"/>
      <c r="AC16" s="180" t="e">
        <f t="shared" si="3"/>
        <v>#N/A</v>
      </c>
      <c r="AD16" s="486"/>
      <c r="AE16" s="180"/>
      <c r="AF16" s="180"/>
      <c r="AG16" s="180"/>
      <c r="AH16" s="180" t="e">
        <f t="shared" si="5"/>
        <v>#N/A</v>
      </c>
      <c r="AI16" s="486"/>
      <c r="AJ16" s="180"/>
      <c r="AK16" s="180"/>
      <c r="AL16" s="180"/>
      <c r="AM16" s="180" t="e">
        <f t="shared" si="7"/>
        <v>#N/A</v>
      </c>
      <c r="AN16" s="486"/>
      <c r="AO16" s="180"/>
      <c r="AP16" s="180"/>
      <c r="AQ16" s="180"/>
      <c r="AR16" s="180" t="e">
        <f t="shared" si="9"/>
        <v>#N/A</v>
      </c>
      <c r="AS16" s="486"/>
      <c r="AT16" s="180"/>
      <c r="AU16" s="180"/>
      <c r="AV16" s="180"/>
      <c r="AW16" s="180" t="e">
        <f t="shared" si="12"/>
        <v>#N/A</v>
      </c>
      <c r="AX16" s="486"/>
      <c r="AZ16" s="272" t="e">
        <f>RANK(AX16, $K$7:AX$21)</f>
        <v>#N/A</v>
      </c>
      <c r="BB16" s="180" t="e">
        <f t="shared" si="13"/>
        <v>#N/A</v>
      </c>
    </row>
    <row r="17" spans="2:54">
      <c r="B17" s="479"/>
      <c r="C17" s="180">
        <v>11</v>
      </c>
      <c r="D17" s="201"/>
      <c r="E17" s="166"/>
      <c r="F17" s="180"/>
      <c r="G17" s="265"/>
      <c r="H17" s="460"/>
      <c r="I17" s="180"/>
      <c r="J17" s="180"/>
      <c r="K17" s="180"/>
      <c r="L17" s="460"/>
      <c r="M17" s="272" t="e">
        <f>RANK(K17, $K$7:K$21)</f>
        <v>#N/A</v>
      </c>
      <c r="N17" s="462"/>
      <c r="O17" s="462"/>
      <c r="P17" s="180"/>
      <c r="Q17" s="180"/>
      <c r="R17" s="180"/>
      <c r="S17" s="180" t="e">
        <f t="shared" si="11"/>
        <v>#N/A</v>
      </c>
      <c r="T17" s="486"/>
      <c r="U17" s="180"/>
      <c r="V17" s="180"/>
      <c r="W17" s="180"/>
      <c r="X17" s="180" t="e">
        <f t="shared" si="1"/>
        <v>#N/A</v>
      </c>
      <c r="Y17" s="486"/>
      <c r="Z17" s="180"/>
      <c r="AA17" s="180"/>
      <c r="AB17" s="180"/>
      <c r="AC17" s="180" t="e">
        <f t="shared" si="3"/>
        <v>#N/A</v>
      </c>
      <c r="AD17" s="486"/>
      <c r="AE17" s="180"/>
      <c r="AF17" s="180"/>
      <c r="AG17" s="180"/>
      <c r="AH17" s="180" t="e">
        <f t="shared" si="5"/>
        <v>#N/A</v>
      </c>
      <c r="AI17" s="486"/>
      <c r="AJ17" s="180"/>
      <c r="AK17" s="180"/>
      <c r="AL17" s="180"/>
      <c r="AM17" s="180" t="e">
        <f t="shared" si="7"/>
        <v>#N/A</v>
      </c>
      <c r="AN17" s="486"/>
      <c r="AO17" s="180"/>
      <c r="AP17" s="180"/>
      <c r="AQ17" s="180"/>
      <c r="AR17" s="180" t="e">
        <f t="shared" si="9"/>
        <v>#N/A</v>
      </c>
      <c r="AS17" s="486"/>
      <c r="AT17" s="180"/>
      <c r="AU17" s="180"/>
      <c r="AV17" s="180"/>
      <c r="AW17" s="180" t="e">
        <f t="shared" si="12"/>
        <v>#N/A</v>
      </c>
      <c r="AX17" s="486"/>
      <c r="AZ17" s="272" t="e">
        <f>RANK(AX17, $K$7:AX$21)</f>
        <v>#N/A</v>
      </c>
      <c r="BB17" s="180" t="e">
        <f t="shared" si="13"/>
        <v>#N/A</v>
      </c>
    </row>
    <row r="18" spans="2:54">
      <c r="B18" s="479"/>
      <c r="C18" s="180">
        <v>12</v>
      </c>
      <c r="D18" s="201"/>
      <c r="E18" s="166"/>
      <c r="F18" s="180"/>
      <c r="G18" s="265"/>
      <c r="H18" s="460"/>
      <c r="I18" s="180"/>
      <c r="J18" s="180"/>
      <c r="K18" s="180"/>
      <c r="L18" s="460"/>
      <c r="M18" s="272" t="e">
        <f>RANK(K18, $K$7:K$21)</f>
        <v>#N/A</v>
      </c>
      <c r="N18" s="462"/>
      <c r="O18" s="462"/>
      <c r="P18" s="180"/>
      <c r="Q18" s="180"/>
      <c r="R18" s="180"/>
      <c r="S18" s="180" t="e">
        <f t="shared" si="11"/>
        <v>#N/A</v>
      </c>
      <c r="T18" s="486"/>
      <c r="U18" s="180"/>
      <c r="V18" s="180"/>
      <c r="W18" s="180"/>
      <c r="X18" s="180" t="e">
        <f t="shared" si="1"/>
        <v>#N/A</v>
      </c>
      <c r="Y18" s="486"/>
      <c r="Z18" s="180"/>
      <c r="AA18" s="180"/>
      <c r="AB18" s="180"/>
      <c r="AC18" s="180" t="e">
        <f t="shared" si="3"/>
        <v>#N/A</v>
      </c>
      <c r="AD18" s="486"/>
      <c r="AE18" s="180"/>
      <c r="AF18" s="180"/>
      <c r="AG18" s="180"/>
      <c r="AH18" s="180" t="e">
        <f t="shared" si="5"/>
        <v>#N/A</v>
      </c>
      <c r="AI18" s="486"/>
      <c r="AJ18" s="180"/>
      <c r="AK18" s="180"/>
      <c r="AL18" s="180"/>
      <c r="AM18" s="180" t="e">
        <f t="shared" si="7"/>
        <v>#N/A</v>
      </c>
      <c r="AN18" s="486"/>
      <c r="AO18" s="180"/>
      <c r="AP18" s="180"/>
      <c r="AQ18" s="180"/>
      <c r="AR18" s="180" t="e">
        <f t="shared" si="9"/>
        <v>#N/A</v>
      </c>
      <c r="AS18" s="486"/>
      <c r="AT18" s="180"/>
      <c r="AU18" s="180"/>
      <c r="AV18" s="180"/>
      <c r="AW18" s="180" t="e">
        <f t="shared" si="12"/>
        <v>#N/A</v>
      </c>
      <c r="AX18" s="486"/>
      <c r="AZ18" s="272" t="e">
        <f>RANK(AX18, $K$7:AX$21)</f>
        <v>#N/A</v>
      </c>
      <c r="BB18" s="180" t="e">
        <f t="shared" si="13"/>
        <v>#N/A</v>
      </c>
    </row>
    <row r="19" spans="2:54">
      <c r="B19" s="479"/>
      <c r="C19" s="180">
        <v>13</v>
      </c>
      <c r="D19" s="201"/>
      <c r="E19" s="166"/>
      <c r="F19" s="180"/>
      <c r="G19" s="265"/>
      <c r="H19" s="460"/>
      <c r="I19" s="180"/>
      <c r="J19" s="180"/>
      <c r="K19" s="180"/>
      <c r="L19" s="460"/>
      <c r="M19" s="272" t="e">
        <f>RANK(K19, $K$7:K$21)</f>
        <v>#N/A</v>
      </c>
      <c r="N19" s="462"/>
      <c r="O19" s="462"/>
      <c r="P19" s="180"/>
      <c r="Q19" s="180"/>
      <c r="R19" s="180"/>
      <c r="S19" s="180" t="e">
        <f t="shared" si="11"/>
        <v>#N/A</v>
      </c>
      <c r="T19" s="486"/>
      <c r="U19" s="180"/>
      <c r="V19" s="180"/>
      <c r="W19" s="180"/>
      <c r="X19" s="180" t="e">
        <f t="shared" si="1"/>
        <v>#N/A</v>
      </c>
      <c r="Y19" s="486"/>
      <c r="Z19" s="180"/>
      <c r="AA19" s="180"/>
      <c r="AB19" s="180"/>
      <c r="AC19" s="180" t="e">
        <f t="shared" si="3"/>
        <v>#N/A</v>
      </c>
      <c r="AD19" s="486"/>
      <c r="AE19" s="180"/>
      <c r="AF19" s="180"/>
      <c r="AG19" s="180"/>
      <c r="AH19" s="180" t="e">
        <f t="shared" si="5"/>
        <v>#N/A</v>
      </c>
      <c r="AI19" s="486"/>
      <c r="AJ19" s="180"/>
      <c r="AK19" s="180"/>
      <c r="AL19" s="180"/>
      <c r="AM19" s="180" t="e">
        <f t="shared" si="7"/>
        <v>#N/A</v>
      </c>
      <c r="AN19" s="486"/>
      <c r="AO19" s="180"/>
      <c r="AP19" s="180"/>
      <c r="AQ19" s="180"/>
      <c r="AR19" s="180" t="e">
        <f t="shared" si="9"/>
        <v>#N/A</v>
      </c>
      <c r="AS19" s="486"/>
      <c r="AT19" s="180"/>
      <c r="AU19" s="180"/>
      <c r="AV19" s="180"/>
      <c r="AW19" s="180" t="e">
        <f t="shared" si="12"/>
        <v>#N/A</v>
      </c>
      <c r="AX19" s="486"/>
      <c r="AZ19" s="272" t="e">
        <f>RANK(AX19, $K$7:AX$21)</f>
        <v>#N/A</v>
      </c>
      <c r="BB19" s="180" t="e">
        <f t="shared" si="13"/>
        <v>#N/A</v>
      </c>
    </row>
    <row r="20" spans="2:54">
      <c r="B20" s="479"/>
      <c r="C20" s="180">
        <v>14</v>
      </c>
      <c r="D20" s="201"/>
      <c r="E20" s="166"/>
      <c r="F20" s="180"/>
      <c r="G20" s="265"/>
      <c r="H20" s="460"/>
      <c r="I20" s="180"/>
      <c r="J20" s="180"/>
      <c r="K20" s="180"/>
      <c r="L20" s="460"/>
      <c r="M20" s="272" t="e">
        <f>RANK(K20, $K$7:K$21)</f>
        <v>#N/A</v>
      </c>
      <c r="N20" s="462"/>
      <c r="O20" s="462"/>
      <c r="P20" s="180"/>
      <c r="Q20" s="180"/>
      <c r="R20" s="180"/>
      <c r="S20" s="180" t="e">
        <f t="shared" si="11"/>
        <v>#N/A</v>
      </c>
      <c r="T20" s="486"/>
      <c r="U20" s="180"/>
      <c r="V20" s="180"/>
      <c r="W20" s="180"/>
      <c r="X20" s="180" t="e">
        <f t="shared" si="1"/>
        <v>#N/A</v>
      </c>
      <c r="Y20" s="486"/>
      <c r="Z20" s="180"/>
      <c r="AA20" s="180"/>
      <c r="AB20" s="180"/>
      <c r="AC20" s="180" t="e">
        <f t="shared" si="3"/>
        <v>#N/A</v>
      </c>
      <c r="AD20" s="486"/>
      <c r="AE20" s="180"/>
      <c r="AF20" s="180"/>
      <c r="AG20" s="180"/>
      <c r="AH20" s="180" t="e">
        <f t="shared" si="5"/>
        <v>#N/A</v>
      </c>
      <c r="AI20" s="486"/>
      <c r="AJ20" s="180"/>
      <c r="AK20" s="180"/>
      <c r="AL20" s="180"/>
      <c r="AM20" s="180" t="e">
        <f t="shared" si="7"/>
        <v>#N/A</v>
      </c>
      <c r="AN20" s="486"/>
      <c r="AO20" s="180"/>
      <c r="AP20" s="180"/>
      <c r="AQ20" s="180"/>
      <c r="AR20" s="180" t="e">
        <f t="shared" si="9"/>
        <v>#N/A</v>
      </c>
      <c r="AS20" s="486"/>
      <c r="AT20" s="180"/>
      <c r="AU20" s="180"/>
      <c r="AV20" s="180"/>
      <c r="AW20" s="180" t="e">
        <f t="shared" si="12"/>
        <v>#N/A</v>
      </c>
      <c r="AX20" s="486"/>
      <c r="AZ20" s="272" t="e">
        <f>RANK(AX20, $K$7:AX$21)</f>
        <v>#N/A</v>
      </c>
      <c r="BB20" s="180" t="e">
        <f t="shared" si="13"/>
        <v>#N/A</v>
      </c>
    </row>
    <row r="21" spans="2:54">
      <c r="B21" s="479"/>
      <c r="C21" s="180">
        <v>15</v>
      </c>
      <c r="D21" s="201"/>
      <c r="E21" s="166"/>
      <c r="F21" s="180"/>
      <c r="G21" s="265"/>
      <c r="H21" s="461"/>
      <c r="I21" s="180"/>
      <c r="J21" s="180"/>
      <c r="K21" s="180"/>
      <c r="L21" s="461"/>
      <c r="M21" s="166" t="e">
        <f>RANK(K21, $K$7:K$21)</f>
        <v>#N/A</v>
      </c>
      <c r="N21" s="462"/>
      <c r="O21" s="462"/>
      <c r="P21" s="180"/>
      <c r="Q21" s="180"/>
      <c r="R21" s="180"/>
      <c r="S21" s="180" t="e">
        <f t="shared" si="11"/>
        <v>#N/A</v>
      </c>
      <c r="T21" s="486"/>
      <c r="U21" s="180"/>
      <c r="V21" s="180"/>
      <c r="W21" s="180"/>
      <c r="X21" s="180" t="e">
        <f t="shared" si="1"/>
        <v>#N/A</v>
      </c>
      <c r="Y21" s="486"/>
      <c r="Z21" s="180"/>
      <c r="AA21" s="180"/>
      <c r="AB21" s="180"/>
      <c r="AC21" s="180" t="e">
        <f t="shared" si="3"/>
        <v>#N/A</v>
      </c>
      <c r="AD21" s="486"/>
      <c r="AE21" s="180"/>
      <c r="AF21" s="180"/>
      <c r="AG21" s="180"/>
      <c r="AH21" s="180" t="e">
        <f t="shared" si="5"/>
        <v>#N/A</v>
      </c>
      <c r="AI21" s="486"/>
      <c r="AJ21" s="180"/>
      <c r="AK21" s="180"/>
      <c r="AL21" s="180"/>
      <c r="AM21" s="180" t="e">
        <f t="shared" si="7"/>
        <v>#N/A</v>
      </c>
      <c r="AN21" s="486"/>
      <c r="AO21" s="180"/>
      <c r="AP21" s="180"/>
      <c r="AQ21" s="180"/>
      <c r="AR21" s="180" t="e">
        <f t="shared" si="9"/>
        <v>#N/A</v>
      </c>
      <c r="AS21" s="486"/>
      <c r="AT21" s="180"/>
      <c r="AU21" s="180"/>
      <c r="AV21" s="180"/>
      <c r="AW21" s="180" t="e">
        <f t="shared" si="12"/>
        <v>#N/A</v>
      </c>
      <c r="AX21" s="486"/>
      <c r="AZ21" s="166" t="e">
        <f>RANK(AX21, $K$7:AX$21)</f>
        <v>#N/A</v>
      </c>
      <c r="BB21" s="180" t="e">
        <f t="shared" si="13"/>
        <v>#N/A</v>
      </c>
    </row>
    <row r="22" spans="2:54" ht="15.75">
      <c r="B22" s="490" t="s">
        <v>721</v>
      </c>
      <c r="C22" s="491"/>
      <c r="D22" s="491"/>
      <c r="E22" s="491"/>
      <c r="F22" s="491"/>
      <c r="G22" s="491"/>
      <c r="H22" s="491"/>
      <c r="I22" s="181"/>
      <c r="J22" s="181"/>
      <c r="K22" s="181"/>
      <c r="L22" s="181"/>
      <c r="M22" s="178"/>
      <c r="N22" s="469" t="s">
        <v>722</v>
      </c>
      <c r="O22" s="469" t="s">
        <v>723</v>
      </c>
      <c r="P22" s="478">
        <v>46056</v>
      </c>
      <c r="Q22" s="479"/>
      <c r="R22" s="479"/>
      <c r="S22" s="479"/>
      <c r="T22" s="479"/>
      <c r="U22" s="478">
        <f>P22+1</f>
        <v>46057</v>
      </c>
      <c r="V22" s="479"/>
      <c r="W22" s="479"/>
      <c r="X22" s="479"/>
      <c r="Y22" s="479"/>
      <c r="Z22" s="478">
        <f>U22+1</f>
        <v>46058</v>
      </c>
      <c r="AA22" s="479"/>
      <c r="AB22" s="479"/>
      <c r="AC22" s="479"/>
      <c r="AD22" s="479"/>
      <c r="AE22" s="478">
        <f>Z22+1</f>
        <v>46059</v>
      </c>
      <c r="AF22" s="479"/>
      <c r="AG22" s="479"/>
      <c r="AH22" s="479"/>
      <c r="AI22" s="479"/>
      <c r="AJ22" s="478">
        <f>AE22+1</f>
        <v>46060</v>
      </c>
      <c r="AK22" s="479"/>
      <c r="AL22" s="479"/>
      <c r="AM22" s="479"/>
      <c r="AN22" s="479"/>
      <c r="AO22" s="478">
        <f>AJ22+1</f>
        <v>46061</v>
      </c>
      <c r="AP22" s="479"/>
      <c r="AQ22" s="479"/>
      <c r="AR22" s="479"/>
      <c r="AS22" s="479"/>
      <c r="AT22" s="478">
        <f>AO22+1</f>
        <v>46062</v>
      </c>
      <c r="AU22" s="479"/>
      <c r="AV22" s="479"/>
      <c r="AW22" s="479"/>
      <c r="AX22" s="479"/>
    </row>
    <row r="23" spans="2:54" ht="15.75">
      <c r="B23" s="482"/>
      <c r="C23" s="482"/>
      <c r="D23" s="482"/>
      <c r="E23" s="482"/>
      <c r="F23" s="482"/>
      <c r="G23" s="482"/>
      <c r="H23" s="482"/>
      <c r="I23" s="182"/>
      <c r="J23" s="182"/>
      <c r="K23" s="182"/>
      <c r="L23" s="182"/>
      <c r="M23" s="179"/>
      <c r="N23" s="471"/>
      <c r="O23" s="471"/>
      <c r="P23" s="478" t="s">
        <v>724</v>
      </c>
      <c r="Q23" s="479"/>
      <c r="R23" s="479"/>
      <c r="S23" s="479"/>
      <c r="T23" s="479"/>
      <c r="U23" s="478" t="s">
        <v>725</v>
      </c>
      <c r="V23" s="479"/>
      <c r="W23" s="479"/>
      <c r="X23" s="479"/>
      <c r="Y23" s="479"/>
      <c r="Z23" s="478" t="s">
        <v>726</v>
      </c>
      <c r="AA23" s="479"/>
      <c r="AB23" s="479"/>
      <c r="AC23" s="479"/>
      <c r="AD23" s="479"/>
      <c r="AE23" s="478" t="s">
        <v>727</v>
      </c>
      <c r="AF23" s="479"/>
      <c r="AG23" s="479"/>
      <c r="AH23" s="479"/>
      <c r="AI23" s="479"/>
      <c r="AJ23" s="478" t="s">
        <v>728</v>
      </c>
      <c r="AK23" s="479"/>
      <c r="AL23" s="479"/>
      <c r="AM23" s="479"/>
      <c r="AN23" s="479"/>
      <c r="AO23" s="478" t="s">
        <v>729</v>
      </c>
      <c r="AP23" s="479"/>
      <c r="AQ23" s="479"/>
      <c r="AR23" s="479"/>
      <c r="AS23" s="479"/>
      <c r="AT23" s="478" t="s">
        <v>730</v>
      </c>
      <c r="AU23" s="479"/>
      <c r="AV23" s="479"/>
      <c r="AW23" s="479"/>
      <c r="AX23" s="479"/>
    </row>
    <row r="24" spans="2:54">
      <c r="B24" s="462" t="s">
        <v>731</v>
      </c>
      <c r="C24" s="462" t="s">
        <v>732</v>
      </c>
      <c r="D24" s="462"/>
      <c r="E24" s="462" t="s">
        <v>733</v>
      </c>
      <c r="F24" s="462"/>
      <c r="G24" s="462"/>
      <c r="H24" s="463" t="s">
        <v>734</v>
      </c>
      <c r="I24" s="462" t="s">
        <v>735</v>
      </c>
      <c r="J24" s="462"/>
      <c r="K24" s="462"/>
      <c r="L24" s="463" t="s">
        <v>734</v>
      </c>
      <c r="M24" s="469" t="s">
        <v>736</v>
      </c>
      <c r="N24" s="462"/>
      <c r="O24" s="462" t="s">
        <v>737</v>
      </c>
      <c r="P24" s="466" t="s">
        <v>738</v>
      </c>
      <c r="Q24" s="467"/>
      <c r="R24" s="467"/>
      <c r="S24" s="468"/>
      <c r="T24" s="462" t="s">
        <v>734</v>
      </c>
      <c r="U24" s="466" t="s">
        <v>738</v>
      </c>
      <c r="V24" s="467"/>
      <c r="W24" s="467"/>
      <c r="X24" s="468"/>
      <c r="Y24" s="462" t="s">
        <v>734</v>
      </c>
      <c r="Z24" s="466" t="s">
        <v>738</v>
      </c>
      <c r="AA24" s="467"/>
      <c r="AB24" s="467"/>
      <c r="AC24" s="468"/>
      <c r="AD24" s="462" t="s">
        <v>734</v>
      </c>
      <c r="AE24" s="466" t="s">
        <v>738</v>
      </c>
      <c r="AF24" s="467"/>
      <c r="AG24" s="467"/>
      <c r="AH24" s="468"/>
      <c r="AI24" s="462" t="s">
        <v>734</v>
      </c>
      <c r="AJ24" s="466" t="s">
        <v>738</v>
      </c>
      <c r="AK24" s="467"/>
      <c r="AL24" s="467"/>
      <c r="AM24" s="468"/>
      <c r="AN24" s="462" t="s">
        <v>734</v>
      </c>
      <c r="AO24" s="466" t="s">
        <v>738</v>
      </c>
      <c r="AP24" s="467"/>
      <c r="AQ24" s="467"/>
      <c r="AR24" s="468"/>
      <c r="AS24" s="462" t="s">
        <v>734</v>
      </c>
      <c r="AT24" s="466" t="s">
        <v>738</v>
      </c>
      <c r="AU24" s="467"/>
      <c r="AV24" s="467"/>
      <c r="AW24" s="468"/>
      <c r="AX24" s="462" t="s">
        <v>734</v>
      </c>
    </row>
    <row r="25" spans="2:54">
      <c r="B25" s="462"/>
      <c r="C25" s="462"/>
      <c r="D25" s="462"/>
      <c r="E25" s="462" t="s">
        <v>739</v>
      </c>
      <c r="F25" s="462"/>
      <c r="G25" s="462"/>
      <c r="H25" s="464"/>
      <c r="I25" s="462" t="s">
        <v>739</v>
      </c>
      <c r="J25" s="462"/>
      <c r="K25" s="462"/>
      <c r="L25" s="464"/>
      <c r="M25" s="470"/>
      <c r="N25" s="462"/>
      <c r="O25" s="462"/>
      <c r="P25" s="466" t="s">
        <v>740</v>
      </c>
      <c r="Q25" s="467"/>
      <c r="R25" s="467"/>
      <c r="S25" s="468"/>
      <c r="T25" s="462"/>
      <c r="U25" s="466" t="s">
        <v>740</v>
      </c>
      <c r="V25" s="467"/>
      <c r="W25" s="467"/>
      <c r="X25" s="468"/>
      <c r="Y25" s="462"/>
      <c r="Z25" s="466" t="s">
        <v>740</v>
      </c>
      <c r="AA25" s="467"/>
      <c r="AB25" s="467"/>
      <c r="AC25" s="468"/>
      <c r="AD25" s="462"/>
      <c r="AE25" s="466" t="s">
        <v>740</v>
      </c>
      <c r="AF25" s="467"/>
      <c r="AG25" s="467"/>
      <c r="AH25" s="468"/>
      <c r="AI25" s="462"/>
      <c r="AJ25" s="466" t="s">
        <v>740</v>
      </c>
      <c r="AK25" s="467"/>
      <c r="AL25" s="467"/>
      <c r="AM25" s="468"/>
      <c r="AN25" s="462"/>
      <c r="AO25" s="466" t="s">
        <v>740</v>
      </c>
      <c r="AP25" s="467"/>
      <c r="AQ25" s="467"/>
      <c r="AR25" s="468"/>
      <c r="AS25" s="462"/>
      <c r="AT25" s="466" t="s">
        <v>740</v>
      </c>
      <c r="AU25" s="467"/>
      <c r="AV25" s="467"/>
      <c r="AW25" s="468"/>
      <c r="AX25" s="462"/>
    </row>
    <row r="26" spans="2:54">
      <c r="B26" s="462"/>
      <c r="C26" s="462"/>
      <c r="D26" s="462"/>
      <c r="E26" s="264" t="s">
        <v>741</v>
      </c>
      <c r="F26" s="264" t="s">
        <v>742</v>
      </c>
      <c r="G26" s="264" t="s">
        <v>743</v>
      </c>
      <c r="H26" s="465"/>
      <c r="I26" s="264" t="s">
        <v>741</v>
      </c>
      <c r="J26" s="264" t="s">
        <v>742</v>
      </c>
      <c r="K26" s="264" t="s">
        <v>743</v>
      </c>
      <c r="L26" s="465"/>
      <c r="M26" s="471"/>
      <c r="N26" s="462"/>
      <c r="O26" s="462"/>
      <c r="P26" s="264" t="s">
        <v>741</v>
      </c>
      <c r="Q26" s="264" t="s">
        <v>742</v>
      </c>
      <c r="R26" s="264" t="s">
        <v>743</v>
      </c>
      <c r="S26" s="264" t="s">
        <v>736</v>
      </c>
      <c r="T26" s="462"/>
      <c r="U26" s="264" t="s">
        <v>741</v>
      </c>
      <c r="V26" s="264" t="s">
        <v>742</v>
      </c>
      <c r="W26" s="264" t="s">
        <v>743</v>
      </c>
      <c r="X26" s="264" t="s">
        <v>736</v>
      </c>
      <c r="Y26" s="462"/>
      <c r="Z26" s="264" t="s">
        <v>741</v>
      </c>
      <c r="AA26" s="264" t="s">
        <v>742</v>
      </c>
      <c r="AB26" s="264" t="s">
        <v>743</v>
      </c>
      <c r="AC26" s="264" t="s">
        <v>736</v>
      </c>
      <c r="AD26" s="462"/>
      <c r="AE26" s="264" t="s">
        <v>741</v>
      </c>
      <c r="AF26" s="264" t="s">
        <v>742</v>
      </c>
      <c r="AG26" s="264" t="s">
        <v>743</v>
      </c>
      <c r="AH26" s="264" t="s">
        <v>736</v>
      </c>
      <c r="AI26" s="462"/>
      <c r="AJ26" s="264" t="s">
        <v>741</v>
      </c>
      <c r="AK26" s="264" t="s">
        <v>742</v>
      </c>
      <c r="AL26" s="264" t="s">
        <v>743</v>
      </c>
      <c r="AM26" s="264" t="s">
        <v>736</v>
      </c>
      <c r="AN26" s="462"/>
      <c r="AO26" s="264" t="s">
        <v>741</v>
      </c>
      <c r="AP26" s="264" t="s">
        <v>742</v>
      </c>
      <c r="AQ26" s="264" t="s">
        <v>743</v>
      </c>
      <c r="AR26" s="264" t="s">
        <v>736</v>
      </c>
      <c r="AS26" s="462"/>
      <c r="AT26" s="264" t="s">
        <v>741</v>
      </c>
      <c r="AU26" s="264" t="s">
        <v>742</v>
      </c>
      <c r="AV26" s="264" t="s">
        <v>743</v>
      </c>
      <c r="AW26" s="264" t="s">
        <v>736</v>
      </c>
      <c r="AX26" s="462"/>
    </row>
    <row r="27" spans="2:54">
      <c r="B27" s="462" t="s">
        <v>752</v>
      </c>
      <c r="C27" s="180">
        <v>1</v>
      </c>
      <c r="D27" s="201" t="s">
        <v>669</v>
      </c>
      <c r="E27" s="166">
        <v>13</v>
      </c>
      <c r="F27" s="180">
        <v>1500</v>
      </c>
      <c r="G27" s="265">
        <v>115.38461538461539</v>
      </c>
      <c r="H27" s="459">
        <f>AVERAGE(G27:G41)</f>
        <v>107.69230769230769</v>
      </c>
      <c r="I27" s="166">
        <f t="shared" ref="I27:K28" si="14">AVERAGE(P27,U27,Z27,AE27,AJ27,AO27,AT27)</f>
        <v>13</v>
      </c>
      <c r="J27" s="166">
        <f t="shared" si="14"/>
        <v>1460.8979591836739</v>
      </c>
      <c r="K27" s="265">
        <f t="shared" si="14"/>
        <v>112.37676609105185</v>
      </c>
      <c r="L27" s="459">
        <f>IFERROR(AVERAGE(K27:K41),"-")</f>
        <v>120.59560849088804</v>
      </c>
      <c r="M27" s="272">
        <f>RANK(K27, K$27:$K$41)</f>
        <v>2</v>
      </c>
      <c r="N27" s="462"/>
      <c r="O27" s="462"/>
      <c r="P27" s="166">
        <v>13</v>
      </c>
      <c r="Q27" s="166">
        <v>1491.4285714285732</v>
      </c>
      <c r="R27" s="265">
        <v>114.72527472527486</v>
      </c>
      <c r="S27" s="180">
        <f t="shared" ref="S27:S41" si="15">RANK(R27, R$27:R$41)</f>
        <v>2</v>
      </c>
      <c r="T27" s="486">
        <f>AVERAGE(R27:R41)</f>
        <v>130.96263736263742</v>
      </c>
      <c r="U27" s="166">
        <v>13</v>
      </c>
      <c r="V27" s="166">
        <v>1525.7142857142876</v>
      </c>
      <c r="W27" s="265">
        <v>117.36263736263751</v>
      </c>
      <c r="X27" s="180">
        <f t="shared" ref="X27:X41" si="16">RANK(W27, W$27:W$41)</f>
        <v>1</v>
      </c>
      <c r="Y27" s="486">
        <f t="shared" ref="Y27" si="17">AVERAGE(W27:W41)</f>
        <v>115.4945054945056</v>
      </c>
      <c r="Z27" s="324">
        <v>13</v>
      </c>
      <c r="AA27" s="166">
        <v>1445.1428571428555</v>
      </c>
      <c r="AB27" s="265">
        <v>111.16483516483504</v>
      </c>
      <c r="AC27" s="180">
        <f t="shared" ref="AC27:AC41" si="18">RANK(AB27, AB$27:AB$41)</f>
        <v>2</v>
      </c>
      <c r="AD27" s="486">
        <f t="shared" ref="AD27" si="19">AVERAGE(AB27:AB41)</f>
        <v>112.19780219780215</v>
      </c>
      <c r="AE27" s="324">
        <v>13</v>
      </c>
      <c r="AF27" s="166">
        <v>1540.8000000000004</v>
      </c>
      <c r="AG27" s="265">
        <v>118.52307692307696</v>
      </c>
      <c r="AH27" s="180">
        <f t="shared" ref="AH27:AH41" si="20">RANK(AG27, AG$27:AG$41)</f>
        <v>1</v>
      </c>
      <c r="AI27" s="486">
        <f t="shared" ref="AI27" si="21">AVERAGE(AG27:AG41)</f>
        <v>117.09431438127096</v>
      </c>
      <c r="AJ27" s="324">
        <v>13</v>
      </c>
      <c r="AK27" s="166">
        <v>1408.8000000000004</v>
      </c>
      <c r="AL27" s="265">
        <v>108.3692307692308</v>
      </c>
      <c r="AM27" s="180">
        <f t="shared" ref="AM27:AM41" si="22">RANK(AL27, AL$27:AL$41)</f>
        <v>2</v>
      </c>
      <c r="AN27" s="486">
        <f t="shared" ref="AN27" si="23">AVERAGE(AL27:AL41)</f>
        <v>112.45384615384619</v>
      </c>
      <c r="AO27" s="324">
        <v>13</v>
      </c>
      <c r="AP27" s="166">
        <v>1430.399999999996</v>
      </c>
      <c r="AQ27" s="265">
        <v>110.03076923076893</v>
      </c>
      <c r="AR27" s="180">
        <f t="shared" ref="AR27:AR41" si="24">RANK(AQ27, AQ$27:AQ$41)</f>
        <v>2</v>
      </c>
      <c r="AS27" s="486">
        <f t="shared" ref="AS27" si="25">AVERAGE(AQ27:AQ41)</f>
        <v>127.73538461538449</v>
      </c>
      <c r="AT27" s="324">
        <v>13</v>
      </c>
      <c r="AU27" s="166">
        <v>1384.000000000005</v>
      </c>
      <c r="AV27" s="265">
        <v>106.46153846153885</v>
      </c>
      <c r="AW27" s="180">
        <f t="shared" ref="AW27:AW41" si="26">RANK(AV27, AV$27:AV$41)</f>
        <v>2</v>
      </c>
      <c r="AX27" s="486">
        <f t="shared" ref="AX27" si="27">AVERAGE(AV27:AV41)</f>
        <v>128.23076923076945</v>
      </c>
    </row>
    <row r="28" spans="2:54">
      <c r="B28" s="479"/>
      <c r="C28" s="180">
        <v>2</v>
      </c>
      <c r="D28" s="201" t="s">
        <v>693</v>
      </c>
      <c r="E28" s="166">
        <v>15</v>
      </c>
      <c r="F28" s="180">
        <v>1500</v>
      </c>
      <c r="G28" s="265">
        <v>100</v>
      </c>
      <c r="H28" s="460"/>
      <c r="I28" s="166">
        <f t="shared" si="14"/>
        <v>11.714285714285714</v>
      </c>
      <c r="J28" s="166">
        <f t="shared" si="14"/>
        <v>1484.8850044365577</v>
      </c>
      <c r="K28" s="265">
        <f t="shared" si="14"/>
        <v>128.81445089072423</v>
      </c>
      <c r="L28" s="460"/>
      <c r="M28" s="272">
        <f>RANK(K28, K$27:$K$41)</f>
        <v>1</v>
      </c>
      <c r="N28" s="462"/>
      <c r="O28" s="462"/>
      <c r="P28" s="180">
        <v>10</v>
      </c>
      <c r="Q28" s="166">
        <v>1471.9999999999998</v>
      </c>
      <c r="R28" s="265">
        <v>147.19999999999999</v>
      </c>
      <c r="S28" s="180">
        <f t="shared" si="15"/>
        <v>1</v>
      </c>
      <c r="T28" s="486"/>
      <c r="U28" s="180">
        <v>13</v>
      </c>
      <c r="V28" s="166">
        <v>1477.1428571428578</v>
      </c>
      <c r="W28" s="265">
        <v>113.62637362637368</v>
      </c>
      <c r="X28" s="180">
        <f t="shared" si="16"/>
        <v>2</v>
      </c>
      <c r="Y28" s="486"/>
      <c r="Z28" s="180">
        <v>13</v>
      </c>
      <c r="AA28" s="166">
        <v>1472.0000000000002</v>
      </c>
      <c r="AB28" s="265">
        <v>113.23076923076925</v>
      </c>
      <c r="AC28" s="180">
        <f t="shared" si="18"/>
        <v>1</v>
      </c>
      <c r="AD28" s="486"/>
      <c r="AE28" s="180">
        <v>13</v>
      </c>
      <c r="AF28" s="166">
        <v>1503.6521739130446</v>
      </c>
      <c r="AG28" s="265">
        <v>115.66555183946497</v>
      </c>
      <c r="AH28" s="180">
        <f t="shared" si="20"/>
        <v>2</v>
      </c>
      <c r="AI28" s="486"/>
      <c r="AJ28" s="180">
        <v>13</v>
      </c>
      <c r="AK28" s="166">
        <v>1515.0000000000005</v>
      </c>
      <c r="AL28" s="265">
        <v>116.53846153846158</v>
      </c>
      <c r="AM28" s="180">
        <f t="shared" si="22"/>
        <v>1</v>
      </c>
      <c r="AN28" s="486"/>
      <c r="AO28" s="180">
        <v>10</v>
      </c>
      <c r="AP28" s="166">
        <v>1454.4000000000005</v>
      </c>
      <c r="AQ28" s="265">
        <v>145.44000000000005</v>
      </c>
      <c r="AR28" s="180">
        <f t="shared" si="24"/>
        <v>1</v>
      </c>
      <c r="AS28" s="486"/>
      <c r="AT28" s="180">
        <v>10</v>
      </c>
      <c r="AU28" s="166">
        <v>1500.0000000000005</v>
      </c>
      <c r="AV28" s="265">
        <v>150.00000000000006</v>
      </c>
      <c r="AW28" s="180">
        <f t="shared" si="26"/>
        <v>1</v>
      </c>
      <c r="AX28" s="486"/>
    </row>
    <row r="29" spans="2:54">
      <c r="B29" s="479"/>
      <c r="C29" s="180">
        <v>3</v>
      </c>
      <c r="D29" s="201"/>
      <c r="E29" s="166"/>
      <c r="F29" s="180"/>
      <c r="G29" s="265"/>
      <c r="H29" s="460"/>
      <c r="I29" s="166"/>
      <c r="J29" s="166"/>
      <c r="K29" s="265"/>
      <c r="L29" s="460"/>
      <c r="M29" s="272" t="e">
        <f>RANK(K29, K$27:$K$41)</f>
        <v>#N/A</v>
      </c>
      <c r="N29" s="462"/>
      <c r="O29" s="462"/>
      <c r="P29" s="180"/>
      <c r="Q29" s="180"/>
      <c r="R29" s="180"/>
      <c r="S29" s="180" t="e">
        <f t="shared" si="15"/>
        <v>#N/A</v>
      </c>
      <c r="T29" s="486"/>
      <c r="U29" s="180"/>
      <c r="V29" s="180"/>
      <c r="W29" s="180"/>
      <c r="X29" s="180" t="e">
        <f t="shared" si="16"/>
        <v>#N/A</v>
      </c>
      <c r="Y29" s="486"/>
      <c r="Z29" s="180"/>
      <c r="AA29" s="180"/>
      <c r="AB29" s="180"/>
      <c r="AC29" s="180" t="e">
        <f t="shared" si="18"/>
        <v>#N/A</v>
      </c>
      <c r="AD29" s="486"/>
      <c r="AE29" s="180"/>
      <c r="AF29" s="180"/>
      <c r="AG29" s="180"/>
      <c r="AH29" s="180" t="e">
        <f t="shared" si="20"/>
        <v>#N/A</v>
      </c>
      <c r="AI29" s="486"/>
      <c r="AJ29" s="180"/>
      <c r="AK29" s="180"/>
      <c r="AL29" s="180"/>
      <c r="AM29" s="180" t="e">
        <f t="shared" si="22"/>
        <v>#N/A</v>
      </c>
      <c r="AN29" s="486"/>
      <c r="AO29" s="180"/>
      <c r="AP29" s="180"/>
      <c r="AQ29" s="180"/>
      <c r="AR29" s="180" t="e">
        <f t="shared" si="24"/>
        <v>#N/A</v>
      </c>
      <c r="AS29" s="486"/>
      <c r="AT29" s="180"/>
      <c r="AU29" s="180"/>
      <c r="AV29" s="180"/>
      <c r="AW29" s="180" t="e">
        <f t="shared" si="26"/>
        <v>#N/A</v>
      </c>
      <c r="AX29" s="486"/>
    </row>
    <row r="30" spans="2:54">
      <c r="B30" s="479"/>
      <c r="C30" s="180">
        <v>4</v>
      </c>
      <c r="D30" s="201"/>
      <c r="E30" s="166"/>
      <c r="F30" s="180"/>
      <c r="G30" s="265"/>
      <c r="H30" s="460"/>
      <c r="I30" s="166"/>
      <c r="J30" s="166"/>
      <c r="K30" s="265"/>
      <c r="L30" s="460"/>
      <c r="M30" s="272" t="e">
        <f>RANK(K30, K$27:$K$41)</f>
        <v>#N/A</v>
      </c>
      <c r="N30" s="462"/>
      <c r="O30" s="462"/>
      <c r="P30" s="180"/>
      <c r="Q30" s="180"/>
      <c r="R30" s="180"/>
      <c r="S30" s="180" t="e">
        <f t="shared" si="15"/>
        <v>#N/A</v>
      </c>
      <c r="T30" s="486"/>
      <c r="U30" s="180"/>
      <c r="V30" s="180"/>
      <c r="W30" s="180"/>
      <c r="X30" s="180" t="e">
        <f t="shared" si="16"/>
        <v>#N/A</v>
      </c>
      <c r="Y30" s="486"/>
      <c r="Z30" s="180"/>
      <c r="AA30" s="180"/>
      <c r="AB30" s="180"/>
      <c r="AC30" s="180" t="e">
        <f t="shared" si="18"/>
        <v>#N/A</v>
      </c>
      <c r="AD30" s="486"/>
      <c r="AE30" s="180"/>
      <c r="AF30" s="180"/>
      <c r="AG30" s="180"/>
      <c r="AH30" s="180" t="e">
        <f t="shared" si="20"/>
        <v>#N/A</v>
      </c>
      <c r="AI30" s="486"/>
      <c r="AJ30" s="180"/>
      <c r="AK30" s="180"/>
      <c r="AL30" s="180"/>
      <c r="AM30" s="180" t="e">
        <f t="shared" si="22"/>
        <v>#N/A</v>
      </c>
      <c r="AN30" s="486"/>
      <c r="AO30" s="180"/>
      <c r="AP30" s="180"/>
      <c r="AQ30" s="180"/>
      <c r="AR30" s="180" t="e">
        <f t="shared" si="24"/>
        <v>#N/A</v>
      </c>
      <c r="AS30" s="486"/>
      <c r="AT30" s="180"/>
      <c r="AU30" s="180"/>
      <c r="AV30" s="180"/>
      <c r="AW30" s="180" t="e">
        <f t="shared" si="26"/>
        <v>#N/A</v>
      </c>
      <c r="AX30" s="486"/>
    </row>
    <row r="31" spans="2:54">
      <c r="B31" s="479"/>
      <c r="C31" s="180">
        <v>5</v>
      </c>
      <c r="D31" s="201"/>
      <c r="E31" s="166"/>
      <c r="F31" s="180"/>
      <c r="G31" s="265"/>
      <c r="H31" s="460"/>
      <c r="I31" s="166"/>
      <c r="J31" s="166"/>
      <c r="K31" s="265"/>
      <c r="L31" s="460"/>
      <c r="M31" s="272" t="e">
        <f>RANK(K31, K$27:$K$41)</f>
        <v>#N/A</v>
      </c>
      <c r="N31" s="462"/>
      <c r="O31" s="462"/>
      <c r="P31" s="180"/>
      <c r="Q31" s="180"/>
      <c r="R31" s="180"/>
      <c r="S31" s="180" t="e">
        <f t="shared" si="15"/>
        <v>#N/A</v>
      </c>
      <c r="T31" s="486"/>
      <c r="U31" s="180"/>
      <c r="V31" s="180"/>
      <c r="W31" s="180"/>
      <c r="X31" s="180" t="e">
        <f t="shared" si="16"/>
        <v>#N/A</v>
      </c>
      <c r="Y31" s="486"/>
      <c r="Z31" s="180"/>
      <c r="AA31" s="180"/>
      <c r="AB31" s="180"/>
      <c r="AC31" s="180" t="e">
        <f t="shared" si="18"/>
        <v>#N/A</v>
      </c>
      <c r="AD31" s="486"/>
      <c r="AE31" s="180"/>
      <c r="AF31" s="180"/>
      <c r="AG31" s="180"/>
      <c r="AH31" s="180" t="e">
        <f t="shared" si="20"/>
        <v>#N/A</v>
      </c>
      <c r="AI31" s="486"/>
      <c r="AJ31" s="180"/>
      <c r="AK31" s="180"/>
      <c r="AL31" s="180"/>
      <c r="AM31" s="180" t="e">
        <f t="shared" si="22"/>
        <v>#N/A</v>
      </c>
      <c r="AN31" s="486"/>
      <c r="AO31" s="180"/>
      <c r="AP31" s="180"/>
      <c r="AQ31" s="180"/>
      <c r="AR31" s="180" t="e">
        <f t="shared" si="24"/>
        <v>#N/A</v>
      </c>
      <c r="AS31" s="486"/>
      <c r="AT31" s="180"/>
      <c r="AU31" s="180"/>
      <c r="AV31" s="180"/>
      <c r="AW31" s="180" t="e">
        <f t="shared" si="26"/>
        <v>#N/A</v>
      </c>
      <c r="AX31" s="486"/>
    </row>
    <row r="32" spans="2:54">
      <c r="B32" s="479"/>
      <c r="C32" s="180">
        <v>6</v>
      </c>
      <c r="D32" s="201"/>
      <c r="E32" s="166"/>
      <c r="F32" s="180"/>
      <c r="G32" s="265"/>
      <c r="H32" s="460"/>
      <c r="I32" s="166"/>
      <c r="J32" s="166"/>
      <c r="K32" s="265"/>
      <c r="L32" s="460"/>
      <c r="M32" s="272" t="e">
        <f>RANK(K32, K$27:$K$41)</f>
        <v>#N/A</v>
      </c>
      <c r="N32" s="462"/>
      <c r="O32" s="462"/>
      <c r="P32" s="180"/>
      <c r="Q32" s="180"/>
      <c r="R32" s="180"/>
      <c r="S32" s="180" t="e">
        <f t="shared" si="15"/>
        <v>#N/A</v>
      </c>
      <c r="T32" s="486"/>
      <c r="U32" s="180"/>
      <c r="V32" s="180"/>
      <c r="W32" s="180"/>
      <c r="X32" s="180" t="e">
        <f t="shared" si="16"/>
        <v>#N/A</v>
      </c>
      <c r="Y32" s="486"/>
      <c r="Z32" s="180"/>
      <c r="AA32" s="180"/>
      <c r="AB32" s="180"/>
      <c r="AC32" s="180" t="e">
        <f t="shared" si="18"/>
        <v>#N/A</v>
      </c>
      <c r="AD32" s="486"/>
      <c r="AE32" s="180"/>
      <c r="AF32" s="180"/>
      <c r="AG32" s="180"/>
      <c r="AH32" s="180" t="e">
        <f t="shared" si="20"/>
        <v>#N/A</v>
      </c>
      <c r="AI32" s="486"/>
      <c r="AJ32" s="180"/>
      <c r="AK32" s="180"/>
      <c r="AL32" s="180"/>
      <c r="AM32" s="180" t="e">
        <f t="shared" si="22"/>
        <v>#N/A</v>
      </c>
      <c r="AN32" s="486"/>
      <c r="AO32" s="180"/>
      <c r="AP32" s="180"/>
      <c r="AQ32" s="180"/>
      <c r="AR32" s="180" t="e">
        <f t="shared" si="24"/>
        <v>#N/A</v>
      </c>
      <c r="AS32" s="486"/>
      <c r="AT32" s="180"/>
      <c r="AU32" s="180"/>
      <c r="AV32" s="180"/>
      <c r="AW32" s="180" t="e">
        <f t="shared" si="26"/>
        <v>#N/A</v>
      </c>
      <c r="AX32" s="486"/>
    </row>
    <row r="33" spans="2:50">
      <c r="B33" s="479"/>
      <c r="C33" s="180">
        <v>7</v>
      </c>
      <c r="D33" s="201"/>
      <c r="E33" s="166"/>
      <c r="F33" s="180"/>
      <c r="G33" s="265"/>
      <c r="H33" s="460"/>
      <c r="I33" s="166"/>
      <c r="J33" s="166"/>
      <c r="K33" s="265"/>
      <c r="L33" s="460"/>
      <c r="M33" s="272" t="e">
        <f>RANK(K33, K$27:$K$41)</f>
        <v>#N/A</v>
      </c>
      <c r="N33" s="462"/>
      <c r="O33" s="462"/>
      <c r="P33" s="180"/>
      <c r="Q33" s="180"/>
      <c r="R33" s="180"/>
      <c r="S33" s="180" t="e">
        <f t="shared" si="15"/>
        <v>#N/A</v>
      </c>
      <c r="T33" s="486"/>
      <c r="U33" s="180"/>
      <c r="V33" s="180"/>
      <c r="W33" s="180"/>
      <c r="X33" s="180" t="e">
        <f t="shared" si="16"/>
        <v>#N/A</v>
      </c>
      <c r="Y33" s="486"/>
      <c r="Z33" s="180"/>
      <c r="AA33" s="180"/>
      <c r="AB33" s="180"/>
      <c r="AC33" s="180" t="e">
        <f t="shared" si="18"/>
        <v>#N/A</v>
      </c>
      <c r="AD33" s="486"/>
      <c r="AE33" s="180"/>
      <c r="AF33" s="180"/>
      <c r="AG33" s="180"/>
      <c r="AH33" s="180" t="e">
        <f t="shared" si="20"/>
        <v>#N/A</v>
      </c>
      <c r="AI33" s="486"/>
      <c r="AJ33" s="180"/>
      <c r="AK33" s="180"/>
      <c r="AL33" s="180"/>
      <c r="AM33" s="180" t="e">
        <f t="shared" si="22"/>
        <v>#N/A</v>
      </c>
      <c r="AN33" s="486"/>
      <c r="AO33" s="180"/>
      <c r="AP33" s="180"/>
      <c r="AQ33" s="180"/>
      <c r="AR33" s="180" t="e">
        <f t="shared" si="24"/>
        <v>#N/A</v>
      </c>
      <c r="AS33" s="486"/>
      <c r="AT33" s="180"/>
      <c r="AU33" s="180"/>
      <c r="AV33" s="180"/>
      <c r="AW33" s="180" t="e">
        <f t="shared" si="26"/>
        <v>#N/A</v>
      </c>
      <c r="AX33" s="486"/>
    </row>
    <row r="34" spans="2:50">
      <c r="B34" s="479"/>
      <c r="C34" s="180">
        <v>8</v>
      </c>
      <c r="D34" s="201"/>
      <c r="E34" s="166"/>
      <c r="F34" s="180"/>
      <c r="G34" s="265"/>
      <c r="H34" s="460"/>
      <c r="I34" s="166"/>
      <c r="J34" s="166"/>
      <c r="K34" s="265"/>
      <c r="L34" s="460"/>
      <c r="M34" s="272" t="e">
        <f>RANK(K34, K$27:$K$41)</f>
        <v>#N/A</v>
      </c>
      <c r="N34" s="462"/>
      <c r="O34" s="462"/>
      <c r="P34" s="180"/>
      <c r="Q34" s="180"/>
      <c r="R34" s="180"/>
      <c r="S34" s="180" t="e">
        <f t="shared" si="15"/>
        <v>#N/A</v>
      </c>
      <c r="T34" s="486"/>
      <c r="U34" s="180"/>
      <c r="V34" s="180"/>
      <c r="W34" s="180"/>
      <c r="X34" s="180" t="e">
        <f t="shared" si="16"/>
        <v>#N/A</v>
      </c>
      <c r="Y34" s="486"/>
      <c r="Z34" s="180"/>
      <c r="AA34" s="180"/>
      <c r="AB34" s="180"/>
      <c r="AC34" s="180" t="e">
        <f t="shared" si="18"/>
        <v>#N/A</v>
      </c>
      <c r="AD34" s="486"/>
      <c r="AE34" s="180"/>
      <c r="AF34" s="180"/>
      <c r="AG34" s="180"/>
      <c r="AH34" s="180" t="e">
        <f t="shared" si="20"/>
        <v>#N/A</v>
      </c>
      <c r="AI34" s="486"/>
      <c r="AJ34" s="180"/>
      <c r="AK34" s="180"/>
      <c r="AL34" s="180"/>
      <c r="AM34" s="180" t="e">
        <f t="shared" si="22"/>
        <v>#N/A</v>
      </c>
      <c r="AN34" s="486"/>
      <c r="AO34" s="180"/>
      <c r="AP34" s="180"/>
      <c r="AQ34" s="180"/>
      <c r="AR34" s="180" t="e">
        <f t="shared" si="24"/>
        <v>#N/A</v>
      </c>
      <c r="AS34" s="486"/>
      <c r="AT34" s="180"/>
      <c r="AU34" s="180"/>
      <c r="AV34" s="180"/>
      <c r="AW34" s="180" t="e">
        <f t="shared" si="26"/>
        <v>#N/A</v>
      </c>
      <c r="AX34" s="486"/>
    </row>
    <row r="35" spans="2:50">
      <c r="B35" s="479"/>
      <c r="C35" s="180">
        <v>9</v>
      </c>
      <c r="D35" s="201"/>
      <c r="E35" s="166"/>
      <c r="F35" s="180"/>
      <c r="G35" s="265"/>
      <c r="H35" s="460"/>
      <c r="I35" s="166"/>
      <c r="J35" s="166"/>
      <c r="K35" s="265"/>
      <c r="L35" s="460"/>
      <c r="M35" s="272" t="e">
        <f>RANK(K35, K$27:$K$41)</f>
        <v>#N/A</v>
      </c>
      <c r="N35" s="462"/>
      <c r="O35" s="462"/>
      <c r="P35" s="180"/>
      <c r="Q35" s="180"/>
      <c r="R35" s="180"/>
      <c r="S35" s="180" t="e">
        <f t="shared" si="15"/>
        <v>#N/A</v>
      </c>
      <c r="T35" s="486"/>
      <c r="U35" s="180"/>
      <c r="V35" s="180"/>
      <c r="W35" s="180"/>
      <c r="X35" s="180" t="e">
        <f t="shared" si="16"/>
        <v>#N/A</v>
      </c>
      <c r="Y35" s="486"/>
      <c r="Z35" s="180"/>
      <c r="AA35" s="180"/>
      <c r="AB35" s="180"/>
      <c r="AC35" s="180" t="e">
        <f t="shared" si="18"/>
        <v>#N/A</v>
      </c>
      <c r="AD35" s="486"/>
      <c r="AE35" s="180"/>
      <c r="AF35" s="180"/>
      <c r="AG35" s="180"/>
      <c r="AH35" s="180" t="e">
        <f t="shared" si="20"/>
        <v>#N/A</v>
      </c>
      <c r="AI35" s="486"/>
      <c r="AJ35" s="180"/>
      <c r="AK35" s="180"/>
      <c r="AL35" s="180"/>
      <c r="AM35" s="180" t="e">
        <f t="shared" si="22"/>
        <v>#N/A</v>
      </c>
      <c r="AN35" s="486"/>
      <c r="AO35" s="180"/>
      <c r="AP35" s="180"/>
      <c r="AQ35" s="180"/>
      <c r="AR35" s="180" t="e">
        <f t="shared" si="24"/>
        <v>#N/A</v>
      </c>
      <c r="AS35" s="486"/>
      <c r="AT35" s="180"/>
      <c r="AU35" s="180"/>
      <c r="AV35" s="180"/>
      <c r="AW35" s="180" t="e">
        <f t="shared" si="26"/>
        <v>#N/A</v>
      </c>
      <c r="AX35" s="486"/>
    </row>
    <row r="36" spans="2:50">
      <c r="B36" s="479"/>
      <c r="C36" s="180">
        <v>10</v>
      </c>
      <c r="D36" s="201"/>
      <c r="E36" s="166"/>
      <c r="F36" s="180"/>
      <c r="G36" s="265"/>
      <c r="H36" s="460"/>
      <c r="I36" s="166"/>
      <c r="J36" s="166"/>
      <c r="K36" s="265"/>
      <c r="L36" s="460"/>
      <c r="M36" s="272" t="e">
        <f>RANK(K36, K$27:$K$41)</f>
        <v>#N/A</v>
      </c>
      <c r="N36" s="462"/>
      <c r="O36" s="462"/>
      <c r="P36" s="180"/>
      <c r="Q36" s="180"/>
      <c r="R36" s="180"/>
      <c r="S36" s="180" t="e">
        <f t="shared" si="15"/>
        <v>#N/A</v>
      </c>
      <c r="T36" s="486"/>
      <c r="U36" s="180"/>
      <c r="V36" s="180"/>
      <c r="W36" s="180"/>
      <c r="X36" s="180" t="e">
        <f t="shared" si="16"/>
        <v>#N/A</v>
      </c>
      <c r="Y36" s="486"/>
      <c r="Z36" s="180"/>
      <c r="AA36" s="180"/>
      <c r="AB36" s="180"/>
      <c r="AC36" s="180" t="e">
        <f t="shared" si="18"/>
        <v>#N/A</v>
      </c>
      <c r="AD36" s="486"/>
      <c r="AE36" s="180"/>
      <c r="AF36" s="180"/>
      <c r="AG36" s="180"/>
      <c r="AH36" s="180" t="e">
        <f t="shared" si="20"/>
        <v>#N/A</v>
      </c>
      <c r="AI36" s="486"/>
      <c r="AJ36" s="180"/>
      <c r="AK36" s="180"/>
      <c r="AL36" s="180"/>
      <c r="AM36" s="180" t="e">
        <f t="shared" si="22"/>
        <v>#N/A</v>
      </c>
      <c r="AN36" s="486"/>
      <c r="AO36" s="180"/>
      <c r="AP36" s="180"/>
      <c r="AQ36" s="180"/>
      <c r="AR36" s="180" t="e">
        <f t="shared" si="24"/>
        <v>#N/A</v>
      </c>
      <c r="AS36" s="486"/>
      <c r="AT36" s="180"/>
      <c r="AU36" s="180"/>
      <c r="AV36" s="180"/>
      <c r="AW36" s="180" t="e">
        <f t="shared" si="26"/>
        <v>#N/A</v>
      </c>
      <c r="AX36" s="486"/>
    </row>
    <row r="37" spans="2:50">
      <c r="B37" s="479"/>
      <c r="C37" s="180">
        <v>11</v>
      </c>
      <c r="D37" s="201"/>
      <c r="E37" s="166"/>
      <c r="F37" s="180"/>
      <c r="G37" s="265"/>
      <c r="H37" s="460"/>
      <c r="I37" s="180"/>
      <c r="J37" s="180"/>
      <c r="K37" s="180"/>
      <c r="L37" s="460"/>
      <c r="M37" s="272" t="e">
        <f>RANK(K37, K$27:$K$41)</f>
        <v>#N/A</v>
      </c>
      <c r="N37" s="462"/>
      <c r="O37" s="462"/>
      <c r="P37" s="180"/>
      <c r="Q37" s="180"/>
      <c r="R37" s="180"/>
      <c r="S37" s="180" t="e">
        <f t="shared" si="15"/>
        <v>#N/A</v>
      </c>
      <c r="T37" s="486"/>
      <c r="U37" s="180"/>
      <c r="V37" s="180"/>
      <c r="W37" s="180"/>
      <c r="X37" s="180" t="e">
        <f t="shared" si="16"/>
        <v>#N/A</v>
      </c>
      <c r="Y37" s="486"/>
      <c r="Z37" s="180"/>
      <c r="AA37" s="180"/>
      <c r="AB37" s="180"/>
      <c r="AC37" s="180" t="e">
        <f t="shared" si="18"/>
        <v>#N/A</v>
      </c>
      <c r="AD37" s="486"/>
      <c r="AE37" s="180"/>
      <c r="AF37" s="180"/>
      <c r="AG37" s="180"/>
      <c r="AH37" s="180" t="e">
        <f t="shared" si="20"/>
        <v>#N/A</v>
      </c>
      <c r="AI37" s="486"/>
      <c r="AJ37" s="180"/>
      <c r="AK37" s="180"/>
      <c r="AL37" s="180"/>
      <c r="AM37" s="180" t="e">
        <f t="shared" si="22"/>
        <v>#N/A</v>
      </c>
      <c r="AN37" s="486"/>
      <c r="AO37" s="180"/>
      <c r="AP37" s="180"/>
      <c r="AQ37" s="180"/>
      <c r="AR37" s="180" t="e">
        <f t="shared" si="24"/>
        <v>#N/A</v>
      </c>
      <c r="AS37" s="486"/>
      <c r="AT37" s="180"/>
      <c r="AU37" s="180"/>
      <c r="AV37" s="180"/>
      <c r="AW37" s="180" t="e">
        <f t="shared" si="26"/>
        <v>#N/A</v>
      </c>
      <c r="AX37" s="486"/>
    </row>
    <row r="38" spans="2:50">
      <c r="B38" s="479"/>
      <c r="C38" s="180">
        <v>12</v>
      </c>
      <c r="D38" s="201"/>
      <c r="E38" s="166"/>
      <c r="F38" s="180"/>
      <c r="G38" s="265"/>
      <c r="H38" s="460"/>
      <c r="I38" s="180"/>
      <c r="J38" s="180"/>
      <c r="K38" s="180"/>
      <c r="L38" s="460"/>
      <c r="M38" s="272" t="e">
        <f>RANK(K38, K$27:$K$41)</f>
        <v>#N/A</v>
      </c>
      <c r="N38" s="462"/>
      <c r="O38" s="462"/>
      <c r="P38" s="180"/>
      <c r="Q38" s="180"/>
      <c r="R38" s="180"/>
      <c r="S38" s="180" t="e">
        <f t="shared" si="15"/>
        <v>#N/A</v>
      </c>
      <c r="T38" s="486"/>
      <c r="U38" s="180"/>
      <c r="V38" s="180"/>
      <c r="W38" s="180"/>
      <c r="X38" s="180" t="e">
        <f t="shared" si="16"/>
        <v>#N/A</v>
      </c>
      <c r="Y38" s="486"/>
      <c r="Z38" s="180"/>
      <c r="AA38" s="180"/>
      <c r="AB38" s="180"/>
      <c r="AC38" s="180" t="e">
        <f t="shared" si="18"/>
        <v>#N/A</v>
      </c>
      <c r="AD38" s="486"/>
      <c r="AE38" s="180"/>
      <c r="AF38" s="180"/>
      <c r="AG38" s="180"/>
      <c r="AH38" s="180" t="e">
        <f t="shared" si="20"/>
        <v>#N/A</v>
      </c>
      <c r="AI38" s="486"/>
      <c r="AJ38" s="180"/>
      <c r="AK38" s="180"/>
      <c r="AL38" s="180"/>
      <c r="AM38" s="180" t="e">
        <f t="shared" si="22"/>
        <v>#N/A</v>
      </c>
      <c r="AN38" s="486"/>
      <c r="AO38" s="180"/>
      <c r="AP38" s="180"/>
      <c r="AQ38" s="180"/>
      <c r="AR38" s="180" t="e">
        <f t="shared" si="24"/>
        <v>#N/A</v>
      </c>
      <c r="AS38" s="486"/>
      <c r="AT38" s="180"/>
      <c r="AU38" s="180"/>
      <c r="AV38" s="180"/>
      <c r="AW38" s="180" t="e">
        <f t="shared" si="26"/>
        <v>#N/A</v>
      </c>
      <c r="AX38" s="486"/>
    </row>
    <row r="39" spans="2:50">
      <c r="B39" s="479"/>
      <c r="C39" s="180">
        <v>13</v>
      </c>
      <c r="D39" s="201"/>
      <c r="E39" s="166"/>
      <c r="F39" s="180"/>
      <c r="G39" s="265"/>
      <c r="H39" s="460"/>
      <c r="I39" s="180"/>
      <c r="J39" s="180"/>
      <c r="K39" s="180"/>
      <c r="L39" s="460"/>
      <c r="M39" s="272" t="e">
        <f>RANK(K39, K$27:$K$41)</f>
        <v>#N/A</v>
      </c>
      <c r="N39" s="462"/>
      <c r="O39" s="462"/>
      <c r="P39" s="180"/>
      <c r="Q39" s="180"/>
      <c r="R39" s="180"/>
      <c r="S39" s="180" t="e">
        <f t="shared" si="15"/>
        <v>#N/A</v>
      </c>
      <c r="T39" s="486"/>
      <c r="U39" s="180"/>
      <c r="V39" s="180"/>
      <c r="W39" s="180"/>
      <c r="X39" s="180" t="e">
        <f t="shared" si="16"/>
        <v>#N/A</v>
      </c>
      <c r="Y39" s="486"/>
      <c r="Z39" s="180"/>
      <c r="AA39" s="180"/>
      <c r="AB39" s="180"/>
      <c r="AC39" s="180" t="e">
        <f t="shared" si="18"/>
        <v>#N/A</v>
      </c>
      <c r="AD39" s="486"/>
      <c r="AE39" s="180"/>
      <c r="AF39" s="180"/>
      <c r="AG39" s="180"/>
      <c r="AH39" s="180" t="e">
        <f t="shared" si="20"/>
        <v>#N/A</v>
      </c>
      <c r="AI39" s="486"/>
      <c r="AJ39" s="180"/>
      <c r="AK39" s="180"/>
      <c r="AL39" s="180"/>
      <c r="AM39" s="180" t="e">
        <f t="shared" si="22"/>
        <v>#N/A</v>
      </c>
      <c r="AN39" s="486"/>
      <c r="AO39" s="180"/>
      <c r="AP39" s="180"/>
      <c r="AQ39" s="180"/>
      <c r="AR39" s="180" t="e">
        <f t="shared" si="24"/>
        <v>#N/A</v>
      </c>
      <c r="AS39" s="486"/>
      <c r="AT39" s="180"/>
      <c r="AU39" s="180"/>
      <c r="AV39" s="180"/>
      <c r="AW39" s="180" t="e">
        <f t="shared" si="26"/>
        <v>#N/A</v>
      </c>
      <c r="AX39" s="486"/>
    </row>
    <row r="40" spans="2:50">
      <c r="B40" s="479"/>
      <c r="C40" s="180">
        <v>14</v>
      </c>
      <c r="D40" s="201"/>
      <c r="E40" s="166"/>
      <c r="F40" s="180"/>
      <c r="G40" s="265"/>
      <c r="H40" s="460"/>
      <c r="I40" s="180"/>
      <c r="J40" s="180"/>
      <c r="K40" s="180"/>
      <c r="L40" s="460"/>
      <c r="M40" s="272" t="e">
        <f>RANK(K40, K$27:$K$41)</f>
        <v>#N/A</v>
      </c>
      <c r="N40" s="462"/>
      <c r="O40" s="462"/>
      <c r="P40" s="180"/>
      <c r="Q40" s="180"/>
      <c r="R40" s="180"/>
      <c r="S40" s="180" t="e">
        <f t="shared" si="15"/>
        <v>#N/A</v>
      </c>
      <c r="T40" s="486"/>
      <c r="U40" s="180"/>
      <c r="V40" s="180"/>
      <c r="W40" s="180"/>
      <c r="X40" s="180" t="e">
        <f t="shared" si="16"/>
        <v>#N/A</v>
      </c>
      <c r="Y40" s="486"/>
      <c r="Z40" s="180"/>
      <c r="AA40" s="180"/>
      <c r="AB40" s="180"/>
      <c r="AC40" s="180" t="e">
        <f t="shared" si="18"/>
        <v>#N/A</v>
      </c>
      <c r="AD40" s="486"/>
      <c r="AE40" s="180"/>
      <c r="AF40" s="180"/>
      <c r="AG40" s="180"/>
      <c r="AH40" s="180" t="e">
        <f t="shared" si="20"/>
        <v>#N/A</v>
      </c>
      <c r="AI40" s="486"/>
      <c r="AJ40" s="180"/>
      <c r="AK40" s="180"/>
      <c r="AL40" s="180"/>
      <c r="AM40" s="180" t="e">
        <f t="shared" si="22"/>
        <v>#N/A</v>
      </c>
      <c r="AN40" s="486"/>
      <c r="AO40" s="180"/>
      <c r="AP40" s="180"/>
      <c r="AQ40" s="180"/>
      <c r="AR40" s="180" t="e">
        <f t="shared" si="24"/>
        <v>#N/A</v>
      </c>
      <c r="AS40" s="486"/>
      <c r="AT40" s="180"/>
      <c r="AU40" s="180"/>
      <c r="AV40" s="180"/>
      <c r="AW40" s="180" t="e">
        <f t="shared" si="26"/>
        <v>#N/A</v>
      </c>
      <c r="AX40" s="486"/>
    </row>
    <row r="41" spans="2:50">
      <c r="B41" s="479"/>
      <c r="C41" s="180">
        <v>15</v>
      </c>
      <c r="D41" s="201"/>
      <c r="E41" s="166"/>
      <c r="F41" s="180"/>
      <c r="G41" s="265"/>
      <c r="H41" s="461"/>
      <c r="I41" s="180"/>
      <c r="J41" s="180"/>
      <c r="K41" s="180"/>
      <c r="L41" s="461"/>
      <c r="M41" s="166" t="e">
        <f>RANK(K41, K$27:$K$41)</f>
        <v>#N/A</v>
      </c>
      <c r="N41" s="462"/>
      <c r="O41" s="462"/>
      <c r="P41" s="180"/>
      <c r="Q41" s="180"/>
      <c r="R41" s="180"/>
      <c r="S41" s="180" t="e">
        <f t="shared" si="15"/>
        <v>#N/A</v>
      </c>
      <c r="T41" s="486"/>
      <c r="U41" s="180"/>
      <c r="V41" s="180"/>
      <c r="W41" s="180"/>
      <c r="X41" s="180" t="e">
        <f t="shared" si="16"/>
        <v>#N/A</v>
      </c>
      <c r="Y41" s="486"/>
      <c r="Z41" s="180"/>
      <c r="AA41" s="180"/>
      <c r="AB41" s="180"/>
      <c r="AC41" s="180" t="e">
        <f t="shared" si="18"/>
        <v>#N/A</v>
      </c>
      <c r="AD41" s="486"/>
      <c r="AE41" s="180"/>
      <c r="AF41" s="180"/>
      <c r="AG41" s="180"/>
      <c r="AH41" s="180" t="e">
        <f t="shared" si="20"/>
        <v>#N/A</v>
      </c>
      <c r="AI41" s="486"/>
      <c r="AJ41" s="180"/>
      <c r="AK41" s="180"/>
      <c r="AL41" s="180"/>
      <c r="AM41" s="180" t="e">
        <f t="shared" si="22"/>
        <v>#N/A</v>
      </c>
      <c r="AN41" s="486"/>
      <c r="AO41" s="180"/>
      <c r="AP41" s="180"/>
      <c r="AQ41" s="180"/>
      <c r="AR41" s="180" t="e">
        <f t="shared" si="24"/>
        <v>#N/A</v>
      </c>
      <c r="AS41" s="486"/>
      <c r="AT41" s="180"/>
      <c r="AU41" s="180"/>
      <c r="AV41" s="180"/>
      <c r="AW41" s="180" t="e">
        <f t="shared" si="26"/>
        <v>#N/A</v>
      </c>
      <c r="AX41" s="486"/>
    </row>
    <row r="42" spans="2:50" ht="15.75">
      <c r="B42" s="490" t="s">
        <v>721</v>
      </c>
      <c r="C42" s="491"/>
      <c r="D42" s="491"/>
      <c r="E42" s="491"/>
      <c r="F42" s="491"/>
      <c r="G42" s="491"/>
      <c r="H42" s="491"/>
      <c r="I42" s="184"/>
      <c r="J42" s="181"/>
      <c r="K42" s="184"/>
      <c r="L42" s="184"/>
      <c r="M42" s="178"/>
      <c r="N42" s="469" t="s">
        <v>722</v>
      </c>
      <c r="O42" s="469" t="s">
        <v>723</v>
      </c>
      <c r="P42" s="478">
        <f>P22+7</f>
        <v>46063</v>
      </c>
      <c r="Q42" s="479"/>
      <c r="R42" s="479"/>
      <c r="S42" s="479"/>
      <c r="T42" s="479"/>
      <c r="U42" s="475">
        <f>P42+1</f>
        <v>46064</v>
      </c>
      <c r="V42" s="476"/>
      <c r="W42" s="476"/>
      <c r="X42" s="476"/>
      <c r="Y42" s="477"/>
      <c r="Z42" s="475">
        <f>U42+1</f>
        <v>46065</v>
      </c>
      <c r="AA42" s="476"/>
      <c r="AB42" s="476"/>
      <c r="AC42" s="476"/>
      <c r="AD42" s="477"/>
      <c r="AE42" s="475">
        <f>Z42+1</f>
        <v>46066</v>
      </c>
      <c r="AF42" s="476"/>
      <c r="AG42" s="476"/>
      <c r="AH42" s="476"/>
      <c r="AI42" s="477"/>
      <c r="AJ42" s="475">
        <f>AE42+1</f>
        <v>46067</v>
      </c>
      <c r="AK42" s="476"/>
      <c r="AL42" s="476"/>
      <c r="AM42" s="476"/>
      <c r="AN42" s="477"/>
      <c r="AO42" s="475">
        <f>AJ42+1</f>
        <v>46068</v>
      </c>
      <c r="AP42" s="476"/>
      <c r="AQ42" s="476"/>
      <c r="AR42" s="476"/>
      <c r="AS42" s="477"/>
      <c r="AT42" s="475">
        <f>AO42+1</f>
        <v>46069</v>
      </c>
      <c r="AU42" s="476"/>
      <c r="AV42" s="476"/>
      <c r="AW42" s="476"/>
      <c r="AX42" s="477"/>
    </row>
    <row r="43" spans="2:50" ht="15.75">
      <c r="B43" s="482"/>
      <c r="C43" s="482"/>
      <c r="D43" s="482"/>
      <c r="E43" s="482"/>
      <c r="F43" s="482"/>
      <c r="G43" s="482"/>
      <c r="H43" s="482"/>
      <c r="I43" s="182"/>
      <c r="J43" s="182"/>
      <c r="K43" s="182"/>
      <c r="L43" s="182"/>
      <c r="M43" s="179"/>
      <c r="N43" s="471"/>
      <c r="O43" s="471"/>
      <c r="P43" s="478" t="s">
        <v>724</v>
      </c>
      <c r="Q43" s="479"/>
      <c r="R43" s="479"/>
      <c r="S43" s="479"/>
      <c r="T43" s="479"/>
      <c r="U43" s="478" t="s">
        <v>725</v>
      </c>
      <c r="V43" s="479"/>
      <c r="W43" s="479"/>
      <c r="X43" s="479"/>
      <c r="Y43" s="479"/>
      <c r="Z43" s="478" t="s">
        <v>726</v>
      </c>
      <c r="AA43" s="479"/>
      <c r="AB43" s="479"/>
      <c r="AC43" s="479"/>
      <c r="AD43" s="479"/>
      <c r="AE43" s="478" t="s">
        <v>727</v>
      </c>
      <c r="AF43" s="479"/>
      <c r="AG43" s="479"/>
      <c r="AH43" s="479"/>
      <c r="AI43" s="479"/>
      <c r="AJ43" s="478" t="s">
        <v>728</v>
      </c>
      <c r="AK43" s="479"/>
      <c r="AL43" s="479"/>
      <c r="AM43" s="479"/>
      <c r="AN43" s="479"/>
      <c r="AO43" s="478" t="s">
        <v>729</v>
      </c>
      <c r="AP43" s="479"/>
      <c r="AQ43" s="479"/>
      <c r="AR43" s="479"/>
      <c r="AS43" s="479"/>
      <c r="AT43" s="478" t="s">
        <v>730</v>
      </c>
      <c r="AU43" s="479"/>
      <c r="AV43" s="479"/>
      <c r="AW43" s="479"/>
      <c r="AX43" s="479"/>
    </row>
    <row r="44" spans="2:50">
      <c r="B44" s="462" t="s">
        <v>731</v>
      </c>
      <c r="C44" s="462" t="s">
        <v>732</v>
      </c>
      <c r="D44" s="462"/>
      <c r="E44" s="462" t="s">
        <v>733</v>
      </c>
      <c r="F44" s="462"/>
      <c r="G44" s="462"/>
      <c r="H44" s="463" t="s">
        <v>734</v>
      </c>
      <c r="I44" s="462" t="s">
        <v>735</v>
      </c>
      <c r="J44" s="462"/>
      <c r="K44" s="462"/>
      <c r="L44" s="463" t="s">
        <v>734</v>
      </c>
      <c r="M44" s="469" t="s">
        <v>736</v>
      </c>
      <c r="N44" s="462"/>
      <c r="O44" s="462" t="s">
        <v>737</v>
      </c>
      <c r="P44" s="466" t="s">
        <v>738</v>
      </c>
      <c r="Q44" s="467"/>
      <c r="R44" s="467"/>
      <c r="S44" s="468"/>
      <c r="T44" s="462" t="s">
        <v>734</v>
      </c>
      <c r="U44" s="466" t="s">
        <v>738</v>
      </c>
      <c r="V44" s="467"/>
      <c r="W44" s="467"/>
      <c r="X44" s="468"/>
      <c r="Y44" s="462" t="s">
        <v>734</v>
      </c>
      <c r="Z44" s="466" t="s">
        <v>738</v>
      </c>
      <c r="AA44" s="467"/>
      <c r="AB44" s="467"/>
      <c r="AC44" s="468"/>
      <c r="AD44" s="462" t="s">
        <v>734</v>
      </c>
      <c r="AE44" s="466" t="s">
        <v>738</v>
      </c>
      <c r="AF44" s="467"/>
      <c r="AG44" s="467"/>
      <c r="AH44" s="468"/>
      <c r="AI44" s="462" t="s">
        <v>734</v>
      </c>
      <c r="AJ44" s="466" t="s">
        <v>738</v>
      </c>
      <c r="AK44" s="467"/>
      <c r="AL44" s="467"/>
      <c r="AM44" s="468"/>
      <c r="AN44" s="462" t="s">
        <v>734</v>
      </c>
      <c r="AO44" s="466" t="s">
        <v>738</v>
      </c>
      <c r="AP44" s="467"/>
      <c r="AQ44" s="467"/>
      <c r="AR44" s="468"/>
      <c r="AS44" s="462" t="s">
        <v>734</v>
      </c>
      <c r="AT44" s="466" t="s">
        <v>738</v>
      </c>
      <c r="AU44" s="467"/>
      <c r="AV44" s="467"/>
      <c r="AW44" s="468"/>
      <c r="AX44" s="462" t="s">
        <v>734</v>
      </c>
    </row>
    <row r="45" spans="2:50">
      <c r="B45" s="462"/>
      <c r="C45" s="462"/>
      <c r="D45" s="462"/>
      <c r="E45" s="462" t="s">
        <v>739</v>
      </c>
      <c r="F45" s="462"/>
      <c r="G45" s="462"/>
      <c r="H45" s="464"/>
      <c r="I45" s="462" t="s">
        <v>739</v>
      </c>
      <c r="J45" s="462"/>
      <c r="K45" s="462"/>
      <c r="L45" s="464"/>
      <c r="M45" s="470"/>
      <c r="N45" s="462"/>
      <c r="O45" s="462"/>
      <c r="P45" s="466" t="s">
        <v>740</v>
      </c>
      <c r="Q45" s="467"/>
      <c r="R45" s="467"/>
      <c r="S45" s="468"/>
      <c r="T45" s="462"/>
      <c r="U45" s="466" t="s">
        <v>740</v>
      </c>
      <c r="V45" s="467"/>
      <c r="W45" s="467"/>
      <c r="X45" s="468"/>
      <c r="Y45" s="462"/>
      <c r="Z45" s="466" t="s">
        <v>740</v>
      </c>
      <c r="AA45" s="467"/>
      <c r="AB45" s="467"/>
      <c r="AC45" s="468"/>
      <c r="AD45" s="462"/>
      <c r="AE45" s="466" t="s">
        <v>740</v>
      </c>
      <c r="AF45" s="467"/>
      <c r="AG45" s="467"/>
      <c r="AH45" s="468"/>
      <c r="AI45" s="462"/>
      <c r="AJ45" s="466" t="s">
        <v>740</v>
      </c>
      <c r="AK45" s="467"/>
      <c r="AL45" s="467"/>
      <c r="AM45" s="468"/>
      <c r="AN45" s="462"/>
      <c r="AO45" s="466" t="s">
        <v>740</v>
      </c>
      <c r="AP45" s="467"/>
      <c r="AQ45" s="467"/>
      <c r="AR45" s="468"/>
      <c r="AS45" s="462"/>
      <c r="AT45" s="466" t="s">
        <v>740</v>
      </c>
      <c r="AU45" s="467"/>
      <c r="AV45" s="467"/>
      <c r="AW45" s="468"/>
      <c r="AX45" s="462"/>
    </row>
    <row r="46" spans="2:50">
      <c r="B46" s="462"/>
      <c r="C46" s="462"/>
      <c r="D46" s="462"/>
      <c r="E46" s="264" t="s">
        <v>741</v>
      </c>
      <c r="F46" s="264" t="s">
        <v>742</v>
      </c>
      <c r="G46" s="264" t="s">
        <v>743</v>
      </c>
      <c r="H46" s="465"/>
      <c r="I46" s="264" t="s">
        <v>741</v>
      </c>
      <c r="J46" s="264" t="s">
        <v>742</v>
      </c>
      <c r="K46" s="264" t="s">
        <v>743</v>
      </c>
      <c r="L46" s="465"/>
      <c r="M46" s="471"/>
      <c r="N46" s="462"/>
      <c r="O46" s="462"/>
      <c r="P46" s="264" t="s">
        <v>741</v>
      </c>
      <c r="Q46" s="264" t="s">
        <v>742</v>
      </c>
      <c r="R46" s="264" t="s">
        <v>743</v>
      </c>
      <c r="S46" s="264" t="s">
        <v>736</v>
      </c>
      <c r="T46" s="462"/>
      <c r="U46" s="264" t="s">
        <v>741</v>
      </c>
      <c r="V46" s="264" t="s">
        <v>742</v>
      </c>
      <c r="W46" s="264" t="s">
        <v>743</v>
      </c>
      <c r="X46" s="264" t="s">
        <v>736</v>
      </c>
      <c r="Y46" s="462"/>
      <c r="Z46" s="264" t="s">
        <v>741</v>
      </c>
      <c r="AA46" s="264" t="s">
        <v>742</v>
      </c>
      <c r="AB46" s="264" t="s">
        <v>743</v>
      </c>
      <c r="AC46" s="264" t="s">
        <v>736</v>
      </c>
      <c r="AD46" s="462"/>
      <c r="AE46" s="264" t="s">
        <v>741</v>
      </c>
      <c r="AF46" s="264" t="s">
        <v>742</v>
      </c>
      <c r="AG46" s="264" t="s">
        <v>743</v>
      </c>
      <c r="AH46" s="264" t="s">
        <v>736</v>
      </c>
      <c r="AI46" s="462"/>
      <c r="AJ46" s="264" t="s">
        <v>741</v>
      </c>
      <c r="AK46" s="264" t="s">
        <v>742</v>
      </c>
      <c r="AL46" s="264" t="s">
        <v>743</v>
      </c>
      <c r="AM46" s="264" t="s">
        <v>736</v>
      </c>
      <c r="AN46" s="462"/>
      <c r="AO46" s="264" t="s">
        <v>741</v>
      </c>
      <c r="AP46" s="264" t="s">
        <v>742</v>
      </c>
      <c r="AQ46" s="264" t="s">
        <v>743</v>
      </c>
      <c r="AR46" s="264" t="s">
        <v>736</v>
      </c>
      <c r="AS46" s="462"/>
      <c r="AT46" s="264" t="s">
        <v>741</v>
      </c>
      <c r="AU46" s="264" t="s">
        <v>742</v>
      </c>
      <c r="AV46" s="264" t="s">
        <v>743</v>
      </c>
      <c r="AW46" s="264" t="s">
        <v>736</v>
      </c>
      <c r="AX46" s="462"/>
    </row>
    <row r="47" spans="2:50">
      <c r="B47" s="462" t="s">
        <v>752</v>
      </c>
      <c r="C47" s="180">
        <v>1</v>
      </c>
      <c r="D47" s="201" t="s">
        <v>669</v>
      </c>
      <c r="E47" s="166">
        <v>13</v>
      </c>
      <c r="F47" s="180">
        <v>1500</v>
      </c>
      <c r="G47" s="265">
        <v>115.38461538461539</v>
      </c>
      <c r="H47" s="459">
        <f>AVERAGE(G47:G61)</f>
        <v>107.69230769230769</v>
      </c>
      <c r="I47" s="166">
        <f t="shared" ref="I47:K48" si="28">AVERAGE(P47,U47,Z47,AE47,AJ47,AO47,AT47)</f>
        <v>12.714285714285714</v>
      </c>
      <c r="J47" s="166">
        <f t="shared" si="28"/>
        <v>1510.7999999999995</v>
      </c>
      <c r="K47" s="265">
        <f t="shared" si="28"/>
        <v>118.88479853479849</v>
      </c>
      <c r="L47" s="459">
        <f>IFERROR(AVERAGE(K47:K61),"-")</f>
        <v>130.57973338053168</v>
      </c>
      <c r="M47" s="272">
        <f>RANK(K47, K$47:$K$61)</f>
        <v>2</v>
      </c>
      <c r="N47" s="462"/>
      <c r="O47" s="462"/>
      <c r="P47" s="166">
        <v>13</v>
      </c>
      <c r="Q47" s="166">
        <v>1608.0000000000005</v>
      </c>
      <c r="R47" s="265">
        <v>123.69230769230772</v>
      </c>
      <c r="S47" s="180">
        <f>RANK(R47, R$47:R$61)</f>
        <v>1</v>
      </c>
      <c r="T47" s="486">
        <f>AVERAGE(R47:R61)</f>
        <v>119.87076923076924</v>
      </c>
      <c r="U47" s="166">
        <v>13</v>
      </c>
      <c r="V47" s="166">
        <v>1372.0000000000014</v>
      </c>
      <c r="W47" s="265">
        <v>105.53846153846165</v>
      </c>
      <c r="X47" s="180">
        <f t="shared" ref="X47:X61" si="29">RANK(W47, W$47:W$61)</f>
        <v>2</v>
      </c>
      <c r="Y47" s="486">
        <f t="shared" ref="Y47" si="30">AVERAGE(W47:W61)</f>
        <v>110.06593406593413</v>
      </c>
      <c r="Z47" s="324">
        <v>12</v>
      </c>
      <c r="AA47" s="166">
        <v>1381.9999999999975</v>
      </c>
      <c r="AB47" s="265">
        <v>115.16666666666646</v>
      </c>
      <c r="AC47" s="180">
        <f t="shared" ref="AC47:AC61" si="31">RANK(AB47, AB$47:AB$61)</f>
        <v>2</v>
      </c>
      <c r="AD47" s="486">
        <f t="shared" ref="AD47" si="32">AVERAGE(AB47:AB61)</f>
        <v>139.30882352941165</v>
      </c>
      <c r="AE47" s="324">
        <v>12</v>
      </c>
      <c r="AF47" s="166">
        <v>1532.9999999999993</v>
      </c>
      <c r="AG47" s="265">
        <v>127.74999999999994</v>
      </c>
      <c r="AH47" s="180">
        <f t="shared" ref="AH47:AH61" si="33">RANK(AG47, AG$47:AG$61)</f>
        <v>2</v>
      </c>
      <c r="AI47" s="486">
        <f t="shared" ref="AI47" si="34">AVERAGE(AG47:AG61)</f>
        <v>144.31944444444434</v>
      </c>
      <c r="AJ47" s="324">
        <v>13</v>
      </c>
      <c r="AK47" s="166">
        <v>1485.6000000000006</v>
      </c>
      <c r="AL47" s="265">
        <v>114.27692307692313</v>
      </c>
      <c r="AM47" s="180">
        <f t="shared" ref="AM47:AM61" si="35">RANK(AL47, AL$47:AL$61)</f>
        <v>2</v>
      </c>
      <c r="AN47" s="486">
        <f t="shared" ref="AN47" si="36">AVERAGE(AL47:AL61)</f>
        <v>114.83076923076928</v>
      </c>
      <c r="AO47" s="324">
        <v>13</v>
      </c>
      <c r="AP47" s="166">
        <v>1530.0000000000055</v>
      </c>
      <c r="AQ47" s="265">
        <v>117.69230769230811</v>
      </c>
      <c r="AR47" s="180">
        <f t="shared" ref="AR47:AR61" si="37">RANK(AQ47, AQ$47:AQ$61)</f>
        <v>2</v>
      </c>
      <c r="AS47" s="486">
        <f t="shared" ref="AS47" si="38">AVERAGE(AQ47:AQ61)</f>
        <v>140.84615384615404</v>
      </c>
      <c r="AT47" s="324">
        <v>13</v>
      </c>
      <c r="AU47" s="166">
        <v>1664.9999999999925</v>
      </c>
      <c r="AV47" s="265">
        <v>128.0769230769225</v>
      </c>
      <c r="AW47" s="180">
        <f t="shared" ref="AW47:AW61" si="39">RANK(AV47, AV$47:AV$61)</f>
        <v>2</v>
      </c>
      <c r="AX47" s="486">
        <f t="shared" ref="AX47" si="40">AVERAGE(AV47:AV61)</f>
        <v>144.81623931623903</v>
      </c>
    </row>
    <row r="48" spans="2:50">
      <c r="B48" s="479"/>
      <c r="C48" s="180">
        <v>2</v>
      </c>
      <c r="D48" s="201" t="s">
        <v>693</v>
      </c>
      <c r="E48" s="166">
        <v>15</v>
      </c>
      <c r="F48" s="180">
        <v>1500</v>
      </c>
      <c r="G48" s="265">
        <v>100</v>
      </c>
      <c r="H48" s="460"/>
      <c r="I48" s="166">
        <f t="shared" si="28"/>
        <v>11.857142857142858</v>
      </c>
      <c r="J48" s="166">
        <f t="shared" si="28"/>
        <v>1478.2018727490995</v>
      </c>
      <c r="K48" s="265">
        <f t="shared" si="28"/>
        <v>142.27466822626485</v>
      </c>
      <c r="L48" s="460"/>
      <c r="M48" s="272">
        <f>RANK(K48, K$47:$K$61)</f>
        <v>1</v>
      </c>
      <c r="N48" s="462"/>
      <c r="O48" s="462"/>
      <c r="P48" s="180">
        <v>13</v>
      </c>
      <c r="Q48" s="166">
        <v>1508.6399999999996</v>
      </c>
      <c r="R48" s="265">
        <v>116.04923076923075</v>
      </c>
      <c r="S48" s="180">
        <f t="shared" ref="S48:S61" si="41">RANK(R48, R$47:R$61)</f>
        <v>2</v>
      </c>
      <c r="T48" s="486"/>
      <c r="U48" s="180">
        <v>13</v>
      </c>
      <c r="V48" s="166">
        <v>1489.714285714286</v>
      </c>
      <c r="W48" s="265">
        <v>114.59340659340661</v>
      </c>
      <c r="X48" s="180">
        <f t="shared" si="29"/>
        <v>1</v>
      </c>
      <c r="Y48" s="486"/>
      <c r="Z48" s="180">
        <v>11</v>
      </c>
      <c r="AA48" s="166">
        <v>1471.0588235294115</v>
      </c>
      <c r="AB48" s="265">
        <v>163.45098039215682</v>
      </c>
      <c r="AC48" s="180">
        <f t="shared" si="31"/>
        <v>1</v>
      </c>
      <c r="AD48" s="486"/>
      <c r="AE48" s="180">
        <v>11</v>
      </c>
      <c r="AF48" s="166">
        <v>1447.9999999999989</v>
      </c>
      <c r="AG48" s="265">
        <v>160.88888888888877</v>
      </c>
      <c r="AH48" s="180">
        <f t="shared" si="33"/>
        <v>1</v>
      </c>
      <c r="AI48" s="486"/>
      <c r="AJ48" s="180">
        <v>13</v>
      </c>
      <c r="AK48" s="166">
        <v>1500.0000000000007</v>
      </c>
      <c r="AL48" s="265">
        <v>115.38461538461544</v>
      </c>
      <c r="AM48" s="180">
        <f t="shared" si="35"/>
        <v>1</v>
      </c>
      <c r="AN48" s="486"/>
      <c r="AO48" s="180">
        <v>11</v>
      </c>
      <c r="AP48" s="166">
        <v>1475.9999999999995</v>
      </c>
      <c r="AQ48" s="265">
        <v>163.99999999999994</v>
      </c>
      <c r="AR48" s="180">
        <f t="shared" si="37"/>
        <v>1</v>
      </c>
      <c r="AS48" s="486"/>
      <c r="AT48" s="180">
        <v>11</v>
      </c>
      <c r="AU48" s="166">
        <v>1454</v>
      </c>
      <c r="AV48" s="265">
        <v>161.55555555555554</v>
      </c>
      <c r="AW48" s="180">
        <f t="shared" si="39"/>
        <v>1</v>
      </c>
      <c r="AX48" s="486"/>
    </row>
    <row r="49" spans="2:50">
      <c r="B49" s="479"/>
      <c r="C49" s="180">
        <v>3</v>
      </c>
      <c r="D49" s="201"/>
      <c r="E49" s="166"/>
      <c r="F49" s="180"/>
      <c r="G49" s="265"/>
      <c r="H49" s="460"/>
      <c r="I49" s="166"/>
      <c r="J49" s="166"/>
      <c r="K49" s="265"/>
      <c r="L49" s="460"/>
      <c r="M49" s="272" t="e">
        <f>RANK(K49, K$47:$K$61)</f>
        <v>#N/A</v>
      </c>
      <c r="N49" s="462"/>
      <c r="O49" s="462"/>
      <c r="P49" s="180"/>
      <c r="Q49" s="166"/>
      <c r="R49" s="265"/>
      <c r="S49" s="180" t="e">
        <f t="shared" si="41"/>
        <v>#N/A</v>
      </c>
      <c r="T49" s="486"/>
      <c r="U49" s="180"/>
      <c r="V49" s="166"/>
      <c r="W49" s="265"/>
      <c r="X49" s="180" t="e">
        <f t="shared" si="29"/>
        <v>#N/A</v>
      </c>
      <c r="Y49" s="486"/>
      <c r="Z49" s="180"/>
      <c r="AA49" s="166"/>
      <c r="AB49" s="265"/>
      <c r="AC49" s="180" t="e">
        <f t="shared" si="31"/>
        <v>#N/A</v>
      </c>
      <c r="AD49" s="486"/>
      <c r="AE49" s="180"/>
      <c r="AF49" s="166"/>
      <c r="AG49" s="265"/>
      <c r="AH49" s="180" t="e">
        <f t="shared" si="33"/>
        <v>#N/A</v>
      </c>
      <c r="AI49" s="486"/>
      <c r="AJ49" s="180"/>
      <c r="AK49" s="166"/>
      <c r="AL49" s="265"/>
      <c r="AM49" s="180" t="e">
        <f t="shared" si="35"/>
        <v>#N/A</v>
      </c>
      <c r="AN49" s="486"/>
      <c r="AO49" s="180"/>
      <c r="AP49" s="166"/>
      <c r="AQ49" s="265"/>
      <c r="AR49" s="180" t="e">
        <f t="shared" si="37"/>
        <v>#N/A</v>
      </c>
      <c r="AS49" s="486"/>
      <c r="AT49" s="180"/>
      <c r="AU49" s="166"/>
      <c r="AV49" s="265"/>
      <c r="AW49" s="180" t="e">
        <f t="shared" si="39"/>
        <v>#N/A</v>
      </c>
      <c r="AX49" s="486"/>
    </row>
    <row r="50" spans="2:50">
      <c r="B50" s="479"/>
      <c r="C50" s="180">
        <v>4</v>
      </c>
      <c r="D50" s="201"/>
      <c r="E50" s="166"/>
      <c r="F50" s="180"/>
      <c r="G50" s="265"/>
      <c r="H50" s="460"/>
      <c r="I50" s="166"/>
      <c r="J50" s="166"/>
      <c r="K50" s="265"/>
      <c r="L50" s="460"/>
      <c r="M50" s="272" t="e">
        <f>RANK(K50, K$47:$K$61)</f>
        <v>#N/A</v>
      </c>
      <c r="N50" s="462"/>
      <c r="O50" s="462"/>
      <c r="P50" s="180"/>
      <c r="Q50" s="180"/>
      <c r="R50" s="180"/>
      <c r="S50" s="180" t="e">
        <f t="shared" si="41"/>
        <v>#N/A</v>
      </c>
      <c r="T50" s="486"/>
      <c r="U50" s="180"/>
      <c r="V50" s="180"/>
      <c r="W50" s="180"/>
      <c r="X50" s="180" t="e">
        <f t="shared" si="29"/>
        <v>#N/A</v>
      </c>
      <c r="Y50" s="486"/>
      <c r="Z50" s="180"/>
      <c r="AA50" s="180"/>
      <c r="AB50" s="180"/>
      <c r="AC50" s="180" t="e">
        <f t="shared" si="31"/>
        <v>#N/A</v>
      </c>
      <c r="AD50" s="486"/>
      <c r="AE50" s="180"/>
      <c r="AF50" s="180"/>
      <c r="AG50" s="180"/>
      <c r="AH50" s="180" t="e">
        <f t="shared" si="33"/>
        <v>#N/A</v>
      </c>
      <c r="AI50" s="486"/>
      <c r="AJ50" s="180"/>
      <c r="AK50" s="180"/>
      <c r="AL50" s="180"/>
      <c r="AM50" s="180" t="e">
        <f t="shared" si="35"/>
        <v>#N/A</v>
      </c>
      <c r="AN50" s="486"/>
      <c r="AO50" s="180"/>
      <c r="AP50" s="180"/>
      <c r="AQ50" s="180"/>
      <c r="AR50" s="180" t="e">
        <f t="shared" si="37"/>
        <v>#N/A</v>
      </c>
      <c r="AS50" s="486"/>
      <c r="AT50" s="180"/>
      <c r="AU50" s="180"/>
      <c r="AV50" s="180"/>
      <c r="AW50" s="180" t="e">
        <f t="shared" si="39"/>
        <v>#N/A</v>
      </c>
      <c r="AX50" s="486"/>
    </row>
    <row r="51" spans="2:50">
      <c r="B51" s="479"/>
      <c r="C51" s="180">
        <v>5</v>
      </c>
      <c r="D51" s="201"/>
      <c r="E51" s="166"/>
      <c r="F51" s="180"/>
      <c r="G51" s="265"/>
      <c r="H51" s="460"/>
      <c r="I51" s="166"/>
      <c r="J51" s="166"/>
      <c r="K51" s="265"/>
      <c r="L51" s="460"/>
      <c r="M51" s="272" t="e">
        <f>RANK(K51, K$47:$K$61)</f>
        <v>#N/A</v>
      </c>
      <c r="N51" s="462"/>
      <c r="O51" s="462"/>
      <c r="P51" s="180"/>
      <c r="Q51" s="180"/>
      <c r="R51" s="180"/>
      <c r="S51" s="180" t="e">
        <f t="shared" si="41"/>
        <v>#N/A</v>
      </c>
      <c r="T51" s="486"/>
      <c r="U51" s="180"/>
      <c r="V51" s="180"/>
      <c r="W51" s="180"/>
      <c r="X51" s="180" t="e">
        <f t="shared" si="29"/>
        <v>#N/A</v>
      </c>
      <c r="Y51" s="486"/>
      <c r="Z51" s="180"/>
      <c r="AA51" s="180"/>
      <c r="AB51" s="180"/>
      <c r="AC51" s="180" t="e">
        <f t="shared" si="31"/>
        <v>#N/A</v>
      </c>
      <c r="AD51" s="486"/>
      <c r="AE51" s="180"/>
      <c r="AF51" s="180"/>
      <c r="AG51" s="180"/>
      <c r="AH51" s="180" t="e">
        <f t="shared" si="33"/>
        <v>#N/A</v>
      </c>
      <c r="AI51" s="486"/>
      <c r="AJ51" s="180"/>
      <c r="AK51" s="180"/>
      <c r="AL51" s="180"/>
      <c r="AM51" s="180" t="e">
        <f t="shared" si="35"/>
        <v>#N/A</v>
      </c>
      <c r="AN51" s="486"/>
      <c r="AO51" s="180"/>
      <c r="AP51" s="180"/>
      <c r="AQ51" s="180"/>
      <c r="AR51" s="180" t="e">
        <f t="shared" si="37"/>
        <v>#N/A</v>
      </c>
      <c r="AS51" s="486"/>
      <c r="AT51" s="180"/>
      <c r="AU51" s="180"/>
      <c r="AV51" s="180"/>
      <c r="AW51" s="180" t="e">
        <f t="shared" si="39"/>
        <v>#N/A</v>
      </c>
      <c r="AX51" s="486"/>
    </row>
    <row r="52" spans="2:50">
      <c r="B52" s="479"/>
      <c r="C52" s="180">
        <v>6</v>
      </c>
      <c r="D52" s="201"/>
      <c r="E52" s="166"/>
      <c r="F52" s="180"/>
      <c r="G52" s="265"/>
      <c r="H52" s="460"/>
      <c r="I52" s="166"/>
      <c r="J52" s="166"/>
      <c r="K52" s="265"/>
      <c r="L52" s="460"/>
      <c r="M52" s="272" t="e">
        <f>RANK(K52, K$47:$K$61)</f>
        <v>#N/A</v>
      </c>
      <c r="N52" s="462"/>
      <c r="O52" s="462"/>
      <c r="P52" s="180"/>
      <c r="Q52" s="180"/>
      <c r="R52" s="180"/>
      <c r="S52" s="180" t="e">
        <f t="shared" si="41"/>
        <v>#N/A</v>
      </c>
      <c r="T52" s="486"/>
      <c r="U52" s="180"/>
      <c r="V52" s="180"/>
      <c r="W52" s="180"/>
      <c r="X52" s="180" t="e">
        <f t="shared" si="29"/>
        <v>#N/A</v>
      </c>
      <c r="Y52" s="486"/>
      <c r="Z52" s="180"/>
      <c r="AA52" s="180"/>
      <c r="AB52" s="180"/>
      <c r="AC52" s="180" t="e">
        <f t="shared" si="31"/>
        <v>#N/A</v>
      </c>
      <c r="AD52" s="486"/>
      <c r="AE52" s="180"/>
      <c r="AF52" s="180"/>
      <c r="AG52" s="180"/>
      <c r="AH52" s="180" t="e">
        <f t="shared" si="33"/>
        <v>#N/A</v>
      </c>
      <c r="AI52" s="486"/>
      <c r="AJ52" s="180"/>
      <c r="AK52" s="180"/>
      <c r="AL52" s="180"/>
      <c r="AM52" s="180" t="e">
        <f t="shared" si="35"/>
        <v>#N/A</v>
      </c>
      <c r="AN52" s="486"/>
      <c r="AO52" s="180"/>
      <c r="AP52" s="180"/>
      <c r="AQ52" s="180"/>
      <c r="AR52" s="180" t="e">
        <f t="shared" si="37"/>
        <v>#N/A</v>
      </c>
      <c r="AS52" s="486"/>
      <c r="AT52" s="180"/>
      <c r="AU52" s="180"/>
      <c r="AV52" s="180"/>
      <c r="AW52" s="180" t="e">
        <f t="shared" si="39"/>
        <v>#N/A</v>
      </c>
      <c r="AX52" s="486"/>
    </row>
    <row r="53" spans="2:50">
      <c r="B53" s="479"/>
      <c r="C53" s="180">
        <v>7</v>
      </c>
      <c r="D53" s="201"/>
      <c r="E53" s="166"/>
      <c r="F53" s="180"/>
      <c r="G53" s="265"/>
      <c r="H53" s="460"/>
      <c r="I53" s="166"/>
      <c r="J53" s="166"/>
      <c r="K53" s="265"/>
      <c r="L53" s="460"/>
      <c r="M53" s="272" t="e">
        <f>RANK(K53, K$47:$K$61)</f>
        <v>#N/A</v>
      </c>
      <c r="N53" s="462"/>
      <c r="O53" s="462"/>
      <c r="P53" s="180"/>
      <c r="Q53" s="180"/>
      <c r="R53" s="180"/>
      <c r="S53" s="180" t="e">
        <f t="shared" si="41"/>
        <v>#N/A</v>
      </c>
      <c r="T53" s="486"/>
      <c r="U53" s="180"/>
      <c r="V53" s="180"/>
      <c r="W53" s="180"/>
      <c r="X53" s="180" t="e">
        <f t="shared" si="29"/>
        <v>#N/A</v>
      </c>
      <c r="Y53" s="486"/>
      <c r="Z53" s="180"/>
      <c r="AA53" s="180"/>
      <c r="AB53" s="180"/>
      <c r="AC53" s="180" t="e">
        <f t="shared" si="31"/>
        <v>#N/A</v>
      </c>
      <c r="AD53" s="486"/>
      <c r="AE53" s="180"/>
      <c r="AF53" s="180"/>
      <c r="AG53" s="180"/>
      <c r="AH53" s="180" t="e">
        <f t="shared" si="33"/>
        <v>#N/A</v>
      </c>
      <c r="AI53" s="486"/>
      <c r="AJ53" s="180"/>
      <c r="AK53" s="180"/>
      <c r="AL53" s="180"/>
      <c r="AM53" s="180" t="e">
        <f t="shared" si="35"/>
        <v>#N/A</v>
      </c>
      <c r="AN53" s="486"/>
      <c r="AO53" s="180"/>
      <c r="AP53" s="180"/>
      <c r="AQ53" s="180"/>
      <c r="AR53" s="180" t="e">
        <f t="shared" si="37"/>
        <v>#N/A</v>
      </c>
      <c r="AS53" s="486"/>
      <c r="AT53" s="180"/>
      <c r="AU53" s="180"/>
      <c r="AV53" s="180"/>
      <c r="AW53" s="180" t="e">
        <f t="shared" si="39"/>
        <v>#N/A</v>
      </c>
      <c r="AX53" s="486"/>
    </row>
    <row r="54" spans="2:50">
      <c r="B54" s="479"/>
      <c r="C54" s="180">
        <v>8</v>
      </c>
      <c r="D54" s="201"/>
      <c r="E54" s="166"/>
      <c r="F54" s="180"/>
      <c r="G54" s="265"/>
      <c r="H54" s="460"/>
      <c r="I54" s="166"/>
      <c r="J54" s="166"/>
      <c r="K54" s="265"/>
      <c r="L54" s="460"/>
      <c r="M54" s="272" t="e">
        <f>RANK(K54, K$47:$K$61)</f>
        <v>#N/A</v>
      </c>
      <c r="N54" s="462"/>
      <c r="O54" s="462"/>
      <c r="P54" s="180"/>
      <c r="Q54" s="180"/>
      <c r="R54" s="180"/>
      <c r="S54" s="180" t="e">
        <f t="shared" si="41"/>
        <v>#N/A</v>
      </c>
      <c r="T54" s="486"/>
      <c r="U54" s="180"/>
      <c r="V54" s="180"/>
      <c r="W54" s="180"/>
      <c r="X54" s="180" t="e">
        <f t="shared" si="29"/>
        <v>#N/A</v>
      </c>
      <c r="Y54" s="486"/>
      <c r="Z54" s="180"/>
      <c r="AA54" s="180"/>
      <c r="AB54" s="180"/>
      <c r="AC54" s="180" t="e">
        <f t="shared" si="31"/>
        <v>#N/A</v>
      </c>
      <c r="AD54" s="486"/>
      <c r="AE54" s="180"/>
      <c r="AF54" s="180"/>
      <c r="AG54" s="180"/>
      <c r="AH54" s="180" t="e">
        <f t="shared" si="33"/>
        <v>#N/A</v>
      </c>
      <c r="AI54" s="486"/>
      <c r="AJ54" s="180"/>
      <c r="AK54" s="180"/>
      <c r="AL54" s="180"/>
      <c r="AM54" s="180" t="e">
        <f t="shared" si="35"/>
        <v>#N/A</v>
      </c>
      <c r="AN54" s="486"/>
      <c r="AO54" s="180"/>
      <c r="AP54" s="180"/>
      <c r="AQ54" s="180"/>
      <c r="AR54" s="180" t="e">
        <f t="shared" si="37"/>
        <v>#N/A</v>
      </c>
      <c r="AS54" s="486"/>
      <c r="AT54" s="180"/>
      <c r="AU54" s="180"/>
      <c r="AV54" s="180"/>
      <c r="AW54" s="180" t="e">
        <f t="shared" si="39"/>
        <v>#N/A</v>
      </c>
      <c r="AX54" s="486"/>
    </row>
    <row r="55" spans="2:50">
      <c r="B55" s="479"/>
      <c r="C55" s="180">
        <v>9</v>
      </c>
      <c r="D55" s="201"/>
      <c r="E55" s="166"/>
      <c r="F55" s="180"/>
      <c r="G55" s="265"/>
      <c r="H55" s="460"/>
      <c r="I55" s="166"/>
      <c r="J55" s="166"/>
      <c r="K55" s="265"/>
      <c r="L55" s="460"/>
      <c r="M55" s="272" t="e">
        <f>RANK(K55, K$47:$K$61)</f>
        <v>#N/A</v>
      </c>
      <c r="N55" s="462"/>
      <c r="O55" s="462"/>
      <c r="P55" s="180"/>
      <c r="Q55" s="180"/>
      <c r="R55" s="180"/>
      <c r="S55" s="180" t="e">
        <f t="shared" si="41"/>
        <v>#N/A</v>
      </c>
      <c r="T55" s="486"/>
      <c r="U55" s="180"/>
      <c r="V55" s="180"/>
      <c r="W55" s="180"/>
      <c r="X55" s="180" t="e">
        <f t="shared" si="29"/>
        <v>#N/A</v>
      </c>
      <c r="Y55" s="486"/>
      <c r="Z55" s="180"/>
      <c r="AA55" s="180"/>
      <c r="AB55" s="180"/>
      <c r="AC55" s="180" t="e">
        <f t="shared" si="31"/>
        <v>#N/A</v>
      </c>
      <c r="AD55" s="486"/>
      <c r="AE55" s="180"/>
      <c r="AF55" s="180"/>
      <c r="AG55" s="180"/>
      <c r="AH55" s="180" t="e">
        <f t="shared" si="33"/>
        <v>#N/A</v>
      </c>
      <c r="AI55" s="486"/>
      <c r="AJ55" s="180"/>
      <c r="AK55" s="180"/>
      <c r="AL55" s="180"/>
      <c r="AM55" s="180" t="e">
        <f t="shared" si="35"/>
        <v>#N/A</v>
      </c>
      <c r="AN55" s="486"/>
      <c r="AO55" s="180"/>
      <c r="AP55" s="180"/>
      <c r="AQ55" s="180"/>
      <c r="AR55" s="180" t="e">
        <f t="shared" si="37"/>
        <v>#N/A</v>
      </c>
      <c r="AS55" s="486"/>
      <c r="AT55" s="180"/>
      <c r="AU55" s="180"/>
      <c r="AV55" s="180"/>
      <c r="AW55" s="180" t="e">
        <f t="shared" si="39"/>
        <v>#N/A</v>
      </c>
      <c r="AX55" s="486"/>
    </row>
    <row r="56" spans="2:50">
      <c r="B56" s="479"/>
      <c r="C56" s="180">
        <v>10</v>
      </c>
      <c r="D56" s="201"/>
      <c r="E56" s="166"/>
      <c r="F56" s="180"/>
      <c r="G56" s="265"/>
      <c r="H56" s="460"/>
      <c r="I56" s="166"/>
      <c r="J56" s="166"/>
      <c r="K56" s="265"/>
      <c r="L56" s="460"/>
      <c r="M56" s="272" t="e">
        <f>RANK(K56, K$47:$K$61)</f>
        <v>#N/A</v>
      </c>
      <c r="N56" s="462"/>
      <c r="O56" s="462"/>
      <c r="P56" s="180"/>
      <c r="Q56" s="180"/>
      <c r="R56" s="180"/>
      <c r="S56" s="180" t="e">
        <f t="shared" si="41"/>
        <v>#N/A</v>
      </c>
      <c r="T56" s="486"/>
      <c r="U56" s="180"/>
      <c r="V56" s="180"/>
      <c r="W56" s="180"/>
      <c r="X56" s="180" t="e">
        <f t="shared" si="29"/>
        <v>#N/A</v>
      </c>
      <c r="Y56" s="486"/>
      <c r="Z56" s="180"/>
      <c r="AA56" s="180"/>
      <c r="AB56" s="180"/>
      <c r="AC56" s="180" t="e">
        <f t="shared" si="31"/>
        <v>#N/A</v>
      </c>
      <c r="AD56" s="486"/>
      <c r="AE56" s="180"/>
      <c r="AF56" s="180"/>
      <c r="AG56" s="180"/>
      <c r="AH56" s="180" t="e">
        <f t="shared" si="33"/>
        <v>#N/A</v>
      </c>
      <c r="AI56" s="486"/>
      <c r="AJ56" s="180"/>
      <c r="AK56" s="180"/>
      <c r="AL56" s="180"/>
      <c r="AM56" s="180" t="e">
        <f t="shared" si="35"/>
        <v>#N/A</v>
      </c>
      <c r="AN56" s="486"/>
      <c r="AO56" s="180"/>
      <c r="AP56" s="180"/>
      <c r="AQ56" s="180"/>
      <c r="AR56" s="180" t="e">
        <f t="shared" si="37"/>
        <v>#N/A</v>
      </c>
      <c r="AS56" s="486"/>
      <c r="AT56" s="180"/>
      <c r="AU56" s="180"/>
      <c r="AV56" s="180"/>
      <c r="AW56" s="180" t="e">
        <f t="shared" si="39"/>
        <v>#N/A</v>
      </c>
      <c r="AX56" s="486"/>
    </row>
    <row r="57" spans="2:50">
      <c r="B57" s="479"/>
      <c r="C57" s="180">
        <v>11</v>
      </c>
      <c r="D57" s="201"/>
      <c r="E57" s="166"/>
      <c r="F57" s="180"/>
      <c r="G57" s="265"/>
      <c r="H57" s="460"/>
      <c r="I57" s="180"/>
      <c r="J57" s="180"/>
      <c r="K57" s="180"/>
      <c r="L57" s="460"/>
      <c r="M57" s="272" t="e">
        <f>RANK(K57, K$47:$K$61)</f>
        <v>#N/A</v>
      </c>
      <c r="N57" s="462"/>
      <c r="O57" s="462"/>
      <c r="P57" s="180"/>
      <c r="Q57" s="180"/>
      <c r="R57" s="180"/>
      <c r="S57" s="180" t="e">
        <f t="shared" si="41"/>
        <v>#N/A</v>
      </c>
      <c r="T57" s="486"/>
      <c r="U57" s="180"/>
      <c r="V57" s="180"/>
      <c r="W57" s="180"/>
      <c r="X57" s="180" t="e">
        <f t="shared" si="29"/>
        <v>#N/A</v>
      </c>
      <c r="Y57" s="486"/>
      <c r="Z57" s="180"/>
      <c r="AA57" s="180"/>
      <c r="AB57" s="180"/>
      <c r="AC57" s="180" t="e">
        <f t="shared" si="31"/>
        <v>#N/A</v>
      </c>
      <c r="AD57" s="486"/>
      <c r="AE57" s="180"/>
      <c r="AF57" s="180"/>
      <c r="AG57" s="180"/>
      <c r="AH57" s="180" t="e">
        <f t="shared" si="33"/>
        <v>#N/A</v>
      </c>
      <c r="AI57" s="486"/>
      <c r="AJ57" s="180"/>
      <c r="AK57" s="180"/>
      <c r="AL57" s="180"/>
      <c r="AM57" s="180" t="e">
        <f t="shared" si="35"/>
        <v>#N/A</v>
      </c>
      <c r="AN57" s="486"/>
      <c r="AO57" s="180"/>
      <c r="AP57" s="180"/>
      <c r="AQ57" s="180"/>
      <c r="AR57" s="180" t="e">
        <f t="shared" si="37"/>
        <v>#N/A</v>
      </c>
      <c r="AS57" s="486"/>
      <c r="AT57" s="180"/>
      <c r="AU57" s="180"/>
      <c r="AV57" s="180"/>
      <c r="AW57" s="180" t="e">
        <f t="shared" si="39"/>
        <v>#N/A</v>
      </c>
      <c r="AX57" s="486"/>
    </row>
    <row r="58" spans="2:50">
      <c r="B58" s="479"/>
      <c r="C58" s="180">
        <v>12</v>
      </c>
      <c r="D58" s="201"/>
      <c r="E58" s="166"/>
      <c r="F58" s="180"/>
      <c r="G58" s="265"/>
      <c r="H58" s="460"/>
      <c r="I58" s="180"/>
      <c r="J58" s="180"/>
      <c r="K58" s="180"/>
      <c r="L58" s="460"/>
      <c r="M58" s="272" t="e">
        <f>RANK(K58, K$47:$K$61)</f>
        <v>#N/A</v>
      </c>
      <c r="N58" s="462"/>
      <c r="O58" s="462"/>
      <c r="P58" s="180"/>
      <c r="Q58" s="180"/>
      <c r="R58" s="180"/>
      <c r="S58" s="180" t="e">
        <f t="shared" si="41"/>
        <v>#N/A</v>
      </c>
      <c r="T58" s="486"/>
      <c r="U58" s="180"/>
      <c r="V58" s="180"/>
      <c r="W58" s="180"/>
      <c r="X58" s="180" t="e">
        <f t="shared" si="29"/>
        <v>#N/A</v>
      </c>
      <c r="Y58" s="486"/>
      <c r="Z58" s="180"/>
      <c r="AA58" s="180"/>
      <c r="AB58" s="180"/>
      <c r="AC58" s="180" t="e">
        <f t="shared" si="31"/>
        <v>#N/A</v>
      </c>
      <c r="AD58" s="486"/>
      <c r="AE58" s="180"/>
      <c r="AF58" s="180"/>
      <c r="AG58" s="180"/>
      <c r="AH58" s="180" t="e">
        <f t="shared" si="33"/>
        <v>#N/A</v>
      </c>
      <c r="AI58" s="486"/>
      <c r="AJ58" s="180"/>
      <c r="AK58" s="180"/>
      <c r="AL58" s="180"/>
      <c r="AM58" s="180" t="e">
        <f t="shared" si="35"/>
        <v>#N/A</v>
      </c>
      <c r="AN58" s="486"/>
      <c r="AO58" s="180"/>
      <c r="AP58" s="180"/>
      <c r="AQ58" s="180"/>
      <c r="AR58" s="180" t="e">
        <f t="shared" si="37"/>
        <v>#N/A</v>
      </c>
      <c r="AS58" s="486"/>
      <c r="AT58" s="180"/>
      <c r="AU58" s="180"/>
      <c r="AV58" s="180"/>
      <c r="AW58" s="180" t="e">
        <f t="shared" si="39"/>
        <v>#N/A</v>
      </c>
      <c r="AX58" s="486"/>
    </row>
    <row r="59" spans="2:50">
      <c r="B59" s="479"/>
      <c r="C59" s="180">
        <v>13</v>
      </c>
      <c r="D59" s="201"/>
      <c r="E59" s="166"/>
      <c r="F59" s="180"/>
      <c r="G59" s="265"/>
      <c r="H59" s="460"/>
      <c r="I59" s="180"/>
      <c r="J59" s="180"/>
      <c r="K59" s="180"/>
      <c r="L59" s="460"/>
      <c r="M59" s="272" t="e">
        <f>RANK(K59, K$47:$K$61)</f>
        <v>#N/A</v>
      </c>
      <c r="N59" s="462"/>
      <c r="O59" s="462"/>
      <c r="P59" s="180"/>
      <c r="Q59" s="180"/>
      <c r="R59" s="180"/>
      <c r="S59" s="180" t="e">
        <f t="shared" si="41"/>
        <v>#N/A</v>
      </c>
      <c r="T59" s="486"/>
      <c r="U59" s="180"/>
      <c r="V59" s="180"/>
      <c r="W59" s="180"/>
      <c r="X59" s="180" t="e">
        <f t="shared" si="29"/>
        <v>#N/A</v>
      </c>
      <c r="Y59" s="486"/>
      <c r="Z59" s="180"/>
      <c r="AA59" s="180"/>
      <c r="AB59" s="180"/>
      <c r="AC59" s="180" t="e">
        <f t="shared" si="31"/>
        <v>#N/A</v>
      </c>
      <c r="AD59" s="486"/>
      <c r="AE59" s="180"/>
      <c r="AF59" s="180"/>
      <c r="AG59" s="180"/>
      <c r="AH59" s="180" t="e">
        <f t="shared" si="33"/>
        <v>#N/A</v>
      </c>
      <c r="AI59" s="486"/>
      <c r="AJ59" s="180"/>
      <c r="AK59" s="180"/>
      <c r="AL59" s="180"/>
      <c r="AM59" s="180" t="e">
        <f t="shared" si="35"/>
        <v>#N/A</v>
      </c>
      <c r="AN59" s="486"/>
      <c r="AO59" s="180"/>
      <c r="AP59" s="180"/>
      <c r="AQ59" s="180"/>
      <c r="AR59" s="180" t="e">
        <f t="shared" si="37"/>
        <v>#N/A</v>
      </c>
      <c r="AS59" s="486"/>
      <c r="AT59" s="180"/>
      <c r="AU59" s="180"/>
      <c r="AV59" s="180"/>
      <c r="AW59" s="180" t="e">
        <f t="shared" si="39"/>
        <v>#N/A</v>
      </c>
      <c r="AX59" s="486"/>
    </row>
    <row r="60" spans="2:50">
      <c r="B60" s="479"/>
      <c r="C60" s="180">
        <v>14</v>
      </c>
      <c r="D60" s="201"/>
      <c r="E60" s="166"/>
      <c r="F60" s="180"/>
      <c r="G60" s="265"/>
      <c r="H60" s="460"/>
      <c r="I60" s="180"/>
      <c r="J60" s="180"/>
      <c r="K60" s="180"/>
      <c r="L60" s="460"/>
      <c r="M60" s="272" t="e">
        <f>RANK(K60, K$47:$K$61)</f>
        <v>#N/A</v>
      </c>
      <c r="N60" s="462"/>
      <c r="O60" s="462"/>
      <c r="P60" s="180"/>
      <c r="Q60" s="180"/>
      <c r="R60" s="180"/>
      <c r="S60" s="180" t="e">
        <f t="shared" si="41"/>
        <v>#N/A</v>
      </c>
      <c r="T60" s="486"/>
      <c r="U60" s="180"/>
      <c r="V60" s="180"/>
      <c r="W60" s="180"/>
      <c r="X60" s="180" t="e">
        <f t="shared" si="29"/>
        <v>#N/A</v>
      </c>
      <c r="Y60" s="486"/>
      <c r="Z60" s="180"/>
      <c r="AA60" s="180"/>
      <c r="AB60" s="180"/>
      <c r="AC60" s="180" t="e">
        <f t="shared" si="31"/>
        <v>#N/A</v>
      </c>
      <c r="AD60" s="486"/>
      <c r="AE60" s="180"/>
      <c r="AF60" s="180"/>
      <c r="AG60" s="180"/>
      <c r="AH60" s="180" t="e">
        <f t="shared" si="33"/>
        <v>#N/A</v>
      </c>
      <c r="AI60" s="486"/>
      <c r="AJ60" s="180"/>
      <c r="AK60" s="180"/>
      <c r="AL60" s="180"/>
      <c r="AM60" s="180" t="e">
        <f t="shared" si="35"/>
        <v>#N/A</v>
      </c>
      <c r="AN60" s="486"/>
      <c r="AO60" s="180"/>
      <c r="AP60" s="180"/>
      <c r="AQ60" s="180"/>
      <c r="AR60" s="180" t="e">
        <f t="shared" si="37"/>
        <v>#N/A</v>
      </c>
      <c r="AS60" s="486"/>
      <c r="AT60" s="180"/>
      <c r="AU60" s="180"/>
      <c r="AV60" s="180"/>
      <c r="AW60" s="180" t="e">
        <f t="shared" si="39"/>
        <v>#N/A</v>
      </c>
      <c r="AX60" s="486"/>
    </row>
    <row r="61" spans="2:50">
      <c r="B61" s="479"/>
      <c r="C61" s="180">
        <v>15</v>
      </c>
      <c r="D61" s="201"/>
      <c r="E61" s="166"/>
      <c r="F61" s="180"/>
      <c r="G61" s="265"/>
      <c r="H61" s="461"/>
      <c r="I61" s="180"/>
      <c r="J61" s="180"/>
      <c r="K61" s="180"/>
      <c r="L61" s="461"/>
      <c r="M61" s="272" t="e">
        <f>RANK(K61, K$47:$K$61)</f>
        <v>#N/A</v>
      </c>
      <c r="N61" s="462"/>
      <c r="O61" s="462"/>
      <c r="P61" s="180"/>
      <c r="Q61" s="180"/>
      <c r="R61" s="180"/>
      <c r="S61" s="180" t="e">
        <f t="shared" si="41"/>
        <v>#N/A</v>
      </c>
      <c r="T61" s="486"/>
      <c r="U61" s="180"/>
      <c r="V61" s="180"/>
      <c r="W61" s="180"/>
      <c r="X61" s="180" t="e">
        <f t="shared" si="29"/>
        <v>#N/A</v>
      </c>
      <c r="Y61" s="486"/>
      <c r="Z61" s="180"/>
      <c r="AA61" s="180"/>
      <c r="AB61" s="180"/>
      <c r="AC61" s="180" t="e">
        <f t="shared" si="31"/>
        <v>#N/A</v>
      </c>
      <c r="AD61" s="486"/>
      <c r="AE61" s="180"/>
      <c r="AF61" s="180"/>
      <c r="AG61" s="180"/>
      <c r="AH61" s="180" t="e">
        <f t="shared" si="33"/>
        <v>#N/A</v>
      </c>
      <c r="AI61" s="486"/>
      <c r="AJ61" s="180"/>
      <c r="AK61" s="180"/>
      <c r="AL61" s="180"/>
      <c r="AM61" s="180" t="e">
        <f t="shared" si="35"/>
        <v>#N/A</v>
      </c>
      <c r="AN61" s="486"/>
      <c r="AO61" s="180"/>
      <c r="AP61" s="180"/>
      <c r="AQ61" s="180"/>
      <c r="AR61" s="180" t="e">
        <f t="shared" si="37"/>
        <v>#N/A</v>
      </c>
      <c r="AS61" s="486"/>
      <c r="AT61" s="180"/>
      <c r="AU61" s="180"/>
      <c r="AV61" s="180"/>
      <c r="AW61" s="180" t="e">
        <f t="shared" si="39"/>
        <v>#N/A</v>
      </c>
      <c r="AX61" s="486"/>
    </row>
    <row r="62" spans="2:50" ht="15.75">
      <c r="B62" s="480" t="s">
        <v>721</v>
      </c>
      <c r="C62" s="481"/>
      <c r="D62" s="481"/>
      <c r="E62" s="481"/>
      <c r="F62" s="481"/>
      <c r="G62" s="481"/>
      <c r="H62" s="481"/>
      <c r="I62" s="184"/>
      <c r="J62" s="184"/>
      <c r="K62" s="184"/>
      <c r="L62" s="184"/>
      <c r="M62" s="183"/>
      <c r="N62" s="469" t="s">
        <v>722</v>
      </c>
      <c r="O62" s="469" t="s">
        <v>723</v>
      </c>
      <c r="P62" s="478">
        <f>P42+7</f>
        <v>46070</v>
      </c>
      <c r="Q62" s="479"/>
      <c r="R62" s="479"/>
      <c r="S62" s="479"/>
      <c r="T62" s="479"/>
      <c r="U62" s="475">
        <f>P62+1</f>
        <v>46071</v>
      </c>
      <c r="V62" s="476"/>
      <c r="W62" s="476"/>
      <c r="X62" s="476"/>
      <c r="Y62" s="477"/>
      <c r="Z62" s="475">
        <f>U62+1</f>
        <v>46072</v>
      </c>
      <c r="AA62" s="476"/>
      <c r="AB62" s="476"/>
      <c r="AC62" s="476"/>
      <c r="AD62" s="477"/>
      <c r="AE62" s="475">
        <f>Z62+1</f>
        <v>46073</v>
      </c>
      <c r="AF62" s="476"/>
      <c r="AG62" s="476"/>
      <c r="AH62" s="476"/>
      <c r="AI62" s="477"/>
      <c r="AJ62" s="475">
        <f>AE62+1</f>
        <v>46074</v>
      </c>
      <c r="AK62" s="476"/>
      <c r="AL62" s="476"/>
      <c r="AM62" s="476"/>
      <c r="AN62" s="477"/>
      <c r="AO62" s="475">
        <f>AJ62+1</f>
        <v>46075</v>
      </c>
      <c r="AP62" s="476"/>
      <c r="AQ62" s="476"/>
      <c r="AR62" s="476"/>
      <c r="AS62" s="477"/>
      <c r="AT62" s="475">
        <f>AO62+1</f>
        <v>46076</v>
      </c>
      <c r="AU62" s="476"/>
      <c r="AV62" s="476"/>
      <c r="AW62" s="476"/>
      <c r="AX62" s="477"/>
    </row>
    <row r="63" spans="2:50" ht="15.75">
      <c r="B63" s="482"/>
      <c r="C63" s="482"/>
      <c r="D63" s="482"/>
      <c r="E63" s="482"/>
      <c r="F63" s="482"/>
      <c r="G63" s="482"/>
      <c r="H63" s="482"/>
      <c r="I63" s="182"/>
      <c r="J63" s="182"/>
      <c r="K63" s="182"/>
      <c r="L63" s="182"/>
      <c r="M63" s="179"/>
      <c r="N63" s="471"/>
      <c r="O63" s="471"/>
      <c r="P63" s="478" t="s">
        <v>724</v>
      </c>
      <c r="Q63" s="479"/>
      <c r="R63" s="479"/>
      <c r="S63" s="479"/>
      <c r="T63" s="479"/>
      <c r="U63" s="478" t="s">
        <v>725</v>
      </c>
      <c r="V63" s="479"/>
      <c r="W63" s="479"/>
      <c r="X63" s="479"/>
      <c r="Y63" s="479"/>
      <c r="Z63" s="478" t="s">
        <v>726</v>
      </c>
      <c r="AA63" s="479"/>
      <c r="AB63" s="479"/>
      <c r="AC63" s="479"/>
      <c r="AD63" s="479"/>
      <c r="AE63" s="478" t="s">
        <v>727</v>
      </c>
      <c r="AF63" s="479"/>
      <c r="AG63" s="479"/>
      <c r="AH63" s="479"/>
      <c r="AI63" s="479"/>
      <c r="AJ63" s="478" t="s">
        <v>728</v>
      </c>
      <c r="AK63" s="479"/>
      <c r="AL63" s="479"/>
      <c r="AM63" s="479"/>
      <c r="AN63" s="479"/>
      <c r="AO63" s="478" t="s">
        <v>729</v>
      </c>
      <c r="AP63" s="479"/>
      <c r="AQ63" s="479"/>
      <c r="AR63" s="479"/>
      <c r="AS63" s="479"/>
      <c r="AT63" s="478" t="s">
        <v>730</v>
      </c>
      <c r="AU63" s="479"/>
      <c r="AV63" s="479"/>
      <c r="AW63" s="479"/>
      <c r="AX63" s="479"/>
    </row>
    <row r="64" spans="2:50">
      <c r="B64" s="462" t="s">
        <v>731</v>
      </c>
      <c r="C64" s="462" t="s">
        <v>732</v>
      </c>
      <c r="D64" s="462"/>
      <c r="E64" s="462" t="s">
        <v>733</v>
      </c>
      <c r="F64" s="462"/>
      <c r="G64" s="462"/>
      <c r="H64" s="463" t="s">
        <v>734</v>
      </c>
      <c r="I64" s="462" t="s">
        <v>735</v>
      </c>
      <c r="J64" s="462"/>
      <c r="K64" s="462"/>
      <c r="L64" s="463" t="s">
        <v>734</v>
      </c>
      <c r="M64" s="469" t="s">
        <v>736</v>
      </c>
      <c r="N64" s="462"/>
      <c r="O64" s="462" t="s">
        <v>737</v>
      </c>
      <c r="P64" s="466" t="s">
        <v>738</v>
      </c>
      <c r="Q64" s="467"/>
      <c r="R64" s="467"/>
      <c r="S64" s="468"/>
      <c r="T64" s="462" t="s">
        <v>734</v>
      </c>
      <c r="U64" s="466" t="s">
        <v>738</v>
      </c>
      <c r="V64" s="467"/>
      <c r="W64" s="467"/>
      <c r="X64" s="468"/>
      <c r="Y64" s="462" t="s">
        <v>734</v>
      </c>
      <c r="Z64" s="466" t="s">
        <v>738</v>
      </c>
      <c r="AA64" s="467"/>
      <c r="AB64" s="467"/>
      <c r="AC64" s="468"/>
      <c r="AD64" s="462" t="s">
        <v>734</v>
      </c>
      <c r="AE64" s="466" t="s">
        <v>738</v>
      </c>
      <c r="AF64" s="467"/>
      <c r="AG64" s="467"/>
      <c r="AH64" s="468"/>
      <c r="AI64" s="462" t="s">
        <v>734</v>
      </c>
      <c r="AJ64" s="466" t="s">
        <v>738</v>
      </c>
      <c r="AK64" s="467"/>
      <c r="AL64" s="467"/>
      <c r="AM64" s="468"/>
      <c r="AN64" s="462" t="s">
        <v>734</v>
      </c>
      <c r="AO64" s="466" t="s">
        <v>738</v>
      </c>
      <c r="AP64" s="467"/>
      <c r="AQ64" s="467"/>
      <c r="AR64" s="468"/>
      <c r="AS64" s="462" t="s">
        <v>734</v>
      </c>
      <c r="AT64" s="466" t="s">
        <v>738</v>
      </c>
      <c r="AU64" s="467"/>
      <c r="AV64" s="467"/>
      <c r="AW64" s="468"/>
      <c r="AX64" s="462" t="s">
        <v>734</v>
      </c>
    </row>
    <row r="65" spans="2:50">
      <c r="B65" s="462"/>
      <c r="C65" s="462"/>
      <c r="D65" s="462"/>
      <c r="E65" s="462" t="s">
        <v>739</v>
      </c>
      <c r="F65" s="462"/>
      <c r="G65" s="462"/>
      <c r="H65" s="464"/>
      <c r="I65" s="462" t="s">
        <v>739</v>
      </c>
      <c r="J65" s="462"/>
      <c r="K65" s="462"/>
      <c r="L65" s="464"/>
      <c r="M65" s="470"/>
      <c r="N65" s="462"/>
      <c r="O65" s="462"/>
      <c r="P65" s="466" t="s">
        <v>740</v>
      </c>
      <c r="Q65" s="467"/>
      <c r="R65" s="467"/>
      <c r="S65" s="468"/>
      <c r="T65" s="462"/>
      <c r="U65" s="466" t="s">
        <v>740</v>
      </c>
      <c r="V65" s="467"/>
      <c r="W65" s="467"/>
      <c r="X65" s="468"/>
      <c r="Y65" s="462"/>
      <c r="Z65" s="466" t="s">
        <v>740</v>
      </c>
      <c r="AA65" s="467"/>
      <c r="AB65" s="467"/>
      <c r="AC65" s="468"/>
      <c r="AD65" s="462"/>
      <c r="AE65" s="466" t="s">
        <v>740</v>
      </c>
      <c r="AF65" s="467"/>
      <c r="AG65" s="467"/>
      <c r="AH65" s="468"/>
      <c r="AI65" s="462"/>
      <c r="AJ65" s="466" t="s">
        <v>740</v>
      </c>
      <c r="AK65" s="467"/>
      <c r="AL65" s="467"/>
      <c r="AM65" s="468"/>
      <c r="AN65" s="462"/>
      <c r="AO65" s="466" t="s">
        <v>740</v>
      </c>
      <c r="AP65" s="467"/>
      <c r="AQ65" s="467"/>
      <c r="AR65" s="468"/>
      <c r="AS65" s="462"/>
      <c r="AT65" s="466" t="s">
        <v>740</v>
      </c>
      <c r="AU65" s="467"/>
      <c r="AV65" s="467"/>
      <c r="AW65" s="468"/>
      <c r="AX65" s="462"/>
    </row>
    <row r="66" spans="2:50">
      <c r="B66" s="462"/>
      <c r="C66" s="462"/>
      <c r="D66" s="462"/>
      <c r="E66" s="264" t="s">
        <v>741</v>
      </c>
      <c r="F66" s="264" t="s">
        <v>742</v>
      </c>
      <c r="G66" s="264" t="s">
        <v>743</v>
      </c>
      <c r="H66" s="465"/>
      <c r="I66" s="264" t="s">
        <v>741</v>
      </c>
      <c r="J66" s="264" t="s">
        <v>742</v>
      </c>
      <c r="K66" s="264" t="s">
        <v>743</v>
      </c>
      <c r="L66" s="465"/>
      <c r="M66" s="471"/>
      <c r="N66" s="462"/>
      <c r="O66" s="462"/>
      <c r="P66" s="264" t="s">
        <v>741</v>
      </c>
      <c r="Q66" s="264" t="s">
        <v>742</v>
      </c>
      <c r="R66" s="264" t="s">
        <v>743</v>
      </c>
      <c r="S66" s="264" t="s">
        <v>736</v>
      </c>
      <c r="T66" s="462"/>
      <c r="U66" s="264" t="s">
        <v>741</v>
      </c>
      <c r="V66" s="264" t="s">
        <v>742</v>
      </c>
      <c r="W66" s="264" t="s">
        <v>743</v>
      </c>
      <c r="X66" s="264" t="s">
        <v>736</v>
      </c>
      <c r="Y66" s="462"/>
      <c r="Z66" s="264" t="s">
        <v>741</v>
      </c>
      <c r="AA66" s="264" t="s">
        <v>742</v>
      </c>
      <c r="AB66" s="264" t="s">
        <v>743</v>
      </c>
      <c r="AC66" s="264" t="s">
        <v>736</v>
      </c>
      <c r="AD66" s="462"/>
      <c r="AE66" s="264" t="s">
        <v>741</v>
      </c>
      <c r="AF66" s="264" t="s">
        <v>742</v>
      </c>
      <c r="AG66" s="264" t="s">
        <v>743</v>
      </c>
      <c r="AH66" s="264" t="s">
        <v>736</v>
      </c>
      <c r="AI66" s="462"/>
      <c r="AJ66" s="264" t="s">
        <v>741</v>
      </c>
      <c r="AK66" s="264" t="s">
        <v>742</v>
      </c>
      <c r="AL66" s="264" t="s">
        <v>743</v>
      </c>
      <c r="AM66" s="264" t="s">
        <v>736</v>
      </c>
      <c r="AN66" s="462"/>
      <c r="AO66" s="264" t="s">
        <v>741</v>
      </c>
      <c r="AP66" s="264" t="s">
        <v>742</v>
      </c>
      <c r="AQ66" s="264" t="s">
        <v>743</v>
      </c>
      <c r="AR66" s="264" t="s">
        <v>736</v>
      </c>
      <c r="AS66" s="462"/>
      <c r="AT66" s="264" t="s">
        <v>741</v>
      </c>
      <c r="AU66" s="264" t="s">
        <v>742</v>
      </c>
      <c r="AV66" s="264" t="s">
        <v>743</v>
      </c>
      <c r="AW66" s="264" t="s">
        <v>736</v>
      </c>
      <c r="AX66" s="462"/>
    </row>
    <row r="67" spans="2:50">
      <c r="B67" s="462" t="s">
        <v>752</v>
      </c>
      <c r="C67" s="180">
        <v>1</v>
      </c>
      <c r="D67" s="201" t="s">
        <v>669</v>
      </c>
      <c r="E67" s="166">
        <v>13</v>
      </c>
      <c r="F67" s="180">
        <v>1500</v>
      </c>
      <c r="G67" s="265">
        <v>115.38461538461539</v>
      </c>
      <c r="H67" s="459">
        <f>AVERAGE(G67:G81)</f>
        <v>107.69230769230769</v>
      </c>
      <c r="I67" s="166">
        <f t="shared" ref="I67:K68" si="42">AVERAGE(P67,U67,Z67,AE67,AJ67,AO67,AT67)</f>
        <v>13</v>
      </c>
      <c r="J67" s="166">
        <f t="shared" si="42"/>
        <v>1477.4857142857122</v>
      </c>
      <c r="K67" s="265">
        <f t="shared" si="42"/>
        <v>113.65274725274709</v>
      </c>
      <c r="L67" s="459">
        <f>IFERROR(AVERAGE(K67:K81),"-")</f>
        <v>119.74637519343393</v>
      </c>
      <c r="M67" s="272">
        <f>RANK(K67, K$67:$K$81)</f>
        <v>2</v>
      </c>
      <c r="N67" s="462"/>
      <c r="O67" s="462"/>
      <c r="P67" s="166">
        <v>13</v>
      </c>
      <c r="Q67" s="166">
        <v>1507.1999999999957</v>
      </c>
      <c r="R67" s="265">
        <v>115.93846153846121</v>
      </c>
      <c r="S67" s="180">
        <f>RANK(R67, R$67:R$81)</f>
        <v>1</v>
      </c>
      <c r="T67" s="486">
        <f>AVERAGE(R67:R81)</f>
        <v>114.43076923076907</v>
      </c>
      <c r="U67" s="166">
        <v>13</v>
      </c>
      <c r="V67" s="166">
        <v>1543.1999999999957</v>
      </c>
      <c r="W67" s="265">
        <v>118.70769230769199</v>
      </c>
      <c r="X67" s="180">
        <f t="shared" ref="X67:X81" si="43">RANK(W67, W$67:W$81)</f>
        <v>2</v>
      </c>
      <c r="Y67" s="486">
        <f t="shared" ref="Y67" si="44">AVERAGE(W67:W81)</f>
        <v>128.11320444261611</v>
      </c>
      <c r="Z67" s="324">
        <v>13</v>
      </c>
      <c r="AA67" s="166">
        <v>1365.6000000000004</v>
      </c>
      <c r="AB67" s="265">
        <v>105.04615384615387</v>
      </c>
      <c r="AC67" s="180">
        <f t="shared" ref="AC67:AC81" si="45">RANK(AB67, AB$67:AB$81)</f>
        <v>2</v>
      </c>
      <c r="AD67" s="486">
        <f t="shared" ref="AD67" si="46">AVERAGE(AB67:AB81)</f>
        <v>107.90769230769232</v>
      </c>
      <c r="AE67" s="324">
        <v>13</v>
      </c>
      <c r="AF67" s="166">
        <v>1481.9999999999995</v>
      </c>
      <c r="AG67" s="265">
        <v>113.99999999999997</v>
      </c>
      <c r="AH67" s="180">
        <f t="shared" ref="AH67:AH81" si="47">RANK(AG67, AG$67:AG$81)</f>
        <v>2</v>
      </c>
      <c r="AI67" s="486">
        <f t="shared" ref="AI67" si="48">AVERAGE(AG67:AG81)</f>
        <v>123.5454545454545</v>
      </c>
      <c r="AJ67" s="324">
        <v>13</v>
      </c>
      <c r="AK67" s="166">
        <v>1357.9999999999977</v>
      </c>
      <c r="AL67" s="265">
        <v>104.46153846153828</v>
      </c>
      <c r="AM67" s="180">
        <f t="shared" ref="AM67:AM81" si="49">RANK(AL67, AL$67:AL$81)</f>
        <v>2</v>
      </c>
      <c r="AN67" s="486">
        <f t="shared" ref="AN67" si="50">AVERAGE(AL67:AL81)</f>
        <v>121.17016317016308</v>
      </c>
      <c r="AO67" s="324">
        <v>13</v>
      </c>
      <c r="AP67" s="166">
        <v>1516.7999999999956</v>
      </c>
      <c r="AQ67" s="265">
        <v>116.67692307692275</v>
      </c>
      <c r="AR67" s="180">
        <f t="shared" ref="AR67:AR81" si="51">RANK(AQ67, AQ$67:AQ$81)</f>
        <v>2</v>
      </c>
      <c r="AS67" s="486">
        <f t="shared" ref="AS67" si="52">AVERAGE(AQ67:AQ81)</f>
        <v>125.61118881118868</v>
      </c>
      <c r="AT67" s="324">
        <v>13</v>
      </c>
      <c r="AU67" s="166">
        <v>1569.6000000000004</v>
      </c>
      <c r="AV67" s="265">
        <v>120.73846153846156</v>
      </c>
      <c r="AW67" s="180">
        <f t="shared" ref="AW67:AW81" si="53">RANK(AV67, AV$67:AV$81)</f>
        <v>1</v>
      </c>
      <c r="AX67" s="486">
        <f t="shared" ref="AX67" si="54">AVERAGE(AV67:AV81)</f>
        <v>117.44615384615383</v>
      </c>
    </row>
    <row r="68" spans="2:50">
      <c r="B68" s="479"/>
      <c r="C68" s="180">
        <v>2</v>
      </c>
      <c r="D68" s="201" t="s">
        <v>693</v>
      </c>
      <c r="E68" s="166">
        <v>15</v>
      </c>
      <c r="F68" s="180">
        <v>1500</v>
      </c>
      <c r="G68" s="265">
        <v>100</v>
      </c>
      <c r="H68" s="460"/>
      <c r="I68" s="166">
        <f t="shared" si="42"/>
        <v>11.857142857142858</v>
      </c>
      <c r="J68" s="166">
        <f t="shared" si="42"/>
        <v>1480.7675070028015</v>
      </c>
      <c r="K68" s="265">
        <f t="shared" si="42"/>
        <v>125.84000313412078</v>
      </c>
      <c r="L68" s="460"/>
      <c r="M68" s="272">
        <f>RANK(K68, K$67:$K$81)</f>
        <v>1</v>
      </c>
      <c r="N68" s="462"/>
      <c r="O68" s="462"/>
      <c r="P68" s="180">
        <v>13</v>
      </c>
      <c r="Q68" s="166">
        <v>1468</v>
      </c>
      <c r="R68" s="265">
        <v>112.92307692307692</v>
      </c>
      <c r="S68" s="180">
        <f t="shared" ref="S68:S81" si="55">RANK(R68, R$67:R$81)</f>
        <v>2</v>
      </c>
      <c r="T68" s="486"/>
      <c r="U68" s="180">
        <v>11</v>
      </c>
      <c r="V68" s="166">
        <v>1512.7058823529421</v>
      </c>
      <c r="W68" s="265">
        <v>137.5187165775402</v>
      </c>
      <c r="X68" s="180">
        <f t="shared" si="43"/>
        <v>1</v>
      </c>
      <c r="Y68" s="486"/>
      <c r="Z68" s="180">
        <v>13</v>
      </c>
      <c r="AA68" s="166">
        <v>1439.9999999999998</v>
      </c>
      <c r="AB68" s="265">
        <v>110.76923076923075</v>
      </c>
      <c r="AC68" s="180">
        <f t="shared" si="45"/>
        <v>1</v>
      </c>
      <c r="AD68" s="486"/>
      <c r="AE68" s="180">
        <v>11</v>
      </c>
      <c r="AF68" s="166">
        <v>1463.9999999999995</v>
      </c>
      <c r="AG68" s="265">
        <v>133.09090909090904</v>
      </c>
      <c r="AH68" s="180">
        <f t="shared" si="47"/>
        <v>1</v>
      </c>
      <c r="AI68" s="486"/>
      <c r="AJ68" s="180">
        <v>11</v>
      </c>
      <c r="AK68" s="166">
        <v>1516.6666666666667</v>
      </c>
      <c r="AL68" s="265">
        <v>137.87878787878788</v>
      </c>
      <c r="AM68" s="180">
        <f t="shared" si="49"/>
        <v>1</v>
      </c>
      <c r="AN68" s="486"/>
      <c r="AO68" s="180">
        <v>11</v>
      </c>
      <c r="AP68" s="166">
        <v>1480.0000000000007</v>
      </c>
      <c r="AQ68" s="265">
        <v>134.54545454545462</v>
      </c>
      <c r="AR68" s="180">
        <f t="shared" si="51"/>
        <v>1</v>
      </c>
      <c r="AS68" s="486"/>
      <c r="AT68" s="180">
        <v>13</v>
      </c>
      <c r="AU68" s="166">
        <v>1483.9999999999995</v>
      </c>
      <c r="AV68" s="265">
        <v>114.15384615384612</v>
      </c>
      <c r="AW68" s="180">
        <f t="shared" si="53"/>
        <v>2</v>
      </c>
      <c r="AX68" s="486"/>
    </row>
    <row r="69" spans="2:50">
      <c r="B69" s="479"/>
      <c r="C69" s="180">
        <v>3</v>
      </c>
      <c r="D69" s="201"/>
      <c r="E69" s="166"/>
      <c r="F69" s="180"/>
      <c r="G69" s="265"/>
      <c r="H69" s="460"/>
      <c r="I69" s="166"/>
      <c r="J69" s="166"/>
      <c r="K69" s="265"/>
      <c r="L69" s="460"/>
      <c r="M69" s="272" t="e">
        <f>RANK(K69, K$67:$K$81)</f>
        <v>#N/A</v>
      </c>
      <c r="N69" s="462"/>
      <c r="O69" s="462"/>
      <c r="P69" s="180"/>
      <c r="Q69" s="166"/>
      <c r="R69" s="265"/>
      <c r="S69" s="180" t="e">
        <f t="shared" si="55"/>
        <v>#N/A</v>
      </c>
      <c r="T69" s="486"/>
      <c r="U69" s="180"/>
      <c r="V69" s="166"/>
      <c r="W69" s="265"/>
      <c r="X69" s="180" t="e">
        <f t="shared" si="43"/>
        <v>#N/A</v>
      </c>
      <c r="Y69" s="486"/>
      <c r="Z69" s="180"/>
      <c r="AA69" s="180"/>
      <c r="AB69" s="180"/>
      <c r="AC69" s="180" t="e">
        <f t="shared" si="45"/>
        <v>#N/A</v>
      </c>
      <c r="AD69" s="486"/>
      <c r="AE69" s="180"/>
      <c r="AF69" s="180"/>
      <c r="AG69" s="180"/>
      <c r="AH69" s="180" t="e">
        <f t="shared" si="47"/>
        <v>#N/A</v>
      </c>
      <c r="AI69" s="486"/>
      <c r="AJ69" s="180"/>
      <c r="AK69" s="180"/>
      <c r="AL69" s="180"/>
      <c r="AM69" s="180" t="e">
        <f t="shared" si="49"/>
        <v>#N/A</v>
      </c>
      <c r="AN69" s="486"/>
      <c r="AO69" s="180"/>
      <c r="AP69" s="180"/>
      <c r="AQ69" s="180"/>
      <c r="AR69" s="180" t="e">
        <f t="shared" si="51"/>
        <v>#N/A</v>
      </c>
      <c r="AS69" s="486"/>
      <c r="AT69" s="180"/>
      <c r="AU69" s="180"/>
      <c r="AV69" s="180"/>
      <c r="AW69" s="180" t="e">
        <f t="shared" si="53"/>
        <v>#N/A</v>
      </c>
      <c r="AX69" s="486"/>
    </row>
    <row r="70" spans="2:50">
      <c r="B70" s="479"/>
      <c r="C70" s="180">
        <v>4</v>
      </c>
      <c r="D70" s="201"/>
      <c r="E70" s="166"/>
      <c r="F70" s="180"/>
      <c r="G70" s="265"/>
      <c r="H70" s="460"/>
      <c r="I70" s="166"/>
      <c r="J70" s="166"/>
      <c r="K70" s="265"/>
      <c r="L70" s="460"/>
      <c r="M70" s="272" t="e">
        <f>RANK(K70, K$67:$K$81)</f>
        <v>#N/A</v>
      </c>
      <c r="N70" s="462"/>
      <c r="O70" s="462"/>
      <c r="P70" s="180"/>
      <c r="Q70" s="180"/>
      <c r="R70" s="180"/>
      <c r="S70" s="180" t="e">
        <f t="shared" si="55"/>
        <v>#N/A</v>
      </c>
      <c r="T70" s="486"/>
      <c r="U70" s="180"/>
      <c r="V70" s="180"/>
      <c r="W70" s="180"/>
      <c r="X70" s="180" t="e">
        <f t="shared" si="43"/>
        <v>#N/A</v>
      </c>
      <c r="Y70" s="486"/>
      <c r="Z70" s="180"/>
      <c r="AA70" s="180"/>
      <c r="AB70" s="180"/>
      <c r="AC70" s="180" t="e">
        <f t="shared" si="45"/>
        <v>#N/A</v>
      </c>
      <c r="AD70" s="486"/>
      <c r="AE70" s="180"/>
      <c r="AF70" s="180"/>
      <c r="AG70" s="180"/>
      <c r="AH70" s="180" t="e">
        <f t="shared" si="47"/>
        <v>#N/A</v>
      </c>
      <c r="AI70" s="486"/>
      <c r="AJ70" s="180"/>
      <c r="AK70" s="180"/>
      <c r="AL70" s="180"/>
      <c r="AM70" s="180" t="e">
        <f t="shared" si="49"/>
        <v>#N/A</v>
      </c>
      <c r="AN70" s="486"/>
      <c r="AO70" s="180"/>
      <c r="AP70" s="180"/>
      <c r="AQ70" s="180"/>
      <c r="AR70" s="180" t="e">
        <f t="shared" si="51"/>
        <v>#N/A</v>
      </c>
      <c r="AS70" s="486"/>
      <c r="AT70" s="180"/>
      <c r="AU70" s="180"/>
      <c r="AV70" s="180"/>
      <c r="AW70" s="180" t="e">
        <f t="shared" si="53"/>
        <v>#N/A</v>
      </c>
      <c r="AX70" s="486"/>
    </row>
    <row r="71" spans="2:50">
      <c r="B71" s="479"/>
      <c r="C71" s="180">
        <v>5</v>
      </c>
      <c r="D71" s="201"/>
      <c r="E71" s="166"/>
      <c r="F71" s="180"/>
      <c r="G71" s="265"/>
      <c r="H71" s="460"/>
      <c r="I71" s="166"/>
      <c r="J71" s="166"/>
      <c r="K71" s="265"/>
      <c r="L71" s="460"/>
      <c r="M71" s="272" t="e">
        <f>RANK(K71, K$67:$K$81)</f>
        <v>#N/A</v>
      </c>
      <c r="N71" s="462"/>
      <c r="O71" s="462"/>
      <c r="P71" s="180"/>
      <c r="Q71" s="180"/>
      <c r="R71" s="180"/>
      <c r="S71" s="180" t="e">
        <f t="shared" si="55"/>
        <v>#N/A</v>
      </c>
      <c r="T71" s="486"/>
      <c r="U71" s="180"/>
      <c r="V71" s="180"/>
      <c r="W71" s="180"/>
      <c r="X71" s="180" t="e">
        <f t="shared" si="43"/>
        <v>#N/A</v>
      </c>
      <c r="Y71" s="486"/>
      <c r="Z71" s="180"/>
      <c r="AA71" s="180"/>
      <c r="AB71" s="180"/>
      <c r="AC71" s="180" t="e">
        <f t="shared" si="45"/>
        <v>#N/A</v>
      </c>
      <c r="AD71" s="486"/>
      <c r="AE71" s="180"/>
      <c r="AF71" s="180"/>
      <c r="AG71" s="180"/>
      <c r="AH71" s="180" t="e">
        <f t="shared" si="47"/>
        <v>#N/A</v>
      </c>
      <c r="AI71" s="486"/>
      <c r="AJ71" s="180"/>
      <c r="AK71" s="180"/>
      <c r="AL71" s="180"/>
      <c r="AM71" s="180" t="e">
        <f t="shared" si="49"/>
        <v>#N/A</v>
      </c>
      <c r="AN71" s="486"/>
      <c r="AO71" s="180"/>
      <c r="AP71" s="180"/>
      <c r="AQ71" s="180"/>
      <c r="AR71" s="180" t="e">
        <f t="shared" si="51"/>
        <v>#N/A</v>
      </c>
      <c r="AS71" s="486"/>
      <c r="AT71" s="180"/>
      <c r="AU71" s="180"/>
      <c r="AV71" s="180"/>
      <c r="AW71" s="180" t="e">
        <f t="shared" si="53"/>
        <v>#N/A</v>
      </c>
      <c r="AX71" s="486"/>
    </row>
    <row r="72" spans="2:50">
      <c r="B72" s="479"/>
      <c r="C72" s="180">
        <v>6</v>
      </c>
      <c r="D72" s="201"/>
      <c r="E72" s="166"/>
      <c r="F72" s="180"/>
      <c r="G72" s="265"/>
      <c r="H72" s="460"/>
      <c r="I72" s="166"/>
      <c r="J72" s="166"/>
      <c r="K72" s="265"/>
      <c r="L72" s="460"/>
      <c r="M72" s="272" t="e">
        <f>RANK(K72, K$67:$K$81)</f>
        <v>#N/A</v>
      </c>
      <c r="N72" s="462"/>
      <c r="O72" s="462"/>
      <c r="P72" s="180"/>
      <c r="Q72" s="180"/>
      <c r="R72" s="180"/>
      <c r="S72" s="180" t="e">
        <f t="shared" si="55"/>
        <v>#N/A</v>
      </c>
      <c r="T72" s="486"/>
      <c r="U72" s="180"/>
      <c r="V72" s="180"/>
      <c r="W72" s="180"/>
      <c r="X72" s="180" t="e">
        <f t="shared" si="43"/>
        <v>#N/A</v>
      </c>
      <c r="Y72" s="486"/>
      <c r="Z72" s="180"/>
      <c r="AA72" s="180"/>
      <c r="AB72" s="180"/>
      <c r="AC72" s="180" t="e">
        <f t="shared" si="45"/>
        <v>#N/A</v>
      </c>
      <c r="AD72" s="486"/>
      <c r="AE72" s="180"/>
      <c r="AF72" s="180"/>
      <c r="AG72" s="180"/>
      <c r="AH72" s="180" t="e">
        <f t="shared" si="47"/>
        <v>#N/A</v>
      </c>
      <c r="AI72" s="486"/>
      <c r="AJ72" s="180"/>
      <c r="AK72" s="180"/>
      <c r="AL72" s="180"/>
      <c r="AM72" s="180" t="e">
        <f t="shared" si="49"/>
        <v>#N/A</v>
      </c>
      <c r="AN72" s="486"/>
      <c r="AO72" s="180"/>
      <c r="AP72" s="180"/>
      <c r="AQ72" s="180"/>
      <c r="AR72" s="180" t="e">
        <f t="shared" si="51"/>
        <v>#N/A</v>
      </c>
      <c r="AS72" s="486"/>
      <c r="AT72" s="180"/>
      <c r="AU72" s="180"/>
      <c r="AV72" s="180"/>
      <c r="AW72" s="180" t="e">
        <f t="shared" si="53"/>
        <v>#N/A</v>
      </c>
      <c r="AX72" s="486"/>
    </row>
    <row r="73" spans="2:50">
      <c r="B73" s="479"/>
      <c r="C73" s="180">
        <v>7</v>
      </c>
      <c r="D73" s="201"/>
      <c r="E73" s="166"/>
      <c r="F73" s="180"/>
      <c r="G73" s="265"/>
      <c r="H73" s="460"/>
      <c r="I73" s="166"/>
      <c r="J73" s="166"/>
      <c r="K73" s="265"/>
      <c r="L73" s="460"/>
      <c r="M73" s="272" t="e">
        <f>RANK(K73, K$67:$K$81)</f>
        <v>#N/A</v>
      </c>
      <c r="N73" s="462"/>
      <c r="O73" s="462"/>
      <c r="P73" s="180"/>
      <c r="Q73" s="180"/>
      <c r="R73" s="180"/>
      <c r="S73" s="180" t="e">
        <f t="shared" si="55"/>
        <v>#N/A</v>
      </c>
      <c r="T73" s="486"/>
      <c r="U73" s="180"/>
      <c r="V73" s="180"/>
      <c r="W73" s="180"/>
      <c r="X73" s="180" t="e">
        <f t="shared" si="43"/>
        <v>#N/A</v>
      </c>
      <c r="Y73" s="486"/>
      <c r="Z73" s="180"/>
      <c r="AA73" s="180"/>
      <c r="AB73" s="180"/>
      <c r="AC73" s="180" t="e">
        <f t="shared" si="45"/>
        <v>#N/A</v>
      </c>
      <c r="AD73" s="486"/>
      <c r="AE73" s="180"/>
      <c r="AF73" s="180"/>
      <c r="AG73" s="180"/>
      <c r="AH73" s="180" t="e">
        <f t="shared" si="47"/>
        <v>#N/A</v>
      </c>
      <c r="AI73" s="486"/>
      <c r="AJ73" s="180"/>
      <c r="AK73" s="180"/>
      <c r="AL73" s="180"/>
      <c r="AM73" s="180" t="e">
        <f t="shared" si="49"/>
        <v>#N/A</v>
      </c>
      <c r="AN73" s="486"/>
      <c r="AO73" s="180"/>
      <c r="AP73" s="180"/>
      <c r="AQ73" s="180"/>
      <c r="AR73" s="180" t="e">
        <f t="shared" si="51"/>
        <v>#N/A</v>
      </c>
      <c r="AS73" s="486"/>
      <c r="AT73" s="180"/>
      <c r="AU73" s="180"/>
      <c r="AV73" s="180"/>
      <c r="AW73" s="180" t="e">
        <f t="shared" si="53"/>
        <v>#N/A</v>
      </c>
      <c r="AX73" s="486"/>
    </row>
    <row r="74" spans="2:50">
      <c r="B74" s="479"/>
      <c r="C74" s="180">
        <v>8</v>
      </c>
      <c r="D74" s="201"/>
      <c r="E74" s="166"/>
      <c r="F74" s="180"/>
      <c r="G74" s="265"/>
      <c r="H74" s="460"/>
      <c r="I74" s="166"/>
      <c r="J74" s="166"/>
      <c r="K74" s="265"/>
      <c r="L74" s="460"/>
      <c r="M74" s="272" t="e">
        <f>RANK(K74, K$67:$K$81)</f>
        <v>#N/A</v>
      </c>
      <c r="N74" s="462"/>
      <c r="O74" s="462"/>
      <c r="P74" s="180"/>
      <c r="Q74" s="180"/>
      <c r="R74" s="180"/>
      <c r="S74" s="180" t="e">
        <f t="shared" si="55"/>
        <v>#N/A</v>
      </c>
      <c r="T74" s="486"/>
      <c r="U74" s="180"/>
      <c r="V74" s="180"/>
      <c r="W74" s="180"/>
      <c r="X74" s="180" t="e">
        <f t="shared" si="43"/>
        <v>#N/A</v>
      </c>
      <c r="Y74" s="486"/>
      <c r="Z74" s="180"/>
      <c r="AA74" s="180"/>
      <c r="AB74" s="180"/>
      <c r="AC74" s="180" t="e">
        <f t="shared" si="45"/>
        <v>#N/A</v>
      </c>
      <c r="AD74" s="486"/>
      <c r="AE74" s="180"/>
      <c r="AF74" s="180"/>
      <c r="AG74" s="180"/>
      <c r="AH74" s="180" t="e">
        <f t="shared" si="47"/>
        <v>#N/A</v>
      </c>
      <c r="AI74" s="486"/>
      <c r="AJ74" s="180"/>
      <c r="AK74" s="180"/>
      <c r="AL74" s="180"/>
      <c r="AM74" s="180" t="e">
        <f t="shared" si="49"/>
        <v>#N/A</v>
      </c>
      <c r="AN74" s="486"/>
      <c r="AO74" s="180"/>
      <c r="AP74" s="180"/>
      <c r="AQ74" s="180"/>
      <c r="AR74" s="180" t="e">
        <f t="shared" si="51"/>
        <v>#N/A</v>
      </c>
      <c r="AS74" s="486"/>
      <c r="AT74" s="180"/>
      <c r="AU74" s="180"/>
      <c r="AV74" s="180"/>
      <c r="AW74" s="180" t="e">
        <f t="shared" si="53"/>
        <v>#N/A</v>
      </c>
      <c r="AX74" s="486"/>
    </row>
    <row r="75" spans="2:50">
      <c r="B75" s="479"/>
      <c r="C75" s="180">
        <v>9</v>
      </c>
      <c r="D75" s="201"/>
      <c r="E75" s="166"/>
      <c r="F75" s="180"/>
      <c r="G75" s="265"/>
      <c r="H75" s="460"/>
      <c r="I75" s="166"/>
      <c r="J75" s="166"/>
      <c r="K75" s="265"/>
      <c r="L75" s="460"/>
      <c r="M75" s="272" t="e">
        <f>RANK(K75, K$67:$K$81)</f>
        <v>#N/A</v>
      </c>
      <c r="N75" s="462"/>
      <c r="O75" s="462"/>
      <c r="P75" s="180"/>
      <c r="Q75" s="180"/>
      <c r="R75" s="180"/>
      <c r="S75" s="180" t="e">
        <f t="shared" si="55"/>
        <v>#N/A</v>
      </c>
      <c r="T75" s="486"/>
      <c r="U75" s="180"/>
      <c r="V75" s="180"/>
      <c r="W75" s="180"/>
      <c r="X75" s="180" t="e">
        <f t="shared" si="43"/>
        <v>#N/A</v>
      </c>
      <c r="Y75" s="486"/>
      <c r="Z75" s="180"/>
      <c r="AA75" s="180"/>
      <c r="AB75" s="180"/>
      <c r="AC75" s="180" t="e">
        <f t="shared" si="45"/>
        <v>#N/A</v>
      </c>
      <c r="AD75" s="486"/>
      <c r="AE75" s="180"/>
      <c r="AF75" s="180"/>
      <c r="AG75" s="180"/>
      <c r="AH75" s="180" t="e">
        <f t="shared" si="47"/>
        <v>#N/A</v>
      </c>
      <c r="AI75" s="486"/>
      <c r="AJ75" s="180"/>
      <c r="AK75" s="180"/>
      <c r="AL75" s="180"/>
      <c r="AM75" s="180" t="e">
        <f t="shared" si="49"/>
        <v>#N/A</v>
      </c>
      <c r="AN75" s="486"/>
      <c r="AO75" s="180"/>
      <c r="AP75" s="180"/>
      <c r="AQ75" s="180"/>
      <c r="AR75" s="180" t="e">
        <f t="shared" si="51"/>
        <v>#N/A</v>
      </c>
      <c r="AS75" s="486"/>
      <c r="AT75" s="180"/>
      <c r="AU75" s="180"/>
      <c r="AV75" s="180"/>
      <c r="AW75" s="180" t="e">
        <f t="shared" si="53"/>
        <v>#N/A</v>
      </c>
      <c r="AX75" s="486"/>
    </row>
    <row r="76" spans="2:50">
      <c r="B76" s="479"/>
      <c r="C76" s="180">
        <v>10</v>
      </c>
      <c r="D76" s="201"/>
      <c r="E76" s="166"/>
      <c r="F76" s="180"/>
      <c r="G76" s="265"/>
      <c r="H76" s="460"/>
      <c r="I76" s="166"/>
      <c r="J76" s="166"/>
      <c r="K76" s="265"/>
      <c r="L76" s="460"/>
      <c r="M76" s="272" t="e">
        <f>RANK(K76, K$67:$K$81)</f>
        <v>#N/A</v>
      </c>
      <c r="N76" s="462"/>
      <c r="O76" s="462"/>
      <c r="P76" s="180"/>
      <c r="Q76" s="180"/>
      <c r="R76" s="180"/>
      <c r="S76" s="180" t="e">
        <f t="shared" si="55"/>
        <v>#N/A</v>
      </c>
      <c r="T76" s="486"/>
      <c r="U76" s="180"/>
      <c r="V76" s="180"/>
      <c r="W76" s="180"/>
      <c r="X76" s="180" t="e">
        <f t="shared" si="43"/>
        <v>#N/A</v>
      </c>
      <c r="Y76" s="486"/>
      <c r="Z76" s="180"/>
      <c r="AA76" s="180"/>
      <c r="AB76" s="180"/>
      <c r="AC76" s="180" t="e">
        <f t="shared" si="45"/>
        <v>#N/A</v>
      </c>
      <c r="AD76" s="486"/>
      <c r="AE76" s="180"/>
      <c r="AF76" s="180"/>
      <c r="AG76" s="180"/>
      <c r="AH76" s="180" t="e">
        <f t="shared" si="47"/>
        <v>#N/A</v>
      </c>
      <c r="AI76" s="486"/>
      <c r="AJ76" s="180"/>
      <c r="AK76" s="180"/>
      <c r="AL76" s="180"/>
      <c r="AM76" s="180" t="e">
        <f t="shared" si="49"/>
        <v>#N/A</v>
      </c>
      <c r="AN76" s="486"/>
      <c r="AO76" s="180"/>
      <c r="AP76" s="180"/>
      <c r="AQ76" s="180"/>
      <c r="AR76" s="180" t="e">
        <f t="shared" si="51"/>
        <v>#N/A</v>
      </c>
      <c r="AS76" s="486"/>
      <c r="AT76" s="180"/>
      <c r="AU76" s="180"/>
      <c r="AV76" s="180"/>
      <c r="AW76" s="180" t="e">
        <f t="shared" si="53"/>
        <v>#N/A</v>
      </c>
      <c r="AX76" s="486"/>
    </row>
    <row r="77" spans="2:50">
      <c r="B77" s="479"/>
      <c r="C77" s="180">
        <v>11</v>
      </c>
      <c r="D77" s="201"/>
      <c r="E77" s="166"/>
      <c r="F77" s="180"/>
      <c r="G77" s="265"/>
      <c r="H77" s="460"/>
      <c r="I77" s="180"/>
      <c r="J77" s="180"/>
      <c r="K77" s="180"/>
      <c r="L77" s="460"/>
      <c r="M77" s="272" t="e">
        <f>RANK(K77, K$67:$K$81)</f>
        <v>#N/A</v>
      </c>
      <c r="N77" s="462"/>
      <c r="O77" s="462"/>
      <c r="P77" s="180"/>
      <c r="Q77" s="180"/>
      <c r="R77" s="180"/>
      <c r="S77" s="180" t="e">
        <f t="shared" si="55"/>
        <v>#N/A</v>
      </c>
      <c r="T77" s="486"/>
      <c r="U77" s="180"/>
      <c r="V77" s="180"/>
      <c r="W77" s="180"/>
      <c r="X77" s="180" t="e">
        <f t="shared" si="43"/>
        <v>#N/A</v>
      </c>
      <c r="Y77" s="486"/>
      <c r="Z77" s="180"/>
      <c r="AA77" s="180"/>
      <c r="AB77" s="180"/>
      <c r="AC77" s="180" t="e">
        <f t="shared" si="45"/>
        <v>#N/A</v>
      </c>
      <c r="AD77" s="486"/>
      <c r="AE77" s="180"/>
      <c r="AF77" s="180"/>
      <c r="AG77" s="180"/>
      <c r="AH77" s="180" t="e">
        <f t="shared" si="47"/>
        <v>#N/A</v>
      </c>
      <c r="AI77" s="486"/>
      <c r="AJ77" s="180"/>
      <c r="AK77" s="180"/>
      <c r="AL77" s="180"/>
      <c r="AM77" s="180" t="e">
        <f t="shared" si="49"/>
        <v>#N/A</v>
      </c>
      <c r="AN77" s="486"/>
      <c r="AO77" s="180"/>
      <c r="AP77" s="180"/>
      <c r="AQ77" s="180"/>
      <c r="AR77" s="180" t="e">
        <f t="shared" si="51"/>
        <v>#N/A</v>
      </c>
      <c r="AS77" s="486"/>
      <c r="AT77" s="180"/>
      <c r="AU77" s="180"/>
      <c r="AV77" s="180"/>
      <c r="AW77" s="180" t="e">
        <f t="shared" si="53"/>
        <v>#N/A</v>
      </c>
      <c r="AX77" s="486"/>
    </row>
    <row r="78" spans="2:50">
      <c r="B78" s="479"/>
      <c r="C78" s="180">
        <v>12</v>
      </c>
      <c r="D78" s="201"/>
      <c r="E78" s="166"/>
      <c r="F78" s="180"/>
      <c r="G78" s="265"/>
      <c r="H78" s="460"/>
      <c r="I78" s="180"/>
      <c r="J78" s="180"/>
      <c r="K78" s="180"/>
      <c r="L78" s="460"/>
      <c r="M78" s="272" t="e">
        <f>RANK(K78, K$67:$K$81)</f>
        <v>#N/A</v>
      </c>
      <c r="N78" s="462"/>
      <c r="O78" s="462"/>
      <c r="P78" s="180"/>
      <c r="Q78" s="180"/>
      <c r="R78" s="180"/>
      <c r="S78" s="180" t="e">
        <f t="shared" si="55"/>
        <v>#N/A</v>
      </c>
      <c r="T78" s="486"/>
      <c r="U78" s="180"/>
      <c r="V78" s="180"/>
      <c r="W78" s="180"/>
      <c r="X78" s="180" t="e">
        <f t="shared" si="43"/>
        <v>#N/A</v>
      </c>
      <c r="Y78" s="486"/>
      <c r="Z78" s="180"/>
      <c r="AA78" s="180"/>
      <c r="AB78" s="180"/>
      <c r="AC78" s="180" t="e">
        <f t="shared" si="45"/>
        <v>#N/A</v>
      </c>
      <c r="AD78" s="486"/>
      <c r="AE78" s="180"/>
      <c r="AF78" s="180"/>
      <c r="AG78" s="180"/>
      <c r="AH78" s="180" t="e">
        <f t="shared" si="47"/>
        <v>#N/A</v>
      </c>
      <c r="AI78" s="486"/>
      <c r="AJ78" s="180"/>
      <c r="AK78" s="180"/>
      <c r="AL78" s="180"/>
      <c r="AM78" s="180" t="e">
        <f t="shared" si="49"/>
        <v>#N/A</v>
      </c>
      <c r="AN78" s="486"/>
      <c r="AO78" s="180"/>
      <c r="AP78" s="180"/>
      <c r="AQ78" s="180"/>
      <c r="AR78" s="180" t="e">
        <f t="shared" si="51"/>
        <v>#N/A</v>
      </c>
      <c r="AS78" s="486"/>
      <c r="AT78" s="180"/>
      <c r="AU78" s="180"/>
      <c r="AV78" s="180"/>
      <c r="AW78" s="180" t="e">
        <f t="shared" si="53"/>
        <v>#N/A</v>
      </c>
      <c r="AX78" s="486"/>
    </row>
    <row r="79" spans="2:50">
      <c r="B79" s="479"/>
      <c r="C79" s="180">
        <v>13</v>
      </c>
      <c r="D79" s="201"/>
      <c r="E79" s="166"/>
      <c r="F79" s="180"/>
      <c r="G79" s="265"/>
      <c r="H79" s="460"/>
      <c r="I79" s="180"/>
      <c r="J79" s="180"/>
      <c r="K79" s="180"/>
      <c r="L79" s="460"/>
      <c r="M79" s="272" t="e">
        <f>RANK(K79, K$67:$K$81)</f>
        <v>#N/A</v>
      </c>
      <c r="N79" s="462"/>
      <c r="O79" s="462"/>
      <c r="P79" s="180"/>
      <c r="Q79" s="180"/>
      <c r="R79" s="180"/>
      <c r="S79" s="180" t="e">
        <f t="shared" si="55"/>
        <v>#N/A</v>
      </c>
      <c r="T79" s="486"/>
      <c r="U79" s="180"/>
      <c r="V79" s="180"/>
      <c r="W79" s="180"/>
      <c r="X79" s="180" t="e">
        <f t="shared" si="43"/>
        <v>#N/A</v>
      </c>
      <c r="Y79" s="486"/>
      <c r="Z79" s="180"/>
      <c r="AA79" s="180"/>
      <c r="AB79" s="180"/>
      <c r="AC79" s="180" t="e">
        <f t="shared" si="45"/>
        <v>#N/A</v>
      </c>
      <c r="AD79" s="486"/>
      <c r="AE79" s="180"/>
      <c r="AF79" s="180"/>
      <c r="AG79" s="180"/>
      <c r="AH79" s="180" t="e">
        <f t="shared" si="47"/>
        <v>#N/A</v>
      </c>
      <c r="AI79" s="486"/>
      <c r="AJ79" s="180"/>
      <c r="AK79" s="180"/>
      <c r="AL79" s="180"/>
      <c r="AM79" s="180" t="e">
        <f t="shared" si="49"/>
        <v>#N/A</v>
      </c>
      <c r="AN79" s="486"/>
      <c r="AO79" s="180"/>
      <c r="AP79" s="180"/>
      <c r="AQ79" s="180"/>
      <c r="AR79" s="180" t="e">
        <f t="shared" si="51"/>
        <v>#N/A</v>
      </c>
      <c r="AS79" s="486"/>
      <c r="AT79" s="180"/>
      <c r="AU79" s="180"/>
      <c r="AV79" s="180"/>
      <c r="AW79" s="180" t="e">
        <f t="shared" si="53"/>
        <v>#N/A</v>
      </c>
      <c r="AX79" s="486"/>
    </row>
    <row r="80" spans="2:50">
      <c r="B80" s="479"/>
      <c r="C80" s="180">
        <v>14</v>
      </c>
      <c r="D80" s="201"/>
      <c r="E80" s="166"/>
      <c r="F80" s="180"/>
      <c r="G80" s="265"/>
      <c r="H80" s="460"/>
      <c r="I80" s="180"/>
      <c r="J80" s="180"/>
      <c r="K80" s="180"/>
      <c r="L80" s="460"/>
      <c r="M80" s="272" t="e">
        <f>RANK(K80, K$67:$K$81)</f>
        <v>#N/A</v>
      </c>
      <c r="N80" s="462"/>
      <c r="O80" s="462"/>
      <c r="P80" s="180"/>
      <c r="Q80" s="180"/>
      <c r="R80" s="180"/>
      <c r="S80" s="180" t="e">
        <f t="shared" si="55"/>
        <v>#N/A</v>
      </c>
      <c r="T80" s="486"/>
      <c r="U80" s="180"/>
      <c r="V80" s="180"/>
      <c r="W80" s="180"/>
      <c r="X80" s="180" t="e">
        <f t="shared" si="43"/>
        <v>#N/A</v>
      </c>
      <c r="Y80" s="486"/>
      <c r="Z80" s="180"/>
      <c r="AA80" s="180"/>
      <c r="AB80" s="180"/>
      <c r="AC80" s="180" t="e">
        <f t="shared" si="45"/>
        <v>#N/A</v>
      </c>
      <c r="AD80" s="486"/>
      <c r="AE80" s="180"/>
      <c r="AF80" s="180"/>
      <c r="AG80" s="180"/>
      <c r="AH80" s="180" t="e">
        <f t="shared" si="47"/>
        <v>#N/A</v>
      </c>
      <c r="AI80" s="486"/>
      <c r="AJ80" s="180"/>
      <c r="AK80" s="180"/>
      <c r="AL80" s="180"/>
      <c r="AM80" s="180" t="e">
        <f t="shared" si="49"/>
        <v>#N/A</v>
      </c>
      <c r="AN80" s="486"/>
      <c r="AO80" s="180"/>
      <c r="AP80" s="180"/>
      <c r="AQ80" s="180"/>
      <c r="AR80" s="180" t="e">
        <f t="shared" si="51"/>
        <v>#N/A</v>
      </c>
      <c r="AS80" s="486"/>
      <c r="AT80" s="180"/>
      <c r="AU80" s="180"/>
      <c r="AV80" s="180"/>
      <c r="AW80" s="180" t="e">
        <f t="shared" si="53"/>
        <v>#N/A</v>
      </c>
      <c r="AX80" s="486"/>
    </row>
    <row r="81" spans="2:50">
      <c r="B81" s="479"/>
      <c r="C81" s="180">
        <v>15</v>
      </c>
      <c r="D81" s="201"/>
      <c r="E81" s="166"/>
      <c r="F81" s="180"/>
      <c r="G81" s="265"/>
      <c r="H81" s="461"/>
      <c r="I81" s="180"/>
      <c r="J81" s="180"/>
      <c r="K81" s="180"/>
      <c r="L81" s="461"/>
      <c r="M81" s="272" t="e">
        <f>RANK(K81, K$67:$K$81)</f>
        <v>#N/A</v>
      </c>
      <c r="N81" s="462"/>
      <c r="O81" s="462"/>
      <c r="P81" s="180"/>
      <c r="Q81" s="180"/>
      <c r="R81" s="180"/>
      <c r="S81" s="180" t="e">
        <f t="shared" si="55"/>
        <v>#N/A</v>
      </c>
      <c r="T81" s="486"/>
      <c r="U81" s="180"/>
      <c r="V81" s="180"/>
      <c r="W81" s="180"/>
      <c r="X81" s="180" t="e">
        <f t="shared" si="43"/>
        <v>#N/A</v>
      </c>
      <c r="Y81" s="486"/>
      <c r="Z81" s="180"/>
      <c r="AA81" s="180"/>
      <c r="AB81" s="180"/>
      <c r="AC81" s="180" t="e">
        <f t="shared" si="45"/>
        <v>#N/A</v>
      </c>
      <c r="AD81" s="486"/>
      <c r="AE81" s="180"/>
      <c r="AF81" s="180"/>
      <c r="AG81" s="180"/>
      <c r="AH81" s="180" t="e">
        <f t="shared" si="47"/>
        <v>#N/A</v>
      </c>
      <c r="AI81" s="486"/>
      <c r="AJ81" s="180"/>
      <c r="AK81" s="180"/>
      <c r="AL81" s="180"/>
      <c r="AM81" s="180" t="e">
        <f t="shared" si="49"/>
        <v>#N/A</v>
      </c>
      <c r="AN81" s="486"/>
      <c r="AO81" s="180"/>
      <c r="AP81" s="180"/>
      <c r="AQ81" s="180"/>
      <c r="AR81" s="180" t="e">
        <f t="shared" si="51"/>
        <v>#N/A</v>
      </c>
      <c r="AS81" s="486"/>
      <c r="AT81" s="180"/>
      <c r="AU81" s="180"/>
      <c r="AV81" s="180"/>
      <c r="AW81" s="180" t="e">
        <f t="shared" si="53"/>
        <v>#N/A</v>
      </c>
      <c r="AX81" s="486"/>
    </row>
    <row r="82" spans="2:50" ht="15.75">
      <c r="B82" s="480" t="s">
        <v>721</v>
      </c>
      <c r="C82" s="481"/>
      <c r="D82" s="481"/>
      <c r="E82" s="481"/>
      <c r="F82" s="481"/>
      <c r="G82" s="481"/>
      <c r="H82" s="481"/>
      <c r="I82" s="184"/>
      <c r="J82" s="184"/>
      <c r="K82" s="184"/>
      <c r="L82" s="184"/>
      <c r="M82" s="183"/>
      <c r="N82" s="469" t="s">
        <v>722</v>
      </c>
      <c r="O82" s="469" t="s">
        <v>723</v>
      </c>
      <c r="P82" s="478">
        <f>P62+7</f>
        <v>46077</v>
      </c>
      <c r="Q82" s="479"/>
      <c r="R82" s="479"/>
      <c r="S82" s="479"/>
      <c r="T82" s="479"/>
      <c r="U82" s="475">
        <f>P82+1</f>
        <v>46078</v>
      </c>
      <c r="V82" s="476"/>
      <c r="W82" s="476"/>
      <c r="X82" s="476"/>
      <c r="Y82" s="477"/>
      <c r="Z82" s="475">
        <f>U82+1</f>
        <v>46079</v>
      </c>
      <c r="AA82" s="476"/>
      <c r="AB82" s="476"/>
      <c r="AC82" s="476"/>
      <c r="AD82" s="477"/>
      <c r="AE82" s="475">
        <f>Z82+1</f>
        <v>46080</v>
      </c>
      <c r="AF82" s="476"/>
      <c r="AG82" s="476"/>
      <c r="AH82" s="476"/>
      <c r="AI82" s="477"/>
      <c r="AJ82" s="475">
        <f>AE82+1</f>
        <v>46081</v>
      </c>
      <c r="AK82" s="476"/>
      <c r="AL82" s="476"/>
      <c r="AM82" s="476"/>
      <c r="AN82" s="477"/>
      <c r="AO82" s="475">
        <f>AJ82+1</f>
        <v>46082</v>
      </c>
      <c r="AP82" s="476"/>
      <c r="AQ82" s="476"/>
      <c r="AR82" s="476"/>
      <c r="AS82" s="477"/>
      <c r="AT82" s="475">
        <f>AO82+1</f>
        <v>46083</v>
      </c>
      <c r="AU82" s="476"/>
      <c r="AV82" s="476"/>
      <c r="AW82" s="476"/>
      <c r="AX82" s="477"/>
    </row>
    <row r="83" spans="2:50" ht="15.75">
      <c r="B83" s="482"/>
      <c r="C83" s="482"/>
      <c r="D83" s="482"/>
      <c r="E83" s="482"/>
      <c r="F83" s="482"/>
      <c r="G83" s="482"/>
      <c r="H83" s="482"/>
      <c r="I83" s="182"/>
      <c r="J83" s="182"/>
      <c r="K83" s="182"/>
      <c r="L83" s="182"/>
      <c r="M83" s="179"/>
      <c r="N83" s="471"/>
      <c r="O83" s="471"/>
      <c r="P83" s="478" t="s">
        <v>724</v>
      </c>
      <c r="Q83" s="479"/>
      <c r="R83" s="479"/>
      <c r="S83" s="479"/>
      <c r="T83" s="479"/>
      <c r="U83" s="478" t="s">
        <v>725</v>
      </c>
      <c r="V83" s="479"/>
      <c r="W83" s="479"/>
      <c r="X83" s="479"/>
      <c r="Y83" s="479"/>
      <c r="Z83" s="478" t="s">
        <v>726</v>
      </c>
      <c r="AA83" s="479"/>
      <c r="AB83" s="479"/>
      <c r="AC83" s="479"/>
      <c r="AD83" s="479"/>
      <c r="AE83" s="478" t="s">
        <v>727</v>
      </c>
      <c r="AF83" s="479"/>
      <c r="AG83" s="479"/>
      <c r="AH83" s="479"/>
      <c r="AI83" s="479"/>
      <c r="AJ83" s="478" t="s">
        <v>728</v>
      </c>
      <c r="AK83" s="479"/>
      <c r="AL83" s="479"/>
      <c r="AM83" s="479"/>
      <c r="AN83" s="479"/>
      <c r="AO83" s="478" t="s">
        <v>729</v>
      </c>
      <c r="AP83" s="479"/>
      <c r="AQ83" s="479"/>
      <c r="AR83" s="479"/>
      <c r="AS83" s="479"/>
      <c r="AT83" s="478" t="s">
        <v>730</v>
      </c>
      <c r="AU83" s="479"/>
      <c r="AV83" s="479"/>
      <c r="AW83" s="479"/>
      <c r="AX83" s="479"/>
    </row>
    <row r="84" spans="2:50">
      <c r="B84" s="462" t="s">
        <v>731</v>
      </c>
      <c r="C84" s="462" t="s">
        <v>732</v>
      </c>
      <c r="D84" s="462"/>
      <c r="E84" s="462" t="s">
        <v>733</v>
      </c>
      <c r="F84" s="462"/>
      <c r="G84" s="462"/>
      <c r="H84" s="463" t="s">
        <v>734</v>
      </c>
      <c r="I84" s="462" t="s">
        <v>735</v>
      </c>
      <c r="J84" s="462"/>
      <c r="K84" s="462"/>
      <c r="L84" s="463" t="s">
        <v>734</v>
      </c>
      <c r="M84" s="469" t="s">
        <v>736</v>
      </c>
      <c r="N84" s="462"/>
      <c r="O84" s="462" t="s">
        <v>737</v>
      </c>
      <c r="P84" s="466" t="s">
        <v>738</v>
      </c>
      <c r="Q84" s="467"/>
      <c r="R84" s="467"/>
      <c r="S84" s="468"/>
      <c r="T84" s="462" t="s">
        <v>734</v>
      </c>
      <c r="U84" s="466" t="s">
        <v>738</v>
      </c>
      <c r="V84" s="467"/>
      <c r="W84" s="467"/>
      <c r="X84" s="468"/>
      <c r="Y84" s="462" t="s">
        <v>734</v>
      </c>
      <c r="Z84" s="466" t="s">
        <v>738</v>
      </c>
      <c r="AA84" s="467"/>
      <c r="AB84" s="467"/>
      <c r="AC84" s="468"/>
      <c r="AD84" s="462" t="s">
        <v>734</v>
      </c>
      <c r="AE84" s="466" t="s">
        <v>738</v>
      </c>
      <c r="AF84" s="467"/>
      <c r="AG84" s="467"/>
      <c r="AH84" s="468"/>
      <c r="AI84" s="462" t="s">
        <v>734</v>
      </c>
      <c r="AJ84" s="466" t="s">
        <v>738</v>
      </c>
      <c r="AK84" s="467"/>
      <c r="AL84" s="467"/>
      <c r="AM84" s="468"/>
      <c r="AN84" s="462" t="s">
        <v>734</v>
      </c>
      <c r="AO84" s="466" t="s">
        <v>738</v>
      </c>
      <c r="AP84" s="467"/>
      <c r="AQ84" s="467"/>
      <c r="AR84" s="468"/>
      <c r="AS84" s="462" t="s">
        <v>734</v>
      </c>
      <c r="AT84" s="466" t="s">
        <v>738</v>
      </c>
      <c r="AU84" s="467"/>
      <c r="AV84" s="467"/>
      <c r="AW84" s="468"/>
      <c r="AX84" s="462" t="s">
        <v>734</v>
      </c>
    </row>
    <row r="85" spans="2:50">
      <c r="B85" s="462"/>
      <c r="C85" s="462"/>
      <c r="D85" s="462"/>
      <c r="E85" s="462" t="s">
        <v>739</v>
      </c>
      <c r="F85" s="462"/>
      <c r="G85" s="462"/>
      <c r="H85" s="464"/>
      <c r="I85" s="462" t="s">
        <v>739</v>
      </c>
      <c r="J85" s="462"/>
      <c r="K85" s="462"/>
      <c r="L85" s="464"/>
      <c r="M85" s="470"/>
      <c r="N85" s="462"/>
      <c r="O85" s="462"/>
      <c r="P85" s="466" t="s">
        <v>740</v>
      </c>
      <c r="Q85" s="467"/>
      <c r="R85" s="467"/>
      <c r="S85" s="468"/>
      <c r="T85" s="462"/>
      <c r="U85" s="466" t="s">
        <v>740</v>
      </c>
      <c r="V85" s="467"/>
      <c r="W85" s="467"/>
      <c r="X85" s="468"/>
      <c r="Y85" s="462"/>
      <c r="Z85" s="466" t="s">
        <v>740</v>
      </c>
      <c r="AA85" s="467"/>
      <c r="AB85" s="467"/>
      <c r="AC85" s="468"/>
      <c r="AD85" s="462"/>
      <c r="AE85" s="466" t="s">
        <v>740</v>
      </c>
      <c r="AF85" s="467"/>
      <c r="AG85" s="467"/>
      <c r="AH85" s="468"/>
      <c r="AI85" s="462"/>
      <c r="AJ85" s="466" t="s">
        <v>740</v>
      </c>
      <c r="AK85" s="467"/>
      <c r="AL85" s="467"/>
      <c r="AM85" s="468"/>
      <c r="AN85" s="462"/>
      <c r="AO85" s="466" t="s">
        <v>740</v>
      </c>
      <c r="AP85" s="467"/>
      <c r="AQ85" s="467"/>
      <c r="AR85" s="468"/>
      <c r="AS85" s="462"/>
      <c r="AT85" s="466" t="s">
        <v>740</v>
      </c>
      <c r="AU85" s="467"/>
      <c r="AV85" s="467"/>
      <c r="AW85" s="468"/>
      <c r="AX85" s="462"/>
    </row>
    <row r="86" spans="2:50">
      <c r="B86" s="462"/>
      <c r="C86" s="462"/>
      <c r="D86" s="462"/>
      <c r="E86" s="264" t="s">
        <v>741</v>
      </c>
      <c r="F86" s="264" t="s">
        <v>742</v>
      </c>
      <c r="G86" s="264" t="s">
        <v>743</v>
      </c>
      <c r="H86" s="465"/>
      <c r="I86" s="264" t="s">
        <v>741</v>
      </c>
      <c r="J86" s="264" t="s">
        <v>742</v>
      </c>
      <c r="K86" s="264" t="s">
        <v>743</v>
      </c>
      <c r="L86" s="465"/>
      <c r="M86" s="471"/>
      <c r="N86" s="462"/>
      <c r="O86" s="462"/>
      <c r="P86" s="264" t="s">
        <v>741</v>
      </c>
      <c r="Q86" s="264" t="s">
        <v>742</v>
      </c>
      <c r="R86" s="264" t="s">
        <v>743</v>
      </c>
      <c r="S86" s="264" t="s">
        <v>736</v>
      </c>
      <c r="T86" s="462"/>
      <c r="U86" s="264" t="s">
        <v>741</v>
      </c>
      <c r="V86" s="264" t="s">
        <v>742</v>
      </c>
      <c r="W86" s="264" t="s">
        <v>743</v>
      </c>
      <c r="X86" s="264" t="s">
        <v>736</v>
      </c>
      <c r="Y86" s="462"/>
      <c r="Z86" s="264" t="s">
        <v>741</v>
      </c>
      <c r="AA86" s="264" t="s">
        <v>742</v>
      </c>
      <c r="AB86" s="264" t="s">
        <v>743</v>
      </c>
      <c r="AC86" s="264" t="s">
        <v>736</v>
      </c>
      <c r="AD86" s="462"/>
      <c r="AE86" s="264" t="s">
        <v>741</v>
      </c>
      <c r="AF86" s="264" t="s">
        <v>742</v>
      </c>
      <c r="AG86" s="264" t="s">
        <v>743</v>
      </c>
      <c r="AH86" s="264" t="s">
        <v>736</v>
      </c>
      <c r="AI86" s="462"/>
      <c r="AJ86" s="264" t="s">
        <v>741</v>
      </c>
      <c r="AK86" s="264" t="s">
        <v>742</v>
      </c>
      <c r="AL86" s="264" t="s">
        <v>743</v>
      </c>
      <c r="AM86" s="264" t="s">
        <v>736</v>
      </c>
      <c r="AN86" s="462"/>
      <c r="AO86" s="264" t="s">
        <v>741</v>
      </c>
      <c r="AP86" s="264" t="s">
        <v>742</v>
      </c>
      <c r="AQ86" s="264" t="s">
        <v>743</v>
      </c>
      <c r="AR86" s="264" t="s">
        <v>736</v>
      </c>
      <c r="AS86" s="462"/>
      <c r="AT86" s="264" t="s">
        <v>741</v>
      </c>
      <c r="AU86" s="264" t="s">
        <v>742</v>
      </c>
      <c r="AV86" s="264" t="s">
        <v>743</v>
      </c>
      <c r="AW86" s="264" t="s">
        <v>736</v>
      </c>
      <c r="AX86" s="462"/>
    </row>
    <row r="87" spans="2:50">
      <c r="B87" s="462" t="s">
        <v>752</v>
      </c>
      <c r="C87" s="180">
        <v>1</v>
      </c>
      <c r="D87" s="201" t="s">
        <v>669</v>
      </c>
      <c r="E87" s="166">
        <v>13</v>
      </c>
      <c r="F87" s="180">
        <v>1500</v>
      </c>
      <c r="G87" s="265">
        <v>115.38461538461539</v>
      </c>
      <c r="H87" s="459">
        <f>AVERAGE(G87:G101)</f>
        <v>107.69230769230769</v>
      </c>
      <c r="I87" s="166">
        <f t="shared" ref="I87:K88" si="56">AVERAGE(P87,U87,Z87,AE87,AJ87,AO87,AT87)</f>
        <v>12.2</v>
      </c>
      <c r="J87" s="166">
        <f t="shared" si="56"/>
        <v>1397.600000000001</v>
      </c>
      <c r="K87" s="265">
        <f t="shared" si="56"/>
        <v>114.76666666666677</v>
      </c>
      <c r="L87" s="459">
        <f>IFERROR(AVERAGE(K87:K101),"-")</f>
        <v>131.86341588966593</v>
      </c>
      <c r="M87" s="272">
        <f>RANK(K87, K$87:$K$101)</f>
        <v>2</v>
      </c>
      <c r="N87" s="462"/>
      <c r="O87" s="462"/>
      <c r="P87" s="166">
        <v>12</v>
      </c>
      <c r="Q87" s="166">
        <v>1406.9999999999995</v>
      </c>
      <c r="R87" s="265">
        <v>117.24999999999996</v>
      </c>
      <c r="S87" s="180">
        <f>RANK(R87, R$87:R$101)</f>
        <v>2</v>
      </c>
      <c r="T87" s="486">
        <f>AVERAGE(R87:R101)</f>
        <v>121.59375000000007</v>
      </c>
      <c r="U87" s="166">
        <v>13</v>
      </c>
      <c r="V87" s="166">
        <v>1326.0000000000048</v>
      </c>
      <c r="W87" s="265">
        <v>102.00000000000037</v>
      </c>
      <c r="X87" s="180">
        <v>1</v>
      </c>
      <c r="Y87" s="486">
        <f t="shared" ref="Y87" si="57">AVERAGE(W87:W101)</f>
        <v>129.15000000000015</v>
      </c>
      <c r="Z87" s="324">
        <v>12</v>
      </c>
      <c r="AA87" s="166">
        <v>1389.000000000005</v>
      </c>
      <c r="AB87" s="265">
        <v>115.75000000000041</v>
      </c>
      <c r="AC87" s="180">
        <f t="shared" ref="AC87:AC101" si="58">RANK(AB87, AB$87:AB$101)</f>
        <v>2</v>
      </c>
      <c r="AD87" s="486">
        <f t="shared" ref="AD87" si="59">AVERAGE(AB87:AB101)</f>
        <v>143.43055555555571</v>
      </c>
      <c r="AE87" s="324">
        <v>12</v>
      </c>
      <c r="AF87" s="166">
        <v>1359.9999999999975</v>
      </c>
      <c r="AG87" s="265">
        <v>113.33333333333313</v>
      </c>
      <c r="AH87" s="180">
        <f t="shared" ref="AH87:AH101" si="60">RANK(AG87, AG$87:AG$101)</f>
        <v>2</v>
      </c>
      <c r="AI87" s="486">
        <f t="shared" ref="AI87" si="61">AVERAGE(AG87:AG101)</f>
        <v>140.9696969696968</v>
      </c>
      <c r="AJ87" s="324">
        <v>12</v>
      </c>
      <c r="AK87" s="166">
        <v>1505.9999999999995</v>
      </c>
      <c r="AL87" s="265">
        <v>125.49999999999996</v>
      </c>
      <c r="AM87" s="180">
        <f t="shared" ref="AM87:AM101" si="62">RANK(AL87, AL$87:AL$101)</f>
        <v>1</v>
      </c>
      <c r="AN87" s="486">
        <f t="shared" ref="AN87" si="63">AVERAGE(AL87:AL101)</f>
        <v>124.17307692307696</v>
      </c>
      <c r="AO87" s="324"/>
      <c r="AP87" s="166"/>
      <c r="AQ87" s="265"/>
      <c r="AR87" s="180" t="e">
        <f t="shared" ref="AR87:AR101" si="64">RANK(AQ87, AQ$87:AQ$101)</f>
        <v>#N/A</v>
      </c>
      <c r="AS87" s="486" t="e">
        <f t="shared" ref="AS87" si="65">AVERAGE(AQ87:AQ101)</f>
        <v>#DIV/0!</v>
      </c>
      <c r="AT87" s="324"/>
      <c r="AU87" s="166"/>
      <c r="AV87" s="265"/>
      <c r="AW87" s="180" t="e">
        <f t="shared" ref="AW87:AW101" si="66">RANK(AV87, AV$87:AV$101)</f>
        <v>#N/A</v>
      </c>
      <c r="AX87" s="486" t="e">
        <f t="shared" ref="AX87" si="67">AVERAGE(AV87:AV101)</f>
        <v>#DIV/0!</v>
      </c>
    </row>
    <row r="88" spans="2:50">
      <c r="B88" s="479"/>
      <c r="C88" s="180">
        <v>2</v>
      </c>
      <c r="D88" s="201" t="s">
        <v>693</v>
      </c>
      <c r="E88" s="166">
        <v>15</v>
      </c>
      <c r="F88" s="180">
        <v>1500</v>
      </c>
      <c r="G88" s="265">
        <v>100</v>
      </c>
      <c r="H88" s="460"/>
      <c r="I88" s="166">
        <f t="shared" si="56"/>
        <v>10.4</v>
      </c>
      <c r="J88" s="166">
        <f t="shared" si="56"/>
        <v>1521.1716783216784</v>
      </c>
      <c r="K88" s="265">
        <f t="shared" si="56"/>
        <v>148.96016511266512</v>
      </c>
      <c r="L88" s="460"/>
      <c r="M88" s="272">
        <f>RANK(K88, K$87:$K$101)</f>
        <v>1</v>
      </c>
      <c r="N88" s="462"/>
      <c r="O88" s="462"/>
      <c r="P88" s="180">
        <v>12</v>
      </c>
      <c r="Q88" s="166">
        <v>1511.2500000000023</v>
      </c>
      <c r="R88" s="265">
        <v>125.93750000000018</v>
      </c>
      <c r="S88" s="180">
        <f t="shared" ref="S88:S101" si="68">RANK(R88, R$87:R$101)</f>
        <v>1</v>
      </c>
      <c r="T88" s="486"/>
      <c r="U88" s="180">
        <v>10</v>
      </c>
      <c r="V88" s="166">
        <v>1562.9999999999991</v>
      </c>
      <c r="W88" s="265">
        <v>156.2999999999999</v>
      </c>
      <c r="X88" s="180">
        <v>2</v>
      </c>
      <c r="Y88" s="486"/>
      <c r="Z88" s="324">
        <v>9</v>
      </c>
      <c r="AA88" s="166">
        <v>1539.9999999999993</v>
      </c>
      <c r="AB88" s="265">
        <v>171.11111111111103</v>
      </c>
      <c r="AC88" s="180">
        <f t="shared" si="58"/>
        <v>1</v>
      </c>
      <c r="AD88" s="486"/>
      <c r="AE88" s="324">
        <v>9</v>
      </c>
      <c r="AF88" s="166">
        <v>1517.4545454545444</v>
      </c>
      <c r="AG88" s="265">
        <v>168.60606060606048</v>
      </c>
      <c r="AH88" s="180">
        <f t="shared" si="60"/>
        <v>1</v>
      </c>
      <c r="AI88" s="486"/>
      <c r="AJ88" s="324">
        <v>12</v>
      </c>
      <c r="AK88" s="166">
        <v>1474.1538461538478</v>
      </c>
      <c r="AL88" s="265">
        <v>122.84615384615398</v>
      </c>
      <c r="AM88" s="180">
        <f t="shared" si="62"/>
        <v>2</v>
      </c>
      <c r="AN88" s="486"/>
      <c r="AO88" s="324"/>
      <c r="AP88" s="166"/>
      <c r="AQ88" s="265"/>
      <c r="AR88" s="180" t="e">
        <f t="shared" si="64"/>
        <v>#N/A</v>
      </c>
      <c r="AS88" s="486"/>
      <c r="AT88" s="324"/>
      <c r="AU88" s="166"/>
      <c r="AV88" s="265"/>
      <c r="AW88" s="180" t="e">
        <f t="shared" si="66"/>
        <v>#N/A</v>
      </c>
      <c r="AX88" s="486"/>
    </row>
    <row r="89" spans="2:50">
      <c r="B89" s="479"/>
      <c r="C89" s="180">
        <v>3</v>
      </c>
      <c r="D89" s="201"/>
      <c r="E89" s="166"/>
      <c r="F89" s="180"/>
      <c r="G89" s="265"/>
      <c r="H89" s="460"/>
      <c r="I89" s="166"/>
      <c r="J89" s="166"/>
      <c r="K89" s="265"/>
      <c r="L89" s="460"/>
      <c r="M89" s="272" t="e">
        <f>RANK(K89, K$87:$K$101)</f>
        <v>#N/A</v>
      </c>
      <c r="N89" s="462"/>
      <c r="O89" s="462"/>
      <c r="P89" s="180"/>
      <c r="Q89" s="166"/>
      <c r="R89" s="265"/>
      <c r="S89" s="180" t="e">
        <f t="shared" si="68"/>
        <v>#N/A</v>
      </c>
      <c r="T89" s="486"/>
      <c r="U89" s="180"/>
      <c r="V89" s="166"/>
      <c r="W89" s="265"/>
      <c r="X89" s="180" t="e">
        <f t="shared" ref="X89:X101" si="69">RANK(W89, W$87:W$101)</f>
        <v>#N/A</v>
      </c>
      <c r="Y89" s="486"/>
      <c r="Z89" s="180"/>
      <c r="AA89" s="180"/>
      <c r="AB89" s="180"/>
      <c r="AC89" s="180" t="e">
        <f t="shared" si="58"/>
        <v>#N/A</v>
      </c>
      <c r="AD89" s="486"/>
      <c r="AE89" s="180"/>
      <c r="AF89" s="180"/>
      <c r="AG89" s="180"/>
      <c r="AH89" s="180" t="e">
        <f t="shared" si="60"/>
        <v>#N/A</v>
      </c>
      <c r="AI89" s="486"/>
      <c r="AJ89" s="180"/>
      <c r="AK89" s="180"/>
      <c r="AL89" s="180"/>
      <c r="AM89" s="180" t="e">
        <f t="shared" si="62"/>
        <v>#N/A</v>
      </c>
      <c r="AN89" s="486"/>
      <c r="AO89" s="180"/>
      <c r="AP89" s="180"/>
      <c r="AQ89" s="180"/>
      <c r="AR89" s="180" t="e">
        <f t="shared" si="64"/>
        <v>#N/A</v>
      </c>
      <c r="AS89" s="486"/>
      <c r="AT89" s="180"/>
      <c r="AU89" s="180"/>
      <c r="AV89" s="180"/>
      <c r="AW89" s="180" t="e">
        <f t="shared" si="66"/>
        <v>#N/A</v>
      </c>
      <c r="AX89" s="486"/>
    </row>
    <row r="90" spans="2:50">
      <c r="B90" s="479"/>
      <c r="C90" s="180">
        <v>4</v>
      </c>
      <c r="D90" s="201"/>
      <c r="E90" s="166"/>
      <c r="F90" s="180"/>
      <c r="G90" s="265"/>
      <c r="H90" s="460"/>
      <c r="I90" s="166"/>
      <c r="J90" s="166"/>
      <c r="K90" s="265"/>
      <c r="L90" s="460"/>
      <c r="M90" s="272" t="e">
        <f>RANK(K90, K$87:$K$101)</f>
        <v>#N/A</v>
      </c>
      <c r="N90" s="462"/>
      <c r="O90" s="462"/>
      <c r="P90" s="180"/>
      <c r="Q90" s="180"/>
      <c r="R90" s="180"/>
      <c r="S90" s="180" t="e">
        <f t="shared" si="68"/>
        <v>#N/A</v>
      </c>
      <c r="T90" s="486"/>
      <c r="U90" s="180"/>
      <c r="V90" s="180"/>
      <c r="W90" s="180"/>
      <c r="X90" s="180" t="e">
        <f t="shared" si="69"/>
        <v>#N/A</v>
      </c>
      <c r="Y90" s="486"/>
      <c r="Z90" s="180"/>
      <c r="AA90" s="180"/>
      <c r="AB90" s="180"/>
      <c r="AC90" s="180" t="e">
        <f t="shared" si="58"/>
        <v>#N/A</v>
      </c>
      <c r="AD90" s="486"/>
      <c r="AE90" s="180"/>
      <c r="AF90" s="180"/>
      <c r="AG90" s="180"/>
      <c r="AH90" s="180" t="e">
        <f t="shared" si="60"/>
        <v>#N/A</v>
      </c>
      <c r="AI90" s="486"/>
      <c r="AJ90" s="180"/>
      <c r="AK90" s="180"/>
      <c r="AL90" s="180"/>
      <c r="AM90" s="180" t="e">
        <f t="shared" si="62"/>
        <v>#N/A</v>
      </c>
      <c r="AN90" s="486"/>
      <c r="AO90" s="180"/>
      <c r="AP90" s="180"/>
      <c r="AQ90" s="180"/>
      <c r="AR90" s="180" t="e">
        <f t="shared" si="64"/>
        <v>#N/A</v>
      </c>
      <c r="AS90" s="486"/>
      <c r="AT90" s="180"/>
      <c r="AU90" s="180"/>
      <c r="AV90" s="180"/>
      <c r="AW90" s="180" t="e">
        <f t="shared" si="66"/>
        <v>#N/A</v>
      </c>
      <c r="AX90" s="486"/>
    </row>
    <row r="91" spans="2:50">
      <c r="B91" s="479"/>
      <c r="C91" s="180">
        <v>5</v>
      </c>
      <c r="D91" s="201"/>
      <c r="E91" s="166"/>
      <c r="F91" s="180"/>
      <c r="G91" s="265"/>
      <c r="H91" s="460"/>
      <c r="I91" s="166"/>
      <c r="J91" s="166"/>
      <c r="K91" s="265"/>
      <c r="L91" s="460"/>
      <c r="M91" s="272" t="e">
        <f>RANK(K91, K$87:$K$101)</f>
        <v>#N/A</v>
      </c>
      <c r="N91" s="462"/>
      <c r="O91" s="462"/>
      <c r="P91" s="180"/>
      <c r="Q91" s="180"/>
      <c r="R91" s="180"/>
      <c r="S91" s="180" t="e">
        <f t="shared" si="68"/>
        <v>#N/A</v>
      </c>
      <c r="T91" s="486"/>
      <c r="U91" s="180"/>
      <c r="V91" s="180"/>
      <c r="W91" s="180"/>
      <c r="X91" s="180" t="e">
        <f t="shared" si="69"/>
        <v>#N/A</v>
      </c>
      <c r="Y91" s="486"/>
      <c r="Z91" s="180"/>
      <c r="AA91" s="180"/>
      <c r="AB91" s="180"/>
      <c r="AC91" s="180" t="e">
        <f t="shared" si="58"/>
        <v>#N/A</v>
      </c>
      <c r="AD91" s="486"/>
      <c r="AE91" s="180"/>
      <c r="AF91" s="180"/>
      <c r="AG91" s="180"/>
      <c r="AH91" s="180" t="e">
        <f t="shared" si="60"/>
        <v>#N/A</v>
      </c>
      <c r="AI91" s="486"/>
      <c r="AJ91" s="180"/>
      <c r="AK91" s="180"/>
      <c r="AL91" s="180"/>
      <c r="AM91" s="180" t="e">
        <f t="shared" si="62"/>
        <v>#N/A</v>
      </c>
      <c r="AN91" s="486"/>
      <c r="AO91" s="180"/>
      <c r="AP91" s="180"/>
      <c r="AQ91" s="180"/>
      <c r="AR91" s="180" t="e">
        <f t="shared" si="64"/>
        <v>#N/A</v>
      </c>
      <c r="AS91" s="486"/>
      <c r="AT91" s="180"/>
      <c r="AU91" s="180"/>
      <c r="AV91" s="180"/>
      <c r="AW91" s="180" t="e">
        <f t="shared" si="66"/>
        <v>#N/A</v>
      </c>
      <c r="AX91" s="486"/>
    </row>
    <row r="92" spans="2:50">
      <c r="B92" s="479"/>
      <c r="C92" s="180">
        <v>6</v>
      </c>
      <c r="D92" s="201"/>
      <c r="E92" s="166"/>
      <c r="F92" s="180"/>
      <c r="G92" s="265"/>
      <c r="H92" s="460"/>
      <c r="I92" s="166"/>
      <c r="J92" s="166"/>
      <c r="K92" s="265"/>
      <c r="L92" s="460"/>
      <c r="M92" s="272" t="e">
        <f>RANK(K92, K$87:$K$101)</f>
        <v>#N/A</v>
      </c>
      <c r="N92" s="462"/>
      <c r="O92" s="462"/>
      <c r="P92" s="180"/>
      <c r="Q92" s="180"/>
      <c r="R92" s="180"/>
      <c r="S92" s="180" t="e">
        <f t="shared" si="68"/>
        <v>#N/A</v>
      </c>
      <c r="T92" s="486"/>
      <c r="U92" s="180"/>
      <c r="V92" s="180"/>
      <c r="W92" s="180"/>
      <c r="X92" s="180" t="e">
        <f t="shared" si="69"/>
        <v>#N/A</v>
      </c>
      <c r="Y92" s="486"/>
      <c r="Z92" s="180"/>
      <c r="AA92" s="180"/>
      <c r="AB92" s="180"/>
      <c r="AC92" s="180" t="e">
        <f t="shared" si="58"/>
        <v>#N/A</v>
      </c>
      <c r="AD92" s="486"/>
      <c r="AE92" s="180"/>
      <c r="AF92" s="180"/>
      <c r="AG92" s="180"/>
      <c r="AH92" s="180" t="e">
        <f t="shared" si="60"/>
        <v>#N/A</v>
      </c>
      <c r="AI92" s="486"/>
      <c r="AJ92" s="180"/>
      <c r="AK92" s="180"/>
      <c r="AL92" s="180"/>
      <c r="AM92" s="180" t="e">
        <f t="shared" si="62"/>
        <v>#N/A</v>
      </c>
      <c r="AN92" s="486"/>
      <c r="AO92" s="180"/>
      <c r="AP92" s="180"/>
      <c r="AQ92" s="180"/>
      <c r="AR92" s="180" t="e">
        <f t="shared" si="64"/>
        <v>#N/A</v>
      </c>
      <c r="AS92" s="486"/>
      <c r="AT92" s="180"/>
      <c r="AU92" s="180"/>
      <c r="AV92" s="180"/>
      <c r="AW92" s="180" t="e">
        <f t="shared" si="66"/>
        <v>#N/A</v>
      </c>
      <c r="AX92" s="486"/>
    </row>
    <row r="93" spans="2:50">
      <c r="B93" s="479"/>
      <c r="C93" s="180">
        <v>7</v>
      </c>
      <c r="D93" s="201"/>
      <c r="E93" s="166"/>
      <c r="F93" s="180"/>
      <c r="G93" s="265"/>
      <c r="H93" s="460"/>
      <c r="I93" s="166"/>
      <c r="J93" s="166"/>
      <c r="K93" s="265"/>
      <c r="L93" s="460"/>
      <c r="M93" s="272" t="e">
        <f>RANK(K93, K$87:$K$101)</f>
        <v>#N/A</v>
      </c>
      <c r="N93" s="462"/>
      <c r="O93" s="462"/>
      <c r="P93" s="180"/>
      <c r="Q93" s="180"/>
      <c r="R93" s="180"/>
      <c r="S93" s="180" t="e">
        <f t="shared" si="68"/>
        <v>#N/A</v>
      </c>
      <c r="T93" s="486"/>
      <c r="U93" s="180"/>
      <c r="V93" s="180"/>
      <c r="W93" s="180"/>
      <c r="X93" s="180" t="e">
        <f t="shared" si="69"/>
        <v>#N/A</v>
      </c>
      <c r="Y93" s="486"/>
      <c r="Z93" s="180"/>
      <c r="AA93" s="180"/>
      <c r="AB93" s="180"/>
      <c r="AC93" s="180" t="e">
        <f t="shared" si="58"/>
        <v>#N/A</v>
      </c>
      <c r="AD93" s="486"/>
      <c r="AE93" s="180"/>
      <c r="AF93" s="180"/>
      <c r="AG93" s="180"/>
      <c r="AH93" s="180" t="e">
        <f t="shared" si="60"/>
        <v>#N/A</v>
      </c>
      <c r="AI93" s="486"/>
      <c r="AJ93" s="180"/>
      <c r="AK93" s="180"/>
      <c r="AL93" s="180"/>
      <c r="AM93" s="180" t="e">
        <f t="shared" si="62"/>
        <v>#N/A</v>
      </c>
      <c r="AN93" s="486"/>
      <c r="AO93" s="180"/>
      <c r="AP93" s="180"/>
      <c r="AQ93" s="180"/>
      <c r="AR93" s="180" t="e">
        <f t="shared" si="64"/>
        <v>#N/A</v>
      </c>
      <c r="AS93" s="486"/>
      <c r="AT93" s="180"/>
      <c r="AU93" s="180"/>
      <c r="AV93" s="180"/>
      <c r="AW93" s="180" t="e">
        <f t="shared" si="66"/>
        <v>#N/A</v>
      </c>
      <c r="AX93" s="486"/>
    </row>
    <row r="94" spans="2:50">
      <c r="B94" s="479"/>
      <c r="C94" s="180">
        <v>8</v>
      </c>
      <c r="D94" s="201"/>
      <c r="E94" s="166"/>
      <c r="F94" s="180"/>
      <c r="G94" s="265"/>
      <c r="H94" s="460"/>
      <c r="I94" s="166"/>
      <c r="J94" s="166"/>
      <c r="K94" s="265"/>
      <c r="L94" s="460"/>
      <c r="M94" s="272" t="e">
        <f>RANK(K94, K$87:$K$101)</f>
        <v>#N/A</v>
      </c>
      <c r="N94" s="462"/>
      <c r="O94" s="462"/>
      <c r="P94" s="180"/>
      <c r="Q94" s="180"/>
      <c r="R94" s="180"/>
      <c r="S94" s="180" t="e">
        <f t="shared" si="68"/>
        <v>#N/A</v>
      </c>
      <c r="T94" s="486"/>
      <c r="U94" s="180"/>
      <c r="V94" s="180"/>
      <c r="W94" s="180"/>
      <c r="X94" s="180" t="e">
        <f t="shared" si="69"/>
        <v>#N/A</v>
      </c>
      <c r="Y94" s="486"/>
      <c r="Z94" s="180"/>
      <c r="AA94" s="180"/>
      <c r="AB94" s="180"/>
      <c r="AC94" s="180" t="e">
        <f t="shared" si="58"/>
        <v>#N/A</v>
      </c>
      <c r="AD94" s="486"/>
      <c r="AE94" s="180"/>
      <c r="AF94" s="180"/>
      <c r="AG94" s="180"/>
      <c r="AH94" s="180" t="e">
        <f t="shared" si="60"/>
        <v>#N/A</v>
      </c>
      <c r="AI94" s="486"/>
      <c r="AJ94" s="180"/>
      <c r="AK94" s="180"/>
      <c r="AL94" s="180"/>
      <c r="AM94" s="180" t="e">
        <f t="shared" si="62"/>
        <v>#N/A</v>
      </c>
      <c r="AN94" s="486"/>
      <c r="AO94" s="180"/>
      <c r="AP94" s="180"/>
      <c r="AQ94" s="180"/>
      <c r="AR94" s="180" t="e">
        <f t="shared" si="64"/>
        <v>#N/A</v>
      </c>
      <c r="AS94" s="486"/>
      <c r="AT94" s="180"/>
      <c r="AU94" s="180"/>
      <c r="AV94" s="180"/>
      <c r="AW94" s="180" t="e">
        <f t="shared" si="66"/>
        <v>#N/A</v>
      </c>
      <c r="AX94" s="486"/>
    </row>
    <row r="95" spans="2:50">
      <c r="B95" s="479"/>
      <c r="C95" s="180">
        <v>9</v>
      </c>
      <c r="D95" s="201"/>
      <c r="E95" s="166"/>
      <c r="F95" s="180"/>
      <c r="G95" s="265"/>
      <c r="H95" s="460"/>
      <c r="I95" s="166"/>
      <c r="J95" s="166"/>
      <c r="K95" s="265"/>
      <c r="L95" s="460"/>
      <c r="M95" s="272" t="e">
        <f>RANK(K95, K$87:$K$101)</f>
        <v>#N/A</v>
      </c>
      <c r="N95" s="462"/>
      <c r="O95" s="462"/>
      <c r="P95" s="180"/>
      <c r="Q95" s="180"/>
      <c r="R95" s="180"/>
      <c r="S95" s="180" t="e">
        <f t="shared" si="68"/>
        <v>#N/A</v>
      </c>
      <c r="T95" s="486"/>
      <c r="U95" s="180"/>
      <c r="V95" s="180"/>
      <c r="W95" s="180"/>
      <c r="X95" s="180" t="e">
        <f t="shared" si="69"/>
        <v>#N/A</v>
      </c>
      <c r="Y95" s="486"/>
      <c r="Z95" s="180"/>
      <c r="AA95" s="180"/>
      <c r="AB95" s="180"/>
      <c r="AC95" s="180" t="e">
        <f t="shared" si="58"/>
        <v>#N/A</v>
      </c>
      <c r="AD95" s="486"/>
      <c r="AE95" s="180"/>
      <c r="AF95" s="180"/>
      <c r="AG95" s="180"/>
      <c r="AH95" s="180" t="e">
        <f t="shared" si="60"/>
        <v>#N/A</v>
      </c>
      <c r="AI95" s="486"/>
      <c r="AJ95" s="180"/>
      <c r="AK95" s="180"/>
      <c r="AL95" s="180"/>
      <c r="AM95" s="180" t="e">
        <f t="shared" si="62"/>
        <v>#N/A</v>
      </c>
      <c r="AN95" s="486"/>
      <c r="AO95" s="180"/>
      <c r="AP95" s="180"/>
      <c r="AQ95" s="180"/>
      <c r="AR95" s="180" t="e">
        <f t="shared" si="64"/>
        <v>#N/A</v>
      </c>
      <c r="AS95" s="486"/>
      <c r="AT95" s="180"/>
      <c r="AU95" s="180"/>
      <c r="AV95" s="180"/>
      <c r="AW95" s="180" t="e">
        <f t="shared" si="66"/>
        <v>#N/A</v>
      </c>
      <c r="AX95" s="486"/>
    </row>
    <row r="96" spans="2:50">
      <c r="B96" s="479"/>
      <c r="C96" s="180">
        <v>10</v>
      </c>
      <c r="D96" s="201"/>
      <c r="E96" s="166"/>
      <c r="F96" s="180"/>
      <c r="G96" s="265"/>
      <c r="H96" s="460"/>
      <c r="I96" s="166"/>
      <c r="J96" s="166"/>
      <c r="K96" s="265"/>
      <c r="L96" s="460"/>
      <c r="M96" s="272" t="e">
        <f>RANK(K96, K$87:$K$101)</f>
        <v>#N/A</v>
      </c>
      <c r="N96" s="462"/>
      <c r="O96" s="462"/>
      <c r="P96" s="180"/>
      <c r="Q96" s="180"/>
      <c r="R96" s="180"/>
      <c r="S96" s="180" t="e">
        <f t="shared" si="68"/>
        <v>#N/A</v>
      </c>
      <c r="T96" s="486"/>
      <c r="U96" s="180"/>
      <c r="V96" s="180"/>
      <c r="W96" s="180"/>
      <c r="X96" s="180" t="e">
        <f t="shared" si="69"/>
        <v>#N/A</v>
      </c>
      <c r="Y96" s="486"/>
      <c r="Z96" s="180"/>
      <c r="AA96" s="180"/>
      <c r="AB96" s="180"/>
      <c r="AC96" s="180" t="e">
        <f t="shared" si="58"/>
        <v>#N/A</v>
      </c>
      <c r="AD96" s="486"/>
      <c r="AE96" s="180"/>
      <c r="AF96" s="180"/>
      <c r="AG96" s="180"/>
      <c r="AH96" s="180" t="e">
        <f t="shared" si="60"/>
        <v>#N/A</v>
      </c>
      <c r="AI96" s="486"/>
      <c r="AJ96" s="180"/>
      <c r="AK96" s="180"/>
      <c r="AL96" s="180"/>
      <c r="AM96" s="180" t="e">
        <f t="shared" si="62"/>
        <v>#N/A</v>
      </c>
      <c r="AN96" s="486"/>
      <c r="AO96" s="180"/>
      <c r="AP96" s="180"/>
      <c r="AQ96" s="180"/>
      <c r="AR96" s="180" t="e">
        <f t="shared" si="64"/>
        <v>#N/A</v>
      </c>
      <c r="AS96" s="486"/>
      <c r="AT96" s="180"/>
      <c r="AU96" s="180"/>
      <c r="AV96" s="180"/>
      <c r="AW96" s="180" t="e">
        <f t="shared" si="66"/>
        <v>#N/A</v>
      </c>
      <c r="AX96" s="486"/>
    </row>
    <row r="97" spans="2:50">
      <c r="B97" s="479"/>
      <c r="C97" s="180">
        <v>11</v>
      </c>
      <c r="D97" s="201"/>
      <c r="E97" s="166"/>
      <c r="F97" s="180"/>
      <c r="G97" s="265"/>
      <c r="H97" s="460"/>
      <c r="I97" s="180"/>
      <c r="J97" s="180"/>
      <c r="K97" s="180"/>
      <c r="L97" s="460"/>
      <c r="M97" s="272" t="e">
        <f>RANK(K97, K$87:$K$101)</f>
        <v>#N/A</v>
      </c>
      <c r="N97" s="462"/>
      <c r="O97" s="462"/>
      <c r="P97" s="180"/>
      <c r="Q97" s="180"/>
      <c r="R97" s="180"/>
      <c r="S97" s="180" t="e">
        <f t="shared" si="68"/>
        <v>#N/A</v>
      </c>
      <c r="T97" s="486"/>
      <c r="U97" s="180"/>
      <c r="V97" s="180"/>
      <c r="W97" s="180"/>
      <c r="X97" s="180" t="e">
        <f t="shared" si="69"/>
        <v>#N/A</v>
      </c>
      <c r="Y97" s="486"/>
      <c r="Z97" s="180"/>
      <c r="AA97" s="180"/>
      <c r="AB97" s="180"/>
      <c r="AC97" s="180" t="e">
        <f t="shared" si="58"/>
        <v>#N/A</v>
      </c>
      <c r="AD97" s="486"/>
      <c r="AE97" s="180"/>
      <c r="AF97" s="180"/>
      <c r="AG97" s="180"/>
      <c r="AH97" s="180" t="e">
        <f t="shared" si="60"/>
        <v>#N/A</v>
      </c>
      <c r="AI97" s="486"/>
      <c r="AJ97" s="180"/>
      <c r="AK97" s="180"/>
      <c r="AL97" s="180"/>
      <c r="AM97" s="180" t="e">
        <f t="shared" si="62"/>
        <v>#N/A</v>
      </c>
      <c r="AN97" s="486"/>
      <c r="AO97" s="180"/>
      <c r="AP97" s="180"/>
      <c r="AQ97" s="180"/>
      <c r="AR97" s="180" t="e">
        <f t="shared" si="64"/>
        <v>#N/A</v>
      </c>
      <c r="AS97" s="486"/>
      <c r="AT97" s="180"/>
      <c r="AU97" s="180"/>
      <c r="AV97" s="180"/>
      <c r="AW97" s="180" t="e">
        <f t="shared" si="66"/>
        <v>#N/A</v>
      </c>
      <c r="AX97" s="486"/>
    </row>
    <row r="98" spans="2:50">
      <c r="B98" s="479"/>
      <c r="C98" s="180">
        <v>12</v>
      </c>
      <c r="D98" s="201"/>
      <c r="E98" s="166"/>
      <c r="F98" s="180"/>
      <c r="G98" s="265"/>
      <c r="H98" s="460"/>
      <c r="I98" s="180"/>
      <c r="J98" s="180"/>
      <c r="K98" s="180"/>
      <c r="L98" s="460"/>
      <c r="M98" s="272" t="e">
        <f>RANK(K98, K$87:$K$101)</f>
        <v>#N/A</v>
      </c>
      <c r="N98" s="462"/>
      <c r="O98" s="462"/>
      <c r="P98" s="180"/>
      <c r="Q98" s="180"/>
      <c r="R98" s="180"/>
      <c r="S98" s="180" t="e">
        <f t="shared" si="68"/>
        <v>#N/A</v>
      </c>
      <c r="T98" s="486"/>
      <c r="U98" s="180"/>
      <c r="V98" s="180"/>
      <c r="W98" s="180"/>
      <c r="X98" s="180" t="e">
        <f t="shared" si="69"/>
        <v>#N/A</v>
      </c>
      <c r="Y98" s="486"/>
      <c r="Z98" s="180"/>
      <c r="AA98" s="180"/>
      <c r="AB98" s="180"/>
      <c r="AC98" s="180" t="e">
        <f t="shared" si="58"/>
        <v>#N/A</v>
      </c>
      <c r="AD98" s="486"/>
      <c r="AE98" s="180"/>
      <c r="AF98" s="180"/>
      <c r="AG98" s="180"/>
      <c r="AH98" s="180" t="e">
        <f t="shared" si="60"/>
        <v>#N/A</v>
      </c>
      <c r="AI98" s="486"/>
      <c r="AJ98" s="180"/>
      <c r="AK98" s="180"/>
      <c r="AL98" s="180"/>
      <c r="AM98" s="180" t="e">
        <f t="shared" si="62"/>
        <v>#N/A</v>
      </c>
      <c r="AN98" s="486"/>
      <c r="AO98" s="180"/>
      <c r="AP98" s="180"/>
      <c r="AQ98" s="180"/>
      <c r="AR98" s="180" t="e">
        <f t="shared" si="64"/>
        <v>#N/A</v>
      </c>
      <c r="AS98" s="486"/>
      <c r="AT98" s="180"/>
      <c r="AU98" s="180"/>
      <c r="AV98" s="180"/>
      <c r="AW98" s="180" t="e">
        <f t="shared" si="66"/>
        <v>#N/A</v>
      </c>
      <c r="AX98" s="486"/>
    </row>
    <row r="99" spans="2:50">
      <c r="B99" s="479"/>
      <c r="C99" s="180">
        <v>13</v>
      </c>
      <c r="D99" s="201"/>
      <c r="E99" s="166"/>
      <c r="F99" s="180"/>
      <c r="G99" s="265"/>
      <c r="H99" s="460"/>
      <c r="I99" s="180"/>
      <c r="J99" s="180"/>
      <c r="K99" s="180"/>
      <c r="L99" s="460"/>
      <c r="M99" s="272" t="e">
        <f>RANK(K99, K$87:$K$101)</f>
        <v>#N/A</v>
      </c>
      <c r="N99" s="462"/>
      <c r="O99" s="462"/>
      <c r="P99" s="180"/>
      <c r="Q99" s="180"/>
      <c r="R99" s="180"/>
      <c r="S99" s="180" t="e">
        <f t="shared" si="68"/>
        <v>#N/A</v>
      </c>
      <c r="T99" s="486"/>
      <c r="U99" s="180"/>
      <c r="V99" s="180"/>
      <c r="W99" s="180"/>
      <c r="X99" s="180" t="e">
        <f t="shared" si="69"/>
        <v>#N/A</v>
      </c>
      <c r="Y99" s="486"/>
      <c r="Z99" s="180"/>
      <c r="AA99" s="180"/>
      <c r="AB99" s="180"/>
      <c r="AC99" s="180" t="e">
        <f t="shared" si="58"/>
        <v>#N/A</v>
      </c>
      <c r="AD99" s="486"/>
      <c r="AE99" s="180"/>
      <c r="AF99" s="180"/>
      <c r="AG99" s="180"/>
      <c r="AH99" s="180" t="e">
        <f t="shared" si="60"/>
        <v>#N/A</v>
      </c>
      <c r="AI99" s="486"/>
      <c r="AJ99" s="180"/>
      <c r="AK99" s="180"/>
      <c r="AL99" s="180"/>
      <c r="AM99" s="180" t="e">
        <f t="shared" si="62"/>
        <v>#N/A</v>
      </c>
      <c r="AN99" s="486"/>
      <c r="AO99" s="180"/>
      <c r="AP99" s="180"/>
      <c r="AQ99" s="180"/>
      <c r="AR99" s="180" t="e">
        <f t="shared" si="64"/>
        <v>#N/A</v>
      </c>
      <c r="AS99" s="486"/>
      <c r="AT99" s="180"/>
      <c r="AU99" s="180"/>
      <c r="AV99" s="180"/>
      <c r="AW99" s="180" t="e">
        <f t="shared" si="66"/>
        <v>#N/A</v>
      </c>
      <c r="AX99" s="486"/>
    </row>
    <row r="100" spans="2:50">
      <c r="B100" s="479"/>
      <c r="C100" s="180">
        <v>14</v>
      </c>
      <c r="D100" s="201"/>
      <c r="E100" s="166"/>
      <c r="F100" s="180"/>
      <c r="G100" s="265"/>
      <c r="H100" s="460"/>
      <c r="I100" s="180"/>
      <c r="J100" s="180"/>
      <c r="K100" s="180"/>
      <c r="L100" s="460"/>
      <c r="M100" s="272" t="e">
        <f>RANK(K100, K$87:$K$101)</f>
        <v>#N/A</v>
      </c>
      <c r="N100" s="462"/>
      <c r="O100" s="462"/>
      <c r="P100" s="180"/>
      <c r="Q100" s="180"/>
      <c r="R100" s="180"/>
      <c r="S100" s="180" t="e">
        <f t="shared" si="68"/>
        <v>#N/A</v>
      </c>
      <c r="T100" s="486"/>
      <c r="U100" s="180"/>
      <c r="V100" s="180"/>
      <c r="W100" s="180"/>
      <c r="X100" s="180" t="e">
        <f t="shared" si="69"/>
        <v>#N/A</v>
      </c>
      <c r="Y100" s="486"/>
      <c r="Z100" s="180"/>
      <c r="AA100" s="180"/>
      <c r="AB100" s="180"/>
      <c r="AC100" s="180" t="e">
        <f t="shared" si="58"/>
        <v>#N/A</v>
      </c>
      <c r="AD100" s="486"/>
      <c r="AE100" s="180"/>
      <c r="AF100" s="180"/>
      <c r="AG100" s="180"/>
      <c r="AH100" s="180" t="e">
        <f t="shared" si="60"/>
        <v>#N/A</v>
      </c>
      <c r="AI100" s="486"/>
      <c r="AJ100" s="180"/>
      <c r="AK100" s="180"/>
      <c r="AL100" s="180"/>
      <c r="AM100" s="180" t="e">
        <f t="shared" si="62"/>
        <v>#N/A</v>
      </c>
      <c r="AN100" s="486"/>
      <c r="AO100" s="180"/>
      <c r="AP100" s="180"/>
      <c r="AQ100" s="180"/>
      <c r="AR100" s="180" t="e">
        <f t="shared" si="64"/>
        <v>#N/A</v>
      </c>
      <c r="AS100" s="486"/>
      <c r="AT100" s="180"/>
      <c r="AU100" s="180"/>
      <c r="AV100" s="180"/>
      <c r="AW100" s="180" t="e">
        <f t="shared" si="66"/>
        <v>#N/A</v>
      </c>
      <c r="AX100" s="486"/>
    </row>
    <row r="101" spans="2:50">
      <c r="B101" s="479"/>
      <c r="C101" s="180">
        <v>15</v>
      </c>
      <c r="D101" s="201"/>
      <c r="E101" s="166"/>
      <c r="F101" s="180"/>
      <c r="G101" s="265"/>
      <c r="H101" s="461"/>
      <c r="I101" s="180"/>
      <c r="J101" s="180"/>
      <c r="K101" s="180"/>
      <c r="L101" s="461"/>
      <c r="M101" s="166" t="e">
        <f>RANK(K101, K$87:$K$101)</f>
        <v>#N/A</v>
      </c>
      <c r="N101" s="462"/>
      <c r="O101" s="462"/>
      <c r="P101" s="180"/>
      <c r="Q101" s="180"/>
      <c r="R101" s="180"/>
      <c r="S101" s="180" t="e">
        <f t="shared" si="68"/>
        <v>#N/A</v>
      </c>
      <c r="T101" s="486"/>
      <c r="U101" s="180"/>
      <c r="V101" s="180"/>
      <c r="W101" s="180"/>
      <c r="X101" s="180" t="e">
        <f t="shared" si="69"/>
        <v>#N/A</v>
      </c>
      <c r="Y101" s="486"/>
      <c r="Z101" s="180"/>
      <c r="AA101" s="180"/>
      <c r="AB101" s="180"/>
      <c r="AC101" s="180" t="e">
        <f t="shared" si="58"/>
        <v>#N/A</v>
      </c>
      <c r="AD101" s="486"/>
      <c r="AE101" s="180"/>
      <c r="AF101" s="180"/>
      <c r="AG101" s="180"/>
      <c r="AH101" s="180" t="e">
        <f t="shared" si="60"/>
        <v>#N/A</v>
      </c>
      <c r="AI101" s="486"/>
      <c r="AJ101" s="180"/>
      <c r="AK101" s="180"/>
      <c r="AL101" s="180"/>
      <c r="AM101" s="180" t="e">
        <f t="shared" si="62"/>
        <v>#N/A</v>
      </c>
      <c r="AN101" s="486"/>
      <c r="AO101" s="180"/>
      <c r="AP101" s="180"/>
      <c r="AQ101" s="180"/>
      <c r="AR101" s="180" t="e">
        <f t="shared" si="64"/>
        <v>#N/A</v>
      </c>
      <c r="AS101" s="486"/>
      <c r="AT101" s="180"/>
      <c r="AU101" s="180"/>
      <c r="AV101" s="180"/>
      <c r="AW101" s="180" t="e">
        <f t="shared" si="66"/>
        <v>#N/A</v>
      </c>
      <c r="AX101" s="486"/>
    </row>
    <row r="102" spans="2:50" ht="15.75">
      <c r="B102" s="480" t="s">
        <v>721</v>
      </c>
      <c r="C102" s="481"/>
      <c r="D102" s="481"/>
      <c r="E102" s="481"/>
      <c r="F102" s="481"/>
      <c r="G102" s="481"/>
      <c r="H102" s="481"/>
      <c r="I102" s="184"/>
      <c r="J102" s="184"/>
      <c r="K102" s="184"/>
      <c r="L102" s="184"/>
      <c r="M102" s="183"/>
      <c r="N102" s="469" t="s">
        <v>722</v>
      </c>
      <c r="O102" s="469" t="s">
        <v>723</v>
      </c>
      <c r="P102" s="478">
        <f>P82+7</f>
        <v>46084</v>
      </c>
      <c r="Q102" s="479"/>
      <c r="R102" s="479"/>
      <c r="S102" s="479"/>
      <c r="T102" s="479"/>
      <c r="U102" s="475">
        <f>P102+1</f>
        <v>46085</v>
      </c>
      <c r="V102" s="476"/>
      <c r="W102" s="476"/>
      <c r="X102" s="476"/>
      <c r="Y102" s="477"/>
      <c r="Z102" s="475">
        <f>U102+1</f>
        <v>46086</v>
      </c>
      <c r="AA102" s="476"/>
      <c r="AB102" s="476"/>
      <c r="AC102" s="476"/>
      <c r="AD102" s="477"/>
      <c r="AE102" s="475">
        <f>Z102+1</f>
        <v>46087</v>
      </c>
      <c r="AF102" s="476"/>
      <c r="AG102" s="476"/>
      <c r="AH102" s="476"/>
      <c r="AI102" s="477"/>
      <c r="AJ102" s="475">
        <f>AE102+1</f>
        <v>46088</v>
      </c>
      <c r="AK102" s="476"/>
      <c r="AL102" s="476"/>
      <c r="AM102" s="476"/>
      <c r="AN102" s="477"/>
      <c r="AO102" s="475">
        <f>AJ102+1</f>
        <v>46089</v>
      </c>
      <c r="AP102" s="476"/>
      <c r="AQ102" s="476"/>
      <c r="AR102" s="476"/>
      <c r="AS102" s="477"/>
      <c r="AT102" s="475">
        <f>AO102+1</f>
        <v>46090</v>
      </c>
      <c r="AU102" s="476"/>
      <c r="AV102" s="476"/>
      <c r="AW102" s="476"/>
      <c r="AX102" s="477"/>
    </row>
    <row r="103" spans="2:50" ht="15.75">
      <c r="B103" s="482"/>
      <c r="C103" s="482"/>
      <c r="D103" s="482"/>
      <c r="E103" s="482"/>
      <c r="F103" s="482"/>
      <c r="G103" s="482"/>
      <c r="H103" s="482"/>
      <c r="I103" s="182"/>
      <c r="J103" s="182"/>
      <c r="K103" s="182"/>
      <c r="L103" s="182"/>
      <c r="M103" s="179"/>
      <c r="N103" s="471"/>
      <c r="O103" s="471"/>
      <c r="P103" s="478" t="s">
        <v>724</v>
      </c>
      <c r="Q103" s="479"/>
      <c r="R103" s="479"/>
      <c r="S103" s="479"/>
      <c r="T103" s="479"/>
      <c r="U103" s="478" t="s">
        <v>725</v>
      </c>
      <c r="V103" s="479"/>
      <c r="W103" s="479"/>
      <c r="X103" s="479"/>
      <c r="Y103" s="479"/>
      <c r="Z103" s="478" t="s">
        <v>726</v>
      </c>
      <c r="AA103" s="479"/>
      <c r="AB103" s="479"/>
      <c r="AC103" s="479"/>
      <c r="AD103" s="479"/>
      <c r="AE103" s="478" t="s">
        <v>727</v>
      </c>
      <c r="AF103" s="479"/>
      <c r="AG103" s="479"/>
      <c r="AH103" s="479"/>
      <c r="AI103" s="479"/>
      <c r="AJ103" s="478" t="s">
        <v>728</v>
      </c>
      <c r="AK103" s="479"/>
      <c r="AL103" s="479"/>
      <c r="AM103" s="479"/>
      <c r="AN103" s="479"/>
      <c r="AO103" s="478" t="s">
        <v>729</v>
      </c>
      <c r="AP103" s="479"/>
      <c r="AQ103" s="479"/>
      <c r="AR103" s="479"/>
      <c r="AS103" s="479"/>
      <c r="AT103" s="478" t="s">
        <v>730</v>
      </c>
      <c r="AU103" s="479"/>
      <c r="AV103" s="479"/>
      <c r="AW103" s="479"/>
      <c r="AX103" s="479"/>
    </row>
    <row r="104" spans="2:50">
      <c r="B104" s="462" t="s">
        <v>731</v>
      </c>
      <c r="C104" s="462" t="s">
        <v>732</v>
      </c>
      <c r="D104" s="462"/>
      <c r="E104" s="462" t="s">
        <v>733</v>
      </c>
      <c r="F104" s="462"/>
      <c r="G104" s="462"/>
      <c r="H104" s="463" t="s">
        <v>734</v>
      </c>
      <c r="I104" s="462" t="s">
        <v>735</v>
      </c>
      <c r="J104" s="462"/>
      <c r="K104" s="462"/>
      <c r="L104" s="463" t="s">
        <v>734</v>
      </c>
      <c r="M104" s="469" t="s">
        <v>736</v>
      </c>
      <c r="N104" s="462"/>
      <c r="O104" s="462" t="s">
        <v>737</v>
      </c>
      <c r="P104" s="466" t="s">
        <v>738</v>
      </c>
      <c r="Q104" s="467"/>
      <c r="R104" s="467"/>
      <c r="S104" s="468"/>
      <c r="T104" s="462" t="s">
        <v>734</v>
      </c>
      <c r="U104" s="466" t="s">
        <v>738</v>
      </c>
      <c r="V104" s="467"/>
      <c r="W104" s="467"/>
      <c r="X104" s="468"/>
      <c r="Y104" s="462" t="s">
        <v>734</v>
      </c>
      <c r="Z104" s="466" t="s">
        <v>738</v>
      </c>
      <c r="AA104" s="467"/>
      <c r="AB104" s="467"/>
      <c r="AC104" s="468"/>
      <c r="AD104" s="462" t="s">
        <v>734</v>
      </c>
      <c r="AE104" s="466" t="s">
        <v>738</v>
      </c>
      <c r="AF104" s="467"/>
      <c r="AG104" s="467"/>
      <c r="AH104" s="468"/>
      <c r="AI104" s="462" t="s">
        <v>734</v>
      </c>
      <c r="AJ104" s="466" t="s">
        <v>738</v>
      </c>
      <c r="AK104" s="467"/>
      <c r="AL104" s="467"/>
      <c r="AM104" s="468"/>
      <c r="AN104" s="462" t="s">
        <v>734</v>
      </c>
      <c r="AO104" s="466" t="s">
        <v>738</v>
      </c>
      <c r="AP104" s="467"/>
      <c r="AQ104" s="467"/>
      <c r="AR104" s="468"/>
      <c r="AS104" s="462" t="s">
        <v>734</v>
      </c>
      <c r="AT104" s="466" t="s">
        <v>738</v>
      </c>
      <c r="AU104" s="467"/>
      <c r="AV104" s="467"/>
      <c r="AW104" s="468"/>
      <c r="AX104" s="462" t="s">
        <v>734</v>
      </c>
    </row>
    <row r="105" spans="2:50">
      <c r="B105" s="462"/>
      <c r="C105" s="462"/>
      <c r="D105" s="462"/>
      <c r="E105" s="462" t="s">
        <v>739</v>
      </c>
      <c r="F105" s="462"/>
      <c r="G105" s="462"/>
      <c r="H105" s="464"/>
      <c r="I105" s="462" t="s">
        <v>739</v>
      </c>
      <c r="J105" s="462"/>
      <c r="K105" s="462"/>
      <c r="L105" s="464"/>
      <c r="M105" s="470"/>
      <c r="N105" s="462"/>
      <c r="O105" s="462"/>
      <c r="P105" s="466" t="s">
        <v>740</v>
      </c>
      <c r="Q105" s="467"/>
      <c r="R105" s="467"/>
      <c r="S105" s="468"/>
      <c r="T105" s="462"/>
      <c r="U105" s="466" t="s">
        <v>740</v>
      </c>
      <c r="V105" s="467"/>
      <c r="W105" s="467"/>
      <c r="X105" s="468"/>
      <c r="Y105" s="462"/>
      <c r="Z105" s="466" t="s">
        <v>740</v>
      </c>
      <c r="AA105" s="467"/>
      <c r="AB105" s="467"/>
      <c r="AC105" s="468"/>
      <c r="AD105" s="462"/>
      <c r="AE105" s="466" t="s">
        <v>740</v>
      </c>
      <c r="AF105" s="467"/>
      <c r="AG105" s="467"/>
      <c r="AH105" s="468"/>
      <c r="AI105" s="462"/>
      <c r="AJ105" s="466" t="s">
        <v>740</v>
      </c>
      <c r="AK105" s="467"/>
      <c r="AL105" s="467"/>
      <c r="AM105" s="468"/>
      <c r="AN105" s="462"/>
      <c r="AO105" s="466" t="s">
        <v>740</v>
      </c>
      <c r="AP105" s="467"/>
      <c r="AQ105" s="467"/>
      <c r="AR105" s="468"/>
      <c r="AS105" s="462"/>
      <c r="AT105" s="466" t="s">
        <v>740</v>
      </c>
      <c r="AU105" s="467"/>
      <c r="AV105" s="467"/>
      <c r="AW105" s="468"/>
      <c r="AX105" s="462"/>
    </row>
    <row r="106" spans="2:50">
      <c r="B106" s="462"/>
      <c r="C106" s="462"/>
      <c r="D106" s="462"/>
      <c r="E106" s="264" t="s">
        <v>741</v>
      </c>
      <c r="F106" s="264" t="s">
        <v>742</v>
      </c>
      <c r="G106" s="264" t="s">
        <v>743</v>
      </c>
      <c r="H106" s="465"/>
      <c r="I106" s="264" t="s">
        <v>741</v>
      </c>
      <c r="J106" s="264" t="s">
        <v>742</v>
      </c>
      <c r="K106" s="264" t="s">
        <v>743</v>
      </c>
      <c r="L106" s="465"/>
      <c r="M106" s="471"/>
      <c r="N106" s="462"/>
      <c r="O106" s="462"/>
      <c r="P106" s="264" t="s">
        <v>741</v>
      </c>
      <c r="Q106" s="264" t="s">
        <v>742</v>
      </c>
      <c r="R106" s="264" t="s">
        <v>743</v>
      </c>
      <c r="S106" s="264" t="s">
        <v>736</v>
      </c>
      <c r="T106" s="462"/>
      <c r="U106" s="264" t="s">
        <v>741</v>
      </c>
      <c r="V106" s="264" t="s">
        <v>742</v>
      </c>
      <c r="W106" s="264" t="s">
        <v>743</v>
      </c>
      <c r="X106" s="264" t="s">
        <v>736</v>
      </c>
      <c r="Y106" s="462"/>
      <c r="Z106" s="264" t="s">
        <v>741</v>
      </c>
      <c r="AA106" s="264" t="s">
        <v>742</v>
      </c>
      <c r="AB106" s="264" t="s">
        <v>743</v>
      </c>
      <c r="AC106" s="264" t="s">
        <v>736</v>
      </c>
      <c r="AD106" s="462"/>
      <c r="AE106" s="264" t="s">
        <v>741</v>
      </c>
      <c r="AF106" s="264" t="s">
        <v>742</v>
      </c>
      <c r="AG106" s="264" t="s">
        <v>743</v>
      </c>
      <c r="AH106" s="264" t="s">
        <v>736</v>
      </c>
      <c r="AI106" s="462"/>
      <c r="AJ106" s="264" t="s">
        <v>741</v>
      </c>
      <c r="AK106" s="264" t="s">
        <v>742</v>
      </c>
      <c r="AL106" s="264" t="s">
        <v>743</v>
      </c>
      <c r="AM106" s="264" t="s">
        <v>736</v>
      </c>
      <c r="AN106" s="462"/>
      <c r="AO106" s="264" t="s">
        <v>741</v>
      </c>
      <c r="AP106" s="264" t="s">
        <v>742</v>
      </c>
      <c r="AQ106" s="264" t="s">
        <v>743</v>
      </c>
      <c r="AR106" s="264" t="s">
        <v>736</v>
      </c>
      <c r="AS106" s="462"/>
      <c r="AT106" s="264" t="s">
        <v>741</v>
      </c>
      <c r="AU106" s="264" t="s">
        <v>742</v>
      </c>
      <c r="AV106" s="264" t="s">
        <v>743</v>
      </c>
      <c r="AW106" s="264" t="s">
        <v>736</v>
      </c>
      <c r="AX106" s="462"/>
    </row>
    <row r="107" spans="2:50">
      <c r="B107" s="462" t="s">
        <v>752</v>
      </c>
      <c r="C107" s="180">
        <v>1</v>
      </c>
      <c r="D107" s="201"/>
      <c r="E107" s="166"/>
      <c r="F107" s="180"/>
      <c r="G107" s="265"/>
      <c r="H107" s="459" t="e">
        <f>AVERAGE(G107:G121)</f>
        <v>#DIV/0!</v>
      </c>
      <c r="I107" s="166" t="e">
        <f t="shared" ref="I107:K108" si="70">AVERAGE(P107,U107,Z107,AE107,AJ107,AO107,AT107)</f>
        <v>#DIV/0!</v>
      </c>
      <c r="J107" s="166" t="e">
        <f t="shared" si="70"/>
        <v>#DIV/0!</v>
      </c>
      <c r="K107" s="265" t="e">
        <f t="shared" si="70"/>
        <v>#DIV/0!</v>
      </c>
      <c r="L107" s="459" t="str">
        <f>IFERROR(AVERAGE(K107:K121),"-")</f>
        <v>-</v>
      </c>
      <c r="M107" s="272" t="e">
        <f>RANK(K107, K$87:$K$101)</f>
        <v>#DIV/0!</v>
      </c>
      <c r="N107" s="462"/>
      <c r="O107" s="462"/>
      <c r="P107" s="166"/>
      <c r="Q107" s="166"/>
      <c r="R107" s="265"/>
      <c r="S107" s="180" t="e">
        <f>RANK(R107, R$107:R$121)</f>
        <v>#N/A</v>
      </c>
      <c r="T107" s="486" t="e">
        <f>AVERAGE(R107:R121)</f>
        <v>#DIV/0!</v>
      </c>
      <c r="U107" s="166"/>
      <c r="V107" s="166"/>
      <c r="W107" s="265"/>
      <c r="X107" s="180" t="e">
        <f>RANK(W107, W$107:W$121)</f>
        <v>#N/A</v>
      </c>
      <c r="Y107" s="486" t="e">
        <f>AVERAGE(W107:W121)</f>
        <v>#DIV/0!</v>
      </c>
      <c r="Z107" s="166"/>
      <c r="AA107" s="166"/>
      <c r="AB107" s="265"/>
      <c r="AC107" s="180" t="e">
        <f>RANK(AB107, AB$107:AB$121)</f>
        <v>#N/A</v>
      </c>
      <c r="AD107" s="486" t="e">
        <f>AVERAGE(AB107:AB121)</f>
        <v>#DIV/0!</v>
      </c>
      <c r="AE107" s="166"/>
      <c r="AF107" s="166"/>
      <c r="AG107" s="265"/>
      <c r="AH107" s="180" t="e">
        <f>RANK(AG107, AG$107:AG$121)</f>
        <v>#N/A</v>
      </c>
      <c r="AI107" s="486" t="e">
        <f>AVERAGE(AG107:AG121)</f>
        <v>#DIV/0!</v>
      </c>
      <c r="AJ107" s="166"/>
      <c r="AK107" s="166"/>
      <c r="AL107" s="265"/>
      <c r="AM107" s="180" t="e">
        <f>RANK(AL107, AL$107:AL$121)</f>
        <v>#N/A</v>
      </c>
      <c r="AN107" s="486" t="e">
        <f>AVERAGE(AL107:AL121)</f>
        <v>#DIV/0!</v>
      </c>
      <c r="AO107" s="166"/>
      <c r="AP107" s="166"/>
      <c r="AQ107" s="265"/>
      <c r="AR107" s="180" t="e">
        <f>RANK(AQ107, AQ$107:AQ$121)</f>
        <v>#N/A</v>
      </c>
      <c r="AS107" s="486" t="e">
        <f>AVERAGE(AQ107:AQ121)</f>
        <v>#DIV/0!</v>
      </c>
      <c r="AT107" s="166"/>
      <c r="AU107" s="166"/>
      <c r="AV107" s="265"/>
      <c r="AW107" s="180" t="e">
        <f>RANK(AV107, AV$107:AV$121)</f>
        <v>#N/A</v>
      </c>
      <c r="AX107" s="486" t="e">
        <f>AVERAGE(AV107:AV121)</f>
        <v>#DIV/0!</v>
      </c>
    </row>
    <row r="108" spans="2:50">
      <c r="B108" s="479"/>
      <c r="C108" s="180">
        <v>2</v>
      </c>
      <c r="D108" s="201"/>
      <c r="E108" s="166"/>
      <c r="F108" s="180"/>
      <c r="G108" s="265"/>
      <c r="H108" s="460"/>
      <c r="I108" s="166" t="e">
        <f t="shared" si="70"/>
        <v>#DIV/0!</v>
      </c>
      <c r="J108" s="166" t="e">
        <f t="shared" si="70"/>
        <v>#DIV/0!</v>
      </c>
      <c r="K108" s="265" t="e">
        <f t="shared" si="70"/>
        <v>#DIV/0!</v>
      </c>
      <c r="L108" s="460"/>
      <c r="M108" s="272" t="e">
        <f>RANK(K108, K$87:$K$101)</f>
        <v>#DIV/0!</v>
      </c>
      <c r="N108" s="462"/>
      <c r="O108" s="462"/>
      <c r="P108" s="180"/>
      <c r="Q108" s="166"/>
      <c r="R108" s="265"/>
      <c r="S108" s="180" t="e">
        <f t="shared" ref="S108:S121" si="71">RANK(R108, R$107:R$121)</f>
        <v>#N/A</v>
      </c>
      <c r="T108" s="486"/>
      <c r="U108" s="180"/>
      <c r="V108" s="166"/>
      <c r="W108" s="265"/>
      <c r="X108" s="180" t="e">
        <f t="shared" ref="X108:X121" si="72">RANK(W108, W$107:W$121)</f>
        <v>#N/A</v>
      </c>
      <c r="Y108" s="486"/>
      <c r="Z108" s="180"/>
      <c r="AA108" s="166"/>
      <c r="AB108" s="265"/>
      <c r="AC108" s="180" t="e">
        <f t="shared" ref="AC108:AC121" si="73">RANK(AB108, AB$107:AB$121)</f>
        <v>#N/A</v>
      </c>
      <c r="AD108" s="486"/>
      <c r="AE108" s="180"/>
      <c r="AF108" s="166"/>
      <c r="AG108" s="265"/>
      <c r="AH108" s="180" t="e">
        <f t="shared" ref="AH108:AH121" si="74">RANK(AG108, AG$107:AG$121)</f>
        <v>#N/A</v>
      </c>
      <c r="AI108" s="486"/>
      <c r="AJ108" s="180"/>
      <c r="AK108" s="166"/>
      <c r="AL108" s="265"/>
      <c r="AM108" s="180" t="e">
        <f t="shared" ref="AM108:AM121" si="75">RANK(AL108, AL$107:AL$121)</f>
        <v>#N/A</v>
      </c>
      <c r="AN108" s="486"/>
      <c r="AO108" s="180"/>
      <c r="AP108" s="166"/>
      <c r="AQ108" s="265"/>
      <c r="AR108" s="180" t="e">
        <f t="shared" ref="AR108:AR121" si="76">RANK(AQ108, AQ$107:AQ$121)</f>
        <v>#N/A</v>
      </c>
      <c r="AS108" s="486"/>
      <c r="AT108" s="180"/>
      <c r="AU108" s="166"/>
      <c r="AV108" s="265"/>
      <c r="AW108" s="180" t="e">
        <f t="shared" ref="AW108:AW121" si="77">RANK(AV108, AV$107:AV$121)</f>
        <v>#N/A</v>
      </c>
      <c r="AX108" s="486"/>
    </row>
    <row r="109" spans="2:50">
      <c r="B109" s="479"/>
      <c r="C109" s="180">
        <v>3</v>
      </c>
      <c r="D109" s="201"/>
      <c r="E109" s="166"/>
      <c r="F109" s="180"/>
      <c r="G109" s="265"/>
      <c r="H109" s="460"/>
      <c r="I109" s="166"/>
      <c r="J109" s="166"/>
      <c r="K109" s="265"/>
      <c r="L109" s="460"/>
      <c r="M109" s="272" t="e">
        <f>RANK(K109, K$87:$K$101)</f>
        <v>#N/A</v>
      </c>
      <c r="N109" s="462"/>
      <c r="O109" s="462"/>
      <c r="P109" s="180"/>
      <c r="Q109" s="180"/>
      <c r="R109" s="180"/>
      <c r="S109" s="180" t="e">
        <f t="shared" si="71"/>
        <v>#N/A</v>
      </c>
      <c r="T109" s="486"/>
      <c r="U109" s="180"/>
      <c r="V109" s="180"/>
      <c r="W109" s="180"/>
      <c r="X109" s="180" t="e">
        <f t="shared" si="72"/>
        <v>#N/A</v>
      </c>
      <c r="Y109" s="486"/>
      <c r="Z109" s="180"/>
      <c r="AA109" s="180"/>
      <c r="AB109" s="180"/>
      <c r="AC109" s="180" t="e">
        <f t="shared" si="73"/>
        <v>#N/A</v>
      </c>
      <c r="AD109" s="486"/>
      <c r="AE109" s="180"/>
      <c r="AF109" s="180"/>
      <c r="AG109" s="180"/>
      <c r="AH109" s="180" t="e">
        <f t="shared" si="74"/>
        <v>#N/A</v>
      </c>
      <c r="AI109" s="486"/>
      <c r="AJ109" s="180"/>
      <c r="AK109" s="180"/>
      <c r="AL109" s="180"/>
      <c r="AM109" s="180" t="e">
        <f t="shared" si="75"/>
        <v>#N/A</v>
      </c>
      <c r="AN109" s="486"/>
      <c r="AO109" s="180"/>
      <c r="AP109" s="180"/>
      <c r="AQ109" s="180"/>
      <c r="AR109" s="180" t="e">
        <f t="shared" si="76"/>
        <v>#N/A</v>
      </c>
      <c r="AS109" s="486"/>
      <c r="AT109" s="180"/>
      <c r="AU109" s="180"/>
      <c r="AV109" s="180"/>
      <c r="AW109" s="180" t="e">
        <f t="shared" si="77"/>
        <v>#N/A</v>
      </c>
      <c r="AX109" s="486"/>
    </row>
    <row r="110" spans="2:50">
      <c r="B110" s="479"/>
      <c r="C110" s="180">
        <v>4</v>
      </c>
      <c r="D110" s="201"/>
      <c r="E110" s="166"/>
      <c r="F110" s="180"/>
      <c r="G110" s="265"/>
      <c r="H110" s="460"/>
      <c r="I110" s="166"/>
      <c r="J110" s="166"/>
      <c r="K110" s="265"/>
      <c r="L110" s="460"/>
      <c r="M110" s="272" t="e">
        <f>RANK(K110, K$87:$K$101)</f>
        <v>#N/A</v>
      </c>
      <c r="N110" s="462"/>
      <c r="O110" s="462"/>
      <c r="P110" s="180"/>
      <c r="Q110" s="180"/>
      <c r="R110" s="180"/>
      <c r="S110" s="180" t="e">
        <f t="shared" si="71"/>
        <v>#N/A</v>
      </c>
      <c r="T110" s="486"/>
      <c r="U110" s="180"/>
      <c r="V110" s="180"/>
      <c r="W110" s="180"/>
      <c r="X110" s="180" t="e">
        <f t="shared" si="72"/>
        <v>#N/A</v>
      </c>
      <c r="Y110" s="486"/>
      <c r="Z110" s="180"/>
      <c r="AA110" s="180"/>
      <c r="AB110" s="180"/>
      <c r="AC110" s="180" t="e">
        <f t="shared" si="73"/>
        <v>#N/A</v>
      </c>
      <c r="AD110" s="486"/>
      <c r="AE110" s="180"/>
      <c r="AF110" s="180"/>
      <c r="AG110" s="180"/>
      <c r="AH110" s="180" t="e">
        <f t="shared" si="74"/>
        <v>#N/A</v>
      </c>
      <c r="AI110" s="486"/>
      <c r="AJ110" s="180"/>
      <c r="AK110" s="180"/>
      <c r="AL110" s="180"/>
      <c r="AM110" s="180" t="e">
        <f t="shared" si="75"/>
        <v>#N/A</v>
      </c>
      <c r="AN110" s="486"/>
      <c r="AO110" s="180"/>
      <c r="AP110" s="180"/>
      <c r="AQ110" s="180"/>
      <c r="AR110" s="180" t="e">
        <f t="shared" si="76"/>
        <v>#N/A</v>
      </c>
      <c r="AS110" s="486"/>
      <c r="AT110" s="180"/>
      <c r="AU110" s="180"/>
      <c r="AV110" s="180"/>
      <c r="AW110" s="180" t="e">
        <f t="shared" si="77"/>
        <v>#N/A</v>
      </c>
      <c r="AX110" s="486"/>
    </row>
    <row r="111" spans="2:50">
      <c r="B111" s="479"/>
      <c r="C111" s="180">
        <v>5</v>
      </c>
      <c r="D111" s="201"/>
      <c r="E111" s="166"/>
      <c r="F111" s="180"/>
      <c r="G111" s="265"/>
      <c r="H111" s="460"/>
      <c r="I111" s="166"/>
      <c r="J111" s="166"/>
      <c r="K111" s="265"/>
      <c r="L111" s="460"/>
      <c r="M111" s="272" t="e">
        <f>RANK(K111, K$87:$K$101)</f>
        <v>#N/A</v>
      </c>
      <c r="N111" s="462"/>
      <c r="O111" s="462"/>
      <c r="P111" s="180"/>
      <c r="Q111" s="180"/>
      <c r="R111" s="180"/>
      <c r="S111" s="180" t="e">
        <f t="shared" si="71"/>
        <v>#N/A</v>
      </c>
      <c r="T111" s="486"/>
      <c r="U111" s="180"/>
      <c r="V111" s="180"/>
      <c r="W111" s="180"/>
      <c r="X111" s="180" t="e">
        <f t="shared" si="72"/>
        <v>#N/A</v>
      </c>
      <c r="Y111" s="486"/>
      <c r="Z111" s="180"/>
      <c r="AA111" s="180"/>
      <c r="AB111" s="180"/>
      <c r="AC111" s="180" t="e">
        <f t="shared" si="73"/>
        <v>#N/A</v>
      </c>
      <c r="AD111" s="486"/>
      <c r="AE111" s="180"/>
      <c r="AF111" s="180"/>
      <c r="AG111" s="180"/>
      <c r="AH111" s="180" t="e">
        <f t="shared" si="74"/>
        <v>#N/A</v>
      </c>
      <c r="AI111" s="486"/>
      <c r="AJ111" s="180"/>
      <c r="AK111" s="180"/>
      <c r="AL111" s="180"/>
      <c r="AM111" s="180" t="e">
        <f t="shared" si="75"/>
        <v>#N/A</v>
      </c>
      <c r="AN111" s="486"/>
      <c r="AO111" s="180"/>
      <c r="AP111" s="180"/>
      <c r="AQ111" s="180"/>
      <c r="AR111" s="180" t="e">
        <f t="shared" si="76"/>
        <v>#N/A</v>
      </c>
      <c r="AS111" s="486"/>
      <c r="AT111" s="180"/>
      <c r="AU111" s="180"/>
      <c r="AV111" s="180"/>
      <c r="AW111" s="180" t="e">
        <f t="shared" si="77"/>
        <v>#N/A</v>
      </c>
      <c r="AX111" s="486"/>
    </row>
    <row r="112" spans="2:50">
      <c r="B112" s="479"/>
      <c r="C112" s="180">
        <v>6</v>
      </c>
      <c r="D112" s="201"/>
      <c r="E112" s="166"/>
      <c r="F112" s="180"/>
      <c r="G112" s="265"/>
      <c r="H112" s="460"/>
      <c r="I112" s="166"/>
      <c r="J112" s="166"/>
      <c r="K112" s="265"/>
      <c r="L112" s="460"/>
      <c r="M112" s="272" t="e">
        <f>RANK(K112, K$87:$K$101)</f>
        <v>#N/A</v>
      </c>
      <c r="N112" s="462"/>
      <c r="O112" s="462"/>
      <c r="P112" s="180"/>
      <c r="Q112" s="180"/>
      <c r="R112" s="180"/>
      <c r="S112" s="180" t="e">
        <f t="shared" si="71"/>
        <v>#N/A</v>
      </c>
      <c r="T112" s="486"/>
      <c r="U112" s="180"/>
      <c r="V112" s="180"/>
      <c r="W112" s="180"/>
      <c r="X112" s="180" t="e">
        <f t="shared" si="72"/>
        <v>#N/A</v>
      </c>
      <c r="Y112" s="486"/>
      <c r="Z112" s="180"/>
      <c r="AA112" s="180"/>
      <c r="AB112" s="180"/>
      <c r="AC112" s="180" t="e">
        <f t="shared" si="73"/>
        <v>#N/A</v>
      </c>
      <c r="AD112" s="486"/>
      <c r="AE112" s="180"/>
      <c r="AF112" s="180"/>
      <c r="AG112" s="180"/>
      <c r="AH112" s="180" t="e">
        <f t="shared" si="74"/>
        <v>#N/A</v>
      </c>
      <c r="AI112" s="486"/>
      <c r="AJ112" s="180"/>
      <c r="AK112" s="180"/>
      <c r="AL112" s="180"/>
      <c r="AM112" s="180" t="e">
        <f t="shared" si="75"/>
        <v>#N/A</v>
      </c>
      <c r="AN112" s="486"/>
      <c r="AO112" s="180"/>
      <c r="AP112" s="180"/>
      <c r="AQ112" s="180"/>
      <c r="AR112" s="180" t="e">
        <f t="shared" si="76"/>
        <v>#N/A</v>
      </c>
      <c r="AS112" s="486"/>
      <c r="AT112" s="180"/>
      <c r="AU112" s="180"/>
      <c r="AV112" s="180"/>
      <c r="AW112" s="180" t="e">
        <f t="shared" si="77"/>
        <v>#N/A</v>
      </c>
      <c r="AX112" s="486"/>
    </row>
    <row r="113" spans="2:50">
      <c r="B113" s="479"/>
      <c r="C113" s="180">
        <v>7</v>
      </c>
      <c r="D113" s="201"/>
      <c r="E113" s="166"/>
      <c r="F113" s="180"/>
      <c r="G113" s="265"/>
      <c r="H113" s="460"/>
      <c r="I113" s="166"/>
      <c r="J113" s="166"/>
      <c r="K113" s="265"/>
      <c r="L113" s="460"/>
      <c r="M113" s="272" t="e">
        <f>RANK(K113, K$87:$K$101)</f>
        <v>#N/A</v>
      </c>
      <c r="N113" s="462"/>
      <c r="O113" s="462"/>
      <c r="P113" s="180"/>
      <c r="Q113" s="180"/>
      <c r="R113" s="180"/>
      <c r="S113" s="180" t="e">
        <f t="shared" si="71"/>
        <v>#N/A</v>
      </c>
      <c r="T113" s="486"/>
      <c r="U113" s="180"/>
      <c r="V113" s="180"/>
      <c r="W113" s="180"/>
      <c r="X113" s="180" t="e">
        <f t="shared" si="72"/>
        <v>#N/A</v>
      </c>
      <c r="Y113" s="486"/>
      <c r="Z113" s="180"/>
      <c r="AA113" s="180"/>
      <c r="AB113" s="180"/>
      <c r="AC113" s="180" t="e">
        <f t="shared" si="73"/>
        <v>#N/A</v>
      </c>
      <c r="AD113" s="486"/>
      <c r="AE113" s="180"/>
      <c r="AF113" s="180"/>
      <c r="AG113" s="180"/>
      <c r="AH113" s="180" t="e">
        <f t="shared" si="74"/>
        <v>#N/A</v>
      </c>
      <c r="AI113" s="486"/>
      <c r="AJ113" s="180"/>
      <c r="AK113" s="180"/>
      <c r="AL113" s="180"/>
      <c r="AM113" s="180" t="e">
        <f t="shared" si="75"/>
        <v>#N/A</v>
      </c>
      <c r="AN113" s="486"/>
      <c r="AO113" s="180"/>
      <c r="AP113" s="180"/>
      <c r="AQ113" s="180"/>
      <c r="AR113" s="180" t="e">
        <f t="shared" si="76"/>
        <v>#N/A</v>
      </c>
      <c r="AS113" s="486"/>
      <c r="AT113" s="180"/>
      <c r="AU113" s="180"/>
      <c r="AV113" s="180"/>
      <c r="AW113" s="180" t="e">
        <f t="shared" si="77"/>
        <v>#N/A</v>
      </c>
      <c r="AX113" s="486"/>
    </row>
    <row r="114" spans="2:50">
      <c r="B114" s="479"/>
      <c r="C114" s="180">
        <v>8</v>
      </c>
      <c r="D114" s="201"/>
      <c r="E114" s="166"/>
      <c r="F114" s="180"/>
      <c r="G114" s="265"/>
      <c r="H114" s="460"/>
      <c r="I114" s="166"/>
      <c r="J114" s="166"/>
      <c r="K114" s="265"/>
      <c r="L114" s="460"/>
      <c r="M114" s="272" t="e">
        <f>RANK(K114, K$87:$K$101)</f>
        <v>#N/A</v>
      </c>
      <c r="N114" s="462"/>
      <c r="O114" s="462"/>
      <c r="P114" s="180"/>
      <c r="Q114" s="180"/>
      <c r="R114" s="180"/>
      <c r="S114" s="180" t="e">
        <f t="shared" si="71"/>
        <v>#N/A</v>
      </c>
      <c r="T114" s="486"/>
      <c r="U114" s="180"/>
      <c r="V114" s="180"/>
      <c r="W114" s="180"/>
      <c r="X114" s="180" t="e">
        <f t="shared" si="72"/>
        <v>#N/A</v>
      </c>
      <c r="Y114" s="486"/>
      <c r="Z114" s="180"/>
      <c r="AA114" s="180"/>
      <c r="AB114" s="180"/>
      <c r="AC114" s="180" t="e">
        <f t="shared" si="73"/>
        <v>#N/A</v>
      </c>
      <c r="AD114" s="486"/>
      <c r="AE114" s="180"/>
      <c r="AF114" s="180"/>
      <c r="AG114" s="180"/>
      <c r="AH114" s="180" t="e">
        <f t="shared" si="74"/>
        <v>#N/A</v>
      </c>
      <c r="AI114" s="486"/>
      <c r="AJ114" s="180"/>
      <c r="AK114" s="180"/>
      <c r="AL114" s="180"/>
      <c r="AM114" s="180" t="e">
        <f t="shared" si="75"/>
        <v>#N/A</v>
      </c>
      <c r="AN114" s="486"/>
      <c r="AO114" s="180"/>
      <c r="AP114" s="180"/>
      <c r="AQ114" s="180"/>
      <c r="AR114" s="180" t="e">
        <f t="shared" si="76"/>
        <v>#N/A</v>
      </c>
      <c r="AS114" s="486"/>
      <c r="AT114" s="180"/>
      <c r="AU114" s="180"/>
      <c r="AV114" s="180"/>
      <c r="AW114" s="180" t="e">
        <f t="shared" si="77"/>
        <v>#N/A</v>
      </c>
      <c r="AX114" s="486"/>
    </row>
    <row r="115" spans="2:50">
      <c r="B115" s="479"/>
      <c r="C115" s="180">
        <v>9</v>
      </c>
      <c r="D115" s="201"/>
      <c r="E115" s="166"/>
      <c r="F115" s="180"/>
      <c r="G115" s="265"/>
      <c r="H115" s="460"/>
      <c r="I115" s="166"/>
      <c r="J115" s="166"/>
      <c r="K115" s="265"/>
      <c r="L115" s="460"/>
      <c r="M115" s="272" t="e">
        <f>RANK(K115, K$87:$K$101)</f>
        <v>#N/A</v>
      </c>
      <c r="N115" s="462"/>
      <c r="O115" s="462"/>
      <c r="P115" s="180"/>
      <c r="Q115" s="180"/>
      <c r="R115" s="180"/>
      <c r="S115" s="180" t="e">
        <f t="shared" si="71"/>
        <v>#N/A</v>
      </c>
      <c r="T115" s="486"/>
      <c r="U115" s="180"/>
      <c r="V115" s="180"/>
      <c r="W115" s="180"/>
      <c r="X115" s="180" t="e">
        <f t="shared" si="72"/>
        <v>#N/A</v>
      </c>
      <c r="Y115" s="486"/>
      <c r="Z115" s="180"/>
      <c r="AA115" s="180"/>
      <c r="AB115" s="180"/>
      <c r="AC115" s="180" t="e">
        <f t="shared" si="73"/>
        <v>#N/A</v>
      </c>
      <c r="AD115" s="486"/>
      <c r="AE115" s="180"/>
      <c r="AF115" s="180"/>
      <c r="AG115" s="180"/>
      <c r="AH115" s="180" t="e">
        <f t="shared" si="74"/>
        <v>#N/A</v>
      </c>
      <c r="AI115" s="486"/>
      <c r="AJ115" s="180"/>
      <c r="AK115" s="180"/>
      <c r="AL115" s="180"/>
      <c r="AM115" s="180" t="e">
        <f t="shared" si="75"/>
        <v>#N/A</v>
      </c>
      <c r="AN115" s="486"/>
      <c r="AO115" s="180"/>
      <c r="AP115" s="180"/>
      <c r="AQ115" s="180"/>
      <c r="AR115" s="180" t="e">
        <f t="shared" si="76"/>
        <v>#N/A</v>
      </c>
      <c r="AS115" s="486"/>
      <c r="AT115" s="180"/>
      <c r="AU115" s="180"/>
      <c r="AV115" s="180"/>
      <c r="AW115" s="180" t="e">
        <f t="shared" si="77"/>
        <v>#N/A</v>
      </c>
      <c r="AX115" s="486"/>
    </row>
    <row r="116" spans="2:50">
      <c r="B116" s="479"/>
      <c r="C116" s="180">
        <v>10</v>
      </c>
      <c r="D116" s="201"/>
      <c r="E116" s="166"/>
      <c r="F116" s="180"/>
      <c r="G116" s="265"/>
      <c r="H116" s="460"/>
      <c r="I116" s="166"/>
      <c r="J116" s="166"/>
      <c r="K116" s="265"/>
      <c r="L116" s="460"/>
      <c r="M116" s="272" t="e">
        <f>RANK(K116, K$87:$K$101)</f>
        <v>#N/A</v>
      </c>
      <c r="N116" s="462"/>
      <c r="O116" s="462"/>
      <c r="P116" s="180"/>
      <c r="Q116" s="180"/>
      <c r="R116" s="180"/>
      <c r="S116" s="180" t="e">
        <f t="shared" si="71"/>
        <v>#N/A</v>
      </c>
      <c r="T116" s="486"/>
      <c r="U116" s="180"/>
      <c r="V116" s="180"/>
      <c r="W116" s="180"/>
      <c r="X116" s="180" t="e">
        <f t="shared" si="72"/>
        <v>#N/A</v>
      </c>
      <c r="Y116" s="486"/>
      <c r="Z116" s="180"/>
      <c r="AA116" s="180"/>
      <c r="AB116" s="180"/>
      <c r="AC116" s="180" t="e">
        <f t="shared" si="73"/>
        <v>#N/A</v>
      </c>
      <c r="AD116" s="486"/>
      <c r="AE116" s="180"/>
      <c r="AF116" s="180"/>
      <c r="AG116" s="180"/>
      <c r="AH116" s="180" t="e">
        <f t="shared" si="74"/>
        <v>#N/A</v>
      </c>
      <c r="AI116" s="486"/>
      <c r="AJ116" s="180"/>
      <c r="AK116" s="180"/>
      <c r="AL116" s="180"/>
      <c r="AM116" s="180" t="e">
        <f t="shared" si="75"/>
        <v>#N/A</v>
      </c>
      <c r="AN116" s="486"/>
      <c r="AO116" s="180"/>
      <c r="AP116" s="180"/>
      <c r="AQ116" s="180"/>
      <c r="AR116" s="180" t="e">
        <f t="shared" si="76"/>
        <v>#N/A</v>
      </c>
      <c r="AS116" s="486"/>
      <c r="AT116" s="180"/>
      <c r="AU116" s="180"/>
      <c r="AV116" s="180"/>
      <c r="AW116" s="180" t="e">
        <f t="shared" si="77"/>
        <v>#N/A</v>
      </c>
      <c r="AX116" s="486"/>
    </row>
    <row r="117" spans="2:50">
      <c r="B117" s="479"/>
      <c r="C117" s="180">
        <v>11</v>
      </c>
      <c r="D117" s="201"/>
      <c r="E117" s="166"/>
      <c r="F117" s="180"/>
      <c r="G117" s="265"/>
      <c r="H117" s="460"/>
      <c r="I117" s="180"/>
      <c r="J117" s="180"/>
      <c r="K117" s="180"/>
      <c r="L117" s="460"/>
      <c r="M117" s="272" t="e">
        <f>RANK(K117, K$87:$K$101)</f>
        <v>#N/A</v>
      </c>
      <c r="N117" s="462"/>
      <c r="O117" s="462"/>
      <c r="P117" s="180"/>
      <c r="Q117" s="180"/>
      <c r="R117" s="180"/>
      <c r="S117" s="180" t="e">
        <f t="shared" si="71"/>
        <v>#N/A</v>
      </c>
      <c r="T117" s="486"/>
      <c r="U117" s="180"/>
      <c r="V117" s="180"/>
      <c r="W117" s="180"/>
      <c r="X117" s="180" t="e">
        <f t="shared" si="72"/>
        <v>#N/A</v>
      </c>
      <c r="Y117" s="486"/>
      <c r="Z117" s="180"/>
      <c r="AA117" s="180"/>
      <c r="AB117" s="180"/>
      <c r="AC117" s="180" t="e">
        <f t="shared" si="73"/>
        <v>#N/A</v>
      </c>
      <c r="AD117" s="486"/>
      <c r="AE117" s="180"/>
      <c r="AF117" s="180"/>
      <c r="AG117" s="180"/>
      <c r="AH117" s="180" t="e">
        <f t="shared" si="74"/>
        <v>#N/A</v>
      </c>
      <c r="AI117" s="486"/>
      <c r="AJ117" s="180"/>
      <c r="AK117" s="180"/>
      <c r="AL117" s="180"/>
      <c r="AM117" s="180" t="e">
        <f t="shared" si="75"/>
        <v>#N/A</v>
      </c>
      <c r="AN117" s="486"/>
      <c r="AO117" s="180"/>
      <c r="AP117" s="180"/>
      <c r="AQ117" s="180"/>
      <c r="AR117" s="180" t="e">
        <f t="shared" si="76"/>
        <v>#N/A</v>
      </c>
      <c r="AS117" s="486"/>
      <c r="AT117" s="180"/>
      <c r="AU117" s="180"/>
      <c r="AV117" s="180"/>
      <c r="AW117" s="180" t="e">
        <f t="shared" si="77"/>
        <v>#N/A</v>
      </c>
      <c r="AX117" s="486"/>
    </row>
    <row r="118" spans="2:50">
      <c r="B118" s="479"/>
      <c r="C118" s="180">
        <v>12</v>
      </c>
      <c r="D118" s="201"/>
      <c r="E118" s="166"/>
      <c r="F118" s="180"/>
      <c r="G118" s="265"/>
      <c r="H118" s="460"/>
      <c r="I118" s="180"/>
      <c r="J118" s="180"/>
      <c r="K118" s="180"/>
      <c r="L118" s="460"/>
      <c r="M118" s="272" t="e">
        <f>RANK(K118, K$87:$K$101)</f>
        <v>#N/A</v>
      </c>
      <c r="N118" s="462"/>
      <c r="O118" s="462"/>
      <c r="P118" s="180"/>
      <c r="Q118" s="180"/>
      <c r="R118" s="180"/>
      <c r="S118" s="180" t="e">
        <f t="shared" si="71"/>
        <v>#N/A</v>
      </c>
      <c r="T118" s="486"/>
      <c r="U118" s="180"/>
      <c r="V118" s="180"/>
      <c r="W118" s="180"/>
      <c r="X118" s="180" t="e">
        <f t="shared" si="72"/>
        <v>#N/A</v>
      </c>
      <c r="Y118" s="486"/>
      <c r="Z118" s="180"/>
      <c r="AA118" s="180"/>
      <c r="AB118" s="180"/>
      <c r="AC118" s="180" t="e">
        <f t="shared" si="73"/>
        <v>#N/A</v>
      </c>
      <c r="AD118" s="486"/>
      <c r="AE118" s="180"/>
      <c r="AF118" s="180"/>
      <c r="AG118" s="180"/>
      <c r="AH118" s="180" t="e">
        <f t="shared" si="74"/>
        <v>#N/A</v>
      </c>
      <c r="AI118" s="486"/>
      <c r="AJ118" s="180"/>
      <c r="AK118" s="180"/>
      <c r="AL118" s="180"/>
      <c r="AM118" s="180" t="e">
        <f t="shared" si="75"/>
        <v>#N/A</v>
      </c>
      <c r="AN118" s="486"/>
      <c r="AO118" s="180"/>
      <c r="AP118" s="180"/>
      <c r="AQ118" s="180"/>
      <c r="AR118" s="180" t="e">
        <f t="shared" si="76"/>
        <v>#N/A</v>
      </c>
      <c r="AS118" s="486"/>
      <c r="AT118" s="180"/>
      <c r="AU118" s="180"/>
      <c r="AV118" s="180"/>
      <c r="AW118" s="180" t="e">
        <f t="shared" si="77"/>
        <v>#N/A</v>
      </c>
      <c r="AX118" s="486"/>
    </row>
    <row r="119" spans="2:50">
      <c r="B119" s="479"/>
      <c r="C119" s="180">
        <v>13</v>
      </c>
      <c r="D119" s="201"/>
      <c r="E119" s="166"/>
      <c r="F119" s="180"/>
      <c r="G119" s="265"/>
      <c r="H119" s="460"/>
      <c r="I119" s="180"/>
      <c r="J119" s="180"/>
      <c r="K119" s="180"/>
      <c r="L119" s="460"/>
      <c r="M119" s="272" t="e">
        <f>RANK(K119, K$87:$K$101)</f>
        <v>#N/A</v>
      </c>
      <c r="N119" s="462"/>
      <c r="O119" s="462"/>
      <c r="P119" s="180"/>
      <c r="Q119" s="180"/>
      <c r="R119" s="180"/>
      <c r="S119" s="180" t="e">
        <f t="shared" si="71"/>
        <v>#N/A</v>
      </c>
      <c r="T119" s="486"/>
      <c r="U119" s="180"/>
      <c r="V119" s="180"/>
      <c r="W119" s="180"/>
      <c r="X119" s="180" t="e">
        <f t="shared" si="72"/>
        <v>#N/A</v>
      </c>
      <c r="Y119" s="486"/>
      <c r="Z119" s="180"/>
      <c r="AA119" s="180"/>
      <c r="AB119" s="180"/>
      <c r="AC119" s="180" t="e">
        <f t="shared" si="73"/>
        <v>#N/A</v>
      </c>
      <c r="AD119" s="486"/>
      <c r="AE119" s="180"/>
      <c r="AF119" s="180"/>
      <c r="AG119" s="180"/>
      <c r="AH119" s="180" t="e">
        <f t="shared" si="74"/>
        <v>#N/A</v>
      </c>
      <c r="AI119" s="486"/>
      <c r="AJ119" s="180"/>
      <c r="AK119" s="180"/>
      <c r="AL119" s="180"/>
      <c r="AM119" s="180" t="e">
        <f t="shared" si="75"/>
        <v>#N/A</v>
      </c>
      <c r="AN119" s="486"/>
      <c r="AO119" s="180"/>
      <c r="AP119" s="180"/>
      <c r="AQ119" s="180"/>
      <c r="AR119" s="180" t="e">
        <f t="shared" si="76"/>
        <v>#N/A</v>
      </c>
      <c r="AS119" s="486"/>
      <c r="AT119" s="180"/>
      <c r="AU119" s="180"/>
      <c r="AV119" s="180"/>
      <c r="AW119" s="180" t="e">
        <f t="shared" si="77"/>
        <v>#N/A</v>
      </c>
      <c r="AX119" s="486"/>
    </row>
    <row r="120" spans="2:50">
      <c r="B120" s="479"/>
      <c r="C120" s="180">
        <v>14</v>
      </c>
      <c r="D120" s="201"/>
      <c r="E120" s="166"/>
      <c r="F120" s="180"/>
      <c r="G120" s="265"/>
      <c r="H120" s="460"/>
      <c r="I120" s="180"/>
      <c r="J120" s="180"/>
      <c r="K120" s="180"/>
      <c r="L120" s="460"/>
      <c r="M120" s="272" t="e">
        <f>RANK(K120, K$87:$K$101)</f>
        <v>#N/A</v>
      </c>
      <c r="N120" s="462"/>
      <c r="O120" s="462"/>
      <c r="P120" s="180"/>
      <c r="Q120" s="180"/>
      <c r="R120" s="180"/>
      <c r="S120" s="180" t="e">
        <f t="shared" si="71"/>
        <v>#N/A</v>
      </c>
      <c r="T120" s="486"/>
      <c r="U120" s="180"/>
      <c r="V120" s="180"/>
      <c r="W120" s="180"/>
      <c r="X120" s="180" t="e">
        <f t="shared" si="72"/>
        <v>#N/A</v>
      </c>
      <c r="Y120" s="486"/>
      <c r="Z120" s="180"/>
      <c r="AA120" s="180"/>
      <c r="AB120" s="180"/>
      <c r="AC120" s="180" t="e">
        <f t="shared" si="73"/>
        <v>#N/A</v>
      </c>
      <c r="AD120" s="486"/>
      <c r="AE120" s="180"/>
      <c r="AF120" s="180"/>
      <c r="AG120" s="180"/>
      <c r="AH120" s="180" t="e">
        <f t="shared" si="74"/>
        <v>#N/A</v>
      </c>
      <c r="AI120" s="486"/>
      <c r="AJ120" s="180"/>
      <c r="AK120" s="180"/>
      <c r="AL120" s="180"/>
      <c r="AM120" s="180" t="e">
        <f t="shared" si="75"/>
        <v>#N/A</v>
      </c>
      <c r="AN120" s="486"/>
      <c r="AO120" s="180"/>
      <c r="AP120" s="180"/>
      <c r="AQ120" s="180"/>
      <c r="AR120" s="180" t="e">
        <f t="shared" si="76"/>
        <v>#N/A</v>
      </c>
      <c r="AS120" s="486"/>
      <c r="AT120" s="180"/>
      <c r="AU120" s="180"/>
      <c r="AV120" s="180"/>
      <c r="AW120" s="180" t="e">
        <f t="shared" si="77"/>
        <v>#N/A</v>
      </c>
      <c r="AX120" s="486"/>
    </row>
    <row r="121" spans="2:50">
      <c r="B121" s="479"/>
      <c r="C121" s="180">
        <v>15</v>
      </c>
      <c r="D121" s="201"/>
      <c r="E121" s="166"/>
      <c r="F121" s="180"/>
      <c r="G121" s="265"/>
      <c r="H121" s="461"/>
      <c r="I121" s="180"/>
      <c r="J121" s="180"/>
      <c r="K121" s="180"/>
      <c r="L121" s="461"/>
      <c r="M121" s="166" t="e">
        <f>RANK(K121, K$87:$K$101)</f>
        <v>#N/A</v>
      </c>
      <c r="N121" s="462"/>
      <c r="O121" s="462"/>
      <c r="P121" s="180"/>
      <c r="Q121" s="180"/>
      <c r="R121" s="180"/>
      <c r="S121" s="180" t="e">
        <f t="shared" si="71"/>
        <v>#N/A</v>
      </c>
      <c r="T121" s="486"/>
      <c r="U121" s="180"/>
      <c r="V121" s="180"/>
      <c r="W121" s="180"/>
      <c r="X121" s="180" t="e">
        <f t="shared" si="72"/>
        <v>#N/A</v>
      </c>
      <c r="Y121" s="486"/>
      <c r="Z121" s="180"/>
      <c r="AA121" s="180"/>
      <c r="AB121" s="180"/>
      <c r="AC121" s="180" t="e">
        <f t="shared" si="73"/>
        <v>#N/A</v>
      </c>
      <c r="AD121" s="486"/>
      <c r="AE121" s="180"/>
      <c r="AF121" s="180"/>
      <c r="AG121" s="180"/>
      <c r="AH121" s="180" t="e">
        <f t="shared" si="74"/>
        <v>#N/A</v>
      </c>
      <c r="AI121" s="486"/>
      <c r="AJ121" s="180"/>
      <c r="AK121" s="180"/>
      <c r="AL121" s="180"/>
      <c r="AM121" s="180" t="e">
        <f t="shared" si="75"/>
        <v>#N/A</v>
      </c>
      <c r="AN121" s="486"/>
      <c r="AO121" s="180"/>
      <c r="AP121" s="180"/>
      <c r="AQ121" s="180"/>
      <c r="AR121" s="180" t="e">
        <f t="shared" si="76"/>
        <v>#N/A</v>
      </c>
      <c r="AS121" s="486"/>
      <c r="AT121" s="180"/>
      <c r="AU121" s="180"/>
      <c r="AV121" s="180"/>
      <c r="AW121" s="180" t="e">
        <f t="shared" si="77"/>
        <v>#N/A</v>
      </c>
      <c r="AX121" s="486"/>
    </row>
    <row r="123" spans="2:50" ht="15.75">
      <c r="B123" s="502" t="s">
        <v>746</v>
      </c>
      <c r="C123" s="503"/>
      <c r="D123" s="503"/>
      <c r="E123" s="503"/>
      <c r="F123" s="503"/>
      <c r="G123" s="503"/>
      <c r="H123" s="503"/>
      <c r="I123" s="266"/>
      <c r="J123" s="266"/>
      <c r="K123" s="266"/>
      <c r="L123" s="266"/>
      <c r="M123" s="267"/>
    </row>
    <row r="124" spans="2:50" ht="15.75">
      <c r="B124" s="504"/>
      <c r="C124" s="504"/>
      <c r="D124" s="504"/>
      <c r="E124" s="504"/>
      <c r="F124" s="504"/>
      <c r="G124" s="504"/>
      <c r="H124" s="504"/>
      <c r="I124" s="268"/>
      <c r="J124" s="268"/>
      <c r="K124" s="268"/>
      <c r="L124" s="268"/>
      <c r="M124" s="269"/>
    </row>
    <row r="125" spans="2:50">
      <c r="B125" s="462" t="s">
        <v>731</v>
      </c>
      <c r="C125" s="462" t="s">
        <v>732</v>
      </c>
      <c r="D125" s="462"/>
      <c r="E125" s="462" t="s">
        <v>733</v>
      </c>
      <c r="F125" s="462"/>
      <c r="G125" s="462"/>
      <c r="H125" s="463" t="s">
        <v>734</v>
      </c>
      <c r="I125" s="505" t="s">
        <v>735</v>
      </c>
      <c r="J125" s="505"/>
      <c r="K125" s="505"/>
      <c r="L125" s="519" t="s">
        <v>734</v>
      </c>
      <c r="M125" s="522" t="s">
        <v>736</v>
      </c>
    </row>
    <row r="126" spans="2:50">
      <c r="B126" s="462"/>
      <c r="C126" s="462"/>
      <c r="D126" s="462"/>
      <c r="E126" s="462" t="s">
        <v>739</v>
      </c>
      <c r="F126" s="462"/>
      <c r="G126" s="462"/>
      <c r="H126" s="464"/>
      <c r="I126" s="505" t="s">
        <v>739</v>
      </c>
      <c r="J126" s="505"/>
      <c r="K126" s="505"/>
      <c r="L126" s="520"/>
      <c r="M126" s="523"/>
    </row>
    <row r="127" spans="2:50">
      <c r="B127" s="462"/>
      <c r="C127" s="462"/>
      <c r="D127" s="462"/>
      <c r="E127" s="264" t="s">
        <v>741</v>
      </c>
      <c r="F127" s="264" t="s">
        <v>742</v>
      </c>
      <c r="G127" s="264" t="s">
        <v>743</v>
      </c>
      <c r="H127" s="465"/>
      <c r="I127" s="270" t="s">
        <v>741</v>
      </c>
      <c r="J127" s="270" t="s">
        <v>742</v>
      </c>
      <c r="K127" s="270" t="s">
        <v>743</v>
      </c>
      <c r="L127" s="521"/>
      <c r="M127" s="524"/>
    </row>
    <row r="128" spans="2:50">
      <c r="B128" s="462" t="s">
        <v>752</v>
      </c>
      <c r="C128" s="180">
        <v>1</v>
      </c>
      <c r="D128" s="201"/>
      <c r="E128" s="166"/>
      <c r="F128" s="180"/>
      <c r="G128" s="265"/>
      <c r="H128" s="459" t="e">
        <f>AVERAGE(G128:G142)</f>
        <v>#DIV/0!</v>
      </c>
      <c r="I128" s="166" t="e">
        <f t="shared" ref="I128:J128" si="78">AVERAGEIF($D$7:$D$121,$D128,I$7:I$121)</f>
        <v>#DIV/0!</v>
      </c>
      <c r="J128" s="166" t="e">
        <f t="shared" si="78"/>
        <v>#DIV/0!</v>
      </c>
      <c r="K128" s="166" t="e">
        <f>AVERAGEIF($D$7:$D$121,$D128,K$7:K$121)</f>
        <v>#DIV/0!</v>
      </c>
      <c r="L128" s="516" t="e">
        <f>AVERAGE(K128:K142)</f>
        <v>#DIV/0!</v>
      </c>
      <c r="M128" s="166" t="e">
        <f>RANK(K128, K$128:$K$142)</f>
        <v>#DIV/0!</v>
      </c>
    </row>
    <row r="129" spans="2:13" s="103" customFormat="1">
      <c r="B129" s="479"/>
      <c r="C129" s="180">
        <v>2</v>
      </c>
      <c r="D129" s="201"/>
      <c r="E129" s="166"/>
      <c r="F129" s="180"/>
      <c r="G129" s="265"/>
      <c r="H129" s="460"/>
      <c r="I129" s="166"/>
      <c r="J129" s="166"/>
      <c r="K129" s="166"/>
      <c r="L129" s="517"/>
      <c r="M129" s="166" t="e">
        <f>RANK(K129, K$128:$K$142)</f>
        <v>#DIV/0!</v>
      </c>
    </row>
    <row r="130" spans="2:13" s="103" customFormat="1">
      <c r="B130" s="479"/>
      <c r="C130" s="180">
        <v>3</v>
      </c>
      <c r="D130" s="201"/>
      <c r="E130" s="166"/>
      <c r="F130" s="180"/>
      <c r="G130" s="265"/>
      <c r="H130" s="460"/>
      <c r="I130" s="166"/>
      <c r="J130" s="166"/>
      <c r="K130" s="166"/>
      <c r="L130" s="517"/>
      <c r="M130" s="166" t="e">
        <f>RANK(K130, K$128:$K$142)</f>
        <v>#DIV/0!</v>
      </c>
    </row>
    <row r="131" spans="2:13" s="103" customFormat="1">
      <c r="B131" s="479"/>
      <c r="C131" s="180">
        <v>4</v>
      </c>
      <c r="D131" s="201"/>
      <c r="E131" s="166"/>
      <c r="F131" s="180"/>
      <c r="G131" s="265"/>
      <c r="H131" s="460"/>
      <c r="I131" s="166"/>
      <c r="J131" s="166"/>
      <c r="K131" s="166"/>
      <c r="L131" s="517"/>
      <c r="M131" s="166" t="e">
        <f>RANK(K131, K$128:$K$142)</f>
        <v>#DIV/0!</v>
      </c>
    </row>
    <row r="132" spans="2:13" s="103" customFormat="1">
      <c r="B132" s="479"/>
      <c r="C132" s="180">
        <v>5</v>
      </c>
      <c r="D132" s="201"/>
      <c r="E132" s="166"/>
      <c r="F132" s="180"/>
      <c r="G132" s="265"/>
      <c r="H132" s="460"/>
      <c r="I132" s="166"/>
      <c r="J132" s="166"/>
      <c r="K132" s="166"/>
      <c r="L132" s="517"/>
      <c r="M132" s="166" t="e">
        <f>RANK(K132, K$128:$K$142)</f>
        <v>#DIV/0!</v>
      </c>
    </row>
    <row r="133" spans="2:13" s="103" customFormat="1">
      <c r="B133" s="479"/>
      <c r="C133" s="180">
        <v>6</v>
      </c>
      <c r="D133" s="271"/>
      <c r="E133" s="166"/>
      <c r="F133" s="180"/>
      <c r="G133" s="265"/>
      <c r="H133" s="460"/>
      <c r="I133" s="166"/>
      <c r="J133" s="166"/>
      <c r="K133" s="166"/>
      <c r="L133" s="517"/>
      <c r="M133" s="166" t="e">
        <f>RANK(K133, K$128:$K$142)</f>
        <v>#DIV/0!</v>
      </c>
    </row>
    <row r="134" spans="2:13" s="103" customFormat="1">
      <c r="B134" s="479"/>
      <c r="C134" s="180">
        <v>7</v>
      </c>
      <c r="D134" s="201"/>
      <c r="E134" s="166"/>
      <c r="F134" s="180"/>
      <c r="G134" s="265"/>
      <c r="H134" s="460"/>
      <c r="I134" s="166"/>
      <c r="J134" s="166"/>
      <c r="K134" s="166"/>
      <c r="L134" s="517"/>
      <c r="M134" s="166" t="e">
        <f>RANK(K134, K$128:$K$142)</f>
        <v>#DIV/0!</v>
      </c>
    </row>
    <row r="135" spans="2:13" s="103" customFormat="1">
      <c r="B135" s="479"/>
      <c r="C135" s="180">
        <v>8</v>
      </c>
      <c r="D135" s="201"/>
      <c r="E135" s="166"/>
      <c r="F135" s="180"/>
      <c r="G135" s="265"/>
      <c r="H135" s="460"/>
      <c r="I135" s="166"/>
      <c r="J135" s="166"/>
      <c r="K135" s="166"/>
      <c r="L135" s="517"/>
      <c r="M135" s="166" t="e">
        <f>RANK(K135, K$128:$K$142)</f>
        <v>#DIV/0!</v>
      </c>
    </row>
    <row r="136" spans="2:13" s="103" customFormat="1">
      <c r="B136" s="479"/>
      <c r="C136" s="180">
        <v>9</v>
      </c>
      <c r="D136" s="201"/>
      <c r="E136" s="180"/>
      <c r="F136" s="180"/>
      <c r="G136" s="180"/>
      <c r="H136" s="460"/>
      <c r="I136" s="166"/>
      <c r="J136" s="166"/>
      <c r="K136" s="166"/>
      <c r="L136" s="517"/>
      <c r="M136" s="166" t="e">
        <f>RANK(K136, K$128:$K$142)</f>
        <v>#DIV/0!</v>
      </c>
    </row>
    <row r="137" spans="2:13" s="103" customFormat="1">
      <c r="B137" s="479"/>
      <c r="C137" s="180">
        <v>10</v>
      </c>
      <c r="D137" s="201"/>
      <c r="E137" s="180"/>
      <c r="F137" s="180"/>
      <c r="G137" s="180"/>
      <c r="H137" s="460"/>
      <c r="I137" s="166"/>
      <c r="J137" s="166"/>
      <c r="K137" s="166"/>
      <c r="L137" s="517"/>
      <c r="M137" s="166" t="e">
        <f>RANK(K137, K$128:$K$142)</f>
        <v>#DIV/0!</v>
      </c>
    </row>
    <row r="138" spans="2:13" s="103" customFormat="1">
      <c r="B138" s="479"/>
      <c r="C138" s="180">
        <v>11</v>
      </c>
      <c r="D138" s="201"/>
      <c r="E138" s="180"/>
      <c r="F138" s="180"/>
      <c r="G138" s="180"/>
      <c r="H138" s="460"/>
      <c r="I138" s="166"/>
      <c r="J138" s="166"/>
      <c r="K138" s="166"/>
      <c r="L138" s="517"/>
      <c r="M138" s="166" t="e">
        <f>RANK(K138, K$128:$K$142)</f>
        <v>#DIV/0!</v>
      </c>
    </row>
    <row r="139" spans="2:13" s="103" customFormat="1">
      <c r="B139" s="479"/>
      <c r="C139" s="180">
        <v>12</v>
      </c>
      <c r="D139" s="201"/>
      <c r="E139" s="180"/>
      <c r="F139" s="180"/>
      <c r="G139" s="180"/>
      <c r="H139" s="460"/>
      <c r="I139" s="166"/>
      <c r="J139" s="166"/>
      <c r="K139" s="166"/>
      <c r="L139" s="517"/>
      <c r="M139" s="166" t="e">
        <f>RANK(K139, K$128:$K$142)</f>
        <v>#DIV/0!</v>
      </c>
    </row>
    <row r="140" spans="2:13" s="103" customFormat="1">
      <c r="B140" s="479"/>
      <c r="C140" s="180">
        <v>13</v>
      </c>
      <c r="D140" s="201"/>
      <c r="E140" s="180"/>
      <c r="F140" s="180"/>
      <c r="G140" s="180"/>
      <c r="H140" s="460"/>
      <c r="I140" s="166"/>
      <c r="J140" s="166"/>
      <c r="K140" s="166"/>
      <c r="L140" s="517"/>
      <c r="M140" s="166" t="e">
        <f>RANK(K140, K$128:$K$142)</f>
        <v>#DIV/0!</v>
      </c>
    </row>
    <row r="141" spans="2:13" s="103" customFormat="1">
      <c r="B141" s="479"/>
      <c r="C141" s="180">
        <v>14</v>
      </c>
      <c r="D141" s="201"/>
      <c r="E141" s="180"/>
      <c r="F141" s="180"/>
      <c r="G141" s="180"/>
      <c r="H141" s="460"/>
      <c r="I141" s="166"/>
      <c r="J141" s="166"/>
      <c r="K141" s="166"/>
      <c r="L141" s="517"/>
      <c r="M141" s="166" t="e">
        <f>RANK(K141, K$128:$K$142)</f>
        <v>#DIV/0!</v>
      </c>
    </row>
    <row r="142" spans="2:13" s="103" customFormat="1">
      <c r="B142" s="479"/>
      <c r="C142" s="180">
        <v>15</v>
      </c>
      <c r="D142" s="201"/>
      <c r="E142" s="180"/>
      <c r="F142" s="180"/>
      <c r="G142" s="180"/>
      <c r="H142" s="461"/>
      <c r="I142" s="166"/>
      <c r="J142" s="166"/>
      <c r="K142" s="166"/>
      <c r="L142" s="518"/>
      <c r="M142" s="166" t="e">
        <f>RANK(K142, K$128:$K$142)</f>
        <v>#DIV/0!</v>
      </c>
    </row>
  </sheetData>
  <mergeCells count="367">
    <mergeCell ref="B128:B142"/>
    <mergeCell ref="H128:H142"/>
    <mergeCell ref="L128:L142"/>
    <mergeCell ref="AX107:AX121"/>
    <mergeCell ref="B123:H124"/>
    <mergeCell ref="B125:B127"/>
    <mergeCell ref="C125:D127"/>
    <mergeCell ref="E125:G125"/>
    <mergeCell ref="H125:H127"/>
    <mergeCell ref="I125:K125"/>
    <mergeCell ref="L125:L127"/>
    <mergeCell ref="M125:M127"/>
    <mergeCell ref="E126:G126"/>
    <mergeCell ref="I126:K126"/>
    <mergeCell ref="B107:B121"/>
    <mergeCell ref="H107:H121"/>
    <mergeCell ref="L107:L121"/>
    <mergeCell ref="T107:T121"/>
    <mergeCell ref="Y107:Y121"/>
    <mergeCell ref="AD107:AD121"/>
    <mergeCell ref="AI107:AI121"/>
    <mergeCell ref="AN107:AN121"/>
    <mergeCell ref="AS107:AS121"/>
    <mergeCell ref="AI104:AI106"/>
    <mergeCell ref="AJ104:AM104"/>
    <mergeCell ref="AN104:AN106"/>
    <mergeCell ref="AO104:AR104"/>
    <mergeCell ref="AS104:AS106"/>
    <mergeCell ref="AT104:AW104"/>
    <mergeCell ref="AX104:AX106"/>
    <mergeCell ref="E105:G105"/>
    <mergeCell ref="I105:K105"/>
    <mergeCell ref="P105:S105"/>
    <mergeCell ref="U105:X105"/>
    <mergeCell ref="Z105:AC105"/>
    <mergeCell ref="AE105:AH105"/>
    <mergeCell ref="AJ105:AM105"/>
    <mergeCell ref="AO105:AR105"/>
    <mergeCell ref="AT105:AW105"/>
    <mergeCell ref="AT102:AX102"/>
    <mergeCell ref="P103:T103"/>
    <mergeCell ref="U103:Y103"/>
    <mergeCell ref="Z103:AD103"/>
    <mergeCell ref="AE103:AI103"/>
    <mergeCell ref="AJ103:AN103"/>
    <mergeCell ref="AO103:AS103"/>
    <mergeCell ref="AT103:AX103"/>
    <mergeCell ref="B104:B106"/>
    <mergeCell ref="C104:D106"/>
    <mergeCell ref="E104:G104"/>
    <mergeCell ref="H104:H106"/>
    <mergeCell ref="I104:K104"/>
    <mergeCell ref="L104:L106"/>
    <mergeCell ref="M104:M106"/>
    <mergeCell ref="N104:N121"/>
    <mergeCell ref="O104:O121"/>
    <mergeCell ref="P104:S104"/>
    <mergeCell ref="T104:T106"/>
    <mergeCell ref="U104:X104"/>
    <mergeCell ref="Y104:Y106"/>
    <mergeCell ref="Z104:AC104"/>
    <mergeCell ref="AD104:AD106"/>
    <mergeCell ref="AE104:AH104"/>
    <mergeCell ref="B102:H103"/>
    <mergeCell ref="N102:N103"/>
    <mergeCell ref="O102:O103"/>
    <mergeCell ref="P102:T102"/>
    <mergeCell ref="U102:Y102"/>
    <mergeCell ref="Z102:AD102"/>
    <mergeCell ref="AE102:AI102"/>
    <mergeCell ref="AJ102:AN102"/>
    <mergeCell ref="AO102:AS102"/>
    <mergeCell ref="AE2:AI2"/>
    <mergeCell ref="AJ2:AN2"/>
    <mergeCell ref="AO2:AS2"/>
    <mergeCell ref="AT2:AX2"/>
    <mergeCell ref="P3:T3"/>
    <mergeCell ref="U3:Y3"/>
    <mergeCell ref="Z3:AD3"/>
    <mergeCell ref="AE3:AI3"/>
    <mergeCell ref="AJ3:AN3"/>
    <mergeCell ref="AO3:AS3"/>
    <mergeCell ref="P2:T2"/>
    <mergeCell ref="U2:Y2"/>
    <mergeCell ref="Z2:AD2"/>
    <mergeCell ref="AT3:AX3"/>
    <mergeCell ref="B2:H3"/>
    <mergeCell ref="N2:N3"/>
    <mergeCell ref="O2:O3"/>
    <mergeCell ref="AT4:AW4"/>
    <mergeCell ref="AX4:AX6"/>
    <mergeCell ref="E5:G5"/>
    <mergeCell ref="I5:K5"/>
    <mergeCell ref="P5:S5"/>
    <mergeCell ref="U5:X5"/>
    <mergeCell ref="Z5:AC5"/>
    <mergeCell ref="AE5:AH5"/>
    <mergeCell ref="AJ5:AM5"/>
    <mergeCell ref="AO5:AR5"/>
    <mergeCell ref="AE4:AH4"/>
    <mergeCell ref="AI4:AI6"/>
    <mergeCell ref="AJ4:AM4"/>
    <mergeCell ref="AN4:AN6"/>
    <mergeCell ref="AO4:AR4"/>
    <mergeCell ref="AS4:AS6"/>
    <mergeCell ref="P4:S4"/>
    <mergeCell ref="T4:T6"/>
    <mergeCell ref="U4:X4"/>
    <mergeCell ref="Y4:Y6"/>
    <mergeCell ref="Z4:AC4"/>
    <mergeCell ref="AD4:AD6"/>
    <mergeCell ref="AT5:AW5"/>
    <mergeCell ref="B7:B21"/>
    <mergeCell ref="H7:H21"/>
    <mergeCell ref="L7:L21"/>
    <mergeCell ref="T7:T21"/>
    <mergeCell ref="Y7:Y21"/>
    <mergeCell ref="AD7:AD21"/>
    <mergeCell ref="AI7:AI21"/>
    <mergeCell ref="AN7:AN21"/>
    <mergeCell ref="AS7:AS21"/>
    <mergeCell ref="B4:B6"/>
    <mergeCell ref="C4:D6"/>
    <mergeCell ref="E4:G4"/>
    <mergeCell ref="H4:H6"/>
    <mergeCell ref="I4:K4"/>
    <mergeCell ref="L4:L6"/>
    <mergeCell ref="M4:M6"/>
    <mergeCell ref="N4:N21"/>
    <mergeCell ref="O4:O21"/>
    <mergeCell ref="B22:H23"/>
    <mergeCell ref="N22:N23"/>
    <mergeCell ref="O22:O23"/>
    <mergeCell ref="P22:T22"/>
    <mergeCell ref="U22:Y22"/>
    <mergeCell ref="Z22:AD22"/>
    <mergeCell ref="AE22:AI22"/>
    <mergeCell ref="AJ22:AN22"/>
    <mergeCell ref="AO22:AS22"/>
    <mergeCell ref="AT22:AX22"/>
    <mergeCell ref="P23:T23"/>
    <mergeCell ref="U23:Y23"/>
    <mergeCell ref="Z23:AD23"/>
    <mergeCell ref="AE23:AI23"/>
    <mergeCell ref="AJ23:AN23"/>
    <mergeCell ref="AO23:AS23"/>
    <mergeCell ref="AT23:AX23"/>
    <mergeCell ref="AX7:AX21"/>
    <mergeCell ref="AX24:AX26"/>
    <mergeCell ref="E25:G25"/>
    <mergeCell ref="I25:K25"/>
    <mergeCell ref="P25:S25"/>
    <mergeCell ref="U25:X25"/>
    <mergeCell ref="Z25:AC25"/>
    <mergeCell ref="Y24:Y26"/>
    <mergeCell ref="Z24:AC24"/>
    <mergeCell ref="AD24:AD26"/>
    <mergeCell ref="AE24:AH24"/>
    <mergeCell ref="AI24:AI26"/>
    <mergeCell ref="AJ24:AM24"/>
    <mergeCell ref="AE25:AH25"/>
    <mergeCell ref="AJ25:AM25"/>
    <mergeCell ref="M24:M26"/>
    <mergeCell ref="N24:N41"/>
    <mergeCell ref="O24:O41"/>
    <mergeCell ref="P24:S24"/>
    <mergeCell ref="T24:T26"/>
    <mergeCell ref="U24:X24"/>
    <mergeCell ref="E24:G24"/>
    <mergeCell ref="H24:H26"/>
    <mergeCell ref="I24:K24"/>
    <mergeCell ref="L24:L26"/>
    <mergeCell ref="AO25:AR25"/>
    <mergeCell ref="AT25:AW25"/>
    <mergeCell ref="B27:B41"/>
    <mergeCell ref="H27:H41"/>
    <mergeCell ref="L27:L41"/>
    <mergeCell ref="T27:T41"/>
    <mergeCell ref="Y27:Y41"/>
    <mergeCell ref="AD27:AD41"/>
    <mergeCell ref="AI27:AI41"/>
    <mergeCell ref="AN27:AN41"/>
    <mergeCell ref="AN24:AN26"/>
    <mergeCell ref="AO24:AR24"/>
    <mergeCell ref="AS24:AS26"/>
    <mergeCell ref="AT24:AW24"/>
    <mergeCell ref="B24:B26"/>
    <mergeCell ref="C24:D26"/>
    <mergeCell ref="AS27:AS41"/>
    <mergeCell ref="AX27:AX41"/>
    <mergeCell ref="B42:H43"/>
    <mergeCell ref="N42:N43"/>
    <mergeCell ref="O42:O43"/>
    <mergeCell ref="P42:T42"/>
    <mergeCell ref="U42:Y42"/>
    <mergeCell ref="Z42:AD42"/>
    <mergeCell ref="AE42:AI42"/>
    <mergeCell ref="AJ42:AN42"/>
    <mergeCell ref="AO42:AS42"/>
    <mergeCell ref="AT42:AX42"/>
    <mergeCell ref="P43:T43"/>
    <mergeCell ref="U43:Y43"/>
    <mergeCell ref="Z43:AD43"/>
    <mergeCell ref="AE43:AI43"/>
    <mergeCell ref="AJ43:AN43"/>
    <mergeCell ref="AO43:AS43"/>
    <mergeCell ref="AT43:AX43"/>
    <mergeCell ref="AX44:AX46"/>
    <mergeCell ref="E45:G45"/>
    <mergeCell ref="I45:K45"/>
    <mergeCell ref="P45:S45"/>
    <mergeCell ref="U45:X45"/>
    <mergeCell ref="Z45:AC45"/>
    <mergeCell ref="Y44:Y46"/>
    <mergeCell ref="Z44:AC44"/>
    <mergeCell ref="AD44:AD46"/>
    <mergeCell ref="AE44:AH44"/>
    <mergeCell ref="AI44:AI46"/>
    <mergeCell ref="AJ44:AM44"/>
    <mergeCell ref="AE45:AH45"/>
    <mergeCell ref="AJ45:AM45"/>
    <mergeCell ref="M44:M46"/>
    <mergeCell ref="N44:N61"/>
    <mergeCell ref="O44:O61"/>
    <mergeCell ref="P44:S44"/>
    <mergeCell ref="T44:T46"/>
    <mergeCell ref="U44:X44"/>
    <mergeCell ref="E44:G44"/>
    <mergeCell ref="H44:H46"/>
    <mergeCell ref="I44:K44"/>
    <mergeCell ref="L44:L46"/>
    <mergeCell ref="AO45:AR45"/>
    <mergeCell ref="AT45:AW45"/>
    <mergeCell ref="B47:B61"/>
    <mergeCell ref="H47:H61"/>
    <mergeCell ref="L47:L61"/>
    <mergeCell ref="T47:T61"/>
    <mergeCell ref="Y47:Y61"/>
    <mergeCell ref="AD47:AD61"/>
    <mergeCell ref="AI47:AI61"/>
    <mergeCell ref="AN47:AN61"/>
    <mergeCell ref="AN44:AN46"/>
    <mergeCell ref="AO44:AR44"/>
    <mergeCell ref="AS44:AS46"/>
    <mergeCell ref="AT44:AW44"/>
    <mergeCell ref="B44:B46"/>
    <mergeCell ref="C44:D46"/>
    <mergeCell ref="AS47:AS61"/>
    <mergeCell ref="AX47:AX61"/>
    <mergeCell ref="B62:H63"/>
    <mergeCell ref="N62:N63"/>
    <mergeCell ref="O62:O63"/>
    <mergeCell ref="P62:T62"/>
    <mergeCell ref="U62:Y62"/>
    <mergeCell ref="Z62:AD62"/>
    <mergeCell ref="AE62:AI62"/>
    <mergeCell ref="AJ62:AN62"/>
    <mergeCell ref="AO62:AS62"/>
    <mergeCell ref="AT62:AX62"/>
    <mergeCell ref="P63:T63"/>
    <mergeCell ref="U63:Y63"/>
    <mergeCell ref="Z63:AD63"/>
    <mergeCell ref="AE63:AI63"/>
    <mergeCell ref="AJ63:AN63"/>
    <mergeCell ref="AO63:AS63"/>
    <mergeCell ref="AT63:AX63"/>
    <mergeCell ref="AD87:AD101"/>
    <mergeCell ref="AI87:AI101"/>
    <mergeCell ref="B84:B86"/>
    <mergeCell ref="AX64:AX66"/>
    <mergeCell ref="E65:G65"/>
    <mergeCell ref="I65:K65"/>
    <mergeCell ref="P65:S65"/>
    <mergeCell ref="U65:X65"/>
    <mergeCell ref="Z65:AC65"/>
    <mergeCell ref="Y64:Y66"/>
    <mergeCell ref="Z64:AC64"/>
    <mergeCell ref="AD64:AD66"/>
    <mergeCell ref="AE64:AH64"/>
    <mergeCell ref="AI64:AI66"/>
    <mergeCell ref="AJ64:AM64"/>
    <mergeCell ref="AE65:AH65"/>
    <mergeCell ref="AJ65:AM65"/>
    <mergeCell ref="M64:M66"/>
    <mergeCell ref="N64:N81"/>
    <mergeCell ref="O64:O81"/>
    <mergeCell ref="P64:S64"/>
    <mergeCell ref="T64:T66"/>
    <mergeCell ref="U64:X64"/>
    <mergeCell ref="E64:G64"/>
    <mergeCell ref="AO65:AR65"/>
    <mergeCell ref="AT65:AW65"/>
    <mergeCell ref="B67:B81"/>
    <mergeCell ref="H67:H81"/>
    <mergeCell ref="L67:L81"/>
    <mergeCell ref="T67:T81"/>
    <mergeCell ref="Y67:Y81"/>
    <mergeCell ref="AD67:AD81"/>
    <mergeCell ref="AI67:AI81"/>
    <mergeCell ref="AN67:AN81"/>
    <mergeCell ref="AN64:AN66"/>
    <mergeCell ref="AO64:AR64"/>
    <mergeCell ref="AS64:AS66"/>
    <mergeCell ref="AT64:AW64"/>
    <mergeCell ref="B64:B66"/>
    <mergeCell ref="C64:D66"/>
    <mergeCell ref="AS67:AS81"/>
    <mergeCell ref="H64:H66"/>
    <mergeCell ref="I64:K64"/>
    <mergeCell ref="L64:L66"/>
    <mergeCell ref="AX67:AX81"/>
    <mergeCell ref="B82:H83"/>
    <mergeCell ref="N82:N83"/>
    <mergeCell ref="O82:O83"/>
    <mergeCell ref="P82:T82"/>
    <mergeCell ref="U82:Y82"/>
    <mergeCell ref="Z82:AD82"/>
    <mergeCell ref="AE82:AI82"/>
    <mergeCell ref="AJ82:AN82"/>
    <mergeCell ref="AO82:AS82"/>
    <mergeCell ref="AT82:AX82"/>
    <mergeCell ref="P83:T83"/>
    <mergeCell ref="U83:Y83"/>
    <mergeCell ref="Z83:AD83"/>
    <mergeCell ref="AE83:AI83"/>
    <mergeCell ref="AJ83:AN83"/>
    <mergeCell ref="AO83:AS83"/>
    <mergeCell ref="AT83:AX83"/>
    <mergeCell ref="Z84:AC84"/>
    <mergeCell ref="P84:S84"/>
    <mergeCell ref="T84:T86"/>
    <mergeCell ref="U84:X84"/>
    <mergeCell ref="E85:G85"/>
    <mergeCell ref="I85:K85"/>
    <mergeCell ref="P85:S85"/>
    <mergeCell ref="U85:X85"/>
    <mergeCell ref="M84:M86"/>
    <mergeCell ref="N84:N101"/>
    <mergeCell ref="O84:O101"/>
    <mergeCell ref="H87:H101"/>
    <mergeCell ref="L87:L101"/>
    <mergeCell ref="T87:T101"/>
    <mergeCell ref="Y87:Y101"/>
    <mergeCell ref="B87:B101"/>
    <mergeCell ref="AS87:AS101"/>
    <mergeCell ref="AX87:AX101"/>
    <mergeCell ref="AO85:AR85"/>
    <mergeCell ref="AT85:AW85"/>
    <mergeCell ref="AO84:AR84"/>
    <mergeCell ref="AS84:AS86"/>
    <mergeCell ref="AT84:AW84"/>
    <mergeCell ref="AX84:AX86"/>
    <mergeCell ref="AJ85:AM85"/>
    <mergeCell ref="AN87:AN101"/>
    <mergeCell ref="AN84:AN86"/>
    <mergeCell ref="AJ84:AM84"/>
    <mergeCell ref="C84:D86"/>
    <mergeCell ref="E84:G84"/>
    <mergeCell ref="H84:H86"/>
    <mergeCell ref="I84:K84"/>
    <mergeCell ref="L84:L86"/>
    <mergeCell ref="AD84:AD86"/>
    <mergeCell ref="AE84:AH84"/>
    <mergeCell ref="AI84:AI86"/>
    <mergeCell ref="AE85:AH85"/>
    <mergeCell ref="Z85:AC85"/>
    <mergeCell ref="Y84:Y86"/>
  </mergeCells>
  <phoneticPr fontId="11" type="noConversion"/>
  <pageMargins left="0.7" right="0.7" top="0.75" bottom="0.75" header="0.3" footer="0.3"/>
  <pageSetup paperSize="9" orientation="portrait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FFFCC"/>
  </sheetPr>
  <dimension ref="A1:BB247"/>
  <sheetViews>
    <sheetView topLeftCell="A142" zoomScale="55" zoomScaleNormal="55" workbookViewId="0">
      <pane xSplit="15" topLeftCell="Z1" activePane="topRight" state="frozen"/>
      <selection activeCell="B144" sqref="B144:AX176"/>
      <selection pane="topRight" activeCell="AP165" sqref="AP165"/>
    </sheetView>
  </sheetViews>
  <sheetFormatPr defaultColWidth="8.85546875" defaultRowHeight="12.75"/>
  <cols>
    <col min="1" max="1" width="5.5703125" style="103" customWidth="1"/>
    <col min="2" max="2" width="12.42578125" style="103" customWidth="1"/>
    <col min="3" max="3" width="8.85546875" style="102"/>
    <col min="4" max="4" width="26.42578125" style="102" customWidth="1"/>
    <col min="5" max="7" width="8.42578125" style="102" customWidth="1"/>
    <col min="8" max="8" width="11.140625" style="102" bestFit="1" customWidth="1"/>
    <col min="9" max="12" width="11.140625" style="102" customWidth="1"/>
    <col min="13" max="13" width="13.5703125" style="102" customWidth="1"/>
    <col min="14" max="14" width="9.85546875" style="102" customWidth="1"/>
    <col min="15" max="15" width="7.140625" style="102" customWidth="1"/>
    <col min="16" max="18" width="12.85546875" style="102" customWidth="1"/>
    <col min="19" max="19" width="5.42578125" style="102" customWidth="1"/>
    <col min="20" max="20" width="12.85546875" style="102" customWidth="1"/>
    <col min="21" max="23" width="12.85546875" style="103" customWidth="1"/>
    <col min="24" max="24" width="5.42578125" style="102" customWidth="1"/>
    <col min="25" max="28" width="12.85546875" style="103" customWidth="1"/>
    <col min="29" max="29" width="5.42578125" style="102" customWidth="1"/>
    <col min="30" max="30" width="12.85546875" style="103" customWidth="1"/>
    <col min="31" max="33" width="12.5703125" style="103" customWidth="1"/>
    <col min="34" max="34" width="5.42578125" style="102" customWidth="1"/>
    <col min="35" max="35" width="13" style="103" customWidth="1"/>
    <col min="36" max="38" width="12.5703125" style="103" customWidth="1"/>
    <col min="39" max="39" width="5.42578125" style="102" customWidth="1"/>
    <col min="40" max="40" width="13" style="103" customWidth="1"/>
    <col min="41" max="43" width="13.140625" style="103" customWidth="1"/>
    <col min="44" max="44" width="5.42578125" style="103" customWidth="1"/>
    <col min="45" max="48" width="13.140625" style="103" customWidth="1"/>
    <col min="49" max="49" width="5.42578125" style="103" customWidth="1"/>
    <col min="50" max="50" width="13.140625" style="103" customWidth="1"/>
    <col min="51" max="16384" width="8.85546875" style="103"/>
  </cols>
  <sheetData>
    <row r="1" spans="1:54" ht="24">
      <c r="A1" s="74"/>
      <c r="B1" s="196" t="s">
        <v>328</v>
      </c>
      <c r="C1" s="195">
        <f>AVERAGE(L7,L42,L77,L112,L147,L182)</f>
        <v>82.248071504989312</v>
      </c>
    </row>
    <row r="2" spans="1:54" ht="15.75">
      <c r="A2" s="79"/>
      <c r="B2" s="480" t="s">
        <v>721</v>
      </c>
      <c r="C2" s="480"/>
      <c r="D2" s="480"/>
      <c r="E2" s="480"/>
      <c r="F2" s="480"/>
      <c r="G2" s="480"/>
      <c r="H2" s="480"/>
      <c r="I2" s="181"/>
      <c r="J2" s="181"/>
      <c r="K2" s="181"/>
      <c r="L2" s="181"/>
      <c r="M2" s="178"/>
      <c r="N2" s="469" t="s">
        <v>722</v>
      </c>
      <c r="O2" s="469" t="s">
        <v>723</v>
      </c>
      <c r="P2" s="475"/>
      <c r="Q2" s="476"/>
      <c r="R2" s="476"/>
      <c r="S2" s="476"/>
      <c r="T2" s="477"/>
      <c r="U2" s="478"/>
      <c r="V2" s="479"/>
      <c r="W2" s="479"/>
      <c r="X2" s="479"/>
      <c r="Y2" s="479"/>
      <c r="Z2" s="478"/>
      <c r="AA2" s="479"/>
      <c r="AB2" s="479"/>
      <c r="AC2" s="479"/>
      <c r="AD2" s="479"/>
      <c r="AE2" s="478"/>
      <c r="AF2" s="479"/>
      <c r="AG2" s="479"/>
      <c r="AH2" s="479"/>
      <c r="AI2" s="479"/>
      <c r="AJ2" s="478"/>
      <c r="AK2" s="479"/>
      <c r="AL2" s="479"/>
      <c r="AM2" s="479"/>
      <c r="AN2" s="479"/>
      <c r="AO2" s="478">
        <v>46054</v>
      </c>
      <c r="AP2" s="479"/>
      <c r="AQ2" s="479"/>
      <c r="AR2" s="479"/>
      <c r="AS2" s="479"/>
      <c r="AT2" s="478">
        <f>AO2+1</f>
        <v>46055</v>
      </c>
      <c r="AU2" s="479"/>
      <c r="AV2" s="479"/>
      <c r="AW2" s="479"/>
      <c r="AX2" s="479"/>
    </row>
    <row r="3" spans="1:54" ht="15.75">
      <c r="A3" s="79"/>
      <c r="B3" s="495"/>
      <c r="C3" s="495"/>
      <c r="D3" s="495"/>
      <c r="E3" s="495"/>
      <c r="F3" s="495"/>
      <c r="G3" s="495"/>
      <c r="H3" s="495"/>
      <c r="I3" s="182"/>
      <c r="J3" s="182"/>
      <c r="K3" s="182"/>
      <c r="L3" s="182"/>
      <c r="M3" s="179"/>
      <c r="N3" s="471"/>
      <c r="O3" s="471"/>
      <c r="P3" s="475" t="s">
        <v>724</v>
      </c>
      <c r="Q3" s="476"/>
      <c r="R3" s="476"/>
      <c r="S3" s="476"/>
      <c r="T3" s="477"/>
      <c r="U3" s="475" t="s">
        <v>725</v>
      </c>
      <c r="V3" s="476"/>
      <c r="W3" s="476"/>
      <c r="X3" s="476"/>
      <c r="Y3" s="477"/>
      <c r="Z3" s="475" t="s">
        <v>726</v>
      </c>
      <c r="AA3" s="476"/>
      <c r="AB3" s="476"/>
      <c r="AC3" s="476"/>
      <c r="AD3" s="477"/>
      <c r="AE3" s="475" t="s">
        <v>727</v>
      </c>
      <c r="AF3" s="476"/>
      <c r="AG3" s="476"/>
      <c r="AH3" s="476"/>
      <c r="AI3" s="477"/>
      <c r="AJ3" s="475" t="s">
        <v>728</v>
      </c>
      <c r="AK3" s="476"/>
      <c r="AL3" s="476"/>
      <c r="AM3" s="476"/>
      <c r="AN3" s="477"/>
      <c r="AO3" s="475" t="s">
        <v>729</v>
      </c>
      <c r="AP3" s="476"/>
      <c r="AQ3" s="476"/>
      <c r="AR3" s="476"/>
      <c r="AS3" s="477"/>
      <c r="AT3" s="475" t="s">
        <v>730</v>
      </c>
      <c r="AU3" s="476"/>
      <c r="AV3" s="476"/>
      <c r="AW3" s="476"/>
      <c r="AX3" s="477"/>
    </row>
    <row r="4" spans="1:54" ht="14.25">
      <c r="A4" s="79"/>
      <c r="B4" s="462" t="s">
        <v>731</v>
      </c>
      <c r="C4" s="462" t="s">
        <v>732</v>
      </c>
      <c r="D4" s="462"/>
      <c r="E4" s="462" t="s">
        <v>733</v>
      </c>
      <c r="F4" s="462"/>
      <c r="G4" s="462"/>
      <c r="H4" s="463" t="s">
        <v>734</v>
      </c>
      <c r="I4" s="462" t="s">
        <v>735</v>
      </c>
      <c r="J4" s="462"/>
      <c r="K4" s="462"/>
      <c r="L4" s="463" t="s">
        <v>734</v>
      </c>
      <c r="M4" s="469" t="s">
        <v>736</v>
      </c>
      <c r="N4" s="462"/>
      <c r="O4" s="462" t="s">
        <v>737</v>
      </c>
      <c r="P4" s="466" t="s">
        <v>738</v>
      </c>
      <c r="Q4" s="467"/>
      <c r="R4" s="467"/>
      <c r="S4" s="468"/>
      <c r="T4" s="462" t="s">
        <v>734</v>
      </c>
      <c r="U4" s="466" t="s">
        <v>738</v>
      </c>
      <c r="V4" s="467"/>
      <c r="W4" s="467"/>
      <c r="X4" s="468"/>
      <c r="Y4" s="462" t="s">
        <v>734</v>
      </c>
      <c r="Z4" s="466" t="s">
        <v>738</v>
      </c>
      <c r="AA4" s="467"/>
      <c r="AB4" s="467"/>
      <c r="AC4" s="468"/>
      <c r="AD4" s="462" t="s">
        <v>734</v>
      </c>
      <c r="AE4" s="466" t="s">
        <v>738</v>
      </c>
      <c r="AF4" s="467"/>
      <c r="AG4" s="467"/>
      <c r="AH4" s="468"/>
      <c r="AI4" s="462" t="s">
        <v>734</v>
      </c>
      <c r="AJ4" s="466" t="s">
        <v>738</v>
      </c>
      <c r="AK4" s="467"/>
      <c r="AL4" s="467"/>
      <c r="AM4" s="468"/>
      <c r="AN4" s="462" t="s">
        <v>734</v>
      </c>
      <c r="AO4" s="466" t="s">
        <v>738</v>
      </c>
      <c r="AP4" s="467"/>
      <c r="AQ4" s="467"/>
      <c r="AR4" s="468"/>
      <c r="AS4" s="462" t="s">
        <v>734</v>
      </c>
      <c r="AT4" s="466" t="s">
        <v>738</v>
      </c>
      <c r="AU4" s="467"/>
      <c r="AV4" s="467"/>
      <c r="AW4" s="468"/>
      <c r="AX4" s="462" t="s">
        <v>734</v>
      </c>
    </row>
    <row r="5" spans="1:54" ht="14.25">
      <c r="A5" s="79"/>
      <c r="B5" s="462"/>
      <c r="C5" s="462"/>
      <c r="D5" s="462"/>
      <c r="E5" s="462" t="s">
        <v>739</v>
      </c>
      <c r="F5" s="462"/>
      <c r="G5" s="462"/>
      <c r="H5" s="464"/>
      <c r="I5" s="462" t="s">
        <v>739</v>
      </c>
      <c r="J5" s="462"/>
      <c r="K5" s="462"/>
      <c r="L5" s="464"/>
      <c r="M5" s="470"/>
      <c r="N5" s="462"/>
      <c r="O5" s="462"/>
      <c r="P5" s="466" t="s">
        <v>740</v>
      </c>
      <c r="Q5" s="467"/>
      <c r="R5" s="467"/>
      <c r="S5" s="468"/>
      <c r="T5" s="462"/>
      <c r="U5" s="466" t="s">
        <v>740</v>
      </c>
      <c r="V5" s="467"/>
      <c r="W5" s="467"/>
      <c r="X5" s="468"/>
      <c r="Y5" s="462"/>
      <c r="Z5" s="466" t="s">
        <v>740</v>
      </c>
      <c r="AA5" s="467"/>
      <c r="AB5" s="467"/>
      <c r="AC5" s="468"/>
      <c r="AD5" s="462"/>
      <c r="AE5" s="466" t="s">
        <v>740</v>
      </c>
      <c r="AF5" s="467"/>
      <c r="AG5" s="467"/>
      <c r="AH5" s="468"/>
      <c r="AI5" s="462"/>
      <c r="AJ5" s="466" t="s">
        <v>740</v>
      </c>
      <c r="AK5" s="467"/>
      <c r="AL5" s="467"/>
      <c r="AM5" s="468"/>
      <c r="AN5" s="462"/>
      <c r="AO5" s="466" t="s">
        <v>740</v>
      </c>
      <c r="AP5" s="467"/>
      <c r="AQ5" s="467"/>
      <c r="AR5" s="468"/>
      <c r="AS5" s="462"/>
      <c r="AT5" s="466" t="s">
        <v>740</v>
      </c>
      <c r="AU5" s="467"/>
      <c r="AV5" s="467"/>
      <c r="AW5" s="468"/>
      <c r="AX5" s="462"/>
    </row>
    <row r="6" spans="1:54" ht="14.25">
      <c r="A6" s="77"/>
      <c r="B6" s="462"/>
      <c r="C6" s="462"/>
      <c r="D6" s="462"/>
      <c r="E6" s="264" t="s">
        <v>741</v>
      </c>
      <c r="F6" s="264" t="s">
        <v>742</v>
      </c>
      <c r="G6" s="264" t="s">
        <v>743</v>
      </c>
      <c r="H6" s="465"/>
      <c r="I6" s="264" t="s">
        <v>741</v>
      </c>
      <c r="J6" s="264" t="s">
        <v>742</v>
      </c>
      <c r="K6" s="264" t="s">
        <v>743</v>
      </c>
      <c r="L6" s="465"/>
      <c r="M6" s="471"/>
      <c r="N6" s="462"/>
      <c r="O6" s="462"/>
      <c r="P6" s="264" t="s">
        <v>741</v>
      </c>
      <c r="Q6" s="264" t="s">
        <v>742</v>
      </c>
      <c r="R6" s="264" t="s">
        <v>743</v>
      </c>
      <c r="S6" s="264" t="s">
        <v>736</v>
      </c>
      <c r="T6" s="462"/>
      <c r="U6" s="264" t="s">
        <v>741</v>
      </c>
      <c r="V6" s="264" t="s">
        <v>742</v>
      </c>
      <c r="W6" s="264" t="s">
        <v>743</v>
      </c>
      <c r="X6" s="264" t="s">
        <v>736</v>
      </c>
      <c r="Y6" s="462"/>
      <c r="Z6" s="264" t="s">
        <v>741</v>
      </c>
      <c r="AA6" s="264" t="s">
        <v>742</v>
      </c>
      <c r="AB6" s="264" t="s">
        <v>743</v>
      </c>
      <c r="AC6" s="264" t="s">
        <v>736</v>
      </c>
      <c r="AD6" s="462"/>
      <c r="AE6" s="264" t="s">
        <v>741</v>
      </c>
      <c r="AF6" s="264" t="s">
        <v>742</v>
      </c>
      <c r="AG6" s="264" t="s">
        <v>743</v>
      </c>
      <c r="AH6" s="264" t="s">
        <v>736</v>
      </c>
      <c r="AI6" s="462"/>
      <c r="AJ6" s="264" t="s">
        <v>741</v>
      </c>
      <c r="AK6" s="264" t="s">
        <v>742</v>
      </c>
      <c r="AL6" s="264" t="s">
        <v>743</v>
      </c>
      <c r="AM6" s="264" t="s">
        <v>736</v>
      </c>
      <c r="AN6" s="462"/>
      <c r="AO6" s="264" t="s">
        <v>741</v>
      </c>
      <c r="AP6" s="264" t="s">
        <v>742</v>
      </c>
      <c r="AQ6" s="264" t="s">
        <v>743</v>
      </c>
      <c r="AR6" s="264" t="s">
        <v>736</v>
      </c>
      <c r="AS6" s="462"/>
      <c r="AT6" s="264" t="s">
        <v>741</v>
      </c>
      <c r="AU6" s="264" t="s">
        <v>742</v>
      </c>
      <c r="AV6" s="264" t="s">
        <v>743</v>
      </c>
      <c r="AW6" s="264" t="s">
        <v>736</v>
      </c>
      <c r="AX6" s="462"/>
    </row>
    <row r="7" spans="1:54" ht="14.25">
      <c r="A7" s="79"/>
      <c r="B7" s="462" t="s">
        <v>753</v>
      </c>
      <c r="C7" s="180">
        <v>1</v>
      </c>
      <c r="D7" s="201" t="s">
        <v>362</v>
      </c>
      <c r="E7" s="166">
        <v>6</v>
      </c>
      <c r="F7" s="180">
        <v>1500</v>
      </c>
      <c r="G7" s="265">
        <v>250</v>
      </c>
      <c r="H7" s="459">
        <f>AVERAGE(G7:G36)</f>
        <v>96.221666666666707</v>
      </c>
      <c r="I7" s="166">
        <f>AVERAGE(P7,U7,Z7,AE7,AJ7,AO7,AT7)</f>
        <v>6</v>
      </c>
      <c r="J7" s="166">
        <f>AVERAGE(Q7,V7,AA7,AF7,AK7,AP7,AU7)</f>
        <v>1465.1180073431246</v>
      </c>
      <c r="K7" s="265">
        <f>AVERAGE(R7,W7,AB7,AG7,AL7,AQ7,AV7)</f>
        <v>244.18633455718742</v>
      </c>
      <c r="L7" s="459">
        <f>IFERROR(AVERAGE(K7:K36),"-")</f>
        <v>81.498266958679906</v>
      </c>
      <c r="M7" s="272">
        <f>RANK(K7, K$7:$K$36)</f>
        <v>1</v>
      </c>
      <c r="N7" s="462"/>
      <c r="O7" s="462"/>
      <c r="P7" s="166"/>
      <c r="Q7" s="166"/>
      <c r="R7" s="166"/>
      <c r="S7" s="180" t="e">
        <f>RANK(R7, R$7:R$36)</f>
        <v>#N/A</v>
      </c>
      <c r="T7" s="486" t="e">
        <f>AVERAGE(R7:R36)</f>
        <v>#DIV/0!</v>
      </c>
      <c r="U7" s="166"/>
      <c r="V7" s="166"/>
      <c r="W7" s="166"/>
      <c r="X7" s="180" t="e">
        <f>RANK(W7, W$7:W$36)</f>
        <v>#N/A</v>
      </c>
      <c r="Y7" s="486" t="e">
        <f>AVERAGE(W7:W36)</f>
        <v>#DIV/0!</v>
      </c>
      <c r="Z7" s="166"/>
      <c r="AA7" s="166"/>
      <c r="AB7" s="166"/>
      <c r="AC7" s="180" t="e">
        <f>RANK(AB7, AB$7:AB$36)</f>
        <v>#N/A</v>
      </c>
      <c r="AD7" s="486" t="e">
        <f>AVERAGE(AB7:AB36)</f>
        <v>#DIV/0!</v>
      </c>
      <c r="AE7" s="166"/>
      <c r="AF7" s="166"/>
      <c r="AG7" s="166"/>
      <c r="AH7" s="180" t="e">
        <f>RANK(AG7, AG$7:AG$36)</f>
        <v>#N/A</v>
      </c>
      <c r="AI7" s="486" t="e">
        <f>AVERAGE(AG7:AG36)</f>
        <v>#DIV/0!</v>
      </c>
      <c r="AJ7" s="166"/>
      <c r="AK7" s="166"/>
      <c r="AL7" s="166"/>
      <c r="AM7" s="180" t="e">
        <f>RANK(AL7, AL$7:AL$36)</f>
        <v>#N/A</v>
      </c>
      <c r="AN7" s="486" t="e">
        <f>AVERAGE(AL7:AL36)</f>
        <v>#DIV/0!</v>
      </c>
      <c r="AO7" s="166">
        <v>6</v>
      </c>
      <c r="AP7" s="166">
        <v>1457.8467289719626</v>
      </c>
      <c r="AQ7" s="166">
        <v>242.97445482866044</v>
      </c>
      <c r="AR7" s="180">
        <f>RANK(AQ7, AQ$7:AQ$36)</f>
        <v>1</v>
      </c>
      <c r="AS7" s="486">
        <f>AVERAGE(AQ7:AQ36)</f>
        <v>81.67952929267706</v>
      </c>
      <c r="AT7" s="166">
        <v>6</v>
      </c>
      <c r="AU7" s="166">
        <v>1472.3892857142864</v>
      </c>
      <c r="AV7" s="166">
        <v>245.3982142857144</v>
      </c>
      <c r="AW7" s="180">
        <f>RANK(AV7, AV$7:AV$36)</f>
        <v>1</v>
      </c>
      <c r="AX7" s="486">
        <f>AVERAGE(AV7:AV36)</f>
        <v>81.317004624682767</v>
      </c>
      <c r="AZ7" s="272" t="e">
        <f>RANK(AX7, $K$7:AX$36)</f>
        <v>#N/A</v>
      </c>
      <c r="BB7" s="180" t="e">
        <f t="shared" ref="BB7:BB36" si="0">RANK(BA7, BA$7:BA$36)</f>
        <v>#N/A</v>
      </c>
    </row>
    <row r="8" spans="1:54" ht="15" customHeight="1">
      <c r="A8" s="79"/>
      <c r="B8" s="479"/>
      <c r="C8" s="180">
        <v>2</v>
      </c>
      <c r="D8" s="201" t="s">
        <v>382</v>
      </c>
      <c r="E8" s="166">
        <v>6</v>
      </c>
      <c r="F8" s="180">
        <v>1636</v>
      </c>
      <c r="G8" s="265">
        <v>272.7</v>
      </c>
      <c r="H8" s="460"/>
      <c r="I8" s="166">
        <f t="shared" ref="I8:K36" si="1">AVERAGE(P8,U8,Z8,AE8,AJ8,AO8,AT8)</f>
        <v>7</v>
      </c>
      <c r="J8" s="166">
        <f t="shared" si="1"/>
        <v>1476.2500000000002</v>
      </c>
      <c r="K8" s="265">
        <f t="shared" si="1"/>
        <v>210.89285714285717</v>
      </c>
      <c r="L8" s="460"/>
      <c r="M8" s="272">
        <f>RANK(K8, K$7:$K$36)</f>
        <v>2</v>
      </c>
      <c r="N8" s="462"/>
      <c r="O8" s="462"/>
      <c r="P8" s="166"/>
      <c r="Q8" s="166"/>
      <c r="R8" s="166"/>
      <c r="S8" s="180" t="e">
        <f t="shared" ref="S8:S36" si="2">RANK(R8, R$7:R$36)</f>
        <v>#N/A</v>
      </c>
      <c r="T8" s="486"/>
      <c r="U8" s="166"/>
      <c r="V8" s="166"/>
      <c r="W8" s="166"/>
      <c r="X8" s="180" t="e">
        <f t="shared" ref="X8:X36" si="3">RANK(W8, W$7:W$36)</f>
        <v>#N/A</v>
      </c>
      <c r="Y8" s="486"/>
      <c r="Z8" s="166"/>
      <c r="AA8" s="166"/>
      <c r="AB8" s="166"/>
      <c r="AC8" s="180" t="e">
        <f t="shared" ref="AC8:AC36" si="4">RANK(AB8, AB$7:AB$36)</f>
        <v>#N/A</v>
      </c>
      <c r="AD8" s="486"/>
      <c r="AE8" s="166"/>
      <c r="AF8" s="166"/>
      <c r="AG8" s="166"/>
      <c r="AH8" s="180" t="e">
        <f t="shared" ref="AH8:AH36" si="5">RANK(AG8, AG$7:AG$36)</f>
        <v>#N/A</v>
      </c>
      <c r="AI8" s="486"/>
      <c r="AJ8" s="166"/>
      <c r="AK8" s="166"/>
      <c r="AL8" s="166"/>
      <c r="AM8" s="180" t="e">
        <f t="shared" ref="AM8:AM36" si="6">RANK(AL8, AL$7:AL$36)</f>
        <v>#N/A</v>
      </c>
      <c r="AN8" s="486"/>
      <c r="AO8" s="166">
        <v>7</v>
      </c>
      <c r="AP8" s="166">
        <v>1485</v>
      </c>
      <c r="AQ8" s="166">
        <v>212.14285714285714</v>
      </c>
      <c r="AR8" s="180">
        <f t="shared" ref="AR8:AR36" si="7">RANK(AQ8, AQ$7:AQ$36)</f>
        <v>2</v>
      </c>
      <c r="AS8" s="486"/>
      <c r="AT8" s="166">
        <v>7</v>
      </c>
      <c r="AU8" s="166">
        <v>1467.5000000000005</v>
      </c>
      <c r="AV8" s="166">
        <v>209.6428571428572</v>
      </c>
      <c r="AW8" s="180">
        <f t="shared" ref="AW8:AW36" si="8">RANK(AV8, AV$7:AV$36)</f>
        <v>2</v>
      </c>
      <c r="AX8" s="486"/>
      <c r="AZ8" s="272" t="e">
        <f>RANK(AX8, $K$7:AX$36)</f>
        <v>#N/A</v>
      </c>
      <c r="BB8" s="180" t="e">
        <f t="shared" si="0"/>
        <v>#N/A</v>
      </c>
    </row>
    <row r="9" spans="1:54" ht="14.25">
      <c r="A9" s="79"/>
      <c r="B9" s="479"/>
      <c r="C9" s="180">
        <v>3</v>
      </c>
      <c r="D9" s="201" t="s">
        <v>363</v>
      </c>
      <c r="E9" s="166">
        <v>18</v>
      </c>
      <c r="F9" s="180">
        <v>1500</v>
      </c>
      <c r="G9" s="265">
        <v>75</v>
      </c>
      <c r="H9" s="460"/>
      <c r="I9" s="166">
        <f t="shared" si="1"/>
        <v>18</v>
      </c>
      <c r="J9" s="166">
        <f t="shared" si="1"/>
        <v>1180.6962868117794</v>
      </c>
      <c r="K9" s="265">
        <f t="shared" si="1"/>
        <v>65.594238156209968</v>
      </c>
      <c r="L9" s="460"/>
      <c r="M9" s="272">
        <f>RANK(K9, K$7:$K$36)</f>
        <v>25</v>
      </c>
      <c r="N9" s="462"/>
      <c r="O9" s="462"/>
      <c r="P9" s="166"/>
      <c r="Q9" s="166"/>
      <c r="R9" s="166"/>
      <c r="S9" s="180" t="e">
        <f t="shared" si="2"/>
        <v>#N/A</v>
      </c>
      <c r="T9" s="486"/>
      <c r="U9" s="166"/>
      <c r="V9" s="166"/>
      <c r="W9" s="166"/>
      <c r="X9" s="180" t="e">
        <f t="shared" si="3"/>
        <v>#N/A</v>
      </c>
      <c r="Y9" s="486"/>
      <c r="Z9" s="166"/>
      <c r="AA9" s="166"/>
      <c r="AB9" s="166"/>
      <c r="AC9" s="180" t="e">
        <f t="shared" si="4"/>
        <v>#N/A</v>
      </c>
      <c r="AD9" s="486"/>
      <c r="AE9" s="166"/>
      <c r="AF9" s="166"/>
      <c r="AG9" s="166"/>
      <c r="AH9" s="180" t="e">
        <f t="shared" si="5"/>
        <v>#N/A</v>
      </c>
      <c r="AI9" s="486"/>
      <c r="AJ9" s="166"/>
      <c r="AK9" s="166"/>
      <c r="AL9" s="166"/>
      <c r="AM9" s="180" t="e">
        <f t="shared" si="6"/>
        <v>#N/A</v>
      </c>
      <c r="AN9" s="486"/>
      <c r="AO9" s="166">
        <v>18</v>
      </c>
      <c r="AP9" s="166">
        <v>1185.0545454545445</v>
      </c>
      <c r="AQ9" s="166">
        <v>65.836363636363586</v>
      </c>
      <c r="AR9" s="180">
        <f t="shared" si="7"/>
        <v>24</v>
      </c>
      <c r="AS9" s="486"/>
      <c r="AT9" s="166">
        <v>18</v>
      </c>
      <c r="AU9" s="166">
        <v>1176.3380281690143</v>
      </c>
      <c r="AV9" s="166">
        <v>65.35211267605635</v>
      </c>
      <c r="AW9" s="180">
        <f t="shared" si="8"/>
        <v>25</v>
      </c>
      <c r="AX9" s="486"/>
      <c r="AZ9" s="272" t="e">
        <f>RANK(AX9, $K$7:AX$36)</f>
        <v>#N/A</v>
      </c>
      <c r="BB9" s="180" t="e">
        <f t="shared" si="0"/>
        <v>#N/A</v>
      </c>
    </row>
    <row r="10" spans="1:54" ht="14.25">
      <c r="A10" s="79"/>
      <c r="B10" s="479"/>
      <c r="C10" s="180">
        <v>4</v>
      </c>
      <c r="D10" s="201" t="s">
        <v>400</v>
      </c>
      <c r="E10" s="166">
        <v>18</v>
      </c>
      <c r="F10" s="180">
        <v>1500</v>
      </c>
      <c r="G10" s="265">
        <v>83.3</v>
      </c>
      <c r="H10" s="460"/>
      <c r="I10" s="166">
        <f t="shared" si="1"/>
        <v>18</v>
      </c>
      <c r="J10" s="166">
        <f t="shared" si="1"/>
        <v>1340.7882011605418</v>
      </c>
      <c r="K10" s="265">
        <f t="shared" si="1"/>
        <v>74.488233397807875</v>
      </c>
      <c r="L10" s="460"/>
      <c r="M10" s="272">
        <f>RANK(K10, K$7:$K$36)</f>
        <v>14</v>
      </c>
      <c r="N10" s="462"/>
      <c r="O10" s="462"/>
      <c r="P10" s="166"/>
      <c r="Q10" s="166"/>
      <c r="R10" s="166"/>
      <c r="S10" s="180" t="e">
        <f t="shared" si="2"/>
        <v>#N/A</v>
      </c>
      <c r="T10" s="486"/>
      <c r="U10" s="166"/>
      <c r="V10" s="166"/>
      <c r="W10" s="166"/>
      <c r="X10" s="180" t="e">
        <f t="shared" si="3"/>
        <v>#N/A</v>
      </c>
      <c r="Y10" s="486"/>
      <c r="Z10" s="166"/>
      <c r="AA10" s="166"/>
      <c r="AB10" s="166"/>
      <c r="AC10" s="180" t="e">
        <f t="shared" si="4"/>
        <v>#N/A</v>
      </c>
      <c r="AD10" s="486"/>
      <c r="AE10" s="166"/>
      <c r="AF10" s="166"/>
      <c r="AG10" s="166"/>
      <c r="AH10" s="180" t="e">
        <f t="shared" si="5"/>
        <v>#N/A</v>
      </c>
      <c r="AI10" s="486"/>
      <c r="AJ10" s="166"/>
      <c r="AK10" s="166"/>
      <c r="AL10" s="166"/>
      <c r="AM10" s="180" t="e">
        <f t="shared" si="6"/>
        <v>#N/A</v>
      </c>
      <c r="AN10" s="486"/>
      <c r="AO10" s="166">
        <v>18</v>
      </c>
      <c r="AP10" s="166">
        <v>1351.3636363636365</v>
      </c>
      <c r="AQ10" s="166">
        <v>75.075757575757578</v>
      </c>
      <c r="AR10" s="180">
        <f t="shared" si="7"/>
        <v>13</v>
      </c>
      <c r="AS10" s="486"/>
      <c r="AT10" s="166">
        <v>18</v>
      </c>
      <c r="AU10" s="166">
        <v>1330.2127659574471</v>
      </c>
      <c r="AV10" s="166">
        <v>73.900709219858172</v>
      </c>
      <c r="AW10" s="180">
        <f t="shared" si="8"/>
        <v>13</v>
      </c>
      <c r="AX10" s="486"/>
      <c r="AZ10" s="272" t="e">
        <f>RANK(AX10, $K$7:AX$36)</f>
        <v>#N/A</v>
      </c>
      <c r="BB10" s="180" t="e">
        <f t="shared" si="0"/>
        <v>#N/A</v>
      </c>
    </row>
    <row r="11" spans="1:54" ht="14.25">
      <c r="A11" s="79"/>
      <c r="B11" s="479"/>
      <c r="C11" s="180">
        <v>5</v>
      </c>
      <c r="D11" s="201" t="s">
        <v>342</v>
      </c>
      <c r="E11" s="166">
        <v>16</v>
      </c>
      <c r="F11" s="180">
        <v>1500</v>
      </c>
      <c r="G11" s="265">
        <v>93.8</v>
      </c>
      <c r="H11" s="460"/>
      <c r="I11" s="166">
        <f t="shared" si="1"/>
        <v>16</v>
      </c>
      <c r="J11" s="166">
        <f t="shared" si="1"/>
        <v>1198.2782608695654</v>
      </c>
      <c r="K11" s="265">
        <f t="shared" si="1"/>
        <v>74.892391304347839</v>
      </c>
      <c r="L11" s="460"/>
      <c r="M11" s="272">
        <f>RANK(K11, K$7:$K$36)</f>
        <v>12</v>
      </c>
      <c r="N11" s="462"/>
      <c r="O11" s="462"/>
      <c r="P11" s="166"/>
      <c r="Q11" s="166"/>
      <c r="R11" s="166"/>
      <c r="S11" s="180" t="e">
        <f t="shared" si="2"/>
        <v>#N/A</v>
      </c>
      <c r="T11" s="486"/>
      <c r="U11" s="166"/>
      <c r="V11" s="166"/>
      <c r="W11" s="166"/>
      <c r="X11" s="180" t="e">
        <f t="shared" si="3"/>
        <v>#N/A</v>
      </c>
      <c r="Y11" s="486"/>
      <c r="Z11" s="166"/>
      <c r="AA11" s="166"/>
      <c r="AB11" s="166"/>
      <c r="AC11" s="180" t="e">
        <f t="shared" si="4"/>
        <v>#N/A</v>
      </c>
      <c r="AD11" s="486"/>
      <c r="AE11" s="166"/>
      <c r="AF11" s="166"/>
      <c r="AG11" s="166"/>
      <c r="AH11" s="180" t="e">
        <f t="shared" si="5"/>
        <v>#N/A</v>
      </c>
      <c r="AI11" s="486"/>
      <c r="AJ11" s="166"/>
      <c r="AK11" s="166"/>
      <c r="AL11" s="166"/>
      <c r="AM11" s="180" t="e">
        <f t="shared" si="6"/>
        <v>#N/A</v>
      </c>
      <c r="AN11" s="486"/>
      <c r="AO11" s="166">
        <v>16</v>
      </c>
      <c r="AP11" s="166">
        <v>1216.9565217391305</v>
      </c>
      <c r="AQ11" s="166">
        <v>76.059782608695656</v>
      </c>
      <c r="AR11" s="180">
        <f t="shared" si="7"/>
        <v>9</v>
      </c>
      <c r="AS11" s="486"/>
      <c r="AT11" s="166">
        <v>16</v>
      </c>
      <c r="AU11" s="166">
        <v>1179.6000000000004</v>
      </c>
      <c r="AV11" s="166">
        <v>73.725000000000023</v>
      </c>
      <c r="AW11" s="180">
        <f t="shared" si="8"/>
        <v>14</v>
      </c>
      <c r="AX11" s="486"/>
      <c r="AZ11" s="272" t="e">
        <f>RANK(AX11, $K$7:AX$36)</f>
        <v>#N/A</v>
      </c>
      <c r="BB11" s="180" t="e">
        <f t="shared" si="0"/>
        <v>#N/A</v>
      </c>
    </row>
    <row r="12" spans="1:54" ht="14.25">
      <c r="A12" s="79"/>
      <c r="B12" s="479"/>
      <c r="C12" s="180">
        <v>6</v>
      </c>
      <c r="D12" s="201" t="s">
        <v>369</v>
      </c>
      <c r="E12" s="166">
        <v>16</v>
      </c>
      <c r="F12" s="180">
        <v>1565</v>
      </c>
      <c r="G12" s="265">
        <v>97.8</v>
      </c>
      <c r="H12" s="460"/>
      <c r="I12" s="166">
        <f t="shared" si="1"/>
        <v>16</v>
      </c>
      <c r="J12" s="166">
        <f t="shared" si="1"/>
        <v>1230.3333333333326</v>
      </c>
      <c r="K12" s="265">
        <f t="shared" si="1"/>
        <v>76.895833333333286</v>
      </c>
      <c r="L12" s="460"/>
      <c r="M12" s="272">
        <f>RANK(K12, K$7:$K$36)</f>
        <v>7</v>
      </c>
      <c r="N12" s="462"/>
      <c r="O12" s="462"/>
      <c r="P12" s="166"/>
      <c r="Q12" s="166"/>
      <c r="R12" s="166"/>
      <c r="S12" s="180" t="e">
        <f t="shared" si="2"/>
        <v>#N/A</v>
      </c>
      <c r="T12" s="486"/>
      <c r="U12" s="166"/>
      <c r="V12" s="166"/>
      <c r="W12" s="166"/>
      <c r="X12" s="180" t="e">
        <f t="shared" si="3"/>
        <v>#N/A</v>
      </c>
      <c r="Y12" s="486"/>
      <c r="Z12" s="166"/>
      <c r="AA12" s="166"/>
      <c r="AB12" s="166"/>
      <c r="AC12" s="180" t="e">
        <f t="shared" si="4"/>
        <v>#N/A</v>
      </c>
      <c r="AD12" s="486"/>
      <c r="AE12" s="166"/>
      <c r="AF12" s="166"/>
      <c r="AG12" s="166"/>
      <c r="AH12" s="180" t="e">
        <f t="shared" si="5"/>
        <v>#N/A</v>
      </c>
      <c r="AI12" s="486"/>
      <c r="AJ12" s="166"/>
      <c r="AK12" s="166"/>
      <c r="AL12" s="166"/>
      <c r="AM12" s="180" t="e">
        <f t="shared" si="6"/>
        <v>#N/A</v>
      </c>
      <c r="AN12" s="486"/>
      <c r="AO12" s="166">
        <v>16</v>
      </c>
      <c r="AP12" s="166">
        <v>1223.9999999999993</v>
      </c>
      <c r="AQ12" s="166">
        <v>76.499999999999957</v>
      </c>
      <c r="AR12" s="180">
        <f t="shared" si="7"/>
        <v>8</v>
      </c>
      <c r="AS12" s="486"/>
      <c r="AT12" s="166">
        <v>16</v>
      </c>
      <c r="AU12" s="166">
        <v>1236.6666666666658</v>
      </c>
      <c r="AV12" s="166">
        <v>77.291666666666615</v>
      </c>
      <c r="AW12" s="180">
        <f t="shared" si="8"/>
        <v>7</v>
      </c>
      <c r="AX12" s="486"/>
      <c r="AZ12" s="272" t="e">
        <f>RANK(AX12, $K$7:AX$36)</f>
        <v>#N/A</v>
      </c>
      <c r="BB12" s="180" t="e">
        <f t="shared" si="0"/>
        <v>#N/A</v>
      </c>
    </row>
    <row r="13" spans="1:54" ht="14.25">
      <c r="A13" s="79"/>
      <c r="B13" s="479"/>
      <c r="C13" s="180">
        <v>7</v>
      </c>
      <c r="D13" s="201" t="s">
        <v>333</v>
      </c>
      <c r="E13" s="166">
        <v>15</v>
      </c>
      <c r="F13" s="180">
        <v>1440</v>
      </c>
      <c r="G13" s="265">
        <v>102.9</v>
      </c>
      <c r="H13" s="460"/>
      <c r="I13" s="166">
        <f t="shared" si="1"/>
        <v>15</v>
      </c>
      <c r="J13" s="166">
        <f t="shared" si="1"/>
        <v>1127.5862068965489</v>
      </c>
      <c r="K13" s="265">
        <f t="shared" si="1"/>
        <v>75.17241379310326</v>
      </c>
      <c r="L13" s="460"/>
      <c r="M13" s="272">
        <f>RANK(K13, K$7:$K$36)</f>
        <v>11</v>
      </c>
      <c r="N13" s="462"/>
      <c r="O13" s="462"/>
      <c r="P13" s="166"/>
      <c r="Q13" s="166"/>
      <c r="R13" s="166"/>
      <c r="S13" s="180" t="e">
        <f t="shared" si="2"/>
        <v>#N/A</v>
      </c>
      <c r="T13" s="486"/>
      <c r="U13" s="166"/>
      <c r="V13" s="166"/>
      <c r="W13" s="166"/>
      <c r="X13" s="180" t="e">
        <f t="shared" si="3"/>
        <v>#N/A</v>
      </c>
      <c r="Y13" s="486"/>
      <c r="Z13" s="166"/>
      <c r="AA13" s="166"/>
      <c r="AB13" s="166"/>
      <c r="AC13" s="180" t="e">
        <f t="shared" si="4"/>
        <v>#N/A</v>
      </c>
      <c r="AD13" s="486"/>
      <c r="AE13" s="166"/>
      <c r="AF13" s="166"/>
      <c r="AG13" s="166"/>
      <c r="AH13" s="180" t="e">
        <f t="shared" si="5"/>
        <v>#N/A</v>
      </c>
      <c r="AI13" s="486"/>
      <c r="AJ13" s="166"/>
      <c r="AK13" s="166"/>
      <c r="AL13" s="166"/>
      <c r="AM13" s="180" t="e">
        <f t="shared" si="6"/>
        <v>#N/A</v>
      </c>
      <c r="AN13" s="486"/>
      <c r="AO13" s="166">
        <v>15</v>
      </c>
      <c r="AP13" s="166">
        <v>1115.1724137931012</v>
      </c>
      <c r="AQ13" s="166">
        <v>74.344827586206748</v>
      </c>
      <c r="AR13" s="180">
        <f t="shared" si="7"/>
        <v>17</v>
      </c>
      <c r="AS13" s="486"/>
      <c r="AT13" s="166">
        <v>15</v>
      </c>
      <c r="AU13" s="166">
        <v>1139.9999999999964</v>
      </c>
      <c r="AV13" s="166">
        <v>75.999999999999758</v>
      </c>
      <c r="AW13" s="180">
        <f t="shared" si="8"/>
        <v>9</v>
      </c>
      <c r="AX13" s="486"/>
      <c r="AZ13" s="272" t="e">
        <f>RANK(AX13, $K$7:AX$36)</f>
        <v>#N/A</v>
      </c>
      <c r="BB13" s="180" t="e">
        <f t="shared" si="0"/>
        <v>#N/A</v>
      </c>
    </row>
    <row r="14" spans="1:54" ht="14.25">
      <c r="A14" s="79"/>
      <c r="B14" s="479"/>
      <c r="C14" s="180">
        <v>8</v>
      </c>
      <c r="D14" s="201" t="s">
        <v>368</v>
      </c>
      <c r="E14" s="166">
        <v>16</v>
      </c>
      <c r="F14" s="180">
        <v>1440</v>
      </c>
      <c r="G14" s="265">
        <v>90</v>
      </c>
      <c r="H14" s="460"/>
      <c r="I14" s="166">
        <f t="shared" si="1"/>
        <v>16</v>
      </c>
      <c r="J14" s="166">
        <f t="shared" si="1"/>
        <v>1286.1666666666654</v>
      </c>
      <c r="K14" s="265">
        <f t="shared" si="1"/>
        <v>80.385416666666586</v>
      </c>
      <c r="L14" s="460"/>
      <c r="M14" s="272">
        <f>RANK(K14, K$7:$K$36)</f>
        <v>3</v>
      </c>
      <c r="N14" s="462"/>
      <c r="O14" s="462"/>
      <c r="P14" s="166"/>
      <c r="Q14" s="166"/>
      <c r="R14" s="166"/>
      <c r="S14" s="180" t="e">
        <f t="shared" si="2"/>
        <v>#N/A</v>
      </c>
      <c r="T14" s="486"/>
      <c r="U14" s="166"/>
      <c r="V14" s="166"/>
      <c r="W14" s="166"/>
      <c r="X14" s="180" t="e">
        <f t="shared" si="3"/>
        <v>#N/A</v>
      </c>
      <c r="Y14" s="486"/>
      <c r="Z14" s="166"/>
      <c r="AA14" s="166"/>
      <c r="AB14" s="166"/>
      <c r="AC14" s="180" t="e">
        <f t="shared" si="4"/>
        <v>#N/A</v>
      </c>
      <c r="AD14" s="486"/>
      <c r="AE14" s="166"/>
      <c r="AF14" s="166"/>
      <c r="AG14" s="166"/>
      <c r="AH14" s="180" t="e">
        <f t="shared" si="5"/>
        <v>#N/A</v>
      </c>
      <c r="AI14" s="486"/>
      <c r="AJ14" s="166"/>
      <c r="AK14" s="166"/>
      <c r="AL14" s="166"/>
      <c r="AM14" s="180" t="e">
        <f t="shared" si="6"/>
        <v>#N/A</v>
      </c>
      <c r="AN14" s="486"/>
      <c r="AO14" s="166">
        <v>16</v>
      </c>
      <c r="AP14" s="166">
        <v>1288.3333333333321</v>
      </c>
      <c r="AQ14" s="166">
        <v>80.520833333333258</v>
      </c>
      <c r="AR14" s="180">
        <f t="shared" si="7"/>
        <v>4</v>
      </c>
      <c r="AS14" s="486"/>
      <c r="AT14" s="166">
        <v>16</v>
      </c>
      <c r="AU14" s="166">
        <v>1283.9999999999986</v>
      </c>
      <c r="AV14" s="166">
        <v>80.249999999999915</v>
      </c>
      <c r="AW14" s="180">
        <f t="shared" si="8"/>
        <v>3</v>
      </c>
      <c r="AX14" s="486"/>
      <c r="AZ14" s="272" t="e">
        <f>RANK(AX14, $K$7:AX$36)</f>
        <v>#N/A</v>
      </c>
      <c r="BB14" s="180" t="e">
        <f t="shared" si="0"/>
        <v>#N/A</v>
      </c>
    </row>
    <row r="15" spans="1:54" ht="14.25">
      <c r="A15" s="79"/>
      <c r="B15" s="479"/>
      <c r="C15" s="180">
        <v>9</v>
      </c>
      <c r="D15" s="201" t="s">
        <v>364</v>
      </c>
      <c r="E15" s="166">
        <v>16</v>
      </c>
      <c r="F15" s="180">
        <v>1380</v>
      </c>
      <c r="G15" s="265">
        <v>86.25</v>
      </c>
      <c r="H15" s="460"/>
      <c r="I15" s="166">
        <f t="shared" si="1"/>
        <v>17</v>
      </c>
      <c r="J15" s="166">
        <f t="shared" si="1"/>
        <v>1245.1346153846148</v>
      </c>
      <c r="K15" s="265">
        <f t="shared" si="1"/>
        <v>73.243212669683231</v>
      </c>
      <c r="L15" s="460"/>
      <c r="M15" s="272">
        <f>RANK(K15, K$7:$K$36)</f>
        <v>16</v>
      </c>
      <c r="N15" s="462"/>
      <c r="O15" s="462"/>
      <c r="P15" s="166"/>
      <c r="Q15" s="166"/>
      <c r="R15" s="166"/>
      <c r="S15" s="180" t="e">
        <f t="shared" si="2"/>
        <v>#N/A</v>
      </c>
      <c r="T15" s="486"/>
      <c r="U15" s="166"/>
      <c r="V15" s="166"/>
      <c r="W15" s="166"/>
      <c r="X15" s="180" t="e">
        <f t="shared" si="3"/>
        <v>#N/A</v>
      </c>
      <c r="Y15" s="486"/>
      <c r="Z15" s="166"/>
      <c r="AA15" s="166"/>
      <c r="AB15" s="166"/>
      <c r="AC15" s="180" t="e">
        <f t="shared" si="4"/>
        <v>#N/A</v>
      </c>
      <c r="AD15" s="486"/>
      <c r="AE15" s="166"/>
      <c r="AF15" s="166"/>
      <c r="AG15" s="166"/>
      <c r="AH15" s="180" t="e">
        <f t="shared" si="5"/>
        <v>#N/A</v>
      </c>
      <c r="AI15" s="486"/>
      <c r="AJ15" s="166"/>
      <c r="AK15" s="166"/>
      <c r="AL15" s="166"/>
      <c r="AM15" s="180" t="e">
        <f t="shared" si="6"/>
        <v>#N/A</v>
      </c>
      <c r="AN15" s="486"/>
      <c r="AO15" s="166">
        <v>17</v>
      </c>
      <c r="AP15" s="166">
        <v>1279.4999999999995</v>
      </c>
      <c r="AQ15" s="166">
        <v>75.264705882352914</v>
      </c>
      <c r="AR15" s="180">
        <f t="shared" si="7"/>
        <v>12</v>
      </c>
      <c r="AS15" s="486"/>
      <c r="AT15" s="166">
        <v>17</v>
      </c>
      <c r="AU15" s="166">
        <v>1210.76923076923</v>
      </c>
      <c r="AV15" s="166">
        <v>71.221719457013535</v>
      </c>
      <c r="AW15" s="180">
        <f t="shared" si="8"/>
        <v>19</v>
      </c>
      <c r="AX15" s="486"/>
      <c r="AZ15" s="272" t="e">
        <f>RANK(AX15, $K$7:AX$36)</f>
        <v>#N/A</v>
      </c>
      <c r="BB15" s="180" t="e">
        <f t="shared" si="0"/>
        <v>#N/A</v>
      </c>
    </row>
    <row r="16" spans="1:54" ht="14.25">
      <c r="A16" s="79"/>
      <c r="B16" s="479"/>
      <c r="C16" s="180">
        <v>10</v>
      </c>
      <c r="D16" s="201" t="s">
        <v>367</v>
      </c>
      <c r="E16" s="166">
        <v>18</v>
      </c>
      <c r="F16" s="180">
        <v>1636</v>
      </c>
      <c r="G16" s="265">
        <v>90.9</v>
      </c>
      <c r="H16" s="460"/>
      <c r="I16" s="166">
        <f t="shared" si="1"/>
        <v>18</v>
      </c>
      <c r="J16" s="166">
        <f t="shared" si="1"/>
        <v>1341.2941176470595</v>
      </c>
      <c r="K16" s="265">
        <f t="shared" si="1"/>
        <v>74.516339869281069</v>
      </c>
      <c r="L16" s="460"/>
      <c r="M16" s="272">
        <f>RANK(K16, K$7:$K$36)</f>
        <v>13</v>
      </c>
      <c r="N16" s="462"/>
      <c r="O16" s="462"/>
      <c r="P16" s="166"/>
      <c r="Q16" s="166"/>
      <c r="R16" s="166"/>
      <c r="S16" s="180" t="e">
        <f t="shared" si="2"/>
        <v>#N/A</v>
      </c>
      <c r="T16" s="486"/>
      <c r="U16" s="166"/>
      <c r="V16" s="166"/>
      <c r="W16" s="166"/>
      <c r="X16" s="180" t="e">
        <f t="shared" si="3"/>
        <v>#N/A</v>
      </c>
      <c r="Y16" s="486"/>
      <c r="Z16" s="166"/>
      <c r="AA16" s="166"/>
      <c r="AB16" s="166"/>
      <c r="AC16" s="180" t="e">
        <f t="shared" si="4"/>
        <v>#N/A</v>
      </c>
      <c r="AD16" s="486"/>
      <c r="AE16" s="166"/>
      <c r="AF16" s="166"/>
      <c r="AG16" s="166"/>
      <c r="AH16" s="180" t="e">
        <f t="shared" si="5"/>
        <v>#N/A</v>
      </c>
      <c r="AI16" s="486"/>
      <c r="AJ16" s="166"/>
      <c r="AK16" s="166"/>
      <c r="AL16" s="166"/>
      <c r="AM16" s="180" t="e">
        <f t="shared" si="6"/>
        <v>#N/A</v>
      </c>
      <c r="AN16" s="486"/>
      <c r="AO16" s="166">
        <v>18</v>
      </c>
      <c r="AP16" s="166">
        <v>1350.5882352941182</v>
      </c>
      <c r="AQ16" s="166">
        <v>75.032679738562123</v>
      </c>
      <c r="AR16" s="180">
        <f t="shared" si="7"/>
        <v>14</v>
      </c>
      <c r="AS16" s="486"/>
      <c r="AT16" s="166">
        <v>18</v>
      </c>
      <c r="AU16" s="166">
        <v>1332.0000000000005</v>
      </c>
      <c r="AV16" s="166">
        <v>74.000000000000028</v>
      </c>
      <c r="AW16" s="180">
        <f t="shared" si="8"/>
        <v>12</v>
      </c>
      <c r="AX16" s="486"/>
      <c r="AZ16" s="272" t="e">
        <f>RANK(AX16, $K$7:AX$36)</f>
        <v>#N/A</v>
      </c>
      <c r="BB16" s="180" t="e">
        <f t="shared" si="0"/>
        <v>#N/A</v>
      </c>
    </row>
    <row r="17" spans="2:54">
      <c r="B17" s="479"/>
      <c r="C17" s="180">
        <v>11</v>
      </c>
      <c r="D17" s="201" t="s">
        <v>366</v>
      </c>
      <c r="E17" s="166">
        <v>18</v>
      </c>
      <c r="F17" s="180">
        <v>1636</v>
      </c>
      <c r="G17" s="265">
        <v>90.9</v>
      </c>
      <c r="H17" s="460"/>
      <c r="I17" s="166">
        <f t="shared" si="1"/>
        <v>18.5</v>
      </c>
      <c r="J17" s="166">
        <f t="shared" si="1"/>
        <v>1349.8195488721794</v>
      </c>
      <c r="K17" s="265">
        <f t="shared" si="1"/>
        <v>73.037593984962342</v>
      </c>
      <c r="L17" s="460"/>
      <c r="M17" s="272">
        <f>RANK(K17, K$7:$K$36)</f>
        <v>17</v>
      </c>
      <c r="N17" s="462"/>
      <c r="O17" s="462"/>
      <c r="P17" s="166"/>
      <c r="Q17" s="166"/>
      <c r="R17" s="166"/>
      <c r="S17" s="180" t="e">
        <f t="shared" si="2"/>
        <v>#N/A</v>
      </c>
      <c r="T17" s="486"/>
      <c r="U17" s="166"/>
      <c r="V17" s="166"/>
      <c r="W17" s="166"/>
      <c r="X17" s="180" t="e">
        <f t="shared" si="3"/>
        <v>#N/A</v>
      </c>
      <c r="Y17" s="486"/>
      <c r="Z17" s="166"/>
      <c r="AA17" s="166"/>
      <c r="AB17" s="166"/>
      <c r="AC17" s="180" t="e">
        <f t="shared" si="4"/>
        <v>#N/A</v>
      </c>
      <c r="AD17" s="486"/>
      <c r="AE17" s="166"/>
      <c r="AF17" s="166"/>
      <c r="AG17" s="166"/>
      <c r="AH17" s="180" t="e">
        <f t="shared" si="5"/>
        <v>#N/A</v>
      </c>
      <c r="AI17" s="486"/>
      <c r="AJ17" s="166"/>
      <c r="AK17" s="166"/>
      <c r="AL17" s="166"/>
      <c r="AM17" s="180" t="e">
        <f t="shared" si="6"/>
        <v>#N/A</v>
      </c>
      <c r="AN17" s="486"/>
      <c r="AO17" s="166">
        <v>18</v>
      </c>
      <c r="AP17" s="166">
        <v>1364.2105263157885</v>
      </c>
      <c r="AQ17" s="166">
        <v>75.789473684210463</v>
      </c>
      <c r="AR17" s="180">
        <f t="shared" si="7"/>
        <v>11</v>
      </c>
      <c r="AS17" s="486"/>
      <c r="AT17" s="166">
        <v>19</v>
      </c>
      <c r="AU17" s="166">
        <v>1335.4285714285702</v>
      </c>
      <c r="AV17" s="166">
        <v>70.285714285714221</v>
      </c>
      <c r="AW17" s="180">
        <f t="shared" si="8"/>
        <v>21</v>
      </c>
      <c r="AX17" s="486"/>
      <c r="AZ17" s="272" t="e">
        <f>RANK(AX17, $K$7:AX$36)</f>
        <v>#N/A</v>
      </c>
      <c r="BB17" s="180" t="e">
        <f t="shared" si="0"/>
        <v>#N/A</v>
      </c>
    </row>
    <row r="18" spans="2:54">
      <c r="B18" s="479"/>
      <c r="C18" s="180">
        <v>12</v>
      </c>
      <c r="D18" s="201" t="s">
        <v>344</v>
      </c>
      <c r="E18" s="166">
        <v>17</v>
      </c>
      <c r="F18" s="180">
        <v>1500</v>
      </c>
      <c r="G18" s="265">
        <v>88.2</v>
      </c>
      <c r="H18" s="460"/>
      <c r="I18" s="166">
        <f t="shared" si="1"/>
        <v>17</v>
      </c>
      <c r="J18" s="166">
        <f t="shared" si="1"/>
        <v>1289.6212121212109</v>
      </c>
      <c r="K18" s="265">
        <f t="shared" si="1"/>
        <v>75.8600713012477</v>
      </c>
      <c r="L18" s="460"/>
      <c r="M18" s="272">
        <f>RANK(K18, K$7:$K$36)</f>
        <v>9</v>
      </c>
      <c r="N18" s="462"/>
      <c r="O18" s="462"/>
      <c r="P18" s="166"/>
      <c r="Q18" s="166"/>
      <c r="R18" s="166"/>
      <c r="S18" s="180" t="e">
        <f t="shared" si="2"/>
        <v>#N/A</v>
      </c>
      <c r="T18" s="486"/>
      <c r="U18" s="166"/>
      <c r="V18" s="166"/>
      <c r="W18" s="166"/>
      <c r="X18" s="180" t="e">
        <f t="shared" si="3"/>
        <v>#N/A</v>
      </c>
      <c r="Y18" s="486"/>
      <c r="Z18" s="166"/>
      <c r="AA18" s="166"/>
      <c r="AB18" s="166"/>
      <c r="AC18" s="180" t="e">
        <f t="shared" si="4"/>
        <v>#N/A</v>
      </c>
      <c r="AD18" s="486"/>
      <c r="AE18" s="166"/>
      <c r="AF18" s="166"/>
      <c r="AG18" s="166"/>
      <c r="AH18" s="180" t="e">
        <f t="shared" si="5"/>
        <v>#N/A</v>
      </c>
      <c r="AI18" s="486"/>
      <c r="AJ18" s="166"/>
      <c r="AK18" s="166"/>
      <c r="AL18" s="166"/>
      <c r="AM18" s="180" t="e">
        <f t="shared" si="6"/>
        <v>#N/A</v>
      </c>
      <c r="AN18" s="486"/>
      <c r="AO18" s="166">
        <v>17</v>
      </c>
      <c r="AP18" s="166">
        <v>1308.3333333333323</v>
      </c>
      <c r="AQ18" s="166">
        <v>76.960784313725426</v>
      </c>
      <c r="AR18" s="180">
        <f t="shared" si="7"/>
        <v>7</v>
      </c>
      <c r="AS18" s="486"/>
      <c r="AT18" s="166">
        <v>17</v>
      </c>
      <c r="AU18" s="166">
        <v>1270.9090909090894</v>
      </c>
      <c r="AV18" s="166">
        <v>74.75935828876996</v>
      </c>
      <c r="AW18" s="180">
        <f t="shared" si="8"/>
        <v>11</v>
      </c>
      <c r="AX18" s="486"/>
      <c r="AZ18" s="272" t="e">
        <f>RANK(AX18, $K$7:AX$36)</f>
        <v>#N/A</v>
      </c>
      <c r="BB18" s="180" t="e">
        <f t="shared" si="0"/>
        <v>#N/A</v>
      </c>
    </row>
    <row r="19" spans="2:54">
      <c r="B19" s="479"/>
      <c r="C19" s="180">
        <v>13</v>
      </c>
      <c r="D19" s="201" t="s">
        <v>548</v>
      </c>
      <c r="E19" s="166">
        <v>18</v>
      </c>
      <c r="F19" s="180">
        <v>1440</v>
      </c>
      <c r="G19" s="265">
        <v>80</v>
      </c>
      <c r="H19" s="460"/>
      <c r="I19" s="166">
        <f t="shared" si="1"/>
        <v>18</v>
      </c>
      <c r="J19" s="166">
        <f t="shared" si="1"/>
        <v>1331.5590062111787</v>
      </c>
      <c r="K19" s="265">
        <f t="shared" si="1"/>
        <v>73.975500345065484</v>
      </c>
      <c r="L19" s="460"/>
      <c r="M19" s="272">
        <f>RANK(K19, K$7:$K$36)</f>
        <v>15</v>
      </c>
      <c r="N19" s="462"/>
      <c r="O19" s="462"/>
      <c r="P19" s="166"/>
      <c r="Q19" s="166"/>
      <c r="R19" s="166"/>
      <c r="S19" s="180" t="e">
        <f t="shared" si="2"/>
        <v>#N/A</v>
      </c>
      <c r="T19" s="486"/>
      <c r="U19" s="166"/>
      <c r="V19" s="166"/>
      <c r="W19" s="166"/>
      <c r="X19" s="180" t="e">
        <f t="shared" si="3"/>
        <v>#N/A</v>
      </c>
      <c r="Y19" s="486"/>
      <c r="Z19" s="166"/>
      <c r="AA19" s="166"/>
      <c r="AB19" s="166"/>
      <c r="AC19" s="180" t="e">
        <f t="shared" si="4"/>
        <v>#N/A</v>
      </c>
      <c r="AD19" s="486"/>
      <c r="AE19" s="166"/>
      <c r="AF19" s="166"/>
      <c r="AG19" s="166"/>
      <c r="AH19" s="180" t="e">
        <f t="shared" si="5"/>
        <v>#N/A</v>
      </c>
      <c r="AI19" s="486"/>
      <c r="AJ19" s="166"/>
      <c r="AK19" s="166"/>
      <c r="AL19" s="166"/>
      <c r="AM19" s="180" t="e">
        <f t="shared" si="6"/>
        <v>#N/A</v>
      </c>
      <c r="AN19" s="486"/>
      <c r="AO19" s="166">
        <v>18</v>
      </c>
      <c r="AP19" s="166">
        <v>1344.8571428571415</v>
      </c>
      <c r="AQ19" s="166">
        <v>74.714285714285637</v>
      </c>
      <c r="AR19" s="180">
        <f t="shared" si="7"/>
        <v>16</v>
      </c>
      <c r="AS19" s="486"/>
      <c r="AT19" s="166">
        <v>18</v>
      </c>
      <c r="AU19" s="166">
        <v>1318.2608695652159</v>
      </c>
      <c r="AV19" s="166">
        <v>73.236714975845331</v>
      </c>
      <c r="AW19" s="180">
        <f t="shared" si="8"/>
        <v>15</v>
      </c>
      <c r="AX19" s="486"/>
      <c r="AZ19" s="272" t="e">
        <f>RANK(AX19, $K$7:AX$36)</f>
        <v>#N/A</v>
      </c>
      <c r="BB19" s="180" t="e">
        <f t="shared" si="0"/>
        <v>#N/A</v>
      </c>
    </row>
    <row r="20" spans="2:54">
      <c r="B20" s="479"/>
      <c r="C20" s="180">
        <v>14</v>
      </c>
      <c r="D20" s="201" t="s">
        <v>370</v>
      </c>
      <c r="E20" s="166">
        <v>15</v>
      </c>
      <c r="F20" s="180">
        <v>1440</v>
      </c>
      <c r="G20" s="265">
        <v>96</v>
      </c>
      <c r="H20" s="460"/>
      <c r="I20" s="166">
        <f t="shared" si="1"/>
        <v>16</v>
      </c>
      <c r="J20" s="166">
        <f t="shared" si="1"/>
        <v>1252.372881355933</v>
      </c>
      <c r="K20" s="265">
        <f t="shared" si="1"/>
        <v>78.273305084745814</v>
      </c>
      <c r="L20" s="460"/>
      <c r="M20" s="272">
        <f>RANK(K20, K$7:$K$36)</f>
        <v>6</v>
      </c>
      <c r="N20" s="462"/>
      <c r="O20" s="462"/>
      <c r="P20" s="166"/>
      <c r="Q20" s="166"/>
      <c r="R20" s="166"/>
      <c r="S20" s="180" t="e">
        <f t="shared" si="2"/>
        <v>#N/A</v>
      </c>
      <c r="T20" s="486"/>
      <c r="U20" s="166"/>
      <c r="V20" s="166"/>
      <c r="W20" s="166"/>
      <c r="X20" s="180" t="e">
        <f t="shared" si="3"/>
        <v>#N/A</v>
      </c>
      <c r="Y20" s="486"/>
      <c r="Z20" s="166"/>
      <c r="AA20" s="166"/>
      <c r="AB20" s="166"/>
      <c r="AC20" s="180" t="e">
        <f t="shared" si="4"/>
        <v>#N/A</v>
      </c>
      <c r="AD20" s="486"/>
      <c r="AE20" s="166"/>
      <c r="AF20" s="166"/>
      <c r="AG20" s="166"/>
      <c r="AH20" s="180" t="e">
        <f t="shared" si="5"/>
        <v>#N/A</v>
      </c>
      <c r="AI20" s="486"/>
      <c r="AJ20" s="166"/>
      <c r="AK20" s="166"/>
      <c r="AL20" s="166"/>
      <c r="AM20" s="180" t="e">
        <f t="shared" si="6"/>
        <v>#N/A</v>
      </c>
      <c r="AN20" s="486"/>
      <c r="AO20" s="166">
        <v>16</v>
      </c>
      <c r="AP20" s="166">
        <v>1244.7457627118654</v>
      </c>
      <c r="AQ20" s="166">
        <v>77.796610169491586</v>
      </c>
      <c r="AR20" s="180">
        <f t="shared" si="7"/>
        <v>5</v>
      </c>
      <c r="AS20" s="486"/>
      <c r="AT20" s="166">
        <v>16</v>
      </c>
      <c r="AU20" s="166">
        <v>1260.0000000000007</v>
      </c>
      <c r="AV20" s="166">
        <v>78.750000000000043</v>
      </c>
      <c r="AW20" s="180">
        <f t="shared" si="8"/>
        <v>5</v>
      </c>
      <c r="AX20" s="486"/>
      <c r="AZ20" s="272" t="e">
        <f>RANK(AX20, $K$7:AX$36)</f>
        <v>#N/A</v>
      </c>
      <c r="BB20" s="180" t="e">
        <f t="shared" si="0"/>
        <v>#N/A</v>
      </c>
    </row>
    <row r="21" spans="2:54">
      <c r="B21" s="479"/>
      <c r="C21" s="180">
        <v>15</v>
      </c>
      <c r="D21" s="201" t="s">
        <v>335</v>
      </c>
      <c r="E21" s="166">
        <v>17</v>
      </c>
      <c r="F21" s="180">
        <v>1440</v>
      </c>
      <c r="G21" s="265">
        <v>84.7</v>
      </c>
      <c r="H21" s="460"/>
      <c r="I21" s="166">
        <f t="shared" si="1"/>
        <v>17</v>
      </c>
      <c r="J21" s="166">
        <f t="shared" si="1"/>
        <v>1335.1596424010213</v>
      </c>
      <c r="K21" s="265">
        <f t="shared" si="1"/>
        <v>78.53880249417773</v>
      </c>
      <c r="L21" s="460"/>
      <c r="M21" s="272">
        <f>RANK(K21, K$7:$K$36)</f>
        <v>5</v>
      </c>
      <c r="N21" s="462"/>
      <c r="O21" s="462"/>
      <c r="P21" s="166"/>
      <c r="Q21" s="166"/>
      <c r="R21" s="166"/>
      <c r="S21" s="180" t="e">
        <f t="shared" si="2"/>
        <v>#N/A</v>
      </c>
      <c r="T21" s="486"/>
      <c r="U21" s="166"/>
      <c r="V21" s="166"/>
      <c r="W21" s="166"/>
      <c r="X21" s="180" t="e">
        <f t="shared" si="3"/>
        <v>#N/A</v>
      </c>
      <c r="Y21" s="486"/>
      <c r="Z21" s="166"/>
      <c r="AA21" s="166"/>
      <c r="AB21" s="166"/>
      <c r="AC21" s="180" t="e">
        <f t="shared" si="4"/>
        <v>#N/A</v>
      </c>
      <c r="AD21" s="486"/>
      <c r="AE21" s="166"/>
      <c r="AF21" s="166"/>
      <c r="AG21" s="166"/>
      <c r="AH21" s="180" t="e">
        <f t="shared" si="5"/>
        <v>#N/A</v>
      </c>
      <c r="AI21" s="486"/>
      <c r="AJ21" s="166"/>
      <c r="AK21" s="166"/>
      <c r="AL21" s="166"/>
      <c r="AM21" s="180" t="e">
        <f t="shared" si="6"/>
        <v>#N/A</v>
      </c>
      <c r="AN21" s="486"/>
      <c r="AO21" s="166">
        <v>17</v>
      </c>
      <c r="AP21" s="166">
        <v>1320.6896551724137</v>
      </c>
      <c r="AQ21" s="166">
        <v>77.687626774847871</v>
      </c>
      <c r="AR21" s="180">
        <f t="shared" si="7"/>
        <v>6</v>
      </c>
      <c r="AS21" s="486"/>
      <c r="AT21" s="166">
        <v>17</v>
      </c>
      <c r="AU21" s="166">
        <v>1349.6296296296291</v>
      </c>
      <c r="AV21" s="166">
        <v>79.38997821350759</v>
      </c>
      <c r="AW21" s="180">
        <f t="shared" si="8"/>
        <v>4</v>
      </c>
      <c r="AX21" s="486"/>
      <c r="AZ21" s="166" t="e">
        <f>RANK(AX21, $K$7:AX$36)</f>
        <v>#N/A</v>
      </c>
      <c r="BB21" s="180" t="e">
        <f t="shared" si="0"/>
        <v>#N/A</v>
      </c>
    </row>
    <row r="22" spans="2:54">
      <c r="B22" s="479"/>
      <c r="C22" s="180">
        <v>16</v>
      </c>
      <c r="D22" s="201" t="s">
        <v>365</v>
      </c>
      <c r="E22" s="166">
        <v>19</v>
      </c>
      <c r="F22" s="180">
        <v>1440</v>
      </c>
      <c r="G22" s="265">
        <v>75.8</v>
      </c>
      <c r="H22" s="460"/>
      <c r="I22" s="166">
        <f t="shared" si="1"/>
        <v>18</v>
      </c>
      <c r="J22" s="166">
        <f t="shared" si="1"/>
        <v>1291.0714285714275</v>
      </c>
      <c r="K22" s="265">
        <f t="shared" si="1"/>
        <v>71.726190476190425</v>
      </c>
      <c r="L22" s="460"/>
      <c r="M22" s="272">
        <f>RANK(K22, K$7:$K$36)</f>
        <v>18</v>
      </c>
      <c r="N22" s="462"/>
      <c r="O22" s="462"/>
      <c r="P22" s="166"/>
      <c r="Q22" s="166"/>
      <c r="R22" s="166"/>
      <c r="S22" s="180" t="e">
        <f t="shared" si="2"/>
        <v>#N/A</v>
      </c>
      <c r="T22" s="486"/>
      <c r="U22" s="166"/>
      <c r="V22" s="166"/>
      <c r="W22" s="166"/>
      <c r="X22" s="180" t="e">
        <f t="shared" si="3"/>
        <v>#N/A</v>
      </c>
      <c r="Y22" s="486"/>
      <c r="Z22" s="166"/>
      <c r="AA22" s="166"/>
      <c r="AB22" s="166"/>
      <c r="AC22" s="180" t="e">
        <f t="shared" si="4"/>
        <v>#N/A</v>
      </c>
      <c r="AD22" s="486"/>
      <c r="AE22" s="166"/>
      <c r="AF22" s="166"/>
      <c r="AG22" s="166"/>
      <c r="AH22" s="180" t="e">
        <f t="shared" si="5"/>
        <v>#N/A</v>
      </c>
      <c r="AI22" s="486"/>
      <c r="AJ22" s="166"/>
      <c r="AK22" s="166"/>
      <c r="AL22" s="166"/>
      <c r="AM22" s="180" t="e">
        <f t="shared" si="6"/>
        <v>#N/A</v>
      </c>
      <c r="AN22" s="486"/>
      <c r="AO22" s="166">
        <v>18</v>
      </c>
      <c r="AP22" s="166">
        <v>1277.1428571428544</v>
      </c>
      <c r="AQ22" s="166">
        <v>70.952380952380793</v>
      </c>
      <c r="AR22" s="180">
        <f t="shared" si="7"/>
        <v>19</v>
      </c>
      <c r="AS22" s="486"/>
      <c r="AT22" s="166">
        <v>18</v>
      </c>
      <c r="AU22" s="166">
        <v>1305.0000000000007</v>
      </c>
      <c r="AV22" s="166">
        <v>72.500000000000043</v>
      </c>
      <c r="AW22" s="180">
        <f t="shared" si="8"/>
        <v>16</v>
      </c>
      <c r="AX22" s="486"/>
      <c r="AZ22" s="166" t="e">
        <f>RANK(AX22, $K$7:AX$36)</f>
        <v>#N/A</v>
      </c>
      <c r="BB22" s="180" t="e">
        <f t="shared" si="0"/>
        <v>#N/A</v>
      </c>
    </row>
    <row r="23" spans="2:54">
      <c r="B23" s="479"/>
      <c r="C23" s="180">
        <v>17</v>
      </c>
      <c r="D23" s="201" t="s">
        <v>371</v>
      </c>
      <c r="E23" s="166">
        <v>19</v>
      </c>
      <c r="F23" s="180">
        <v>1500</v>
      </c>
      <c r="G23" s="265">
        <v>78.900000000000006</v>
      </c>
      <c r="H23" s="460"/>
      <c r="I23" s="166">
        <f t="shared" si="1"/>
        <v>18</v>
      </c>
      <c r="J23" s="166">
        <f t="shared" si="1"/>
        <v>1283.842105263157</v>
      </c>
      <c r="K23" s="265">
        <f t="shared" si="1"/>
        <v>71.324561403508724</v>
      </c>
      <c r="L23" s="460"/>
      <c r="M23" s="272">
        <f>RANK(K23, K$7:$K$36)</f>
        <v>19</v>
      </c>
      <c r="N23" s="462"/>
      <c r="O23" s="462"/>
      <c r="P23" s="166"/>
      <c r="Q23" s="166"/>
      <c r="R23" s="166"/>
      <c r="S23" s="180" t="e">
        <f t="shared" si="2"/>
        <v>#N/A</v>
      </c>
      <c r="T23" s="486"/>
      <c r="U23" s="166"/>
      <c r="V23" s="166"/>
      <c r="W23" s="166"/>
      <c r="X23" s="180" t="e">
        <f t="shared" si="3"/>
        <v>#N/A</v>
      </c>
      <c r="Y23" s="486"/>
      <c r="Z23" s="166"/>
      <c r="AA23" s="166"/>
      <c r="AB23" s="166"/>
      <c r="AC23" s="180" t="e">
        <f t="shared" si="4"/>
        <v>#N/A</v>
      </c>
      <c r="AD23" s="486"/>
      <c r="AE23" s="166"/>
      <c r="AF23" s="166"/>
      <c r="AG23" s="166"/>
      <c r="AH23" s="180" t="e">
        <f t="shared" si="5"/>
        <v>#N/A</v>
      </c>
      <c r="AI23" s="486"/>
      <c r="AJ23" s="166"/>
      <c r="AK23" s="166"/>
      <c r="AL23" s="166"/>
      <c r="AM23" s="180" t="e">
        <f t="shared" si="6"/>
        <v>#N/A</v>
      </c>
      <c r="AN23" s="486"/>
      <c r="AO23" s="166">
        <v>18</v>
      </c>
      <c r="AP23" s="166">
        <v>1313.9999999999995</v>
      </c>
      <c r="AQ23" s="166">
        <v>72.999999999999972</v>
      </c>
      <c r="AR23" s="180">
        <f t="shared" si="7"/>
        <v>18</v>
      </c>
      <c r="AS23" s="486"/>
      <c r="AT23" s="166">
        <v>18</v>
      </c>
      <c r="AU23" s="166">
        <v>1253.6842105263147</v>
      </c>
      <c r="AV23" s="166">
        <v>69.649122807017477</v>
      </c>
      <c r="AW23" s="180">
        <f t="shared" si="8"/>
        <v>22</v>
      </c>
      <c r="AX23" s="486"/>
      <c r="AZ23" s="166" t="e">
        <f>RANK(AX23, $K$7:AX$36)</f>
        <v>#N/A</v>
      </c>
      <c r="BB23" s="180" t="e">
        <f t="shared" si="0"/>
        <v>#N/A</v>
      </c>
    </row>
    <row r="24" spans="2:54">
      <c r="B24" s="479"/>
      <c r="C24" s="180">
        <v>18</v>
      </c>
      <c r="D24" s="201" t="s">
        <v>428</v>
      </c>
      <c r="E24" s="166">
        <v>18</v>
      </c>
      <c r="F24" s="180">
        <v>1440</v>
      </c>
      <c r="G24" s="265">
        <v>80</v>
      </c>
      <c r="H24" s="460"/>
      <c r="I24" s="166">
        <f t="shared" si="1"/>
        <v>18</v>
      </c>
      <c r="J24" s="166">
        <f t="shared" si="1"/>
        <v>1091.2499999999964</v>
      </c>
      <c r="K24" s="265">
        <f t="shared" si="1"/>
        <v>60.624999999999801</v>
      </c>
      <c r="L24" s="460"/>
      <c r="M24" s="272">
        <f>RANK(K24, K$7:$K$36)</f>
        <v>26</v>
      </c>
      <c r="N24" s="462"/>
      <c r="O24" s="462"/>
      <c r="P24" s="166"/>
      <c r="Q24" s="166"/>
      <c r="R24" s="166"/>
      <c r="S24" s="180" t="e">
        <f t="shared" si="2"/>
        <v>#N/A</v>
      </c>
      <c r="T24" s="486"/>
      <c r="U24" s="166"/>
      <c r="V24" s="166"/>
      <c r="W24" s="166"/>
      <c r="X24" s="180" t="e">
        <f t="shared" si="3"/>
        <v>#N/A</v>
      </c>
      <c r="Y24" s="486"/>
      <c r="Z24" s="166"/>
      <c r="AA24" s="166"/>
      <c r="AB24" s="166"/>
      <c r="AC24" s="180" t="e">
        <f t="shared" si="4"/>
        <v>#N/A</v>
      </c>
      <c r="AD24" s="486"/>
      <c r="AE24" s="166"/>
      <c r="AF24" s="166"/>
      <c r="AG24" s="166"/>
      <c r="AH24" s="180" t="e">
        <f t="shared" si="5"/>
        <v>#N/A</v>
      </c>
      <c r="AI24" s="486"/>
      <c r="AJ24" s="166"/>
      <c r="AK24" s="166"/>
      <c r="AL24" s="166"/>
      <c r="AM24" s="180" t="e">
        <f t="shared" si="6"/>
        <v>#N/A</v>
      </c>
      <c r="AN24" s="486"/>
      <c r="AO24" s="166">
        <v>18</v>
      </c>
      <c r="AP24" s="166">
        <v>1102.4999999999966</v>
      </c>
      <c r="AQ24" s="166">
        <v>61.249999999999808</v>
      </c>
      <c r="AR24" s="180">
        <f t="shared" si="7"/>
        <v>26</v>
      </c>
      <c r="AS24" s="486"/>
      <c r="AT24" s="166">
        <v>18</v>
      </c>
      <c r="AU24" s="166">
        <v>1079.9999999999964</v>
      </c>
      <c r="AV24" s="166">
        <v>59.999999999999801</v>
      </c>
      <c r="AW24" s="180">
        <f t="shared" si="8"/>
        <v>27</v>
      </c>
      <c r="AX24" s="486"/>
      <c r="AZ24" s="166" t="e">
        <f>RANK(AX24, $K$7:AX$36)</f>
        <v>#N/A</v>
      </c>
      <c r="BB24" s="180" t="e">
        <f t="shared" si="0"/>
        <v>#N/A</v>
      </c>
    </row>
    <row r="25" spans="2:54">
      <c r="B25" s="479"/>
      <c r="C25" s="180">
        <v>19</v>
      </c>
      <c r="D25" s="201" t="s">
        <v>462</v>
      </c>
      <c r="E25" s="166">
        <v>17</v>
      </c>
      <c r="F25" s="180">
        <v>1385</v>
      </c>
      <c r="G25" s="265">
        <v>81.400000000000006</v>
      </c>
      <c r="H25" s="460"/>
      <c r="I25" s="166">
        <f t="shared" si="1"/>
        <v>17</v>
      </c>
      <c r="J25" s="166">
        <f t="shared" si="1"/>
        <v>1176.3087843833187</v>
      </c>
      <c r="K25" s="265">
        <f t="shared" si="1"/>
        <v>69.194634375489329</v>
      </c>
      <c r="L25" s="460"/>
      <c r="M25" s="272">
        <f>RANK(K25, K$7:$K$36)</f>
        <v>23</v>
      </c>
      <c r="N25" s="462"/>
      <c r="O25" s="462"/>
      <c r="P25" s="166"/>
      <c r="Q25" s="166"/>
      <c r="R25" s="166"/>
      <c r="S25" s="180" t="e">
        <f t="shared" si="2"/>
        <v>#N/A</v>
      </c>
      <c r="T25" s="486"/>
      <c r="U25" s="166"/>
      <c r="V25" s="166"/>
      <c r="W25" s="166"/>
      <c r="X25" s="180" t="e">
        <f t="shared" si="3"/>
        <v>#N/A</v>
      </c>
      <c r="Y25" s="486"/>
      <c r="Z25" s="166"/>
      <c r="AA25" s="166"/>
      <c r="AB25" s="166"/>
      <c r="AC25" s="180" t="e">
        <f t="shared" si="4"/>
        <v>#N/A</v>
      </c>
      <c r="AD25" s="486"/>
      <c r="AE25" s="166"/>
      <c r="AF25" s="166"/>
      <c r="AG25" s="166"/>
      <c r="AH25" s="180" t="e">
        <f t="shared" si="5"/>
        <v>#N/A</v>
      </c>
      <c r="AI25" s="486"/>
      <c r="AJ25" s="166"/>
      <c r="AK25" s="166"/>
      <c r="AL25" s="166"/>
      <c r="AM25" s="180" t="e">
        <f t="shared" si="6"/>
        <v>#N/A</v>
      </c>
      <c r="AN25" s="486"/>
      <c r="AO25" s="166">
        <v>17</v>
      </c>
      <c r="AP25" s="166">
        <v>1186.5306122448983</v>
      </c>
      <c r="AQ25" s="166">
        <v>69.795918367346957</v>
      </c>
      <c r="AR25" s="180">
        <f t="shared" si="7"/>
        <v>21</v>
      </c>
      <c r="AS25" s="486"/>
      <c r="AT25" s="166">
        <v>17</v>
      </c>
      <c r="AU25" s="166">
        <v>1166.0869565217392</v>
      </c>
      <c r="AV25" s="166">
        <v>68.593350383631716</v>
      </c>
      <c r="AW25" s="180">
        <f t="shared" si="8"/>
        <v>23</v>
      </c>
      <c r="AX25" s="486"/>
      <c r="AZ25" s="166" t="e">
        <f>RANK(AX25, $K$7:AX$36)</f>
        <v>#N/A</v>
      </c>
      <c r="BB25" s="180" t="e">
        <f t="shared" si="0"/>
        <v>#N/A</v>
      </c>
    </row>
    <row r="26" spans="2:54">
      <c r="B26" s="479"/>
      <c r="C26" s="180">
        <v>20</v>
      </c>
      <c r="D26" s="201" t="s">
        <v>523</v>
      </c>
      <c r="E26" s="166">
        <v>17</v>
      </c>
      <c r="F26" s="180">
        <v>1440</v>
      </c>
      <c r="G26" s="265">
        <v>84.7</v>
      </c>
      <c r="H26" s="460"/>
      <c r="I26" s="166">
        <f t="shared" si="1"/>
        <v>17</v>
      </c>
      <c r="J26" s="166">
        <f t="shared" si="1"/>
        <v>1291.1038961038957</v>
      </c>
      <c r="K26" s="265">
        <f t="shared" si="1"/>
        <v>75.947288006111521</v>
      </c>
      <c r="L26" s="460"/>
      <c r="M26" s="272">
        <f>RANK(K26, K$7:$K$36)</f>
        <v>8</v>
      </c>
      <c r="N26" s="462"/>
      <c r="O26" s="462"/>
      <c r="P26" s="166"/>
      <c r="Q26" s="166"/>
      <c r="R26" s="166"/>
      <c r="S26" s="180" t="e">
        <f t="shared" si="2"/>
        <v>#N/A</v>
      </c>
      <c r="T26" s="486"/>
      <c r="U26" s="166"/>
      <c r="V26" s="166"/>
      <c r="W26" s="166"/>
      <c r="X26" s="180" t="e">
        <f t="shared" si="3"/>
        <v>#N/A</v>
      </c>
      <c r="Y26" s="486"/>
      <c r="Z26" s="166"/>
      <c r="AA26" s="166"/>
      <c r="AB26" s="166"/>
      <c r="AC26" s="180" t="e">
        <f t="shared" si="4"/>
        <v>#N/A</v>
      </c>
      <c r="AD26" s="486"/>
      <c r="AE26" s="166"/>
      <c r="AF26" s="166"/>
      <c r="AG26" s="166"/>
      <c r="AH26" s="180" t="e">
        <f t="shared" si="5"/>
        <v>#N/A</v>
      </c>
      <c r="AI26" s="486"/>
      <c r="AJ26" s="166"/>
      <c r="AK26" s="166"/>
      <c r="AL26" s="166"/>
      <c r="AM26" s="180" t="e">
        <f t="shared" si="6"/>
        <v>#N/A</v>
      </c>
      <c r="AN26" s="486"/>
      <c r="AO26" s="166">
        <v>17</v>
      </c>
      <c r="AP26" s="166">
        <v>1273.6363636363635</v>
      </c>
      <c r="AQ26" s="166">
        <v>74.919786096256672</v>
      </c>
      <c r="AR26" s="180">
        <f t="shared" si="7"/>
        <v>15</v>
      </c>
      <c r="AS26" s="486"/>
      <c r="AT26" s="166">
        <v>17</v>
      </c>
      <c r="AU26" s="166">
        <v>1308.5714285714282</v>
      </c>
      <c r="AV26" s="166">
        <v>76.974789915966369</v>
      </c>
      <c r="AW26" s="180">
        <f t="shared" si="8"/>
        <v>8</v>
      </c>
      <c r="AX26" s="486"/>
      <c r="AZ26" s="166" t="e">
        <f>RANK(AX26, $K$7:AX$36)</f>
        <v>#N/A</v>
      </c>
      <c r="BB26" s="180" t="e">
        <f t="shared" si="0"/>
        <v>#N/A</v>
      </c>
    </row>
    <row r="27" spans="2:54">
      <c r="B27" s="479"/>
      <c r="C27" s="180">
        <v>21</v>
      </c>
      <c r="D27" s="201" t="s">
        <v>549</v>
      </c>
      <c r="E27" s="166">
        <v>17</v>
      </c>
      <c r="F27" s="180">
        <v>1500</v>
      </c>
      <c r="G27" s="265">
        <v>88.2</v>
      </c>
      <c r="H27" s="460"/>
      <c r="I27" s="166">
        <f t="shared" si="1"/>
        <v>18</v>
      </c>
      <c r="J27" s="166">
        <f t="shared" si="1"/>
        <v>1272.8571428571418</v>
      </c>
      <c r="K27" s="265">
        <f t="shared" si="1"/>
        <v>70.714285714285651</v>
      </c>
      <c r="L27" s="460"/>
      <c r="M27" s="272">
        <f>RANK(K27, K$7:$K$36)</f>
        <v>21</v>
      </c>
      <c r="N27" s="462"/>
      <c r="O27" s="462"/>
      <c r="P27" s="166"/>
      <c r="Q27" s="166"/>
      <c r="R27" s="166"/>
      <c r="S27" s="180" t="e">
        <f t="shared" si="2"/>
        <v>#N/A</v>
      </c>
      <c r="T27" s="486"/>
      <c r="U27" s="166"/>
      <c r="V27" s="166"/>
      <c r="W27" s="166"/>
      <c r="X27" s="180" t="e">
        <f t="shared" si="3"/>
        <v>#N/A</v>
      </c>
      <c r="Y27" s="486"/>
      <c r="Z27" s="166"/>
      <c r="AA27" s="166"/>
      <c r="AB27" s="166"/>
      <c r="AC27" s="180" t="e">
        <f t="shared" si="4"/>
        <v>#N/A</v>
      </c>
      <c r="AD27" s="486"/>
      <c r="AE27" s="166"/>
      <c r="AF27" s="166"/>
      <c r="AG27" s="166"/>
      <c r="AH27" s="180" t="e">
        <f t="shared" si="5"/>
        <v>#N/A</v>
      </c>
      <c r="AI27" s="486"/>
      <c r="AJ27" s="166"/>
      <c r="AK27" s="166"/>
      <c r="AL27" s="166"/>
      <c r="AM27" s="180" t="e">
        <f t="shared" si="6"/>
        <v>#N/A</v>
      </c>
      <c r="AN27" s="486"/>
      <c r="AO27" s="166">
        <v>18</v>
      </c>
      <c r="AP27" s="166">
        <v>1259.9999999999989</v>
      </c>
      <c r="AQ27" s="166">
        <v>69.999999999999943</v>
      </c>
      <c r="AR27" s="180">
        <f t="shared" si="7"/>
        <v>20</v>
      </c>
      <c r="AS27" s="486"/>
      <c r="AT27" s="166">
        <v>18</v>
      </c>
      <c r="AU27" s="166">
        <v>1285.7142857142844</v>
      </c>
      <c r="AV27" s="166">
        <v>71.42857142857136</v>
      </c>
      <c r="AW27" s="180">
        <f t="shared" si="8"/>
        <v>18</v>
      </c>
      <c r="AX27" s="486"/>
      <c r="AZ27" s="166" t="e">
        <f>RANK(AX27, $K$7:AX$36)</f>
        <v>#N/A</v>
      </c>
      <c r="BB27" s="180" t="e">
        <f t="shared" si="0"/>
        <v>#N/A</v>
      </c>
    </row>
    <row r="28" spans="2:54">
      <c r="B28" s="479"/>
      <c r="C28" s="180">
        <v>22</v>
      </c>
      <c r="D28" s="201" t="s">
        <v>558</v>
      </c>
      <c r="E28" s="166">
        <v>18</v>
      </c>
      <c r="F28" s="180">
        <v>1500</v>
      </c>
      <c r="G28" s="265">
        <v>83.3</v>
      </c>
      <c r="H28" s="460"/>
      <c r="I28" s="166">
        <f t="shared" si="1"/>
        <v>18</v>
      </c>
      <c r="J28" s="166">
        <f t="shared" si="1"/>
        <v>1192.1411483253582</v>
      </c>
      <c r="K28" s="265">
        <f t="shared" si="1"/>
        <v>66.230063795853241</v>
      </c>
      <c r="L28" s="460"/>
      <c r="M28" s="272">
        <f>RANK(K28, K$7:$K$36)</f>
        <v>24</v>
      </c>
      <c r="N28" s="462"/>
      <c r="O28" s="462"/>
      <c r="P28" s="166"/>
      <c r="Q28" s="166"/>
      <c r="R28" s="166"/>
      <c r="S28" s="180" t="e">
        <f t="shared" si="2"/>
        <v>#N/A</v>
      </c>
      <c r="T28" s="486"/>
      <c r="U28" s="166"/>
      <c r="V28" s="166"/>
      <c r="W28" s="166"/>
      <c r="X28" s="180" t="e">
        <f t="shared" si="3"/>
        <v>#N/A</v>
      </c>
      <c r="Y28" s="486"/>
      <c r="Z28" s="166"/>
      <c r="AA28" s="166"/>
      <c r="AB28" s="166"/>
      <c r="AC28" s="180" t="e">
        <f t="shared" si="4"/>
        <v>#N/A</v>
      </c>
      <c r="AD28" s="486"/>
      <c r="AE28" s="166"/>
      <c r="AF28" s="166"/>
      <c r="AG28" s="166"/>
      <c r="AH28" s="180" t="e">
        <f t="shared" si="5"/>
        <v>#N/A</v>
      </c>
      <c r="AI28" s="486"/>
      <c r="AJ28" s="166"/>
      <c r="AK28" s="166"/>
      <c r="AL28" s="166"/>
      <c r="AM28" s="180" t="e">
        <f t="shared" si="6"/>
        <v>#N/A</v>
      </c>
      <c r="AN28" s="486"/>
      <c r="AO28" s="166">
        <v>18</v>
      </c>
      <c r="AP28" s="166">
        <v>1174.7368421052622</v>
      </c>
      <c r="AQ28" s="166">
        <v>65.263157894736793</v>
      </c>
      <c r="AR28" s="180">
        <f t="shared" si="7"/>
        <v>25</v>
      </c>
      <c r="AS28" s="486"/>
      <c r="AT28" s="166">
        <v>18</v>
      </c>
      <c r="AU28" s="166">
        <v>1209.5454545454545</v>
      </c>
      <c r="AV28" s="166">
        <v>67.196969696969688</v>
      </c>
      <c r="AW28" s="180">
        <f t="shared" si="8"/>
        <v>24</v>
      </c>
      <c r="AX28" s="486"/>
      <c r="AZ28" s="166" t="e">
        <f>RANK(AX28, $K$7:AX$36)</f>
        <v>#N/A</v>
      </c>
      <c r="BB28" s="180" t="e">
        <f t="shared" si="0"/>
        <v>#N/A</v>
      </c>
    </row>
    <row r="29" spans="2:54">
      <c r="B29" s="479"/>
      <c r="C29" s="180">
        <v>23</v>
      </c>
      <c r="D29" s="201" t="s">
        <v>559</v>
      </c>
      <c r="E29" s="166">
        <v>20</v>
      </c>
      <c r="F29" s="180">
        <v>1380</v>
      </c>
      <c r="G29" s="265">
        <v>69</v>
      </c>
      <c r="H29" s="460"/>
      <c r="I29" s="166">
        <f t="shared" si="1"/>
        <v>20</v>
      </c>
      <c r="J29" s="166">
        <f t="shared" si="1"/>
        <v>1137.0567465321574</v>
      </c>
      <c r="K29" s="265">
        <f t="shared" si="1"/>
        <v>56.852837326607876</v>
      </c>
      <c r="L29" s="460"/>
      <c r="M29" s="272">
        <f>RANK(K29, K$7:$K$36)</f>
        <v>30</v>
      </c>
      <c r="N29" s="462"/>
      <c r="O29" s="462"/>
      <c r="P29" s="166"/>
      <c r="Q29" s="166"/>
      <c r="R29" s="166"/>
      <c r="S29" s="180" t="e">
        <f t="shared" si="2"/>
        <v>#N/A</v>
      </c>
      <c r="T29" s="486"/>
      <c r="U29" s="166"/>
      <c r="V29" s="166"/>
      <c r="W29" s="166"/>
      <c r="X29" s="180" t="e">
        <f t="shared" si="3"/>
        <v>#N/A</v>
      </c>
      <c r="Y29" s="486"/>
      <c r="Z29" s="166"/>
      <c r="AA29" s="166"/>
      <c r="AB29" s="166"/>
      <c r="AC29" s="180" t="e">
        <f t="shared" si="4"/>
        <v>#N/A</v>
      </c>
      <c r="AD29" s="486"/>
      <c r="AE29" s="166"/>
      <c r="AF29" s="166"/>
      <c r="AG29" s="166"/>
      <c r="AH29" s="180" t="e">
        <f t="shared" si="5"/>
        <v>#N/A</v>
      </c>
      <c r="AI29" s="486"/>
      <c r="AJ29" s="166"/>
      <c r="AK29" s="166"/>
      <c r="AL29" s="166"/>
      <c r="AM29" s="180" t="e">
        <f t="shared" si="6"/>
        <v>#N/A</v>
      </c>
      <c r="AN29" s="486"/>
      <c r="AO29" s="166">
        <v>20</v>
      </c>
      <c r="AP29" s="166">
        <v>1154.7692307692321</v>
      </c>
      <c r="AQ29" s="166">
        <v>57.738461538461607</v>
      </c>
      <c r="AR29" s="180">
        <f t="shared" si="7"/>
        <v>29</v>
      </c>
      <c r="AS29" s="486"/>
      <c r="AT29" s="166">
        <v>20</v>
      </c>
      <c r="AU29" s="166">
        <v>1119.3442622950829</v>
      </c>
      <c r="AV29" s="166">
        <v>55.967213114754145</v>
      </c>
      <c r="AW29" s="180">
        <f t="shared" si="8"/>
        <v>30</v>
      </c>
      <c r="AX29" s="486"/>
      <c r="AZ29" s="166" t="e">
        <f>RANK(AX29, $K$7:AX$36)</f>
        <v>#N/A</v>
      </c>
      <c r="BB29" s="180" t="e">
        <f t="shared" si="0"/>
        <v>#N/A</v>
      </c>
    </row>
    <row r="30" spans="2:54">
      <c r="B30" s="479"/>
      <c r="C30" s="180">
        <v>24</v>
      </c>
      <c r="D30" s="201" t="s">
        <v>595</v>
      </c>
      <c r="E30" s="166">
        <v>16</v>
      </c>
      <c r="F30" s="180">
        <v>1565</v>
      </c>
      <c r="G30" s="265">
        <v>97.8</v>
      </c>
      <c r="H30" s="460"/>
      <c r="I30" s="166">
        <f t="shared" si="1"/>
        <v>17</v>
      </c>
      <c r="J30" s="166">
        <f t="shared" si="1"/>
        <v>1282.6206471494615</v>
      </c>
      <c r="K30" s="265">
        <f t="shared" si="1"/>
        <v>75.448273361733044</v>
      </c>
      <c r="L30" s="460"/>
      <c r="M30" s="272">
        <f>RANK(K30, K$7:$K$36)</f>
        <v>10</v>
      </c>
      <c r="N30" s="462"/>
      <c r="O30" s="462"/>
      <c r="P30" s="180"/>
      <c r="Q30" s="265"/>
      <c r="R30" s="265"/>
      <c r="S30" s="180" t="e">
        <f t="shared" si="2"/>
        <v>#N/A</v>
      </c>
      <c r="T30" s="486"/>
      <c r="U30" s="180"/>
      <c r="V30" s="265"/>
      <c r="W30" s="265"/>
      <c r="X30" s="180" t="e">
        <f t="shared" si="3"/>
        <v>#N/A</v>
      </c>
      <c r="Y30" s="486"/>
      <c r="Z30" s="180"/>
      <c r="AA30" s="265"/>
      <c r="AB30" s="265"/>
      <c r="AC30" s="180" t="e">
        <f t="shared" si="4"/>
        <v>#N/A</v>
      </c>
      <c r="AD30" s="486"/>
      <c r="AE30" s="180"/>
      <c r="AF30" s="265"/>
      <c r="AG30" s="265"/>
      <c r="AH30" s="180" t="e">
        <f t="shared" si="5"/>
        <v>#N/A</v>
      </c>
      <c r="AI30" s="486"/>
      <c r="AJ30" s="180"/>
      <c r="AK30" s="265"/>
      <c r="AL30" s="265"/>
      <c r="AM30" s="180" t="e">
        <f t="shared" si="6"/>
        <v>#N/A</v>
      </c>
      <c r="AN30" s="486"/>
      <c r="AO30" s="166">
        <v>17</v>
      </c>
      <c r="AP30" s="166">
        <v>1291.9322033898316</v>
      </c>
      <c r="AQ30" s="166">
        <v>75.996011964107737</v>
      </c>
      <c r="AR30" s="180">
        <f t="shared" si="7"/>
        <v>10</v>
      </c>
      <c r="AS30" s="486"/>
      <c r="AT30" s="166">
        <v>17</v>
      </c>
      <c r="AU30" s="166">
        <v>1273.3090909090918</v>
      </c>
      <c r="AV30" s="166">
        <v>74.900534759358337</v>
      </c>
      <c r="AW30" s="180">
        <f t="shared" si="8"/>
        <v>10</v>
      </c>
      <c r="AX30" s="486"/>
      <c r="AZ30" s="166" t="e">
        <f>RANK(AX30, $K$7:AX$36)</f>
        <v>#N/A</v>
      </c>
      <c r="BB30" s="180" t="e">
        <f t="shared" si="0"/>
        <v>#N/A</v>
      </c>
    </row>
    <row r="31" spans="2:54">
      <c r="B31" s="479"/>
      <c r="C31" s="180">
        <v>25</v>
      </c>
      <c r="D31" s="201" t="s">
        <v>596</v>
      </c>
      <c r="E31" s="166">
        <v>19</v>
      </c>
      <c r="F31" s="180">
        <v>1385</v>
      </c>
      <c r="G31" s="265">
        <v>72.900000000000006</v>
      </c>
      <c r="H31" s="460"/>
      <c r="I31" s="166">
        <f t="shared" si="1"/>
        <v>19</v>
      </c>
      <c r="J31" s="166">
        <f t="shared" si="1"/>
        <v>1116.1059268600263</v>
      </c>
      <c r="K31" s="265">
        <f t="shared" si="1"/>
        <v>58.742417203159278</v>
      </c>
      <c r="L31" s="460"/>
      <c r="M31" s="272">
        <f>RANK(K31, K$7:$K$36)</f>
        <v>28</v>
      </c>
      <c r="N31" s="462"/>
      <c r="O31" s="462"/>
      <c r="P31" s="180"/>
      <c r="Q31" s="265"/>
      <c r="R31" s="265"/>
      <c r="S31" s="180" t="e">
        <f t="shared" si="2"/>
        <v>#N/A</v>
      </c>
      <c r="T31" s="486"/>
      <c r="U31" s="180"/>
      <c r="V31" s="265"/>
      <c r="W31" s="265"/>
      <c r="X31" s="180" t="e">
        <f t="shared" si="3"/>
        <v>#N/A</v>
      </c>
      <c r="Y31" s="486"/>
      <c r="Z31" s="180"/>
      <c r="AA31" s="265"/>
      <c r="AB31" s="265"/>
      <c r="AC31" s="180" t="e">
        <f t="shared" si="4"/>
        <v>#N/A</v>
      </c>
      <c r="AD31" s="486"/>
      <c r="AE31" s="180"/>
      <c r="AF31" s="265"/>
      <c r="AG31" s="265"/>
      <c r="AH31" s="180" t="e">
        <f t="shared" si="5"/>
        <v>#N/A</v>
      </c>
      <c r="AI31" s="486"/>
      <c r="AJ31" s="180"/>
      <c r="AK31" s="265"/>
      <c r="AL31" s="265"/>
      <c r="AM31" s="180" t="e">
        <f t="shared" si="6"/>
        <v>#N/A</v>
      </c>
      <c r="AN31" s="486"/>
      <c r="AO31" s="166">
        <v>19</v>
      </c>
      <c r="AP31" s="166">
        <v>1118.7692307692319</v>
      </c>
      <c r="AQ31" s="166">
        <v>58.882591093117469</v>
      </c>
      <c r="AR31" s="180">
        <f t="shared" si="7"/>
        <v>28</v>
      </c>
      <c r="AS31" s="486"/>
      <c r="AT31" s="166">
        <v>19</v>
      </c>
      <c r="AU31" s="166">
        <v>1113.4426229508208</v>
      </c>
      <c r="AV31" s="166">
        <v>58.602243313201093</v>
      </c>
      <c r="AW31" s="180">
        <f t="shared" si="8"/>
        <v>28</v>
      </c>
      <c r="AX31" s="486"/>
      <c r="AZ31" s="166" t="e">
        <f>RANK(AX31, $K$7:AX$36)</f>
        <v>#N/A</v>
      </c>
      <c r="BB31" s="180" t="e">
        <f t="shared" si="0"/>
        <v>#N/A</v>
      </c>
    </row>
    <row r="32" spans="2:54">
      <c r="B32" s="479"/>
      <c r="C32" s="180">
        <v>26</v>
      </c>
      <c r="D32" s="201" t="s">
        <v>597</v>
      </c>
      <c r="E32" s="166">
        <v>18</v>
      </c>
      <c r="F32" s="180">
        <v>1440</v>
      </c>
      <c r="G32" s="265">
        <v>80</v>
      </c>
      <c r="H32" s="460"/>
      <c r="I32" s="166">
        <f t="shared" si="1"/>
        <v>18</v>
      </c>
      <c r="J32" s="166">
        <f t="shared" si="1"/>
        <v>1262.9308755760353</v>
      </c>
      <c r="K32" s="265">
        <f t="shared" si="1"/>
        <v>70.162826420890838</v>
      </c>
      <c r="L32" s="460"/>
      <c r="M32" s="272">
        <f>RANK(K32, K$7:$K$36)</f>
        <v>22</v>
      </c>
      <c r="N32" s="462"/>
      <c r="O32" s="462"/>
      <c r="P32" s="180"/>
      <c r="Q32" s="265"/>
      <c r="R32" s="265"/>
      <c r="S32" s="180" t="e">
        <f t="shared" si="2"/>
        <v>#N/A</v>
      </c>
      <c r="T32" s="486"/>
      <c r="U32" s="180"/>
      <c r="V32" s="265"/>
      <c r="W32" s="265"/>
      <c r="X32" s="180" t="e">
        <f t="shared" si="3"/>
        <v>#N/A</v>
      </c>
      <c r="Y32" s="486"/>
      <c r="Z32" s="180"/>
      <c r="AA32" s="265"/>
      <c r="AB32" s="265"/>
      <c r="AC32" s="180" t="e">
        <f t="shared" si="4"/>
        <v>#N/A</v>
      </c>
      <c r="AD32" s="486"/>
      <c r="AE32" s="180"/>
      <c r="AF32" s="265"/>
      <c r="AG32" s="265"/>
      <c r="AH32" s="180" t="e">
        <f t="shared" si="5"/>
        <v>#N/A</v>
      </c>
      <c r="AI32" s="486"/>
      <c r="AJ32" s="180"/>
      <c r="AK32" s="265"/>
      <c r="AL32" s="265"/>
      <c r="AM32" s="180" t="e">
        <f t="shared" si="6"/>
        <v>#N/A</v>
      </c>
      <c r="AN32" s="486"/>
      <c r="AO32" s="166">
        <v>18</v>
      </c>
      <c r="AP32" s="166">
        <v>1244.5714285714273</v>
      </c>
      <c r="AQ32" s="166">
        <v>69.142857142857068</v>
      </c>
      <c r="AR32" s="180">
        <f t="shared" si="7"/>
        <v>23</v>
      </c>
      <c r="AS32" s="486"/>
      <c r="AT32" s="166">
        <v>18</v>
      </c>
      <c r="AU32" s="166">
        <v>1281.2903225806431</v>
      </c>
      <c r="AV32" s="166">
        <v>71.182795698924622</v>
      </c>
      <c r="AW32" s="180">
        <f t="shared" si="8"/>
        <v>20</v>
      </c>
      <c r="AX32" s="486"/>
      <c r="AZ32" s="166" t="e">
        <f>RANK(AX32, $K$7:AX$36)</f>
        <v>#N/A</v>
      </c>
      <c r="BB32" s="180" t="e">
        <f t="shared" si="0"/>
        <v>#N/A</v>
      </c>
    </row>
    <row r="33" spans="2:54">
      <c r="B33" s="479"/>
      <c r="C33" s="180">
        <v>27</v>
      </c>
      <c r="D33" s="201" t="s">
        <v>598</v>
      </c>
      <c r="E33" s="166">
        <v>16</v>
      </c>
      <c r="F33" s="180">
        <v>1440</v>
      </c>
      <c r="G33" s="265">
        <v>90</v>
      </c>
      <c r="H33" s="460"/>
      <c r="I33" s="166">
        <f t="shared" si="1"/>
        <v>16</v>
      </c>
      <c r="J33" s="166">
        <f t="shared" si="1"/>
        <v>1269.9462973431328</v>
      </c>
      <c r="K33" s="265">
        <f t="shared" si="1"/>
        <v>79.371643583945797</v>
      </c>
      <c r="L33" s="460"/>
      <c r="M33" s="272">
        <f>RANK(K33, K$7:$K$36)</f>
        <v>4</v>
      </c>
      <c r="N33" s="462"/>
      <c r="O33" s="462"/>
      <c r="P33" s="180"/>
      <c r="Q33" s="265"/>
      <c r="R33" s="265"/>
      <c r="S33" s="180" t="e">
        <f t="shared" si="2"/>
        <v>#N/A</v>
      </c>
      <c r="T33" s="486"/>
      <c r="U33" s="180"/>
      <c r="V33" s="265"/>
      <c r="W33" s="265"/>
      <c r="X33" s="180" t="e">
        <f t="shared" si="3"/>
        <v>#N/A</v>
      </c>
      <c r="Y33" s="486"/>
      <c r="Z33" s="180"/>
      <c r="AA33" s="265"/>
      <c r="AB33" s="265"/>
      <c r="AC33" s="180" t="e">
        <f t="shared" si="4"/>
        <v>#N/A</v>
      </c>
      <c r="AD33" s="486"/>
      <c r="AE33" s="180"/>
      <c r="AF33" s="265"/>
      <c r="AG33" s="265"/>
      <c r="AH33" s="180" t="e">
        <f t="shared" si="5"/>
        <v>#N/A</v>
      </c>
      <c r="AI33" s="486"/>
      <c r="AJ33" s="180"/>
      <c r="AK33" s="265"/>
      <c r="AL33" s="265"/>
      <c r="AM33" s="180" t="e">
        <f t="shared" si="6"/>
        <v>#N/A</v>
      </c>
      <c r="AN33" s="486"/>
      <c r="AO33" s="166">
        <v>16</v>
      </c>
      <c r="AP33" s="166">
        <v>1295.4098360655751</v>
      </c>
      <c r="AQ33" s="166">
        <v>80.963114754098441</v>
      </c>
      <c r="AR33" s="180">
        <f t="shared" si="7"/>
        <v>3</v>
      </c>
      <c r="AS33" s="486"/>
      <c r="AT33" s="166">
        <v>16</v>
      </c>
      <c r="AU33" s="166">
        <v>1244.4827586206907</v>
      </c>
      <c r="AV33" s="166">
        <v>77.780172413793167</v>
      </c>
      <c r="AW33" s="180">
        <f t="shared" si="8"/>
        <v>6</v>
      </c>
      <c r="AX33" s="486"/>
      <c r="AZ33" s="166" t="e">
        <f>RANK(AX33, $K$7:AX$36)</f>
        <v>#N/A</v>
      </c>
      <c r="BB33" s="180" t="e">
        <f t="shared" si="0"/>
        <v>#N/A</v>
      </c>
    </row>
    <row r="34" spans="2:54">
      <c r="B34" s="479"/>
      <c r="C34" s="180">
        <v>28</v>
      </c>
      <c r="D34" s="201" t="s">
        <v>670</v>
      </c>
      <c r="E34" s="166">
        <v>21</v>
      </c>
      <c r="F34" s="180">
        <v>1500</v>
      </c>
      <c r="G34" s="265">
        <v>71.400000000000006</v>
      </c>
      <c r="H34" s="460"/>
      <c r="I34" s="166">
        <f t="shared" si="1"/>
        <v>20</v>
      </c>
      <c r="J34" s="166">
        <f t="shared" si="1"/>
        <v>1146.3472485768498</v>
      </c>
      <c r="K34" s="265">
        <f t="shared" si="1"/>
        <v>57.3173624288425</v>
      </c>
      <c r="L34" s="460"/>
      <c r="M34" s="272">
        <f>RANK(K34, K$7:$K$36)</f>
        <v>29</v>
      </c>
      <c r="N34" s="462"/>
      <c r="O34" s="462"/>
      <c r="P34" s="180"/>
      <c r="Q34" s="265"/>
      <c r="R34" s="265"/>
      <c r="S34" s="180" t="e">
        <f t="shared" si="2"/>
        <v>#N/A</v>
      </c>
      <c r="T34" s="486"/>
      <c r="U34" s="180"/>
      <c r="V34" s="265"/>
      <c r="W34" s="265"/>
      <c r="X34" s="180" t="e">
        <f t="shared" si="3"/>
        <v>#N/A</v>
      </c>
      <c r="Y34" s="486"/>
      <c r="Z34" s="180"/>
      <c r="AA34" s="265"/>
      <c r="AB34" s="265"/>
      <c r="AC34" s="180" t="e">
        <f t="shared" si="4"/>
        <v>#N/A</v>
      </c>
      <c r="AD34" s="486"/>
      <c r="AE34" s="180"/>
      <c r="AF34" s="265"/>
      <c r="AG34" s="265"/>
      <c r="AH34" s="180" t="e">
        <f t="shared" si="5"/>
        <v>#N/A</v>
      </c>
      <c r="AI34" s="486"/>
      <c r="AJ34" s="180"/>
      <c r="AK34" s="265"/>
      <c r="AL34" s="265"/>
      <c r="AM34" s="180" t="e">
        <f t="shared" si="6"/>
        <v>#N/A</v>
      </c>
      <c r="AN34" s="486"/>
      <c r="AO34" s="166">
        <v>20</v>
      </c>
      <c r="AP34" s="166">
        <v>1130.8235294117646</v>
      </c>
      <c r="AQ34" s="166">
        <v>56.541176470588233</v>
      </c>
      <c r="AR34" s="180">
        <f t="shared" si="7"/>
        <v>30</v>
      </c>
      <c r="AS34" s="486"/>
      <c r="AT34" s="166">
        <v>20</v>
      </c>
      <c r="AU34" s="166">
        <v>1161.8709677419351</v>
      </c>
      <c r="AV34" s="166">
        <v>58.09354838709676</v>
      </c>
      <c r="AW34" s="180">
        <f t="shared" si="8"/>
        <v>29</v>
      </c>
      <c r="AX34" s="486"/>
      <c r="AZ34" s="166" t="e">
        <f>RANK(AX34, $K$7:AX$36)</f>
        <v>#N/A</v>
      </c>
      <c r="BB34" s="180" t="e">
        <f t="shared" si="0"/>
        <v>#N/A</v>
      </c>
    </row>
    <row r="35" spans="2:54">
      <c r="B35" s="479"/>
      <c r="C35" s="180">
        <v>29</v>
      </c>
      <c r="D35" s="201" t="s">
        <v>671</v>
      </c>
      <c r="E35" s="166">
        <v>19</v>
      </c>
      <c r="F35" s="180">
        <v>1440</v>
      </c>
      <c r="G35" s="265">
        <v>75.8</v>
      </c>
      <c r="H35" s="460"/>
      <c r="I35" s="166">
        <f t="shared" si="1"/>
        <v>18</v>
      </c>
      <c r="J35" s="166">
        <f t="shared" si="1"/>
        <v>1274.0806451612916</v>
      </c>
      <c r="K35" s="265">
        <f t="shared" si="1"/>
        <v>70.782258064516213</v>
      </c>
      <c r="L35" s="460"/>
      <c r="M35" s="272">
        <f>RANK(K35, K$7:$K$36)</f>
        <v>20</v>
      </c>
      <c r="N35" s="462"/>
      <c r="O35" s="462"/>
      <c r="P35" s="180" t="s">
        <v>522</v>
      </c>
      <c r="Q35" s="180" t="s">
        <v>522</v>
      </c>
      <c r="R35" s="180" t="s">
        <v>522</v>
      </c>
      <c r="S35" s="180" t="e">
        <f t="shared" si="2"/>
        <v>#VALUE!</v>
      </c>
      <c r="T35" s="486"/>
      <c r="U35" s="180"/>
      <c r="V35" s="180"/>
      <c r="W35" s="180"/>
      <c r="X35" s="180" t="e">
        <f t="shared" si="3"/>
        <v>#N/A</v>
      </c>
      <c r="Y35" s="486"/>
      <c r="Z35" s="180"/>
      <c r="AA35" s="180"/>
      <c r="AB35" s="180"/>
      <c r="AC35" s="180" t="e">
        <f t="shared" si="4"/>
        <v>#N/A</v>
      </c>
      <c r="AD35" s="486"/>
      <c r="AE35" s="180"/>
      <c r="AF35" s="180"/>
      <c r="AG35" s="180"/>
      <c r="AH35" s="180" t="e">
        <f t="shared" si="5"/>
        <v>#N/A</v>
      </c>
      <c r="AI35" s="486"/>
      <c r="AJ35" s="180"/>
      <c r="AK35" s="180"/>
      <c r="AL35" s="180"/>
      <c r="AM35" s="180" t="e">
        <f t="shared" si="6"/>
        <v>#N/A</v>
      </c>
      <c r="AN35" s="486"/>
      <c r="AO35" s="166">
        <v>18</v>
      </c>
      <c r="AP35" s="166">
        <v>1255.1612903225819</v>
      </c>
      <c r="AQ35" s="166">
        <v>69.731182795698999</v>
      </c>
      <c r="AR35" s="180">
        <f t="shared" si="7"/>
        <v>22</v>
      </c>
      <c r="AS35" s="486"/>
      <c r="AT35" s="166">
        <v>18</v>
      </c>
      <c r="AU35" s="166">
        <v>1293.0000000000014</v>
      </c>
      <c r="AV35" s="166">
        <v>71.833333333333414</v>
      </c>
      <c r="AW35" s="180">
        <f t="shared" si="8"/>
        <v>17</v>
      </c>
      <c r="AX35" s="486"/>
      <c r="AZ35" s="166" t="e">
        <f>RANK(AX35, $K$7:AX$36)</f>
        <v>#N/A</v>
      </c>
      <c r="BB35" s="180" t="e">
        <f t="shared" si="0"/>
        <v>#N/A</v>
      </c>
    </row>
    <row r="36" spans="2:54">
      <c r="B36" s="479"/>
      <c r="C36" s="180">
        <v>30</v>
      </c>
      <c r="D36" s="201" t="s">
        <v>672</v>
      </c>
      <c r="E36" s="166">
        <v>20</v>
      </c>
      <c r="F36" s="180">
        <v>1500</v>
      </c>
      <c r="G36" s="265">
        <v>75</v>
      </c>
      <c r="H36" s="461"/>
      <c r="I36" s="166">
        <f t="shared" si="1"/>
        <v>20</v>
      </c>
      <c r="J36" s="166">
        <f t="shared" si="1"/>
        <v>1211.1164499717347</v>
      </c>
      <c r="K36" s="265">
        <f t="shared" si="1"/>
        <v>60.555822498586735</v>
      </c>
      <c r="L36" s="461"/>
      <c r="M36" s="272">
        <f>RANK(K36, K$7:$K$36)</f>
        <v>27</v>
      </c>
      <c r="N36" s="462"/>
      <c r="O36" s="462"/>
      <c r="P36" s="180" t="s">
        <v>522</v>
      </c>
      <c r="Q36" s="180" t="s">
        <v>522</v>
      </c>
      <c r="R36" s="180" t="s">
        <v>522</v>
      </c>
      <c r="S36" s="180" t="e">
        <f t="shared" si="2"/>
        <v>#VALUE!</v>
      </c>
      <c r="T36" s="486"/>
      <c r="U36" s="180"/>
      <c r="V36" s="180"/>
      <c r="W36" s="180"/>
      <c r="X36" s="180" t="e">
        <f t="shared" si="3"/>
        <v>#N/A</v>
      </c>
      <c r="Y36" s="486"/>
      <c r="Z36" s="180"/>
      <c r="AA36" s="180"/>
      <c r="AB36" s="180"/>
      <c r="AC36" s="180" t="e">
        <f t="shared" si="4"/>
        <v>#N/A</v>
      </c>
      <c r="AD36" s="486"/>
      <c r="AE36" s="180"/>
      <c r="AF36" s="180"/>
      <c r="AG36" s="180"/>
      <c r="AH36" s="180" t="e">
        <f t="shared" si="5"/>
        <v>#N/A</v>
      </c>
      <c r="AI36" s="486"/>
      <c r="AJ36" s="180"/>
      <c r="AK36" s="180"/>
      <c r="AL36" s="180"/>
      <c r="AM36" s="180" t="e">
        <f t="shared" si="6"/>
        <v>#N/A</v>
      </c>
      <c r="AN36" s="486"/>
      <c r="AO36" s="166">
        <v>20</v>
      </c>
      <c r="AP36" s="166">
        <v>1190.1639344262289</v>
      </c>
      <c r="AQ36" s="166">
        <v>59.50819672131145</v>
      </c>
      <c r="AR36" s="180">
        <f t="shared" si="7"/>
        <v>27</v>
      </c>
      <c r="AS36" s="486"/>
      <c r="AT36" s="166">
        <v>20</v>
      </c>
      <c r="AU36" s="166">
        <v>1232.0689655172405</v>
      </c>
      <c r="AV36" s="166">
        <v>61.603448275862021</v>
      </c>
      <c r="AW36" s="180">
        <f t="shared" si="8"/>
        <v>26</v>
      </c>
      <c r="AX36" s="486"/>
      <c r="AZ36" s="166" t="e">
        <f>RANK(AX36, $K$7:AX$36)</f>
        <v>#N/A</v>
      </c>
      <c r="BB36" s="180" t="e">
        <f t="shared" si="0"/>
        <v>#N/A</v>
      </c>
    </row>
    <row r="37" spans="2:54" ht="15.75">
      <c r="B37" s="490" t="s">
        <v>721</v>
      </c>
      <c r="C37" s="491"/>
      <c r="D37" s="491"/>
      <c r="E37" s="491"/>
      <c r="F37" s="491"/>
      <c r="G37" s="491"/>
      <c r="H37" s="491"/>
      <c r="I37" s="181"/>
      <c r="J37" s="181"/>
      <c r="K37" s="181"/>
      <c r="L37" s="181"/>
      <c r="M37" s="178"/>
      <c r="N37" s="469" t="s">
        <v>722</v>
      </c>
      <c r="O37" s="469" t="s">
        <v>723</v>
      </c>
      <c r="P37" s="478">
        <f>AT2+1</f>
        <v>46056</v>
      </c>
      <c r="Q37" s="479"/>
      <c r="R37" s="479"/>
      <c r="S37" s="479"/>
      <c r="T37" s="479"/>
      <c r="U37" s="478">
        <f>P37+1</f>
        <v>46057</v>
      </c>
      <c r="V37" s="479"/>
      <c r="W37" s="479"/>
      <c r="X37" s="479"/>
      <c r="Y37" s="479"/>
      <c r="Z37" s="478">
        <f>U37+1</f>
        <v>46058</v>
      </c>
      <c r="AA37" s="479"/>
      <c r="AB37" s="479"/>
      <c r="AC37" s="479"/>
      <c r="AD37" s="479"/>
      <c r="AE37" s="478">
        <f>Z37+1</f>
        <v>46059</v>
      </c>
      <c r="AF37" s="479"/>
      <c r="AG37" s="479"/>
      <c r="AH37" s="479"/>
      <c r="AI37" s="479"/>
      <c r="AJ37" s="478">
        <f>AE37+1</f>
        <v>46060</v>
      </c>
      <c r="AK37" s="479"/>
      <c r="AL37" s="479"/>
      <c r="AM37" s="479"/>
      <c r="AN37" s="479"/>
      <c r="AO37" s="478">
        <f>AJ37+1</f>
        <v>46061</v>
      </c>
      <c r="AP37" s="479"/>
      <c r="AQ37" s="479"/>
      <c r="AR37" s="479"/>
      <c r="AS37" s="479"/>
      <c r="AT37" s="478">
        <f>AO37+1</f>
        <v>46062</v>
      </c>
      <c r="AU37" s="479"/>
      <c r="AV37" s="479"/>
      <c r="AW37" s="479"/>
      <c r="AX37" s="479"/>
    </row>
    <row r="38" spans="2:54" ht="15.75">
      <c r="B38" s="482"/>
      <c r="C38" s="482"/>
      <c r="D38" s="482"/>
      <c r="E38" s="482"/>
      <c r="F38" s="482"/>
      <c r="G38" s="482"/>
      <c r="H38" s="482"/>
      <c r="I38" s="182"/>
      <c r="J38" s="182"/>
      <c r="K38" s="182"/>
      <c r="L38" s="182"/>
      <c r="M38" s="179"/>
      <c r="N38" s="471"/>
      <c r="O38" s="471"/>
      <c r="P38" s="478" t="s">
        <v>724</v>
      </c>
      <c r="Q38" s="479"/>
      <c r="R38" s="479"/>
      <c r="S38" s="479"/>
      <c r="T38" s="479"/>
      <c r="U38" s="478" t="s">
        <v>725</v>
      </c>
      <c r="V38" s="479"/>
      <c r="W38" s="479"/>
      <c r="X38" s="479"/>
      <c r="Y38" s="479"/>
      <c r="Z38" s="478" t="s">
        <v>726</v>
      </c>
      <c r="AA38" s="479"/>
      <c r="AB38" s="479"/>
      <c r="AC38" s="479"/>
      <c r="AD38" s="479"/>
      <c r="AE38" s="478" t="s">
        <v>727</v>
      </c>
      <c r="AF38" s="479"/>
      <c r="AG38" s="479"/>
      <c r="AH38" s="479"/>
      <c r="AI38" s="479"/>
      <c r="AJ38" s="478" t="s">
        <v>728</v>
      </c>
      <c r="AK38" s="479"/>
      <c r="AL38" s="479"/>
      <c r="AM38" s="479"/>
      <c r="AN38" s="479"/>
      <c r="AO38" s="478" t="s">
        <v>729</v>
      </c>
      <c r="AP38" s="479"/>
      <c r="AQ38" s="479"/>
      <c r="AR38" s="479"/>
      <c r="AS38" s="479"/>
      <c r="AT38" s="478" t="s">
        <v>730</v>
      </c>
      <c r="AU38" s="479"/>
      <c r="AV38" s="479"/>
      <c r="AW38" s="479"/>
      <c r="AX38" s="479"/>
    </row>
    <row r="39" spans="2:54">
      <c r="B39" s="462" t="s">
        <v>731</v>
      </c>
      <c r="C39" s="462" t="s">
        <v>732</v>
      </c>
      <c r="D39" s="462"/>
      <c r="E39" s="462" t="s">
        <v>733</v>
      </c>
      <c r="F39" s="462"/>
      <c r="G39" s="462"/>
      <c r="H39" s="463" t="s">
        <v>734</v>
      </c>
      <c r="I39" s="462" t="s">
        <v>735</v>
      </c>
      <c r="J39" s="462"/>
      <c r="K39" s="462"/>
      <c r="L39" s="463" t="s">
        <v>734</v>
      </c>
      <c r="M39" s="469" t="s">
        <v>736</v>
      </c>
      <c r="N39" s="462"/>
      <c r="O39" s="462" t="s">
        <v>737</v>
      </c>
      <c r="P39" s="466" t="s">
        <v>738</v>
      </c>
      <c r="Q39" s="467"/>
      <c r="R39" s="467"/>
      <c r="S39" s="468"/>
      <c r="T39" s="462" t="s">
        <v>734</v>
      </c>
      <c r="U39" s="466" t="s">
        <v>738</v>
      </c>
      <c r="V39" s="467"/>
      <c r="W39" s="467"/>
      <c r="X39" s="468"/>
      <c r="Y39" s="462" t="s">
        <v>734</v>
      </c>
      <c r="Z39" s="466" t="s">
        <v>738</v>
      </c>
      <c r="AA39" s="467"/>
      <c r="AB39" s="467"/>
      <c r="AC39" s="468"/>
      <c r="AD39" s="462" t="s">
        <v>734</v>
      </c>
      <c r="AE39" s="466" t="s">
        <v>738</v>
      </c>
      <c r="AF39" s="467"/>
      <c r="AG39" s="467"/>
      <c r="AH39" s="468"/>
      <c r="AI39" s="462" t="s">
        <v>734</v>
      </c>
      <c r="AJ39" s="466" t="s">
        <v>738</v>
      </c>
      <c r="AK39" s="467"/>
      <c r="AL39" s="467"/>
      <c r="AM39" s="468"/>
      <c r="AN39" s="462" t="s">
        <v>734</v>
      </c>
      <c r="AO39" s="466" t="s">
        <v>738</v>
      </c>
      <c r="AP39" s="467"/>
      <c r="AQ39" s="467"/>
      <c r="AR39" s="468"/>
      <c r="AS39" s="462" t="s">
        <v>734</v>
      </c>
      <c r="AT39" s="466" t="s">
        <v>738</v>
      </c>
      <c r="AU39" s="467"/>
      <c r="AV39" s="467"/>
      <c r="AW39" s="468"/>
      <c r="AX39" s="462" t="s">
        <v>734</v>
      </c>
    </row>
    <row r="40" spans="2:54">
      <c r="B40" s="462"/>
      <c r="C40" s="462"/>
      <c r="D40" s="462"/>
      <c r="E40" s="462" t="s">
        <v>739</v>
      </c>
      <c r="F40" s="462"/>
      <c r="G40" s="462"/>
      <c r="H40" s="464"/>
      <c r="I40" s="462" t="s">
        <v>739</v>
      </c>
      <c r="J40" s="462"/>
      <c r="K40" s="462"/>
      <c r="L40" s="464"/>
      <c r="M40" s="470"/>
      <c r="N40" s="462"/>
      <c r="O40" s="462"/>
      <c r="P40" s="466" t="s">
        <v>740</v>
      </c>
      <c r="Q40" s="467"/>
      <c r="R40" s="467"/>
      <c r="S40" s="468"/>
      <c r="T40" s="462"/>
      <c r="U40" s="466" t="s">
        <v>740</v>
      </c>
      <c r="V40" s="467"/>
      <c r="W40" s="467"/>
      <c r="X40" s="468"/>
      <c r="Y40" s="462"/>
      <c r="Z40" s="466" t="s">
        <v>740</v>
      </c>
      <c r="AA40" s="467"/>
      <c r="AB40" s="467"/>
      <c r="AC40" s="468"/>
      <c r="AD40" s="462"/>
      <c r="AE40" s="466" t="s">
        <v>740</v>
      </c>
      <c r="AF40" s="467"/>
      <c r="AG40" s="467"/>
      <c r="AH40" s="468"/>
      <c r="AI40" s="462"/>
      <c r="AJ40" s="466" t="s">
        <v>740</v>
      </c>
      <c r="AK40" s="467"/>
      <c r="AL40" s="467"/>
      <c r="AM40" s="468"/>
      <c r="AN40" s="462"/>
      <c r="AO40" s="466" t="s">
        <v>740</v>
      </c>
      <c r="AP40" s="467"/>
      <c r="AQ40" s="467"/>
      <c r="AR40" s="468"/>
      <c r="AS40" s="462"/>
      <c r="AT40" s="466" t="s">
        <v>740</v>
      </c>
      <c r="AU40" s="467"/>
      <c r="AV40" s="467"/>
      <c r="AW40" s="468"/>
      <c r="AX40" s="462"/>
    </row>
    <row r="41" spans="2:54">
      <c r="B41" s="462"/>
      <c r="C41" s="462"/>
      <c r="D41" s="462"/>
      <c r="E41" s="264" t="s">
        <v>741</v>
      </c>
      <c r="F41" s="264" t="s">
        <v>742</v>
      </c>
      <c r="G41" s="264" t="s">
        <v>743</v>
      </c>
      <c r="H41" s="465"/>
      <c r="I41" s="264" t="s">
        <v>741</v>
      </c>
      <c r="J41" s="264" t="s">
        <v>742</v>
      </c>
      <c r="K41" s="264" t="s">
        <v>743</v>
      </c>
      <c r="L41" s="465"/>
      <c r="M41" s="471"/>
      <c r="N41" s="462"/>
      <c r="O41" s="462"/>
      <c r="P41" s="264" t="s">
        <v>741</v>
      </c>
      <c r="Q41" s="264" t="s">
        <v>742</v>
      </c>
      <c r="R41" s="264" t="s">
        <v>743</v>
      </c>
      <c r="S41" s="264" t="s">
        <v>736</v>
      </c>
      <c r="T41" s="462"/>
      <c r="U41" s="264" t="s">
        <v>741</v>
      </c>
      <c r="V41" s="264" t="s">
        <v>742</v>
      </c>
      <c r="W41" s="264" t="s">
        <v>743</v>
      </c>
      <c r="X41" s="264" t="s">
        <v>736</v>
      </c>
      <c r="Y41" s="462"/>
      <c r="Z41" s="264" t="s">
        <v>741</v>
      </c>
      <c r="AA41" s="264" t="s">
        <v>742</v>
      </c>
      <c r="AB41" s="264" t="s">
        <v>743</v>
      </c>
      <c r="AC41" s="264" t="s">
        <v>736</v>
      </c>
      <c r="AD41" s="462"/>
      <c r="AE41" s="264" t="s">
        <v>741</v>
      </c>
      <c r="AF41" s="264" t="s">
        <v>742</v>
      </c>
      <c r="AG41" s="264" t="s">
        <v>743</v>
      </c>
      <c r="AH41" s="264" t="s">
        <v>736</v>
      </c>
      <c r="AI41" s="462"/>
      <c r="AJ41" s="264" t="s">
        <v>741</v>
      </c>
      <c r="AK41" s="264" t="s">
        <v>742</v>
      </c>
      <c r="AL41" s="264" t="s">
        <v>743</v>
      </c>
      <c r="AM41" s="264" t="s">
        <v>736</v>
      </c>
      <c r="AN41" s="462"/>
      <c r="AO41" s="264" t="s">
        <v>741</v>
      </c>
      <c r="AP41" s="264" t="s">
        <v>742</v>
      </c>
      <c r="AQ41" s="264" t="s">
        <v>743</v>
      </c>
      <c r="AR41" s="264" t="s">
        <v>736</v>
      </c>
      <c r="AS41" s="462"/>
      <c r="AT41" s="264" t="s">
        <v>741</v>
      </c>
      <c r="AU41" s="264" t="s">
        <v>742</v>
      </c>
      <c r="AV41" s="264" t="s">
        <v>743</v>
      </c>
      <c r="AW41" s="264" t="s">
        <v>736</v>
      </c>
      <c r="AX41" s="462"/>
    </row>
    <row r="42" spans="2:54">
      <c r="B42" s="462" t="s">
        <v>753</v>
      </c>
      <c r="C42" s="180">
        <v>1</v>
      </c>
      <c r="D42" s="201" t="s">
        <v>362</v>
      </c>
      <c r="E42" s="166">
        <v>6</v>
      </c>
      <c r="F42" s="180">
        <v>1500</v>
      </c>
      <c r="G42" s="265">
        <v>250</v>
      </c>
      <c r="H42" s="459">
        <f>AVERAGE(G42:G71)</f>
        <v>96.221666666666707</v>
      </c>
      <c r="I42" s="166">
        <f>AVERAGE(P42,U42,Z42,AE42,AJ42,AO42,AT42)</f>
        <v>6</v>
      </c>
      <c r="J42" s="166">
        <f>AVERAGE(Q42,V42,AA42,AF42,AK42,AP42,AU42)</f>
        <v>1402.6751781256037</v>
      </c>
      <c r="K42" s="265">
        <f>AVERAGE(R42,W42,AB42,AG42,AL42,AQ42,AV42)</f>
        <v>233.77919635426727</v>
      </c>
      <c r="L42" s="459">
        <f>IFERROR(AVERAGE(K42:K71),"-")</f>
        <v>82.578411810548161</v>
      </c>
      <c r="M42" s="272">
        <f>RANK(K42, K$42:$K$71)</f>
        <v>1</v>
      </c>
      <c r="N42" s="462"/>
      <c r="O42" s="462"/>
      <c r="P42" s="166">
        <v>6</v>
      </c>
      <c r="Q42" s="166">
        <v>1411.2222222222217</v>
      </c>
      <c r="R42" s="166">
        <v>235.20370370370361</v>
      </c>
      <c r="S42" s="180">
        <f t="shared" ref="S42:S71" si="9">RANK(R42, R$42:R$71)</f>
        <v>2</v>
      </c>
      <c r="T42" s="486">
        <f>AVERAGE(R42:R71)</f>
        <v>82.99230450961754</v>
      </c>
      <c r="U42" s="166">
        <v>6</v>
      </c>
      <c r="V42" s="166">
        <v>1409.4896907216491</v>
      </c>
      <c r="W42" s="166">
        <v>234.91494845360819</v>
      </c>
      <c r="X42" s="180">
        <f t="shared" ref="X42:X71" si="10">RANK(W42, W$42:W$71)</f>
        <v>1</v>
      </c>
      <c r="Y42" s="486">
        <f>AVERAGE(W42:W71)</f>
        <v>81.694259336587876</v>
      </c>
      <c r="Z42" s="166">
        <v>6</v>
      </c>
      <c r="AA42" s="166">
        <v>1388.5714285714284</v>
      </c>
      <c r="AB42" s="166">
        <v>231.42857142857142</v>
      </c>
      <c r="AC42" s="180">
        <f t="shared" ref="AC42:AC71" si="11">RANK(AB42, AB$42:AB$71)</f>
        <v>1</v>
      </c>
      <c r="AD42" s="486">
        <f>AVERAGE(AB42:AB71)</f>
        <v>81.421789810583888</v>
      </c>
      <c r="AE42" s="166">
        <v>6</v>
      </c>
      <c r="AF42" s="166">
        <v>1377.2011173184358</v>
      </c>
      <c r="AG42" s="166">
        <v>229.53351955307264</v>
      </c>
      <c r="AH42" s="180">
        <f t="shared" ref="AH42:AH71" si="12">RANK(AG42, AG$42:AG$71)</f>
        <v>1</v>
      </c>
      <c r="AI42" s="486">
        <f>AVERAGE(AG42:AG71)</f>
        <v>81.08945738701108</v>
      </c>
      <c r="AJ42" s="166">
        <v>6</v>
      </c>
      <c r="AK42" s="166">
        <v>1395.1040462427743</v>
      </c>
      <c r="AL42" s="166">
        <v>232.51734104046238</v>
      </c>
      <c r="AM42" s="180">
        <f t="shared" ref="AM42:AM71" si="13">RANK(AL42, AL$42:AL$71)</f>
        <v>1</v>
      </c>
      <c r="AN42" s="486">
        <f>AVERAGE(AL42:AL71)</f>
        <v>82.27799287724477</v>
      </c>
      <c r="AO42" s="166">
        <v>6</v>
      </c>
      <c r="AP42" s="166">
        <v>1433.5431472081207</v>
      </c>
      <c r="AQ42" s="166">
        <v>238.92385786802012</v>
      </c>
      <c r="AR42" s="180">
        <f t="shared" ref="AR42:AR71" si="14">RANK(AQ42, AQ$42:AQ$71)</f>
        <v>1</v>
      </c>
      <c r="AS42" s="486">
        <f>AVERAGE(AQ42:AQ71)</f>
        <v>82.190691130469517</v>
      </c>
      <c r="AT42" s="166">
        <v>6</v>
      </c>
      <c r="AU42" s="166">
        <v>1403.5945945945948</v>
      </c>
      <c r="AV42" s="166">
        <v>233.93243243243248</v>
      </c>
      <c r="AW42" s="180">
        <f t="shared" ref="AW42:AW71" si="15">RANK(AV42, AV$42:AV$71)</f>
        <v>1</v>
      </c>
      <c r="AX42" s="486">
        <f>AVERAGE(AV42:AV71)</f>
        <v>81.953167169312991</v>
      </c>
    </row>
    <row r="43" spans="2:54">
      <c r="B43" s="479"/>
      <c r="C43" s="180">
        <v>2</v>
      </c>
      <c r="D43" s="201" t="s">
        <v>382</v>
      </c>
      <c r="E43" s="166">
        <v>6</v>
      </c>
      <c r="F43" s="180">
        <v>1636</v>
      </c>
      <c r="G43" s="265">
        <v>272.7</v>
      </c>
      <c r="H43" s="460"/>
      <c r="I43" s="166">
        <f t="shared" ref="I43:K65" si="16">AVERAGE(P43,U43,Z43,AE43,AJ43,AO43,AT43)</f>
        <v>6.8571428571428568</v>
      </c>
      <c r="J43" s="166">
        <f t="shared" si="16"/>
        <v>1457.0544963754214</v>
      </c>
      <c r="K43" s="265">
        <f t="shared" si="16"/>
        <v>213.13750837288805</v>
      </c>
      <c r="L43" s="460"/>
      <c r="M43" s="272">
        <f>RANK(K43, K$42:$K$71)</f>
        <v>2</v>
      </c>
      <c r="N43" s="462"/>
      <c r="O43" s="462"/>
      <c r="P43" s="166">
        <v>6</v>
      </c>
      <c r="Q43" s="166">
        <v>1466.1386138613855</v>
      </c>
      <c r="R43" s="166">
        <v>244.35643564356425</v>
      </c>
      <c r="S43" s="180">
        <f t="shared" si="9"/>
        <v>1</v>
      </c>
      <c r="T43" s="486"/>
      <c r="U43" s="166">
        <v>7</v>
      </c>
      <c r="V43" s="166">
        <v>1434.8076923076931</v>
      </c>
      <c r="W43" s="166">
        <v>204.97252747252759</v>
      </c>
      <c r="X43" s="180">
        <f t="shared" si="10"/>
        <v>2</v>
      </c>
      <c r="Y43" s="486"/>
      <c r="Z43" s="166">
        <v>7</v>
      </c>
      <c r="AA43" s="166">
        <v>1460.1980198019796</v>
      </c>
      <c r="AB43" s="166">
        <v>208.59971711456851</v>
      </c>
      <c r="AC43" s="180">
        <f t="shared" si="11"/>
        <v>2</v>
      </c>
      <c r="AD43" s="486"/>
      <c r="AE43" s="166">
        <v>7</v>
      </c>
      <c r="AF43" s="166">
        <v>1432.3255813953488</v>
      </c>
      <c r="AG43" s="166">
        <v>204.61794019933555</v>
      </c>
      <c r="AH43" s="180">
        <f t="shared" si="12"/>
        <v>2</v>
      </c>
      <c r="AI43" s="486"/>
      <c r="AJ43" s="166">
        <v>7</v>
      </c>
      <c r="AK43" s="166">
        <v>1482.7586206896549</v>
      </c>
      <c r="AL43" s="166">
        <v>211.82266009852214</v>
      </c>
      <c r="AM43" s="180">
        <f t="shared" si="13"/>
        <v>2</v>
      </c>
      <c r="AN43" s="486"/>
      <c r="AO43" s="166">
        <v>7</v>
      </c>
      <c r="AP43" s="166">
        <v>1489.8876404494381</v>
      </c>
      <c r="AQ43" s="166">
        <v>212.84109149277688</v>
      </c>
      <c r="AR43" s="180">
        <f t="shared" si="14"/>
        <v>2</v>
      </c>
      <c r="AS43" s="486"/>
      <c r="AT43" s="166">
        <v>7</v>
      </c>
      <c r="AU43" s="166">
        <v>1433.2653061224494</v>
      </c>
      <c r="AV43" s="166">
        <v>204.75218658892135</v>
      </c>
      <c r="AW43" s="180">
        <f t="shared" si="15"/>
        <v>2</v>
      </c>
      <c r="AX43" s="486"/>
    </row>
    <row r="44" spans="2:54">
      <c r="B44" s="479"/>
      <c r="C44" s="180">
        <v>3</v>
      </c>
      <c r="D44" s="201" t="s">
        <v>363</v>
      </c>
      <c r="E44" s="166">
        <v>18</v>
      </c>
      <c r="F44" s="180">
        <v>1500</v>
      </c>
      <c r="G44" s="265">
        <v>75</v>
      </c>
      <c r="H44" s="460"/>
      <c r="I44" s="166">
        <f t="shared" si="16"/>
        <v>18</v>
      </c>
      <c r="J44" s="166">
        <f t="shared" si="16"/>
        <v>1319.7840329227954</v>
      </c>
      <c r="K44" s="265">
        <f t="shared" si="16"/>
        <v>73.321335162377537</v>
      </c>
      <c r="L44" s="460"/>
      <c r="M44" s="272">
        <f>RANK(K44, K$42:$K$71)</f>
        <v>13</v>
      </c>
      <c r="N44" s="462"/>
      <c r="O44" s="462"/>
      <c r="P44" s="166">
        <v>18</v>
      </c>
      <c r="Q44" s="166">
        <v>1295.8208955223881</v>
      </c>
      <c r="R44" s="166">
        <v>71.990049751243788</v>
      </c>
      <c r="S44" s="180">
        <f t="shared" si="9"/>
        <v>16</v>
      </c>
      <c r="T44" s="486"/>
      <c r="U44" s="166">
        <v>18</v>
      </c>
      <c r="V44" s="166">
        <v>1339.9999999999993</v>
      </c>
      <c r="W44" s="166">
        <v>74.4444444444444</v>
      </c>
      <c r="X44" s="180">
        <f t="shared" si="10"/>
        <v>11</v>
      </c>
      <c r="Y44" s="486"/>
      <c r="Z44" s="166">
        <v>18</v>
      </c>
      <c r="AA44" s="166">
        <v>1325.9999999999995</v>
      </c>
      <c r="AB44" s="166">
        <v>73.666666666666643</v>
      </c>
      <c r="AC44" s="180">
        <f t="shared" si="11"/>
        <v>13</v>
      </c>
      <c r="AD44" s="486"/>
      <c r="AE44" s="166">
        <v>18</v>
      </c>
      <c r="AF44" s="166">
        <v>1332.5581395348834</v>
      </c>
      <c r="AG44" s="166">
        <v>74.031007751937963</v>
      </c>
      <c r="AH44" s="180">
        <f t="shared" si="12"/>
        <v>12</v>
      </c>
      <c r="AI44" s="486"/>
      <c r="AJ44" s="166">
        <v>18</v>
      </c>
      <c r="AK44" s="166">
        <v>1298.2758620689647</v>
      </c>
      <c r="AL44" s="166">
        <v>72.126436781609144</v>
      </c>
      <c r="AM44" s="180">
        <f t="shared" si="13"/>
        <v>20</v>
      </c>
      <c r="AN44" s="486"/>
      <c r="AO44" s="166">
        <v>18</v>
      </c>
      <c r="AP44" s="166">
        <v>1338.2142857142867</v>
      </c>
      <c r="AQ44" s="166">
        <v>74.345238095238145</v>
      </c>
      <c r="AR44" s="180">
        <f t="shared" si="14"/>
        <v>12</v>
      </c>
      <c r="AS44" s="486"/>
      <c r="AT44" s="166">
        <v>18</v>
      </c>
      <c r="AU44" s="166">
        <v>1307.6190476190473</v>
      </c>
      <c r="AV44" s="166">
        <v>72.645502645502631</v>
      </c>
      <c r="AW44" s="180">
        <f t="shared" si="15"/>
        <v>16</v>
      </c>
      <c r="AX44" s="486"/>
    </row>
    <row r="45" spans="2:54">
      <c r="B45" s="479"/>
      <c r="C45" s="180">
        <v>4</v>
      </c>
      <c r="D45" s="201" t="s">
        <v>400</v>
      </c>
      <c r="E45" s="166">
        <v>18</v>
      </c>
      <c r="F45" s="180">
        <v>1500</v>
      </c>
      <c r="G45" s="265">
        <v>83.3</v>
      </c>
      <c r="H45" s="460"/>
      <c r="I45" s="166">
        <f t="shared" si="16"/>
        <v>18</v>
      </c>
      <c r="J45" s="166">
        <f t="shared" si="16"/>
        <v>1405.6752675700297</v>
      </c>
      <c r="K45" s="265">
        <f t="shared" si="16"/>
        <v>78.093070420557211</v>
      </c>
      <c r="L45" s="460"/>
      <c r="M45" s="272">
        <f>RANK(K45, K$42:$K$71)</f>
        <v>9</v>
      </c>
      <c r="N45" s="462"/>
      <c r="O45" s="462"/>
      <c r="P45" s="166">
        <v>18</v>
      </c>
      <c r="Q45" s="166">
        <v>1400.9302325581393</v>
      </c>
      <c r="R45" s="166">
        <v>77.829457364341067</v>
      </c>
      <c r="S45" s="180">
        <f t="shared" si="9"/>
        <v>9</v>
      </c>
      <c r="T45" s="486"/>
      <c r="U45" s="166">
        <v>18</v>
      </c>
      <c r="V45" s="166">
        <v>1416.2790697674418</v>
      </c>
      <c r="W45" s="166">
        <v>78.68217054263566</v>
      </c>
      <c r="X45" s="180">
        <f t="shared" si="10"/>
        <v>9</v>
      </c>
      <c r="Y45" s="486"/>
      <c r="Z45" s="166">
        <v>18</v>
      </c>
      <c r="AA45" s="166">
        <v>1389.9999999999995</v>
      </c>
      <c r="AB45" s="166">
        <v>77.2222222222222</v>
      </c>
      <c r="AC45" s="180">
        <f t="shared" si="11"/>
        <v>9</v>
      </c>
      <c r="AD45" s="486"/>
      <c r="AE45" s="166">
        <v>18</v>
      </c>
      <c r="AF45" s="166">
        <v>1404.7058823529394</v>
      </c>
      <c r="AG45" s="166">
        <v>78.039215686274417</v>
      </c>
      <c r="AH45" s="180">
        <f t="shared" si="12"/>
        <v>9</v>
      </c>
      <c r="AI45" s="486"/>
      <c r="AJ45" s="166">
        <v>18</v>
      </c>
      <c r="AK45" s="166">
        <v>1429.4999999999995</v>
      </c>
      <c r="AL45" s="166">
        <v>79.416666666666643</v>
      </c>
      <c r="AM45" s="180">
        <f t="shared" si="13"/>
        <v>9</v>
      </c>
      <c r="AN45" s="486"/>
      <c r="AO45" s="166">
        <v>18</v>
      </c>
      <c r="AP45" s="166">
        <v>1412.8571428571424</v>
      </c>
      <c r="AQ45" s="166">
        <v>78.492063492063465</v>
      </c>
      <c r="AR45" s="180">
        <f t="shared" si="14"/>
        <v>9</v>
      </c>
      <c r="AS45" s="486"/>
      <c r="AT45" s="166">
        <v>18</v>
      </c>
      <c r="AU45" s="166">
        <v>1385.4545454545455</v>
      </c>
      <c r="AV45" s="166">
        <v>76.969696969696969</v>
      </c>
      <c r="AW45" s="180">
        <f t="shared" si="15"/>
        <v>8</v>
      </c>
      <c r="AX45" s="486"/>
    </row>
    <row r="46" spans="2:54">
      <c r="B46" s="479"/>
      <c r="C46" s="180">
        <v>5</v>
      </c>
      <c r="D46" s="201" t="s">
        <v>342</v>
      </c>
      <c r="E46" s="166">
        <v>16</v>
      </c>
      <c r="F46" s="180">
        <v>1500</v>
      </c>
      <c r="G46" s="265">
        <v>93.8</v>
      </c>
      <c r="H46" s="460"/>
      <c r="I46" s="166">
        <f t="shared" si="16"/>
        <v>16</v>
      </c>
      <c r="J46" s="166">
        <f t="shared" si="16"/>
        <v>1293.3211752786221</v>
      </c>
      <c r="K46" s="265">
        <f t="shared" si="16"/>
        <v>80.832573454913884</v>
      </c>
      <c r="L46" s="460"/>
      <c r="M46" s="272">
        <f>RANK(K46, K$42:$K$71)</f>
        <v>7</v>
      </c>
      <c r="N46" s="462"/>
      <c r="O46" s="462"/>
      <c r="P46" s="166">
        <v>16</v>
      </c>
      <c r="Q46" s="166">
        <v>1306.6666666666688</v>
      </c>
      <c r="R46" s="166">
        <v>81.666666666666799</v>
      </c>
      <c r="S46" s="180">
        <f t="shared" si="9"/>
        <v>8</v>
      </c>
      <c r="T46" s="486"/>
      <c r="U46" s="166">
        <v>16</v>
      </c>
      <c r="V46" s="166">
        <v>1313.3333333333333</v>
      </c>
      <c r="W46" s="166">
        <v>82.083333333333329</v>
      </c>
      <c r="X46" s="180">
        <f t="shared" si="10"/>
        <v>6</v>
      </c>
      <c r="Y46" s="486"/>
      <c r="Z46" s="166">
        <v>16</v>
      </c>
      <c r="AA46" s="166">
        <v>1264.1860465116276</v>
      </c>
      <c r="AB46" s="166">
        <v>79.011627906976727</v>
      </c>
      <c r="AC46" s="180">
        <f t="shared" si="11"/>
        <v>8</v>
      </c>
      <c r="AD46" s="486"/>
      <c r="AE46" s="166">
        <v>16</v>
      </c>
      <c r="AF46" s="166">
        <v>1271.9999999999995</v>
      </c>
      <c r="AG46" s="166">
        <v>79.499999999999972</v>
      </c>
      <c r="AH46" s="180">
        <f t="shared" si="12"/>
        <v>8</v>
      </c>
      <c r="AI46" s="486"/>
      <c r="AJ46" s="166">
        <v>16</v>
      </c>
      <c r="AK46" s="166">
        <v>1289.3333333333312</v>
      </c>
      <c r="AL46" s="166">
        <v>80.583333333333201</v>
      </c>
      <c r="AM46" s="180">
        <f t="shared" si="13"/>
        <v>7</v>
      </c>
      <c r="AN46" s="486"/>
      <c r="AO46" s="166">
        <v>16</v>
      </c>
      <c r="AP46" s="166">
        <v>1315.8139534883719</v>
      </c>
      <c r="AQ46" s="166">
        <v>82.238372093023244</v>
      </c>
      <c r="AR46" s="180">
        <f t="shared" si="14"/>
        <v>6</v>
      </c>
      <c r="AS46" s="486"/>
      <c r="AT46" s="166">
        <v>16</v>
      </c>
      <c r="AU46" s="166">
        <v>1291.9148936170216</v>
      </c>
      <c r="AV46" s="166">
        <v>80.744680851063848</v>
      </c>
      <c r="AW46" s="180">
        <f t="shared" si="15"/>
        <v>6</v>
      </c>
      <c r="AX46" s="486"/>
    </row>
    <row r="47" spans="2:54">
      <c r="B47" s="479"/>
      <c r="C47" s="180">
        <v>6</v>
      </c>
      <c r="D47" s="201" t="s">
        <v>369</v>
      </c>
      <c r="E47" s="166">
        <v>16</v>
      </c>
      <c r="F47" s="180">
        <v>1565</v>
      </c>
      <c r="G47" s="265">
        <v>97.8</v>
      </c>
      <c r="H47" s="460"/>
      <c r="I47" s="166">
        <f t="shared" si="16"/>
        <v>16</v>
      </c>
      <c r="J47" s="166">
        <f t="shared" si="16"/>
        <v>1358.341113140172</v>
      </c>
      <c r="K47" s="265">
        <f t="shared" si="16"/>
        <v>84.896319571260747</v>
      </c>
      <c r="L47" s="460"/>
      <c r="M47" s="272">
        <f>RANK(K47, K$42:$K$71)</f>
        <v>4</v>
      </c>
      <c r="N47" s="462"/>
      <c r="O47" s="462"/>
      <c r="P47" s="166">
        <v>16</v>
      </c>
      <c r="Q47" s="166">
        <v>1386.5625000000016</v>
      </c>
      <c r="R47" s="166">
        <v>86.660156250000099</v>
      </c>
      <c r="S47" s="180">
        <f t="shared" si="9"/>
        <v>4</v>
      </c>
      <c r="T47" s="486"/>
      <c r="U47" s="166">
        <v>16</v>
      </c>
      <c r="V47" s="166">
        <v>1362.4285714285729</v>
      </c>
      <c r="W47" s="166">
        <v>85.151785714285808</v>
      </c>
      <c r="X47" s="180">
        <f t="shared" si="10"/>
        <v>4</v>
      </c>
      <c r="Y47" s="486"/>
      <c r="Z47" s="166">
        <v>16</v>
      </c>
      <c r="AA47" s="166">
        <v>1355.2941176470606</v>
      </c>
      <c r="AB47" s="166">
        <v>84.705882352941288</v>
      </c>
      <c r="AC47" s="180">
        <f t="shared" si="11"/>
        <v>3</v>
      </c>
      <c r="AD47" s="486"/>
      <c r="AE47" s="166">
        <v>16</v>
      </c>
      <c r="AF47" s="166">
        <v>1339.9999999999989</v>
      </c>
      <c r="AG47" s="166">
        <v>83.749999999999929</v>
      </c>
      <c r="AH47" s="180">
        <f t="shared" si="12"/>
        <v>3</v>
      </c>
      <c r="AI47" s="486"/>
      <c r="AJ47" s="166">
        <v>16</v>
      </c>
      <c r="AK47" s="166">
        <v>1334.7321428571438</v>
      </c>
      <c r="AL47" s="166">
        <v>83.420758928571487</v>
      </c>
      <c r="AM47" s="180">
        <f t="shared" si="13"/>
        <v>4</v>
      </c>
      <c r="AN47" s="486"/>
      <c r="AO47" s="166">
        <v>16</v>
      </c>
      <c r="AP47" s="166">
        <v>1344.2857142857138</v>
      </c>
      <c r="AQ47" s="166">
        <v>84.01785714285711</v>
      </c>
      <c r="AR47" s="180">
        <f t="shared" si="14"/>
        <v>5</v>
      </c>
      <c r="AS47" s="486"/>
      <c r="AT47" s="166">
        <v>16</v>
      </c>
      <c r="AU47" s="166">
        <v>1385.0847457627131</v>
      </c>
      <c r="AV47" s="166">
        <v>86.567796610169566</v>
      </c>
      <c r="AW47" s="180">
        <f t="shared" si="15"/>
        <v>3</v>
      </c>
      <c r="AX47" s="486"/>
    </row>
    <row r="48" spans="2:54">
      <c r="B48" s="479"/>
      <c r="C48" s="180">
        <v>7</v>
      </c>
      <c r="D48" s="201" t="s">
        <v>333</v>
      </c>
      <c r="E48" s="166">
        <v>15</v>
      </c>
      <c r="F48" s="180">
        <v>1440</v>
      </c>
      <c r="G48" s="265">
        <v>102.9</v>
      </c>
      <c r="H48" s="460"/>
      <c r="I48" s="166">
        <f t="shared" si="16"/>
        <v>15</v>
      </c>
      <c r="J48" s="166">
        <f t="shared" si="16"/>
        <v>1088.2163755784429</v>
      </c>
      <c r="K48" s="265">
        <f t="shared" si="16"/>
        <v>72.547758371896194</v>
      </c>
      <c r="L48" s="460"/>
      <c r="M48" s="272">
        <f>RANK(K48, K$42:$K$71)</f>
        <v>14</v>
      </c>
      <c r="N48" s="462"/>
      <c r="O48" s="462"/>
      <c r="P48" s="166">
        <v>15</v>
      </c>
      <c r="Q48" s="166">
        <v>1088.2758620689633</v>
      </c>
      <c r="R48" s="166">
        <v>72.55172413793089</v>
      </c>
      <c r="S48" s="180">
        <f t="shared" si="9"/>
        <v>12</v>
      </c>
      <c r="T48" s="486"/>
      <c r="U48" s="166">
        <v>15</v>
      </c>
      <c r="V48" s="166">
        <v>1081.9999999999982</v>
      </c>
      <c r="W48" s="166">
        <v>72.133333333333212</v>
      </c>
      <c r="X48" s="180">
        <f t="shared" si="10"/>
        <v>15</v>
      </c>
      <c r="Y48" s="486"/>
      <c r="Z48" s="166">
        <v>15</v>
      </c>
      <c r="AA48" s="166">
        <v>1084.9999999999968</v>
      </c>
      <c r="AB48" s="166">
        <v>72.333333333333115</v>
      </c>
      <c r="AC48" s="180">
        <f t="shared" si="11"/>
        <v>17</v>
      </c>
      <c r="AD48" s="486"/>
      <c r="AE48" s="166">
        <v>15</v>
      </c>
      <c r="AF48" s="166">
        <v>1102.4999999999966</v>
      </c>
      <c r="AG48" s="166">
        <v>73.499999999999773</v>
      </c>
      <c r="AH48" s="180">
        <f t="shared" si="12"/>
        <v>13</v>
      </c>
      <c r="AI48" s="486"/>
      <c r="AJ48" s="166">
        <v>15</v>
      </c>
      <c r="AK48" s="166">
        <v>1082.7272727272766</v>
      </c>
      <c r="AL48" s="166">
        <v>72.181818181818443</v>
      </c>
      <c r="AM48" s="180">
        <f t="shared" si="13"/>
        <v>19</v>
      </c>
      <c r="AN48" s="486"/>
      <c r="AO48" s="166">
        <v>15</v>
      </c>
      <c r="AP48" s="166">
        <v>1090.3448275862047</v>
      </c>
      <c r="AQ48" s="166">
        <v>72.689655172413651</v>
      </c>
      <c r="AR48" s="180">
        <f t="shared" si="14"/>
        <v>16</v>
      </c>
      <c r="AS48" s="486"/>
      <c r="AT48" s="166">
        <v>15</v>
      </c>
      <c r="AU48" s="166">
        <v>1086.666666666664</v>
      </c>
      <c r="AV48" s="166">
        <v>72.444444444444272</v>
      </c>
      <c r="AW48" s="180">
        <f t="shared" si="15"/>
        <v>17</v>
      </c>
      <c r="AX48" s="486"/>
    </row>
    <row r="49" spans="2:50">
      <c r="B49" s="479"/>
      <c r="C49" s="180">
        <v>8</v>
      </c>
      <c r="D49" s="201" t="s">
        <v>368</v>
      </c>
      <c r="E49" s="166">
        <v>16</v>
      </c>
      <c r="F49" s="180">
        <v>1440</v>
      </c>
      <c r="G49" s="265">
        <v>90</v>
      </c>
      <c r="H49" s="460"/>
      <c r="I49" s="166">
        <f t="shared" si="16"/>
        <v>16.142857142857142</v>
      </c>
      <c r="J49" s="166">
        <f t="shared" si="16"/>
        <v>1294.9941815899058</v>
      </c>
      <c r="K49" s="265">
        <f t="shared" si="16"/>
        <v>80.255907975666688</v>
      </c>
      <c r="L49" s="460"/>
      <c r="M49" s="272">
        <f>RANK(K49, K$42:$K$71)</f>
        <v>8</v>
      </c>
      <c r="N49" s="462"/>
      <c r="O49" s="462"/>
      <c r="P49" s="166">
        <v>16</v>
      </c>
      <c r="Q49" s="166">
        <v>1307.9999999999989</v>
      </c>
      <c r="R49" s="166">
        <v>81.749999999999929</v>
      </c>
      <c r="S49" s="180">
        <f t="shared" si="9"/>
        <v>7</v>
      </c>
      <c r="T49" s="486"/>
      <c r="U49" s="166">
        <v>16</v>
      </c>
      <c r="V49" s="166">
        <v>1284.9999999999991</v>
      </c>
      <c r="W49" s="166">
        <v>80.312499999999943</v>
      </c>
      <c r="X49" s="180">
        <f t="shared" si="10"/>
        <v>8</v>
      </c>
      <c r="Y49" s="486"/>
      <c r="Z49" s="166">
        <v>16</v>
      </c>
      <c r="AA49" s="166">
        <v>1283.2258064516107</v>
      </c>
      <c r="AB49" s="166">
        <v>80.201612903225666</v>
      </c>
      <c r="AC49" s="180">
        <f t="shared" si="11"/>
        <v>7</v>
      </c>
      <c r="AD49" s="486"/>
      <c r="AE49" s="166">
        <v>16</v>
      </c>
      <c r="AF49" s="166">
        <v>1299.9999999999984</v>
      </c>
      <c r="AG49" s="166">
        <v>81.249999999999901</v>
      </c>
      <c r="AH49" s="180">
        <f t="shared" si="12"/>
        <v>5</v>
      </c>
      <c r="AI49" s="486"/>
      <c r="AJ49" s="166">
        <v>16</v>
      </c>
      <c r="AK49" s="166">
        <v>1312.7272727272709</v>
      </c>
      <c r="AL49" s="166">
        <v>82.045454545454433</v>
      </c>
      <c r="AM49" s="180">
        <f t="shared" si="13"/>
        <v>5</v>
      </c>
      <c r="AN49" s="486"/>
      <c r="AO49" s="166">
        <v>16</v>
      </c>
      <c r="AP49" s="166">
        <v>1278.9473684210516</v>
      </c>
      <c r="AQ49" s="166">
        <v>79.934210526315724</v>
      </c>
      <c r="AR49" s="180">
        <f t="shared" si="14"/>
        <v>7</v>
      </c>
      <c r="AS49" s="486"/>
      <c r="AT49" s="166">
        <v>17</v>
      </c>
      <c r="AU49" s="166">
        <v>1297.0588235294101</v>
      </c>
      <c r="AV49" s="166">
        <v>76.297577854671189</v>
      </c>
      <c r="AW49" s="180">
        <f t="shared" si="15"/>
        <v>10</v>
      </c>
      <c r="AX49" s="486"/>
    </row>
    <row r="50" spans="2:50">
      <c r="B50" s="479"/>
      <c r="C50" s="180">
        <v>9</v>
      </c>
      <c r="D50" s="201" t="s">
        <v>364</v>
      </c>
      <c r="E50" s="166">
        <v>16</v>
      </c>
      <c r="F50" s="180">
        <v>1380</v>
      </c>
      <c r="G50" s="265">
        <v>86.25</v>
      </c>
      <c r="H50" s="460"/>
      <c r="I50" s="166">
        <f t="shared" si="16"/>
        <v>16.571428571428573</v>
      </c>
      <c r="J50" s="166">
        <f t="shared" si="16"/>
        <v>1192.1194698124866</v>
      </c>
      <c r="K50" s="265">
        <f t="shared" si="16"/>
        <v>72.005365032604715</v>
      </c>
      <c r="L50" s="460"/>
      <c r="M50" s="272">
        <f>RANK(K50, K$42:$K$71)</f>
        <v>18</v>
      </c>
      <c r="N50" s="462"/>
      <c r="O50" s="462"/>
      <c r="P50" s="166">
        <v>17</v>
      </c>
      <c r="Q50" s="166">
        <v>1204.1860465116279</v>
      </c>
      <c r="R50" s="166">
        <v>70.834473324213405</v>
      </c>
      <c r="S50" s="180">
        <f t="shared" si="9"/>
        <v>20</v>
      </c>
      <c r="T50" s="486"/>
      <c r="U50" s="166">
        <v>17</v>
      </c>
      <c r="V50" s="166">
        <v>1169.3023255813951</v>
      </c>
      <c r="W50" s="166">
        <v>68.782489740082056</v>
      </c>
      <c r="X50" s="180">
        <f t="shared" si="10"/>
        <v>22</v>
      </c>
      <c r="Y50" s="486"/>
      <c r="Z50" s="166">
        <v>17</v>
      </c>
      <c r="AA50" s="166">
        <v>1193.5135135135126</v>
      </c>
      <c r="AB50" s="166">
        <v>70.206677265500744</v>
      </c>
      <c r="AC50" s="180">
        <f t="shared" si="11"/>
        <v>21</v>
      </c>
      <c r="AD50" s="486"/>
      <c r="AE50" s="166">
        <v>17</v>
      </c>
      <c r="AF50" s="166">
        <v>1196.9999999999995</v>
      </c>
      <c r="AG50" s="166">
        <v>70.41176470588232</v>
      </c>
      <c r="AH50" s="180">
        <f t="shared" si="12"/>
        <v>19</v>
      </c>
      <c r="AI50" s="486"/>
      <c r="AJ50" s="166">
        <v>16</v>
      </c>
      <c r="AK50" s="166">
        <v>1174.7368421052622</v>
      </c>
      <c r="AL50" s="166">
        <v>73.421052631578888</v>
      </c>
      <c r="AM50" s="180">
        <f t="shared" si="13"/>
        <v>14</v>
      </c>
      <c r="AN50" s="486"/>
      <c r="AO50" s="166">
        <v>16</v>
      </c>
      <c r="AP50" s="166">
        <v>1216.0975609756094</v>
      </c>
      <c r="AQ50" s="166">
        <v>76.00609756097559</v>
      </c>
      <c r="AR50" s="180">
        <f t="shared" si="14"/>
        <v>10</v>
      </c>
      <c r="AS50" s="486"/>
      <c r="AT50" s="166">
        <v>16</v>
      </c>
      <c r="AU50" s="166">
        <v>1189.9999999999995</v>
      </c>
      <c r="AV50" s="166">
        <v>74.374999999999972</v>
      </c>
      <c r="AW50" s="180">
        <f t="shared" si="15"/>
        <v>12</v>
      </c>
      <c r="AX50" s="486"/>
    </row>
    <row r="51" spans="2:50">
      <c r="B51" s="479"/>
      <c r="C51" s="180">
        <v>10</v>
      </c>
      <c r="D51" s="201" t="s">
        <v>367</v>
      </c>
      <c r="E51" s="166">
        <v>18</v>
      </c>
      <c r="F51" s="180">
        <v>1636</v>
      </c>
      <c r="G51" s="265">
        <v>90.9</v>
      </c>
      <c r="H51" s="460"/>
      <c r="I51" s="166">
        <f t="shared" si="16"/>
        <v>18</v>
      </c>
      <c r="J51" s="166">
        <f t="shared" si="16"/>
        <v>1303.4622523882513</v>
      </c>
      <c r="K51" s="265">
        <f t="shared" si="16"/>
        <v>72.41456957712505</v>
      </c>
      <c r="L51" s="460"/>
      <c r="M51" s="272">
        <f>RANK(K51, K$42:$K$71)</f>
        <v>15</v>
      </c>
      <c r="N51" s="462"/>
      <c r="O51" s="462"/>
      <c r="P51" s="166">
        <v>18</v>
      </c>
      <c r="Q51" s="166">
        <v>1287.6923076923085</v>
      </c>
      <c r="R51" s="166">
        <v>71.53846153846159</v>
      </c>
      <c r="S51" s="180">
        <f t="shared" si="9"/>
        <v>19</v>
      </c>
      <c r="T51" s="486"/>
      <c r="U51" s="166">
        <v>18</v>
      </c>
      <c r="V51" s="166">
        <v>1304.4000000000003</v>
      </c>
      <c r="W51" s="166">
        <v>72.466666666666683</v>
      </c>
      <c r="X51" s="180">
        <f t="shared" si="10"/>
        <v>14</v>
      </c>
      <c r="Y51" s="486"/>
      <c r="Z51" s="166">
        <v>18</v>
      </c>
      <c r="AA51" s="166">
        <v>1304.3478260869565</v>
      </c>
      <c r="AB51" s="166">
        <v>72.463768115942031</v>
      </c>
      <c r="AC51" s="180">
        <f t="shared" si="11"/>
        <v>14</v>
      </c>
      <c r="AD51" s="486"/>
      <c r="AE51" s="166">
        <v>18</v>
      </c>
      <c r="AF51" s="166">
        <v>1287.6923076923085</v>
      </c>
      <c r="AG51" s="166">
        <v>71.53846153846159</v>
      </c>
      <c r="AH51" s="180">
        <f t="shared" si="12"/>
        <v>16</v>
      </c>
      <c r="AI51" s="486"/>
      <c r="AJ51" s="166">
        <v>18</v>
      </c>
      <c r="AK51" s="166">
        <v>1305.30612244898</v>
      </c>
      <c r="AL51" s="166">
        <v>72.517006802721113</v>
      </c>
      <c r="AM51" s="180">
        <f t="shared" si="13"/>
        <v>18</v>
      </c>
      <c r="AN51" s="486"/>
      <c r="AO51" s="166">
        <v>18</v>
      </c>
      <c r="AP51" s="166">
        <v>1310.1818181818189</v>
      </c>
      <c r="AQ51" s="166">
        <v>72.787878787878824</v>
      </c>
      <c r="AR51" s="180">
        <f t="shared" si="14"/>
        <v>15</v>
      </c>
      <c r="AS51" s="486"/>
      <c r="AT51" s="166">
        <v>18</v>
      </c>
      <c r="AU51" s="166">
        <v>1324.6153846153852</v>
      </c>
      <c r="AV51" s="166">
        <v>73.58974358974362</v>
      </c>
      <c r="AW51" s="180">
        <f t="shared" si="15"/>
        <v>15</v>
      </c>
      <c r="AX51" s="486"/>
    </row>
    <row r="52" spans="2:50">
      <c r="B52" s="479"/>
      <c r="C52" s="180">
        <v>11</v>
      </c>
      <c r="D52" s="201" t="s">
        <v>366</v>
      </c>
      <c r="E52" s="166">
        <v>18</v>
      </c>
      <c r="F52" s="180">
        <v>1636</v>
      </c>
      <c r="G52" s="265">
        <v>90.9</v>
      </c>
      <c r="H52" s="460"/>
      <c r="I52" s="166">
        <f t="shared" si="16"/>
        <v>18</v>
      </c>
      <c r="J52" s="166">
        <f t="shared" si="16"/>
        <v>1274.0674730948588</v>
      </c>
      <c r="K52" s="265">
        <f t="shared" si="16"/>
        <v>70.781526283047711</v>
      </c>
      <c r="L52" s="460"/>
      <c r="M52" s="272">
        <f>RANK(K52, K$42:$K$71)</f>
        <v>21</v>
      </c>
      <c r="N52" s="462"/>
      <c r="O52" s="462"/>
      <c r="P52" s="166">
        <v>18</v>
      </c>
      <c r="Q52" s="166">
        <v>1245.3658536585363</v>
      </c>
      <c r="R52" s="166">
        <v>69.186991869918685</v>
      </c>
      <c r="S52" s="180">
        <f t="shared" si="9"/>
        <v>21</v>
      </c>
      <c r="T52" s="486"/>
      <c r="U52" s="166">
        <v>18</v>
      </c>
      <c r="V52" s="166">
        <v>1267.4999999999995</v>
      </c>
      <c r="W52" s="166">
        <v>70.416666666666643</v>
      </c>
      <c r="X52" s="180">
        <f t="shared" si="10"/>
        <v>19</v>
      </c>
      <c r="Y52" s="486"/>
      <c r="Z52" s="166">
        <v>18</v>
      </c>
      <c r="AA52" s="166">
        <v>1293.3333333333323</v>
      </c>
      <c r="AB52" s="166">
        <v>71.851851851851791</v>
      </c>
      <c r="AC52" s="180">
        <f t="shared" si="11"/>
        <v>18</v>
      </c>
      <c r="AD52" s="486"/>
      <c r="AE52" s="166">
        <v>18</v>
      </c>
      <c r="AF52" s="166">
        <v>1285.2631578947357</v>
      </c>
      <c r="AG52" s="166">
        <v>71.403508771929765</v>
      </c>
      <c r="AH52" s="180">
        <f t="shared" si="12"/>
        <v>17</v>
      </c>
      <c r="AI52" s="486"/>
      <c r="AJ52" s="166">
        <v>18</v>
      </c>
      <c r="AK52" s="166">
        <v>1309.9999999999989</v>
      </c>
      <c r="AL52" s="166">
        <v>72.777777777777715</v>
      </c>
      <c r="AM52" s="180">
        <f t="shared" si="13"/>
        <v>16</v>
      </c>
      <c r="AN52" s="486"/>
      <c r="AO52" s="166">
        <v>18</v>
      </c>
      <c r="AP52" s="166">
        <v>1265.5813953488371</v>
      </c>
      <c r="AQ52" s="166">
        <v>70.310077519379831</v>
      </c>
      <c r="AR52" s="180">
        <f t="shared" si="14"/>
        <v>20</v>
      </c>
      <c r="AS52" s="486"/>
      <c r="AT52" s="166">
        <v>18</v>
      </c>
      <c r="AU52" s="166">
        <v>1251.4285714285711</v>
      </c>
      <c r="AV52" s="166">
        <v>69.523809523809504</v>
      </c>
      <c r="AW52" s="180">
        <f t="shared" si="15"/>
        <v>22</v>
      </c>
      <c r="AX52" s="486"/>
    </row>
    <row r="53" spans="2:50">
      <c r="B53" s="479"/>
      <c r="C53" s="180">
        <v>12</v>
      </c>
      <c r="D53" s="201" t="s">
        <v>344</v>
      </c>
      <c r="E53" s="166">
        <v>17</v>
      </c>
      <c r="F53" s="180">
        <v>1500</v>
      </c>
      <c r="G53" s="265">
        <v>88.2</v>
      </c>
      <c r="H53" s="460"/>
      <c r="I53" s="166">
        <f t="shared" si="16"/>
        <v>17</v>
      </c>
      <c r="J53" s="166">
        <f t="shared" si="16"/>
        <v>1266.1195315367454</v>
      </c>
      <c r="K53" s="265">
        <f t="shared" si="16"/>
        <v>74.477619502161474</v>
      </c>
      <c r="L53" s="460"/>
      <c r="M53" s="272">
        <f>RANK(K53, K$42:$K$71)</f>
        <v>11</v>
      </c>
      <c r="N53" s="462"/>
      <c r="O53" s="462"/>
      <c r="P53" s="166">
        <v>17</v>
      </c>
      <c r="Q53" s="166">
        <v>1258.3783783783774</v>
      </c>
      <c r="R53" s="166">
        <v>74.022257551669256</v>
      </c>
      <c r="S53" s="180">
        <f t="shared" si="9"/>
        <v>11</v>
      </c>
      <c r="T53" s="486"/>
      <c r="U53" s="166">
        <v>17</v>
      </c>
      <c r="V53" s="166">
        <v>1264.7368421052622</v>
      </c>
      <c r="W53" s="166">
        <v>74.39628482972131</v>
      </c>
      <c r="X53" s="180">
        <f t="shared" si="10"/>
        <v>12</v>
      </c>
      <c r="Y53" s="486"/>
      <c r="Z53" s="166">
        <v>17</v>
      </c>
      <c r="AA53" s="166">
        <v>1263.8709677419336</v>
      </c>
      <c r="AB53" s="166">
        <v>74.345351043643149</v>
      </c>
      <c r="AC53" s="180">
        <f t="shared" si="11"/>
        <v>12</v>
      </c>
      <c r="AD53" s="486"/>
      <c r="AE53" s="166">
        <v>17</v>
      </c>
      <c r="AF53" s="166">
        <v>1267.0588235294103</v>
      </c>
      <c r="AG53" s="166">
        <v>74.532871972318262</v>
      </c>
      <c r="AH53" s="180">
        <f t="shared" si="12"/>
        <v>11</v>
      </c>
      <c r="AI53" s="486"/>
      <c r="AJ53" s="166">
        <v>17</v>
      </c>
      <c r="AK53" s="166">
        <v>1266.8571428571415</v>
      </c>
      <c r="AL53" s="166">
        <v>74.521008403361265</v>
      </c>
      <c r="AM53" s="180">
        <f t="shared" si="13"/>
        <v>12</v>
      </c>
      <c r="AN53" s="486"/>
      <c r="AO53" s="166">
        <v>17</v>
      </c>
      <c r="AP53" s="166">
        <v>1288.421052631578</v>
      </c>
      <c r="AQ53" s="166">
        <v>75.789473684210478</v>
      </c>
      <c r="AR53" s="180">
        <f t="shared" si="14"/>
        <v>11</v>
      </c>
      <c r="AS53" s="486"/>
      <c r="AT53" s="166">
        <v>17</v>
      </c>
      <c r="AU53" s="166">
        <v>1253.5135135135126</v>
      </c>
      <c r="AV53" s="166">
        <v>73.736089030206628</v>
      </c>
      <c r="AW53" s="180">
        <f t="shared" si="15"/>
        <v>14</v>
      </c>
      <c r="AX53" s="486"/>
    </row>
    <row r="54" spans="2:50">
      <c r="B54" s="479"/>
      <c r="C54" s="180">
        <v>13</v>
      </c>
      <c r="D54" s="201" t="s">
        <v>548</v>
      </c>
      <c r="E54" s="166">
        <v>18</v>
      </c>
      <c r="F54" s="180">
        <v>1440</v>
      </c>
      <c r="G54" s="265">
        <v>80</v>
      </c>
      <c r="H54" s="460"/>
      <c r="I54" s="166">
        <f t="shared" si="16"/>
        <v>19</v>
      </c>
      <c r="J54" s="166">
        <f t="shared" si="16"/>
        <v>1333.0936648906845</v>
      </c>
      <c r="K54" s="265">
        <f t="shared" si="16"/>
        <v>70.162824467930776</v>
      </c>
      <c r="L54" s="460"/>
      <c r="M54" s="272">
        <f>RANK(K54, K$42:$K$71)</f>
        <v>22</v>
      </c>
      <c r="N54" s="462"/>
      <c r="O54" s="462"/>
      <c r="P54" s="166">
        <v>19</v>
      </c>
      <c r="Q54" s="166">
        <v>1297.4999999999989</v>
      </c>
      <c r="R54" s="166">
        <v>68.289473684210463</v>
      </c>
      <c r="S54" s="180">
        <f t="shared" si="9"/>
        <v>22</v>
      </c>
      <c r="T54" s="486"/>
      <c r="U54" s="166">
        <v>19</v>
      </c>
      <c r="V54" s="166">
        <v>1335.2238805970167</v>
      </c>
      <c r="W54" s="166">
        <v>70.274941084053509</v>
      </c>
      <c r="X54" s="180">
        <f t="shared" si="10"/>
        <v>20</v>
      </c>
      <c r="Y54" s="486"/>
      <c r="Z54" s="166">
        <v>19</v>
      </c>
      <c r="AA54" s="166">
        <v>1355.7894736842115</v>
      </c>
      <c r="AB54" s="166">
        <v>71.357340720221657</v>
      </c>
      <c r="AC54" s="180">
        <f t="shared" si="11"/>
        <v>20</v>
      </c>
      <c r="AD54" s="486"/>
      <c r="AE54" s="166">
        <v>19</v>
      </c>
      <c r="AF54" s="166">
        <v>1316.3076923076937</v>
      </c>
      <c r="AG54" s="166">
        <v>69.279352226720718</v>
      </c>
      <c r="AH54" s="180">
        <f t="shared" si="12"/>
        <v>21</v>
      </c>
      <c r="AI54" s="486"/>
      <c r="AJ54" s="166">
        <v>19</v>
      </c>
      <c r="AK54" s="166">
        <v>1349.577464788731</v>
      </c>
      <c r="AL54" s="166">
        <v>71.030392883617424</v>
      </c>
      <c r="AM54" s="180">
        <f t="shared" si="13"/>
        <v>21</v>
      </c>
      <c r="AN54" s="486"/>
      <c r="AO54" s="166">
        <v>19</v>
      </c>
      <c r="AP54" s="166">
        <v>1326.3999999999992</v>
      </c>
      <c r="AQ54" s="166">
        <v>69.810526315789431</v>
      </c>
      <c r="AR54" s="180">
        <f t="shared" si="14"/>
        <v>21</v>
      </c>
      <c r="AS54" s="486"/>
      <c r="AT54" s="166">
        <v>19</v>
      </c>
      <c r="AU54" s="166">
        <v>1350.8571428571415</v>
      </c>
      <c r="AV54" s="166">
        <v>71.097744360902183</v>
      </c>
      <c r="AW54" s="180">
        <f t="shared" si="15"/>
        <v>21</v>
      </c>
      <c r="AX54" s="486"/>
    </row>
    <row r="55" spans="2:50">
      <c r="B55" s="479"/>
      <c r="C55" s="180">
        <v>14</v>
      </c>
      <c r="D55" s="201" t="s">
        <v>370</v>
      </c>
      <c r="E55" s="166">
        <v>15</v>
      </c>
      <c r="F55" s="180">
        <v>1440</v>
      </c>
      <c r="G55" s="265">
        <v>96</v>
      </c>
      <c r="H55" s="460"/>
      <c r="I55" s="166">
        <f t="shared" si="16"/>
        <v>15</v>
      </c>
      <c r="J55" s="166">
        <f t="shared" si="16"/>
        <v>1278.4660791427627</v>
      </c>
      <c r="K55" s="265">
        <f t="shared" si="16"/>
        <v>85.231071942850832</v>
      </c>
      <c r="L55" s="460"/>
      <c r="M55" s="272">
        <f>RANK(K55, K$42:$K$71)</f>
        <v>3</v>
      </c>
      <c r="N55" s="462"/>
      <c r="O55" s="462"/>
      <c r="P55" s="166">
        <v>15</v>
      </c>
      <c r="Q55" s="166">
        <v>1287.2727272727243</v>
      </c>
      <c r="R55" s="166">
        <v>85.818181818181614</v>
      </c>
      <c r="S55" s="180">
        <f t="shared" si="9"/>
        <v>5</v>
      </c>
      <c r="T55" s="486"/>
      <c r="U55" s="166">
        <v>15</v>
      </c>
      <c r="V55" s="166">
        <v>1308.2142857142867</v>
      </c>
      <c r="W55" s="166">
        <v>87.214285714285779</v>
      </c>
      <c r="X55" s="180">
        <f t="shared" si="10"/>
        <v>3</v>
      </c>
      <c r="Y55" s="486"/>
      <c r="Z55" s="166">
        <v>15</v>
      </c>
      <c r="AA55" s="166">
        <v>1250.588235294118</v>
      </c>
      <c r="AB55" s="166">
        <v>83.372549019607874</v>
      </c>
      <c r="AC55" s="180">
        <f t="shared" si="11"/>
        <v>5</v>
      </c>
      <c r="AD55" s="486"/>
      <c r="AE55" s="166">
        <v>15</v>
      </c>
      <c r="AF55" s="166">
        <v>1253.207547169812</v>
      </c>
      <c r="AG55" s="166">
        <v>83.547169811320799</v>
      </c>
      <c r="AH55" s="180">
        <f t="shared" si="12"/>
        <v>4</v>
      </c>
      <c r="AI55" s="486"/>
      <c r="AJ55" s="166">
        <v>15</v>
      </c>
      <c r="AK55" s="166">
        <v>1271.3207547169818</v>
      </c>
      <c r="AL55" s="166">
        <v>84.75471698113212</v>
      </c>
      <c r="AM55" s="180">
        <f t="shared" si="13"/>
        <v>3</v>
      </c>
      <c r="AN55" s="486"/>
      <c r="AO55" s="166">
        <v>15</v>
      </c>
      <c r="AP55" s="166">
        <v>1293.1034482758596</v>
      </c>
      <c r="AQ55" s="166">
        <v>86.206896551723972</v>
      </c>
      <c r="AR55" s="180">
        <f t="shared" si="14"/>
        <v>3</v>
      </c>
      <c r="AS55" s="486"/>
      <c r="AT55" s="166">
        <v>15</v>
      </c>
      <c r="AU55" s="166">
        <v>1285.5555555555563</v>
      </c>
      <c r="AV55" s="166">
        <v>85.703703703703752</v>
      </c>
      <c r="AW55" s="180">
        <f t="shared" si="15"/>
        <v>4</v>
      </c>
      <c r="AX55" s="486"/>
    </row>
    <row r="56" spans="2:50">
      <c r="B56" s="479"/>
      <c r="C56" s="180">
        <v>15</v>
      </c>
      <c r="D56" s="201" t="s">
        <v>335</v>
      </c>
      <c r="E56" s="166">
        <v>17</v>
      </c>
      <c r="F56" s="180">
        <v>1440</v>
      </c>
      <c r="G56" s="265">
        <v>84.7</v>
      </c>
      <c r="H56" s="460"/>
      <c r="I56" s="166">
        <f t="shared" si="16"/>
        <v>16.428571428571427</v>
      </c>
      <c r="J56" s="166">
        <f t="shared" si="16"/>
        <v>1346.0455917649776</v>
      </c>
      <c r="K56" s="265">
        <f t="shared" si="16"/>
        <v>81.990355503608612</v>
      </c>
      <c r="L56" s="460"/>
      <c r="M56" s="166">
        <f>RANK(K56, K$42:$K$71)</f>
        <v>6</v>
      </c>
      <c r="N56" s="462"/>
      <c r="O56" s="462"/>
      <c r="P56" s="166">
        <v>16</v>
      </c>
      <c r="Q56" s="166">
        <v>1310.1176470588234</v>
      </c>
      <c r="R56" s="166">
        <v>81.882352941176464</v>
      </c>
      <c r="S56" s="180">
        <f t="shared" si="9"/>
        <v>6</v>
      </c>
      <c r="T56" s="486"/>
      <c r="U56" s="166">
        <v>16</v>
      </c>
      <c r="V56" s="166">
        <v>1348.1012658227839</v>
      </c>
      <c r="W56" s="166">
        <v>84.256329113923996</v>
      </c>
      <c r="X56" s="180">
        <f t="shared" si="10"/>
        <v>5</v>
      </c>
      <c r="Y56" s="486"/>
      <c r="Z56" s="166">
        <v>16</v>
      </c>
      <c r="AA56" s="166">
        <v>1338.8571428571415</v>
      </c>
      <c r="AB56" s="166">
        <v>83.678571428571345</v>
      </c>
      <c r="AC56" s="180">
        <f t="shared" si="11"/>
        <v>4</v>
      </c>
      <c r="AD56" s="486"/>
      <c r="AE56" s="166">
        <v>17</v>
      </c>
      <c r="AF56" s="166">
        <v>1355.5263157894728</v>
      </c>
      <c r="AG56" s="166">
        <v>79.736842105263108</v>
      </c>
      <c r="AH56" s="180">
        <f t="shared" si="12"/>
        <v>7</v>
      </c>
      <c r="AI56" s="486"/>
      <c r="AJ56" s="166">
        <v>17</v>
      </c>
      <c r="AK56" s="166">
        <v>1358.1176470588234</v>
      </c>
      <c r="AL56" s="166">
        <v>79.889273356401375</v>
      </c>
      <c r="AM56" s="180">
        <f t="shared" si="13"/>
        <v>8</v>
      </c>
      <c r="AN56" s="486"/>
      <c r="AO56" s="166">
        <v>16</v>
      </c>
      <c r="AP56" s="166">
        <v>1355.4545454545455</v>
      </c>
      <c r="AQ56" s="166">
        <v>84.715909090909093</v>
      </c>
      <c r="AR56" s="180">
        <f t="shared" si="14"/>
        <v>4</v>
      </c>
      <c r="AS56" s="486"/>
      <c r="AT56" s="166">
        <v>17</v>
      </c>
      <c r="AU56" s="166">
        <v>1356.1445783132526</v>
      </c>
      <c r="AV56" s="166">
        <v>79.773210489014858</v>
      </c>
      <c r="AW56" s="180">
        <f t="shared" si="15"/>
        <v>7</v>
      </c>
      <c r="AX56" s="486"/>
    </row>
    <row r="57" spans="2:50">
      <c r="B57" s="479"/>
      <c r="C57" s="180">
        <v>16</v>
      </c>
      <c r="D57" s="201" t="s">
        <v>365</v>
      </c>
      <c r="E57" s="166">
        <v>19</v>
      </c>
      <c r="F57" s="180">
        <v>1440</v>
      </c>
      <c r="G57" s="265">
        <v>75.8</v>
      </c>
      <c r="H57" s="460"/>
      <c r="I57" s="166">
        <f t="shared" si="16"/>
        <v>18</v>
      </c>
      <c r="J57" s="166">
        <f t="shared" si="16"/>
        <v>1297.307676763214</v>
      </c>
      <c r="K57" s="265">
        <f t="shared" si="16"/>
        <v>72.072648709067451</v>
      </c>
      <c r="L57" s="460"/>
      <c r="M57" s="166">
        <f>RANK(K57, K$42:$K$71)</f>
        <v>16</v>
      </c>
      <c r="N57" s="462"/>
      <c r="O57" s="462"/>
      <c r="P57" s="166">
        <v>18</v>
      </c>
      <c r="Q57" s="166">
        <v>1299.2727272727282</v>
      </c>
      <c r="R57" s="166">
        <v>72.18181818181823</v>
      </c>
      <c r="S57" s="180">
        <f t="shared" si="9"/>
        <v>14</v>
      </c>
      <c r="T57" s="486"/>
      <c r="U57" s="166">
        <v>18</v>
      </c>
      <c r="V57" s="166">
        <v>1280.0000000000009</v>
      </c>
      <c r="W57" s="166">
        <v>71.111111111111157</v>
      </c>
      <c r="X57" s="180">
        <f t="shared" si="10"/>
        <v>18</v>
      </c>
      <c r="Y57" s="486"/>
      <c r="Z57" s="166">
        <v>18</v>
      </c>
      <c r="AA57" s="166">
        <v>1303.7500000000002</v>
      </c>
      <c r="AB57" s="166">
        <v>72.430555555555571</v>
      </c>
      <c r="AC57" s="180">
        <f t="shared" si="11"/>
        <v>16</v>
      </c>
      <c r="AD57" s="486"/>
      <c r="AE57" s="166">
        <v>18</v>
      </c>
      <c r="AF57" s="166">
        <v>1310.9433962264159</v>
      </c>
      <c r="AG57" s="166">
        <v>72.830188679245325</v>
      </c>
      <c r="AH57" s="180">
        <f t="shared" si="12"/>
        <v>15</v>
      </c>
      <c r="AI57" s="486"/>
      <c r="AJ57" s="166">
        <v>18</v>
      </c>
      <c r="AK57" s="166">
        <v>1307.7777777777785</v>
      </c>
      <c r="AL57" s="166">
        <v>72.654320987654359</v>
      </c>
      <c r="AM57" s="180">
        <f t="shared" si="13"/>
        <v>17</v>
      </c>
      <c r="AN57" s="486"/>
      <c r="AO57" s="166">
        <v>18</v>
      </c>
      <c r="AP57" s="166">
        <v>1295.4098360655751</v>
      </c>
      <c r="AQ57" s="166">
        <v>71.967213114754173</v>
      </c>
      <c r="AR57" s="180">
        <f t="shared" si="14"/>
        <v>18</v>
      </c>
      <c r="AS57" s="486"/>
      <c r="AT57" s="166">
        <v>18</v>
      </c>
      <c r="AU57" s="166">
        <v>1284.0000000000007</v>
      </c>
      <c r="AV57" s="166">
        <v>71.333333333333371</v>
      </c>
      <c r="AW57" s="180">
        <f t="shared" si="15"/>
        <v>20</v>
      </c>
      <c r="AX57" s="486"/>
    </row>
    <row r="58" spans="2:50">
      <c r="B58" s="479"/>
      <c r="C58" s="180">
        <v>17</v>
      </c>
      <c r="D58" s="201" t="s">
        <v>371</v>
      </c>
      <c r="E58" s="166">
        <v>19</v>
      </c>
      <c r="F58" s="180">
        <v>1500</v>
      </c>
      <c r="G58" s="265">
        <v>78.900000000000006</v>
      </c>
      <c r="H58" s="460"/>
      <c r="I58" s="166">
        <f t="shared" si="16"/>
        <v>18</v>
      </c>
      <c r="J58" s="166">
        <f t="shared" si="16"/>
        <v>1283.3587412179816</v>
      </c>
      <c r="K58" s="265">
        <f t="shared" si="16"/>
        <v>71.297707845443426</v>
      </c>
      <c r="L58" s="460"/>
      <c r="M58" s="166">
        <f>RANK(K58, K$42:$K$71)</f>
        <v>19</v>
      </c>
      <c r="N58" s="462"/>
      <c r="O58" s="462"/>
      <c r="P58" s="166">
        <v>18</v>
      </c>
      <c r="Q58" s="166">
        <v>1298.9999999999995</v>
      </c>
      <c r="R58" s="166">
        <v>72.166666666666643</v>
      </c>
      <c r="S58" s="180">
        <f t="shared" si="9"/>
        <v>15</v>
      </c>
      <c r="T58" s="486"/>
      <c r="U58" s="166">
        <v>18</v>
      </c>
      <c r="V58" s="166">
        <v>1281.5384615384608</v>
      </c>
      <c r="W58" s="166">
        <v>71.19658119658115</v>
      </c>
      <c r="X58" s="180">
        <f t="shared" si="10"/>
        <v>17</v>
      </c>
      <c r="Y58" s="486"/>
      <c r="Z58" s="166">
        <v>18</v>
      </c>
      <c r="AA58" s="166">
        <v>1239.9999999999991</v>
      </c>
      <c r="AB58" s="166">
        <v>68.888888888888843</v>
      </c>
      <c r="AC58" s="180">
        <f t="shared" si="11"/>
        <v>22</v>
      </c>
      <c r="AD58" s="486"/>
      <c r="AE58" s="166">
        <v>18</v>
      </c>
      <c r="AF58" s="166">
        <v>1252.3076923076917</v>
      </c>
      <c r="AG58" s="166">
        <v>69.572649572649539</v>
      </c>
      <c r="AH58" s="180">
        <f t="shared" si="12"/>
        <v>20</v>
      </c>
      <c r="AI58" s="486"/>
      <c r="AJ58" s="166">
        <v>18</v>
      </c>
      <c r="AK58" s="166">
        <v>1313.3333333333323</v>
      </c>
      <c r="AL58" s="166">
        <v>72.962962962962905</v>
      </c>
      <c r="AM58" s="180">
        <f t="shared" si="13"/>
        <v>15</v>
      </c>
      <c r="AN58" s="486"/>
      <c r="AO58" s="166">
        <v>18</v>
      </c>
      <c r="AP58" s="166">
        <v>1296.2790697674418</v>
      </c>
      <c r="AQ58" s="166">
        <v>72.015503875968989</v>
      </c>
      <c r="AR58" s="180">
        <f t="shared" si="14"/>
        <v>17</v>
      </c>
      <c r="AS58" s="486"/>
      <c r="AT58" s="166">
        <v>18</v>
      </c>
      <c r="AU58" s="166">
        <v>1301.0526315789464</v>
      </c>
      <c r="AV58" s="166">
        <v>72.280701754385916</v>
      </c>
      <c r="AW58" s="180">
        <f t="shared" si="15"/>
        <v>18</v>
      </c>
      <c r="AX58" s="486"/>
    </row>
    <row r="59" spans="2:50">
      <c r="B59" s="479"/>
      <c r="C59" s="180">
        <v>18</v>
      </c>
      <c r="D59" s="201" t="s">
        <v>428</v>
      </c>
      <c r="E59" s="166">
        <v>18</v>
      </c>
      <c r="F59" s="180">
        <v>1440</v>
      </c>
      <c r="G59" s="265">
        <v>80</v>
      </c>
      <c r="H59" s="460"/>
      <c r="I59" s="166">
        <f t="shared" si="16"/>
        <v>17.857142857142858</v>
      </c>
      <c r="J59" s="166">
        <f t="shared" si="16"/>
        <v>1090.3968542363455</v>
      </c>
      <c r="K59" s="265">
        <f t="shared" si="16"/>
        <v>61.078443349264759</v>
      </c>
      <c r="L59" s="460"/>
      <c r="M59" s="166">
        <f>RANK(K59, K$42:$K$71)</f>
        <v>26</v>
      </c>
      <c r="N59" s="462"/>
      <c r="O59" s="462"/>
      <c r="P59" s="166">
        <v>18</v>
      </c>
      <c r="Q59" s="166">
        <v>1098.4615384615356</v>
      </c>
      <c r="R59" s="166">
        <v>61.025641025640866</v>
      </c>
      <c r="S59" s="180">
        <f t="shared" si="9"/>
        <v>27</v>
      </c>
      <c r="T59" s="486"/>
      <c r="U59" s="166">
        <v>18</v>
      </c>
      <c r="V59" s="166">
        <v>1068.3870967741918</v>
      </c>
      <c r="W59" s="166">
        <v>59.354838709677324</v>
      </c>
      <c r="X59" s="180">
        <f t="shared" si="10"/>
        <v>27</v>
      </c>
      <c r="Y59" s="486"/>
      <c r="Z59" s="166">
        <v>18</v>
      </c>
      <c r="AA59" s="166">
        <v>1087.8260869565181</v>
      </c>
      <c r="AB59" s="166">
        <v>60.43478260869545</v>
      </c>
      <c r="AC59" s="180">
        <f t="shared" si="11"/>
        <v>26</v>
      </c>
      <c r="AD59" s="486"/>
      <c r="AE59" s="166">
        <v>17</v>
      </c>
      <c r="AF59" s="166">
        <v>1072.799999999997</v>
      </c>
      <c r="AG59" s="166">
        <v>63.105882352941002</v>
      </c>
      <c r="AH59" s="180">
        <f t="shared" si="12"/>
        <v>27</v>
      </c>
      <c r="AI59" s="486"/>
      <c r="AJ59" s="166">
        <v>18</v>
      </c>
      <c r="AK59" s="166">
        <v>1088.1818181818221</v>
      </c>
      <c r="AL59" s="166">
        <v>60.454545454545674</v>
      </c>
      <c r="AM59" s="180">
        <f t="shared" si="13"/>
        <v>27</v>
      </c>
      <c r="AN59" s="486"/>
      <c r="AO59" s="166">
        <v>18</v>
      </c>
      <c r="AP59" s="166">
        <v>1111.0344827586187</v>
      </c>
      <c r="AQ59" s="166">
        <v>61.72413793103437</v>
      </c>
      <c r="AR59" s="180">
        <f t="shared" si="14"/>
        <v>27</v>
      </c>
      <c r="AS59" s="486"/>
      <c r="AT59" s="166">
        <v>18</v>
      </c>
      <c r="AU59" s="166">
        <v>1106.0869565217354</v>
      </c>
      <c r="AV59" s="166">
        <v>61.44927536231863</v>
      </c>
      <c r="AW59" s="180">
        <f t="shared" si="15"/>
        <v>27</v>
      </c>
      <c r="AX59" s="486"/>
    </row>
    <row r="60" spans="2:50">
      <c r="B60" s="479"/>
      <c r="C60" s="180">
        <v>19</v>
      </c>
      <c r="D60" s="201" t="s">
        <v>462</v>
      </c>
      <c r="E60" s="166">
        <v>17</v>
      </c>
      <c r="F60" s="180">
        <v>1385</v>
      </c>
      <c r="G60" s="265">
        <v>81.400000000000006</v>
      </c>
      <c r="H60" s="460"/>
      <c r="I60" s="166">
        <f t="shared" si="16"/>
        <v>18</v>
      </c>
      <c r="J60" s="166">
        <f t="shared" si="16"/>
        <v>1176.4359220922859</v>
      </c>
      <c r="K60" s="265">
        <f t="shared" si="16"/>
        <v>65.357551227349219</v>
      </c>
      <c r="L60" s="460"/>
      <c r="M60" s="166">
        <f>RANK(K60, K$42:$K$71)</f>
        <v>25</v>
      </c>
      <c r="N60" s="462"/>
      <c r="O60" s="462"/>
      <c r="P60" s="166">
        <v>18</v>
      </c>
      <c r="Q60" s="166">
        <v>1169.3617021276598</v>
      </c>
      <c r="R60" s="166">
        <v>64.964539007092213</v>
      </c>
      <c r="S60" s="180">
        <f t="shared" si="9"/>
        <v>25</v>
      </c>
      <c r="T60" s="486"/>
      <c r="U60" s="166">
        <v>18</v>
      </c>
      <c r="V60" s="166">
        <v>1162.3255813953488</v>
      </c>
      <c r="W60" s="166">
        <v>64.573643410852711</v>
      </c>
      <c r="X60" s="180">
        <f t="shared" si="10"/>
        <v>25</v>
      </c>
      <c r="Y60" s="486"/>
      <c r="Z60" s="166">
        <v>18</v>
      </c>
      <c r="AA60" s="166">
        <v>1199.9999999999984</v>
      </c>
      <c r="AB60" s="166">
        <v>66.666666666666572</v>
      </c>
      <c r="AC60" s="180">
        <f t="shared" si="11"/>
        <v>23</v>
      </c>
      <c r="AD60" s="486"/>
      <c r="AE60" s="166">
        <v>18</v>
      </c>
      <c r="AF60" s="166">
        <v>1198.4999999999995</v>
      </c>
      <c r="AG60" s="166">
        <v>66.583333333333314</v>
      </c>
      <c r="AH60" s="180">
        <f t="shared" si="12"/>
        <v>24</v>
      </c>
      <c r="AI60" s="486"/>
      <c r="AJ60" s="166">
        <v>18</v>
      </c>
      <c r="AK60" s="166">
        <v>1178.1818181818182</v>
      </c>
      <c r="AL60" s="166">
        <v>65.454545454545453</v>
      </c>
      <c r="AM60" s="180">
        <f t="shared" si="13"/>
        <v>25</v>
      </c>
      <c r="AN60" s="486"/>
      <c r="AO60" s="166">
        <v>18</v>
      </c>
      <c r="AP60" s="166">
        <v>1145.8823529411768</v>
      </c>
      <c r="AQ60" s="166">
        <v>63.660130718954264</v>
      </c>
      <c r="AR60" s="180">
        <f t="shared" si="14"/>
        <v>26</v>
      </c>
      <c r="AS60" s="486"/>
      <c r="AT60" s="166">
        <v>18</v>
      </c>
      <c r="AU60" s="166">
        <v>1180.8000000000004</v>
      </c>
      <c r="AV60" s="166">
        <v>65.600000000000023</v>
      </c>
      <c r="AW60" s="180">
        <f t="shared" si="15"/>
        <v>25</v>
      </c>
      <c r="AX60" s="486"/>
    </row>
    <row r="61" spans="2:50">
      <c r="B61" s="479"/>
      <c r="C61" s="180">
        <v>20</v>
      </c>
      <c r="D61" s="201" t="s">
        <v>523</v>
      </c>
      <c r="E61" s="166">
        <v>17</v>
      </c>
      <c r="F61" s="180">
        <v>1440</v>
      </c>
      <c r="G61" s="265">
        <v>84.7</v>
      </c>
      <c r="H61" s="460"/>
      <c r="I61" s="166">
        <f t="shared" si="16"/>
        <v>19</v>
      </c>
      <c r="J61" s="166">
        <f t="shared" si="16"/>
        <v>1272.2317145150407</v>
      </c>
      <c r="K61" s="265">
        <f t="shared" si="16"/>
        <v>66.959563921844236</v>
      </c>
      <c r="L61" s="460"/>
      <c r="M61" s="166">
        <f>RANK(K61, K$42:$K$71)</f>
        <v>24</v>
      </c>
      <c r="N61" s="462"/>
      <c r="O61" s="462"/>
      <c r="P61" s="166">
        <v>19</v>
      </c>
      <c r="Q61" s="166">
        <v>1266.3829787234044</v>
      </c>
      <c r="R61" s="166">
        <v>66.651735722284442</v>
      </c>
      <c r="S61" s="180">
        <f t="shared" si="9"/>
        <v>24</v>
      </c>
      <c r="T61" s="486"/>
      <c r="U61" s="166">
        <v>19</v>
      </c>
      <c r="V61" s="166">
        <v>1238.6666666666667</v>
      </c>
      <c r="W61" s="166">
        <v>65.192982456140356</v>
      </c>
      <c r="X61" s="180">
        <f t="shared" si="10"/>
        <v>24</v>
      </c>
      <c r="Y61" s="486"/>
      <c r="Z61" s="166">
        <v>19</v>
      </c>
      <c r="AA61" s="166">
        <v>1250.9999999999995</v>
      </c>
      <c r="AB61" s="166">
        <v>65.842105263157876</v>
      </c>
      <c r="AC61" s="180">
        <f t="shared" si="11"/>
        <v>24</v>
      </c>
      <c r="AD61" s="486"/>
      <c r="AE61" s="166">
        <v>19</v>
      </c>
      <c r="AF61" s="166">
        <v>1302.8571428571424</v>
      </c>
      <c r="AG61" s="166">
        <v>68.571428571428555</v>
      </c>
      <c r="AH61" s="180">
        <f t="shared" si="12"/>
        <v>22</v>
      </c>
      <c r="AI61" s="486"/>
      <c r="AJ61" s="166">
        <v>19</v>
      </c>
      <c r="AK61" s="166">
        <v>1285.4999999999995</v>
      </c>
      <c r="AL61" s="166">
        <v>67.657894736842081</v>
      </c>
      <c r="AM61" s="180">
        <f t="shared" si="13"/>
        <v>24</v>
      </c>
      <c r="AN61" s="486"/>
      <c r="AO61" s="166">
        <v>19</v>
      </c>
      <c r="AP61" s="166">
        <v>1245.30612244898</v>
      </c>
      <c r="AQ61" s="166">
        <v>65.542427497314733</v>
      </c>
      <c r="AR61" s="180">
        <f t="shared" si="14"/>
        <v>24</v>
      </c>
      <c r="AS61" s="486"/>
      <c r="AT61" s="166">
        <v>19</v>
      </c>
      <c r="AU61" s="166">
        <v>1315.909090909091</v>
      </c>
      <c r="AV61" s="166">
        <v>69.258373205741634</v>
      </c>
      <c r="AW61" s="180">
        <f t="shared" si="15"/>
        <v>23</v>
      </c>
      <c r="AX61" s="486"/>
    </row>
    <row r="62" spans="2:50">
      <c r="B62" s="479"/>
      <c r="C62" s="180">
        <v>21</v>
      </c>
      <c r="D62" s="201" t="s">
        <v>549</v>
      </c>
      <c r="E62" s="166">
        <v>17</v>
      </c>
      <c r="F62" s="180">
        <v>1500</v>
      </c>
      <c r="G62" s="265">
        <v>88.2</v>
      </c>
      <c r="H62" s="460"/>
      <c r="I62" s="166">
        <f t="shared" si="16"/>
        <v>17.571428571428573</v>
      </c>
      <c r="J62" s="166">
        <f t="shared" si="16"/>
        <v>1288.5030378710217</v>
      </c>
      <c r="K62" s="265">
        <f t="shared" si="16"/>
        <v>73.405729443738451</v>
      </c>
      <c r="L62" s="460"/>
      <c r="M62" s="166">
        <f>RANK(K62, K$42:$K$71)</f>
        <v>12</v>
      </c>
      <c r="N62" s="462"/>
      <c r="O62" s="462"/>
      <c r="P62" s="166">
        <v>18</v>
      </c>
      <c r="Q62" s="166">
        <v>1303.0985915492945</v>
      </c>
      <c r="R62" s="166">
        <v>72.394366197183032</v>
      </c>
      <c r="S62" s="180">
        <f t="shared" si="9"/>
        <v>13</v>
      </c>
      <c r="T62" s="486"/>
      <c r="U62" s="166">
        <v>18</v>
      </c>
      <c r="V62" s="166">
        <v>1258.3783783783774</v>
      </c>
      <c r="W62" s="166">
        <v>69.909909909909857</v>
      </c>
      <c r="X62" s="180">
        <f t="shared" si="10"/>
        <v>21</v>
      </c>
      <c r="Y62" s="486"/>
      <c r="Z62" s="166">
        <v>18</v>
      </c>
      <c r="AA62" s="166">
        <v>1289.0000000000011</v>
      </c>
      <c r="AB62" s="166">
        <v>71.611111111111171</v>
      </c>
      <c r="AC62" s="180">
        <f t="shared" si="11"/>
        <v>19</v>
      </c>
      <c r="AD62" s="486"/>
      <c r="AE62" s="166">
        <v>17</v>
      </c>
      <c r="AF62" s="166">
        <v>1290.9090909090921</v>
      </c>
      <c r="AG62" s="166">
        <v>75.93582887700542</v>
      </c>
      <c r="AH62" s="180">
        <f t="shared" si="12"/>
        <v>10</v>
      </c>
      <c r="AI62" s="486"/>
      <c r="AJ62" s="166">
        <v>17</v>
      </c>
      <c r="AK62" s="166">
        <v>1308.3582089552256</v>
      </c>
      <c r="AL62" s="166">
        <v>76.962247585601503</v>
      </c>
      <c r="AM62" s="180">
        <f t="shared" si="13"/>
        <v>11</v>
      </c>
      <c r="AN62" s="486"/>
      <c r="AO62" s="166">
        <v>18</v>
      </c>
      <c r="AP62" s="166">
        <v>1265.8333333333323</v>
      </c>
      <c r="AQ62" s="166">
        <v>70.324074074074019</v>
      </c>
      <c r="AR62" s="180">
        <f t="shared" si="14"/>
        <v>19</v>
      </c>
      <c r="AS62" s="486"/>
      <c r="AT62" s="166">
        <v>17</v>
      </c>
      <c r="AU62" s="166">
        <v>1303.9436619718297</v>
      </c>
      <c r="AV62" s="166">
        <v>76.7025683512841</v>
      </c>
      <c r="AW62" s="180">
        <f t="shared" si="15"/>
        <v>9</v>
      </c>
      <c r="AX62" s="486"/>
    </row>
    <row r="63" spans="2:50">
      <c r="B63" s="479"/>
      <c r="C63" s="180">
        <v>22</v>
      </c>
      <c r="D63" s="201" t="s">
        <v>558</v>
      </c>
      <c r="E63" s="166">
        <v>18</v>
      </c>
      <c r="F63" s="180">
        <v>1500</v>
      </c>
      <c r="G63" s="265">
        <v>83.3</v>
      </c>
      <c r="H63" s="460"/>
      <c r="I63" s="166">
        <f t="shared" si="16"/>
        <v>18</v>
      </c>
      <c r="J63" s="166">
        <f t="shared" si="16"/>
        <v>1296.5903315393975</v>
      </c>
      <c r="K63" s="265">
        <f t="shared" si="16"/>
        <v>72.0327961966332</v>
      </c>
      <c r="L63" s="460"/>
      <c r="M63" s="166">
        <f>RANK(K63, K$42:$K$71)</f>
        <v>17</v>
      </c>
      <c r="N63" s="462"/>
      <c r="O63" s="462"/>
      <c r="P63" s="166">
        <v>18</v>
      </c>
      <c r="Q63" s="166">
        <v>1293.1578947368412</v>
      </c>
      <c r="R63" s="166">
        <v>71.842105263157848</v>
      </c>
      <c r="S63" s="180">
        <f t="shared" si="9"/>
        <v>18</v>
      </c>
      <c r="T63" s="486"/>
      <c r="U63" s="166">
        <v>18</v>
      </c>
      <c r="V63" s="166">
        <v>1323.2432432432422</v>
      </c>
      <c r="W63" s="166">
        <v>73.513513513513459</v>
      </c>
      <c r="X63" s="180">
        <f t="shared" si="10"/>
        <v>13</v>
      </c>
      <c r="Y63" s="486"/>
      <c r="Z63" s="166">
        <v>18</v>
      </c>
      <c r="AA63" s="166">
        <v>1346.6666666666656</v>
      </c>
      <c r="AB63" s="166">
        <v>74.814814814814753</v>
      </c>
      <c r="AC63" s="180">
        <f t="shared" si="11"/>
        <v>11</v>
      </c>
      <c r="AD63" s="486"/>
      <c r="AE63" s="166">
        <v>18</v>
      </c>
      <c r="AF63" s="166">
        <v>1140.0000000000005</v>
      </c>
      <c r="AG63" s="166">
        <v>63.333333333333357</v>
      </c>
      <c r="AH63" s="180">
        <f t="shared" si="12"/>
        <v>25</v>
      </c>
      <c r="AI63" s="486"/>
      <c r="AJ63" s="166">
        <v>18</v>
      </c>
      <c r="AK63" s="166">
        <v>1325.8064516129043</v>
      </c>
      <c r="AL63" s="166">
        <v>73.655913978494681</v>
      </c>
      <c r="AM63" s="180">
        <f t="shared" si="13"/>
        <v>13</v>
      </c>
      <c r="AN63" s="486"/>
      <c r="AO63" s="166">
        <v>18</v>
      </c>
      <c r="AP63" s="166">
        <v>1312.2580645161304</v>
      </c>
      <c r="AQ63" s="166">
        <v>72.903225806451687</v>
      </c>
      <c r="AR63" s="180">
        <f t="shared" si="14"/>
        <v>14</v>
      </c>
      <c r="AS63" s="486"/>
      <c r="AT63" s="166">
        <v>18</v>
      </c>
      <c r="AU63" s="166">
        <v>1334.9999999999989</v>
      </c>
      <c r="AV63" s="166">
        <v>74.1666666666666</v>
      </c>
      <c r="AW63" s="180">
        <f t="shared" si="15"/>
        <v>13</v>
      </c>
      <c r="AX63" s="486"/>
    </row>
    <row r="64" spans="2:50">
      <c r="B64" s="479"/>
      <c r="C64" s="180">
        <v>23</v>
      </c>
      <c r="D64" s="201" t="s">
        <v>559</v>
      </c>
      <c r="E64" s="166">
        <v>20</v>
      </c>
      <c r="F64" s="180">
        <v>1380</v>
      </c>
      <c r="G64" s="265">
        <v>69</v>
      </c>
      <c r="H64" s="460"/>
      <c r="I64" s="166">
        <f t="shared" si="16"/>
        <v>19</v>
      </c>
      <c r="J64" s="166">
        <f t="shared" si="16"/>
        <v>1071.8293882541846</v>
      </c>
      <c r="K64" s="265">
        <f t="shared" si="16"/>
        <v>56.412073066009711</v>
      </c>
      <c r="L64" s="460"/>
      <c r="M64" s="166">
        <f>RANK(K64, K$42:$K$71)</f>
        <v>29</v>
      </c>
      <c r="N64" s="462"/>
      <c r="O64" s="462"/>
      <c r="P64" s="166">
        <v>19</v>
      </c>
      <c r="Q64" s="166">
        <v>1050.0000000000014</v>
      </c>
      <c r="R64" s="166">
        <v>55.263157894736914</v>
      </c>
      <c r="S64" s="180">
        <f t="shared" si="9"/>
        <v>30</v>
      </c>
      <c r="T64" s="486"/>
      <c r="U64" s="166">
        <v>19</v>
      </c>
      <c r="V64" s="166">
        <v>1074.6268656716431</v>
      </c>
      <c r="W64" s="166">
        <v>56.559308719560164</v>
      </c>
      <c r="X64" s="180">
        <f t="shared" si="10"/>
        <v>30</v>
      </c>
      <c r="Y64" s="486"/>
      <c r="Z64" s="166">
        <v>19</v>
      </c>
      <c r="AA64" s="166">
        <v>1104.2105263157903</v>
      </c>
      <c r="AB64" s="166">
        <v>58.11634349030475</v>
      </c>
      <c r="AC64" s="180">
        <f t="shared" si="11"/>
        <v>29</v>
      </c>
      <c r="AD64" s="486"/>
      <c r="AE64" s="166">
        <v>19</v>
      </c>
      <c r="AF64" s="166">
        <v>1062.4615384615395</v>
      </c>
      <c r="AG64" s="166">
        <v>55.919028340081027</v>
      </c>
      <c r="AH64" s="180">
        <f t="shared" si="12"/>
        <v>30</v>
      </c>
      <c r="AI64" s="486"/>
      <c r="AJ64" s="166">
        <v>19</v>
      </c>
      <c r="AK64" s="166">
        <v>1047.692307692309</v>
      </c>
      <c r="AL64" s="166">
        <v>55.141700404858369</v>
      </c>
      <c r="AM64" s="180">
        <f t="shared" si="13"/>
        <v>30</v>
      </c>
      <c r="AN64" s="486"/>
      <c r="AO64" s="166">
        <v>19</v>
      </c>
      <c r="AP64" s="166">
        <v>1077.3529411764691</v>
      </c>
      <c r="AQ64" s="166">
        <v>56.702786377708904</v>
      </c>
      <c r="AR64" s="180">
        <f t="shared" si="14"/>
        <v>29</v>
      </c>
      <c r="AS64" s="486"/>
      <c r="AT64" s="166">
        <v>19</v>
      </c>
      <c r="AU64" s="166">
        <v>1086.4615384615397</v>
      </c>
      <c r="AV64" s="166">
        <v>57.182186234817877</v>
      </c>
      <c r="AW64" s="180">
        <f t="shared" si="15"/>
        <v>29</v>
      </c>
      <c r="AX64" s="486"/>
    </row>
    <row r="65" spans="2:50">
      <c r="B65" s="479"/>
      <c r="C65" s="180">
        <v>24</v>
      </c>
      <c r="D65" s="201" t="s">
        <v>595</v>
      </c>
      <c r="E65" s="166">
        <v>16</v>
      </c>
      <c r="F65" s="180">
        <v>1565</v>
      </c>
      <c r="G65" s="265">
        <v>97.8</v>
      </c>
      <c r="H65" s="460"/>
      <c r="I65" s="166">
        <f t="shared" si="16"/>
        <v>17</v>
      </c>
      <c r="J65" s="166">
        <f t="shared" si="16"/>
        <v>1286.7198370238789</v>
      </c>
      <c r="K65" s="265">
        <f t="shared" si="16"/>
        <v>75.689402177875237</v>
      </c>
      <c r="L65" s="460"/>
      <c r="M65" s="166">
        <f>RANK(K65, K$42:$K$71)</f>
        <v>10</v>
      </c>
      <c r="N65" s="462"/>
      <c r="O65" s="462"/>
      <c r="P65" s="166">
        <v>17</v>
      </c>
      <c r="Q65" s="166">
        <v>1277.1428571428557</v>
      </c>
      <c r="R65" s="166">
        <v>75.126050420167985</v>
      </c>
      <c r="S65" s="180">
        <f t="shared" si="9"/>
        <v>10</v>
      </c>
      <c r="T65" s="486"/>
      <c r="U65" s="166">
        <v>17</v>
      </c>
      <c r="V65" s="166">
        <v>1316.3076923076937</v>
      </c>
      <c r="W65" s="166">
        <v>77.429864253393745</v>
      </c>
      <c r="X65" s="180">
        <f t="shared" si="10"/>
        <v>10</v>
      </c>
      <c r="Y65" s="486"/>
      <c r="Z65" s="166">
        <v>17</v>
      </c>
      <c r="AA65" s="166">
        <v>1312.6315789473695</v>
      </c>
      <c r="AB65" s="166">
        <v>77.213622291021736</v>
      </c>
      <c r="AC65" s="180">
        <f t="shared" si="11"/>
        <v>10</v>
      </c>
      <c r="AD65" s="486"/>
      <c r="AE65" s="166">
        <v>17</v>
      </c>
      <c r="AF65" s="166">
        <v>1244.3076923076937</v>
      </c>
      <c r="AG65" s="166">
        <v>73.194570135746687</v>
      </c>
      <c r="AH65" s="180">
        <f t="shared" si="12"/>
        <v>14</v>
      </c>
      <c r="AI65" s="486"/>
      <c r="AJ65" s="166">
        <v>17</v>
      </c>
      <c r="AK65" s="166">
        <v>1314.4615384615399</v>
      </c>
      <c r="AL65" s="166">
        <v>77.321266968325872</v>
      </c>
      <c r="AM65" s="180">
        <f t="shared" si="13"/>
        <v>10</v>
      </c>
      <c r="AN65" s="486"/>
      <c r="AO65" s="166">
        <v>17</v>
      </c>
      <c r="AP65" s="166">
        <v>1254.9999999999991</v>
      </c>
      <c r="AQ65" s="166">
        <v>73.823529411764653</v>
      </c>
      <c r="AR65" s="180">
        <f t="shared" si="14"/>
        <v>13</v>
      </c>
      <c r="AS65" s="486"/>
      <c r="AT65" s="166">
        <v>17</v>
      </c>
      <c r="AU65" s="166">
        <v>1287.1875000000016</v>
      </c>
      <c r="AV65" s="166">
        <v>75.716911764705969</v>
      </c>
      <c r="AW65" s="180">
        <f t="shared" si="15"/>
        <v>11</v>
      </c>
      <c r="AX65" s="486"/>
    </row>
    <row r="66" spans="2:50">
      <c r="B66" s="479"/>
      <c r="C66" s="180">
        <v>25</v>
      </c>
      <c r="D66" s="201" t="s">
        <v>596</v>
      </c>
      <c r="E66" s="166">
        <v>19</v>
      </c>
      <c r="F66" s="180">
        <v>1385</v>
      </c>
      <c r="G66" s="265">
        <v>72.900000000000006</v>
      </c>
      <c r="H66" s="460"/>
      <c r="I66" s="166">
        <f t="shared" ref="I66:K70" si="17">AVERAGE(P66,U66,Z66,AE66,AJ66,AO66,AT66)</f>
        <v>19</v>
      </c>
      <c r="J66" s="166">
        <f t="shared" si="17"/>
        <v>1081.7790878897677</v>
      </c>
      <c r="K66" s="265">
        <f t="shared" si="17"/>
        <v>56.935741467882515</v>
      </c>
      <c r="L66" s="460"/>
      <c r="M66" s="166">
        <f>RANK(K66, K$42:$K$71)</f>
        <v>28</v>
      </c>
      <c r="N66" s="462"/>
      <c r="O66" s="462"/>
      <c r="P66" s="166">
        <v>19</v>
      </c>
      <c r="Q66" s="166">
        <v>1097.7049180327879</v>
      </c>
      <c r="R66" s="166">
        <v>57.773943054357254</v>
      </c>
      <c r="S66" s="180">
        <f t="shared" si="9"/>
        <v>28</v>
      </c>
      <c r="T66" s="486"/>
      <c r="U66" s="166">
        <v>19</v>
      </c>
      <c r="V66" s="166">
        <v>1075.0819672131158</v>
      </c>
      <c r="W66" s="166">
        <v>56.583261432269254</v>
      </c>
      <c r="X66" s="180">
        <f t="shared" si="10"/>
        <v>29</v>
      </c>
      <c r="Y66" s="486"/>
      <c r="Z66" s="166">
        <v>19</v>
      </c>
      <c r="AA66" s="166">
        <v>1076.4000000000003</v>
      </c>
      <c r="AB66" s="166">
        <v>56.652631578947386</v>
      </c>
      <c r="AC66" s="180">
        <f t="shared" si="11"/>
        <v>30</v>
      </c>
      <c r="AD66" s="486"/>
      <c r="AE66" s="166">
        <v>19</v>
      </c>
      <c r="AF66" s="166">
        <v>1066.7796610169501</v>
      </c>
      <c r="AG66" s="166">
        <v>56.146297948260532</v>
      </c>
      <c r="AH66" s="180">
        <f t="shared" si="12"/>
        <v>29</v>
      </c>
      <c r="AI66" s="486"/>
      <c r="AJ66" s="166">
        <v>19</v>
      </c>
      <c r="AK66" s="166">
        <v>1105.8620689655181</v>
      </c>
      <c r="AL66" s="166">
        <v>58.203266787658848</v>
      </c>
      <c r="AM66" s="180">
        <f t="shared" si="13"/>
        <v>29</v>
      </c>
      <c r="AN66" s="486"/>
      <c r="AO66" s="166">
        <v>19</v>
      </c>
      <c r="AP66" s="166">
        <v>1070.6250000000014</v>
      </c>
      <c r="AQ66" s="166">
        <v>56.348684210526386</v>
      </c>
      <c r="AR66" s="180">
        <f t="shared" si="14"/>
        <v>30</v>
      </c>
      <c r="AS66" s="486"/>
      <c r="AT66" s="166">
        <v>19</v>
      </c>
      <c r="AU66" s="166">
        <v>1080.0000000000011</v>
      </c>
      <c r="AV66" s="166">
        <v>56.842105263157954</v>
      </c>
      <c r="AW66" s="180">
        <f t="shared" si="15"/>
        <v>30</v>
      </c>
      <c r="AX66" s="486"/>
    </row>
    <row r="67" spans="2:50">
      <c r="B67" s="479"/>
      <c r="C67" s="180">
        <v>26</v>
      </c>
      <c r="D67" s="201" t="s">
        <v>597</v>
      </c>
      <c r="E67" s="166">
        <v>18</v>
      </c>
      <c r="F67" s="180">
        <v>1440</v>
      </c>
      <c r="G67" s="265">
        <v>80</v>
      </c>
      <c r="H67" s="460"/>
      <c r="I67" s="166">
        <f t="shared" si="17"/>
        <v>18</v>
      </c>
      <c r="J67" s="166">
        <f t="shared" si="17"/>
        <v>1216.1363166866486</v>
      </c>
      <c r="K67" s="265">
        <f t="shared" si="17"/>
        <v>67.563128704813806</v>
      </c>
      <c r="L67" s="460"/>
      <c r="M67" s="166">
        <f>RANK(K67, K$42:$K$71)</f>
        <v>23</v>
      </c>
      <c r="N67" s="462"/>
      <c r="O67" s="462"/>
      <c r="P67" s="166">
        <v>18</v>
      </c>
      <c r="Q67" s="166">
        <v>1229.0909090909076</v>
      </c>
      <c r="R67" s="166">
        <v>68.282828282828206</v>
      </c>
      <c r="S67" s="180">
        <f t="shared" si="9"/>
        <v>23</v>
      </c>
      <c r="T67" s="486"/>
      <c r="U67" s="166">
        <v>18</v>
      </c>
      <c r="V67" s="166">
        <v>1227.9999999999977</v>
      </c>
      <c r="W67" s="166">
        <v>68.222222222222101</v>
      </c>
      <c r="X67" s="180">
        <f t="shared" si="10"/>
        <v>23</v>
      </c>
      <c r="Y67" s="486"/>
      <c r="Z67" s="166">
        <v>18</v>
      </c>
      <c r="AA67" s="166">
        <v>1064.5161290322565</v>
      </c>
      <c r="AB67" s="166">
        <v>59.139784946236468</v>
      </c>
      <c r="AC67" s="180">
        <f t="shared" si="11"/>
        <v>28</v>
      </c>
      <c r="AD67" s="486"/>
      <c r="AE67" s="166">
        <v>18</v>
      </c>
      <c r="AF67" s="166">
        <v>1233.999999999998</v>
      </c>
      <c r="AG67" s="166">
        <v>68.555555555555443</v>
      </c>
      <c r="AH67" s="180">
        <f t="shared" si="12"/>
        <v>23</v>
      </c>
      <c r="AI67" s="486"/>
      <c r="AJ67" s="166">
        <v>18</v>
      </c>
      <c r="AK67" s="166">
        <v>1276.5517241379287</v>
      </c>
      <c r="AL67" s="166">
        <v>70.91954022988493</v>
      </c>
      <c r="AM67" s="180">
        <f t="shared" si="13"/>
        <v>22</v>
      </c>
      <c r="AN67" s="486"/>
      <c r="AO67" s="166">
        <v>18</v>
      </c>
      <c r="AP67" s="166">
        <v>1254.5454545454529</v>
      </c>
      <c r="AQ67" s="166">
        <v>69.696969696969603</v>
      </c>
      <c r="AR67" s="180">
        <f t="shared" si="14"/>
        <v>22</v>
      </c>
      <c r="AS67" s="486"/>
      <c r="AT67" s="166">
        <v>18</v>
      </c>
      <c r="AU67" s="166">
        <v>1226.2499999999982</v>
      </c>
      <c r="AV67" s="166">
        <v>68.124999999999901</v>
      </c>
      <c r="AW67" s="180">
        <f t="shared" si="15"/>
        <v>24</v>
      </c>
      <c r="AX67" s="486"/>
    </row>
    <row r="68" spans="2:50">
      <c r="B68" s="479"/>
      <c r="C68" s="180">
        <v>27</v>
      </c>
      <c r="D68" s="201" t="s">
        <v>598</v>
      </c>
      <c r="E68" s="166">
        <v>16</v>
      </c>
      <c r="F68" s="180">
        <v>1440</v>
      </c>
      <c r="G68" s="265">
        <v>90</v>
      </c>
      <c r="H68" s="460"/>
      <c r="I68" s="166">
        <f t="shared" si="17"/>
        <v>15.714285714285714</v>
      </c>
      <c r="J68" s="166">
        <f t="shared" si="17"/>
        <v>1292.4316200853129</v>
      </c>
      <c r="K68" s="265">
        <f t="shared" si="17"/>
        <v>82.307397720659182</v>
      </c>
      <c r="L68" s="460"/>
      <c r="M68" s="166">
        <f>RANK(K68, K$42:$K$71)</f>
        <v>5</v>
      </c>
      <c r="N68" s="462"/>
      <c r="O68" s="462"/>
      <c r="P68" s="166">
        <v>15</v>
      </c>
      <c r="Q68" s="166">
        <v>1315.6363636363644</v>
      </c>
      <c r="R68" s="166">
        <v>87.709090909090961</v>
      </c>
      <c r="S68" s="180">
        <f t="shared" si="9"/>
        <v>3</v>
      </c>
      <c r="T68" s="486"/>
      <c r="U68" s="166">
        <v>16</v>
      </c>
      <c r="V68" s="166">
        <v>1308.4615384615392</v>
      </c>
      <c r="W68" s="166">
        <v>81.778846153846203</v>
      </c>
      <c r="X68" s="180">
        <f t="shared" si="10"/>
        <v>7</v>
      </c>
      <c r="Y68" s="486"/>
      <c r="Z68" s="166">
        <v>16</v>
      </c>
      <c r="AA68" s="166">
        <v>1306.0465116279067</v>
      </c>
      <c r="AB68" s="166">
        <v>81.627906976744171</v>
      </c>
      <c r="AC68" s="180">
        <f t="shared" si="11"/>
        <v>6</v>
      </c>
      <c r="AD68" s="486"/>
      <c r="AE68" s="166">
        <v>16</v>
      </c>
      <c r="AF68" s="166">
        <v>1295.0000000000005</v>
      </c>
      <c r="AG68" s="166">
        <v>80.937500000000028</v>
      </c>
      <c r="AH68" s="180">
        <f t="shared" si="12"/>
        <v>6</v>
      </c>
      <c r="AI68" s="486"/>
      <c r="AJ68" s="166">
        <v>16</v>
      </c>
      <c r="AK68" s="166">
        <v>1295.2941176470592</v>
      </c>
      <c r="AL68" s="166">
        <v>80.955882352941202</v>
      </c>
      <c r="AM68" s="180">
        <f t="shared" si="13"/>
        <v>6</v>
      </c>
      <c r="AN68" s="486"/>
      <c r="AO68" s="166">
        <v>16</v>
      </c>
      <c r="AP68" s="166">
        <v>1271.1111111111118</v>
      </c>
      <c r="AQ68" s="166">
        <v>79.444444444444485</v>
      </c>
      <c r="AR68" s="180">
        <f t="shared" si="14"/>
        <v>8</v>
      </c>
      <c r="AS68" s="486"/>
      <c r="AT68" s="166">
        <v>15</v>
      </c>
      <c r="AU68" s="166">
        <v>1255.471698113208</v>
      </c>
      <c r="AV68" s="166">
        <v>83.698113207547209</v>
      </c>
      <c r="AW68" s="180">
        <f t="shared" si="15"/>
        <v>5</v>
      </c>
      <c r="AX68" s="486"/>
    </row>
    <row r="69" spans="2:50">
      <c r="B69" s="479"/>
      <c r="C69" s="180">
        <v>28</v>
      </c>
      <c r="D69" s="201" t="s">
        <v>670</v>
      </c>
      <c r="E69" s="166">
        <v>21</v>
      </c>
      <c r="F69" s="180">
        <v>1500</v>
      </c>
      <c r="G69" s="265">
        <v>71.400000000000006</v>
      </c>
      <c r="H69" s="460"/>
      <c r="I69" s="166">
        <f t="shared" si="17"/>
        <v>20.142857142857142</v>
      </c>
      <c r="J69" s="166">
        <f t="shared" si="17"/>
        <v>1177.0200722664442</v>
      </c>
      <c r="K69" s="265">
        <f t="shared" si="17"/>
        <v>58.45081228679161</v>
      </c>
      <c r="L69" s="460"/>
      <c r="M69" s="166">
        <f>RANK(K69, K$42:$K$71)</f>
        <v>27</v>
      </c>
      <c r="N69" s="462"/>
      <c r="O69" s="462"/>
      <c r="P69" s="166">
        <v>21</v>
      </c>
      <c r="Q69" s="166">
        <v>1176.5625000000014</v>
      </c>
      <c r="R69" s="166">
        <v>56.026785714285779</v>
      </c>
      <c r="S69" s="180">
        <f t="shared" si="9"/>
        <v>29</v>
      </c>
      <c r="T69" s="486"/>
      <c r="U69" s="166">
        <v>20</v>
      </c>
      <c r="V69" s="166">
        <v>1169.0909090909104</v>
      </c>
      <c r="W69" s="166">
        <v>58.454545454545517</v>
      </c>
      <c r="X69" s="180">
        <f t="shared" si="10"/>
        <v>28</v>
      </c>
      <c r="Y69" s="486"/>
      <c r="Z69" s="166">
        <v>20</v>
      </c>
      <c r="AA69" s="166">
        <v>1188.3870967741948</v>
      </c>
      <c r="AB69" s="166">
        <v>59.419354838709737</v>
      </c>
      <c r="AC69" s="180">
        <f t="shared" si="11"/>
        <v>27</v>
      </c>
      <c r="AD69" s="486"/>
      <c r="AE69" s="166">
        <v>20</v>
      </c>
      <c r="AF69" s="166">
        <v>1175.0000000000005</v>
      </c>
      <c r="AG69" s="166">
        <v>58.750000000000021</v>
      </c>
      <c r="AH69" s="180">
        <f t="shared" si="12"/>
        <v>28</v>
      </c>
      <c r="AI69" s="486"/>
      <c r="AJ69" s="166">
        <v>20</v>
      </c>
      <c r="AK69" s="166">
        <v>1185.0000000000011</v>
      </c>
      <c r="AL69" s="166">
        <v>59.250000000000057</v>
      </c>
      <c r="AM69" s="180">
        <f t="shared" si="13"/>
        <v>28</v>
      </c>
      <c r="AN69" s="486"/>
      <c r="AO69" s="166">
        <v>20</v>
      </c>
      <c r="AP69" s="166">
        <v>1169.1000000000004</v>
      </c>
      <c r="AQ69" s="166">
        <v>58.45500000000002</v>
      </c>
      <c r="AR69" s="180">
        <f t="shared" si="14"/>
        <v>28</v>
      </c>
      <c r="AS69" s="486"/>
      <c r="AT69" s="166">
        <v>20</v>
      </c>
      <c r="AU69" s="166">
        <v>1176.0000000000014</v>
      </c>
      <c r="AV69" s="166">
        <v>58.800000000000068</v>
      </c>
      <c r="AW69" s="180">
        <f t="shared" si="15"/>
        <v>28</v>
      </c>
      <c r="AX69" s="486"/>
    </row>
    <row r="70" spans="2:50">
      <c r="B70" s="479"/>
      <c r="C70" s="180">
        <v>29</v>
      </c>
      <c r="D70" s="201" t="s">
        <v>671</v>
      </c>
      <c r="E70" s="166">
        <v>19</v>
      </c>
      <c r="F70" s="180">
        <v>1440</v>
      </c>
      <c r="G70" s="265">
        <v>75.8</v>
      </c>
      <c r="H70" s="460"/>
      <c r="I70" s="166">
        <f t="shared" si="17"/>
        <v>18</v>
      </c>
      <c r="J70" s="166">
        <f t="shared" si="17"/>
        <v>1283.1109991166286</v>
      </c>
      <c r="K70" s="265">
        <f t="shared" si="17"/>
        <v>71.283944395368252</v>
      </c>
      <c r="L70" s="460"/>
      <c r="M70" s="166">
        <f>RANK(K70, K$42:$K$71)</f>
        <v>20</v>
      </c>
      <c r="N70" s="462"/>
      <c r="O70" s="462"/>
      <c r="P70" s="166">
        <v>18</v>
      </c>
      <c r="Q70" s="166">
        <v>1293.2142857142867</v>
      </c>
      <c r="R70" s="166">
        <v>71.845238095238145</v>
      </c>
      <c r="S70" s="180">
        <f t="shared" si="9"/>
        <v>17</v>
      </c>
      <c r="T70" s="486"/>
      <c r="U70" s="166">
        <v>18</v>
      </c>
      <c r="V70" s="166">
        <v>1294.0000000000014</v>
      </c>
      <c r="W70" s="166">
        <v>71.888888888888971</v>
      </c>
      <c r="X70" s="180">
        <f t="shared" si="10"/>
        <v>16</v>
      </c>
      <c r="Y70" s="486"/>
      <c r="Z70" s="166">
        <v>18</v>
      </c>
      <c r="AA70" s="166">
        <v>1304.1509433962271</v>
      </c>
      <c r="AB70" s="166">
        <v>72.452830188679286</v>
      </c>
      <c r="AC70" s="180">
        <f t="shared" si="11"/>
        <v>15</v>
      </c>
      <c r="AD70" s="486"/>
      <c r="AE70" s="166">
        <v>18</v>
      </c>
      <c r="AF70" s="166">
        <v>1285.2000000000003</v>
      </c>
      <c r="AG70" s="166">
        <v>71.40000000000002</v>
      </c>
      <c r="AH70" s="180">
        <f t="shared" si="12"/>
        <v>18</v>
      </c>
      <c r="AI70" s="486"/>
      <c r="AJ70" s="166">
        <v>18</v>
      </c>
      <c r="AK70" s="166">
        <v>1270.8000000000004</v>
      </c>
      <c r="AL70" s="166">
        <v>70.600000000000023</v>
      </c>
      <c r="AM70" s="180">
        <f t="shared" si="13"/>
        <v>23</v>
      </c>
      <c r="AN70" s="486"/>
      <c r="AO70" s="166">
        <v>18</v>
      </c>
      <c r="AP70" s="166">
        <v>1245.0000000000009</v>
      </c>
      <c r="AQ70" s="166">
        <v>69.166666666666714</v>
      </c>
      <c r="AR70" s="180">
        <f t="shared" si="14"/>
        <v>23</v>
      </c>
      <c r="AS70" s="486"/>
      <c r="AT70" s="166">
        <v>18</v>
      </c>
      <c r="AU70" s="166">
        <v>1289.4117647058829</v>
      </c>
      <c r="AV70" s="166">
        <v>71.633986928104605</v>
      </c>
      <c r="AW70" s="180">
        <f t="shared" si="15"/>
        <v>19</v>
      </c>
      <c r="AX70" s="486"/>
    </row>
    <row r="71" spans="2:50">
      <c r="B71" s="479"/>
      <c r="C71" s="180">
        <v>30</v>
      </c>
      <c r="D71" s="201" t="s">
        <v>672</v>
      </c>
      <c r="E71" s="166">
        <v>20</v>
      </c>
      <c r="F71" s="180">
        <v>1500</v>
      </c>
      <c r="G71" s="265">
        <v>75</v>
      </c>
      <c r="H71" s="461"/>
      <c r="I71" s="180"/>
      <c r="J71" s="180"/>
      <c r="K71" s="180"/>
      <c r="L71" s="461"/>
      <c r="M71" s="166" t="e">
        <f>RANK(K71, K$42:$K$71)</f>
        <v>#N/A</v>
      </c>
      <c r="N71" s="462"/>
      <c r="O71" s="462"/>
      <c r="P71" s="166">
        <v>20</v>
      </c>
      <c r="Q71" s="166">
        <v>1258.695652173913</v>
      </c>
      <c r="R71" s="166">
        <v>62.934782608695649</v>
      </c>
      <c r="S71" s="180">
        <f t="shared" si="9"/>
        <v>26</v>
      </c>
      <c r="T71" s="486"/>
      <c r="U71" s="166">
        <v>20</v>
      </c>
      <c r="V71" s="166">
        <v>1291.1111111111118</v>
      </c>
      <c r="W71" s="166">
        <v>64.555555555555586</v>
      </c>
      <c r="X71" s="180">
        <f t="shared" si="10"/>
        <v>26</v>
      </c>
      <c r="Y71" s="486"/>
      <c r="Z71" s="166">
        <v>20</v>
      </c>
      <c r="AA71" s="166">
        <v>1257.9310344827597</v>
      </c>
      <c r="AB71" s="166">
        <v>62.896551724137986</v>
      </c>
      <c r="AC71" s="180">
        <f t="shared" si="11"/>
        <v>25</v>
      </c>
      <c r="AD71" s="486"/>
      <c r="AE71" s="166">
        <v>20</v>
      </c>
      <c r="AF71" s="166">
        <v>1263.5294117647065</v>
      </c>
      <c r="AG71" s="166">
        <v>63.176470588235325</v>
      </c>
      <c r="AH71" s="180">
        <f t="shared" si="12"/>
        <v>26</v>
      </c>
      <c r="AI71" s="486"/>
      <c r="AJ71" s="166">
        <v>20</v>
      </c>
      <c r="AK71" s="166">
        <v>1262.4000000000003</v>
      </c>
      <c r="AL71" s="166">
        <v>63.120000000000019</v>
      </c>
      <c r="AM71" s="180">
        <f t="shared" si="13"/>
        <v>26</v>
      </c>
      <c r="AN71" s="486"/>
      <c r="AO71" s="166">
        <v>20</v>
      </c>
      <c r="AP71" s="166">
        <v>1296.7346938775513</v>
      </c>
      <c r="AQ71" s="166">
        <v>64.83673469387756</v>
      </c>
      <c r="AR71" s="180">
        <f t="shared" si="14"/>
        <v>25</v>
      </c>
      <c r="AS71" s="486"/>
      <c r="AT71" s="166">
        <v>20</v>
      </c>
      <c r="AU71" s="166">
        <v>1273.0434782608695</v>
      </c>
      <c r="AV71" s="166">
        <v>63.652173913043477</v>
      </c>
      <c r="AW71" s="180">
        <f t="shared" si="15"/>
        <v>26</v>
      </c>
      <c r="AX71" s="486"/>
    </row>
    <row r="72" spans="2:50" ht="15.75">
      <c r="B72" s="490" t="s">
        <v>721</v>
      </c>
      <c r="C72" s="491"/>
      <c r="D72" s="491"/>
      <c r="E72" s="491"/>
      <c r="F72" s="491"/>
      <c r="G72" s="491"/>
      <c r="H72" s="491"/>
      <c r="I72" s="184"/>
      <c r="J72" s="181"/>
      <c r="K72" s="184"/>
      <c r="L72" s="184"/>
      <c r="M72" s="178"/>
      <c r="N72" s="469" t="s">
        <v>722</v>
      </c>
      <c r="O72" s="469" t="s">
        <v>723</v>
      </c>
      <c r="P72" s="478">
        <f>P37+7</f>
        <v>46063</v>
      </c>
      <c r="Q72" s="479"/>
      <c r="R72" s="479"/>
      <c r="S72" s="479"/>
      <c r="T72" s="479"/>
      <c r="U72" s="475">
        <f>P72+1</f>
        <v>46064</v>
      </c>
      <c r="V72" s="476"/>
      <c r="W72" s="476"/>
      <c r="X72" s="476"/>
      <c r="Y72" s="477"/>
      <c r="Z72" s="475">
        <f>U72+1</f>
        <v>46065</v>
      </c>
      <c r="AA72" s="476"/>
      <c r="AB72" s="476"/>
      <c r="AC72" s="476"/>
      <c r="AD72" s="477"/>
      <c r="AE72" s="475">
        <f>Z72+1</f>
        <v>46066</v>
      </c>
      <c r="AF72" s="476"/>
      <c r="AG72" s="476"/>
      <c r="AH72" s="476"/>
      <c r="AI72" s="477"/>
      <c r="AJ72" s="475">
        <f>AE72+1</f>
        <v>46067</v>
      </c>
      <c r="AK72" s="476"/>
      <c r="AL72" s="476"/>
      <c r="AM72" s="476"/>
      <c r="AN72" s="477"/>
      <c r="AO72" s="475">
        <f>AJ72+1</f>
        <v>46068</v>
      </c>
      <c r="AP72" s="476"/>
      <c r="AQ72" s="476"/>
      <c r="AR72" s="476"/>
      <c r="AS72" s="477"/>
      <c r="AT72" s="475">
        <f>AO72+1</f>
        <v>46069</v>
      </c>
      <c r="AU72" s="476"/>
      <c r="AV72" s="476"/>
      <c r="AW72" s="476"/>
      <c r="AX72" s="477"/>
    </row>
    <row r="73" spans="2:50" ht="15.75">
      <c r="B73" s="482"/>
      <c r="C73" s="482"/>
      <c r="D73" s="482"/>
      <c r="E73" s="482"/>
      <c r="F73" s="482"/>
      <c r="G73" s="482"/>
      <c r="H73" s="482"/>
      <c r="I73" s="182"/>
      <c r="J73" s="182"/>
      <c r="K73" s="182"/>
      <c r="L73" s="182"/>
      <c r="M73" s="179"/>
      <c r="N73" s="471"/>
      <c r="O73" s="471"/>
      <c r="P73" s="478" t="s">
        <v>724</v>
      </c>
      <c r="Q73" s="479"/>
      <c r="R73" s="479"/>
      <c r="S73" s="479"/>
      <c r="T73" s="479"/>
      <c r="U73" s="478" t="s">
        <v>725</v>
      </c>
      <c r="V73" s="479"/>
      <c r="W73" s="479"/>
      <c r="X73" s="479"/>
      <c r="Y73" s="479"/>
      <c r="Z73" s="478" t="s">
        <v>726</v>
      </c>
      <c r="AA73" s="479"/>
      <c r="AB73" s="479"/>
      <c r="AC73" s="479"/>
      <c r="AD73" s="479"/>
      <c r="AE73" s="478" t="s">
        <v>727</v>
      </c>
      <c r="AF73" s="479"/>
      <c r="AG73" s="479"/>
      <c r="AH73" s="479"/>
      <c r="AI73" s="479"/>
      <c r="AJ73" s="478" t="s">
        <v>728</v>
      </c>
      <c r="AK73" s="479"/>
      <c r="AL73" s="479"/>
      <c r="AM73" s="479"/>
      <c r="AN73" s="479"/>
      <c r="AO73" s="478" t="s">
        <v>729</v>
      </c>
      <c r="AP73" s="479"/>
      <c r="AQ73" s="479"/>
      <c r="AR73" s="479"/>
      <c r="AS73" s="479"/>
      <c r="AT73" s="478" t="s">
        <v>730</v>
      </c>
      <c r="AU73" s="479"/>
      <c r="AV73" s="479"/>
      <c r="AW73" s="479"/>
      <c r="AX73" s="479"/>
    </row>
    <row r="74" spans="2:50">
      <c r="B74" s="462" t="s">
        <v>731</v>
      </c>
      <c r="C74" s="462" t="s">
        <v>732</v>
      </c>
      <c r="D74" s="462"/>
      <c r="E74" s="462" t="s">
        <v>733</v>
      </c>
      <c r="F74" s="462"/>
      <c r="G74" s="462"/>
      <c r="H74" s="463" t="s">
        <v>734</v>
      </c>
      <c r="I74" s="462" t="s">
        <v>735</v>
      </c>
      <c r="J74" s="462"/>
      <c r="K74" s="462"/>
      <c r="L74" s="463" t="s">
        <v>734</v>
      </c>
      <c r="M74" s="469" t="s">
        <v>736</v>
      </c>
      <c r="N74" s="462"/>
      <c r="O74" s="462" t="s">
        <v>737</v>
      </c>
      <c r="P74" s="466" t="s">
        <v>738</v>
      </c>
      <c r="Q74" s="467"/>
      <c r="R74" s="467"/>
      <c r="S74" s="468"/>
      <c r="T74" s="462" t="s">
        <v>734</v>
      </c>
      <c r="U74" s="466" t="s">
        <v>738</v>
      </c>
      <c r="V74" s="467"/>
      <c r="W74" s="467"/>
      <c r="X74" s="468"/>
      <c r="Y74" s="462" t="s">
        <v>734</v>
      </c>
      <c r="Z74" s="466" t="s">
        <v>738</v>
      </c>
      <c r="AA74" s="467"/>
      <c r="AB74" s="467"/>
      <c r="AC74" s="468"/>
      <c r="AD74" s="462" t="s">
        <v>734</v>
      </c>
      <c r="AE74" s="466" t="s">
        <v>738</v>
      </c>
      <c r="AF74" s="467"/>
      <c r="AG74" s="467"/>
      <c r="AH74" s="468"/>
      <c r="AI74" s="462" t="s">
        <v>734</v>
      </c>
      <c r="AJ74" s="466" t="s">
        <v>738</v>
      </c>
      <c r="AK74" s="467"/>
      <c r="AL74" s="467"/>
      <c r="AM74" s="468"/>
      <c r="AN74" s="462" t="s">
        <v>734</v>
      </c>
      <c r="AO74" s="466" t="s">
        <v>738</v>
      </c>
      <c r="AP74" s="467"/>
      <c r="AQ74" s="467"/>
      <c r="AR74" s="468"/>
      <c r="AS74" s="462" t="s">
        <v>734</v>
      </c>
      <c r="AT74" s="466" t="s">
        <v>738</v>
      </c>
      <c r="AU74" s="467"/>
      <c r="AV74" s="467"/>
      <c r="AW74" s="468"/>
      <c r="AX74" s="462" t="s">
        <v>734</v>
      </c>
    </row>
    <row r="75" spans="2:50">
      <c r="B75" s="462"/>
      <c r="C75" s="462"/>
      <c r="D75" s="462"/>
      <c r="E75" s="462" t="s">
        <v>739</v>
      </c>
      <c r="F75" s="462"/>
      <c r="G75" s="462"/>
      <c r="H75" s="464"/>
      <c r="I75" s="462" t="s">
        <v>739</v>
      </c>
      <c r="J75" s="462"/>
      <c r="K75" s="462"/>
      <c r="L75" s="464"/>
      <c r="M75" s="470"/>
      <c r="N75" s="462"/>
      <c r="O75" s="462"/>
      <c r="P75" s="466" t="s">
        <v>740</v>
      </c>
      <c r="Q75" s="467"/>
      <c r="R75" s="467"/>
      <c r="S75" s="468"/>
      <c r="T75" s="462"/>
      <c r="U75" s="466" t="s">
        <v>740</v>
      </c>
      <c r="V75" s="467"/>
      <c r="W75" s="467"/>
      <c r="X75" s="468"/>
      <c r="Y75" s="462"/>
      <c r="Z75" s="466" t="s">
        <v>740</v>
      </c>
      <c r="AA75" s="467"/>
      <c r="AB75" s="467"/>
      <c r="AC75" s="468"/>
      <c r="AD75" s="462"/>
      <c r="AE75" s="466" t="s">
        <v>740</v>
      </c>
      <c r="AF75" s="467"/>
      <c r="AG75" s="467"/>
      <c r="AH75" s="468"/>
      <c r="AI75" s="462"/>
      <c r="AJ75" s="466" t="s">
        <v>740</v>
      </c>
      <c r="AK75" s="467"/>
      <c r="AL75" s="467"/>
      <c r="AM75" s="468"/>
      <c r="AN75" s="462"/>
      <c r="AO75" s="466" t="s">
        <v>740</v>
      </c>
      <c r="AP75" s="467"/>
      <c r="AQ75" s="467"/>
      <c r="AR75" s="468"/>
      <c r="AS75" s="462"/>
      <c r="AT75" s="466" t="s">
        <v>740</v>
      </c>
      <c r="AU75" s="467"/>
      <c r="AV75" s="467"/>
      <c r="AW75" s="468"/>
      <c r="AX75" s="462"/>
    </row>
    <row r="76" spans="2:50">
      <c r="B76" s="462"/>
      <c r="C76" s="462"/>
      <c r="D76" s="462"/>
      <c r="E76" s="264" t="s">
        <v>741</v>
      </c>
      <c r="F76" s="264" t="s">
        <v>742</v>
      </c>
      <c r="G76" s="264" t="s">
        <v>743</v>
      </c>
      <c r="H76" s="465"/>
      <c r="I76" s="264" t="s">
        <v>741</v>
      </c>
      <c r="J76" s="264" t="s">
        <v>742</v>
      </c>
      <c r="K76" s="264" t="s">
        <v>743</v>
      </c>
      <c r="L76" s="465"/>
      <c r="M76" s="471"/>
      <c r="N76" s="462"/>
      <c r="O76" s="462"/>
      <c r="P76" s="264" t="s">
        <v>741</v>
      </c>
      <c r="Q76" s="264" t="s">
        <v>742</v>
      </c>
      <c r="R76" s="264" t="s">
        <v>743</v>
      </c>
      <c r="S76" s="264" t="s">
        <v>736</v>
      </c>
      <c r="T76" s="462"/>
      <c r="U76" s="264" t="s">
        <v>741</v>
      </c>
      <c r="V76" s="264" t="s">
        <v>742</v>
      </c>
      <c r="W76" s="264" t="s">
        <v>743</v>
      </c>
      <c r="X76" s="264" t="s">
        <v>736</v>
      </c>
      <c r="Y76" s="462"/>
      <c r="Z76" s="264" t="s">
        <v>741</v>
      </c>
      <c r="AA76" s="264" t="s">
        <v>742</v>
      </c>
      <c r="AB76" s="264" t="s">
        <v>743</v>
      </c>
      <c r="AC76" s="264" t="s">
        <v>736</v>
      </c>
      <c r="AD76" s="462"/>
      <c r="AE76" s="264" t="s">
        <v>741</v>
      </c>
      <c r="AF76" s="264" t="s">
        <v>742</v>
      </c>
      <c r="AG76" s="264" t="s">
        <v>743</v>
      </c>
      <c r="AH76" s="264" t="s">
        <v>736</v>
      </c>
      <c r="AI76" s="462"/>
      <c r="AJ76" s="264" t="s">
        <v>741</v>
      </c>
      <c r="AK76" s="264" t="s">
        <v>742</v>
      </c>
      <c r="AL76" s="264" t="s">
        <v>743</v>
      </c>
      <c r="AM76" s="264" t="s">
        <v>736</v>
      </c>
      <c r="AN76" s="462"/>
      <c r="AO76" s="264" t="s">
        <v>741</v>
      </c>
      <c r="AP76" s="264" t="s">
        <v>742</v>
      </c>
      <c r="AQ76" s="264" t="s">
        <v>743</v>
      </c>
      <c r="AR76" s="264" t="s">
        <v>736</v>
      </c>
      <c r="AS76" s="462"/>
      <c r="AT76" s="264" t="s">
        <v>741</v>
      </c>
      <c r="AU76" s="264" t="s">
        <v>742</v>
      </c>
      <c r="AV76" s="264" t="s">
        <v>743</v>
      </c>
      <c r="AW76" s="264" t="s">
        <v>736</v>
      </c>
      <c r="AX76" s="462"/>
    </row>
    <row r="77" spans="2:50">
      <c r="B77" s="462" t="s">
        <v>753</v>
      </c>
      <c r="C77" s="180">
        <v>1</v>
      </c>
      <c r="D77" s="201" t="s">
        <v>362</v>
      </c>
      <c r="E77" s="166">
        <v>6</v>
      </c>
      <c r="F77" s="180">
        <v>1500</v>
      </c>
      <c r="G77" s="265">
        <v>250</v>
      </c>
      <c r="H77" s="459">
        <f>AVERAGE(G77:G106)</f>
        <v>96.221666666666707</v>
      </c>
      <c r="I77" s="166">
        <f>AVERAGE(P77,U77,Z77,AE77,AJ77,AO77,AT77)</f>
        <v>6</v>
      </c>
      <c r="J77" s="166">
        <f>AVERAGE(Q77,V77,AA77,AF77,AK77,AP77,AU77)</f>
        <v>1398.6412944934832</v>
      </c>
      <c r="K77" s="265">
        <f>AVERAGE(R77,W77,AB77,AG77,AL77,AQ77,AV77)</f>
        <v>233.10688241558054</v>
      </c>
      <c r="L77" s="459">
        <f>IFERROR(AVERAGE(K77:K106),"-")</f>
        <v>82.300953557265444</v>
      </c>
      <c r="M77" s="272">
        <f>RANK(K77, K$77:$K$106)</f>
        <v>1</v>
      </c>
      <c r="N77" s="462"/>
      <c r="O77" s="462"/>
      <c r="P77" s="166">
        <v>6</v>
      </c>
      <c r="Q77" s="166">
        <v>1389.0825688073392</v>
      </c>
      <c r="R77" s="166">
        <v>231.51376146788985</v>
      </c>
      <c r="S77" s="180">
        <f>RANK(R77, R$77:R$106)</f>
        <v>1</v>
      </c>
      <c r="T77" s="486">
        <f>AVERAGE(R77:R106)</f>
        <v>82.42887761122175</v>
      </c>
      <c r="U77" s="166">
        <v>6</v>
      </c>
      <c r="V77" s="166">
        <v>1366.7914691943129</v>
      </c>
      <c r="W77" s="166">
        <v>227.79857819905214</v>
      </c>
      <c r="X77" s="180">
        <f>RANK(W77, W$77:W$106)</f>
        <v>1</v>
      </c>
      <c r="Y77" s="486">
        <f>AVERAGE(W77:W106)</f>
        <v>82.492109018971931</v>
      </c>
      <c r="Z77" s="166">
        <v>6</v>
      </c>
      <c r="AA77" s="166">
        <v>1405.1016949152543</v>
      </c>
      <c r="AB77" s="166">
        <v>234.18361581920905</v>
      </c>
      <c r="AC77" s="180">
        <f>RANK(AB77, AB$77:AB$106)</f>
        <v>1</v>
      </c>
      <c r="AD77" s="486">
        <f>AVERAGE(AB77:AB106)</f>
        <v>82.531116090102671</v>
      </c>
      <c r="AE77" s="166">
        <v>6</v>
      </c>
      <c r="AF77" s="166">
        <v>1415.7102272727273</v>
      </c>
      <c r="AG77" s="166">
        <v>235.95170454545453</v>
      </c>
      <c r="AH77" s="180">
        <f>RANK(AG77, AG$77:AG$106)</f>
        <v>1</v>
      </c>
      <c r="AI77" s="486">
        <f>AVERAGE(AG77:AG106)</f>
        <v>81.510487667855557</v>
      </c>
      <c r="AJ77" s="166">
        <v>6</v>
      </c>
      <c r="AK77" s="166">
        <v>1407.3281249999995</v>
      </c>
      <c r="AL77" s="166">
        <v>234.55468749999991</v>
      </c>
      <c r="AM77" s="180">
        <f>RANK(AL77, AL$77:AL$106)</f>
        <v>1</v>
      </c>
      <c r="AN77" s="486">
        <f>AVERAGE(AL77:AL106)</f>
        <v>82.163272536027918</v>
      </c>
      <c r="AO77" s="166">
        <v>6</v>
      </c>
      <c r="AP77" s="166">
        <v>1417.3561643835619</v>
      </c>
      <c r="AQ77" s="166">
        <v>236.22602739726031</v>
      </c>
      <c r="AR77" s="180">
        <f>RANK(AQ77, AQ$77:AQ$106)</f>
        <v>1</v>
      </c>
      <c r="AS77" s="486">
        <f>AVERAGE(AQ77:AQ106)</f>
        <v>82.062162695742785</v>
      </c>
      <c r="AT77" s="166">
        <v>6</v>
      </c>
      <c r="AU77" s="166">
        <v>1389.1188118811879</v>
      </c>
      <c r="AV77" s="166">
        <v>231.51980198019797</v>
      </c>
      <c r="AW77" s="180">
        <f>RANK(AV77, AV$77:AV$106)</f>
        <v>1</v>
      </c>
      <c r="AX77" s="486">
        <f>AVERAGE(AV77:AV106)</f>
        <v>82.918649280935412</v>
      </c>
    </row>
    <row r="78" spans="2:50">
      <c r="B78" s="479"/>
      <c r="C78" s="180">
        <v>2</v>
      </c>
      <c r="D78" s="201" t="s">
        <v>382</v>
      </c>
      <c r="E78" s="166">
        <v>6</v>
      </c>
      <c r="F78" s="180">
        <v>1636</v>
      </c>
      <c r="G78" s="265">
        <v>272.7</v>
      </c>
      <c r="H78" s="460"/>
      <c r="I78" s="166">
        <f t="shared" ref="I78:K99" si="18">AVERAGE(P78,U78,Z78,AE78,AJ78,AO78,AT78)</f>
        <v>7</v>
      </c>
      <c r="J78" s="166">
        <f t="shared" si="18"/>
        <v>1471.110704225064</v>
      </c>
      <c r="K78" s="265">
        <f t="shared" si="18"/>
        <v>210.158672032152</v>
      </c>
      <c r="L78" s="460"/>
      <c r="M78" s="272">
        <f>RANK(K78, K$77:$K$106)</f>
        <v>2</v>
      </c>
      <c r="N78" s="462"/>
      <c r="O78" s="462"/>
      <c r="P78" s="166">
        <v>7</v>
      </c>
      <c r="Q78" s="166">
        <v>1482.5806451612907</v>
      </c>
      <c r="R78" s="166">
        <v>211.79723502304154</v>
      </c>
      <c r="S78" s="180">
        <f t="shared" ref="S78:S106" si="19">RANK(R78, R$77:R$106)</f>
        <v>2</v>
      </c>
      <c r="T78" s="486"/>
      <c r="U78" s="166">
        <v>7</v>
      </c>
      <c r="V78" s="166">
        <v>1476.4044943820224</v>
      </c>
      <c r="W78" s="166">
        <v>210.91492776886034</v>
      </c>
      <c r="X78" s="180">
        <f t="shared" ref="X78:X106" si="20">RANK(W78, W$77:W$106)</f>
        <v>2</v>
      </c>
      <c r="Y78" s="486"/>
      <c r="Z78" s="166">
        <v>7</v>
      </c>
      <c r="AA78" s="166">
        <v>1464.1558441558448</v>
      </c>
      <c r="AB78" s="166">
        <v>209.16512059369211</v>
      </c>
      <c r="AC78" s="180">
        <f t="shared" ref="AC78:AC106" si="21">RANK(AB78, AB$77:AB$106)</f>
        <v>2</v>
      </c>
      <c r="AD78" s="486"/>
      <c r="AE78" s="166">
        <v>7</v>
      </c>
      <c r="AF78" s="166">
        <v>1441.4634146341459</v>
      </c>
      <c r="AG78" s="166">
        <v>205.92334494773513</v>
      </c>
      <c r="AH78" s="180">
        <f t="shared" ref="AH78:AH106" si="22">RANK(AG78, AG$77:AG$106)</f>
        <v>2</v>
      </c>
      <c r="AI78" s="486"/>
      <c r="AJ78" s="166">
        <v>7</v>
      </c>
      <c r="AK78" s="166">
        <v>1480.4819277108429</v>
      </c>
      <c r="AL78" s="166">
        <v>211.49741824440613</v>
      </c>
      <c r="AM78" s="180">
        <f t="shared" ref="AM78:AM106" si="23">RANK(AL78, AL$77:AL$106)</f>
        <v>2</v>
      </c>
      <c r="AN78" s="486"/>
      <c r="AO78" s="166">
        <v>7</v>
      </c>
      <c r="AP78" s="166">
        <v>1454.8314606741574</v>
      </c>
      <c r="AQ78" s="166">
        <v>207.83306581059392</v>
      </c>
      <c r="AR78" s="180">
        <f t="shared" ref="AR78:AR106" si="24">RANK(AQ78, AQ$77:AQ$106)</f>
        <v>2</v>
      </c>
      <c r="AS78" s="486"/>
      <c r="AT78" s="166">
        <v>7</v>
      </c>
      <c r="AU78" s="166">
        <v>1497.8571428571422</v>
      </c>
      <c r="AV78" s="166">
        <v>213.97959183673461</v>
      </c>
      <c r="AW78" s="180">
        <f t="shared" ref="AW78:AW106" si="25">RANK(AV78, AV$77:AV$106)</f>
        <v>2</v>
      </c>
      <c r="AX78" s="486"/>
    </row>
    <row r="79" spans="2:50">
      <c r="B79" s="479"/>
      <c r="C79" s="180">
        <v>3</v>
      </c>
      <c r="D79" s="201" t="s">
        <v>363</v>
      </c>
      <c r="E79" s="166">
        <v>18</v>
      </c>
      <c r="F79" s="180">
        <v>1500</v>
      </c>
      <c r="G79" s="265">
        <v>75</v>
      </c>
      <c r="H79" s="460"/>
      <c r="I79" s="166">
        <f t="shared" si="18"/>
        <v>18</v>
      </c>
      <c r="J79" s="166">
        <f t="shared" si="18"/>
        <v>1320.2156940687878</v>
      </c>
      <c r="K79" s="265">
        <f t="shared" si="18"/>
        <v>73.345316337154856</v>
      </c>
      <c r="L79" s="460"/>
      <c r="M79" s="272">
        <f>RANK(K79, K$77:$K$106)</f>
        <v>13</v>
      </c>
      <c r="N79" s="462"/>
      <c r="O79" s="462"/>
      <c r="P79" s="166">
        <v>18</v>
      </c>
      <c r="Q79" s="166">
        <v>1307.9999999999993</v>
      </c>
      <c r="R79" s="166">
        <v>72.666666666666629</v>
      </c>
      <c r="S79" s="180">
        <f t="shared" si="19"/>
        <v>14</v>
      </c>
      <c r="T79" s="486"/>
      <c r="U79" s="166">
        <v>18</v>
      </c>
      <c r="V79" s="166">
        <v>1302.5454545454536</v>
      </c>
      <c r="W79" s="166">
        <v>72.363636363636317</v>
      </c>
      <c r="X79" s="180">
        <f t="shared" si="20"/>
        <v>21</v>
      </c>
      <c r="Y79" s="486"/>
      <c r="Z79" s="166">
        <v>18</v>
      </c>
      <c r="AA79" s="166">
        <v>1314.9152542372874</v>
      </c>
      <c r="AB79" s="166">
        <v>73.050847457627071</v>
      </c>
      <c r="AC79" s="180">
        <f t="shared" si="21"/>
        <v>17</v>
      </c>
      <c r="AD79" s="486"/>
      <c r="AE79" s="166">
        <v>18</v>
      </c>
      <c r="AF79" s="166">
        <v>1336.5957446808513</v>
      </c>
      <c r="AG79" s="166">
        <v>74.255319148936181</v>
      </c>
      <c r="AH79" s="180">
        <f t="shared" si="22"/>
        <v>14</v>
      </c>
      <c r="AI79" s="486"/>
      <c r="AJ79" s="166">
        <v>18</v>
      </c>
      <c r="AK79" s="166">
        <v>1318.064516129032</v>
      </c>
      <c r="AL79" s="166">
        <v>73.225806451612883</v>
      </c>
      <c r="AM79" s="180">
        <f t="shared" si="23"/>
        <v>16</v>
      </c>
      <c r="AN79" s="486"/>
      <c r="AO79" s="166">
        <v>18</v>
      </c>
      <c r="AP79" s="166">
        <v>1318.8888888888896</v>
      </c>
      <c r="AQ79" s="166">
        <v>73.271604938271651</v>
      </c>
      <c r="AR79" s="180">
        <f t="shared" si="24"/>
        <v>15</v>
      </c>
      <c r="AS79" s="486"/>
      <c r="AT79" s="166">
        <v>18</v>
      </c>
      <c r="AU79" s="166">
        <v>1342.5000000000005</v>
      </c>
      <c r="AV79" s="166">
        <v>74.583333333333357</v>
      </c>
      <c r="AW79" s="180">
        <f t="shared" si="25"/>
        <v>14</v>
      </c>
      <c r="AX79" s="486"/>
    </row>
    <row r="80" spans="2:50">
      <c r="B80" s="479"/>
      <c r="C80" s="180">
        <v>4</v>
      </c>
      <c r="D80" s="201" t="s">
        <v>400</v>
      </c>
      <c r="E80" s="166">
        <v>18</v>
      </c>
      <c r="F80" s="180">
        <v>1500</v>
      </c>
      <c r="G80" s="265">
        <v>83.3</v>
      </c>
      <c r="H80" s="460"/>
      <c r="I80" s="166">
        <f t="shared" si="18"/>
        <v>18</v>
      </c>
      <c r="J80" s="166">
        <f t="shared" si="18"/>
        <v>1366.2444914031767</v>
      </c>
      <c r="K80" s="265">
        <f t="shared" si="18"/>
        <v>75.902471744620911</v>
      </c>
      <c r="L80" s="460"/>
      <c r="M80" s="272">
        <f>RANK(K80, K$77:$K$106)</f>
        <v>10</v>
      </c>
      <c r="N80" s="462"/>
      <c r="O80" s="462"/>
      <c r="P80" s="166">
        <v>18</v>
      </c>
      <c r="Q80" s="166">
        <v>1399.024390243902</v>
      </c>
      <c r="R80" s="166">
        <v>77.723577235772325</v>
      </c>
      <c r="S80" s="180">
        <f t="shared" si="19"/>
        <v>9</v>
      </c>
      <c r="T80" s="486"/>
      <c r="U80" s="166">
        <v>18</v>
      </c>
      <c r="V80" s="166">
        <v>1406.1538461538455</v>
      </c>
      <c r="W80" s="166">
        <v>78.119658119658084</v>
      </c>
      <c r="X80" s="180">
        <f t="shared" si="20"/>
        <v>8</v>
      </c>
      <c r="Y80" s="486"/>
      <c r="Z80" s="166">
        <v>18</v>
      </c>
      <c r="AA80" s="166">
        <v>1365.7142857142853</v>
      </c>
      <c r="AB80" s="166">
        <v>75.873015873015845</v>
      </c>
      <c r="AC80" s="180">
        <f t="shared" si="21"/>
        <v>12</v>
      </c>
      <c r="AD80" s="486"/>
      <c r="AE80" s="166">
        <v>18</v>
      </c>
      <c r="AF80" s="166">
        <v>1377.2093023255811</v>
      </c>
      <c r="AG80" s="166">
        <v>76.511627906976727</v>
      </c>
      <c r="AH80" s="180">
        <f t="shared" si="22"/>
        <v>10</v>
      </c>
      <c r="AI80" s="486"/>
      <c r="AJ80" s="166">
        <v>18</v>
      </c>
      <c r="AK80" s="166">
        <v>1319.6250000000045</v>
      </c>
      <c r="AL80" s="166">
        <v>73.312500000000256</v>
      </c>
      <c r="AM80" s="180">
        <f t="shared" si="23"/>
        <v>15</v>
      </c>
      <c r="AN80" s="486"/>
      <c r="AO80" s="166">
        <v>18</v>
      </c>
      <c r="AP80" s="166">
        <v>1365.6000000000004</v>
      </c>
      <c r="AQ80" s="166">
        <v>75.866666666666688</v>
      </c>
      <c r="AR80" s="180">
        <f t="shared" si="24"/>
        <v>10</v>
      </c>
      <c r="AS80" s="486"/>
      <c r="AT80" s="166">
        <v>18</v>
      </c>
      <c r="AU80" s="166">
        <v>1330.3846153846162</v>
      </c>
      <c r="AV80" s="166">
        <v>73.910256410256451</v>
      </c>
      <c r="AW80" s="180">
        <f t="shared" si="25"/>
        <v>16</v>
      </c>
      <c r="AX80" s="486"/>
    </row>
    <row r="81" spans="2:50">
      <c r="B81" s="479"/>
      <c r="C81" s="180">
        <v>5</v>
      </c>
      <c r="D81" s="201" t="s">
        <v>342</v>
      </c>
      <c r="E81" s="166">
        <v>16</v>
      </c>
      <c r="F81" s="180">
        <v>1500</v>
      </c>
      <c r="G81" s="265">
        <v>93.8</v>
      </c>
      <c r="H81" s="460"/>
      <c r="I81" s="166">
        <f t="shared" si="18"/>
        <v>16.142857142857142</v>
      </c>
      <c r="J81" s="166">
        <f t="shared" si="18"/>
        <v>1340.6504519224231</v>
      </c>
      <c r="K81" s="265">
        <f t="shared" si="18"/>
        <v>83.053794671934924</v>
      </c>
      <c r="L81" s="460"/>
      <c r="M81" s="272">
        <f>RANK(K81, K$77:$K$106)</f>
        <v>5</v>
      </c>
      <c r="N81" s="462"/>
      <c r="O81" s="462"/>
      <c r="P81" s="166">
        <v>16</v>
      </c>
      <c r="Q81" s="166">
        <v>1285.909090909093</v>
      </c>
      <c r="R81" s="166">
        <v>80.369318181818315</v>
      </c>
      <c r="S81" s="180">
        <f t="shared" si="19"/>
        <v>7</v>
      </c>
      <c r="T81" s="486"/>
      <c r="U81" s="166">
        <v>16</v>
      </c>
      <c r="V81" s="166">
        <v>1294.0909090909113</v>
      </c>
      <c r="W81" s="166">
        <v>80.880681818181955</v>
      </c>
      <c r="X81" s="180">
        <f t="shared" si="20"/>
        <v>6</v>
      </c>
      <c r="Y81" s="486"/>
      <c r="Z81" s="166">
        <v>16</v>
      </c>
      <c r="AA81" s="166">
        <v>1329.5454545454545</v>
      </c>
      <c r="AB81" s="166">
        <v>83.096590909090907</v>
      </c>
      <c r="AC81" s="180">
        <f t="shared" si="21"/>
        <v>5</v>
      </c>
      <c r="AD81" s="486"/>
      <c r="AE81" s="166">
        <v>16</v>
      </c>
      <c r="AF81" s="166">
        <v>1304</v>
      </c>
      <c r="AG81" s="166">
        <v>81.5</v>
      </c>
      <c r="AH81" s="180">
        <f t="shared" si="22"/>
        <v>4</v>
      </c>
      <c r="AI81" s="486"/>
      <c r="AJ81" s="166">
        <v>17</v>
      </c>
      <c r="AK81" s="166">
        <v>1402.9787234042556</v>
      </c>
      <c r="AL81" s="166">
        <v>82.528160200250326</v>
      </c>
      <c r="AM81" s="180">
        <f t="shared" si="23"/>
        <v>5</v>
      </c>
      <c r="AN81" s="486"/>
      <c r="AO81" s="166">
        <v>16</v>
      </c>
      <c r="AP81" s="166">
        <v>1378.695652173913</v>
      </c>
      <c r="AQ81" s="166">
        <v>86.168478260869563</v>
      </c>
      <c r="AR81" s="180">
        <f t="shared" si="24"/>
        <v>4</v>
      </c>
      <c r="AS81" s="486"/>
      <c r="AT81" s="166">
        <v>16</v>
      </c>
      <c r="AU81" s="166">
        <v>1389.3333333333333</v>
      </c>
      <c r="AV81" s="166">
        <v>86.833333333333329</v>
      </c>
      <c r="AW81" s="180">
        <f t="shared" si="25"/>
        <v>4</v>
      </c>
      <c r="AX81" s="486"/>
    </row>
    <row r="82" spans="2:50">
      <c r="B82" s="479"/>
      <c r="C82" s="180">
        <v>6</v>
      </c>
      <c r="D82" s="201" t="s">
        <v>369</v>
      </c>
      <c r="E82" s="166">
        <v>16</v>
      </c>
      <c r="F82" s="180">
        <v>1565</v>
      </c>
      <c r="G82" s="265">
        <v>97.8</v>
      </c>
      <c r="H82" s="460"/>
      <c r="I82" s="166">
        <f t="shared" si="18"/>
        <v>15.857142857142858</v>
      </c>
      <c r="J82" s="166">
        <f t="shared" si="18"/>
        <v>1398.8141499110259</v>
      </c>
      <c r="K82" s="265">
        <f t="shared" si="18"/>
        <v>88.388106031086892</v>
      </c>
      <c r="L82" s="460"/>
      <c r="M82" s="272">
        <f>RANK(K82, K$77:$K$106)</f>
        <v>3</v>
      </c>
      <c r="N82" s="462"/>
      <c r="O82" s="462"/>
      <c r="P82" s="166">
        <v>16</v>
      </c>
      <c r="Q82" s="166">
        <v>1383.3620689655181</v>
      </c>
      <c r="R82" s="166">
        <v>86.460129310344882</v>
      </c>
      <c r="S82" s="180">
        <f t="shared" si="19"/>
        <v>4</v>
      </c>
      <c r="T82" s="486"/>
      <c r="U82" s="166">
        <v>16</v>
      </c>
      <c r="V82" s="166">
        <v>1327.3584905660387</v>
      </c>
      <c r="W82" s="166">
        <v>82.959905660377416</v>
      </c>
      <c r="X82" s="180">
        <f t="shared" si="20"/>
        <v>5</v>
      </c>
      <c r="Y82" s="486"/>
      <c r="Z82" s="166">
        <v>16</v>
      </c>
      <c r="AA82" s="166">
        <v>1390.8333333333321</v>
      </c>
      <c r="AB82" s="166">
        <v>86.927083333333258</v>
      </c>
      <c r="AC82" s="180">
        <f t="shared" si="21"/>
        <v>3</v>
      </c>
      <c r="AD82" s="486"/>
      <c r="AE82" s="166">
        <v>16</v>
      </c>
      <c r="AF82" s="166">
        <v>1367.3684210526305</v>
      </c>
      <c r="AG82" s="166">
        <v>85.460526315789409</v>
      </c>
      <c r="AH82" s="180">
        <f t="shared" si="22"/>
        <v>3</v>
      </c>
      <c r="AI82" s="486"/>
      <c r="AJ82" s="166">
        <v>17</v>
      </c>
      <c r="AK82" s="166">
        <v>1437.6923076923069</v>
      </c>
      <c r="AL82" s="166">
        <v>84.570135746606297</v>
      </c>
      <c r="AM82" s="180">
        <f t="shared" si="23"/>
        <v>4</v>
      </c>
      <c r="AN82" s="486"/>
      <c r="AO82" s="166">
        <v>15</v>
      </c>
      <c r="AP82" s="166">
        <v>1439.2307692307686</v>
      </c>
      <c r="AQ82" s="166">
        <v>95.948717948717913</v>
      </c>
      <c r="AR82" s="180">
        <f t="shared" si="24"/>
        <v>3</v>
      </c>
      <c r="AS82" s="486"/>
      <c r="AT82" s="166">
        <v>15</v>
      </c>
      <c r="AU82" s="166">
        <v>1445.853658536585</v>
      </c>
      <c r="AV82" s="166">
        <v>96.390243902438996</v>
      </c>
      <c r="AW82" s="180">
        <f t="shared" si="25"/>
        <v>3</v>
      </c>
      <c r="AX82" s="486"/>
    </row>
    <row r="83" spans="2:50">
      <c r="B83" s="479"/>
      <c r="C83" s="180">
        <v>7</v>
      </c>
      <c r="D83" s="201" t="s">
        <v>333</v>
      </c>
      <c r="E83" s="166">
        <v>15</v>
      </c>
      <c r="F83" s="180">
        <v>1440</v>
      </c>
      <c r="G83" s="265">
        <v>102.9</v>
      </c>
      <c r="H83" s="460"/>
      <c r="I83" s="166">
        <f t="shared" si="18"/>
        <v>15.285714285714286</v>
      </c>
      <c r="J83" s="166">
        <f t="shared" si="18"/>
        <v>1104.6235953780822</v>
      </c>
      <c r="K83" s="265">
        <f t="shared" si="18"/>
        <v>72.314877830998768</v>
      </c>
      <c r="L83" s="460"/>
      <c r="M83" s="272">
        <f>RANK(K83, K$77:$K$106)</f>
        <v>18</v>
      </c>
      <c r="N83" s="462"/>
      <c r="O83" s="462"/>
      <c r="P83" s="166">
        <v>15</v>
      </c>
      <c r="Q83" s="166">
        <v>1057.2413793103428</v>
      </c>
      <c r="R83" s="166">
        <v>70.482758620689523</v>
      </c>
      <c r="S83" s="180">
        <f t="shared" si="19"/>
        <v>20</v>
      </c>
      <c r="T83" s="486"/>
      <c r="U83" s="166">
        <v>15</v>
      </c>
      <c r="V83" s="166">
        <v>1137.999999999998</v>
      </c>
      <c r="W83" s="166">
        <v>75.866666666666532</v>
      </c>
      <c r="X83" s="180">
        <f t="shared" si="20"/>
        <v>12</v>
      </c>
      <c r="Y83" s="486"/>
      <c r="Z83" s="166">
        <v>15</v>
      </c>
      <c r="AA83" s="166">
        <v>1079.9999999999977</v>
      </c>
      <c r="AB83" s="166">
        <v>71.999999999999844</v>
      </c>
      <c r="AC83" s="180">
        <f t="shared" si="21"/>
        <v>18</v>
      </c>
      <c r="AD83" s="486"/>
      <c r="AE83" s="166">
        <v>15</v>
      </c>
      <c r="AF83" s="166">
        <v>1102.7586206896531</v>
      </c>
      <c r="AG83" s="166">
        <v>73.517241379310207</v>
      </c>
      <c r="AH83" s="180">
        <f t="shared" si="22"/>
        <v>15</v>
      </c>
      <c r="AI83" s="486"/>
      <c r="AJ83" s="166">
        <v>15</v>
      </c>
      <c r="AK83" s="166">
        <v>1125.5172413793082</v>
      </c>
      <c r="AL83" s="166">
        <v>75.034482758620541</v>
      </c>
      <c r="AM83" s="180">
        <f t="shared" si="23"/>
        <v>11</v>
      </c>
      <c r="AN83" s="486"/>
      <c r="AO83" s="166">
        <v>16</v>
      </c>
      <c r="AP83" s="166">
        <v>1097.4193548387079</v>
      </c>
      <c r="AQ83" s="166">
        <v>68.588709677419246</v>
      </c>
      <c r="AR83" s="180">
        <f t="shared" si="24"/>
        <v>23</v>
      </c>
      <c r="AS83" s="486"/>
      <c r="AT83" s="166">
        <v>16</v>
      </c>
      <c r="AU83" s="166">
        <v>1131.4285714285688</v>
      </c>
      <c r="AV83" s="166">
        <v>70.714285714285552</v>
      </c>
      <c r="AW83" s="180">
        <f t="shared" si="25"/>
        <v>21</v>
      </c>
      <c r="AX83" s="486"/>
    </row>
    <row r="84" spans="2:50">
      <c r="B84" s="479"/>
      <c r="C84" s="180">
        <v>8</v>
      </c>
      <c r="D84" s="201" t="s">
        <v>368</v>
      </c>
      <c r="E84" s="166">
        <v>16</v>
      </c>
      <c r="F84" s="180">
        <v>1440</v>
      </c>
      <c r="G84" s="265">
        <v>90</v>
      </c>
      <c r="H84" s="460"/>
      <c r="I84" s="166">
        <f t="shared" si="18"/>
        <v>16.285714285714285</v>
      </c>
      <c r="J84" s="166">
        <f t="shared" si="18"/>
        <v>1269.4054792218776</v>
      </c>
      <c r="K84" s="265">
        <f t="shared" si="18"/>
        <v>77.981174784300521</v>
      </c>
      <c r="L84" s="460"/>
      <c r="M84" s="272">
        <f>RANK(K84, K$77:$K$106)</f>
        <v>8</v>
      </c>
      <c r="N84" s="462"/>
      <c r="O84" s="462"/>
      <c r="P84" s="166">
        <v>17</v>
      </c>
      <c r="Q84" s="166">
        <v>1311.6666666666656</v>
      </c>
      <c r="R84" s="166">
        <v>77.156862745097982</v>
      </c>
      <c r="S84" s="180">
        <f t="shared" si="19"/>
        <v>10</v>
      </c>
      <c r="T84" s="486"/>
      <c r="U84" s="166">
        <v>17</v>
      </c>
      <c r="V84" s="166">
        <v>1271.4285714285709</v>
      </c>
      <c r="W84" s="166">
        <v>74.789915966386516</v>
      </c>
      <c r="X84" s="180">
        <f t="shared" si="20"/>
        <v>15</v>
      </c>
      <c r="Y84" s="486"/>
      <c r="Z84" s="166">
        <v>16</v>
      </c>
      <c r="AA84" s="166">
        <v>1261.4999999999995</v>
      </c>
      <c r="AB84" s="166">
        <v>78.843749999999972</v>
      </c>
      <c r="AC84" s="180">
        <f t="shared" si="21"/>
        <v>8</v>
      </c>
      <c r="AD84" s="486"/>
      <c r="AE84" s="166">
        <v>16</v>
      </c>
      <c r="AF84" s="166">
        <v>1255.8139534883719</v>
      </c>
      <c r="AG84" s="166">
        <v>78.488372093023244</v>
      </c>
      <c r="AH84" s="180">
        <f t="shared" si="22"/>
        <v>7</v>
      </c>
      <c r="AI84" s="486"/>
      <c r="AJ84" s="166">
        <v>16</v>
      </c>
      <c r="AK84" s="166">
        <v>1246.5306122448983</v>
      </c>
      <c r="AL84" s="166">
        <v>77.908163265306143</v>
      </c>
      <c r="AM84" s="180">
        <f t="shared" si="23"/>
        <v>8</v>
      </c>
      <c r="AN84" s="486"/>
      <c r="AO84" s="166">
        <v>16</v>
      </c>
      <c r="AP84" s="166">
        <v>1249.5652173913043</v>
      </c>
      <c r="AQ84" s="166">
        <v>78.097826086956516</v>
      </c>
      <c r="AR84" s="180">
        <f t="shared" si="24"/>
        <v>8</v>
      </c>
      <c r="AS84" s="486"/>
      <c r="AT84" s="166">
        <v>16</v>
      </c>
      <c r="AU84" s="166">
        <v>1289.3333333333333</v>
      </c>
      <c r="AV84" s="166">
        <v>80.583333333333329</v>
      </c>
      <c r="AW84" s="180">
        <f t="shared" si="25"/>
        <v>7</v>
      </c>
      <c r="AX84" s="486"/>
    </row>
    <row r="85" spans="2:50">
      <c r="B85" s="479"/>
      <c r="C85" s="180">
        <v>9</v>
      </c>
      <c r="D85" s="201" t="s">
        <v>364</v>
      </c>
      <c r="E85" s="166">
        <v>16</v>
      </c>
      <c r="F85" s="180">
        <v>1380</v>
      </c>
      <c r="G85" s="265">
        <v>86.25</v>
      </c>
      <c r="H85" s="460"/>
      <c r="I85" s="166">
        <f t="shared" si="18"/>
        <v>16.571428571428573</v>
      </c>
      <c r="J85" s="166">
        <f t="shared" si="18"/>
        <v>1182.3301968532087</v>
      </c>
      <c r="K85" s="265">
        <f t="shared" si="18"/>
        <v>71.428593963894841</v>
      </c>
      <c r="L85" s="460"/>
      <c r="M85" s="272">
        <f>RANK(K85, K$77:$K$106)</f>
        <v>21</v>
      </c>
      <c r="N85" s="462"/>
      <c r="O85" s="462"/>
      <c r="P85" s="166">
        <v>16</v>
      </c>
      <c r="Q85" s="166">
        <v>1195.7142857142853</v>
      </c>
      <c r="R85" s="166">
        <v>74.732142857142833</v>
      </c>
      <c r="S85" s="180">
        <f t="shared" si="19"/>
        <v>12</v>
      </c>
      <c r="T85" s="486"/>
      <c r="U85" s="166">
        <v>16</v>
      </c>
      <c r="V85" s="166">
        <v>1173.1578947368412</v>
      </c>
      <c r="W85" s="166">
        <v>73.322368421052573</v>
      </c>
      <c r="X85" s="180">
        <f t="shared" si="20"/>
        <v>19</v>
      </c>
      <c r="Y85" s="486"/>
      <c r="Z85" s="166">
        <v>17</v>
      </c>
      <c r="AA85" s="166">
        <v>1183.3333333333323</v>
      </c>
      <c r="AB85" s="166">
        <v>69.607843137254847</v>
      </c>
      <c r="AC85" s="180">
        <f t="shared" si="21"/>
        <v>21</v>
      </c>
      <c r="AD85" s="486"/>
      <c r="AE85" s="166">
        <v>17</v>
      </c>
      <c r="AF85" s="166">
        <v>1162.9787234042553</v>
      </c>
      <c r="AG85" s="166">
        <v>68.41051314142679</v>
      </c>
      <c r="AH85" s="180">
        <f t="shared" si="22"/>
        <v>23</v>
      </c>
      <c r="AI85" s="486"/>
      <c r="AJ85" s="166">
        <v>17</v>
      </c>
      <c r="AK85" s="166">
        <v>1166.5384615384623</v>
      </c>
      <c r="AL85" s="166">
        <v>68.619909502262487</v>
      </c>
      <c r="AM85" s="180">
        <f t="shared" si="23"/>
        <v>24</v>
      </c>
      <c r="AN85" s="486"/>
      <c r="AO85" s="166">
        <v>17</v>
      </c>
      <c r="AP85" s="166">
        <v>1184.4000000000003</v>
      </c>
      <c r="AQ85" s="166">
        <v>69.670588235294133</v>
      </c>
      <c r="AR85" s="180">
        <f t="shared" si="24"/>
        <v>21</v>
      </c>
      <c r="AS85" s="486"/>
      <c r="AT85" s="166">
        <v>16</v>
      </c>
      <c r="AU85" s="166">
        <v>1210.1886792452838</v>
      </c>
      <c r="AV85" s="166">
        <v>75.636792452830235</v>
      </c>
      <c r="AW85" s="180">
        <f t="shared" si="25"/>
        <v>12</v>
      </c>
      <c r="AX85" s="486"/>
    </row>
    <row r="86" spans="2:50">
      <c r="B86" s="479"/>
      <c r="C86" s="180">
        <v>10</v>
      </c>
      <c r="D86" s="201" t="s">
        <v>367</v>
      </c>
      <c r="E86" s="166">
        <v>18</v>
      </c>
      <c r="F86" s="180">
        <v>1636</v>
      </c>
      <c r="G86" s="265">
        <v>90.9</v>
      </c>
      <c r="H86" s="460"/>
      <c r="I86" s="166">
        <f t="shared" si="18"/>
        <v>17.571428571428573</v>
      </c>
      <c r="J86" s="166">
        <f t="shared" si="18"/>
        <v>1282.038264013288</v>
      </c>
      <c r="K86" s="265">
        <f t="shared" si="18"/>
        <v>73.027801369286337</v>
      </c>
      <c r="L86" s="460"/>
      <c r="M86" s="272">
        <f>RANK(K86, K$77:$K$106)</f>
        <v>14</v>
      </c>
      <c r="N86" s="462"/>
      <c r="O86" s="462"/>
      <c r="P86" s="166">
        <v>18</v>
      </c>
      <c r="Q86" s="166">
        <v>1270.5263157894747</v>
      </c>
      <c r="R86" s="166">
        <v>70.584795321637486</v>
      </c>
      <c r="S86" s="180">
        <f t="shared" si="19"/>
        <v>19</v>
      </c>
      <c r="T86" s="486"/>
      <c r="U86" s="166">
        <v>17</v>
      </c>
      <c r="V86" s="166">
        <v>1290.5263157894747</v>
      </c>
      <c r="W86" s="166">
        <v>75.913312693498511</v>
      </c>
      <c r="X86" s="180">
        <f t="shared" si="20"/>
        <v>11</v>
      </c>
      <c r="Y86" s="486"/>
      <c r="Z86" s="166">
        <v>17</v>
      </c>
      <c r="AA86" s="166">
        <v>1290.5660377358497</v>
      </c>
      <c r="AB86" s="166">
        <v>75.915649278579394</v>
      </c>
      <c r="AC86" s="180">
        <f t="shared" si="21"/>
        <v>11</v>
      </c>
      <c r="AD86" s="486"/>
      <c r="AE86" s="166">
        <v>17</v>
      </c>
      <c r="AF86" s="166">
        <v>1281.9047619047631</v>
      </c>
      <c r="AG86" s="166">
        <v>75.406162464986068</v>
      </c>
      <c r="AH86" s="180">
        <f t="shared" si="22"/>
        <v>11</v>
      </c>
      <c r="AI86" s="486"/>
      <c r="AJ86" s="166">
        <v>18</v>
      </c>
      <c r="AK86" s="166">
        <v>1282.1538461538476</v>
      </c>
      <c r="AL86" s="166">
        <v>71.230769230769312</v>
      </c>
      <c r="AM86" s="180">
        <f t="shared" si="23"/>
        <v>20</v>
      </c>
      <c r="AN86" s="486"/>
      <c r="AO86" s="166">
        <v>18</v>
      </c>
      <c r="AP86" s="166">
        <v>1242.4615384615397</v>
      </c>
      <c r="AQ86" s="166">
        <v>69.025641025641093</v>
      </c>
      <c r="AR86" s="180">
        <f t="shared" si="24"/>
        <v>22</v>
      </c>
      <c r="AS86" s="486"/>
      <c r="AT86" s="166">
        <v>18</v>
      </c>
      <c r="AU86" s="166">
        <v>1316.1290322580658</v>
      </c>
      <c r="AV86" s="166">
        <v>73.118279569892536</v>
      </c>
      <c r="AW86" s="180">
        <f t="shared" si="25"/>
        <v>18</v>
      </c>
      <c r="AX86" s="486"/>
    </row>
    <row r="87" spans="2:50">
      <c r="B87" s="479"/>
      <c r="C87" s="180">
        <v>11</v>
      </c>
      <c r="D87" s="201" t="s">
        <v>366</v>
      </c>
      <c r="E87" s="166">
        <v>18</v>
      </c>
      <c r="F87" s="180">
        <v>1636</v>
      </c>
      <c r="G87" s="265">
        <v>90.9</v>
      </c>
      <c r="H87" s="460"/>
      <c r="I87" s="166">
        <f t="shared" si="18"/>
        <v>17.571428571428573</v>
      </c>
      <c r="J87" s="166">
        <f t="shared" si="18"/>
        <v>1279.0740957591393</v>
      </c>
      <c r="K87" s="265">
        <f t="shared" si="18"/>
        <v>72.844943407440141</v>
      </c>
      <c r="L87" s="460"/>
      <c r="M87" s="272">
        <f>RANK(K87, K$77:$K$106)</f>
        <v>15</v>
      </c>
      <c r="N87" s="462"/>
      <c r="O87" s="462"/>
      <c r="P87" s="166">
        <v>18</v>
      </c>
      <c r="Q87" s="166">
        <v>1305.7142857142853</v>
      </c>
      <c r="R87" s="166">
        <v>72.539682539682516</v>
      </c>
      <c r="S87" s="180">
        <f t="shared" si="19"/>
        <v>15</v>
      </c>
      <c r="T87" s="486"/>
      <c r="U87" s="166">
        <v>17</v>
      </c>
      <c r="V87" s="166">
        <v>1268.1818181818182</v>
      </c>
      <c r="W87" s="166">
        <v>74.598930481283432</v>
      </c>
      <c r="X87" s="180">
        <f t="shared" si="20"/>
        <v>17</v>
      </c>
      <c r="Y87" s="486"/>
      <c r="Z87" s="166">
        <v>17</v>
      </c>
      <c r="AA87" s="166">
        <v>1274.9999999999995</v>
      </c>
      <c r="AB87" s="166">
        <v>74.999999999999972</v>
      </c>
      <c r="AC87" s="180">
        <f t="shared" si="21"/>
        <v>15</v>
      </c>
      <c r="AD87" s="486"/>
      <c r="AE87" s="166">
        <v>17</v>
      </c>
      <c r="AF87" s="166">
        <v>1280.8695652173915</v>
      </c>
      <c r="AG87" s="166">
        <v>75.345268542199506</v>
      </c>
      <c r="AH87" s="180">
        <f t="shared" si="22"/>
        <v>12</v>
      </c>
      <c r="AI87" s="486"/>
      <c r="AJ87" s="166">
        <v>18</v>
      </c>
      <c r="AK87" s="166">
        <v>1306.2500000000005</v>
      </c>
      <c r="AL87" s="166">
        <v>72.569444444444471</v>
      </c>
      <c r="AM87" s="180">
        <f t="shared" si="23"/>
        <v>18</v>
      </c>
      <c r="AN87" s="486"/>
      <c r="AO87" s="166">
        <v>18</v>
      </c>
      <c r="AP87" s="166">
        <v>1256.3265306122453</v>
      </c>
      <c r="AQ87" s="166">
        <v>69.795918367346957</v>
      </c>
      <c r="AR87" s="180">
        <f t="shared" si="24"/>
        <v>19</v>
      </c>
      <c r="AS87" s="486"/>
      <c r="AT87" s="166">
        <v>18</v>
      </c>
      <c r="AU87" s="166">
        <v>1261.1764705882358</v>
      </c>
      <c r="AV87" s="166">
        <v>70.065359477124218</v>
      </c>
      <c r="AW87" s="180">
        <f t="shared" si="25"/>
        <v>23</v>
      </c>
      <c r="AX87" s="486"/>
    </row>
    <row r="88" spans="2:50">
      <c r="B88" s="479"/>
      <c r="C88" s="180">
        <v>12</v>
      </c>
      <c r="D88" s="201" t="s">
        <v>344</v>
      </c>
      <c r="E88" s="166">
        <v>17</v>
      </c>
      <c r="F88" s="180">
        <v>1500</v>
      </c>
      <c r="G88" s="265">
        <v>88.2</v>
      </c>
      <c r="H88" s="460"/>
      <c r="I88" s="166">
        <f t="shared" si="18"/>
        <v>17</v>
      </c>
      <c r="J88" s="166">
        <f t="shared" si="18"/>
        <v>1267.0374149659863</v>
      </c>
      <c r="K88" s="265">
        <f t="shared" si="18"/>
        <v>74.531612645058019</v>
      </c>
      <c r="L88" s="460"/>
      <c r="M88" s="272">
        <f>RANK(K88, K$77:$K$106)</f>
        <v>12</v>
      </c>
      <c r="N88" s="462"/>
      <c r="O88" s="462"/>
      <c r="P88" s="166">
        <v>17</v>
      </c>
      <c r="Q88" s="166">
        <v>1259.9999999999993</v>
      </c>
      <c r="R88" s="166">
        <v>74.117647058823493</v>
      </c>
      <c r="S88" s="180">
        <f t="shared" si="19"/>
        <v>13</v>
      </c>
      <c r="T88" s="486"/>
      <c r="U88" s="166">
        <v>17</v>
      </c>
      <c r="V88" s="166">
        <v>1301.9999999999995</v>
      </c>
      <c r="W88" s="166">
        <v>76.588235294117624</v>
      </c>
      <c r="X88" s="180">
        <f t="shared" si="20"/>
        <v>9</v>
      </c>
      <c r="Y88" s="486"/>
      <c r="Z88" s="166">
        <v>17</v>
      </c>
      <c r="AA88" s="166">
        <v>1291.4999999999995</v>
      </c>
      <c r="AB88" s="166">
        <v>75.970588235294088</v>
      </c>
      <c r="AC88" s="180">
        <f t="shared" si="21"/>
        <v>10</v>
      </c>
      <c r="AD88" s="486"/>
      <c r="AE88" s="166">
        <v>17</v>
      </c>
      <c r="AF88" s="166">
        <v>1249.3333333333335</v>
      </c>
      <c r="AG88" s="166">
        <v>73.490196078431381</v>
      </c>
      <c r="AH88" s="180">
        <f t="shared" si="22"/>
        <v>16</v>
      </c>
      <c r="AI88" s="486"/>
      <c r="AJ88" s="166">
        <v>17</v>
      </c>
      <c r="AK88" s="166">
        <v>1251.4285714285718</v>
      </c>
      <c r="AL88" s="166">
        <v>73.613445378151283</v>
      </c>
      <c r="AM88" s="180">
        <f t="shared" si="23"/>
        <v>14</v>
      </c>
      <c r="AN88" s="486"/>
      <c r="AO88" s="166">
        <v>17</v>
      </c>
      <c r="AP88" s="166">
        <v>1255.0000000000002</v>
      </c>
      <c r="AQ88" s="166">
        <v>73.823529411764724</v>
      </c>
      <c r="AR88" s="180">
        <f t="shared" si="24"/>
        <v>13</v>
      </c>
      <c r="AS88" s="486"/>
      <c r="AT88" s="166">
        <v>17</v>
      </c>
      <c r="AU88" s="166">
        <v>1260.0000000000002</v>
      </c>
      <c r="AV88" s="166">
        <v>74.117647058823536</v>
      </c>
      <c r="AW88" s="180">
        <f t="shared" si="25"/>
        <v>15</v>
      </c>
      <c r="AX88" s="486"/>
    </row>
    <row r="89" spans="2:50">
      <c r="B89" s="479"/>
      <c r="C89" s="180">
        <v>13</v>
      </c>
      <c r="D89" s="201" t="s">
        <v>548</v>
      </c>
      <c r="E89" s="166">
        <v>18</v>
      </c>
      <c r="F89" s="180">
        <v>1440</v>
      </c>
      <c r="G89" s="265">
        <v>80</v>
      </c>
      <c r="H89" s="460"/>
      <c r="I89" s="166">
        <f t="shared" si="18"/>
        <v>18.428571428571427</v>
      </c>
      <c r="J89" s="166">
        <f t="shared" si="18"/>
        <v>1325.4368838884186</v>
      </c>
      <c r="K89" s="265">
        <f t="shared" si="18"/>
        <v>71.981474353128078</v>
      </c>
      <c r="L89" s="460"/>
      <c r="M89" s="272">
        <f>RANK(K89, K$77:$K$106)</f>
        <v>19</v>
      </c>
      <c r="N89" s="462"/>
      <c r="O89" s="462"/>
      <c r="P89" s="166">
        <v>19</v>
      </c>
      <c r="Q89" s="166">
        <v>1335.6521739130421</v>
      </c>
      <c r="R89" s="166">
        <v>70.297482837528534</v>
      </c>
      <c r="S89" s="180">
        <f t="shared" si="19"/>
        <v>22</v>
      </c>
      <c r="T89" s="486"/>
      <c r="U89" s="166">
        <v>18</v>
      </c>
      <c r="V89" s="166">
        <v>1304.6341463414628</v>
      </c>
      <c r="W89" s="166">
        <v>72.479674796747929</v>
      </c>
      <c r="X89" s="180">
        <f t="shared" si="20"/>
        <v>20</v>
      </c>
      <c r="Y89" s="486"/>
      <c r="Z89" s="166">
        <v>19</v>
      </c>
      <c r="AA89" s="166">
        <v>1311.2195121951213</v>
      </c>
      <c r="AB89" s="166">
        <v>69.011553273427438</v>
      </c>
      <c r="AC89" s="180">
        <f t="shared" si="21"/>
        <v>23</v>
      </c>
      <c r="AD89" s="486"/>
      <c r="AE89" s="166">
        <v>19</v>
      </c>
      <c r="AF89" s="166">
        <v>1312.5842696629213</v>
      </c>
      <c r="AG89" s="166">
        <v>69.083382613837969</v>
      </c>
      <c r="AH89" s="180">
        <f t="shared" si="22"/>
        <v>21</v>
      </c>
      <c r="AI89" s="486"/>
      <c r="AJ89" s="166">
        <v>18</v>
      </c>
      <c r="AK89" s="166">
        <v>1332.0000000000002</v>
      </c>
      <c r="AL89" s="166">
        <v>74.000000000000014</v>
      </c>
      <c r="AM89" s="180">
        <f t="shared" si="23"/>
        <v>13</v>
      </c>
      <c r="AN89" s="486"/>
      <c r="AO89" s="166">
        <v>18</v>
      </c>
      <c r="AP89" s="166">
        <v>1324.4680851063831</v>
      </c>
      <c r="AQ89" s="166">
        <v>73.581560283687949</v>
      </c>
      <c r="AR89" s="180">
        <f t="shared" si="24"/>
        <v>14</v>
      </c>
      <c r="AS89" s="486"/>
      <c r="AT89" s="166">
        <v>18</v>
      </c>
      <c r="AU89" s="166">
        <v>1357.5</v>
      </c>
      <c r="AV89" s="166">
        <v>75.416666666666671</v>
      </c>
      <c r="AW89" s="180">
        <f t="shared" si="25"/>
        <v>13</v>
      </c>
      <c r="AX89" s="486"/>
    </row>
    <row r="90" spans="2:50">
      <c r="B90" s="479"/>
      <c r="C90" s="180">
        <v>14</v>
      </c>
      <c r="D90" s="201" t="s">
        <v>370</v>
      </c>
      <c r="E90" s="166">
        <v>15</v>
      </c>
      <c r="F90" s="180">
        <v>1440</v>
      </c>
      <c r="G90" s="265">
        <v>96</v>
      </c>
      <c r="H90" s="460"/>
      <c r="I90" s="166">
        <f t="shared" si="18"/>
        <v>15.571428571428571</v>
      </c>
      <c r="J90" s="166">
        <f t="shared" si="18"/>
        <v>1278.3944444294846</v>
      </c>
      <c r="K90" s="265">
        <f t="shared" si="18"/>
        <v>82.178900480197626</v>
      </c>
      <c r="L90" s="460"/>
      <c r="M90" s="272">
        <f>RANK(K90, K$77:$K$106)</f>
        <v>6</v>
      </c>
      <c r="N90" s="462"/>
      <c r="O90" s="462"/>
      <c r="P90" s="166">
        <v>15</v>
      </c>
      <c r="Q90" s="166">
        <v>1301.7857142857115</v>
      </c>
      <c r="R90" s="166">
        <v>86.785714285714093</v>
      </c>
      <c r="S90" s="180">
        <f t="shared" si="19"/>
        <v>3</v>
      </c>
      <c r="T90" s="486"/>
      <c r="U90" s="166">
        <v>15</v>
      </c>
      <c r="V90" s="166">
        <v>1248.8888888888896</v>
      </c>
      <c r="W90" s="166">
        <v>83.259259259259309</v>
      </c>
      <c r="X90" s="180">
        <f t="shared" si="20"/>
        <v>4</v>
      </c>
      <c r="Y90" s="486"/>
      <c r="Z90" s="166">
        <v>15</v>
      </c>
      <c r="AA90" s="166">
        <v>1278.4615384615392</v>
      </c>
      <c r="AB90" s="166">
        <v>85.230769230769283</v>
      </c>
      <c r="AC90" s="180">
        <f t="shared" si="21"/>
        <v>4</v>
      </c>
      <c r="AD90" s="486"/>
      <c r="AE90" s="166">
        <v>16</v>
      </c>
      <c r="AF90" s="166">
        <v>1288.9285714285686</v>
      </c>
      <c r="AG90" s="166">
        <v>80.558035714285538</v>
      </c>
      <c r="AH90" s="180">
        <f t="shared" si="22"/>
        <v>6</v>
      </c>
      <c r="AI90" s="486"/>
      <c r="AJ90" s="166">
        <v>16</v>
      </c>
      <c r="AK90" s="166">
        <v>1252.3636363636372</v>
      </c>
      <c r="AL90" s="166">
        <v>78.272727272727323</v>
      </c>
      <c r="AM90" s="180">
        <f t="shared" si="23"/>
        <v>7</v>
      </c>
      <c r="AN90" s="486"/>
      <c r="AO90" s="166">
        <v>16</v>
      </c>
      <c r="AP90" s="166">
        <v>1274.1818181818189</v>
      </c>
      <c r="AQ90" s="166">
        <v>79.636363636363683</v>
      </c>
      <c r="AR90" s="180">
        <f t="shared" si="24"/>
        <v>6</v>
      </c>
      <c r="AS90" s="486"/>
      <c r="AT90" s="166">
        <v>16</v>
      </c>
      <c r="AU90" s="166">
        <v>1304.1509433962271</v>
      </c>
      <c r="AV90" s="166">
        <v>81.509433962264197</v>
      </c>
      <c r="AW90" s="180">
        <f t="shared" si="25"/>
        <v>6</v>
      </c>
      <c r="AX90" s="486"/>
    </row>
    <row r="91" spans="2:50">
      <c r="B91" s="479"/>
      <c r="C91" s="180">
        <v>15</v>
      </c>
      <c r="D91" s="201" t="s">
        <v>335</v>
      </c>
      <c r="E91" s="166">
        <v>17</v>
      </c>
      <c r="F91" s="180">
        <v>1440</v>
      </c>
      <c r="G91" s="265">
        <v>84.7</v>
      </c>
      <c r="H91" s="460"/>
      <c r="I91" s="166">
        <f t="shared" si="18"/>
        <v>17</v>
      </c>
      <c r="J91" s="166">
        <f t="shared" si="18"/>
        <v>1345.8015643587548</v>
      </c>
      <c r="K91" s="265">
        <f t="shared" si="18"/>
        <v>79.164797903456147</v>
      </c>
      <c r="L91" s="460"/>
      <c r="M91" s="272">
        <f>RANK(K91, K$77:$K$106)</f>
        <v>7</v>
      </c>
      <c r="N91" s="462"/>
      <c r="O91" s="462"/>
      <c r="P91" s="166">
        <v>17</v>
      </c>
      <c r="Q91" s="166">
        <v>1339.5348837209301</v>
      </c>
      <c r="R91" s="166">
        <v>78.79616963064295</v>
      </c>
      <c r="S91" s="180">
        <f t="shared" si="19"/>
        <v>8</v>
      </c>
      <c r="T91" s="486"/>
      <c r="U91" s="166">
        <v>17</v>
      </c>
      <c r="V91" s="166">
        <v>1373.8775510204084</v>
      </c>
      <c r="W91" s="166">
        <v>80.816326530612258</v>
      </c>
      <c r="X91" s="180">
        <f t="shared" si="20"/>
        <v>7</v>
      </c>
      <c r="Y91" s="486"/>
      <c r="Z91" s="166">
        <v>17</v>
      </c>
      <c r="AA91" s="166">
        <v>1342.6530612244901</v>
      </c>
      <c r="AB91" s="166">
        <v>78.979591836734713</v>
      </c>
      <c r="AC91" s="180">
        <f t="shared" si="21"/>
        <v>7</v>
      </c>
      <c r="AD91" s="486"/>
      <c r="AE91" s="166">
        <v>17</v>
      </c>
      <c r="AF91" s="166">
        <v>1321.6363636363626</v>
      </c>
      <c r="AG91" s="166">
        <v>77.743315508021325</v>
      </c>
      <c r="AH91" s="180">
        <f t="shared" si="22"/>
        <v>8</v>
      </c>
      <c r="AI91" s="486"/>
      <c r="AJ91" s="166">
        <v>17</v>
      </c>
      <c r="AK91" s="166">
        <v>1349.9999999999989</v>
      </c>
      <c r="AL91" s="166">
        <v>79.411764705882291</v>
      </c>
      <c r="AM91" s="180">
        <f t="shared" si="23"/>
        <v>6</v>
      </c>
      <c r="AN91" s="486"/>
      <c r="AO91" s="166">
        <v>17</v>
      </c>
      <c r="AP91" s="166">
        <v>1351.6363636363644</v>
      </c>
      <c r="AQ91" s="166">
        <v>79.508021390374381</v>
      </c>
      <c r="AR91" s="180">
        <f t="shared" si="24"/>
        <v>7</v>
      </c>
      <c r="AS91" s="486"/>
      <c r="AT91" s="166">
        <v>17</v>
      </c>
      <c r="AU91" s="166">
        <v>1341.2727272727282</v>
      </c>
      <c r="AV91" s="166">
        <v>78.898395721925183</v>
      </c>
      <c r="AW91" s="180">
        <f t="shared" si="25"/>
        <v>8</v>
      </c>
      <c r="AX91" s="486"/>
    </row>
    <row r="92" spans="2:50">
      <c r="B92" s="479"/>
      <c r="C92" s="180">
        <v>16</v>
      </c>
      <c r="D92" s="201" t="s">
        <v>365</v>
      </c>
      <c r="E92" s="166">
        <v>19</v>
      </c>
      <c r="F92" s="180">
        <v>1440</v>
      </c>
      <c r="G92" s="265">
        <v>75.8</v>
      </c>
      <c r="H92" s="460"/>
      <c r="I92" s="166">
        <f t="shared" si="18"/>
        <v>18</v>
      </c>
      <c r="J92" s="166">
        <f t="shared" si="18"/>
        <v>1278.7140043278766</v>
      </c>
      <c r="K92" s="265">
        <f t="shared" si="18"/>
        <v>71.039666907104248</v>
      </c>
      <c r="L92" s="460"/>
      <c r="M92" s="272">
        <f>RANK(K92, K$77:$K$106)</f>
        <v>22</v>
      </c>
      <c r="N92" s="462"/>
      <c r="O92" s="462"/>
      <c r="P92" s="166">
        <v>18</v>
      </c>
      <c r="Q92" s="166">
        <v>1268.0000000000014</v>
      </c>
      <c r="R92" s="166">
        <v>70.444444444444514</v>
      </c>
      <c r="S92" s="180">
        <f t="shared" si="19"/>
        <v>21</v>
      </c>
      <c r="T92" s="486"/>
      <c r="U92" s="166">
        <v>18</v>
      </c>
      <c r="V92" s="166">
        <v>1258.0645161290333</v>
      </c>
      <c r="W92" s="166">
        <v>69.892473118279625</v>
      </c>
      <c r="X92" s="180">
        <f t="shared" si="20"/>
        <v>23</v>
      </c>
      <c r="Y92" s="486"/>
      <c r="Z92" s="166">
        <v>18</v>
      </c>
      <c r="AA92" s="166">
        <v>1278.5454545454554</v>
      </c>
      <c r="AB92" s="166">
        <v>71.030303030303074</v>
      </c>
      <c r="AC92" s="180">
        <f t="shared" si="21"/>
        <v>19</v>
      </c>
      <c r="AD92" s="486"/>
      <c r="AE92" s="166">
        <v>18</v>
      </c>
      <c r="AF92" s="166">
        <v>1267.7419354838721</v>
      </c>
      <c r="AG92" s="166">
        <v>70.430107526881784</v>
      </c>
      <c r="AH92" s="180">
        <f t="shared" si="22"/>
        <v>19</v>
      </c>
      <c r="AI92" s="486"/>
      <c r="AJ92" s="166">
        <v>18</v>
      </c>
      <c r="AK92" s="166">
        <v>1270.9859154929566</v>
      </c>
      <c r="AL92" s="166">
        <v>70.610328638497592</v>
      </c>
      <c r="AM92" s="180">
        <f t="shared" si="23"/>
        <v>21</v>
      </c>
      <c r="AN92" s="486"/>
      <c r="AO92" s="166">
        <v>18</v>
      </c>
      <c r="AP92" s="166">
        <v>1294.5454545454559</v>
      </c>
      <c r="AQ92" s="166">
        <v>71.919191919191988</v>
      </c>
      <c r="AR92" s="180">
        <f t="shared" si="24"/>
        <v>18</v>
      </c>
      <c r="AS92" s="486"/>
      <c r="AT92" s="166">
        <v>18</v>
      </c>
      <c r="AU92" s="166">
        <v>1313.114754098362</v>
      </c>
      <c r="AV92" s="166">
        <v>72.950819672131217</v>
      </c>
      <c r="AW92" s="180">
        <f t="shared" si="25"/>
        <v>19</v>
      </c>
      <c r="AX92" s="486"/>
    </row>
    <row r="93" spans="2:50">
      <c r="B93" s="479"/>
      <c r="C93" s="180">
        <v>17</v>
      </c>
      <c r="D93" s="201" t="s">
        <v>371</v>
      </c>
      <c r="E93" s="166">
        <v>19</v>
      </c>
      <c r="F93" s="180">
        <v>1500</v>
      </c>
      <c r="G93" s="265">
        <v>78.900000000000006</v>
      </c>
      <c r="H93" s="460"/>
      <c r="I93" s="166">
        <f t="shared" si="18"/>
        <v>18</v>
      </c>
      <c r="J93" s="166">
        <f t="shared" si="18"/>
        <v>1275.0398194738893</v>
      </c>
      <c r="K93" s="265">
        <f t="shared" si="18"/>
        <v>70.835545526327166</v>
      </c>
      <c r="L93" s="460"/>
      <c r="M93" s="272">
        <f>RANK(K93, K$77:$K$106)</f>
        <v>23</v>
      </c>
      <c r="N93" s="462"/>
      <c r="O93" s="462"/>
      <c r="P93" s="166">
        <v>18</v>
      </c>
      <c r="Q93" s="166">
        <v>1303.4999999999995</v>
      </c>
      <c r="R93" s="166">
        <v>72.416666666666643</v>
      </c>
      <c r="S93" s="180">
        <f t="shared" si="19"/>
        <v>16</v>
      </c>
      <c r="T93" s="486"/>
      <c r="U93" s="166">
        <v>18</v>
      </c>
      <c r="V93" s="166">
        <v>1243.7500000000002</v>
      </c>
      <c r="W93" s="166">
        <v>69.097222222222229</v>
      </c>
      <c r="X93" s="180">
        <f t="shared" si="20"/>
        <v>24</v>
      </c>
      <c r="Y93" s="486"/>
      <c r="Z93" s="166">
        <v>18</v>
      </c>
      <c r="AA93" s="166">
        <v>1277.872340425532</v>
      </c>
      <c r="AB93" s="166">
        <v>70.99290780141844</v>
      </c>
      <c r="AC93" s="180">
        <f t="shared" si="21"/>
        <v>20</v>
      </c>
      <c r="AD93" s="486"/>
      <c r="AE93" s="166">
        <v>18</v>
      </c>
      <c r="AF93" s="166">
        <v>1284.7058823529417</v>
      </c>
      <c r="AG93" s="166">
        <v>71.372549019607874</v>
      </c>
      <c r="AH93" s="180">
        <f t="shared" si="22"/>
        <v>18</v>
      </c>
      <c r="AI93" s="486"/>
      <c r="AJ93" s="166">
        <v>18</v>
      </c>
      <c r="AK93" s="166">
        <v>1261.0714285714296</v>
      </c>
      <c r="AL93" s="166">
        <v>70.059523809523867</v>
      </c>
      <c r="AM93" s="180">
        <f t="shared" si="23"/>
        <v>23</v>
      </c>
      <c r="AN93" s="486"/>
      <c r="AO93" s="166">
        <v>18</v>
      </c>
      <c r="AP93" s="166">
        <v>1255.5555555555563</v>
      </c>
      <c r="AQ93" s="166">
        <v>69.753086419753132</v>
      </c>
      <c r="AR93" s="180">
        <f t="shared" si="24"/>
        <v>20</v>
      </c>
      <c r="AS93" s="486"/>
      <c r="AT93" s="166">
        <v>18</v>
      </c>
      <c r="AU93" s="166">
        <v>1298.8235294117653</v>
      </c>
      <c r="AV93" s="166">
        <v>72.156862745098067</v>
      </c>
      <c r="AW93" s="180">
        <f t="shared" si="25"/>
        <v>20</v>
      </c>
      <c r="AX93" s="486"/>
    </row>
    <row r="94" spans="2:50">
      <c r="B94" s="479"/>
      <c r="C94" s="180">
        <v>18</v>
      </c>
      <c r="D94" s="201" t="s">
        <v>428</v>
      </c>
      <c r="E94" s="166">
        <v>18</v>
      </c>
      <c r="F94" s="180">
        <v>1440</v>
      </c>
      <c r="G94" s="265">
        <v>80</v>
      </c>
      <c r="H94" s="460"/>
      <c r="I94" s="166">
        <f t="shared" si="18"/>
        <v>17</v>
      </c>
      <c r="J94" s="166">
        <f t="shared" si="18"/>
        <v>1093.999757283166</v>
      </c>
      <c r="K94" s="265">
        <f t="shared" si="18"/>
        <v>64.352926899009759</v>
      </c>
      <c r="L94" s="460"/>
      <c r="M94" s="272">
        <f>RANK(K94, K$77:$K$106)</f>
        <v>26</v>
      </c>
      <c r="N94" s="462"/>
      <c r="O94" s="462"/>
      <c r="P94" s="166">
        <v>17</v>
      </c>
      <c r="Q94" s="166">
        <v>1112.4999999999964</v>
      </c>
      <c r="R94" s="166">
        <v>65.441176470588019</v>
      </c>
      <c r="S94" s="180">
        <f t="shared" si="19"/>
        <v>26</v>
      </c>
      <c r="T94" s="486"/>
      <c r="U94" s="166">
        <v>17</v>
      </c>
      <c r="V94" s="166">
        <v>1079.9999999999973</v>
      </c>
      <c r="W94" s="166">
        <v>63.529411764705721</v>
      </c>
      <c r="X94" s="180">
        <f t="shared" si="20"/>
        <v>26</v>
      </c>
      <c r="Y94" s="486"/>
      <c r="Z94" s="166">
        <v>17</v>
      </c>
      <c r="AA94" s="166">
        <v>1126.3636363636404</v>
      </c>
      <c r="AB94" s="166">
        <v>66.256684491978845</v>
      </c>
      <c r="AC94" s="180">
        <f t="shared" si="21"/>
        <v>25</v>
      </c>
      <c r="AD94" s="486"/>
      <c r="AE94" s="166">
        <v>17</v>
      </c>
      <c r="AF94" s="166">
        <v>1084.2857142857119</v>
      </c>
      <c r="AG94" s="166">
        <v>63.781512605041883</v>
      </c>
      <c r="AH94" s="180">
        <f t="shared" si="22"/>
        <v>27</v>
      </c>
      <c r="AI94" s="486"/>
      <c r="AJ94" s="166">
        <v>17</v>
      </c>
      <c r="AK94" s="166">
        <v>1095.4838709677401</v>
      </c>
      <c r="AL94" s="166">
        <v>64.440227703984718</v>
      </c>
      <c r="AM94" s="180">
        <f t="shared" si="23"/>
        <v>27</v>
      </c>
      <c r="AN94" s="486"/>
      <c r="AO94" s="166">
        <v>17</v>
      </c>
      <c r="AP94" s="166">
        <v>1097.1428571428548</v>
      </c>
      <c r="AQ94" s="166">
        <v>64.53781512605029</v>
      </c>
      <c r="AR94" s="180">
        <f t="shared" si="24"/>
        <v>25</v>
      </c>
      <c r="AS94" s="486"/>
      <c r="AT94" s="166">
        <v>17</v>
      </c>
      <c r="AU94" s="166">
        <v>1062.2222222222199</v>
      </c>
      <c r="AV94" s="166">
        <v>62.483660130718818</v>
      </c>
      <c r="AW94" s="180">
        <f t="shared" si="25"/>
        <v>26</v>
      </c>
      <c r="AX94" s="486"/>
    </row>
    <row r="95" spans="2:50">
      <c r="B95" s="479"/>
      <c r="C95" s="180">
        <v>19</v>
      </c>
      <c r="D95" s="201" t="s">
        <v>462</v>
      </c>
      <c r="E95" s="166">
        <v>17</v>
      </c>
      <c r="F95" s="180">
        <v>1385</v>
      </c>
      <c r="G95" s="265">
        <v>81.400000000000006</v>
      </c>
      <c r="H95" s="460"/>
      <c r="I95" s="166">
        <f t="shared" si="18"/>
        <v>17.714285714285715</v>
      </c>
      <c r="J95" s="166">
        <f t="shared" si="18"/>
        <v>1188.943810715776</v>
      </c>
      <c r="K95" s="265">
        <f t="shared" si="18"/>
        <v>67.157204442060518</v>
      </c>
      <c r="L95" s="460"/>
      <c r="M95" s="272">
        <f>RANK(K95, K$77:$K$106)</f>
        <v>25</v>
      </c>
      <c r="N95" s="462"/>
      <c r="O95" s="462"/>
      <c r="P95" s="166">
        <v>17</v>
      </c>
      <c r="Q95" s="166">
        <v>1168.0851063829789</v>
      </c>
      <c r="R95" s="166">
        <v>68.710888610763462</v>
      </c>
      <c r="S95" s="180">
        <f t="shared" si="19"/>
        <v>24</v>
      </c>
      <c r="T95" s="486"/>
      <c r="U95" s="166">
        <v>18</v>
      </c>
      <c r="V95" s="166">
        <v>1170.0000000000011</v>
      </c>
      <c r="W95" s="166">
        <v>65.000000000000057</v>
      </c>
      <c r="X95" s="180">
        <f t="shared" si="20"/>
        <v>25</v>
      </c>
      <c r="Y95" s="486"/>
      <c r="Z95" s="166">
        <v>18</v>
      </c>
      <c r="AA95" s="166">
        <v>1179.9999999999995</v>
      </c>
      <c r="AB95" s="166">
        <v>65.555555555555529</v>
      </c>
      <c r="AC95" s="180">
        <f t="shared" si="21"/>
        <v>26</v>
      </c>
      <c r="AD95" s="486"/>
      <c r="AE95" s="166">
        <v>18</v>
      </c>
      <c r="AF95" s="166">
        <v>1196.4000000000003</v>
      </c>
      <c r="AG95" s="166">
        <v>66.466666666666683</v>
      </c>
      <c r="AH95" s="180">
        <f t="shared" si="22"/>
        <v>24</v>
      </c>
      <c r="AI95" s="486"/>
      <c r="AJ95" s="166">
        <v>18</v>
      </c>
      <c r="AK95" s="166">
        <v>1210.5882352941192</v>
      </c>
      <c r="AL95" s="166">
        <v>67.254901960784395</v>
      </c>
      <c r="AM95" s="180">
        <f t="shared" si="23"/>
        <v>25</v>
      </c>
      <c r="AN95" s="486"/>
      <c r="AO95" s="166">
        <v>18</v>
      </c>
      <c r="AP95" s="166">
        <v>1199.1999999999989</v>
      </c>
      <c r="AQ95" s="166">
        <v>66.622222222222163</v>
      </c>
      <c r="AR95" s="180">
        <f t="shared" si="24"/>
        <v>24</v>
      </c>
      <c r="AS95" s="486"/>
      <c r="AT95" s="166">
        <v>17</v>
      </c>
      <c r="AU95" s="166">
        <v>1198.3333333333323</v>
      </c>
      <c r="AV95" s="166">
        <v>70.49019607843131</v>
      </c>
      <c r="AW95" s="180">
        <f t="shared" si="25"/>
        <v>22</v>
      </c>
      <c r="AX95" s="486"/>
    </row>
    <row r="96" spans="2:50">
      <c r="B96" s="479"/>
      <c r="C96" s="180">
        <v>20</v>
      </c>
      <c r="D96" s="201" t="s">
        <v>523</v>
      </c>
      <c r="E96" s="166">
        <v>17</v>
      </c>
      <c r="F96" s="180">
        <v>1440</v>
      </c>
      <c r="G96" s="265">
        <v>84.7</v>
      </c>
      <c r="H96" s="460"/>
      <c r="I96" s="166">
        <f t="shared" si="18"/>
        <v>17.714285714285715</v>
      </c>
      <c r="J96" s="166">
        <f t="shared" si="18"/>
        <v>1282.5238746883667</v>
      </c>
      <c r="K96" s="265">
        <f t="shared" si="18"/>
        <v>72.586417935103228</v>
      </c>
      <c r="L96" s="460"/>
      <c r="M96" s="272">
        <f>RANK(K96, K$77:$K$106)</f>
        <v>16</v>
      </c>
      <c r="N96" s="462"/>
      <c r="O96" s="462"/>
      <c r="P96" s="166">
        <v>19</v>
      </c>
      <c r="Q96" s="166">
        <v>1290.6666666666667</v>
      </c>
      <c r="R96" s="166">
        <v>67.929824561403507</v>
      </c>
      <c r="S96" s="180">
        <f t="shared" si="19"/>
        <v>25</v>
      </c>
      <c r="T96" s="486"/>
      <c r="U96" s="166">
        <v>17</v>
      </c>
      <c r="V96" s="166">
        <v>1292.1951219512191</v>
      </c>
      <c r="W96" s="166">
        <v>76.011477761836417</v>
      </c>
      <c r="X96" s="180">
        <f t="shared" si="20"/>
        <v>10</v>
      </c>
      <c r="Y96" s="486"/>
      <c r="Z96" s="166">
        <v>19</v>
      </c>
      <c r="AA96" s="166">
        <v>1275.3846153846148</v>
      </c>
      <c r="AB96" s="166">
        <v>67.125506072874458</v>
      </c>
      <c r="AC96" s="180">
        <f t="shared" si="21"/>
        <v>24</v>
      </c>
      <c r="AD96" s="486"/>
      <c r="AE96" s="166">
        <v>18</v>
      </c>
      <c r="AF96" s="166">
        <v>1255.909090909091</v>
      </c>
      <c r="AG96" s="166">
        <v>69.77272727272728</v>
      </c>
      <c r="AH96" s="180">
        <f t="shared" si="22"/>
        <v>20</v>
      </c>
      <c r="AI96" s="486"/>
      <c r="AJ96" s="166">
        <v>17</v>
      </c>
      <c r="AK96" s="166">
        <v>1290.6976744186045</v>
      </c>
      <c r="AL96" s="166">
        <v>75.923392612859089</v>
      </c>
      <c r="AM96" s="180">
        <f t="shared" si="23"/>
        <v>10</v>
      </c>
      <c r="AN96" s="486"/>
      <c r="AO96" s="166">
        <v>17</v>
      </c>
      <c r="AP96" s="166">
        <v>1316.9999999999995</v>
      </c>
      <c r="AQ96" s="166">
        <v>77.470588235294088</v>
      </c>
      <c r="AR96" s="180">
        <f t="shared" si="24"/>
        <v>9</v>
      </c>
      <c r="AS96" s="486"/>
      <c r="AT96" s="166">
        <v>17</v>
      </c>
      <c r="AU96" s="166">
        <v>1255.8139534883719</v>
      </c>
      <c r="AV96" s="166">
        <v>73.871409028727754</v>
      </c>
      <c r="AW96" s="180">
        <f t="shared" si="25"/>
        <v>17</v>
      </c>
      <c r="AX96" s="486"/>
    </row>
    <row r="97" spans="2:50">
      <c r="B97" s="479"/>
      <c r="C97" s="180">
        <v>21</v>
      </c>
      <c r="D97" s="201" t="s">
        <v>549</v>
      </c>
      <c r="E97" s="166">
        <v>17</v>
      </c>
      <c r="F97" s="180">
        <v>1500</v>
      </c>
      <c r="G97" s="265">
        <v>88.2</v>
      </c>
      <c r="H97" s="460"/>
      <c r="I97" s="166">
        <f t="shared" si="18"/>
        <v>16.857142857142858</v>
      </c>
      <c r="J97" s="166">
        <f t="shared" si="18"/>
        <v>1288.8497524729735</v>
      </c>
      <c r="K97" s="265">
        <f t="shared" si="18"/>
        <v>76.632833963611674</v>
      </c>
      <c r="L97" s="460"/>
      <c r="M97" s="272">
        <f>RANK(K97, K$77:$K$106)</f>
        <v>9</v>
      </c>
      <c r="N97" s="462"/>
      <c r="O97" s="462"/>
      <c r="P97" s="166">
        <v>15</v>
      </c>
      <c r="Q97" s="166">
        <v>1267.4999999999989</v>
      </c>
      <c r="R97" s="166">
        <v>84.499999999999929</v>
      </c>
      <c r="S97" s="180">
        <f t="shared" si="19"/>
        <v>5</v>
      </c>
      <c r="T97" s="486"/>
      <c r="U97" s="166">
        <v>17</v>
      </c>
      <c r="V97" s="166">
        <v>1286.3636363636379</v>
      </c>
      <c r="W97" s="166">
        <v>75.668449197861051</v>
      </c>
      <c r="X97" s="180">
        <f t="shared" si="20"/>
        <v>13</v>
      </c>
      <c r="Y97" s="486"/>
      <c r="Z97" s="166">
        <v>17</v>
      </c>
      <c r="AA97" s="166">
        <v>1317.0000000000011</v>
      </c>
      <c r="AB97" s="166">
        <v>77.470588235294187</v>
      </c>
      <c r="AC97" s="180">
        <f t="shared" si="21"/>
        <v>9</v>
      </c>
      <c r="AD97" s="486"/>
      <c r="AE97" s="166">
        <v>17</v>
      </c>
      <c r="AF97" s="166">
        <v>1312.0588235294135</v>
      </c>
      <c r="AG97" s="166">
        <v>77.179930795847852</v>
      </c>
      <c r="AH97" s="180">
        <f t="shared" si="22"/>
        <v>9</v>
      </c>
      <c r="AI97" s="486"/>
      <c r="AJ97" s="166">
        <v>18</v>
      </c>
      <c r="AK97" s="166">
        <v>1289.538461538463</v>
      </c>
      <c r="AL97" s="166">
        <v>71.64102564102572</v>
      </c>
      <c r="AM97" s="180">
        <f t="shared" si="23"/>
        <v>19</v>
      </c>
      <c r="AN97" s="486"/>
      <c r="AO97" s="166">
        <v>17</v>
      </c>
      <c r="AP97" s="166">
        <v>1257.3134328358226</v>
      </c>
      <c r="AQ97" s="166">
        <v>73.959613696224864</v>
      </c>
      <c r="AR97" s="180">
        <f t="shared" si="24"/>
        <v>12</v>
      </c>
      <c r="AS97" s="486"/>
      <c r="AT97" s="166">
        <v>17</v>
      </c>
      <c r="AU97" s="166">
        <v>1292.1739130434769</v>
      </c>
      <c r="AV97" s="166">
        <v>76.010230179028056</v>
      </c>
      <c r="AW97" s="180">
        <f t="shared" si="25"/>
        <v>11</v>
      </c>
      <c r="AX97" s="486"/>
    </row>
    <row r="98" spans="2:50">
      <c r="B98" s="479"/>
      <c r="C98" s="180">
        <v>22</v>
      </c>
      <c r="D98" s="201" t="s">
        <v>558</v>
      </c>
      <c r="E98" s="166">
        <v>18</v>
      </c>
      <c r="F98" s="180">
        <v>1500</v>
      </c>
      <c r="G98" s="265">
        <v>83.3</v>
      </c>
      <c r="H98" s="460"/>
      <c r="I98" s="166">
        <f t="shared" si="18"/>
        <v>18</v>
      </c>
      <c r="J98" s="166">
        <f t="shared" si="18"/>
        <v>1245.8434692393269</v>
      </c>
      <c r="K98" s="265">
        <f t="shared" si="18"/>
        <v>69.213526068851493</v>
      </c>
      <c r="L98" s="460"/>
      <c r="M98" s="272">
        <f>RANK(K98, K$77:$K$106)</f>
        <v>24</v>
      </c>
      <c r="N98" s="462"/>
      <c r="O98" s="462"/>
      <c r="P98" s="166">
        <v>18</v>
      </c>
      <c r="Q98" s="166">
        <v>1302.5806451612914</v>
      </c>
      <c r="R98" s="166">
        <v>72.365591397849528</v>
      </c>
      <c r="S98" s="180">
        <f t="shared" si="19"/>
        <v>17</v>
      </c>
      <c r="T98" s="486"/>
      <c r="U98" s="166">
        <v>18</v>
      </c>
      <c r="V98" s="166">
        <v>1334.4827586206907</v>
      </c>
      <c r="W98" s="166">
        <v>74.137931034482818</v>
      </c>
      <c r="X98" s="180">
        <f t="shared" si="20"/>
        <v>18</v>
      </c>
      <c r="Y98" s="486"/>
      <c r="Z98" s="166">
        <v>18</v>
      </c>
      <c r="AA98" s="166">
        <v>1316.0000000000014</v>
      </c>
      <c r="AB98" s="166">
        <v>73.111111111111185</v>
      </c>
      <c r="AC98" s="180">
        <f t="shared" si="21"/>
        <v>16</v>
      </c>
      <c r="AD98" s="486"/>
      <c r="AE98" s="166">
        <v>18</v>
      </c>
      <c r="AF98" s="166">
        <v>1151.5384615384623</v>
      </c>
      <c r="AG98" s="166">
        <v>63.974358974359021</v>
      </c>
      <c r="AH98" s="180">
        <f t="shared" si="22"/>
        <v>25</v>
      </c>
      <c r="AI98" s="486"/>
      <c r="AJ98" s="166">
        <v>18</v>
      </c>
      <c r="AK98" s="166">
        <v>1310.6250000000016</v>
      </c>
      <c r="AL98" s="166">
        <v>72.812500000000085</v>
      </c>
      <c r="AM98" s="180">
        <f t="shared" si="23"/>
        <v>17</v>
      </c>
      <c r="AN98" s="486"/>
      <c r="AO98" s="166">
        <v>18</v>
      </c>
      <c r="AP98" s="166">
        <v>1156.0000000000009</v>
      </c>
      <c r="AQ98" s="166">
        <v>64.222222222222271</v>
      </c>
      <c r="AR98" s="180">
        <f t="shared" si="24"/>
        <v>26</v>
      </c>
      <c r="AS98" s="486"/>
      <c r="AT98" s="166">
        <v>18</v>
      </c>
      <c r="AU98" s="166">
        <v>1149.6774193548397</v>
      </c>
      <c r="AV98" s="166">
        <v>63.870967741935537</v>
      </c>
      <c r="AW98" s="180">
        <f t="shared" si="25"/>
        <v>25</v>
      </c>
      <c r="AX98" s="486"/>
    </row>
    <row r="99" spans="2:50">
      <c r="B99" s="479"/>
      <c r="C99" s="180">
        <v>23</v>
      </c>
      <c r="D99" s="201" t="s">
        <v>559</v>
      </c>
      <c r="E99" s="166">
        <v>20</v>
      </c>
      <c r="F99" s="180">
        <v>1380</v>
      </c>
      <c r="G99" s="265">
        <v>69</v>
      </c>
      <c r="H99" s="460"/>
      <c r="I99" s="166">
        <f t="shared" si="18"/>
        <v>19.285714285714285</v>
      </c>
      <c r="J99" s="166">
        <f t="shared" si="18"/>
        <v>1085.5919861014343</v>
      </c>
      <c r="K99" s="265">
        <f t="shared" si="18"/>
        <v>56.31622641531095</v>
      </c>
      <c r="L99" s="460"/>
      <c r="M99" s="272">
        <f>RANK(K99, K$77:$K$106)</f>
        <v>30</v>
      </c>
      <c r="N99" s="462"/>
      <c r="O99" s="462"/>
      <c r="P99" s="166">
        <v>19</v>
      </c>
      <c r="Q99" s="166">
        <v>1073.7313432835836</v>
      </c>
      <c r="R99" s="166">
        <v>56.512175962293874</v>
      </c>
      <c r="S99" s="180">
        <f t="shared" si="19"/>
        <v>30</v>
      </c>
      <c r="T99" s="486"/>
      <c r="U99" s="166">
        <v>19</v>
      </c>
      <c r="V99" s="166">
        <v>1054.4117647058836</v>
      </c>
      <c r="W99" s="166">
        <v>55.495356037151765</v>
      </c>
      <c r="X99" s="180">
        <f t="shared" si="20"/>
        <v>29</v>
      </c>
      <c r="Y99" s="486"/>
      <c r="Z99" s="166">
        <v>19</v>
      </c>
      <c r="AA99" s="166">
        <v>1090.4761904761915</v>
      </c>
      <c r="AB99" s="166">
        <v>57.393483709273234</v>
      </c>
      <c r="AC99" s="180">
        <f t="shared" si="21"/>
        <v>30</v>
      </c>
      <c r="AD99" s="486"/>
      <c r="AE99" s="166">
        <v>19</v>
      </c>
      <c r="AF99" s="166">
        <v>1098.2608695652164</v>
      </c>
      <c r="AG99" s="166">
        <v>57.803203661327174</v>
      </c>
      <c r="AH99" s="180">
        <f t="shared" si="22"/>
        <v>28</v>
      </c>
      <c r="AI99" s="486"/>
      <c r="AJ99" s="166">
        <v>20</v>
      </c>
      <c r="AK99" s="166">
        <v>1071.3157894736833</v>
      </c>
      <c r="AL99" s="166">
        <v>53.565789473684163</v>
      </c>
      <c r="AM99" s="180">
        <f t="shared" si="23"/>
        <v>30</v>
      </c>
      <c r="AN99" s="486"/>
      <c r="AO99" s="166">
        <v>20</v>
      </c>
      <c r="AP99" s="166">
        <v>1110.4000000000017</v>
      </c>
      <c r="AQ99" s="166">
        <v>55.520000000000081</v>
      </c>
      <c r="AR99" s="180">
        <f t="shared" si="24"/>
        <v>30</v>
      </c>
      <c r="AS99" s="486"/>
      <c r="AT99" s="166">
        <v>19</v>
      </c>
      <c r="AU99" s="166">
        <v>1100.547945205481</v>
      </c>
      <c r="AV99" s="166">
        <v>57.923576063446369</v>
      </c>
      <c r="AW99" s="180">
        <f t="shared" si="25"/>
        <v>28</v>
      </c>
      <c r="AX99" s="486"/>
    </row>
    <row r="100" spans="2:50">
      <c r="B100" s="479"/>
      <c r="C100" s="180">
        <v>24</v>
      </c>
      <c r="D100" s="201" t="s">
        <v>595</v>
      </c>
      <c r="E100" s="166">
        <v>16</v>
      </c>
      <c r="F100" s="180">
        <v>1565</v>
      </c>
      <c r="G100" s="265">
        <v>97.8</v>
      </c>
      <c r="H100" s="460"/>
      <c r="I100" s="166">
        <f t="shared" ref="I100:K106" si="26">AVERAGE(P100,U100,Z100,AE100,AJ100,AO100,AT100)</f>
        <v>17</v>
      </c>
      <c r="J100" s="166">
        <f t="shared" si="26"/>
        <v>1285.9203272676552</v>
      </c>
      <c r="K100" s="265">
        <f t="shared" si="26"/>
        <v>75.642372192215007</v>
      </c>
      <c r="L100" s="460"/>
      <c r="M100" s="272">
        <f>RANK(K100, K$77:$K$106)</f>
        <v>11</v>
      </c>
      <c r="N100" s="462"/>
      <c r="O100" s="462"/>
      <c r="P100" s="166">
        <v>17</v>
      </c>
      <c r="Q100" s="166">
        <v>1280.5970149253717</v>
      </c>
      <c r="R100" s="166">
        <v>75.329236172080684</v>
      </c>
      <c r="S100" s="180">
        <f t="shared" si="19"/>
        <v>11</v>
      </c>
      <c r="T100" s="486"/>
      <c r="U100" s="166">
        <v>17</v>
      </c>
      <c r="V100" s="166">
        <v>1271.2500000000016</v>
      </c>
      <c r="W100" s="166">
        <v>74.779411764705969</v>
      </c>
      <c r="X100" s="180">
        <f t="shared" si="20"/>
        <v>16</v>
      </c>
      <c r="Y100" s="486"/>
      <c r="Z100" s="166">
        <v>17</v>
      </c>
      <c r="AA100" s="166">
        <v>1287.0000000000011</v>
      </c>
      <c r="AB100" s="166">
        <v>75.705882352941245</v>
      </c>
      <c r="AC100" s="180">
        <f t="shared" si="21"/>
        <v>14</v>
      </c>
      <c r="AD100" s="486"/>
      <c r="AE100" s="166">
        <v>17</v>
      </c>
      <c r="AF100" s="166">
        <v>1262.5714285714273</v>
      </c>
      <c r="AG100" s="166">
        <v>74.268907563025138</v>
      </c>
      <c r="AH100" s="180">
        <f t="shared" si="22"/>
        <v>13</v>
      </c>
      <c r="AI100" s="486"/>
      <c r="AJ100" s="166">
        <v>17</v>
      </c>
      <c r="AK100" s="166">
        <v>1319.9999999999986</v>
      </c>
      <c r="AL100" s="166">
        <v>77.647058823529335</v>
      </c>
      <c r="AM100" s="180">
        <f t="shared" si="23"/>
        <v>9</v>
      </c>
      <c r="AN100" s="486"/>
      <c r="AO100" s="166">
        <v>17</v>
      </c>
      <c r="AP100" s="166">
        <v>1269.7297297297289</v>
      </c>
      <c r="AQ100" s="166">
        <v>74.689984101748763</v>
      </c>
      <c r="AR100" s="180">
        <f t="shared" si="24"/>
        <v>11</v>
      </c>
      <c r="AS100" s="486"/>
      <c r="AT100" s="166">
        <v>17</v>
      </c>
      <c r="AU100" s="166">
        <v>1310.2941176470572</v>
      </c>
      <c r="AV100" s="166">
        <v>77.076124567473954</v>
      </c>
      <c r="AW100" s="180">
        <f t="shared" si="25"/>
        <v>9</v>
      </c>
      <c r="AX100" s="486"/>
    </row>
    <row r="101" spans="2:50">
      <c r="B101" s="479"/>
      <c r="C101" s="180">
        <v>25</v>
      </c>
      <c r="D101" s="201" t="s">
        <v>596</v>
      </c>
      <c r="E101" s="166">
        <v>19</v>
      </c>
      <c r="F101" s="180">
        <v>1385</v>
      </c>
      <c r="G101" s="265">
        <v>72.900000000000006</v>
      </c>
      <c r="H101" s="460"/>
      <c r="I101" s="166">
        <f t="shared" si="26"/>
        <v>19</v>
      </c>
      <c r="J101" s="166">
        <f t="shared" si="26"/>
        <v>1081.4892503389844</v>
      </c>
      <c r="K101" s="265">
        <f t="shared" si="26"/>
        <v>56.920486859946564</v>
      </c>
      <c r="L101" s="460"/>
      <c r="M101" s="272">
        <f>RANK(K101, K$77:$K$106)</f>
        <v>29</v>
      </c>
      <c r="N101" s="462"/>
      <c r="O101" s="462"/>
      <c r="P101" s="166">
        <v>19</v>
      </c>
      <c r="Q101" s="166">
        <v>1091.5789473684217</v>
      </c>
      <c r="R101" s="166">
        <v>57.451523545706408</v>
      </c>
      <c r="S101" s="180">
        <f t="shared" si="19"/>
        <v>29</v>
      </c>
      <c r="T101" s="486"/>
      <c r="U101" s="166">
        <v>19</v>
      </c>
      <c r="V101" s="166">
        <v>1053.3333333333326</v>
      </c>
      <c r="W101" s="166">
        <v>55.438596491228033</v>
      </c>
      <c r="X101" s="180">
        <f t="shared" si="20"/>
        <v>30</v>
      </c>
      <c r="Y101" s="486"/>
      <c r="Z101" s="166">
        <v>19</v>
      </c>
      <c r="AA101" s="166">
        <v>1099.1304347826076</v>
      </c>
      <c r="AB101" s="166">
        <v>57.848970251716189</v>
      </c>
      <c r="AC101" s="180">
        <f t="shared" si="21"/>
        <v>29</v>
      </c>
      <c r="AD101" s="486"/>
      <c r="AE101" s="166">
        <v>19</v>
      </c>
      <c r="AF101" s="166">
        <v>1067.1999999999994</v>
      </c>
      <c r="AG101" s="166">
        <v>56.168421052631544</v>
      </c>
      <c r="AH101" s="180">
        <f t="shared" si="22"/>
        <v>30</v>
      </c>
      <c r="AI101" s="486"/>
      <c r="AJ101" s="166">
        <v>19</v>
      </c>
      <c r="AK101" s="166">
        <v>1068.8372093023254</v>
      </c>
      <c r="AL101" s="166">
        <v>56.254589963280281</v>
      </c>
      <c r="AM101" s="180">
        <f t="shared" si="23"/>
        <v>28</v>
      </c>
      <c r="AN101" s="486"/>
      <c r="AO101" s="166">
        <v>19</v>
      </c>
      <c r="AP101" s="166">
        <v>1113.1034482758619</v>
      </c>
      <c r="AQ101" s="166">
        <v>58.584392014519047</v>
      </c>
      <c r="AR101" s="180">
        <f t="shared" si="24"/>
        <v>28</v>
      </c>
      <c r="AS101" s="486"/>
      <c r="AT101" s="166">
        <v>19</v>
      </c>
      <c r="AU101" s="166">
        <v>1077.2413793103447</v>
      </c>
      <c r="AV101" s="166">
        <v>56.696914700544454</v>
      </c>
      <c r="AW101" s="180">
        <f t="shared" si="25"/>
        <v>29</v>
      </c>
      <c r="AX101" s="486"/>
    </row>
    <row r="102" spans="2:50">
      <c r="B102" s="479"/>
      <c r="C102" s="180">
        <v>26</v>
      </c>
      <c r="D102" s="201" t="s">
        <v>597</v>
      </c>
      <c r="E102" s="166">
        <v>18</v>
      </c>
      <c r="F102" s="180">
        <v>1440</v>
      </c>
      <c r="G102" s="265">
        <v>80</v>
      </c>
      <c r="H102" s="460"/>
      <c r="I102" s="166">
        <f t="shared" si="26"/>
        <v>17.714285714285715</v>
      </c>
      <c r="J102" s="166">
        <f t="shared" si="26"/>
        <v>1268.4043726303596</v>
      </c>
      <c r="K102" s="265">
        <f t="shared" si="26"/>
        <v>71.666784277292308</v>
      </c>
      <c r="L102" s="460"/>
      <c r="M102" s="272">
        <f>RANK(K102, K$77:$K$106)</f>
        <v>20</v>
      </c>
      <c r="N102" s="462"/>
      <c r="O102" s="462"/>
      <c r="P102" s="166">
        <v>18</v>
      </c>
      <c r="Q102" s="166">
        <v>1244.5161290322562</v>
      </c>
      <c r="R102" s="166">
        <v>69.13978494623646</v>
      </c>
      <c r="S102" s="180">
        <f t="shared" si="19"/>
        <v>23</v>
      </c>
      <c r="T102" s="486"/>
      <c r="U102" s="166">
        <v>18</v>
      </c>
      <c r="V102" s="166">
        <v>1278.7499999999982</v>
      </c>
      <c r="W102" s="166">
        <v>71.041666666666572</v>
      </c>
      <c r="X102" s="180">
        <f t="shared" si="20"/>
        <v>22</v>
      </c>
      <c r="Y102" s="486"/>
      <c r="Z102" s="166">
        <v>18</v>
      </c>
      <c r="AA102" s="166">
        <v>1250.9090909090894</v>
      </c>
      <c r="AB102" s="166">
        <v>69.49494949494941</v>
      </c>
      <c r="AC102" s="180">
        <f t="shared" si="21"/>
        <v>22</v>
      </c>
      <c r="AD102" s="486"/>
      <c r="AE102" s="166">
        <v>18</v>
      </c>
      <c r="AF102" s="166">
        <v>1231.6666666666656</v>
      </c>
      <c r="AG102" s="166">
        <v>68.425925925925867</v>
      </c>
      <c r="AH102" s="180">
        <f t="shared" si="22"/>
        <v>22</v>
      </c>
      <c r="AI102" s="486"/>
      <c r="AJ102" s="166">
        <v>17</v>
      </c>
      <c r="AK102" s="166">
        <v>1272.6315789473674</v>
      </c>
      <c r="AL102" s="166">
        <v>74.860681114551028</v>
      </c>
      <c r="AM102" s="180">
        <f t="shared" si="23"/>
        <v>12</v>
      </c>
      <c r="AN102" s="486"/>
      <c r="AO102" s="166">
        <v>18</v>
      </c>
      <c r="AP102" s="166">
        <v>1302.8571428571418</v>
      </c>
      <c r="AQ102" s="166">
        <v>72.380952380952323</v>
      </c>
      <c r="AR102" s="180">
        <f t="shared" si="24"/>
        <v>17</v>
      </c>
      <c r="AS102" s="486"/>
      <c r="AT102" s="166">
        <v>17</v>
      </c>
      <c r="AU102" s="166">
        <v>1297.4999999999982</v>
      </c>
      <c r="AV102" s="166">
        <v>76.323529411764596</v>
      </c>
      <c r="AW102" s="180">
        <f t="shared" si="25"/>
        <v>10</v>
      </c>
      <c r="AX102" s="486"/>
    </row>
    <row r="103" spans="2:50">
      <c r="B103" s="479"/>
      <c r="C103" s="180">
        <v>27</v>
      </c>
      <c r="D103" s="201" t="s">
        <v>598</v>
      </c>
      <c r="E103" s="166">
        <v>16</v>
      </c>
      <c r="F103" s="180">
        <v>1440</v>
      </c>
      <c r="G103" s="265">
        <v>90</v>
      </c>
      <c r="H103" s="460"/>
      <c r="I103" s="166">
        <f t="shared" si="26"/>
        <v>15.571428571428571</v>
      </c>
      <c r="J103" s="166">
        <f t="shared" si="26"/>
        <v>1293.8662965461874</v>
      </c>
      <c r="K103" s="265">
        <f t="shared" si="26"/>
        <v>83.148627938067762</v>
      </c>
      <c r="L103" s="460"/>
      <c r="M103" s="272">
        <f>RANK(K103, K$77:$K$106)</f>
        <v>4</v>
      </c>
      <c r="N103" s="462"/>
      <c r="O103" s="462"/>
      <c r="P103" s="166">
        <v>15</v>
      </c>
      <c r="Q103" s="166">
        <v>1249.4117647058829</v>
      </c>
      <c r="R103" s="166">
        <v>83.294117647058854</v>
      </c>
      <c r="S103" s="180">
        <f t="shared" si="19"/>
        <v>6</v>
      </c>
      <c r="T103" s="486"/>
      <c r="U103" s="166">
        <v>15</v>
      </c>
      <c r="V103" s="166">
        <v>1279.3220338983062</v>
      </c>
      <c r="W103" s="166">
        <v>85.288135593220417</v>
      </c>
      <c r="X103" s="180">
        <f t="shared" si="20"/>
        <v>3</v>
      </c>
      <c r="Y103" s="486"/>
      <c r="Z103" s="166">
        <v>16</v>
      </c>
      <c r="AA103" s="166">
        <v>1313.4545454545464</v>
      </c>
      <c r="AB103" s="166">
        <v>82.09090909090915</v>
      </c>
      <c r="AC103" s="180">
        <f t="shared" si="21"/>
        <v>6</v>
      </c>
      <c r="AD103" s="486"/>
      <c r="AE103" s="166">
        <v>16</v>
      </c>
      <c r="AF103" s="166">
        <v>1292.4590163934438</v>
      </c>
      <c r="AG103" s="166">
        <v>80.778688524590237</v>
      </c>
      <c r="AH103" s="180">
        <f t="shared" si="22"/>
        <v>5</v>
      </c>
      <c r="AI103" s="486"/>
      <c r="AJ103" s="166">
        <v>15</v>
      </c>
      <c r="AK103" s="166">
        <v>1305.0000000000014</v>
      </c>
      <c r="AL103" s="166">
        <v>87.000000000000085</v>
      </c>
      <c r="AM103" s="180">
        <f t="shared" si="23"/>
        <v>3</v>
      </c>
      <c r="AN103" s="486"/>
      <c r="AO103" s="166">
        <v>16</v>
      </c>
      <c r="AP103" s="166">
        <v>1309.8305084745775</v>
      </c>
      <c r="AQ103" s="166">
        <v>81.864406779661095</v>
      </c>
      <c r="AR103" s="180">
        <f t="shared" si="24"/>
        <v>5</v>
      </c>
      <c r="AS103" s="486"/>
      <c r="AT103" s="166">
        <v>16</v>
      </c>
      <c r="AU103" s="166">
        <v>1307.5862068965528</v>
      </c>
      <c r="AV103" s="166">
        <v>81.724137931034548</v>
      </c>
      <c r="AW103" s="180">
        <f t="shared" si="25"/>
        <v>5</v>
      </c>
      <c r="AX103" s="486"/>
    </row>
    <row r="104" spans="2:50">
      <c r="B104" s="479"/>
      <c r="C104" s="180">
        <v>28</v>
      </c>
      <c r="D104" s="201" t="s">
        <v>670</v>
      </c>
      <c r="E104" s="166">
        <v>21</v>
      </c>
      <c r="F104" s="180">
        <v>1500</v>
      </c>
      <c r="G104" s="265">
        <v>71.400000000000006</v>
      </c>
      <c r="H104" s="460"/>
      <c r="I104" s="166">
        <f t="shared" si="26"/>
        <v>20</v>
      </c>
      <c r="J104" s="166">
        <f t="shared" si="26"/>
        <v>1155.7735960550715</v>
      </c>
      <c r="K104" s="265">
        <f t="shared" si="26"/>
        <v>57.788679802753585</v>
      </c>
      <c r="L104" s="460"/>
      <c r="M104" s="272">
        <f>RANK(K104, K$77:$K$106)</f>
        <v>28</v>
      </c>
      <c r="N104" s="462"/>
      <c r="O104" s="462"/>
      <c r="P104" s="166">
        <v>20</v>
      </c>
      <c r="Q104" s="166">
        <v>1175.6250000000014</v>
      </c>
      <c r="R104" s="166">
        <v>58.781250000000071</v>
      </c>
      <c r="S104" s="180">
        <f t="shared" si="19"/>
        <v>28</v>
      </c>
      <c r="T104" s="486"/>
      <c r="U104" s="166">
        <v>20</v>
      </c>
      <c r="V104" s="166">
        <v>1202.857142857144</v>
      </c>
      <c r="W104" s="166">
        <v>60.142857142857203</v>
      </c>
      <c r="X104" s="180">
        <f t="shared" si="20"/>
        <v>28</v>
      </c>
      <c r="Y104" s="486"/>
      <c r="Z104" s="166">
        <v>20</v>
      </c>
      <c r="AA104" s="166">
        <v>1176.5625000000005</v>
      </c>
      <c r="AB104" s="166">
        <v>58.828125000000021</v>
      </c>
      <c r="AC104" s="180">
        <f t="shared" si="21"/>
        <v>28</v>
      </c>
      <c r="AD104" s="486"/>
      <c r="AE104" s="166">
        <v>20</v>
      </c>
      <c r="AF104" s="166">
        <v>1152.7272727272739</v>
      </c>
      <c r="AG104" s="166">
        <v>57.636363636363697</v>
      </c>
      <c r="AH104" s="180">
        <f t="shared" si="22"/>
        <v>29</v>
      </c>
      <c r="AI104" s="486"/>
      <c r="AJ104" s="166">
        <v>20</v>
      </c>
      <c r="AK104" s="166">
        <v>1116.1643835616442</v>
      </c>
      <c r="AL104" s="166">
        <v>55.808219178082211</v>
      </c>
      <c r="AM104" s="180">
        <f t="shared" si="23"/>
        <v>29</v>
      </c>
      <c r="AN104" s="486"/>
      <c r="AO104" s="166">
        <v>20</v>
      </c>
      <c r="AP104" s="166">
        <v>1134.0845070422536</v>
      </c>
      <c r="AQ104" s="166">
        <v>56.70422535211268</v>
      </c>
      <c r="AR104" s="180">
        <f t="shared" si="24"/>
        <v>29</v>
      </c>
      <c r="AS104" s="486"/>
      <c r="AT104" s="166">
        <v>20</v>
      </c>
      <c r="AU104" s="166">
        <v>1132.3943661971834</v>
      </c>
      <c r="AV104" s="166">
        <v>56.619718309859174</v>
      </c>
      <c r="AW104" s="180">
        <f t="shared" si="25"/>
        <v>30</v>
      </c>
      <c r="AX104" s="486"/>
    </row>
    <row r="105" spans="2:50">
      <c r="B105" s="479"/>
      <c r="C105" s="180">
        <v>29</v>
      </c>
      <c r="D105" s="201" t="s">
        <v>671</v>
      </c>
      <c r="E105" s="166">
        <v>19</v>
      </c>
      <c r="F105" s="180">
        <v>1440</v>
      </c>
      <c r="G105" s="265">
        <v>75.8</v>
      </c>
      <c r="H105" s="460"/>
      <c r="I105" s="166">
        <f t="shared" si="26"/>
        <v>17.714285714285715</v>
      </c>
      <c r="J105" s="166">
        <f t="shared" si="26"/>
        <v>1281.3176211453203</v>
      </c>
      <c r="K105" s="265">
        <f t="shared" si="26"/>
        <v>72.381906077466141</v>
      </c>
      <c r="L105" s="460"/>
      <c r="M105" s="272">
        <f>RANK(K105, K$77:$K$106)</f>
        <v>17</v>
      </c>
      <c r="N105" s="462"/>
      <c r="O105" s="462"/>
      <c r="P105" s="166">
        <v>18</v>
      </c>
      <c r="Q105" s="166">
        <v>1279.2452830188686</v>
      </c>
      <c r="R105" s="166">
        <v>71.06918238993714</v>
      </c>
      <c r="S105" s="180">
        <f t="shared" si="19"/>
        <v>18</v>
      </c>
      <c r="T105" s="486"/>
      <c r="U105" s="166">
        <v>17</v>
      </c>
      <c r="V105" s="166">
        <v>1277.7049180327881</v>
      </c>
      <c r="W105" s="166">
        <v>75.159112825458124</v>
      </c>
      <c r="X105" s="180">
        <f t="shared" si="20"/>
        <v>14</v>
      </c>
      <c r="Y105" s="486"/>
      <c r="Z105" s="166">
        <v>17</v>
      </c>
      <c r="AA105" s="166">
        <v>1287.5409836065585</v>
      </c>
      <c r="AB105" s="166">
        <v>75.737704918032847</v>
      </c>
      <c r="AC105" s="180">
        <f t="shared" si="21"/>
        <v>13</v>
      </c>
      <c r="AD105" s="486"/>
      <c r="AE105" s="166">
        <v>18</v>
      </c>
      <c r="AF105" s="166">
        <v>1291.3846153846168</v>
      </c>
      <c r="AG105" s="166">
        <v>71.743589743589823</v>
      </c>
      <c r="AH105" s="180">
        <f t="shared" si="22"/>
        <v>17</v>
      </c>
      <c r="AI105" s="486"/>
      <c r="AJ105" s="166">
        <v>18</v>
      </c>
      <c r="AK105" s="166">
        <v>1268.5714285714273</v>
      </c>
      <c r="AL105" s="166">
        <v>70.476190476190411</v>
      </c>
      <c r="AM105" s="180">
        <f t="shared" si="23"/>
        <v>22</v>
      </c>
      <c r="AN105" s="486"/>
      <c r="AO105" s="166">
        <v>18</v>
      </c>
      <c r="AP105" s="166">
        <v>1309.253731343282</v>
      </c>
      <c r="AQ105" s="166">
        <v>72.736318407960113</v>
      </c>
      <c r="AR105" s="180">
        <f t="shared" si="24"/>
        <v>16</v>
      </c>
      <c r="AS105" s="486"/>
      <c r="AT105" s="166">
        <v>18</v>
      </c>
      <c r="AU105" s="166">
        <v>1255.5223880597</v>
      </c>
      <c r="AV105" s="166">
        <v>69.751243781094445</v>
      </c>
      <c r="AW105" s="180">
        <f t="shared" si="25"/>
        <v>24</v>
      </c>
      <c r="AX105" s="486"/>
    </row>
    <row r="106" spans="2:50">
      <c r="B106" s="479"/>
      <c r="C106" s="180">
        <v>30</v>
      </c>
      <c r="D106" s="201" t="s">
        <v>672</v>
      </c>
      <c r="E106" s="166">
        <v>20</v>
      </c>
      <c r="F106" s="180">
        <v>1500</v>
      </c>
      <c r="G106" s="265">
        <v>75</v>
      </c>
      <c r="H106" s="461"/>
      <c r="I106" s="166">
        <f t="shared" si="26"/>
        <v>19.857142857142858</v>
      </c>
      <c r="J106" s="166">
        <f t="shared" si="26"/>
        <v>1269.2632957105009</v>
      </c>
      <c r="K106" s="265">
        <f t="shared" si="26"/>
        <v>63.935981442552226</v>
      </c>
      <c r="L106" s="461"/>
      <c r="M106" s="272">
        <f>RANK(K106, K$77:$K$106)</f>
        <v>27</v>
      </c>
      <c r="N106" s="462"/>
      <c r="O106" s="462"/>
      <c r="P106" s="166">
        <v>20</v>
      </c>
      <c r="Q106" s="166">
        <v>1269.1304347826085</v>
      </c>
      <c r="R106" s="166">
        <v>63.456521739130423</v>
      </c>
      <c r="S106" s="180">
        <f t="shared" si="19"/>
        <v>27</v>
      </c>
      <c r="T106" s="486"/>
      <c r="U106" s="166">
        <v>20</v>
      </c>
      <c r="V106" s="166">
        <v>1268.1818181818182</v>
      </c>
      <c r="W106" s="166">
        <v>63.409090909090914</v>
      </c>
      <c r="X106" s="180">
        <f t="shared" si="20"/>
        <v>27</v>
      </c>
      <c r="Y106" s="486"/>
      <c r="Z106" s="166">
        <v>20</v>
      </c>
      <c r="AA106" s="166">
        <v>1288.695652173913</v>
      </c>
      <c r="AB106" s="166">
        <v>64.434782608695656</v>
      </c>
      <c r="AC106" s="180">
        <f t="shared" si="21"/>
        <v>27</v>
      </c>
      <c r="AD106" s="486"/>
      <c r="AE106" s="166">
        <v>20</v>
      </c>
      <c r="AF106" s="166">
        <v>1277.3333333333333</v>
      </c>
      <c r="AG106" s="166">
        <v>63.86666666666666</v>
      </c>
      <c r="AH106" s="180">
        <f t="shared" si="22"/>
        <v>26</v>
      </c>
      <c r="AI106" s="486"/>
      <c r="AJ106" s="166">
        <v>19</v>
      </c>
      <c r="AK106" s="166">
        <v>1257.6923076923085</v>
      </c>
      <c r="AL106" s="166">
        <v>66.194331983805711</v>
      </c>
      <c r="AM106" s="180">
        <f t="shared" si="23"/>
        <v>26</v>
      </c>
      <c r="AN106" s="486"/>
      <c r="AO106" s="166">
        <v>20</v>
      </c>
      <c r="AP106" s="166">
        <v>1277.1428571428576</v>
      </c>
      <c r="AQ106" s="166">
        <v>63.857142857142875</v>
      </c>
      <c r="AR106" s="180">
        <f t="shared" si="24"/>
        <v>27</v>
      </c>
      <c r="AS106" s="486"/>
      <c r="AT106" s="166">
        <v>20</v>
      </c>
      <c r="AU106" s="166">
        <v>1246.6666666666667</v>
      </c>
      <c r="AV106" s="166">
        <v>62.333333333333336</v>
      </c>
      <c r="AW106" s="180">
        <f t="shared" si="25"/>
        <v>27</v>
      </c>
      <c r="AX106" s="486"/>
    </row>
    <row r="107" spans="2:50" ht="15.75">
      <c r="B107" s="480" t="s">
        <v>721</v>
      </c>
      <c r="C107" s="481"/>
      <c r="D107" s="481"/>
      <c r="E107" s="481"/>
      <c r="F107" s="481"/>
      <c r="G107" s="481"/>
      <c r="H107" s="481"/>
      <c r="I107" s="184"/>
      <c r="J107" s="184"/>
      <c r="K107" s="184"/>
      <c r="L107" s="184"/>
      <c r="M107" s="183"/>
      <c r="N107" s="469" t="s">
        <v>722</v>
      </c>
      <c r="O107" s="469" t="s">
        <v>723</v>
      </c>
      <c r="P107" s="478">
        <f>P72+7</f>
        <v>46070</v>
      </c>
      <c r="Q107" s="479"/>
      <c r="R107" s="479"/>
      <c r="S107" s="479"/>
      <c r="T107" s="479"/>
      <c r="U107" s="475">
        <f>P107+1</f>
        <v>46071</v>
      </c>
      <c r="V107" s="476"/>
      <c r="W107" s="476"/>
      <c r="X107" s="476"/>
      <c r="Y107" s="477"/>
      <c r="Z107" s="475">
        <f>U107+1</f>
        <v>46072</v>
      </c>
      <c r="AA107" s="476"/>
      <c r="AB107" s="476"/>
      <c r="AC107" s="476"/>
      <c r="AD107" s="477"/>
      <c r="AE107" s="475">
        <f>Z107+1</f>
        <v>46073</v>
      </c>
      <c r="AF107" s="476"/>
      <c r="AG107" s="476"/>
      <c r="AH107" s="476"/>
      <c r="AI107" s="477"/>
      <c r="AJ107" s="475">
        <f>AE107+1</f>
        <v>46074</v>
      </c>
      <c r="AK107" s="476"/>
      <c r="AL107" s="476"/>
      <c r="AM107" s="476"/>
      <c r="AN107" s="477"/>
      <c r="AO107" s="475">
        <f>AJ107+1</f>
        <v>46075</v>
      </c>
      <c r="AP107" s="476"/>
      <c r="AQ107" s="476"/>
      <c r="AR107" s="476"/>
      <c r="AS107" s="477"/>
      <c r="AT107" s="475">
        <f>AO107+1</f>
        <v>46076</v>
      </c>
      <c r="AU107" s="476"/>
      <c r="AV107" s="476"/>
      <c r="AW107" s="476"/>
      <c r="AX107" s="477"/>
    </row>
    <row r="108" spans="2:50" ht="15.75">
      <c r="B108" s="482"/>
      <c r="C108" s="482"/>
      <c r="D108" s="482"/>
      <c r="E108" s="482"/>
      <c r="F108" s="482"/>
      <c r="G108" s="482"/>
      <c r="H108" s="482"/>
      <c r="I108" s="182"/>
      <c r="J108" s="182"/>
      <c r="K108" s="182"/>
      <c r="L108" s="182"/>
      <c r="M108" s="179"/>
      <c r="N108" s="471"/>
      <c r="O108" s="471"/>
      <c r="P108" s="478" t="s">
        <v>724</v>
      </c>
      <c r="Q108" s="479"/>
      <c r="R108" s="479"/>
      <c r="S108" s="479"/>
      <c r="T108" s="479"/>
      <c r="U108" s="478" t="s">
        <v>725</v>
      </c>
      <c r="V108" s="479"/>
      <c r="W108" s="479"/>
      <c r="X108" s="479"/>
      <c r="Y108" s="479"/>
      <c r="Z108" s="478" t="s">
        <v>726</v>
      </c>
      <c r="AA108" s="479"/>
      <c r="AB108" s="479"/>
      <c r="AC108" s="479"/>
      <c r="AD108" s="479"/>
      <c r="AE108" s="478" t="s">
        <v>727</v>
      </c>
      <c r="AF108" s="479"/>
      <c r="AG108" s="479"/>
      <c r="AH108" s="479"/>
      <c r="AI108" s="479"/>
      <c r="AJ108" s="478" t="s">
        <v>728</v>
      </c>
      <c r="AK108" s="479"/>
      <c r="AL108" s="479"/>
      <c r="AM108" s="479"/>
      <c r="AN108" s="479"/>
      <c r="AO108" s="478" t="s">
        <v>729</v>
      </c>
      <c r="AP108" s="479"/>
      <c r="AQ108" s="479"/>
      <c r="AR108" s="479"/>
      <c r="AS108" s="479"/>
      <c r="AT108" s="478" t="s">
        <v>730</v>
      </c>
      <c r="AU108" s="479"/>
      <c r="AV108" s="479"/>
      <c r="AW108" s="479"/>
      <c r="AX108" s="479"/>
    </row>
    <row r="109" spans="2:50">
      <c r="B109" s="462" t="s">
        <v>731</v>
      </c>
      <c r="C109" s="462" t="s">
        <v>732</v>
      </c>
      <c r="D109" s="462"/>
      <c r="E109" s="462" t="s">
        <v>733</v>
      </c>
      <c r="F109" s="462"/>
      <c r="G109" s="462"/>
      <c r="H109" s="463" t="s">
        <v>734</v>
      </c>
      <c r="I109" s="462" t="s">
        <v>735</v>
      </c>
      <c r="J109" s="462"/>
      <c r="K109" s="462"/>
      <c r="L109" s="463" t="s">
        <v>734</v>
      </c>
      <c r="M109" s="469" t="s">
        <v>736</v>
      </c>
      <c r="N109" s="462"/>
      <c r="O109" s="462" t="s">
        <v>737</v>
      </c>
      <c r="P109" s="466" t="s">
        <v>738</v>
      </c>
      <c r="Q109" s="467"/>
      <c r="R109" s="467"/>
      <c r="S109" s="468"/>
      <c r="T109" s="462" t="s">
        <v>734</v>
      </c>
      <c r="U109" s="466" t="s">
        <v>738</v>
      </c>
      <c r="V109" s="467"/>
      <c r="W109" s="467"/>
      <c r="X109" s="468"/>
      <c r="Y109" s="462" t="s">
        <v>734</v>
      </c>
      <c r="Z109" s="466" t="s">
        <v>738</v>
      </c>
      <c r="AA109" s="467"/>
      <c r="AB109" s="467"/>
      <c r="AC109" s="468"/>
      <c r="AD109" s="462" t="s">
        <v>734</v>
      </c>
      <c r="AE109" s="466" t="s">
        <v>738</v>
      </c>
      <c r="AF109" s="467"/>
      <c r="AG109" s="467"/>
      <c r="AH109" s="468"/>
      <c r="AI109" s="462" t="s">
        <v>734</v>
      </c>
      <c r="AJ109" s="466" t="s">
        <v>738</v>
      </c>
      <c r="AK109" s="467"/>
      <c r="AL109" s="467"/>
      <c r="AM109" s="468"/>
      <c r="AN109" s="462" t="s">
        <v>734</v>
      </c>
      <c r="AO109" s="466" t="s">
        <v>738</v>
      </c>
      <c r="AP109" s="467"/>
      <c r="AQ109" s="467"/>
      <c r="AR109" s="468"/>
      <c r="AS109" s="462" t="s">
        <v>734</v>
      </c>
      <c r="AT109" s="466" t="s">
        <v>738</v>
      </c>
      <c r="AU109" s="467"/>
      <c r="AV109" s="467"/>
      <c r="AW109" s="468"/>
      <c r="AX109" s="462" t="s">
        <v>734</v>
      </c>
    </row>
    <row r="110" spans="2:50">
      <c r="B110" s="462"/>
      <c r="C110" s="462"/>
      <c r="D110" s="462"/>
      <c r="E110" s="462" t="s">
        <v>739</v>
      </c>
      <c r="F110" s="462"/>
      <c r="G110" s="462"/>
      <c r="H110" s="464"/>
      <c r="I110" s="462" t="s">
        <v>739</v>
      </c>
      <c r="J110" s="462"/>
      <c r="K110" s="462"/>
      <c r="L110" s="464"/>
      <c r="M110" s="470"/>
      <c r="N110" s="462"/>
      <c r="O110" s="462"/>
      <c r="P110" s="466" t="s">
        <v>740</v>
      </c>
      <c r="Q110" s="467"/>
      <c r="R110" s="467"/>
      <c r="S110" s="468"/>
      <c r="T110" s="462"/>
      <c r="U110" s="466" t="s">
        <v>740</v>
      </c>
      <c r="V110" s="467"/>
      <c r="W110" s="467"/>
      <c r="X110" s="468"/>
      <c r="Y110" s="462"/>
      <c r="Z110" s="466" t="s">
        <v>740</v>
      </c>
      <c r="AA110" s="467"/>
      <c r="AB110" s="467"/>
      <c r="AC110" s="468"/>
      <c r="AD110" s="462"/>
      <c r="AE110" s="466" t="s">
        <v>740</v>
      </c>
      <c r="AF110" s="467"/>
      <c r="AG110" s="467"/>
      <c r="AH110" s="468"/>
      <c r="AI110" s="462"/>
      <c r="AJ110" s="466" t="s">
        <v>740</v>
      </c>
      <c r="AK110" s="467"/>
      <c r="AL110" s="467"/>
      <c r="AM110" s="468"/>
      <c r="AN110" s="462"/>
      <c r="AO110" s="466" t="s">
        <v>740</v>
      </c>
      <c r="AP110" s="467"/>
      <c r="AQ110" s="467"/>
      <c r="AR110" s="468"/>
      <c r="AS110" s="462"/>
      <c r="AT110" s="466" t="s">
        <v>740</v>
      </c>
      <c r="AU110" s="467"/>
      <c r="AV110" s="467"/>
      <c r="AW110" s="468"/>
      <c r="AX110" s="462"/>
    </row>
    <row r="111" spans="2:50">
      <c r="B111" s="462"/>
      <c r="C111" s="462"/>
      <c r="D111" s="462"/>
      <c r="E111" s="264" t="s">
        <v>741</v>
      </c>
      <c r="F111" s="264" t="s">
        <v>742</v>
      </c>
      <c r="G111" s="264" t="s">
        <v>743</v>
      </c>
      <c r="H111" s="465"/>
      <c r="I111" s="264" t="s">
        <v>741</v>
      </c>
      <c r="J111" s="264" t="s">
        <v>742</v>
      </c>
      <c r="K111" s="264" t="s">
        <v>743</v>
      </c>
      <c r="L111" s="465"/>
      <c r="M111" s="471"/>
      <c r="N111" s="462"/>
      <c r="O111" s="462"/>
      <c r="P111" s="264" t="s">
        <v>741</v>
      </c>
      <c r="Q111" s="264" t="s">
        <v>742</v>
      </c>
      <c r="R111" s="264" t="s">
        <v>743</v>
      </c>
      <c r="S111" s="264" t="s">
        <v>736</v>
      </c>
      <c r="T111" s="462"/>
      <c r="U111" s="264" t="s">
        <v>741</v>
      </c>
      <c r="V111" s="264" t="s">
        <v>742</v>
      </c>
      <c r="W111" s="264" t="s">
        <v>743</v>
      </c>
      <c r="X111" s="264" t="s">
        <v>736</v>
      </c>
      <c r="Y111" s="462"/>
      <c r="Z111" s="264" t="s">
        <v>741</v>
      </c>
      <c r="AA111" s="264" t="s">
        <v>742</v>
      </c>
      <c r="AB111" s="264" t="s">
        <v>743</v>
      </c>
      <c r="AC111" s="264" t="s">
        <v>736</v>
      </c>
      <c r="AD111" s="462"/>
      <c r="AE111" s="264" t="s">
        <v>741</v>
      </c>
      <c r="AF111" s="264" t="s">
        <v>742</v>
      </c>
      <c r="AG111" s="264" t="s">
        <v>743</v>
      </c>
      <c r="AH111" s="264" t="s">
        <v>736</v>
      </c>
      <c r="AI111" s="462"/>
      <c r="AJ111" s="264" t="s">
        <v>741</v>
      </c>
      <c r="AK111" s="264" t="s">
        <v>742</v>
      </c>
      <c r="AL111" s="264" t="s">
        <v>743</v>
      </c>
      <c r="AM111" s="264" t="s">
        <v>736</v>
      </c>
      <c r="AN111" s="462"/>
      <c r="AO111" s="264" t="s">
        <v>741</v>
      </c>
      <c r="AP111" s="264" t="s">
        <v>742</v>
      </c>
      <c r="AQ111" s="264" t="s">
        <v>743</v>
      </c>
      <c r="AR111" s="264" t="s">
        <v>736</v>
      </c>
      <c r="AS111" s="462"/>
      <c r="AT111" s="264" t="s">
        <v>741</v>
      </c>
      <c r="AU111" s="264" t="s">
        <v>742</v>
      </c>
      <c r="AV111" s="264" t="s">
        <v>743</v>
      </c>
      <c r="AW111" s="264" t="s">
        <v>736</v>
      </c>
      <c r="AX111" s="462"/>
    </row>
    <row r="112" spans="2:50">
      <c r="B112" s="462" t="s">
        <v>753</v>
      </c>
      <c r="C112" s="180">
        <v>1</v>
      </c>
      <c r="D112" s="201" t="s">
        <v>362</v>
      </c>
      <c r="E112" s="166">
        <v>6</v>
      </c>
      <c r="F112" s="180">
        <v>1500</v>
      </c>
      <c r="G112" s="265">
        <v>250</v>
      </c>
      <c r="H112" s="459">
        <f>AVERAGE(G112:G141)</f>
        <v>96.221666666666707</v>
      </c>
      <c r="I112" s="166">
        <f>AVERAGE(P112,U112,Z112,AE112,AJ112,AO112,AT112)</f>
        <v>6.1428571428571432</v>
      </c>
      <c r="J112" s="166">
        <f>AVERAGE(Q112,V112,AA112,AF112,AK112,AP112,AU112)</f>
        <v>1391.1319993957513</v>
      </c>
      <c r="K112" s="265">
        <f>AVERAGE(R112,W112,AB112,AG112,AL112,AQ112,AV112)</f>
        <v>227.03290332608313</v>
      </c>
      <c r="L112" s="459">
        <f>IFERROR(AVERAGE(K112:K141),"-")</f>
        <v>84.585881268581105</v>
      </c>
      <c r="M112" s="272">
        <f>RANK(K112, K$112:$K$141)</f>
        <v>1</v>
      </c>
      <c r="N112" s="462"/>
      <c r="O112" s="462"/>
      <c r="P112" s="166">
        <v>7</v>
      </c>
      <c r="Q112" s="166">
        <v>1417.7943925233644</v>
      </c>
      <c r="R112" s="166">
        <v>202.54205607476635</v>
      </c>
      <c r="S112" s="180">
        <f>RANK(R112, R$112:R$141)</f>
        <v>2</v>
      </c>
      <c r="T112" s="486">
        <f>AVERAGE(R112:R141)</f>
        <v>81.875460691715944</v>
      </c>
      <c r="U112" s="166">
        <v>6</v>
      </c>
      <c r="V112" s="166">
        <v>1384.6212121212118</v>
      </c>
      <c r="W112" s="166">
        <v>230.77020202020196</v>
      </c>
      <c r="X112" s="180">
        <f>RANK(W112, W$112:W$141)</f>
        <v>1</v>
      </c>
      <c r="Y112" s="486">
        <f>AVERAGE(W112:W141)</f>
        <v>83.27577880872181</v>
      </c>
      <c r="Z112" s="166">
        <v>6</v>
      </c>
      <c r="AA112" s="166">
        <v>1410.355670103093</v>
      </c>
      <c r="AB112" s="166">
        <v>235.05927835051548</v>
      </c>
      <c r="AC112" s="180">
        <f>RANK(AB112, AB$112:AB$141)</f>
        <v>1</v>
      </c>
      <c r="AD112" s="486">
        <f>AVERAGE(AB112:AB141)</f>
        <v>83.254915784642577</v>
      </c>
      <c r="AE112" s="166">
        <v>6</v>
      </c>
      <c r="AF112" s="166">
        <v>1340.0799999999995</v>
      </c>
      <c r="AG112" s="166">
        <v>223.34666666666658</v>
      </c>
      <c r="AH112" s="180">
        <f>RANK(AG112, AG$112:AG$141)</f>
        <v>1</v>
      </c>
      <c r="AI112" s="486">
        <f>AVERAGE(AG112:AG141)</f>
        <v>82.510929216976777</v>
      </c>
      <c r="AJ112" s="166">
        <v>6</v>
      </c>
      <c r="AK112" s="166">
        <v>1403.8642533936654</v>
      </c>
      <c r="AL112" s="166">
        <v>233.97737556561091</v>
      </c>
      <c r="AM112" s="180">
        <f>RANK(AL112, AL$112:AL$141)</f>
        <v>1</v>
      </c>
      <c r="AN112" s="486">
        <f>AVERAGE(AL112:AL141)</f>
        <v>81.752525772406699</v>
      </c>
      <c r="AO112" s="166">
        <v>6</v>
      </c>
      <c r="AP112" s="166">
        <v>1372.1367187500002</v>
      </c>
      <c r="AQ112" s="166">
        <v>228.68945312500003</v>
      </c>
      <c r="AR112" s="180">
        <f>RANK(AQ112, AQ$112:AQ$141)</f>
        <v>1</v>
      </c>
      <c r="AS112" s="486">
        <f>AVERAGE(AQ112:AQ141)</f>
        <v>82.833500487895293</v>
      </c>
      <c r="AT112" s="166">
        <v>6</v>
      </c>
      <c r="AU112" s="166">
        <v>1409.0717488789242</v>
      </c>
      <c r="AV112" s="166">
        <v>234.8452914798207</v>
      </c>
      <c r="AW112" s="180">
        <f>RANK(AV112, AV$112:AV$141)</f>
        <v>1</v>
      </c>
      <c r="AX112" s="486">
        <f>AVERAGE(AV112:AV141)</f>
        <v>82.233744991776788</v>
      </c>
    </row>
    <row r="113" spans="2:50">
      <c r="B113" s="479"/>
      <c r="C113" s="180">
        <v>2</v>
      </c>
      <c r="D113" s="201" t="s">
        <v>382</v>
      </c>
      <c r="E113" s="166">
        <v>7</v>
      </c>
      <c r="F113" s="180">
        <v>1500</v>
      </c>
      <c r="G113" s="265">
        <v>272.7</v>
      </c>
      <c r="H113" s="460"/>
      <c r="I113" s="166">
        <f t="shared" ref="I113:K135" si="27">AVERAGE(P113,U113,Z113,AE113,AJ113,AO113,AT113)</f>
        <v>7</v>
      </c>
      <c r="J113" s="166">
        <f t="shared" si="27"/>
        <v>1459.8614954500704</v>
      </c>
      <c r="K113" s="265">
        <f t="shared" si="27"/>
        <v>208.55164220715298</v>
      </c>
      <c r="L113" s="460"/>
      <c r="M113" s="272">
        <f>RANK(K113, K$112:$K$141)</f>
        <v>2</v>
      </c>
      <c r="N113" s="462"/>
      <c r="O113" s="462"/>
      <c r="P113" s="166">
        <v>7</v>
      </c>
      <c r="Q113" s="166">
        <v>1466.5979381443303</v>
      </c>
      <c r="R113" s="166">
        <v>209.51399116347577</v>
      </c>
      <c r="S113" s="180">
        <f t="shared" ref="S113:S141" si="28">RANK(R113, R$112:R$141)</f>
        <v>1</v>
      </c>
      <c r="T113" s="486"/>
      <c r="U113" s="166">
        <v>7</v>
      </c>
      <c r="V113" s="166">
        <v>1490.8695652173915</v>
      </c>
      <c r="W113" s="166">
        <v>212.98136645962737</v>
      </c>
      <c r="X113" s="180">
        <f t="shared" ref="X113:X141" si="29">RANK(W113, W$112:W$141)</f>
        <v>2</v>
      </c>
      <c r="Y113" s="486"/>
      <c r="Z113" s="166">
        <v>7</v>
      </c>
      <c r="AA113" s="166">
        <v>1496.0439560439561</v>
      </c>
      <c r="AB113" s="166">
        <v>213.72056514913658</v>
      </c>
      <c r="AC113" s="180">
        <f t="shared" ref="AC113:AC141" si="30">RANK(AB113, AB$112:AB$141)</f>
        <v>2</v>
      </c>
      <c r="AD113" s="486"/>
      <c r="AE113" s="166">
        <v>7</v>
      </c>
      <c r="AF113" s="166">
        <v>1423.2258064516129</v>
      </c>
      <c r="AG113" s="166">
        <v>203.31797235023041</v>
      </c>
      <c r="AH113" s="180">
        <f t="shared" ref="AH113:AH141" si="31">RANK(AG113, AG$112:AG$141)</f>
        <v>2</v>
      </c>
      <c r="AI113" s="486"/>
      <c r="AJ113" s="166">
        <v>7</v>
      </c>
      <c r="AK113" s="166">
        <v>1441.2121212121217</v>
      </c>
      <c r="AL113" s="166">
        <v>205.88744588744595</v>
      </c>
      <c r="AM113" s="180">
        <f t="shared" ref="AM113:AM141" si="32">RANK(AL113, AL$112:AL$141)</f>
        <v>2</v>
      </c>
      <c r="AN113" s="486"/>
      <c r="AO113" s="166">
        <v>7</v>
      </c>
      <c r="AP113" s="166">
        <v>1441.081081081081</v>
      </c>
      <c r="AQ113" s="166">
        <v>205.86872586872587</v>
      </c>
      <c r="AR113" s="180">
        <f t="shared" ref="AR113:AR141" si="33">RANK(AQ113, AQ$112:AQ$141)</f>
        <v>2</v>
      </c>
      <c r="AS113" s="486"/>
      <c r="AT113" s="166">
        <v>7</v>
      </c>
      <c r="AU113" s="166">
        <v>1460.0000000000005</v>
      </c>
      <c r="AV113" s="166">
        <v>208.57142857142864</v>
      </c>
      <c r="AW113" s="180">
        <f t="shared" ref="AW113:AW141" si="34">RANK(AV113, AV$112:AV$141)</f>
        <v>2</v>
      </c>
      <c r="AX113" s="486"/>
    </row>
    <row r="114" spans="2:50">
      <c r="B114" s="479"/>
      <c r="C114" s="180">
        <v>3</v>
      </c>
      <c r="D114" s="201" t="s">
        <v>363</v>
      </c>
      <c r="E114" s="166">
        <v>18</v>
      </c>
      <c r="F114" s="180">
        <v>1500</v>
      </c>
      <c r="G114" s="265">
        <v>75</v>
      </c>
      <c r="H114" s="460"/>
      <c r="I114" s="166">
        <f t="shared" si="27"/>
        <v>18</v>
      </c>
      <c r="J114" s="166">
        <f t="shared" si="27"/>
        <v>1323.1097770673255</v>
      </c>
      <c r="K114" s="265">
        <f t="shared" si="27"/>
        <v>73.506098725962516</v>
      </c>
      <c r="L114" s="460"/>
      <c r="M114" s="272">
        <f>RANK(K114, K$112:$K$141)</f>
        <v>16</v>
      </c>
      <c r="N114" s="462"/>
      <c r="O114" s="462"/>
      <c r="P114" s="166">
        <v>18</v>
      </c>
      <c r="Q114" s="166">
        <v>1332.4137931034475</v>
      </c>
      <c r="R114" s="166">
        <v>74.02298850574708</v>
      </c>
      <c r="S114" s="180">
        <f t="shared" si="28"/>
        <v>16</v>
      </c>
      <c r="T114" s="486"/>
      <c r="U114" s="166">
        <v>18</v>
      </c>
      <c r="V114" s="166">
        <v>1325.3571428571418</v>
      </c>
      <c r="W114" s="166">
        <v>73.630952380952323</v>
      </c>
      <c r="X114" s="180">
        <f t="shared" si="29"/>
        <v>17</v>
      </c>
      <c r="Y114" s="486"/>
      <c r="Z114" s="166">
        <v>18</v>
      </c>
      <c r="AA114" s="166">
        <v>1302.4137931034475</v>
      </c>
      <c r="AB114" s="166">
        <v>72.356321839080408</v>
      </c>
      <c r="AC114" s="180">
        <f t="shared" si="30"/>
        <v>22</v>
      </c>
      <c r="AD114" s="486"/>
      <c r="AE114" s="166">
        <v>18</v>
      </c>
      <c r="AF114" s="166">
        <v>1296.9230769230796</v>
      </c>
      <c r="AG114" s="166">
        <v>72.0512820512822</v>
      </c>
      <c r="AH114" s="180">
        <f t="shared" si="31"/>
        <v>18</v>
      </c>
      <c r="AI114" s="486"/>
      <c r="AJ114" s="166">
        <v>18</v>
      </c>
      <c r="AK114" s="166">
        <v>1318.2352941176468</v>
      </c>
      <c r="AL114" s="166">
        <v>73.235294117647044</v>
      </c>
      <c r="AM114" s="180">
        <f t="shared" si="32"/>
        <v>16</v>
      </c>
      <c r="AN114" s="486"/>
      <c r="AO114" s="166">
        <v>18</v>
      </c>
      <c r="AP114" s="166">
        <v>1352.3076923076919</v>
      </c>
      <c r="AQ114" s="166">
        <v>75.12820512820511</v>
      </c>
      <c r="AR114" s="180">
        <f t="shared" si="33"/>
        <v>13</v>
      </c>
      <c r="AS114" s="486"/>
      <c r="AT114" s="166">
        <v>18</v>
      </c>
      <c r="AU114" s="166">
        <v>1334.1176470588234</v>
      </c>
      <c r="AV114" s="166">
        <v>74.117647058823522</v>
      </c>
      <c r="AW114" s="180">
        <f t="shared" si="34"/>
        <v>15</v>
      </c>
      <c r="AX114" s="486"/>
    </row>
    <row r="115" spans="2:50">
      <c r="B115" s="479"/>
      <c r="C115" s="180">
        <v>4</v>
      </c>
      <c r="D115" s="201" t="s">
        <v>400</v>
      </c>
      <c r="E115" s="166">
        <v>18</v>
      </c>
      <c r="F115" s="180">
        <v>1500</v>
      </c>
      <c r="G115" s="265">
        <v>83.3</v>
      </c>
      <c r="H115" s="460"/>
      <c r="I115" s="166">
        <f t="shared" si="27"/>
        <v>18.142857142857142</v>
      </c>
      <c r="J115" s="166">
        <f t="shared" si="27"/>
        <v>1355.3154741542287</v>
      </c>
      <c r="K115" s="265">
        <f t="shared" si="27"/>
        <v>74.72869150972312</v>
      </c>
      <c r="L115" s="460"/>
      <c r="M115" s="272">
        <f>RANK(K115, K$112:$K$141)</f>
        <v>14</v>
      </c>
      <c r="N115" s="462"/>
      <c r="O115" s="462"/>
      <c r="P115" s="166">
        <v>19</v>
      </c>
      <c r="Q115" s="166">
        <v>1356.4705882352946</v>
      </c>
      <c r="R115" s="166">
        <v>71.393188854489196</v>
      </c>
      <c r="S115" s="180">
        <f t="shared" si="28"/>
        <v>21</v>
      </c>
      <c r="T115" s="486"/>
      <c r="U115" s="166">
        <v>18</v>
      </c>
      <c r="V115" s="166">
        <v>1344.23076923077</v>
      </c>
      <c r="W115" s="166">
        <v>74.679487179487225</v>
      </c>
      <c r="X115" s="180">
        <f t="shared" si="29"/>
        <v>14</v>
      </c>
      <c r="Y115" s="486"/>
      <c r="Z115" s="166">
        <v>18</v>
      </c>
      <c r="AA115" s="166">
        <v>1340.3773584905668</v>
      </c>
      <c r="AB115" s="166">
        <v>74.465408805031487</v>
      </c>
      <c r="AC115" s="180">
        <f t="shared" si="30"/>
        <v>15</v>
      </c>
      <c r="AD115" s="486"/>
      <c r="AE115" s="166">
        <v>18</v>
      </c>
      <c r="AF115" s="166">
        <v>1347.6000000000001</v>
      </c>
      <c r="AG115" s="166">
        <v>74.866666666666674</v>
      </c>
      <c r="AH115" s="180">
        <f t="shared" si="31"/>
        <v>12</v>
      </c>
      <c r="AI115" s="486"/>
      <c r="AJ115" s="166">
        <v>18</v>
      </c>
      <c r="AK115" s="166">
        <v>1337.5862068965528</v>
      </c>
      <c r="AL115" s="166">
        <v>74.310344827586263</v>
      </c>
      <c r="AM115" s="180">
        <f t="shared" si="32"/>
        <v>14</v>
      </c>
      <c r="AN115" s="486"/>
      <c r="AO115" s="166">
        <v>18</v>
      </c>
      <c r="AP115" s="166">
        <v>1370.9433962264159</v>
      </c>
      <c r="AQ115" s="166">
        <v>76.163522012578653</v>
      </c>
      <c r="AR115" s="180">
        <f t="shared" si="33"/>
        <v>11</v>
      </c>
      <c r="AS115" s="486"/>
      <c r="AT115" s="166">
        <v>18</v>
      </c>
      <c r="AU115" s="166">
        <v>1390.0000000000007</v>
      </c>
      <c r="AV115" s="166">
        <v>77.222222222222257</v>
      </c>
      <c r="AW115" s="180">
        <f t="shared" si="34"/>
        <v>9</v>
      </c>
      <c r="AX115" s="486"/>
    </row>
    <row r="116" spans="2:50">
      <c r="B116" s="479"/>
      <c r="C116" s="180">
        <v>5</v>
      </c>
      <c r="D116" s="201" t="s">
        <v>342</v>
      </c>
      <c r="E116" s="166">
        <v>16</v>
      </c>
      <c r="F116" s="180">
        <v>1500</v>
      </c>
      <c r="G116" s="265">
        <v>93.8</v>
      </c>
      <c r="H116" s="460"/>
      <c r="I116" s="166">
        <f t="shared" si="27"/>
        <v>16</v>
      </c>
      <c r="J116" s="166">
        <f t="shared" si="27"/>
        <v>1364.8715545795037</v>
      </c>
      <c r="K116" s="265">
        <f t="shared" si="27"/>
        <v>85.304472161218982</v>
      </c>
      <c r="L116" s="460"/>
      <c r="M116" s="272">
        <f>RANK(K116, K$112:$K$141)</f>
        <v>4</v>
      </c>
      <c r="N116" s="462"/>
      <c r="O116" s="462"/>
      <c r="P116" s="166">
        <v>16</v>
      </c>
      <c r="Q116" s="166">
        <v>1378.7234042553193</v>
      </c>
      <c r="R116" s="166">
        <v>86.170212765957459</v>
      </c>
      <c r="S116" s="180">
        <f t="shared" si="28"/>
        <v>4</v>
      </c>
      <c r="T116" s="486"/>
      <c r="U116" s="166">
        <v>16</v>
      </c>
      <c r="V116" s="166">
        <v>1373.617021276596</v>
      </c>
      <c r="W116" s="166">
        <v>85.85106382978725</v>
      </c>
      <c r="X116" s="180">
        <f t="shared" si="29"/>
        <v>4</v>
      </c>
      <c r="Y116" s="486"/>
      <c r="Z116" s="166">
        <v>16</v>
      </c>
      <c r="AA116" s="166">
        <v>1377.5000000000005</v>
      </c>
      <c r="AB116" s="166">
        <v>86.093750000000028</v>
      </c>
      <c r="AC116" s="180">
        <f t="shared" si="30"/>
        <v>4</v>
      </c>
      <c r="AD116" s="486"/>
      <c r="AE116" s="166">
        <v>16</v>
      </c>
      <c r="AF116" s="166">
        <v>1408.6363636363635</v>
      </c>
      <c r="AG116" s="166">
        <v>88.03977272727272</v>
      </c>
      <c r="AH116" s="180">
        <f t="shared" si="31"/>
        <v>3</v>
      </c>
      <c r="AI116" s="486"/>
      <c r="AJ116" s="166">
        <v>16</v>
      </c>
      <c r="AK116" s="166">
        <v>1342.6415094339629</v>
      </c>
      <c r="AL116" s="166">
        <v>83.915094339622684</v>
      </c>
      <c r="AM116" s="180">
        <f t="shared" si="32"/>
        <v>4</v>
      </c>
      <c r="AN116" s="486"/>
      <c r="AO116" s="166">
        <v>16</v>
      </c>
      <c r="AP116" s="166">
        <v>1328.0769230769238</v>
      </c>
      <c r="AQ116" s="166">
        <v>83.004807692307736</v>
      </c>
      <c r="AR116" s="180">
        <f t="shared" si="33"/>
        <v>7</v>
      </c>
      <c r="AS116" s="486"/>
      <c r="AT116" s="166">
        <v>16</v>
      </c>
      <c r="AU116" s="166">
        <v>1344.9056603773593</v>
      </c>
      <c r="AV116" s="166">
        <v>84.056603773584953</v>
      </c>
      <c r="AW116" s="180">
        <f t="shared" si="34"/>
        <v>5</v>
      </c>
      <c r="AX116" s="486"/>
    </row>
    <row r="117" spans="2:50">
      <c r="B117" s="479"/>
      <c r="C117" s="180">
        <v>6</v>
      </c>
      <c r="D117" s="201" t="s">
        <v>369</v>
      </c>
      <c r="E117" s="166">
        <v>16</v>
      </c>
      <c r="F117" s="180">
        <v>1565</v>
      </c>
      <c r="G117" s="265">
        <v>97.8</v>
      </c>
      <c r="H117" s="460"/>
      <c r="I117" s="166">
        <f t="shared" si="27"/>
        <v>15.857142857142858</v>
      </c>
      <c r="J117" s="166">
        <f t="shared" si="27"/>
        <v>1383.0947892312793</v>
      </c>
      <c r="K117" s="265">
        <f t="shared" si="27"/>
        <v>87.253329088859701</v>
      </c>
      <c r="L117" s="460"/>
      <c r="M117" s="272">
        <f>RANK(K117, K$112:$K$141)</f>
        <v>3</v>
      </c>
      <c r="N117" s="462"/>
      <c r="O117" s="462"/>
      <c r="P117" s="166">
        <v>16</v>
      </c>
      <c r="Q117" s="166">
        <v>1422.9629629629624</v>
      </c>
      <c r="R117" s="166">
        <v>88.935185185185148</v>
      </c>
      <c r="S117" s="180">
        <f t="shared" si="28"/>
        <v>3</v>
      </c>
      <c r="T117" s="486"/>
      <c r="U117" s="166">
        <v>16</v>
      </c>
      <c r="V117" s="166">
        <v>1454.6341463414628</v>
      </c>
      <c r="W117" s="166">
        <v>90.914634146341427</v>
      </c>
      <c r="X117" s="180">
        <f t="shared" si="29"/>
        <v>3</v>
      </c>
      <c r="Y117" s="486"/>
      <c r="Z117" s="166">
        <v>16</v>
      </c>
      <c r="AA117" s="166">
        <v>1402.3255813953488</v>
      </c>
      <c r="AB117" s="166">
        <v>87.645348837209298</v>
      </c>
      <c r="AC117" s="180">
        <f t="shared" si="30"/>
        <v>3</v>
      </c>
      <c r="AD117" s="486"/>
      <c r="AE117" s="166">
        <v>16</v>
      </c>
      <c r="AF117" s="166">
        <v>1376.3855421686744</v>
      </c>
      <c r="AG117" s="166">
        <v>86.024096385542151</v>
      </c>
      <c r="AH117" s="180">
        <f t="shared" si="31"/>
        <v>4</v>
      </c>
      <c r="AI117" s="486"/>
      <c r="AJ117" s="166">
        <v>16</v>
      </c>
      <c r="AK117" s="166">
        <v>1301.7857142857188</v>
      </c>
      <c r="AL117" s="166">
        <v>81.361607142857423</v>
      </c>
      <c r="AM117" s="180">
        <f t="shared" si="32"/>
        <v>8</v>
      </c>
      <c r="AN117" s="486"/>
      <c r="AO117" s="166">
        <v>15</v>
      </c>
      <c r="AP117" s="166">
        <v>1360.6399999999992</v>
      </c>
      <c r="AQ117" s="166">
        <v>90.709333333333277</v>
      </c>
      <c r="AR117" s="180">
        <f t="shared" si="33"/>
        <v>3</v>
      </c>
      <c r="AS117" s="486"/>
      <c r="AT117" s="166">
        <v>16</v>
      </c>
      <c r="AU117" s="166">
        <v>1362.9295774647876</v>
      </c>
      <c r="AV117" s="166">
        <v>85.183098591549225</v>
      </c>
      <c r="AW117" s="180">
        <f t="shared" si="34"/>
        <v>3</v>
      </c>
      <c r="AX117" s="486"/>
    </row>
    <row r="118" spans="2:50">
      <c r="B118" s="479"/>
      <c r="C118" s="180">
        <v>7</v>
      </c>
      <c r="D118" s="201" t="s">
        <v>333</v>
      </c>
      <c r="E118" s="166">
        <v>15</v>
      </c>
      <c r="F118" s="180">
        <v>1440</v>
      </c>
      <c r="G118" s="265">
        <v>102.9</v>
      </c>
      <c r="H118" s="460"/>
      <c r="I118" s="166">
        <f t="shared" si="27"/>
        <v>15.428571428571429</v>
      </c>
      <c r="J118" s="166">
        <f t="shared" si="27"/>
        <v>1208.5329390933216</v>
      </c>
      <c r="K118" s="265">
        <f t="shared" si="27"/>
        <v>78.289948676912232</v>
      </c>
      <c r="L118" s="460"/>
      <c r="M118" s="272">
        <f>RANK(K118, K$112:$K$141)</f>
        <v>9</v>
      </c>
      <c r="N118" s="462"/>
      <c r="O118" s="462"/>
      <c r="P118" s="166">
        <v>16</v>
      </c>
      <c r="Q118" s="166">
        <v>1268.2758620689631</v>
      </c>
      <c r="R118" s="166">
        <v>79.267241379310192</v>
      </c>
      <c r="S118" s="180">
        <f t="shared" si="28"/>
        <v>6</v>
      </c>
      <c r="T118" s="486"/>
      <c r="U118" s="166">
        <v>16</v>
      </c>
      <c r="V118" s="166">
        <v>1263.8709677419336</v>
      </c>
      <c r="W118" s="166">
        <v>78.991935483870847</v>
      </c>
      <c r="X118" s="180">
        <f t="shared" si="29"/>
        <v>8</v>
      </c>
      <c r="Y118" s="486"/>
      <c r="Z118" s="166">
        <v>15</v>
      </c>
      <c r="AA118" s="166">
        <v>1147.999999999998</v>
      </c>
      <c r="AB118" s="166">
        <v>76.533333333333204</v>
      </c>
      <c r="AC118" s="180">
        <f t="shared" si="30"/>
        <v>11</v>
      </c>
      <c r="AD118" s="486"/>
      <c r="AE118" s="166">
        <v>16</v>
      </c>
      <c r="AF118" s="166">
        <v>1296.4285714285686</v>
      </c>
      <c r="AG118" s="166">
        <v>81.026785714285538</v>
      </c>
      <c r="AH118" s="180">
        <f t="shared" si="31"/>
        <v>6</v>
      </c>
      <c r="AI118" s="486"/>
      <c r="AJ118" s="166">
        <v>15</v>
      </c>
      <c r="AK118" s="166">
        <v>1129.655172413791</v>
      </c>
      <c r="AL118" s="166">
        <v>75.310344827586064</v>
      </c>
      <c r="AM118" s="180">
        <f t="shared" si="32"/>
        <v>11</v>
      </c>
      <c r="AN118" s="486"/>
      <c r="AO118" s="166">
        <v>15</v>
      </c>
      <c r="AP118" s="166">
        <v>1295.9999999999977</v>
      </c>
      <c r="AQ118" s="166">
        <v>86.399999999999849</v>
      </c>
      <c r="AR118" s="180">
        <f t="shared" si="33"/>
        <v>4</v>
      </c>
      <c r="AS118" s="486"/>
      <c r="AT118" s="166">
        <v>15</v>
      </c>
      <c r="AU118" s="166">
        <v>1057.4999999999984</v>
      </c>
      <c r="AV118" s="166">
        <v>70.499999999999901</v>
      </c>
      <c r="AW118" s="180">
        <f t="shared" si="34"/>
        <v>21</v>
      </c>
      <c r="AX118" s="486"/>
    </row>
    <row r="119" spans="2:50">
      <c r="B119" s="479"/>
      <c r="C119" s="180">
        <v>8</v>
      </c>
      <c r="D119" s="201" t="s">
        <v>368</v>
      </c>
      <c r="E119" s="166">
        <v>16</v>
      </c>
      <c r="F119" s="180">
        <v>1440</v>
      </c>
      <c r="G119" s="265">
        <v>90</v>
      </c>
      <c r="H119" s="460"/>
      <c r="I119" s="166">
        <f t="shared" si="27"/>
        <v>16</v>
      </c>
      <c r="J119" s="166">
        <f t="shared" si="27"/>
        <v>1288.308695818753</v>
      </c>
      <c r="K119" s="265">
        <f t="shared" si="27"/>
        <v>80.519293488672062</v>
      </c>
      <c r="L119" s="460"/>
      <c r="M119" s="272">
        <f>RANK(K119, K$112:$K$141)</f>
        <v>7</v>
      </c>
      <c r="N119" s="462"/>
      <c r="O119" s="462"/>
      <c r="P119" s="166">
        <v>16</v>
      </c>
      <c r="Q119" s="166">
        <v>1263.5294117647065</v>
      </c>
      <c r="R119" s="166">
        <v>78.970588235294159</v>
      </c>
      <c r="S119" s="180">
        <f t="shared" si="28"/>
        <v>8</v>
      </c>
      <c r="T119" s="486"/>
      <c r="U119" s="166">
        <v>16</v>
      </c>
      <c r="V119" s="166">
        <v>1293.7500000000005</v>
      </c>
      <c r="W119" s="166">
        <v>80.859375000000028</v>
      </c>
      <c r="X119" s="180">
        <f t="shared" si="29"/>
        <v>7</v>
      </c>
      <c r="Y119" s="486"/>
      <c r="Z119" s="166">
        <v>16</v>
      </c>
      <c r="AA119" s="166">
        <v>1275.7142857142853</v>
      </c>
      <c r="AB119" s="166">
        <v>79.732142857142833</v>
      </c>
      <c r="AC119" s="180">
        <f t="shared" si="30"/>
        <v>7</v>
      </c>
      <c r="AD119" s="486"/>
      <c r="AE119" s="166">
        <v>16</v>
      </c>
      <c r="AF119" s="166">
        <v>1294.2857142857147</v>
      </c>
      <c r="AG119" s="166">
        <v>80.892857142857167</v>
      </c>
      <c r="AH119" s="180">
        <f t="shared" si="31"/>
        <v>7</v>
      </c>
      <c r="AI119" s="486"/>
      <c r="AJ119" s="166">
        <v>16</v>
      </c>
      <c r="AK119" s="166">
        <v>1307.1428571428567</v>
      </c>
      <c r="AL119" s="166">
        <v>81.696428571428541</v>
      </c>
      <c r="AM119" s="180">
        <f t="shared" si="32"/>
        <v>7</v>
      </c>
      <c r="AN119" s="486"/>
      <c r="AO119" s="166">
        <v>16</v>
      </c>
      <c r="AP119" s="166">
        <v>1276.5957446808513</v>
      </c>
      <c r="AQ119" s="166">
        <v>79.787234042553209</v>
      </c>
      <c r="AR119" s="180">
        <f t="shared" si="33"/>
        <v>9</v>
      </c>
      <c r="AS119" s="486"/>
      <c r="AT119" s="166">
        <v>16</v>
      </c>
      <c r="AU119" s="166">
        <v>1307.1428571428567</v>
      </c>
      <c r="AV119" s="166">
        <v>81.696428571428541</v>
      </c>
      <c r="AW119" s="180">
        <f t="shared" si="34"/>
        <v>7</v>
      </c>
      <c r="AX119" s="486"/>
    </row>
    <row r="120" spans="2:50">
      <c r="B120" s="479"/>
      <c r="C120" s="180">
        <v>9</v>
      </c>
      <c r="D120" s="201" t="s">
        <v>364</v>
      </c>
      <c r="E120" s="166">
        <v>16</v>
      </c>
      <c r="F120" s="180">
        <v>1380</v>
      </c>
      <c r="G120" s="265">
        <v>86.25</v>
      </c>
      <c r="H120" s="460"/>
      <c r="I120" s="166">
        <f t="shared" si="27"/>
        <v>16.428571428571427</v>
      </c>
      <c r="J120" s="166">
        <f t="shared" si="27"/>
        <v>1182.6689607245664</v>
      </c>
      <c r="K120" s="265">
        <f t="shared" si="27"/>
        <v>72.051676206248302</v>
      </c>
      <c r="L120" s="460"/>
      <c r="M120" s="272">
        <f>RANK(K120, K$112:$K$141)</f>
        <v>19</v>
      </c>
      <c r="N120" s="462"/>
      <c r="O120" s="462"/>
      <c r="P120" s="166">
        <v>16</v>
      </c>
      <c r="Q120" s="166">
        <v>1179.6774193548397</v>
      </c>
      <c r="R120" s="166">
        <v>73.72983870967748</v>
      </c>
      <c r="S120" s="180">
        <f t="shared" si="28"/>
        <v>17</v>
      </c>
      <c r="T120" s="486"/>
      <c r="U120" s="166">
        <v>16</v>
      </c>
      <c r="V120" s="166">
        <v>1173.3333333333339</v>
      </c>
      <c r="W120" s="166">
        <v>73.333333333333371</v>
      </c>
      <c r="X120" s="180">
        <f t="shared" si="29"/>
        <v>18</v>
      </c>
      <c r="Y120" s="486"/>
      <c r="Z120" s="166">
        <v>16</v>
      </c>
      <c r="AA120" s="166">
        <v>1182.8571428571424</v>
      </c>
      <c r="AB120" s="166">
        <v>73.928571428571402</v>
      </c>
      <c r="AC120" s="180">
        <f t="shared" si="30"/>
        <v>17</v>
      </c>
      <c r="AD120" s="486"/>
      <c r="AE120" s="166">
        <v>16</v>
      </c>
      <c r="AF120" s="166">
        <v>1191.6000000000004</v>
      </c>
      <c r="AG120" s="166">
        <v>74.475000000000023</v>
      </c>
      <c r="AH120" s="180">
        <f t="shared" si="31"/>
        <v>14</v>
      </c>
      <c r="AI120" s="486"/>
      <c r="AJ120" s="166">
        <v>17</v>
      </c>
      <c r="AK120" s="166">
        <v>1189.8113207547176</v>
      </c>
      <c r="AL120" s="166">
        <v>69.988901220865742</v>
      </c>
      <c r="AM120" s="180">
        <f t="shared" si="32"/>
        <v>20</v>
      </c>
      <c r="AN120" s="486"/>
      <c r="AO120" s="166">
        <v>17</v>
      </c>
      <c r="AP120" s="166">
        <v>1194.736842105264</v>
      </c>
      <c r="AQ120" s="166">
        <v>70.278637770897888</v>
      </c>
      <c r="AR120" s="180">
        <f t="shared" si="33"/>
        <v>24</v>
      </c>
      <c r="AS120" s="486"/>
      <c r="AT120" s="166">
        <v>17</v>
      </c>
      <c r="AU120" s="166">
        <v>1166.6666666666672</v>
      </c>
      <c r="AV120" s="166">
        <v>68.627450980392183</v>
      </c>
      <c r="AW120" s="180">
        <f t="shared" si="34"/>
        <v>25</v>
      </c>
      <c r="AX120" s="486"/>
    </row>
    <row r="121" spans="2:50">
      <c r="B121" s="479"/>
      <c r="C121" s="180">
        <v>10</v>
      </c>
      <c r="D121" s="201" t="s">
        <v>367</v>
      </c>
      <c r="E121" s="166">
        <v>18</v>
      </c>
      <c r="F121" s="180">
        <v>1636</v>
      </c>
      <c r="G121" s="265">
        <v>90.9</v>
      </c>
      <c r="H121" s="460"/>
      <c r="I121" s="166">
        <f t="shared" si="27"/>
        <v>17.857142857142858</v>
      </c>
      <c r="J121" s="166">
        <f t="shared" si="27"/>
        <v>1286.9591554579602</v>
      </c>
      <c r="K121" s="265">
        <f t="shared" si="27"/>
        <v>72.105393278582198</v>
      </c>
      <c r="L121" s="460"/>
      <c r="M121" s="272">
        <f>RANK(K121, K$112:$K$141)</f>
        <v>18</v>
      </c>
      <c r="N121" s="462"/>
      <c r="O121" s="462"/>
      <c r="P121" s="166">
        <v>18</v>
      </c>
      <c r="Q121" s="166">
        <v>1274.5454545454559</v>
      </c>
      <c r="R121" s="166">
        <v>70.808080808080888</v>
      </c>
      <c r="S121" s="180">
        <f t="shared" si="28"/>
        <v>23</v>
      </c>
      <c r="T121" s="486"/>
      <c r="U121" s="166">
        <v>18</v>
      </c>
      <c r="V121" s="166">
        <v>1297.9411764705899</v>
      </c>
      <c r="W121" s="166">
        <v>72.107843137254989</v>
      </c>
      <c r="X121" s="180">
        <f t="shared" si="29"/>
        <v>20</v>
      </c>
      <c r="Y121" s="486"/>
      <c r="Z121" s="166">
        <v>17</v>
      </c>
      <c r="AA121" s="166">
        <v>1301.6129032258077</v>
      </c>
      <c r="AB121" s="166">
        <v>76.565464895635742</v>
      </c>
      <c r="AC121" s="180">
        <f t="shared" si="30"/>
        <v>10</v>
      </c>
      <c r="AD121" s="486"/>
      <c r="AE121" s="166">
        <v>18</v>
      </c>
      <c r="AF121" s="166">
        <v>1292.3076923076937</v>
      </c>
      <c r="AG121" s="166">
        <v>71.794871794871881</v>
      </c>
      <c r="AH121" s="180">
        <f t="shared" si="31"/>
        <v>19</v>
      </c>
      <c r="AI121" s="486"/>
      <c r="AJ121" s="166">
        <v>18</v>
      </c>
      <c r="AK121" s="166">
        <v>1250.8333333333323</v>
      </c>
      <c r="AL121" s="166">
        <v>69.490740740740691</v>
      </c>
      <c r="AM121" s="180">
        <f t="shared" si="32"/>
        <v>22</v>
      </c>
      <c r="AN121" s="486"/>
      <c r="AO121" s="166">
        <v>18</v>
      </c>
      <c r="AP121" s="166">
        <v>1322.4324324324314</v>
      </c>
      <c r="AQ121" s="166">
        <v>73.468468468468416</v>
      </c>
      <c r="AR121" s="180">
        <f t="shared" si="33"/>
        <v>19</v>
      </c>
      <c r="AS121" s="486"/>
      <c r="AT121" s="166">
        <v>18</v>
      </c>
      <c r="AU121" s="166">
        <v>1269.0410958904101</v>
      </c>
      <c r="AV121" s="166">
        <v>70.502283105022784</v>
      </c>
      <c r="AW121" s="180">
        <f t="shared" si="34"/>
        <v>20</v>
      </c>
      <c r="AX121" s="486"/>
    </row>
    <row r="122" spans="2:50">
      <c r="B122" s="479"/>
      <c r="C122" s="180">
        <v>11</v>
      </c>
      <c r="D122" s="201" t="s">
        <v>366</v>
      </c>
      <c r="E122" s="166">
        <v>18</v>
      </c>
      <c r="F122" s="180">
        <v>1636</v>
      </c>
      <c r="G122" s="265">
        <v>90.9</v>
      </c>
      <c r="H122" s="460"/>
      <c r="I122" s="166">
        <f t="shared" si="27"/>
        <v>17.857142857142858</v>
      </c>
      <c r="J122" s="166">
        <f t="shared" si="27"/>
        <v>1281.1399274531323</v>
      </c>
      <c r="K122" s="265">
        <f t="shared" si="27"/>
        <v>71.769231521995451</v>
      </c>
      <c r="L122" s="460"/>
      <c r="M122" s="272">
        <f>RANK(K122, K$112:$K$141)</f>
        <v>20</v>
      </c>
      <c r="N122" s="462"/>
      <c r="O122" s="462"/>
      <c r="P122" s="166">
        <v>18</v>
      </c>
      <c r="Q122" s="166">
        <v>1298.0769230769238</v>
      </c>
      <c r="R122" s="166">
        <v>72.115384615384656</v>
      </c>
      <c r="S122" s="180">
        <f t="shared" si="28"/>
        <v>19</v>
      </c>
      <c r="T122" s="486"/>
      <c r="U122" s="166">
        <v>18</v>
      </c>
      <c r="V122" s="166">
        <v>1278.4615384615392</v>
      </c>
      <c r="W122" s="166">
        <v>71.025641025641065</v>
      </c>
      <c r="X122" s="180">
        <f t="shared" si="29"/>
        <v>22</v>
      </c>
      <c r="Y122" s="486"/>
      <c r="Z122" s="166">
        <v>17</v>
      </c>
      <c r="AA122" s="166">
        <v>1274.0425531914896</v>
      </c>
      <c r="AB122" s="166">
        <v>74.94367959949939</v>
      </c>
      <c r="AC122" s="180">
        <f t="shared" si="30"/>
        <v>13</v>
      </c>
      <c r="AD122" s="486"/>
      <c r="AE122" s="166">
        <v>18</v>
      </c>
      <c r="AF122" s="166">
        <v>1276.9811320754725</v>
      </c>
      <c r="AG122" s="166">
        <v>70.943396226415132</v>
      </c>
      <c r="AH122" s="180">
        <f t="shared" si="31"/>
        <v>22</v>
      </c>
      <c r="AI122" s="486"/>
      <c r="AJ122" s="166">
        <v>18</v>
      </c>
      <c r="AK122" s="166">
        <v>1268.5714285714296</v>
      </c>
      <c r="AL122" s="166">
        <v>70.476190476190538</v>
      </c>
      <c r="AM122" s="180">
        <f t="shared" si="32"/>
        <v>18</v>
      </c>
      <c r="AN122" s="486"/>
      <c r="AO122" s="166">
        <v>18</v>
      </c>
      <c r="AP122" s="166">
        <v>1267.1186440677975</v>
      </c>
      <c r="AQ122" s="166">
        <v>70.395480225988749</v>
      </c>
      <c r="AR122" s="180">
        <f t="shared" si="33"/>
        <v>23</v>
      </c>
      <c r="AS122" s="486"/>
      <c r="AT122" s="166">
        <v>18</v>
      </c>
      <c r="AU122" s="166">
        <v>1304.7272727272737</v>
      </c>
      <c r="AV122" s="166">
        <v>72.484848484848541</v>
      </c>
      <c r="AW122" s="180">
        <f t="shared" si="34"/>
        <v>16</v>
      </c>
      <c r="AX122" s="486"/>
    </row>
    <row r="123" spans="2:50">
      <c r="B123" s="479"/>
      <c r="C123" s="180">
        <v>12</v>
      </c>
      <c r="D123" s="201" t="s">
        <v>344</v>
      </c>
      <c r="E123" s="166">
        <v>17</v>
      </c>
      <c r="F123" s="180">
        <v>1500</v>
      </c>
      <c r="G123" s="265">
        <v>88.2</v>
      </c>
      <c r="H123" s="460"/>
      <c r="I123" s="166">
        <f t="shared" si="27"/>
        <v>17</v>
      </c>
      <c r="J123" s="166">
        <f t="shared" si="27"/>
        <v>1272.4530234644221</v>
      </c>
      <c r="K123" s="265">
        <f t="shared" si="27"/>
        <v>74.850177850848354</v>
      </c>
      <c r="L123" s="460"/>
      <c r="M123" s="272">
        <f>RANK(K123, K$112:$K$141)</f>
        <v>13</v>
      </c>
      <c r="N123" s="462"/>
      <c r="O123" s="462"/>
      <c r="P123" s="166">
        <v>17</v>
      </c>
      <c r="Q123" s="166">
        <v>1285.882352941177</v>
      </c>
      <c r="R123" s="166">
        <v>75.640138408304537</v>
      </c>
      <c r="S123" s="180">
        <f t="shared" si="28"/>
        <v>13</v>
      </c>
      <c r="T123" s="486"/>
      <c r="U123" s="166">
        <v>17</v>
      </c>
      <c r="V123" s="166">
        <v>1260.0000000000007</v>
      </c>
      <c r="W123" s="166">
        <v>74.117647058823565</v>
      </c>
      <c r="X123" s="180">
        <f t="shared" si="29"/>
        <v>16</v>
      </c>
      <c r="Y123" s="486"/>
      <c r="Z123" s="166">
        <v>17</v>
      </c>
      <c r="AA123" s="166">
        <v>1251.0638297872342</v>
      </c>
      <c r="AB123" s="166">
        <v>73.591989987484368</v>
      </c>
      <c r="AC123" s="180">
        <f t="shared" si="30"/>
        <v>19</v>
      </c>
      <c r="AD123" s="486"/>
      <c r="AE123" s="166">
        <v>17</v>
      </c>
      <c r="AF123" s="166">
        <v>1270.8000000000004</v>
      </c>
      <c r="AG123" s="166">
        <v>74.752941176470614</v>
      </c>
      <c r="AH123" s="180">
        <f t="shared" si="31"/>
        <v>13</v>
      </c>
      <c r="AI123" s="486"/>
      <c r="AJ123" s="166">
        <v>17</v>
      </c>
      <c r="AK123" s="166">
        <v>1295.1219512195119</v>
      </c>
      <c r="AL123" s="166">
        <v>76.183644189383045</v>
      </c>
      <c r="AM123" s="180">
        <f t="shared" si="32"/>
        <v>9</v>
      </c>
      <c r="AN123" s="486"/>
      <c r="AO123" s="166">
        <v>17</v>
      </c>
      <c r="AP123" s="166">
        <v>1270.6666666666665</v>
      </c>
      <c r="AQ123" s="166">
        <v>74.745098039215677</v>
      </c>
      <c r="AR123" s="180">
        <f t="shared" si="33"/>
        <v>15</v>
      </c>
      <c r="AS123" s="486"/>
      <c r="AT123" s="166">
        <v>17</v>
      </c>
      <c r="AU123" s="166">
        <v>1273.6363636363635</v>
      </c>
      <c r="AV123" s="166">
        <v>74.919786096256672</v>
      </c>
      <c r="AW123" s="180">
        <f t="shared" si="34"/>
        <v>14</v>
      </c>
      <c r="AX123" s="486"/>
    </row>
    <row r="124" spans="2:50">
      <c r="B124" s="479"/>
      <c r="C124" s="180">
        <v>13</v>
      </c>
      <c r="D124" s="201" t="s">
        <v>548</v>
      </c>
      <c r="E124" s="166">
        <v>18</v>
      </c>
      <c r="F124" s="180">
        <v>1440</v>
      </c>
      <c r="G124" s="265">
        <v>80</v>
      </c>
      <c r="H124" s="460"/>
      <c r="I124" s="166">
        <f t="shared" si="27"/>
        <v>17.571428571428573</v>
      </c>
      <c r="J124" s="166">
        <f t="shared" si="27"/>
        <v>1344.0739919251148</v>
      </c>
      <c r="K124" s="265">
        <f t="shared" si="27"/>
        <v>76.539575999536311</v>
      </c>
      <c r="L124" s="460"/>
      <c r="M124" s="272">
        <f>RANK(K124, K$112:$K$141)</f>
        <v>10</v>
      </c>
      <c r="N124" s="462"/>
      <c r="O124" s="462"/>
      <c r="P124" s="166">
        <v>18</v>
      </c>
      <c r="Q124" s="166">
        <v>1366.9565217391305</v>
      </c>
      <c r="R124" s="166">
        <v>75.94202898550725</v>
      </c>
      <c r="S124" s="180">
        <f t="shared" si="28"/>
        <v>12</v>
      </c>
      <c r="T124" s="486"/>
      <c r="U124" s="166">
        <v>17</v>
      </c>
      <c r="V124" s="166">
        <v>1331.7391304347825</v>
      </c>
      <c r="W124" s="166">
        <v>78.337595907928389</v>
      </c>
      <c r="X124" s="180">
        <f t="shared" si="29"/>
        <v>9</v>
      </c>
      <c r="Y124" s="486"/>
      <c r="Z124" s="166">
        <v>17</v>
      </c>
      <c r="AA124" s="166">
        <v>1344.705882352941</v>
      </c>
      <c r="AB124" s="166">
        <v>79.100346020761236</v>
      </c>
      <c r="AC124" s="180">
        <f t="shared" si="30"/>
        <v>8</v>
      </c>
      <c r="AD124" s="486"/>
      <c r="AE124" s="166">
        <v>17</v>
      </c>
      <c r="AF124" s="166">
        <v>1326.5217391304348</v>
      </c>
      <c r="AG124" s="166">
        <v>78.030690537084396</v>
      </c>
      <c r="AH124" s="180">
        <f t="shared" si="31"/>
        <v>10</v>
      </c>
      <c r="AI124" s="486"/>
      <c r="AJ124" s="166">
        <v>18</v>
      </c>
      <c r="AK124" s="166">
        <v>1332.1518987341765</v>
      </c>
      <c r="AL124" s="166">
        <v>74.008438818565367</v>
      </c>
      <c r="AM124" s="180">
        <f t="shared" si="32"/>
        <v>15</v>
      </c>
      <c r="AN124" s="486"/>
      <c r="AO124" s="166">
        <v>18</v>
      </c>
      <c r="AP124" s="166">
        <v>1348.192771084337</v>
      </c>
      <c r="AQ124" s="166">
        <v>74.89959839357428</v>
      </c>
      <c r="AR124" s="180">
        <f t="shared" si="33"/>
        <v>14</v>
      </c>
      <c r="AS124" s="486"/>
      <c r="AT124" s="166">
        <v>18</v>
      </c>
      <c r="AU124" s="166">
        <v>1358.2499999999995</v>
      </c>
      <c r="AV124" s="166">
        <v>75.458333333333314</v>
      </c>
      <c r="AW124" s="180">
        <f t="shared" si="34"/>
        <v>12</v>
      </c>
      <c r="AX124" s="486"/>
    </row>
    <row r="125" spans="2:50">
      <c r="B125" s="479"/>
      <c r="C125" s="180">
        <v>14</v>
      </c>
      <c r="D125" s="201" t="s">
        <v>370</v>
      </c>
      <c r="E125" s="166">
        <v>15</v>
      </c>
      <c r="F125" s="180">
        <v>1440</v>
      </c>
      <c r="G125" s="265">
        <v>96</v>
      </c>
      <c r="H125" s="460"/>
      <c r="I125" s="166">
        <f t="shared" si="27"/>
        <v>16</v>
      </c>
      <c r="J125" s="166">
        <f t="shared" si="27"/>
        <v>1280.1418550937981</v>
      </c>
      <c r="K125" s="265">
        <f t="shared" si="27"/>
        <v>80.00886594336238</v>
      </c>
      <c r="L125" s="460"/>
      <c r="M125" s="272">
        <f>RANK(K125, K$112:$K$141)</f>
        <v>8</v>
      </c>
      <c r="N125" s="462"/>
      <c r="O125" s="462"/>
      <c r="P125" s="166">
        <v>16</v>
      </c>
      <c r="Q125" s="166">
        <v>1246.0000000000011</v>
      </c>
      <c r="R125" s="166">
        <v>77.875000000000071</v>
      </c>
      <c r="S125" s="180">
        <f t="shared" si="28"/>
        <v>9</v>
      </c>
      <c r="T125" s="486"/>
      <c r="U125" s="166">
        <v>16</v>
      </c>
      <c r="V125" s="166">
        <v>1243.728813559323</v>
      </c>
      <c r="W125" s="166">
        <v>77.73305084745769</v>
      </c>
      <c r="X125" s="180">
        <f t="shared" si="29"/>
        <v>10</v>
      </c>
      <c r="Y125" s="486"/>
      <c r="Z125" s="166">
        <v>16</v>
      </c>
      <c r="AA125" s="166">
        <v>1300.7142857142867</v>
      </c>
      <c r="AB125" s="166">
        <v>81.294642857142918</v>
      </c>
      <c r="AC125" s="180">
        <f t="shared" si="30"/>
        <v>5</v>
      </c>
      <c r="AD125" s="486"/>
      <c r="AE125" s="166">
        <v>16</v>
      </c>
      <c r="AF125" s="166">
        <v>1253.3333333333346</v>
      </c>
      <c r="AG125" s="166">
        <v>78.333333333333414</v>
      </c>
      <c r="AH125" s="180">
        <f t="shared" si="31"/>
        <v>9</v>
      </c>
      <c r="AI125" s="486"/>
      <c r="AJ125" s="166">
        <v>16</v>
      </c>
      <c r="AK125" s="166">
        <v>1315.5223880597032</v>
      </c>
      <c r="AL125" s="166">
        <v>82.220149253731449</v>
      </c>
      <c r="AM125" s="180">
        <f t="shared" si="32"/>
        <v>6</v>
      </c>
      <c r="AN125" s="486"/>
      <c r="AO125" s="166">
        <v>16</v>
      </c>
      <c r="AP125" s="166">
        <v>1301.4084507042242</v>
      </c>
      <c r="AQ125" s="166">
        <v>81.338028169014009</v>
      </c>
      <c r="AR125" s="180">
        <f t="shared" si="33"/>
        <v>8</v>
      </c>
      <c r="AS125" s="486"/>
      <c r="AT125" s="166">
        <v>16</v>
      </c>
      <c r="AU125" s="166">
        <v>1300.2857142857129</v>
      </c>
      <c r="AV125" s="166">
        <v>81.267857142857054</v>
      </c>
      <c r="AW125" s="180">
        <f t="shared" si="34"/>
        <v>8</v>
      </c>
      <c r="AX125" s="486"/>
    </row>
    <row r="126" spans="2:50">
      <c r="B126" s="479"/>
      <c r="C126" s="180">
        <v>15</v>
      </c>
      <c r="D126" s="201" t="s">
        <v>335</v>
      </c>
      <c r="E126" s="166">
        <v>17</v>
      </c>
      <c r="F126" s="180">
        <v>1440</v>
      </c>
      <c r="G126" s="265">
        <v>84.7</v>
      </c>
      <c r="H126" s="460"/>
      <c r="I126" s="166">
        <f t="shared" si="27"/>
        <v>16.142857142857142</v>
      </c>
      <c r="J126" s="166">
        <f t="shared" si="27"/>
        <v>1336.0742809170167</v>
      </c>
      <c r="K126" s="265">
        <f t="shared" si="27"/>
        <v>82.789836833043637</v>
      </c>
      <c r="L126" s="460"/>
      <c r="M126" s="272">
        <f>RANK(K126, K$112:$K$141)</f>
        <v>5</v>
      </c>
      <c r="N126" s="462"/>
      <c r="O126" s="462"/>
      <c r="P126" s="166">
        <v>16</v>
      </c>
      <c r="Q126" s="166">
        <v>1315.8260869565227</v>
      </c>
      <c r="R126" s="166">
        <v>82.239130434782666</v>
      </c>
      <c r="S126" s="180">
        <f t="shared" si="28"/>
        <v>5</v>
      </c>
      <c r="T126" s="486"/>
      <c r="U126" s="166">
        <v>16</v>
      </c>
      <c r="V126" s="166">
        <v>1330.0934579439258</v>
      </c>
      <c r="W126" s="166">
        <v>83.130841121495365</v>
      </c>
      <c r="X126" s="180">
        <f t="shared" si="29"/>
        <v>5</v>
      </c>
      <c r="Y126" s="486"/>
      <c r="Z126" s="166">
        <v>17</v>
      </c>
      <c r="AA126" s="166">
        <v>1360.9900990099015</v>
      </c>
      <c r="AB126" s="166">
        <v>80.058241118229503</v>
      </c>
      <c r="AC126" s="180">
        <f t="shared" si="30"/>
        <v>6</v>
      </c>
      <c r="AD126" s="486"/>
      <c r="AE126" s="166">
        <v>16</v>
      </c>
      <c r="AF126" s="166">
        <v>1347.7777777777785</v>
      </c>
      <c r="AG126" s="166">
        <v>84.236111111111157</v>
      </c>
      <c r="AH126" s="180">
        <f t="shared" si="31"/>
        <v>5</v>
      </c>
      <c r="AI126" s="486"/>
      <c r="AJ126" s="166">
        <v>16</v>
      </c>
      <c r="AK126" s="166">
        <v>1334.68085106383</v>
      </c>
      <c r="AL126" s="166">
        <v>83.417553191489375</v>
      </c>
      <c r="AM126" s="180">
        <f t="shared" si="32"/>
        <v>5</v>
      </c>
      <c r="AN126" s="486"/>
      <c r="AO126" s="166">
        <v>16</v>
      </c>
      <c r="AP126" s="166">
        <v>1354.2857142857147</v>
      </c>
      <c r="AQ126" s="166">
        <v>84.642857142857167</v>
      </c>
      <c r="AR126" s="180">
        <f t="shared" si="33"/>
        <v>5</v>
      </c>
      <c r="AS126" s="486"/>
      <c r="AT126" s="166">
        <v>16</v>
      </c>
      <c r="AU126" s="166">
        <v>1308.8659793814438</v>
      </c>
      <c r="AV126" s="166">
        <v>81.804123711340239</v>
      </c>
      <c r="AW126" s="180">
        <f t="shared" si="34"/>
        <v>6</v>
      </c>
      <c r="AX126" s="486"/>
    </row>
    <row r="127" spans="2:50">
      <c r="B127" s="479"/>
      <c r="C127" s="180">
        <v>16</v>
      </c>
      <c r="D127" s="201" t="s">
        <v>365</v>
      </c>
      <c r="E127" s="166">
        <v>19</v>
      </c>
      <c r="F127" s="180">
        <v>1440</v>
      </c>
      <c r="G127" s="265">
        <v>75.8</v>
      </c>
      <c r="H127" s="460"/>
      <c r="I127" s="166">
        <f t="shared" si="27"/>
        <v>18</v>
      </c>
      <c r="J127" s="166">
        <f t="shared" si="27"/>
        <v>1280.5535594630994</v>
      </c>
      <c r="K127" s="265">
        <f t="shared" si="27"/>
        <v>71.141864414616634</v>
      </c>
      <c r="L127" s="460"/>
      <c r="M127" s="272">
        <f>RANK(K127, K$112:$K$141)</f>
        <v>21</v>
      </c>
      <c r="N127" s="462"/>
      <c r="O127" s="462"/>
      <c r="P127" s="166">
        <v>18</v>
      </c>
      <c r="Q127" s="166">
        <v>1270.0000000000014</v>
      </c>
      <c r="R127" s="166">
        <v>70.555555555555628</v>
      </c>
      <c r="S127" s="180">
        <f t="shared" si="28"/>
        <v>24</v>
      </c>
      <c r="T127" s="486"/>
      <c r="U127" s="166">
        <v>18</v>
      </c>
      <c r="V127" s="166">
        <v>1271.8181818181831</v>
      </c>
      <c r="W127" s="166">
        <v>70.656565656565732</v>
      </c>
      <c r="X127" s="180">
        <f t="shared" si="29"/>
        <v>23</v>
      </c>
      <c r="Y127" s="486"/>
      <c r="Z127" s="166">
        <v>18</v>
      </c>
      <c r="AA127" s="166">
        <v>1314.9152542372892</v>
      </c>
      <c r="AB127" s="166">
        <v>73.050847457627185</v>
      </c>
      <c r="AC127" s="180">
        <f t="shared" si="30"/>
        <v>21</v>
      </c>
      <c r="AD127" s="486"/>
      <c r="AE127" s="166">
        <v>18</v>
      </c>
      <c r="AF127" s="166">
        <v>1273.6363636363651</v>
      </c>
      <c r="AG127" s="166">
        <v>70.757575757575836</v>
      </c>
      <c r="AH127" s="180">
        <f t="shared" si="31"/>
        <v>23</v>
      </c>
      <c r="AI127" s="486"/>
      <c r="AJ127" s="166">
        <v>18</v>
      </c>
      <c r="AK127" s="166">
        <v>1260.8823529411779</v>
      </c>
      <c r="AL127" s="166">
        <v>70.049019607843221</v>
      </c>
      <c r="AM127" s="180">
        <f t="shared" si="32"/>
        <v>19</v>
      </c>
      <c r="AN127" s="486"/>
      <c r="AO127" s="166">
        <v>18</v>
      </c>
      <c r="AP127" s="166">
        <v>1274.5945945945962</v>
      </c>
      <c r="AQ127" s="166">
        <v>70.810810810810892</v>
      </c>
      <c r="AR127" s="180">
        <f t="shared" si="33"/>
        <v>22</v>
      </c>
      <c r="AS127" s="486"/>
      <c r="AT127" s="166">
        <v>18</v>
      </c>
      <c r="AU127" s="166">
        <v>1298.0281690140832</v>
      </c>
      <c r="AV127" s="166">
        <v>72.112676056337961</v>
      </c>
      <c r="AW127" s="180">
        <f t="shared" si="34"/>
        <v>17</v>
      </c>
      <c r="AX127" s="486"/>
    </row>
    <row r="128" spans="2:50">
      <c r="B128" s="479"/>
      <c r="C128" s="180">
        <v>17</v>
      </c>
      <c r="D128" s="201" t="s">
        <v>371</v>
      </c>
      <c r="E128" s="166">
        <v>19</v>
      </c>
      <c r="F128" s="180">
        <v>1500</v>
      </c>
      <c r="G128" s="265">
        <v>78.900000000000006</v>
      </c>
      <c r="H128" s="460"/>
      <c r="I128" s="166">
        <f t="shared" si="27"/>
        <v>18</v>
      </c>
      <c r="J128" s="166">
        <f t="shared" si="27"/>
        <v>1262.956423149531</v>
      </c>
      <c r="K128" s="265">
        <f t="shared" si="27"/>
        <v>70.164245730529501</v>
      </c>
      <c r="L128" s="460"/>
      <c r="M128" s="272">
        <f>RANK(K128, K$112:$K$141)</f>
        <v>23</v>
      </c>
      <c r="N128" s="462"/>
      <c r="O128" s="462"/>
      <c r="P128" s="166">
        <v>18</v>
      </c>
      <c r="Q128" s="166">
        <v>1294.2857142857151</v>
      </c>
      <c r="R128" s="166">
        <v>71.904761904761955</v>
      </c>
      <c r="S128" s="180">
        <f t="shared" si="28"/>
        <v>20</v>
      </c>
      <c r="T128" s="486"/>
      <c r="U128" s="166">
        <v>18</v>
      </c>
      <c r="V128" s="166">
        <v>1265.3571428571438</v>
      </c>
      <c r="W128" s="166">
        <v>70.297619047619094</v>
      </c>
      <c r="X128" s="180">
        <f t="shared" si="29"/>
        <v>25</v>
      </c>
      <c r="Y128" s="486"/>
      <c r="Z128" s="166">
        <v>18</v>
      </c>
      <c r="AA128" s="166">
        <v>1258.8000000000004</v>
      </c>
      <c r="AB128" s="166">
        <v>69.933333333333351</v>
      </c>
      <c r="AC128" s="180">
        <f t="shared" si="30"/>
        <v>23</v>
      </c>
      <c r="AD128" s="486"/>
      <c r="AE128" s="166">
        <v>18</v>
      </c>
      <c r="AF128" s="166">
        <v>1272.9411764705887</v>
      </c>
      <c r="AG128" s="166">
        <v>70.718954248366046</v>
      </c>
      <c r="AH128" s="180">
        <f t="shared" si="31"/>
        <v>24</v>
      </c>
      <c r="AI128" s="486"/>
      <c r="AJ128" s="166">
        <v>18</v>
      </c>
      <c r="AK128" s="166">
        <v>1235.4545454545455</v>
      </c>
      <c r="AL128" s="166">
        <v>68.63636363636364</v>
      </c>
      <c r="AM128" s="180">
        <f t="shared" si="32"/>
        <v>23</v>
      </c>
      <c r="AN128" s="486"/>
      <c r="AO128" s="166">
        <v>18</v>
      </c>
      <c r="AP128" s="166">
        <v>1248.7500000000005</v>
      </c>
      <c r="AQ128" s="166">
        <v>69.375000000000028</v>
      </c>
      <c r="AR128" s="180">
        <f t="shared" si="33"/>
        <v>25</v>
      </c>
      <c r="AS128" s="486"/>
      <c r="AT128" s="166">
        <v>18</v>
      </c>
      <c r="AU128" s="166">
        <v>1265.1063829787236</v>
      </c>
      <c r="AV128" s="166">
        <v>70.283687943262422</v>
      </c>
      <c r="AW128" s="180">
        <f t="shared" si="34"/>
        <v>22</v>
      </c>
      <c r="AX128" s="486"/>
    </row>
    <row r="129" spans="2:50">
      <c r="B129" s="479"/>
      <c r="C129" s="180">
        <v>18</v>
      </c>
      <c r="D129" s="201" t="s">
        <v>428</v>
      </c>
      <c r="E129" s="166">
        <v>18</v>
      </c>
      <c r="F129" s="180">
        <v>1440</v>
      </c>
      <c r="G129" s="265">
        <v>80</v>
      </c>
      <c r="H129" s="460"/>
      <c r="I129" s="166">
        <f t="shared" si="27"/>
        <v>17.142857142857142</v>
      </c>
      <c r="J129" s="166">
        <f t="shared" si="27"/>
        <v>1135.8911227021804</v>
      </c>
      <c r="K129" s="265">
        <f t="shared" si="27"/>
        <v>66.232624397980729</v>
      </c>
      <c r="L129" s="460"/>
      <c r="M129" s="272">
        <f>RANK(K129, K$112:$K$141)</f>
        <v>25</v>
      </c>
      <c r="N129" s="462"/>
      <c r="O129" s="462"/>
      <c r="P129" s="166">
        <v>17</v>
      </c>
      <c r="Q129" s="166">
        <v>1109.9999999999982</v>
      </c>
      <c r="R129" s="166">
        <v>65.294117647058712</v>
      </c>
      <c r="S129" s="180">
        <f t="shared" si="28"/>
        <v>26</v>
      </c>
      <c r="T129" s="486"/>
      <c r="U129" s="166">
        <v>17</v>
      </c>
      <c r="V129" s="166">
        <v>1075.7142857142835</v>
      </c>
      <c r="W129" s="166">
        <v>63.277310924369615</v>
      </c>
      <c r="X129" s="180">
        <f t="shared" si="29"/>
        <v>27</v>
      </c>
      <c r="Y129" s="486"/>
      <c r="Z129" s="166">
        <v>17</v>
      </c>
      <c r="AA129" s="166">
        <v>1063.8461538461511</v>
      </c>
      <c r="AB129" s="166">
        <v>62.579185520361825</v>
      </c>
      <c r="AC129" s="180">
        <f t="shared" si="30"/>
        <v>27</v>
      </c>
      <c r="AD129" s="486"/>
      <c r="AE129" s="166">
        <v>17</v>
      </c>
      <c r="AF129" s="166">
        <v>1070.3225806451596</v>
      </c>
      <c r="AG129" s="166">
        <v>62.960151802656448</v>
      </c>
      <c r="AH129" s="180">
        <f t="shared" si="31"/>
        <v>27</v>
      </c>
      <c r="AI129" s="486"/>
      <c r="AJ129" s="166">
        <v>17</v>
      </c>
      <c r="AK129" s="166">
        <v>1099.3548387096755</v>
      </c>
      <c r="AL129" s="166">
        <v>64.667931688804444</v>
      </c>
      <c r="AM129" s="180">
        <f t="shared" si="32"/>
        <v>25</v>
      </c>
      <c r="AN129" s="486"/>
      <c r="AO129" s="166">
        <v>17</v>
      </c>
      <c r="AP129" s="166">
        <v>1279.9999999999977</v>
      </c>
      <c r="AQ129" s="166">
        <v>75.294117647058684</v>
      </c>
      <c r="AR129" s="180">
        <f t="shared" si="33"/>
        <v>12</v>
      </c>
      <c r="AS129" s="486"/>
      <c r="AT129" s="166">
        <v>18</v>
      </c>
      <c r="AU129" s="166">
        <v>1251.9999999999977</v>
      </c>
      <c r="AV129" s="166">
        <v>69.555555555555429</v>
      </c>
      <c r="AW129" s="180">
        <f t="shared" si="34"/>
        <v>24</v>
      </c>
      <c r="AX129" s="486"/>
    </row>
    <row r="130" spans="2:50">
      <c r="B130" s="479"/>
      <c r="C130" s="180">
        <v>19</v>
      </c>
      <c r="D130" s="201" t="s">
        <v>462</v>
      </c>
      <c r="E130" s="166">
        <v>17</v>
      </c>
      <c r="F130" s="180">
        <v>1385</v>
      </c>
      <c r="G130" s="265">
        <v>81.400000000000006</v>
      </c>
      <c r="H130" s="460"/>
      <c r="I130" s="166">
        <f t="shared" si="27"/>
        <v>17</v>
      </c>
      <c r="J130" s="166">
        <f t="shared" si="27"/>
        <v>1203.2391088748204</v>
      </c>
      <c r="K130" s="265">
        <f t="shared" si="27"/>
        <v>70.778771110283557</v>
      </c>
      <c r="L130" s="460"/>
      <c r="M130" s="272">
        <f>RANK(K130, K$112:$K$141)</f>
        <v>22</v>
      </c>
      <c r="N130" s="462"/>
      <c r="O130" s="462"/>
      <c r="P130" s="166">
        <v>17</v>
      </c>
      <c r="Q130" s="166">
        <v>1210.9090909090901</v>
      </c>
      <c r="R130" s="166">
        <v>71.229946524064118</v>
      </c>
      <c r="S130" s="180">
        <f t="shared" si="28"/>
        <v>22</v>
      </c>
      <c r="T130" s="486"/>
      <c r="U130" s="166">
        <v>17</v>
      </c>
      <c r="V130" s="166">
        <v>1195.1020408163267</v>
      </c>
      <c r="W130" s="166">
        <v>70.300120048019224</v>
      </c>
      <c r="X130" s="180">
        <f t="shared" si="29"/>
        <v>24</v>
      </c>
      <c r="Y130" s="486"/>
      <c r="Z130" s="166">
        <v>17</v>
      </c>
      <c r="AA130" s="166">
        <v>1184.1176470588221</v>
      </c>
      <c r="AB130" s="166">
        <v>69.653979238754232</v>
      </c>
      <c r="AC130" s="180">
        <f t="shared" si="30"/>
        <v>25</v>
      </c>
      <c r="AD130" s="486"/>
      <c r="AE130" s="166">
        <v>17</v>
      </c>
      <c r="AF130" s="166">
        <v>1209.9999999999995</v>
      </c>
      <c r="AG130" s="166">
        <v>71.176470588235262</v>
      </c>
      <c r="AH130" s="180">
        <f t="shared" si="31"/>
        <v>20</v>
      </c>
      <c r="AI130" s="486"/>
      <c r="AJ130" s="166">
        <v>17</v>
      </c>
      <c r="AK130" s="166">
        <v>1164.0000000000018</v>
      </c>
      <c r="AL130" s="166">
        <v>68.47058823529423</v>
      </c>
      <c r="AM130" s="180">
        <f t="shared" si="32"/>
        <v>24</v>
      </c>
      <c r="AN130" s="486"/>
      <c r="AO130" s="166">
        <v>17</v>
      </c>
      <c r="AP130" s="166">
        <v>1246.2162162162153</v>
      </c>
      <c r="AQ130" s="166">
        <v>73.306836248012672</v>
      </c>
      <c r="AR130" s="180">
        <f t="shared" si="33"/>
        <v>20</v>
      </c>
      <c r="AS130" s="486"/>
      <c r="AT130" s="166">
        <v>17</v>
      </c>
      <c r="AU130" s="166">
        <v>1212.3287671232868</v>
      </c>
      <c r="AV130" s="166">
        <v>71.313456889605106</v>
      </c>
      <c r="AW130" s="180">
        <f t="shared" si="34"/>
        <v>18</v>
      </c>
      <c r="AX130" s="486"/>
    </row>
    <row r="131" spans="2:50">
      <c r="B131" s="479"/>
      <c r="C131" s="180">
        <v>20</v>
      </c>
      <c r="D131" s="201" t="s">
        <v>523</v>
      </c>
      <c r="E131" s="166">
        <v>17</v>
      </c>
      <c r="F131" s="180">
        <v>1440</v>
      </c>
      <c r="G131" s="265">
        <v>84.7</v>
      </c>
      <c r="H131" s="460"/>
      <c r="I131" s="166">
        <f t="shared" si="27"/>
        <v>17.142857142857142</v>
      </c>
      <c r="J131" s="166">
        <f t="shared" si="27"/>
        <v>1269.42647453167</v>
      </c>
      <c r="K131" s="265">
        <f t="shared" si="27"/>
        <v>74.082294235541013</v>
      </c>
      <c r="L131" s="460"/>
      <c r="M131" s="272">
        <f>RANK(K131, K$112:$K$141)</f>
        <v>15</v>
      </c>
      <c r="N131" s="462"/>
      <c r="O131" s="462"/>
      <c r="P131" s="166">
        <v>17</v>
      </c>
      <c r="Q131" s="166">
        <v>1296</v>
      </c>
      <c r="R131" s="166">
        <v>76.235294117647058</v>
      </c>
      <c r="S131" s="180">
        <f t="shared" si="28"/>
        <v>11</v>
      </c>
      <c r="T131" s="486"/>
      <c r="U131" s="166">
        <v>17</v>
      </c>
      <c r="V131" s="166">
        <v>1281.3333333333333</v>
      </c>
      <c r="W131" s="166">
        <v>75.372549019607845</v>
      </c>
      <c r="X131" s="180">
        <f t="shared" si="29"/>
        <v>13</v>
      </c>
      <c r="Y131" s="486"/>
      <c r="Z131" s="166">
        <v>17</v>
      </c>
      <c r="AA131" s="166">
        <v>1262.9999999999995</v>
      </c>
      <c r="AB131" s="166">
        <v>74.294117647058798</v>
      </c>
      <c r="AC131" s="180">
        <f t="shared" si="30"/>
        <v>16</v>
      </c>
      <c r="AD131" s="486"/>
      <c r="AE131" s="166">
        <v>17</v>
      </c>
      <c r="AF131" s="166">
        <v>1251.0638297872342</v>
      </c>
      <c r="AG131" s="166">
        <v>73.591989987484368</v>
      </c>
      <c r="AH131" s="180">
        <f t="shared" si="31"/>
        <v>16</v>
      </c>
      <c r="AI131" s="486"/>
      <c r="AJ131" s="166">
        <v>17</v>
      </c>
      <c r="AK131" s="166">
        <v>1267.0588235294124</v>
      </c>
      <c r="AL131" s="166">
        <v>74.532871972318375</v>
      </c>
      <c r="AM131" s="180">
        <f t="shared" si="32"/>
        <v>13</v>
      </c>
      <c r="AN131" s="486"/>
      <c r="AO131" s="166">
        <v>17</v>
      </c>
      <c r="AP131" s="166">
        <v>1264.0677966101705</v>
      </c>
      <c r="AQ131" s="166">
        <v>74.356929212362971</v>
      </c>
      <c r="AR131" s="180">
        <f t="shared" si="33"/>
        <v>16</v>
      </c>
      <c r="AS131" s="486"/>
      <c r="AT131" s="166">
        <v>18</v>
      </c>
      <c r="AU131" s="166">
        <v>1263.4615384615392</v>
      </c>
      <c r="AV131" s="166">
        <v>70.192307692307736</v>
      </c>
      <c r="AW131" s="180">
        <f t="shared" si="34"/>
        <v>23</v>
      </c>
      <c r="AX131" s="486"/>
    </row>
    <row r="132" spans="2:50">
      <c r="B132" s="479"/>
      <c r="C132" s="180">
        <v>21</v>
      </c>
      <c r="D132" s="201" t="s">
        <v>549</v>
      </c>
      <c r="E132" s="166">
        <v>17</v>
      </c>
      <c r="F132" s="180">
        <v>1500</v>
      </c>
      <c r="G132" s="265">
        <v>88.2</v>
      </c>
      <c r="H132" s="460"/>
      <c r="I132" s="166">
        <f t="shared" si="27"/>
        <v>17</v>
      </c>
      <c r="J132" s="166">
        <f t="shared" si="27"/>
        <v>1294.3406052319094</v>
      </c>
      <c r="K132" s="265">
        <f t="shared" si="27"/>
        <v>76.137682660700534</v>
      </c>
      <c r="L132" s="460"/>
      <c r="M132" s="272">
        <f>RANK(K132, K$112:$K$141)</f>
        <v>11</v>
      </c>
      <c r="N132" s="462"/>
      <c r="O132" s="462"/>
      <c r="P132" s="166">
        <v>17</v>
      </c>
      <c r="Q132" s="166">
        <v>1285.7142857142849</v>
      </c>
      <c r="R132" s="166">
        <v>75.630252100840281</v>
      </c>
      <c r="S132" s="180">
        <f t="shared" si="28"/>
        <v>14</v>
      </c>
      <c r="T132" s="486"/>
      <c r="U132" s="166">
        <v>17</v>
      </c>
      <c r="V132" s="166">
        <v>1302.7397260273963</v>
      </c>
      <c r="W132" s="166">
        <v>76.631748589846836</v>
      </c>
      <c r="X132" s="180">
        <f t="shared" si="29"/>
        <v>11</v>
      </c>
      <c r="Y132" s="486"/>
      <c r="Z132" s="166">
        <v>17</v>
      </c>
      <c r="AA132" s="166">
        <v>1299.1304347826074</v>
      </c>
      <c r="AB132" s="166">
        <v>76.41943734015338</v>
      </c>
      <c r="AC132" s="180">
        <f t="shared" si="30"/>
        <v>12</v>
      </c>
      <c r="AD132" s="486"/>
      <c r="AE132" s="166">
        <v>17</v>
      </c>
      <c r="AF132" s="166">
        <v>1325.7534246575333</v>
      </c>
      <c r="AG132" s="166">
        <v>77.985495568090187</v>
      </c>
      <c r="AH132" s="180">
        <f t="shared" si="31"/>
        <v>11</v>
      </c>
      <c r="AI132" s="486"/>
      <c r="AJ132" s="166">
        <v>17</v>
      </c>
      <c r="AK132" s="166">
        <v>1273.7349397590358</v>
      </c>
      <c r="AL132" s="166">
        <v>74.925584691707982</v>
      </c>
      <c r="AM132" s="180">
        <f t="shared" si="32"/>
        <v>12</v>
      </c>
      <c r="AN132" s="486"/>
      <c r="AO132" s="166">
        <v>17</v>
      </c>
      <c r="AP132" s="166">
        <v>1295.8695652173915</v>
      </c>
      <c r="AQ132" s="166">
        <v>76.22762148337597</v>
      </c>
      <c r="AR132" s="180">
        <f t="shared" si="33"/>
        <v>10</v>
      </c>
      <c r="AS132" s="486"/>
      <c r="AT132" s="166">
        <v>17</v>
      </c>
      <c r="AU132" s="166">
        <v>1277.4418604651162</v>
      </c>
      <c r="AV132" s="166">
        <v>75.143638850889189</v>
      </c>
      <c r="AW132" s="180">
        <f t="shared" si="34"/>
        <v>13</v>
      </c>
      <c r="AX132" s="486"/>
    </row>
    <row r="133" spans="2:50">
      <c r="B133" s="479"/>
      <c r="C133" s="180">
        <v>22</v>
      </c>
      <c r="D133" s="201" t="s">
        <v>558</v>
      </c>
      <c r="E133" s="166">
        <v>18</v>
      </c>
      <c r="F133" s="180">
        <v>1500</v>
      </c>
      <c r="G133" s="265">
        <v>83.3</v>
      </c>
      <c r="H133" s="460"/>
      <c r="I133" s="166">
        <f t="shared" si="27"/>
        <v>18</v>
      </c>
      <c r="J133" s="166">
        <f t="shared" si="27"/>
        <v>1322.5354761069036</v>
      </c>
      <c r="K133" s="265">
        <f t="shared" si="27"/>
        <v>73.474193117050234</v>
      </c>
      <c r="L133" s="460"/>
      <c r="M133" s="272">
        <f>RANK(K133, K$112:$K$141)</f>
        <v>17</v>
      </c>
      <c r="N133" s="462"/>
      <c r="O133" s="462"/>
      <c r="P133" s="166">
        <v>18</v>
      </c>
      <c r="Q133" s="166">
        <v>1360.0000000000007</v>
      </c>
      <c r="R133" s="166">
        <v>75.5555555555556</v>
      </c>
      <c r="S133" s="180">
        <f t="shared" si="28"/>
        <v>15</v>
      </c>
      <c r="T133" s="486"/>
      <c r="U133" s="166">
        <v>18</v>
      </c>
      <c r="V133" s="166">
        <v>1339.2857142857151</v>
      </c>
      <c r="W133" s="166">
        <v>74.404761904761955</v>
      </c>
      <c r="X133" s="180">
        <f t="shared" si="29"/>
        <v>15</v>
      </c>
      <c r="Y133" s="486"/>
      <c r="Z133" s="166">
        <v>18</v>
      </c>
      <c r="AA133" s="166">
        <v>1320.0000000000011</v>
      </c>
      <c r="AB133" s="166">
        <v>73.3333333333334</v>
      </c>
      <c r="AC133" s="180">
        <f t="shared" si="30"/>
        <v>20</v>
      </c>
      <c r="AD133" s="486"/>
      <c r="AE133" s="166">
        <v>18</v>
      </c>
      <c r="AF133" s="166">
        <v>1247.9999999999925</v>
      </c>
      <c r="AG133" s="166">
        <v>69.333333333332916</v>
      </c>
      <c r="AH133" s="180">
        <f t="shared" si="31"/>
        <v>25</v>
      </c>
      <c r="AI133" s="486"/>
      <c r="AJ133" s="166">
        <v>18</v>
      </c>
      <c r="AK133" s="166">
        <v>1306.2857142857131</v>
      </c>
      <c r="AL133" s="166">
        <v>72.571428571428498</v>
      </c>
      <c r="AM133" s="180">
        <f t="shared" si="32"/>
        <v>17</v>
      </c>
      <c r="AN133" s="486"/>
      <c r="AO133" s="166">
        <v>18</v>
      </c>
      <c r="AP133" s="166">
        <v>1323.6363636363651</v>
      </c>
      <c r="AQ133" s="166">
        <v>73.535353535353622</v>
      </c>
      <c r="AR133" s="180">
        <f t="shared" si="33"/>
        <v>18</v>
      </c>
      <c r="AS133" s="486"/>
      <c r="AT133" s="166">
        <v>18</v>
      </c>
      <c r="AU133" s="166">
        <v>1360.5405405405395</v>
      </c>
      <c r="AV133" s="166">
        <v>75.585585585585534</v>
      </c>
      <c r="AW133" s="180">
        <f t="shared" si="34"/>
        <v>11</v>
      </c>
      <c r="AX133" s="486"/>
    </row>
    <row r="134" spans="2:50">
      <c r="B134" s="479"/>
      <c r="C134" s="180">
        <v>23</v>
      </c>
      <c r="D134" s="201" t="s">
        <v>559</v>
      </c>
      <c r="E134" s="166">
        <v>20</v>
      </c>
      <c r="F134" s="180">
        <v>1380</v>
      </c>
      <c r="G134" s="265">
        <v>69</v>
      </c>
      <c r="H134" s="460"/>
      <c r="I134" s="166">
        <f t="shared" si="27"/>
        <v>19.571428571428573</v>
      </c>
      <c r="J134" s="166">
        <f t="shared" si="27"/>
        <v>1083.243405626547</v>
      </c>
      <c r="K134" s="265">
        <f t="shared" si="27"/>
        <v>55.361546008975999</v>
      </c>
      <c r="L134" s="460"/>
      <c r="M134" s="272">
        <f>RANK(K134, K$112:$K$141)</f>
        <v>27</v>
      </c>
      <c r="N134" s="462"/>
      <c r="O134" s="462"/>
      <c r="P134" s="166">
        <v>20</v>
      </c>
      <c r="Q134" s="166">
        <v>1095.4054054054045</v>
      </c>
      <c r="R134" s="166">
        <v>54.770270270270224</v>
      </c>
      <c r="S134" s="180">
        <f t="shared" si="28"/>
        <v>30</v>
      </c>
      <c r="T134" s="486"/>
      <c r="U134" s="166">
        <v>19</v>
      </c>
      <c r="V134" s="166">
        <v>1052.3684210526308</v>
      </c>
      <c r="W134" s="166">
        <v>55.387811634348985</v>
      </c>
      <c r="X134" s="180">
        <f t="shared" si="29"/>
        <v>30</v>
      </c>
      <c r="Y134" s="486"/>
      <c r="Z134" s="166">
        <v>19</v>
      </c>
      <c r="AA134" s="166">
        <v>1051.3043478260859</v>
      </c>
      <c r="AB134" s="166">
        <v>55.331807780320311</v>
      </c>
      <c r="AC134" s="180">
        <f t="shared" si="30"/>
        <v>30</v>
      </c>
      <c r="AD134" s="486"/>
      <c r="AE134" s="166">
        <v>19</v>
      </c>
      <c r="AF134" s="166">
        <v>1086.6666666666658</v>
      </c>
      <c r="AG134" s="166">
        <v>57.192982456140307</v>
      </c>
      <c r="AH134" s="180">
        <f t="shared" si="31"/>
        <v>29</v>
      </c>
      <c r="AI134" s="486"/>
      <c r="AJ134" s="166">
        <v>20</v>
      </c>
      <c r="AK134" s="166">
        <v>1114.6478873239375</v>
      </c>
      <c r="AL134" s="166">
        <v>55.732394366196878</v>
      </c>
      <c r="AM134" s="180">
        <f t="shared" si="32"/>
        <v>30</v>
      </c>
      <c r="AN134" s="486"/>
      <c r="AO134" s="166">
        <v>20</v>
      </c>
      <c r="AP134" s="166">
        <v>1071.1111111111106</v>
      </c>
      <c r="AQ134" s="166">
        <v>53.555555555555529</v>
      </c>
      <c r="AR134" s="180">
        <f t="shared" si="33"/>
        <v>30</v>
      </c>
      <c r="AS134" s="486"/>
      <c r="AT134" s="166">
        <v>20</v>
      </c>
      <c r="AU134" s="166">
        <v>1111.1999999999944</v>
      </c>
      <c r="AV134" s="166">
        <v>55.559999999999718</v>
      </c>
      <c r="AW134" s="180">
        <f t="shared" si="34"/>
        <v>30</v>
      </c>
      <c r="AX134" s="486"/>
    </row>
    <row r="135" spans="2:50">
      <c r="B135" s="479"/>
      <c r="C135" s="180">
        <v>24</v>
      </c>
      <c r="D135" s="201" t="s">
        <v>595</v>
      </c>
      <c r="E135" s="166">
        <v>16</v>
      </c>
      <c r="F135" s="180">
        <v>1565</v>
      </c>
      <c r="G135" s="265">
        <v>97.8</v>
      </c>
      <c r="H135" s="460"/>
      <c r="I135" s="166">
        <f t="shared" si="27"/>
        <v>17</v>
      </c>
      <c r="J135" s="166">
        <f t="shared" si="27"/>
        <v>1281.6444898685211</v>
      </c>
      <c r="K135" s="265">
        <f t="shared" si="27"/>
        <v>75.390852345207122</v>
      </c>
      <c r="L135" s="460"/>
      <c r="M135" s="272">
        <f>RANK(K135, K$112:$K$141)</f>
        <v>12</v>
      </c>
      <c r="N135" s="462"/>
      <c r="O135" s="462"/>
      <c r="P135" s="166">
        <v>17</v>
      </c>
      <c r="Q135" s="166">
        <v>1308.3582089552256</v>
      </c>
      <c r="R135" s="166">
        <v>76.962247585601503</v>
      </c>
      <c r="S135" s="180">
        <f t="shared" si="28"/>
        <v>10</v>
      </c>
      <c r="T135" s="486"/>
      <c r="U135" s="166">
        <v>17</v>
      </c>
      <c r="V135" s="166">
        <v>1291.3846153846168</v>
      </c>
      <c r="W135" s="166">
        <v>75.963800904977461</v>
      </c>
      <c r="X135" s="180">
        <f t="shared" si="29"/>
        <v>12</v>
      </c>
      <c r="Y135" s="486"/>
      <c r="Z135" s="166">
        <v>17</v>
      </c>
      <c r="AA135" s="166">
        <v>1272.0000000000014</v>
      </c>
      <c r="AB135" s="166">
        <v>74.823529411764781</v>
      </c>
      <c r="AC135" s="180">
        <f t="shared" si="30"/>
        <v>14</v>
      </c>
      <c r="AD135" s="486"/>
      <c r="AE135" s="166">
        <v>17</v>
      </c>
      <c r="AF135" s="166">
        <v>1254.4615384615397</v>
      </c>
      <c r="AG135" s="166">
        <v>73.791855203619988</v>
      </c>
      <c r="AH135" s="180">
        <f t="shared" si="31"/>
        <v>15</v>
      </c>
      <c r="AI135" s="486"/>
      <c r="AJ135" s="166">
        <v>17</v>
      </c>
      <c r="AK135" s="166">
        <v>1291.4285714285729</v>
      </c>
      <c r="AL135" s="166">
        <v>75.966386554621934</v>
      </c>
      <c r="AM135" s="180">
        <f t="shared" si="32"/>
        <v>10</v>
      </c>
      <c r="AN135" s="486"/>
      <c r="AO135" s="166">
        <v>17</v>
      </c>
      <c r="AP135" s="166">
        <v>1262.5352112676044</v>
      </c>
      <c r="AQ135" s="166">
        <v>74.266777133388487</v>
      </c>
      <c r="AR135" s="180">
        <f t="shared" si="33"/>
        <v>17</v>
      </c>
      <c r="AS135" s="486"/>
      <c r="AT135" s="166">
        <v>17</v>
      </c>
      <c r="AU135" s="166">
        <v>1291.3432835820879</v>
      </c>
      <c r="AV135" s="166">
        <v>75.961369622475758</v>
      </c>
      <c r="AW135" s="180">
        <f t="shared" si="34"/>
        <v>10</v>
      </c>
      <c r="AX135" s="486"/>
    </row>
    <row r="136" spans="2:50">
      <c r="B136" s="479"/>
      <c r="C136" s="180">
        <v>25</v>
      </c>
      <c r="D136" s="201" t="s">
        <v>596</v>
      </c>
      <c r="E136" s="166">
        <v>19</v>
      </c>
      <c r="F136" s="180">
        <v>1385</v>
      </c>
      <c r="G136" s="265">
        <v>72.900000000000006</v>
      </c>
      <c r="H136" s="460"/>
      <c r="I136" s="166">
        <f t="shared" ref="I136:K138" si="35">AVERAGE(P136,U136,Z136,AE136,AJ136,AO136,AT136)</f>
        <v>19</v>
      </c>
      <c r="J136" s="166">
        <f t="shared" si="35"/>
        <v>1091.7750203709907</v>
      </c>
      <c r="K136" s="265">
        <f t="shared" si="35"/>
        <v>57.461843177420555</v>
      </c>
      <c r="L136" s="460"/>
      <c r="M136" s="272">
        <f>RANK(K136, K$112:$K$141)</f>
        <v>26</v>
      </c>
      <c r="N136" s="462"/>
      <c r="O136" s="462"/>
      <c r="P136" s="166">
        <v>19</v>
      </c>
      <c r="Q136" s="166">
        <v>1116</v>
      </c>
      <c r="R136" s="166">
        <v>58.736842105263158</v>
      </c>
      <c r="S136" s="180">
        <f t="shared" si="28"/>
        <v>28</v>
      </c>
      <c r="T136" s="486"/>
      <c r="U136" s="166">
        <v>19</v>
      </c>
      <c r="V136" s="166">
        <v>1120.9756097560971</v>
      </c>
      <c r="W136" s="166">
        <v>58.998716302952481</v>
      </c>
      <c r="X136" s="180">
        <f t="shared" si="29"/>
        <v>28</v>
      </c>
      <c r="Y136" s="486"/>
      <c r="Z136" s="166">
        <v>19</v>
      </c>
      <c r="AA136" s="166">
        <v>1103.4782608695641</v>
      </c>
      <c r="AB136" s="166">
        <v>58.077803203661269</v>
      </c>
      <c r="AC136" s="180">
        <f t="shared" si="30"/>
        <v>28</v>
      </c>
      <c r="AD136" s="486"/>
      <c r="AE136" s="166">
        <v>19</v>
      </c>
      <c r="AF136" s="166">
        <v>1081.6216216216208</v>
      </c>
      <c r="AG136" s="166">
        <v>56.927453769558987</v>
      </c>
      <c r="AH136" s="180">
        <f t="shared" si="31"/>
        <v>30</v>
      </c>
      <c r="AI136" s="486"/>
      <c r="AJ136" s="166">
        <v>19</v>
      </c>
      <c r="AK136" s="166">
        <v>1067.0769230769242</v>
      </c>
      <c r="AL136" s="166">
        <v>56.161943319838116</v>
      </c>
      <c r="AM136" s="180">
        <f t="shared" si="32"/>
        <v>29</v>
      </c>
      <c r="AN136" s="486"/>
      <c r="AO136" s="166">
        <v>19</v>
      </c>
      <c r="AP136" s="166">
        <v>1085.9999999999989</v>
      </c>
      <c r="AQ136" s="166">
        <v>57.157894736842046</v>
      </c>
      <c r="AR136" s="180">
        <f t="shared" si="33"/>
        <v>28</v>
      </c>
      <c r="AS136" s="486"/>
      <c r="AT136" s="166">
        <v>19</v>
      </c>
      <c r="AU136" s="166">
        <v>1067.2727272727284</v>
      </c>
      <c r="AV136" s="166">
        <v>56.172248803827813</v>
      </c>
      <c r="AW136" s="180">
        <f t="shared" si="34"/>
        <v>29</v>
      </c>
      <c r="AX136" s="486"/>
    </row>
    <row r="137" spans="2:50">
      <c r="B137" s="479"/>
      <c r="C137" s="180">
        <v>26</v>
      </c>
      <c r="D137" s="201" t="s">
        <v>597</v>
      </c>
      <c r="E137" s="166">
        <v>18</v>
      </c>
      <c r="F137" s="180">
        <v>1440</v>
      </c>
      <c r="G137" s="265">
        <v>80</v>
      </c>
      <c r="H137" s="460"/>
      <c r="I137" s="166">
        <f t="shared" si="35"/>
        <v>18</v>
      </c>
      <c r="J137" s="166">
        <f t="shared" si="35"/>
        <v>1194.369696549895</v>
      </c>
      <c r="K137" s="265">
        <f t="shared" si="35"/>
        <v>66.353872030549709</v>
      </c>
      <c r="L137" s="460"/>
      <c r="M137" s="272">
        <f>RANK(K137, K$112:$K$141)</f>
        <v>24</v>
      </c>
      <c r="N137" s="462"/>
      <c r="O137" s="462"/>
      <c r="P137" s="166">
        <v>18</v>
      </c>
      <c r="Q137" s="166">
        <v>1253.8461538461531</v>
      </c>
      <c r="R137" s="166">
        <v>69.658119658119617</v>
      </c>
      <c r="S137" s="180">
        <f t="shared" si="28"/>
        <v>25</v>
      </c>
      <c r="T137" s="486"/>
      <c r="U137" s="166">
        <v>18</v>
      </c>
      <c r="V137" s="166">
        <v>1294.5454545454529</v>
      </c>
      <c r="W137" s="166">
        <v>71.919191919191832</v>
      </c>
      <c r="X137" s="180">
        <f t="shared" si="29"/>
        <v>21</v>
      </c>
      <c r="Y137" s="486"/>
      <c r="Z137" s="166">
        <v>18</v>
      </c>
      <c r="AA137" s="166">
        <v>1257.9310344827563</v>
      </c>
      <c r="AB137" s="166">
        <v>69.885057471264247</v>
      </c>
      <c r="AC137" s="180">
        <f t="shared" si="30"/>
        <v>24</v>
      </c>
      <c r="AD137" s="486"/>
      <c r="AE137" s="166">
        <v>18</v>
      </c>
      <c r="AF137" s="166">
        <v>1279.3548387096753</v>
      </c>
      <c r="AG137" s="166">
        <v>71.075268817204176</v>
      </c>
      <c r="AH137" s="180">
        <f t="shared" si="31"/>
        <v>21</v>
      </c>
      <c r="AI137" s="486"/>
      <c r="AJ137" s="166">
        <v>18</v>
      </c>
      <c r="AK137" s="166">
        <v>1095.5555555555529</v>
      </c>
      <c r="AL137" s="166">
        <v>60.864197530864054</v>
      </c>
      <c r="AM137" s="180">
        <f t="shared" si="32"/>
        <v>27</v>
      </c>
      <c r="AN137" s="486"/>
      <c r="AO137" s="166">
        <v>18</v>
      </c>
      <c r="AP137" s="166">
        <v>1078.0645161290306</v>
      </c>
      <c r="AQ137" s="166">
        <v>59.892473118279476</v>
      </c>
      <c r="AR137" s="180">
        <f t="shared" si="33"/>
        <v>27</v>
      </c>
      <c r="AS137" s="486"/>
      <c r="AT137" s="166">
        <v>18</v>
      </c>
      <c r="AU137" s="166">
        <v>1101.2903225806435</v>
      </c>
      <c r="AV137" s="166">
        <v>61.182795698924643</v>
      </c>
      <c r="AW137" s="180">
        <f t="shared" si="34"/>
        <v>26</v>
      </c>
      <c r="AX137" s="486"/>
    </row>
    <row r="138" spans="2:50">
      <c r="B138" s="479"/>
      <c r="C138" s="180">
        <v>27</v>
      </c>
      <c r="D138" s="201" t="s">
        <v>598</v>
      </c>
      <c r="E138" s="166">
        <v>16</v>
      </c>
      <c r="F138" s="180">
        <v>1440</v>
      </c>
      <c r="G138" s="265">
        <v>90</v>
      </c>
      <c r="H138" s="460"/>
      <c r="I138" s="166">
        <f t="shared" si="35"/>
        <v>15.571428571428571</v>
      </c>
      <c r="J138" s="166">
        <f t="shared" si="35"/>
        <v>1274.6932768991639</v>
      </c>
      <c r="K138" s="265">
        <f t="shared" si="35"/>
        <v>81.937868204632778</v>
      </c>
      <c r="L138" s="460"/>
      <c r="M138" s="272">
        <f>RANK(K138, K$112:$K$141)</f>
        <v>6</v>
      </c>
      <c r="N138" s="462"/>
      <c r="O138" s="462"/>
      <c r="P138" s="166">
        <v>16</v>
      </c>
      <c r="Q138" s="166">
        <v>1264.761904761906</v>
      </c>
      <c r="R138" s="166">
        <v>79.047619047619122</v>
      </c>
      <c r="S138" s="180">
        <f t="shared" si="28"/>
        <v>7</v>
      </c>
      <c r="T138" s="486"/>
      <c r="U138" s="166">
        <v>16</v>
      </c>
      <c r="V138" s="166">
        <v>1310.8474576271196</v>
      </c>
      <c r="W138" s="166">
        <v>81.927966101694977</v>
      </c>
      <c r="X138" s="180">
        <f t="shared" si="29"/>
        <v>6</v>
      </c>
      <c r="Y138" s="486"/>
      <c r="Z138" s="166">
        <v>16</v>
      </c>
      <c r="AA138" s="166">
        <v>1255.471698113208</v>
      </c>
      <c r="AB138" s="166">
        <v>78.466981132075503</v>
      </c>
      <c r="AC138" s="180">
        <f t="shared" si="30"/>
        <v>9</v>
      </c>
      <c r="AD138" s="486"/>
      <c r="AE138" s="166">
        <v>16</v>
      </c>
      <c r="AF138" s="166">
        <v>1278.9473684210536</v>
      </c>
      <c r="AG138" s="166">
        <v>79.934210526315852</v>
      </c>
      <c r="AH138" s="180">
        <f t="shared" si="31"/>
        <v>8</v>
      </c>
      <c r="AI138" s="486"/>
      <c r="AJ138" s="166">
        <v>15</v>
      </c>
      <c r="AK138" s="166">
        <v>1293.9130434782608</v>
      </c>
      <c r="AL138" s="166">
        <v>86.260869565217391</v>
      </c>
      <c r="AM138" s="180">
        <f t="shared" si="32"/>
        <v>3</v>
      </c>
      <c r="AN138" s="486"/>
      <c r="AO138" s="166">
        <v>15</v>
      </c>
      <c r="AP138" s="166">
        <v>1256.6037735849063</v>
      </c>
      <c r="AQ138" s="166">
        <v>83.773584905660428</v>
      </c>
      <c r="AR138" s="180">
        <f t="shared" si="33"/>
        <v>6</v>
      </c>
      <c r="AS138" s="486"/>
      <c r="AT138" s="166">
        <v>15</v>
      </c>
      <c r="AU138" s="166">
        <v>1262.3076923076931</v>
      </c>
      <c r="AV138" s="166">
        <v>84.153846153846203</v>
      </c>
      <c r="AW138" s="180">
        <f t="shared" si="34"/>
        <v>4</v>
      </c>
      <c r="AX138" s="486"/>
    </row>
    <row r="139" spans="2:50">
      <c r="B139" s="479"/>
      <c r="C139" s="180">
        <v>28</v>
      </c>
      <c r="D139" s="201" t="s">
        <v>670</v>
      </c>
      <c r="E139" s="166">
        <v>21</v>
      </c>
      <c r="F139" s="180">
        <v>1500</v>
      </c>
      <c r="G139" s="265">
        <v>71.400000000000006</v>
      </c>
      <c r="H139" s="460"/>
      <c r="I139" s="166"/>
      <c r="J139" s="166"/>
      <c r="K139" s="265"/>
      <c r="L139" s="460"/>
      <c r="M139" s="272" t="e">
        <f>RANK(K139, K$112:$K$141)</f>
        <v>#N/A</v>
      </c>
      <c r="N139" s="462"/>
      <c r="O139" s="462"/>
      <c r="P139" s="166">
        <v>20</v>
      </c>
      <c r="Q139" s="166">
        <v>1128.9473684210529</v>
      </c>
      <c r="R139" s="166">
        <v>56.447368421052644</v>
      </c>
      <c r="S139" s="180">
        <f t="shared" si="28"/>
        <v>29</v>
      </c>
      <c r="T139" s="486"/>
      <c r="U139" s="166">
        <v>20</v>
      </c>
      <c r="V139" s="166">
        <v>1125.3846153846148</v>
      </c>
      <c r="W139" s="166">
        <v>56.269230769230738</v>
      </c>
      <c r="X139" s="180">
        <f t="shared" si="29"/>
        <v>29</v>
      </c>
      <c r="Y139" s="486"/>
      <c r="Z139" s="166">
        <v>20</v>
      </c>
      <c r="AA139" s="166">
        <v>1154.4827586206889</v>
      </c>
      <c r="AB139" s="166">
        <v>57.724137931034441</v>
      </c>
      <c r="AC139" s="180">
        <f t="shared" si="30"/>
        <v>29</v>
      </c>
      <c r="AD139" s="486"/>
      <c r="AE139" s="166">
        <v>20</v>
      </c>
      <c r="AF139" s="166">
        <v>1157.3913043478262</v>
      </c>
      <c r="AG139" s="166">
        <v>57.869565217391312</v>
      </c>
      <c r="AH139" s="180">
        <f t="shared" si="31"/>
        <v>28</v>
      </c>
      <c r="AI139" s="486"/>
      <c r="AJ139" s="166">
        <v>20</v>
      </c>
      <c r="AK139" s="166">
        <v>1131.0810810810815</v>
      </c>
      <c r="AL139" s="166">
        <v>56.554054054054077</v>
      </c>
      <c r="AM139" s="180">
        <f t="shared" si="32"/>
        <v>28</v>
      </c>
      <c r="AN139" s="486"/>
      <c r="AO139" s="166">
        <v>20</v>
      </c>
      <c r="AP139" s="166">
        <v>1128.799999999999</v>
      </c>
      <c r="AQ139" s="166">
        <v>56.439999999999955</v>
      </c>
      <c r="AR139" s="180">
        <f t="shared" si="33"/>
        <v>29</v>
      </c>
      <c r="AS139" s="486"/>
      <c r="AT139" s="166">
        <v>20</v>
      </c>
      <c r="AU139" s="166">
        <v>1131.1999999999991</v>
      </c>
      <c r="AV139" s="166">
        <v>56.55999999999996</v>
      </c>
      <c r="AW139" s="180">
        <f t="shared" si="34"/>
        <v>28</v>
      </c>
      <c r="AX139" s="486"/>
    </row>
    <row r="140" spans="2:50">
      <c r="B140" s="479"/>
      <c r="C140" s="180">
        <v>29</v>
      </c>
      <c r="D140" s="201" t="s">
        <v>671</v>
      </c>
      <c r="E140" s="166">
        <v>19</v>
      </c>
      <c r="F140" s="180">
        <v>1440</v>
      </c>
      <c r="G140" s="265">
        <v>75.8</v>
      </c>
      <c r="H140" s="460"/>
      <c r="I140" s="180"/>
      <c r="J140" s="180"/>
      <c r="K140" s="180"/>
      <c r="L140" s="460"/>
      <c r="M140" s="272" t="e">
        <f>RANK(K140, K$112:$K$141)</f>
        <v>#N/A</v>
      </c>
      <c r="N140" s="462"/>
      <c r="O140" s="462"/>
      <c r="P140" s="166">
        <v>18</v>
      </c>
      <c r="Q140" s="166">
        <v>1319.1044776119386</v>
      </c>
      <c r="R140" s="166">
        <v>73.283582089552141</v>
      </c>
      <c r="S140" s="180">
        <f t="shared" si="28"/>
        <v>18</v>
      </c>
      <c r="T140" s="486"/>
      <c r="U140" s="166">
        <v>18</v>
      </c>
      <c r="V140" s="166">
        <v>1311.4285714285702</v>
      </c>
      <c r="W140" s="166">
        <v>72.85714285714279</v>
      </c>
      <c r="X140" s="180">
        <f t="shared" si="29"/>
        <v>19</v>
      </c>
      <c r="Y140" s="486"/>
      <c r="Z140" s="166">
        <v>17</v>
      </c>
      <c r="AA140" s="166">
        <v>1254.4615384615397</v>
      </c>
      <c r="AB140" s="166">
        <v>73.791855203619988</v>
      </c>
      <c r="AC140" s="180">
        <f t="shared" si="30"/>
        <v>18</v>
      </c>
      <c r="AD140" s="486"/>
      <c r="AE140" s="166">
        <v>18</v>
      </c>
      <c r="AF140" s="166">
        <v>1310.2941176470604</v>
      </c>
      <c r="AG140" s="166">
        <v>72.794117647058911</v>
      </c>
      <c r="AH140" s="180">
        <f t="shared" si="31"/>
        <v>17</v>
      </c>
      <c r="AI140" s="486"/>
      <c r="AJ140" s="166">
        <v>18</v>
      </c>
      <c r="AK140" s="166">
        <v>1256.896551724139</v>
      </c>
      <c r="AL140" s="166">
        <v>69.827586206896612</v>
      </c>
      <c r="AM140" s="180">
        <f t="shared" si="32"/>
        <v>21</v>
      </c>
      <c r="AN140" s="486"/>
      <c r="AO140" s="166">
        <v>18</v>
      </c>
      <c r="AP140" s="166">
        <v>1281.7241379310353</v>
      </c>
      <c r="AQ140" s="166">
        <v>71.206896551724185</v>
      </c>
      <c r="AR140" s="180">
        <f t="shared" si="33"/>
        <v>21</v>
      </c>
      <c r="AS140" s="486"/>
      <c r="AT140" s="166">
        <v>18</v>
      </c>
      <c r="AU140" s="166">
        <v>1280.0000000000005</v>
      </c>
      <c r="AV140" s="166">
        <v>71.111111111111143</v>
      </c>
      <c r="AW140" s="180">
        <f t="shared" si="34"/>
        <v>19</v>
      </c>
      <c r="AX140" s="486"/>
    </row>
    <row r="141" spans="2:50">
      <c r="B141" s="479"/>
      <c r="C141" s="180">
        <v>30</v>
      </c>
      <c r="D141" s="201" t="s">
        <v>672</v>
      </c>
      <c r="E141" s="166">
        <v>20</v>
      </c>
      <c r="F141" s="180">
        <v>1500</v>
      </c>
      <c r="G141" s="265">
        <v>75</v>
      </c>
      <c r="H141" s="461"/>
      <c r="I141" s="180"/>
      <c r="J141" s="180"/>
      <c r="K141" s="180"/>
      <c r="L141" s="461"/>
      <c r="M141" s="272" t="e">
        <f>RANK(K141, K$112:$K$141)</f>
        <v>#N/A</v>
      </c>
      <c r="N141" s="462"/>
      <c r="O141" s="462"/>
      <c r="P141" s="166">
        <v>20</v>
      </c>
      <c r="Q141" s="166">
        <v>1235.744680851064</v>
      </c>
      <c r="R141" s="166">
        <v>61.787234042553202</v>
      </c>
      <c r="S141" s="180">
        <f t="shared" si="28"/>
        <v>27</v>
      </c>
      <c r="T141" s="486"/>
      <c r="U141" s="166">
        <v>19</v>
      </c>
      <c r="V141" s="166">
        <v>1245.3333333333335</v>
      </c>
      <c r="W141" s="166">
        <v>65.543859649122808</v>
      </c>
      <c r="X141" s="180">
        <f t="shared" si="29"/>
        <v>26</v>
      </c>
      <c r="Y141" s="486"/>
      <c r="Z141" s="166">
        <v>19</v>
      </c>
      <c r="AA141" s="166">
        <v>1238.6666666666667</v>
      </c>
      <c r="AB141" s="166">
        <v>65.192982456140356</v>
      </c>
      <c r="AC141" s="180">
        <f t="shared" si="30"/>
        <v>26</v>
      </c>
      <c r="AD141" s="486"/>
      <c r="AE141" s="166">
        <v>19</v>
      </c>
      <c r="AF141" s="166">
        <v>1274.6341463414628</v>
      </c>
      <c r="AG141" s="166">
        <v>67.086007702182258</v>
      </c>
      <c r="AH141" s="180">
        <f t="shared" si="31"/>
        <v>26</v>
      </c>
      <c r="AI141" s="486"/>
      <c r="AJ141" s="166">
        <v>20</v>
      </c>
      <c r="AK141" s="166">
        <v>1237.5000000000005</v>
      </c>
      <c r="AL141" s="166">
        <v>61.875000000000021</v>
      </c>
      <c r="AM141" s="180">
        <f t="shared" si="32"/>
        <v>26</v>
      </c>
      <c r="AN141" s="486"/>
      <c r="AO141" s="166">
        <v>20</v>
      </c>
      <c r="AP141" s="166">
        <v>1205.7142857142853</v>
      </c>
      <c r="AQ141" s="166">
        <v>60.285714285714263</v>
      </c>
      <c r="AR141" s="180">
        <f t="shared" si="33"/>
        <v>26</v>
      </c>
      <c r="AS141" s="486"/>
      <c r="AT141" s="166">
        <v>20</v>
      </c>
      <c r="AU141" s="166">
        <v>1217.3333333333333</v>
      </c>
      <c r="AV141" s="166">
        <v>60.86666666666666</v>
      </c>
      <c r="AW141" s="180">
        <f t="shared" si="34"/>
        <v>27</v>
      </c>
      <c r="AX141" s="486"/>
    </row>
    <row r="142" spans="2:50" ht="15.75">
      <c r="B142" s="480" t="s">
        <v>721</v>
      </c>
      <c r="C142" s="481"/>
      <c r="D142" s="481"/>
      <c r="E142" s="481"/>
      <c r="F142" s="481"/>
      <c r="G142" s="481"/>
      <c r="H142" s="481"/>
      <c r="I142" s="184"/>
      <c r="J142" s="184"/>
      <c r="K142" s="184"/>
      <c r="L142" s="184"/>
      <c r="M142" s="183"/>
      <c r="N142" s="469" t="s">
        <v>722</v>
      </c>
      <c r="O142" s="469" t="s">
        <v>723</v>
      </c>
      <c r="P142" s="478">
        <f>P107+7</f>
        <v>46077</v>
      </c>
      <c r="Q142" s="479"/>
      <c r="R142" s="479"/>
      <c r="S142" s="479"/>
      <c r="T142" s="479"/>
      <c r="U142" s="475">
        <f>P142+1</f>
        <v>46078</v>
      </c>
      <c r="V142" s="476"/>
      <c r="W142" s="476"/>
      <c r="X142" s="476"/>
      <c r="Y142" s="477"/>
      <c r="Z142" s="475">
        <f>U142+1</f>
        <v>46079</v>
      </c>
      <c r="AA142" s="476"/>
      <c r="AB142" s="476"/>
      <c r="AC142" s="476"/>
      <c r="AD142" s="477"/>
      <c r="AE142" s="475">
        <f>Z142+1</f>
        <v>46080</v>
      </c>
      <c r="AF142" s="476"/>
      <c r="AG142" s="476"/>
      <c r="AH142" s="476"/>
      <c r="AI142" s="477"/>
      <c r="AJ142" s="475">
        <f>AE142+1</f>
        <v>46081</v>
      </c>
      <c r="AK142" s="476"/>
      <c r="AL142" s="476"/>
      <c r="AM142" s="476"/>
      <c r="AN142" s="477"/>
      <c r="AO142" s="475">
        <f>AJ142+1</f>
        <v>46082</v>
      </c>
      <c r="AP142" s="476"/>
      <c r="AQ142" s="476"/>
      <c r="AR142" s="476"/>
      <c r="AS142" s="477"/>
      <c r="AT142" s="475">
        <f>AO142+1</f>
        <v>46083</v>
      </c>
      <c r="AU142" s="476"/>
      <c r="AV142" s="476"/>
      <c r="AW142" s="476"/>
      <c r="AX142" s="477"/>
    </row>
    <row r="143" spans="2:50" ht="15.75">
      <c r="B143" s="482"/>
      <c r="C143" s="482"/>
      <c r="D143" s="482"/>
      <c r="E143" s="482"/>
      <c r="F143" s="482"/>
      <c r="G143" s="482"/>
      <c r="H143" s="482"/>
      <c r="I143" s="182"/>
      <c r="J143" s="182"/>
      <c r="K143" s="182"/>
      <c r="L143" s="182"/>
      <c r="M143" s="179"/>
      <c r="N143" s="471"/>
      <c r="O143" s="471"/>
      <c r="P143" s="478" t="s">
        <v>724</v>
      </c>
      <c r="Q143" s="479"/>
      <c r="R143" s="479"/>
      <c r="S143" s="479"/>
      <c r="T143" s="479"/>
      <c r="U143" s="478" t="s">
        <v>725</v>
      </c>
      <c r="V143" s="479"/>
      <c r="W143" s="479"/>
      <c r="X143" s="479"/>
      <c r="Y143" s="479"/>
      <c r="Z143" s="478" t="s">
        <v>726</v>
      </c>
      <c r="AA143" s="479"/>
      <c r="AB143" s="479"/>
      <c r="AC143" s="479"/>
      <c r="AD143" s="479"/>
      <c r="AE143" s="478" t="s">
        <v>727</v>
      </c>
      <c r="AF143" s="479"/>
      <c r="AG143" s="479"/>
      <c r="AH143" s="479"/>
      <c r="AI143" s="479"/>
      <c r="AJ143" s="478" t="s">
        <v>728</v>
      </c>
      <c r="AK143" s="479"/>
      <c r="AL143" s="479"/>
      <c r="AM143" s="479"/>
      <c r="AN143" s="479"/>
      <c r="AO143" s="478" t="s">
        <v>729</v>
      </c>
      <c r="AP143" s="479"/>
      <c r="AQ143" s="479"/>
      <c r="AR143" s="479"/>
      <c r="AS143" s="479"/>
      <c r="AT143" s="478" t="s">
        <v>730</v>
      </c>
      <c r="AU143" s="479"/>
      <c r="AV143" s="479"/>
      <c r="AW143" s="479"/>
      <c r="AX143" s="479"/>
    </row>
    <row r="144" spans="2:50">
      <c r="B144" s="462" t="s">
        <v>731</v>
      </c>
      <c r="C144" s="462" t="s">
        <v>732</v>
      </c>
      <c r="D144" s="462"/>
      <c r="E144" s="462" t="s">
        <v>733</v>
      </c>
      <c r="F144" s="462"/>
      <c r="G144" s="462"/>
      <c r="H144" s="463" t="s">
        <v>734</v>
      </c>
      <c r="I144" s="462" t="s">
        <v>735</v>
      </c>
      <c r="J144" s="462"/>
      <c r="K144" s="462"/>
      <c r="L144" s="463" t="s">
        <v>734</v>
      </c>
      <c r="M144" s="469" t="s">
        <v>736</v>
      </c>
      <c r="N144" s="462"/>
      <c r="O144" s="462" t="s">
        <v>737</v>
      </c>
      <c r="P144" s="466" t="s">
        <v>738</v>
      </c>
      <c r="Q144" s="467"/>
      <c r="R144" s="467"/>
      <c r="S144" s="468"/>
      <c r="T144" s="462" t="s">
        <v>734</v>
      </c>
      <c r="U144" s="466" t="s">
        <v>738</v>
      </c>
      <c r="V144" s="467"/>
      <c r="W144" s="467"/>
      <c r="X144" s="468"/>
      <c r="Y144" s="462" t="s">
        <v>734</v>
      </c>
      <c r="Z144" s="466" t="s">
        <v>738</v>
      </c>
      <c r="AA144" s="467"/>
      <c r="AB144" s="467"/>
      <c r="AC144" s="468"/>
      <c r="AD144" s="462" t="s">
        <v>734</v>
      </c>
      <c r="AE144" s="466" t="s">
        <v>738</v>
      </c>
      <c r="AF144" s="467"/>
      <c r="AG144" s="467"/>
      <c r="AH144" s="468"/>
      <c r="AI144" s="462" t="s">
        <v>734</v>
      </c>
      <c r="AJ144" s="466" t="s">
        <v>738</v>
      </c>
      <c r="AK144" s="467"/>
      <c r="AL144" s="467"/>
      <c r="AM144" s="468"/>
      <c r="AN144" s="462" t="s">
        <v>734</v>
      </c>
      <c r="AO144" s="466" t="s">
        <v>738</v>
      </c>
      <c r="AP144" s="467"/>
      <c r="AQ144" s="467"/>
      <c r="AR144" s="468"/>
      <c r="AS144" s="462" t="s">
        <v>734</v>
      </c>
      <c r="AT144" s="466" t="s">
        <v>738</v>
      </c>
      <c r="AU144" s="467"/>
      <c r="AV144" s="467"/>
      <c r="AW144" s="468"/>
      <c r="AX144" s="462" t="s">
        <v>734</v>
      </c>
    </row>
    <row r="145" spans="2:50">
      <c r="B145" s="462"/>
      <c r="C145" s="462"/>
      <c r="D145" s="462"/>
      <c r="E145" s="462" t="s">
        <v>739</v>
      </c>
      <c r="F145" s="462"/>
      <c r="G145" s="462"/>
      <c r="H145" s="464"/>
      <c r="I145" s="462" t="s">
        <v>739</v>
      </c>
      <c r="J145" s="462"/>
      <c r="K145" s="462"/>
      <c r="L145" s="464"/>
      <c r="M145" s="470"/>
      <c r="N145" s="462"/>
      <c r="O145" s="462"/>
      <c r="P145" s="466" t="s">
        <v>740</v>
      </c>
      <c r="Q145" s="467"/>
      <c r="R145" s="467"/>
      <c r="S145" s="468"/>
      <c r="T145" s="462"/>
      <c r="U145" s="466" t="s">
        <v>740</v>
      </c>
      <c r="V145" s="467"/>
      <c r="W145" s="467"/>
      <c r="X145" s="468"/>
      <c r="Y145" s="462"/>
      <c r="Z145" s="466" t="s">
        <v>740</v>
      </c>
      <c r="AA145" s="467"/>
      <c r="AB145" s="467"/>
      <c r="AC145" s="468"/>
      <c r="AD145" s="462"/>
      <c r="AE145" s="466" t="s">
        <v>740</v>
      </c>
      <c r="AF145" s="467"/>
      <c r="AG145" s="467"/>
      <c r="AH145" s="468"/>
      <c r="AI145" s="462"/>
      <c r="AJ145" s="466" t="s">
        <v>740</v>
      </c>
      <c r="AK145" s="467"/>
      <c r="AL145" s="467"/>
      <c r="AM145" s="468"/>
      <c r="AN145" s="462"/>
      <c r="AO145" s="466" t="s">
        <v>740</v>
      </c>
      <c r="AP145" s="467"/>
      <c r="AQ145" s="467"/>
      <c r="AR145" s="468"/>
      <c r="AS145" s="462"/>
      <c r="AT145" s="466" t="s">
        <v>740</v>
      </c>
      <c r="AU145" s="467"/>
      <c r="AV145" s="467"/>
      <c r="AW145" s="468"/>
      <c r="AX145" s="462"/>
    </row>
    <row r="146" spans="2:50">
      <c r="B146" s="462"/>
      <c r="C146" s="462"/>
      <c r="D146" s="462"/>
      <c r="E146" s="264" t="s">
        <v>741</v>
      </c>
      <c r="F146" s="264" t="s">
        <v>742</v>
      </c>
      <c r="G146" s="264" t="s">
        <v>743</v>
      </c>
      <c r="H146" s="465"/>
      <c r="I146" s="264" t="s">
        <v>741</v>
      </c>
      <c r="J146" s="264" t="s">
        <v>742</v>
      </c>
      <c r="K146" s="264" t="s">
        <v>743</v>
      </c>
      <c r="L146" s="465"/>
      <c r="M146" s="471"/>
      <c r="N146" s="462"/>
      <c r="O146" s="462"/>
      <c r="P146" s="264" t="s">
        <v>741</v>
      </c>
      <c r="Q146" s="264" t="s">
        <v>742</v>
      </c>
      <c r="R146" s="264" t="s">
        <v>743</v>
      </c>
      <c r="S146" s="264" t="s">
        <v>736</v>
      </c>
      <c r="T146" s="462"/>
      <c r="U146" s="264" t="s">
        <v>741</v>
      </c>
      <c r="V146" s="264" t="s">
        <v>742</v>
      </c>
      <c r="W146" s="264" t="s">
        <v>743</v>
      </c>
      <c r="X146" s="264" t="s">
        <v>736</v>
      </c>
      <c r="Y146" s="462"/>
      <c r="Z146" s="264" t="s">
        <v>741</v>
      </c>
      <c r="AA146" s="264" t="s">
        <v>742</v>
      </c>
      <c r="AB146" s="264" t="s">
        <v>743</v>
      </c>
      <c r="AC146" s="264" t="s">
        <v>736</v>
      </c>
      <c r="AD146" s="462"/>
      <c r="AE146" s="264" t="s">
        <v>741</v>
      </c>
      <c r="AF146" s="264" t="s">
        <v>742</v>
      </c>
      <c r="AG146" s="264" t="s">
        <v>743</v>
      </c>
      <c r="AH146" s="264" t="s">
        <v>736</v>
      </c>
      <c r="AI146" s="462"/>
      <c r="AJ146" s="264" t="s">
        <v>741</v>
      </c>
      <c r="AK146" s="264" t="s">
        <v>742</v>
      </c>
      <c r="AL146" s="264" t="s">
        <v>743</v>
      </c>
      <c r="AM146" s="264" t="s">
        <v>736</v>
      </c>
      <c r="AN146" s="462"/>
      <c r="AO146" s="264" t="s">
        <v>741</v>
      </c>
      <c r="AP146" s="264" t="s">
        <v>742</v>
      </c>
      <c r="AQ146" s="264" t="s">
        <v>743</v>
      </c>
      <c r="AR146" s="264" t="s">
        <v>736</v>
      </c>
      <c r="AS146" s="462"/>
      <c r="AT146" s="264" t="s">
        <v>741</v>
      </c>
      <c r="AU146" s="264" t="s">
        <v>742</v>
      </c>
      <c r="AV146" s="264" t="s">
        <v>743</v>
      </c>
      <c r="AW146" s="264" t="s">
        <v>736</v>
      </c>
      <c r="AX146" s="462"/>
    </row>
    <row r="147" spans="2:50">
      <c r="B147" s="462" t="s">
        <v>753</v>
      </c>
      <c r="C147" s="180">
        <v>1</v>
      </c>
      <c r="D147" s="201" t="s">
        <v>362</v>
      </c>
      <c r="E147" s="166">
        <v>6</v>
      </c>
      <c r="F147" s="180">
        <v>1500</v>
      </c>
      <c r="G147" s="265">
        <v>250</v>
      </c>
      <c r="H147" s="459">
        <f>AVERAGE(G147:G176)</f>
        <v>96.221666666666707</v>
      </c>
      <c r="I147" s="166">
        <f>AVERAGE(P147,U147,Z147,AE147,AJ147,AO147,AT147)</f>
        <v>6</v>
      </c>
      <c r="J147" s="166">
        <f>AVERAGE(Q147,V147,AA147,AF147,AK147,AP147,AU147)</f>
        <v>1355.168988513864</v>
      </c>
      <c r="K147" s="265">
        <f>AVERAGE(R147,W147,AB147,AG147,AL147,AQ147,AV147)</f>
        <v>225.861498085644</v>
      </c>
      <c r="L147" s="459">
        <f>IFERROR(AVERAGE(K147:K176),"-")</f>
        <v>80.276843929871902</v>
      </c>
      <c r="M147" s="272">
        <f>RANK(K147, K$147:$K$176)</f>
        <v>1</v>
      </c>
      <c r="N147" s="462"/>
      <c r="O147" s="462"/>
      <c r="P147" s="166">
        <v>6</v>
      </c>
      <c r="Q147" s="166">
        <v>1400.0943396226417</v>
      </c>
      <c r="R147" s="166">
        <v>233.34905660377362</v>
      </c>
      <c r="S147" s="180">
        <f>RANK(R147, R$147:R$176)</f>
        <v>1</v>
      </c>
      <c r="T147" s="486">
        <f>AVERAGE(R147:R176)</f>
        <v>81.960520223964664</v>
      </c>
      <c r="U147" s="166">
        <v>6</v>
      </c>
      <c r="V147" s="166">
        <v>1339.5859872611463</v>
      </c>
      <c r="W147" s="166">
        <v>223.26433121019105</v>
      </c>
      <c r="X147" s="180">
        <f>RANK(W147, W$147:W$176)</f>
        <v>1</v>
      </c>
      <c r="Y147" s="486">
        <f>AVERAGE(W147:W176)</f>
        <v>80.131200888736856</v>
      </c>
      <c r="Z147" s="166">
        <v>6</v>
      </c>
      <c r="AA147" s="166">
        <v>1336.294964028777</v>
      </c>
      <c r="AB147" s="166">
        <v>222.71582733812951</v>
      </c>
      <c r="AC147" s="180">
        <f>RANK(AB147, AB$147:AB$176)</f>
        <v>1</v>
      </c>
      <c r="AD147" s="486">
        <f>AVERAGE(AB147:AB176)</f>
        <v>79.913285034172844</v>
      </c>
      <c r="AE147" s="166">
        <v>6</v>
      </c>
      <c r="AF147" s="166">
        <v>1350.4205607476636</v>
      </c>
      <c r="AG147" s="166">
        <v>225.07009345794393</v>
      </c>
      <c r="AH147" s="180">
        <f>RANK(AG147, AG$147:AG$176)</f>
        <v>1</v>
      </c>
      <c r="AI147" s="486">
        <f>AVERAGE(AG147:AG176)</f>
        <v>81.133287965831286</v>
      </c>
      <c r="AJ147" s="166">
        <v>6</v>
      </c>
      <c r="AK147" s="166">
        <v>1349.449090909091</v>
      </c>
      <c r="AL147" s="166">
        <v>224.90818181818182</v>
      </c>
      <c r="AM147" s="180">
        <f>RANK(AL147, AL$147:AL$176)</f>
        <v>1</v>
      </c>
      <c r="AN147" s="486">
        <f>AVERAGE(AL147:AL176)</f>
        <v>81.403458867722932</v>
      </c>
      <c r="AO147" s="166"/>
      <c r="AP147" s="166"/>
      <c r="AQ147" s="166"/>
      <c r="AR147" s="180" t="e">
        <f>RANK(AQ147, AQ$147:AQ$176)</f>
        <v>#N/A</v>
      </c>
      <c r="AS147" s="486" t="e">
        <f>AVERAGE(AQ147:AQ176)</f>
        <v>#DIV/0!</v>
      </c>
      <c r="AT147" s="166"/>
      <c r="AU147" s="166"/>
      <c r="AV147" s="166"/>
      <c r="AW147" s="180" t="e">
        <f>RANK(AV147, AV$147:AV$176)</f>
        <v>#N/A</v>
      </c>
      <c r="AX147" s="486" t="e">
        <f>AVERAGE(AV147:AV176)</f>
        <v>#DIV/0!</v>
      </c>
    </row>
    <row r="148" spans="2:50">
      <c r="B148" s="479"/>
      <c r="C148" s="180">
        <v>2</v>
      </c>
      <c r="D148" s="201" t="s">
        <v>382</v>
      </c>
      <c r="E148" s="166">
        <v>7</v>
      </c>
      <c r="F148" s="180">
        <v>1500</v>
      </c>
      <c r="G148" s="265">
        <v>272.7</v>
      </c>
      <c r="H148" s="460"/>
      <c r="I148" s="166">
        <f t="shared" ref="I148:K170" si="36">AVERAGE(P148,U148,Z148,AE148,AJ148,AO148,AT148)</f>
        <v>7</v>
      </c>
      <c r="J148" s="166">
        <f t="shared" si="36"/>
        <v>1435.8158564305486</v>
      </c>
      <c r="K148" s="265">
        <f t="shared" si="36"/>
        <v>205.11655091864981</v>
      </c>
      <c r="L148" s="460"/>
      <c r="M148" s="272">
        <f>RANK(K148, K$147:$K$176)</f>
        <v>2</v>
      </c>
      <c r="N148" s="462"/>
      <c r="O148" s="462"/>
      <c r="P148" s="166">
        <v>7</v>
      </c>
      <c r="Q148" s="166">
        <v>1447.2727272727266</v>
      </c>
      <c r="R148" s="166">
        <v>206.75324675324666</v>
      </c>
      <c r="S148" s="180">
        <f t="shared" ref="S148:S176" si="37">RANK(R148, R$147:R$176)</f>
        <v>2</v>
      </c>
      <c r="T148" s="486"/>
      <c r="U148" s="166">
        <v>7</v>
      </c>
      <c r="V148" s="166">
        <v>1407.5510204081636</v>
      </c>
      <c r="W148" s="166">
        <v>201.07871720116623</v>
      </c>
      <c r="X148" s="180">
        <f t="shared" ref="X148:X176" si="38">RANK(W148, W$147:W$176)</f>
        <v>2</v>
      </c>
      <c r="Y148" s="486"/>
      <c r="Z148" s="166">
        <v>7</v>
      </c>
      <c r="AA148" s="166">
        <v>1441.3333333333333</v>
      </c>
      <c r="AB148" s="166">
        <v>205.9047619047619</v>
      </c>
      <c r="AC148" s="180">
        <f t="shared" ref="AC148:AC176" si="39">RANK(AB148, AB$147:AB$176)</f>
        <v>2</v>
      </c>
      <c r="AD148" s="486"/>
      <c r="AE148" s="166">
        <v>7</v>
      </c>
      <c r="AF148" s="166">
        <v>1436.4705882352939</v>
      </c>
      <c r="AG148" s="166">
        <v>205.21008403361341</v>
      </c>
      <c r="AH148" s="180">
        <f t="shared" ref="AH148:AH176" si="40">RANK(AG148, AG$147:AG$176)</f>
        <v>2</v>
      </c>
      <c r="AI148" s="486"/>
      <c r="AJ148" s="166">
        <v>7</v>
      </c>
      <c r="AK148" s="166">
        <v>1446.4516129032261</v>
      </c>
      <c r="AL148" s="166">
        <v>206.63594470046087</v>
      </c>
      <c r="AM148" s="180">
        <f t="shared" ref="AM148:AM176" si="41">RANK(AL148, AL$147:AL$176)</f>
        <v>2</v>
      </c>
      <c r="AN148" s="486"/>
      <c r="AO148" s="166"/>
      <c r="AP148" s="166"/>
      <c r="AQ148" s="166"/>
      <c r="AR148" s="180" t="e">
        <f t="shared" ref="AR148:AR176" si="42">RANK(AQ148, AQ$147:AQ$176)</f>
        <v>#N/A</v>
      </c>
      <c r="AS148" s="486"/>
      <c r="AT148" s="166"/>
      <c r="AU148" s="166"/>
      <c r="AV148" s="166"/>
      <c r="AW148" s="180" t="e">
        <f t="shared" ref="AW148:AW176" si="43">RANK(AV148, AV$147:AV$176)</f>
        <v>#N/A</v>
      </c>
      <c r="AX148" s="486"/>
    </row>
    <row r="149" spans="2:50">
      <c r="B149" s="479"/>
      <c r="C149" s="180">
        <v>3</v>
      </c>
      <c r="D149" s="201" t="s">
        <v>363</v>
      </c>
      <c r="E149" s="166">
        <v>18</v>
      </c>
      <c r="F149" s="180">
        <v>1500</v>
      </c>
      <c r="G149" s="265">
        <v>75</v>
      </c>
      <c r="H149" s="460"/>
      <c r="I149" s="166">
        <f t="shared" si="36"/>
        <v>18</v>
      </c>
      <c r="J149" s="166">
        <f t="shared" si="36"/>
        <v>1325.7364955083049</v>
      </c>
      <c r="K149" s="265">
        <f t="shared" si="36"/>
        <v>73.652027528239159</v>
      </c>
      <c r="L149" s="460"/>
      <c r="M149" s="272">
        <f>RANK(K149, K$147:$K$176)</f>
        <v>12</v>
      </c>
      <c r="N149" s="462"/>
      <c r="O149" s="462"/>
      <c r="P149" s="166">
        <v>18</v>
      </c>
      <c r="Q149" s="166">
        <v>1359.9999999999995</v>
      </c>
      <c r="R149" s="166">
        <v>75.555555555555529</v>
      </c>
      <c r="S149" s="180">
        <f t="shared" si="37"/>
        <v>10</v>
      </c>
      <c r="T149" s="486"/>
      <c r="U149" s="166">
        <v>18</v>
      </c>
      <c r="V149" s="166">
        <v>1323.1034482758612</v>
      </c>
      <c r="W149" s="166">
        <v>73.505747126436731</v>
      </c>
      <c r="X149" s="180">
        <f t="shared" si="38"/>
        <v>12</v>
      </c>
      <c r="Y149" s="486"/>
      <c r="Z149" s="166">
        <v>18</v>
      </c>
      <c r="AA149" s="166">
        <v>1314.5454545454536</v>
      </c>
      <c r="AB149" s="166">
        <v>73.030303030302974</v>
      </c>
      <c r="AC149" s="180">
        <f t="shared" si="39"/>
        <v>12</v>
      </c>
      <c r="AD149" s="486"/>
      <c r="AE149" s="166">
        <v>18</v>
      </c>
      <c r="AF149" s="166">
        <v>1318.7755102040819</v>
      </c>
      <c r="AG149" s="166">
        <v>73.26530612244899</v>
      </c>
      <c r="AH149" s="180">
        <f t="shared" si="40"/>
        <v>11</v>
      </c>
      <c r="AI149" s="486"/>
      <c r="AJ149" s="166">
        <v>18</v>
      </c>
      <c r="AK149" s="166">
        <v>1312.2580645161286</v>
      </c>
      <c r="AL149" s="166">
        <v>72.903225806451587</v>
      </c>
      <c r="AM149" s="180">
        <f t="shared" si="41"/>
        <v>11</v>
      </c>
      <c r="AN149" s="486"/>
      <c r="AO149" s="166"/>
      <c r="AP149" s="166"/>
      <c r="AQ149" s="166"/>
      <c r="AR149" s="180" t="e">
        <f t="shared" si="42"/>
        <v>#N/A</v>
      </c>
      <c r="AS149" s="486"/>
      <c r="AT149" s="166"/>
      <c r="AU149" s="166"/>
      <c r="AV149" s="166"/>
      <c r="AW149" s="180" t="e">
        <f t="shared" si="43"/>
        <v>#N/A</v>
      </c>
      <c r="AX149" s="486"/>
    </row>
    <row r="150" spans="2:50">
      <c r="B150" s="479"/>
      <c r="C150" s="180">
        <v>4</v>
      </c>
      <c r="D150" s="201" t="s">
        <v>400</v>
      </c>
      <c r="E150" s="166">
        <v>18</v>
      </c>
      <c r="F150" s="180">
        <v>1500</v>
      </c>
      <c r="G150" s="265">
        <v>83.3</v>
      </c>
      <c r="H150" s="460"/>
      <c r="I150" s="166">
        <f t="shared" si="36"/>
        <v>18</v>
      </c>
      <c r="J150" s="166">
        <f t="shared" si="36"/>
        <v>1345.3560818948215</v>
      </c>
      <c r="K150" s="265">
        <f t="shared" si="36"/>
        <v>74.742004549712334</v>
      </c>
      <c r="L150" s="460"/>
      <c r="M150" s="272">
        <f>RANK(K150, K$147:$K$176)</f>
        <v>9</v>
      </c>
      <c r="N150" s="462"/>
      <c r="O150" s="462"/>
      <c r="P150" s="166">
        <v>18</v>
      </c>
      <c r="Q150" s="166">
        <v>1361.8867924528308</v>
      </c>
      <c r="R150" s="166">
        <v>75.660377358490607</v>
      </c>
      <c r="S150" s="180">
        <f t="shared" si="37"/>
        <v>9</v>
      </c>
      <c r="T150" s="486"/>
      <c r="U150" s="166">
        <v>18</v>
      </c>
      <c r="V150" s="166">
        <v>1353.1914893617022</v>
      </c>
      <c r="W150" s="166">
        <v>75.177304964539019</v>
      </c>
      <c r="X150" s="180">
        <f t="shared" si="38"/>
        <v>9</v>
      </c>
      <c r="Y150" s="486"/>
      <c r="Z150" s="166">
        <v>18</v>
      </c>
      <c r="AA150" s="166">
        <v>1330.2127659574471</v>
      </c>
      <c r="AB150" s="166">
        <v>73.900709219858172</v>
      </c>
      <c r="AC150" s="180">
        <f t="shared" si="39"/>
        <v>11</v>
      </c>
      <c r="AD150" s="486"/>
      <c r="AE150" s="166">
        <v>18</v>
      </c>
      <c r="AF150" s="166">
        <v>1331.489361702128</v>
      </c>
      <c r="AG150" s="166">
        <v>73.971631205673773</v>
      </c>
      <c r="AH150" s="180">
        <f t="shared" si="40"/>
        <v>10</v>
      </c>
      <c r="AI150" s="486"/>
      <c r="AJ150" s="166">
        <v>18</v>
      </c>
      <c r="AK150" s="166">
        <v>1350.0000000000005</v>
      </c>
      <c r="AL150" s="166">
        <v>75.000000000000028</v>
      </c>
      <c r="AM150" s="180">
        <f t="shared" si="41"/>
        <v>8</v>
      </c>
      <c r="AN150" s="486"/>
      <c r="AO150" s="166"/>
      <c r="AP150" s="166"/>
      <c r="AQ150" s="166"/>
      <c r="AR150" s="180" t="e">
        <f t="shared" si="42"/>
        <v>#N/A</v>
      </c>
      <c r="AS150" s="486"/>
      <c r="AT150" s="166"/>
      <c r="AU150" s="166"/>
      <c r="AV150" s="166"/>
      <c r="AW150" s="180" t="e">
        <f t="shared" si="43"/>
        <v>#N/A</v>
      </c>
      <c r="AX150" s="486"/>
    </row>
    <row r="151" spans="2:50">
      <c r="B151" s="479"/>
      <c r="C151" s="180">
        <v>5</v>
      </c>
      <c r="D151" s="201" t="s">
        <v>342</v>
      </c>
      <c r="E151" s="166">
        <v>16</v>
      </c>
      <c r="F151" s="180">
        <v>1500</v>
      </c>
      <c r="G151" s="265">
        <v>93.8</v>
      </c>
      <c r="H151" s="460"/>
      <c r="I151" s="166">
        <f t="shared" si="36"/>
        <v>16</v>
      </c>
      <c r="J151" s="166">
        <f t="shared" si="36"/>
        <v>1335.5345641994572</v>
      </c>
      <c r="K151" s="265">
        <f t="shared" si="36"/>
        <v>83.470910262466077</v>
      </c>
      <c r="L151" s="460"/>
      <c r="M151" s="272">
        <f>RANK(K151, K$147:$K$176)</f>
        <v>4</v>
      </c>
      <c r="N151" s="462"/>
      <c r="O151" s="462"/>
      <c r="P151" s="166">
        <v>16</v>
      </c>
      <c r="Q151" s="166">
        <v>1373.7500000000005</v>
      </c>
      <c r="R151" s="166">
        <v>85.859375000000028</v>
      </c>
      <c r="S151" s="180">
        <f t="shared" si="37"/>
        <v>3</v>
      </c>
      <c r="T151" s="486"/>
      <c r="U151" s="166">
        <v>16</v>
      </c>
      <c r="V151" s="166">
        <v>1362.972972972972</v>
      </c>
      <c r="W151" s="166">
        <v>85.18581081081075</v>
      </c>
      <c r="X151" s="180">
        <f t="shared" si="38"/>
        <v>3</v>
      </c>
      <c r="Y151" s="486"/>
      <c r="Z151" s="166">
        <v>16</v>
      </c>
      <c r="AA151" s="166">
        <v>1297.0212765957426</v>
      </c>
      <c r="AB151" s="166">
        <v>81.063829787233914</v>
      </c>
      <c r="AC151" s="180">
        <f t="shared" si="39"/>
        <v>4</v>
      </c>
      <c r="AD151" s="486"/>
      <c r="AE151" s="166">
        <v>16</v>
      </c>
      <c r="AF151" s="166">
        <v>1351.4285714285709</v>
      </c>
      <c r="AG151" s="166">
        <v>84.46428571428568</v>
      </c>
      <c r="AH151" s="180">
        <f t="shared" si="40"/>
        <v>3</v>
      </c>
      <c r="AI151" s="486"/>
      <c r="AJ151" s="166">
        <v>16</v>
      </c>
      <c r="AK151" s="166">
        <v>1292.5000000000002</v>
      </c>
      <c r="AL151" s="166">
        <v>80.781250000000014</v>
      </c>
      <c r="AM151" s="180">
        <f t="shared" si="41"/>
        <v>4</v>
      </c>
      <c r="AN151" s="486"/>
      <c r="AO151" s="166"/>
      <c r="AP151" s="166"/>
      <c r="AQ151" s="166"/>
      <c r="AR151" s="180" t="e">
        <f t="shared" si="42"/>
        <v>#N/A</v>
      </c>
      <c r="AS151" s="486"/>
      <c r="AT151" s="166"/>
      <c r="AU151" s="166"/>
      <c r="AV151" s="166"/>
      <c r="AW151" s="180" t="e">
        <f t="shared" si="43"/>
        <v>#N/A</v>
      </c>
      <c r="AX151" s="486"/>
    </row>
    <row r="152" spans="2:50">
      <c r="B152" s="479"/>
      <c r="C152" s="180">
        <v>6</v>
      </c>
      <c r="D152" s="201" t="s">
        <v>369</v>
      </c>
      <c r="E152" s="166">
        <v>16</v>
      </c>
      <c r="F152" s="180">
        <v>1565</v>
      </c>
      <c r="G152" s="265">
        <v>97.8</v>
      </c>
      <c r="H152" s="460"/>
      <c r="I152" s="166">
        <f t="shared" si="36"/>
        <v>16</v>
      </c>
      <c r="J152" s="166">
        <f t="shared" si="36"/>
        <v>1341.8111679523274</v>
      </c>
      <c r="K152" s="265">
        <f t="shared" si="36"/>
        <v>83.863197997020464</v>
      </c>
      <c r="L152" s="460"/>
      <c r="M152" s="272">
        <f>RANK(K152, K$147:$K$176)</f>
        <v>3</v>
      </c>
      <c r="N152" s="462"/>
      <c r="O152" s="462"/>
      <c r="P152" s="166">
        <v>16</v>
      </c>
      <c r="Q152" s="166">
        <v>1362.5999999999995</v>
      </c>
      <c r="R152" s="166">
        <v>85.162499999999966</v>
      </c>
      <c r="S152" s="180">
        <f t="shared" si="37"/>
        <v>4</v>
      </c>
      <c r="T152" s="486"/>
      <c r="U152" s="166">
        <v>16</v>
      </c>
      <c r="V152" s="166">
        <v>1360.2352941176468</v>
      </c>
      <c r="W152" s="166">
        <v>85.014705882352928</v>
      </c>
      <c r="X152" s="180">
        <f t="shared" si="38"/>
        <v>4</v>
      </c>
      <c r="Y152" s="486"/>
      <c r="Z152" s="166">
        <v>16</v>
      </c>
      <c r="AA152" s="166">
        <v>1327.070270270269</v>
      </c>
      <c r="AB152" s="166">
        <v>82.941891891891814</v>
      </c>
      <c r="AC152" s="180">
        <f t="shared" si="39"/>
        <v>3</v>
      </c>
      <c r="AD152" s="486"/>
      <c r="AE152" s="166">
        <v>16</v>
      </c>
      <c r="AF152" s="166">
        <v>1334.6341463414628</v>
      </c>
      <c r="AG152" s="166">
        <v>83.414634146341427</v>
      </c>
      <c r="AH152" s="180">
        <f t="shared" si="40"/>
        <v>4</v>
      </c>
      <c r="AI152" s="486"/>
      <c r="AJ152" s="166">
        <v>16</v>
      </c>
      <c r="AK152" s="166">
        <v>1324.5161290322583</v>
      </c>
      <c r="AL152" s="166">
        <v>82.782258064516142</v>
      </c>
      <c r="AM152" s="180">
        <f t="shared" si="41"/>
        <v>3</v>
      </c>
      <c r="AN152" s="486"/>
      <c r="AO152" s="166"/>
      <c r="AP152" s="166"/>
      <c r="AQ152" s="166"/>
      <c r="AR152" s="180" t="e">
        <f t="shared" si="42"/>
        <v>#N/A</v>
      </c>
      <c r="AS152" s="486"/>
      <c r="AT152" s="166"/>
      <c r="AU152" s="166"/>
      <c r="AV152" s="166"/>
      <c r="AW152" s="180" t="e">
        <f t="shared" si="43"/>
        <v>#N/A</v>
      </c>
      <c r="AX152" s="486"/>
    </row>
    <row r="153" spans="2:50">
      <c r="B153" s="479"/>
      <c r="C153" s="180">
        <v>7</v>
      </c>
      <c r="D153" s="201" t="s">
        <v>333</v>
      </c>
      <c r="E153" s="166">
        <v>15</v>
      </c>
      <c r="F153" s="180">
        <v>1440</v>
      </c>
      <c r="G153" s="265">
        <v>102.9</v>
      </c>
      <c r="H153" s="460"/>
      <c r="I153" s="166">
        <f t="shared" si="36"/>
        <v>16</v>
      </c>
      <c r="J153" s="166">
        <f t="shared" si="36"/>
        <v>1077.0431085043972</v>
      </c>
      <c r="K153" s="265">
        <f t="shared" si="36"/>
        <v>67.315194281524825</v>
      </c>
      <c r="L153" s="460"/>
      <c r="M153" s="272">
        <f>RANK(K153, K$147:$K$176)</f>
        <v>24</v>
      </c>
      <c r="N153" s="462"/>
      <c r="O153" s="462"/>
      <c r="P153" s="166">
        <v>16</v>
      </c>
      <c r="Q153" s="166">
        <v>1083.7499999999984</v>
      </c>
      <c r="R153" s="166">
        <v>67.734374999999901</v>
      </c>
      <c r="S153" s="180">
        <f t="shared" si="37"/>
        <v>24</v>
      </c>
      <c r="T153" s="486"/>
      <c r="U153" s="166">
        <v>16</v>
      </c>
      <c r="V153" s="166">
        <v>1070.9090909090896</v>
      </c>
      <c r="W153" s="166">
        <v>66.931818181818102</v>
      </c>
      <c r="X153" s="180">
        <f t="shared" si="38"/>
        <v>24</v>
      </c>
      <c r="Y153" s="486"/>
      <c r="Z153" s="166">
        <v>16</v>
      </c>
      <c r="AA153" s="166">
        <v>1085.8064516129016</v>
      </c>
      <c r="AB153" s="166">
        <v>67.862903225806349</v>
      </c>
      <c r="AC153" s="180">
        <f t="shared" si="39"/>
        <v>22</v>
      </c>
      <c r="AD153" s="486"/>
      <c r="AE153" s="166">
        <v>16</v>
      </c>
      <c r="AF153" s="166">
        <v>1068.7499999999984</v>
      </c>
      <c r="AG153" s="166">
        <v>66.796874999999901</v>
      </c>
      <c r="AH153" s="180">
        <f t="shared" si="40"/>
        <v>22</v>
      </c>
      <c r="AI153" s="486"/>
      <c r="AJ153" s="166">
        <v>16</v>
      </c>
      <c r="AK153" s="166">
        <v>1075.9999999999982</v>
      </c>
      <c r="AL153" s="166">
        <v>67.249999999999886</v>
      </c>
      <c r="AM153" s="180">
        <f t="shared" si="41"/>
        <v>23</v>
      </c>
      <c r="AN153" s="486"/>
      <c r="AO153" s="166"/>
      <c r="AP153" s="166"/>
      <c r="AQ153" s="166"/>
      <c r="AR153" s="180" t="e">
        <f t="shared" si="42"/>
        <v>#N/A</v>
      </c>
      <c r="AS153" s="486"/>
      <c r="AT153" s="166"/>
      <c r="AU153" s="166"/>
      <c r="AV153" s="166"/>
      <c r="AW153" s="180" t="e">
        <f t="shared" si="43"/>
        <v>#N/A</v>
      </c>
      <c r="AX153" s="486"/>
    </row>
    <row r="154" spans="2:50">
      <c r="B154" s="479"/>
      <c r="C154" s="180">
        <v>8</v>
      </c>
      <c r="D154" s="201" t="s">
        <v>368</v>
      </c>
      <c r="E154" s="166">
        <v>16</v>
      </c>
      <c r="F154" s="180">
        <v>1440</v>
      </c>
      <c r="G154" s="265">
        <v>90</v>
      </c>
      <c r="H154" s="460"/>
      <c r="I154" s="166">
        <f t="shared" si="36"/>
        <v>16.399999999999999</v>
      </c>
      <c r="J154" s="166">
        <f t="shared" si="36"/>
        <v>1260.9851713799526</v>
      </c>
      <c r="K154" s="265">
        <f t="shared" si="36"/>
        <v>76.966564703022428</v>
      </c>
      <c r="L154" s="460"/>
      <c r="M154" s="272">
        <f>RANK(K154, K$147:$K$176)</f>
        <v>8</v>
      </c>
      <c r="N154" s="462"/>
      <c r="O154" s="462"/>
      <c r="P154" s="166">
        <v>16</v>
      </c>
      <c r="Q154" s="166">
        <v>1298.5714285714282</v>
      </c>
      <c r="R154" s="166">
        <v>81.160714285714263</v>
      </c>
      <c r="S154" s="180">
        <f t="shared" si="37"/>
        <v>6</v>
      </c>
      <c r="T154" s="486"/>
      <c r="U154" s="166">
        <v>16</v>
      </c>
      <c r="V154" s="166">
        <v>1237.1428571428569</v>
      </c>
      <c r="W154" s="166">
        <v>77.321428571428555</v>
      </c>
      <c r="X154" s="180">
        <f t="shared" si="38"/>
        <v>7</v>
      </c>
      <c r="Y154" s="486"/>
      <c r="Z154" s="166">
        <v>16</v>
      </c>
      <c r="AA154" s="166">
        <v>1259.9999999999993</v>
      </c>
      <c r="AB154" s="166">
        <v>78.749999999999957</v>
      </c>
      <c r="AC154" s="180">
        <f t="shared" si="39"/>
        <v>6</v>
      </c>
      <c r="AD154" s="486"/>
      <c r="AE154" s="166">
        <v>17</v>
      </c>
      <c r="AF154" s="166">
        <v>1271.1627906976742</v>
      </c>
      <c r="AG154" s="166">
        <v>74.774281805745545</v>
      </c>
      <c r="AH154" s="180">
        <f t="shared" si="40"/>
        <v>8</v>
      </c>
      <c r="AI154" s="486"/>
      <c r="AJ154" s="166">
        <v>17</v>
      </c>
      <c r="AK154" s="166">
        <v>1238.0487804878044</v>
      </c>
      <c r="AL154" s="166">
        <v>72.82639885222379</v>
      </c>
      <c r="AM154" s="180">
        <f t="shared" si="41"/>
        <v>13</v>
      </c>
      <c r="AN154" s="486"/>
      <c r="AO154" s="166"/>
      <c r="AP154" s="166"/>
      <c r="AQ154" s="166"/>
      <c r="AR154" s="180" t="e">
        <f t="shared" si="42"/>
        <v>#N/A</v>
      </c>
      <c r="AS154" s="486"/>
      <c r="AT154" s="166"/>
      <c r="AU154" s="166"/>
      <c r="AV154" s="166"/>
      <c r="AW154" s="180" t="e">
        <f t="shared" si="43"/>
        <v>#N/A</v>
      </c>
      <c r="AX154" s="486"/>
    </row>
    <row r="155" spans="2:50">
      <c r="B155" s="479"/>
      <c r="C155" s="180">
        <v>9</v>
      </c>
      <c r="D155" s="201" t="s">
        <v>364</v>
      </c>
      <c r="E155" s="166">
        <v>16</v>
      </c>
      <c r="F155" s="180">
        <v>1380</v>
      </c>
      <c r="G155" s="265">
        <v>86.25</v>
      </c>
      <c r="H155" s="460"/>
      <c r="I155" s="166">
        <f t="shared" si="36"/>
        <v>17.8</v>
      </c>
      <c r="J155" s="166">
        <f t="shared" si="36"/>
        <v>1228.6303064129024</v>
      </c>
      <c r="K155" s="265">
        <f t="shared" si="36"/>
        <v>69.033709833396529</v>
      </c>
      <c r="L155" s="460"/>
      <c r="M155" s="272">
        <f>RANK(K155, K$147:$K$176)</f>
        <v>21</v>
      </c>
      <c r="N155" s="462"/>
      <c r="O155" s="462"/>
      <c r="P155" s="166">
        <v>18</v>
      </c>
      <c r="Q155" s="166">
        <v>1275.6521739130435</v>
      </c>
      <c r="R155" s="166">
        <v>70.869565217391312</v>
      </c>
      <c r="S155" s="180">
        <f t="shared" si="37"/>
        <v>22</v>
      </c>
      <c r="T155" s="486"/>
      <c r="U155" s="166">
        <v>18</v>
      </c>
      <c r="V155" s="166">
        <v>1263.1578947368359</v>
      </c>
      <c r="W155" s="166">
        <v>70.175438596490892</v>
      </c>
      <c r="X155" s="180">
        <f t="shared" si="38"/>
        <v>19</v>
      </c>
      <c r="Y155" s="486"/>
      <c r="Z155" s="166">
        <v>18</v>
      </c>
      <c r="AA155" s="166">
        <v>1189.9999999999991</v>
      </c>
      <c r="AB155" s="166">
        <v>66.111111111111057</v>
      </c>
      <c r="AC155" s="180">
        <f t="shared" si="39"/>
        <v>23</v>
      </c>
      <c r="AD155" s="486"/>
      <c r="AE155" s="166">
        <v>17</v>
      </c>
      <c r="AF155" s="166">
        <v>1187.9999999999995</v>
      </c>
      <c r="AG155" s="166">
        <v>69.88235294117645</v>
      </c>
      <c r="AH155" s="180">
        <f t="shared" si="40"/>
        <v>18</v>
      </c>
      <c r="AI155" s="486"/>
      <c r="AJ155" s="166">
        <v>18</v>
      </c>
      <c r="AK155" s="166">
        <v>1226.3414634146336</v>
      </c>
      <c r="AL155" s="166">
        <v>68.130081300812975</v>
      </c>
      <c r="AM155" s="180">
        <f t="shared" si="41"/>
        <v>21</v>
      </c>
      <c r="AN155" s="486"/>
      <c r="AO155" s="166"/>
      <c r="AP155" s="166"/>
      <c r="AQ155" s="166"/>
      <c r="AR155" s="180" t="e">
        <f t="shared" si="42"/>
        <v>#N/A</v>
      </c>
      <c r="AS155" s="486"/>
      <c r="AT155" s="166"/>
      <c r="AU155" s="166"/>
      <c r="AV155" s="166"/>
      <c r="AW155" s="180" t="e">
        <f t="shared" si="43"/>
        <v>#N/A</v>
      </c>
      <c r="AX155" s="486"/>
    </row>
    <row r="156" spans="2:50">
      <c r="B156" s="479"/>
      <c r="C156" s="180">
        <v>10</v>
      </c>
      <c r="D156" s="201" t="s">
        <v>367</v>
      </c>
      <c r="E156" s="166">
        <v>18</v>
      </c>
      <c r="F156" s="180">
        <v>1636</v>
      </c>
      <c r="G156" s="265">
        <v>90.9</v>
      </c>
      <c r="H156" s="460"/>
      <c r="I156" s="166">
        <f t="shared" si="36"/>
        <v>18</v>
      </c>
      <c r="J156" s="166">
        <f t="shared" si="36"/>
        <v>1257.160844541492</v>
      </c>
      <c r="K156" s="265">
        <f t="shared" si="36"/>
        <v>69.842269141193995</v>
      </c>
      <c r="L156" s="460"/>
      <c r="M156" s="272">
        <f>RANK(K156, K$147:$K$176)</f>
        <v>19</v>
      </c>
      <c r="N156" s="462"/>
      <c r="O156" s="462"/>
      <c r="P156" s="166">
        <v>18</v>
      </c>
      <c r="Q156" s="166">
        <v>1290.9375000000016</v>
      </c>
      <c r="R156" s="166">
        <v>71.718750000000085</v>
      </c>
      <c r="S156" s="180">
        <f t="shared" si="37"/>
        <v>16</v>
      </c>
      <c r="T156" s="486"/>
      <c r="U156" s="166">
        <v>18</v>
      </c>
      <c r="V156" s="166">
        <v>1270.3448275862077</v>
      </c>
      <c r="W156" s="166">
        <v>70.574712643678197</v>
      </c>
      <c r="X156" s="180">
        <f t="shared" si="38"/>
        <v>18</v>
      </c>
      <c r="Y156" s="486"/>
      <c r="Z156" s="166">
        <v>18</v>
      </c>
      <c r="AA156" s="166">
        <v>1230.5660377358497</v>
      </c>
      <c r="AB156" s="166">
        <v>68.364779874213866</v>
      </c>
      <c r="AC156" s="180">
        <f t="shared" si="39"/>
        <v>20</v>
      </c>
      <c r="AD156" s="486"/>
      <c r="AE156" s="166">
        <v>18</v>
      </c>
      <c r="AF156" s="166">
        <v>1261.0526315789482</v>
      </c>
      <c r="AG156" s="166">
        <v>70.058479532163787</v>
      </c>
      <c r="AH156" s="180">
        <f t="shared" si="40"/>
        <v>16</v>
      </c>
      <c r="AI156" s="486"/>
      <c r="AJ156" s="166">
        <v>18</v>
      </c>
      <c r="AK156" s="166">
        <v>1232.9032258064528</v>
      </c>
      <c r="AL156" s="166">
        <v>68.49462365591404</v>
      </c>
      <c r="AM156" s="180">
        <f t="shared" si="41"/>
        <v>19</v>
      </c>
      <c r="AN156" s="486"/>
      <c r="AO156" s="166"/>
      <c r="AP156" s="166"/>
      <c r="AQ156" s="166"/>
      <c r="AR156" s="180" t="e">
        <f t="shared" si="42"/>
        <v>#N/A</v>
      </c>
      <c r="AS156" s="486"/>
      <c r="AT156" s="166"/>
      <c r="AU156" s="166"/>
      <c r="AV156" s="166"/>
      <c r="AW156" s="180" t="e">
        <f t="shared" si="43"/>
        <v>#N/A</v>
      </c>
      <c r="AX156" s="486"/>
    </row>
    <row r="157" spans="2:50">
      <c r="B157" s="479"/>
      <c r="C157" s="180">
        <v>11</v>
      </c>
      <c r="D157" s="201" t="s">
        <v>366</v>
      </c>
      <c r="E157" s="166">
        <v>18</v>
      </c>
      <c r="F157" s="180">
        <v>1636</v>
      </c>
      <c r="G157" s="265">
        <v>90.9</v>
      </c>
      <c r="H157" s="460"/>
      <c r="I157" s="166">
        <f t="shared" si="36"/>
        <v>18.2</v>
      </c>
      <c r="J157" s="166">
        <f t="shared" si="36"/>
        <v>1250.2488868923945</v>
      </c>
      <c r="K157" s="265">
        <f t="shared" si="36"/>
        <v>68.720754624926087</v>
      </c>
      <c r="L157" s="460"/>
      <c r="M157" s="272">
        <f>RANK(K157, K$147:$K$176)</f>
        <v>22</v>
      </c>
      <c r="N157" s="462"/>
      <c r="O157" s="462"/>
      <c r="P157" s="166">
        <v>19</v>
      </c>
      <c r="Q157" s="166">
        <v>1261.1538461538469</v>
      </c>
      <c r="R157" s="166">
        <v>66.376518218623517</v>
      </c>
      <c r="S157" s="180">
        <f t="shared" si="37"/>
        <v>26</v>
      </c>
      <c r="T157" s="486"/>
      <c r="U157" s="166">
        <v>18</v>
      </c>
      <c r="V157" s="166">
        <v>1214.3478260869565</v>
      </c>
      <c r="W157" s="166">
        <v>67.463768115942031</v>
      </c>
      <c r="X157" s="180">
        <f t="shared" si="38"/>
        <v>22</v>
      </c>
      <c r="Y157" s="486"/>
      <c r="Z157" s="166">
        <v>18</v>
      </c>
      <c r="AA157" s="166">
        <v>1250.2325581395348</v>
      </c>
      <c r="AB157" s="166">
        <v>69.457364341085267</v>
      </c>
      <c r="AC157" s="180">
        <f t="shared" si="39"/>
        <v>17</v>
      </c>
      <c r="AD157" s="486"/>
      <c r="AE157" s="166">
        <v>18</v>
      </c>
      <c r="AF157" s="166">
        <v>1235.5102040816332</v>
      </c>
      <c r="AG157" s="166">
        <v>68.63945578231295</v>
      </c>
      <c r="AH157" s="180">
        <f t="shared" si="40"/>
        <v>19</v>
      </c>
      <c r="AI157" s="486"/>
      <c r="AJ157" s="166">
        <v>18</v>
      </c>
      <c r="AK157" s="166">
        <v>1290.0000000000005</v>
      </c>
      <c r="AL157" s="166">
        <v>71.666666666666686</v>
      </c>
      <c r="AM157" s="180">
        <f t="shared" si="41"/>
        <v>14</v>
      </c>
      <c r="AN157" s="486"/>
      <c r="AO157" s="166"/>
      <c r="AP157" s="166"/>
      <c r="AQ157" s="166"/>
      <c r="AR157" s="180" t="e">
        <f t="shared" si="42"/>
        <v>#N/A</v>
      </c>
      <c r="AS157" s="486"/>
      <c r="AT157" s="166"/>
      <c r="AU157" s="166"/>
      <c r="AV157" s="166"/>
      <c r="AW157" s="180" t="e">
        <f t="shared" si="43"/>
        <v>#N/A</v>
      </c>
      <c r="AX157" s="486"/>
    </row>
    <row r="158" spans="2:50">
      <c r="B158" s="479"/>
      <c r="C158" s="180">
        <v>12</v>
      </c>
      <c r="D158" s="201" t="s">
        <v>344</v>
      </c>
      <c r="E158" s="166">
        <v>17</v>
      </c>
      <c r="F158" s="180">
        <v>1500</v>
      </c>
      <c r="G158" s="265">
        <v>88.2</v>
      </c>
      <c r="H158" s="460"/>
      <c r="I158" s="166">
        <f t="shared" si="36"/>
        <v>17.600000000000001</v>
      </c>
      <c r="J158" s="166">
        <f t="shared" si="36"/>
        <v>1258.4004117833381</v>
      </c>
      <c r="K158" s="265">
        <f t="shared" si="36"/>
        <v>71.56057376387362</v>
      </c>
      <c r="L158" s="460"/>
      <c r="M158" s="272">
        <f>RANK(K158, K$147:$K$176)</f>
        <v>15</v>
      </c>
      <c r="N158" s="462"/>
      <c r="O158" s="462"/>
      <c r="P158" s="166">
        <v>17</v>
      </c>
      <c r="Q158" s="166">
        <v>1247.1428571428567</v>
      </c>
      <c r="R158" s="166">
        <v>73.3613445378151</v>
      </c>
      <c r="S158" s="180">
        <f t="shared" si="37"/>
        <v>15</v>
      </c>
      <c r="T158" s="486"/>
      <c r="U158" s="166">
        <v>17</v>
      </c>
      <c r="V158" s="166">
        <v>1276.4999999999995</v>
      </c>
      <c r="W158" s="166">
        <v>75.088235294117624</v>
      </c>
      <c r="X158" s="180">
        <f t="shared" si="38"/>
        <v>10</v>
      </c>
      <c r="Y158" s="486"/>
      <c r="Z158" s="166">
        <v>18</v>
      </c>
      <c r="AA158" s="166">
        <v>1224.8780487804875</v>
      </c>
      <c r="AB158" s="166">
        <v>68.048780487804862</v>
      </c>
      <c r="AC158" s="180">
        <f t="shared" si="39"/>
        <v>21</v>
      </c>
      <c r="AD158" s="486"/>
      <c r="AE158" s="166">
        <v>18</v>
      </c>
      <c r="AF158" s="166">
        <v>1279.090909090909</v>
      </c>
      <c r="AG158" s="166">
        <v>71.060606060606062</v>
      </c>
      <c r="AH158" s="180">
        <f t="shared" si="40"/>
        <v>14</v>
      </c>
      <c r="AI158" s="486"/>
      <c r="AJ158" s="166">
        <v>18</v>
      </c>
      <c r="AK158" s="166">
        <v>1264.3902439024387</v>
      </c>
      <c r="AL158" s="166">
        <v>70.243902439024367</v>
      </c>
      <c r="AM158" s="180">
        <f t="shared" si="41"/>
        <v>17</v>
      </c>
      <c r="AN158" s="486"/>
      <c r="AO158" s="166"/>
      <c r="AP158" s="166"/>
      <c r="AQ158" s="166"/>
      <c r="AR158" s="180" t="e">
        <f t="shared" si="42"/>
        <v>#N/A</v>
      </c>
      <c r="AS158" s="486"/>
      <c r="AT158" s="166"/>
      <c r="AU158" s="166"/>
      <c r="AV158" s="166"/>
      <c r="AW158" s="180" t="e">
        <f t="shared" si="43"/>
        <v>#N/A</v>
      </c>
      <c r="AX158" s="486"/>
    </row>
    <row r="159" spans="2:50">
      <c r="B159" s="479"/>
      <c r="C159" s="180">
        <v>13</v>
      </c>
      <c r="D159" s="201" t="s">
        <v>548</v>
      </c>
      <c r="E159" s="166">
        <v>18</v>
      </c>
      <c r="F159" s="180">
        <v>1440</v>
      </c>
      <c r="G159" s="265">
        <v>80</v>
      </c>
      <c r="H159" s="460"/>
      <c r="I159" s="166">
        <f t="shared" si="36"/>
        <v>19</v>
      </c>
      <c r="J159" s="166">
        <f t="shared" si="36"/>
        <v>1299.0144618302504</v>
      </c>
      <c r="K159" s="265">
        <f t="shared" si="36"/>
        <v>68.369182201592139</v>
      </c>
      <c r="L159" s="460"/>
      <c r="M159" s="272">
        <f>RANK(K159, K$147:$K$176)</f>
        <v>23</v>
      </c>
      <c r="N159" s="462"/>
      <c r="O159" s="462"/>
      <c r="P159" s="166">
        <v>19</v>
      </c>
      <c r="Q159" s="166">
        <v>1316.0526315789464</v>
      </c>
      <c r="R159" s="166">
        <v>69.265927977839283</v>
      </c>
      <c r="S159" s="180">
        <f t="shared" si="37"/>
        <v>23</v>
      </c>
      <c r="T159" s="486"/>
      <c r="U159" s="166">
        <v>19</v>
      </c>
      <c r="V159" s="166">
        <v>1274.5945945945937</v>
      </c>
      <c r="W159" s="166">
        <v>67.083926031294411</v>
      </c>
      <c r="X159" s="180">
        <f t="shared" si="38"/>
        <v>23</v>
      </c>
      <c r="Y159" s="486"/>
      <c r="Z159" s="166">
        <v>19</v>
      </c>
      <c r="AA159" s="166">
        <v>1310.8333333333321</v>
      </c>
      <c r="AB159" s="166">
        <v>68.991228070175382</v>
      </c>
      <c r="AC159" s="180">
        <f t="shared" si="39"/>
        <v>19</v>
      </c>
      <c r="AD159" s="486"/>
      <c r="AE159" s="166">
        <v>19</v>
      </c>
      <c r="AF159" s="166">
        <v>1297.1052631578939</v>
      </c>
      <c r="AG159" s="166">
        <v>68.268698060941787</v>
      </c>
      <c r="AH159" s="180">
        <f t="shared" si="40"/>
        <v>20</v>
      </c>
      <c r="AI159" s="486"/>
      <c r="AJ159" s="166">
        <v>19</v>
      </c>
      <c r="AK159" s="166">
        <v>1296.4864864864855</v>
      </c>
      <c r="AL159" s="166">
        <v>68.236130867709761</v>
      </c>
      <c r="AM159" s="180">
        <f t="shared" si="41"/>
        <v>20</v>
      </c>
      <c r="AN159" s="486"/>
      <c r="AO159" s="166"/>
      <c r="AP159" s="166"/>
      <c r="AQ159" s="166"/>
      <c r="AR159" s="180" t="e">
        <f t="shared" si="42"/>
        <v>#N/A</v>
      </c>
      <c r="AS159" s="486"/>
      <c r="AT159" s="166"/>
      <c r="AU159" s="166"/>
      <c r="AV159" s="166"/>
      <c r="AW159" s="180" t="e">
        <f t="shared" si="43"/>
        <v>#N/A</v>
      </c>
      <c r="AX159" s="486"/>
    </row>
    <row r="160" spans="2:50">
      <c r="B160" s="479"/>
      <c r="C160" s="180">
        <v>14</v>
      </c>
      <c r="D160" s="201" t="s">
        <v>370</v>
      </c>
      <c r="E160" s="166">
        <v>15</v>
      </c>
      <c r="F160" s="180">
        <v>1440</v>
      </c>
      <c r="G160" s="265">
        <v>96</v>
      </c>
      <c r="H160" s="460"/>
      <c r="I160" s="166">
        <f t="shared" si="36"/>
        <v>16</v>
      </c>
      <c r="J160" s="166">
        <f t="shared" si="36"/>
        <v>1266.1916529139044</v>
      </c>
      <c r="K160" s="265">
        <f t="shared" si="36"/>
        <v>79.136978307119023</v>
      </c>
      <c r="L160" s="460"/>
      <c r="M160" s="272">
        <f>RANK(K160, K$147:$K$176)</f>
        <v>6</v>
      </c>
      <c r="N160" s="462"/>
      <c r="O160" s="462"/>
      <c r="P160" s="166">
        <v>16</v>
      </c>
      <c r="Q160" s="166">
        <v>1283.0769230769245</v>
      </c>
      <c r="R160" s="166">
        <v>80.192307692307779</v>
      </c>
      <c r="S160" s="180">
        <f t="shared" si="37"/>
        <v>7</v>
      </c>
      <c r="T160" s="486"/>
      <c r="U160" s="166">
        <v>16</v>
      </c>
      <c r="V160" s="166">
        <v>1283.157894736843</v>
      </c>
      <c r="W160" s="166">
        <v>80.197368421052687</v>
      </c>
      <c r="X160" s="180">
        <f t="shared" si="38"/>
        <v>6</v>
      </c>
      <c r="Y160" s="486"/>
      <c r="Z160" s="166">
        <v>16</v>
      </c>
      <c r="AA160" s="166">
        <v>1244.7058823529417</v>
      </c>
      <c r="AB160" s="166">
        <v>77.794117647058854</v>
      </c>
      <c r="AC160" s="180">
        <f t="shared" si="39"/>
        <v>7</v>
      </c>
      <c r="AD160" s="486"/>
      <c r="AE160" s="166">
        <v>16</v>
      </c>
      <c r="AF160" s="166">
        <v>1248.2142857142867</v>
      </c>
      <c r="AG160" s="166">
        <v>78.013392857142918</v>
      </c>
      <c r="AH160" s="180">
        <f t="shared" si="40"/>
        <v>6</v>
      </c>
      <c r="AI160" s="486"/>
      <c r="AJ160" s="166">
        <v>16</v>
      </c>
      <c r="AK160" s="166">
        <v>1271.8032786885258</v>
      </c>
      <c r="AL160" s="166">
        <v>79.487704918032861</v>
      </c>
      <c r="AM160" s="180">
        <f t="shared" si="41"/>
        <v>5</v>
      </c>
      <c r="AN160" s="486"/>
      <c r="AO160" s="166"/>
      <c r="AP160" s="166"/>
      <c r="AQ160" s="166"/>
      <c r="AR160" s="180" t="e">
        <f t="shared" si="42"/>
        <v>#N/A</v>
      </c>
      <c r="AS160" s="486"/>
      <c r="AT160" s="166"/>
      <c r="AU160" s="166"/>
      <c r="AV160" s="166"/>
      <c r="AW160" s="180" t="e">
        <f t="shared" si="43"/>
        <v>#N/A</v>
      </c>
      <c r="AX160" s="486"/>
    </row>
    <row r="161" spans="2:50">
      <c r="B161" s="479"/>
      <c r="C161" s="180">
        <v>15</v>
      </c>
      <c r="D161" s="201" t="s">
        <v>335</v>
      </c>
      <c r="E161" s="166">
        <v>17</v>
      </c>
      <c r="F161" s="180">
        <v>1440</v>
      </c>
      <c r="G161" s="265">
        <v>84.7</v>
      </c>
      <c r="H161" s="460"/>
      <c r="I161" s="166">
        <f t="shared" si="36"/>
        <v>16.600000000000001</v>
      </c>
      <c r="J161" s="166">
        <f t="shared" si="36"/>
        <v>1319.0316512933896</v>
      </c>
      <c r="K161" s="265">
        <f t="shared" si="36"/>
        <v>79.520674984022463</v>
      </c>
      <c r="L161" s="460"/>
      <c r="M161" s="166">
        <f>RANK(K161, K$147:$K$176)</f>
        <v>5</v>
      </c>
      <c r="N161" s="462"/>
      <c r="O161" s="462"/>
      <c r="P161" s="166">
        <v>16</v>
      </c>
      <c r="Q161" s="166">
        <v>1334.1573033707866</v>
      </c>
      <c r="R161" s="166">
        <v>83.384831460674164</v>
      </c>
      <c r="S161" s="180">
        <f t="shared" si="37"/>
        <v>5</v>
      </c>
      <c r="T161" s="486"/>
      <c r="U161" s="166">
        <v>16</v>
      </c>
      <c r="V161" s="166">
        <v>1291.4285714285709</v>
      </c>
      <c r="W161" s="166">
        <v>80.71428571428568</v>
      </c>
      <c r="X161" s="180">
        <f t="shared" si="38"/>
        <v>5</v>
      </c>
      <c r="Y161" s="486"/>
      <c r="Z161" s="166">
        <v>17</v>
      </c>
      <c r="AA161" s="166">
        <v>1314.8148148148143</v>
      </c>
      <c r="AB161" s="166">
        <v>77.342047930283201</v>
      </c>
      <c r="AC161" s="180">
        <f t="shared" si="39"/>
        <v>8</v>
      </c>
      <c r="AD161" s="486"/>
      <c r="AE161" s="166">
        <v>17</v>
      </c>
      <c r="AF161" s="166">
        <v>1309.8795180722886</v>
      </c>
      <c r="AG161" s="166">
        <v>77.051736357193448</v>
      </c>
      <c r="AH161" s="180">
        <f t="shared" si="40"/>
        <v>7</v>
      </c>
      <c r="AI161" s="486"/>
      <c r="AJ161" s="166">
        <v>17</v>
      </c>
      <c r="AK161" s="166">
        <v>1344.8780487804875</v>
      </c>
      <c r="AL161" s="166">
        <v>79.110473457675738</v>
      </c>
      <c r="AM161" s="180">
        <f t="shared" si="41"/>
        <v>6</v>
      </c>
      <c r="AN161" s="486"/>
      <c r="AO161" s="166"/>
      <c r="AP161" s="166"/>
      <c r="AQ161" s="166"/>
      <c r="AR161" s="180" t="e">
        <f t="shared" si="42"/>
        <v>#N/A</v>
      </c>
      <c r="AS161" s="486"/>
      <c r="AT161" s="166"/>
      <c r="AU161" s="166"/>
      <c r="AV161" s="166"/>
      <c r="AW161" s="180" t="e">
        <f t="shared" si="43"/>
        <v>#N/A</v>
      </c>
      <c r="AX161" s="486"/>
    </row>
    <row r="162" spans="2:50">
      <c r="B162" s="479"/>
      <c r="C162" s="180">
        <v>16</v>
      </c>
      <c r="D162" s="201" t="s">
        <v>365</v>
      </c>
      <c r="E162" s="166">
        <v>19</v>
      </c>
      <c r="F162" s="180">
        <v>1440</v>
      </c>
      <c r="G162" s="265">
        <v>75.8</v>
      </c>
      <c r="H162" s="460"/>
      <c r="I162" s="166">
        <f t="shared" si="36"/>
        <v>17.399999999999999</v>
      </c>
      <c r="J162" s="166">
        <f t="shared" si="36"/>
        <v>1252.6875551525573</v>
      </c>
      <c r="K162" s="265">
        <f t="shared" si="36"/>
        <v>72.065680983025274</v>
      </c>
      <c r="L162" s="460"/>
      <c r="M162" s="166">
        <f>RANK(K162, K$147:$K$176)</f>
        <v>13</v>
      </c>
      <c r="N162" s="462"/>
      <c r="O162" s="462"/>
      <c r="P162" s="166">
        <v>17</v>
      </c>
      <c r="Q162" s="166">
        <v>1267.0588235294135</v>
      </c>
      <c r="R162" s="166">
        <v>74.532871972318446</v>
      </c>
      <c r="S162" s="180">
        <f t="shared" si="37"/>
        <v>13</v>
      </c>
      <c r="T162" s="486"/>
      <c r="U162" s="166">
        <v>17</v>
      </c>
      <c r="V162" s="166">
        <v>1247.2131147540995</v>
      </c>
      <c r="W162" s="166">
        <v>73.365477338476438</v>
      </c>
      <c r="X162" s="180">
        <f t="shared" si="38"/>
        <v>13</v>
      </c>
      <c r="Y162" s="486"/>
      <c r="Z162" s="166">
        <v>17</v>
      </c>
      <c r="AA162" s="166">
        <v>1267.7777777777785</v>
      </c>
      <c r="AB162" s="166">
        <v>74.575163398692851</v>
      </c>
      <c r="AC162" s="180">
        <f t="shared" si="39"/>
        <v>10</v>
      </c>
      <c r="AD162" s="486"/>
      <c r="AE162" s="166">
        <v>18</v>
      </c>
      <c r="AF162" s="166">
        <v>1259.0000000000011</v>
      </c>
      <c r="AG162" s="166">
        <v>69.944444444444514</v>
      </c>
      <c r="AH162" s="180">
        <f t="shared" si="40"/>
        <v>17</v>
      </c>
      <c r="AI162" s="486"/>
      <c r="AJ162" s="166">
        <v>18</v>
      </c>
      <c r="AK162" s="166">
        <v>1222.3880597014941</v>
      </c>
      <c r="AL162" s="166">
        <v>67.910447761194121</v>
      </c>
      <c r="AM162" s="180">
        <f t="shared" si="41"/>
        <v>22</v>
      </c>
      <c r="AN162" s="486"/>
      <c r="AO162" s="166"/>
      <c r="AP162" s="166"/>
      <c r="AQ162" s="166"/>
      <c r="AR162" s="180" t="e">
        <f t="shared" si="42"/>
        <v>#N/A</v>
      </c>
      <c r="AS162" s="486"/>
      <c r="AT162" s="166"/>
      <c r="AU162" s="166"/>
      <c r="AV162" s="166"/>
      <c r="AW162" s="180" t="e">
        <f t="shared" si="43"/>
        <v>#N/A</v>
      </c>
      <c r="AX162" s="486"/>
    </row>
    <row r="163" spans="2:50">
      <c r="B163" s="479"/>
      <c r="C163" s="180">
        <v>17</v>
      </c>
      <c r="D163" s="201" t="s">
        <v>371</v>
      </c>
      <c r="E163" s="166">
        <v>19</v>
      </c>
      <c r="F163" s="180">
        <v>1500</v>
      </c>
      <c r="G163" s="265">
        <v>78.900000000000006</v>
      </c>
      <c r="H163" s="460"/>
      <c r="I163" s="166">
        <f t="shared" si="36"/>
        <v>18</v>
      </c>
      <c r="J163" s="166">
        <f t="shared" si="36"/>
        <v>1273.2653491436099</v>
      </c>
      <c r="K163" s="265">
        <f t="shared" si="36"/>
        <v>70.736963841311677</v>
      </c>
      <c r="L163" s="460"/>
      <c r="M163" s="166">
        <f>RANK(K163, K$147:$K$176)</f>
        <v>17</v>
      </c>
      <c r="N163" s="462"/>
      <c r="O163" s="462"/>
      <c r="P163" s="166">
        <v>18</v>
      </c>
      <c r="Q163" s="166">
        <v>1282.6666666666665</v>
      </c>
      <c r="R163" s="166">
        <v>71.259259259259252</v>
      </c>
      <c r="S163" s="180">
        <f t="shared" si="37"/>
        <v>18</v>
      </c>
      <c r="T163" s="486"/>
      <c r="U163" s="166">
        <v>18</v>
      </c>
      <c r="V163" s="166">
        <v>1242.2727272727273</v>
      </c>
      <c r="W163" s="166">
        <v>69.015151515151516</v>
      </c>
      <c r="X163" s="180">
        <f t="shared" si="38"/>
        <v>20</v>
      </c>
      <c r="Y163" s="486"/>
      <c r="Z163" s="166">
        <v>18</v>
      </c>
      <c r="AA163" s="166">
        <v>1285.909090909091</v>
      </c>
      <c r="AB163" s="166">
        <v>71.439393939393938</v>
      </c>
      <c r="AC163" s="180">
        <f t="shared" si="39"/>
        <v>15</v>
      </c>
      <c r="AD163" s="486"/>
      <c r="AE163" s="166">
        <v>18</v>
      </c>
      <c r="AF163" s="166">
        <v>1283.4782608695652</v>
      </c>
      <c r="AG163" s="166">
        <v>71.304347826086953</v>
      </c>
      <c r="AH163" s="180">
        <f t="shared" si="40"/>
        <v>13</v>
      </c>
      <c r="AI163" s="486"/>
      <c r="AJ163" s="166">
        <v>18</v>
      </c>
      <c r="AK163" s="166">
        <v>1272</v>
      </c>
      <c r="AL163" s="166">
        <v>70.666666666666671</v>
      </c>
      <c r="AM163" s="180">
        <f t="shared" si="41"/>
        <v>15</v>
      </c>
      <c r="AN163" s="486"/>
      <c r="AO163" s="166"/>
      <c r="AP163" s="166"/>
      <c r="AQ163" s="166"/>
      <c r="AR163" s="180" t="e">
        <f t="shared" si="42"/>
        <v>#N/A</v>
      </c>
      <c r="AS163" s="486"/>
      <c r="AT163" s="166"/>
      <c r="AU163" s="166"/>
      <c r="AV163" s="166"/>
      <c r="AW163" s="180" t="e">
        <f t="shared" si="43"/>
        <v>#N/A</v>
      </c>
      <c r="AX163" s="486"/>
    </row>
    <row r="164" spans="2:50">
      <c r="B164" s="479"/>
      <c r="C164" s="180">
        <v>18</v>
      </c>
      <c r="D164" s="201" t="s">
        <v>428</v>
      </c>
      <c r="E164" s="166">
        <v>18</v>
      </c>
      <c r="F164" s="180">
        <v>1440</v>
      </c>
      <c r="G164" s="265">
        <v>80</v>
      </c>
      <c r="H164" s="460"/>
      <c r="I164" s="166">
        <f t="shared" si="36"/>
        <v>17</v>
      </c>
      <c r="J164" s="166">
        <f t="shared" si="36"/>
        <v>1084.0668202764975</v>
      </c>
      <c r="K164" s="265">
        <f t="shared" si="36"/>
        <v>63.768636486852792</v>
      </c>
      <c r="L164" s="460"/>
      <c r="M164" s="166">
        <f>RANK(K164, K$147:$K$176)</f>
        <v>25</v>
      </c>
      <c r="N164" s="462"/>
      <c r="O164" s="462"/>
      <c r="P164" s="166">
        <v>17</v>
      </c>
      <c r="Q164" s="166">
        <v>1136.1290322580628</v>
      </c>
      <c r="R164" s="166">
        <v>66.831119544591928</v>
      </c>
      <c r="S164" s="180">
        <f t="shared" si="37"/>
        <v>25</v>
      </c>
      <c r="T164" s="486"/>
      <c r="U164" s="166">
        <v>17</v>
      </c>
      <c r="V164" s="166">
        <v>1088.5714285714262</v>
      </c>
      <c r="W164" s="166">
        <v>64.033613445378009</v>
      </c>
      <c r="X164" s="180">
        <f t="shared" si="38"/>
        <v>25</v>
      </c>
      <c r="Y164" s="486"/>
      <c r="Z164" s="166">
        <v>17</v>
      </c>
      <c r="AA164" s="166">
        <v>1027.5000000000036</v>
      </c>
      <c r="AB164" s="166">
        <v>60.441176470588452</v>
      </c>
      <c r="AC164" s="180">
        <f t="shared" si="39"/>
        <v>26</v>
      </c>
      <c r="AD164" s="486"/>
      <c r="AE164" s="166" t="s">
        <v>522</v>
      </c>
      <c r="AF164" s="166" t="s">
        <v>522</v>
      </c>
      <c r="AG164" s="166" t="s">
        <v>522</v>
      </c>
      <c r="AH164" s="180" t="e">
        <f t="shared" si="40"/>
        <v>#VALUE!</v>
      </c>
      <c r="AI164" s="486"/>
      <c r="AJ164" s="166" t="s">
        <v>522</v>
      </c>
      <c r="AK164" s="166" t="s">
        <v>522</v>
      </c>
      <c r="AL164" s="166" t="s">
        <v>522</v>
      </c>
      <c r="AM164" s="180" t="e">
        <f t="shared" si="41"/>
        <v>#VALUE!</v>
      </c>
      <c r="AN164" s="486"/>
      <c r="AO164" s="166"/>
      <c r="AP164" s="166"/>
      <c r="AQ164" s="166"/>
      <c r="AR164" s="180" t="e">
        <f t="shared" si="42"/>
        <v>#N/A</v>
      </c>
      <c r="AS164" s="486"/>
      <c r="AT164" s="166"/>
      <c r="AU164" s="166"/>
      <c r="AV164" s="166"/>
      <c r="AW164" s="180" t="e">
        <f t="shared" si="43"/>
        <v>#N/A</v>
      </c>
      <c r="AX164" s="486"/>
    </row>
    <row r="165" spans="2:50">
      <c r="B165" s="479"/>
      <c r="C165" s="180">
        <v>19</v>
      </c>
      <c r="D165" s="201" t="s">
        <v>462</v>
      </c>
      <c r="E165" s="166">
        <v>17</v>
      </c>
      <c r="F165" s="180">
        <v>1385</v>
      </c>
      <c r="G165" s="265">
        <v>81.400000000000006</v>
      </c>
      <c r="H165" s="460"/>
      <c r="I165" s="166">
        <f t="shared" si="36"/>
        <v>17</v>
      </c>
      <c r="J165" s="166">
        <f t="shared" si="36"/>
        <v>1184.6954784913107</v>
      </c>
      <c r="K165" s="265">
        <f t="shared" si="36"/>
        <v>69.68796932301828</v>
      </c>
      <c r="L165" s="460"/>
      <c r="M165" s="166">
        <f>RANK(K165, K$147:$K$176)</f>
        <v>20</v>
      </c>
      <c r="N165" s="462"/>
      <c r="O165" s="462"/>
      <c r="P165" s="166">
        <v>17</v>
      </c>
      <c r="Q165" s="166">
        <v>1205.8064516129043</v>
      </c>
      <c r="R165" s="166">
        <v>70.929791271347312</v>
      </c>
      <c r="S165" s="180">
        <f t="shared" si="37"/>
        <v>21</v>
      </c>
      <c r="T165" s="486"/>
      <c r="U165" s="166">
        <v>17</v>
      </c>
      <c r="V165" s="166">
        <v>1165.4545454545441</v>
      </c>
      <c r="W165" s="166">
        <v>68.556149732620241</v>
      </c>
      <c r="X165" s="180">
        <f t="shared" si="38"/>
        <v>21</v>
      </c>
      <c r="Y165" s="486"/>
      <c r="Z165" s="166">
        <v>17</v>
      </c>
      <c r="AA165" s="166">
        <v>1194.7058823529396</v>
      </c>
      <c r="AB165" s="166">
        <v>70.276816608996455</v>
      </c>
      <c r="AC165" s="180">
        <f t="shared" si="39"/>
        <v>16</v>
      </c>
      <c r="AD165" s="486"/>
      <c r="AE165" s="166">
        <v>17</v>
      </c>
      <c r="AF165" s="166">
        <v>1192.6829268292679</v>
      </c>
      <c r="AG165" s="166">
        <v>70.157819225251046</v>
      </c>
      <c r="AH165" s="180">
        <f t="shared" si="40"/>
        <v>15</v>
      </c>
      <c r="AI165" s="486"/>
      <c r="AJ165" s="166">
        <v>17</v>
      </c>
      <c r="AK165" s="166">
        <v>1164.8275862068974</v>
      </c>
      <c r="AL165" s="166">
        <v>68.519269776876314</v>
      </c>
      <c r="AM165" s="180">
        <f t="shared" si="41"/>
        <v>18</v>
      </c>
      <c r="AN165" s="486"/>
      <c r="AO165" s="166"/>
      <c r="AP165" s="166"/>
      <c r="AQ165" s="166"/>
      <c r="AR165" s="180" t="e">
        <f t="shared" si="42"/>
        <v>#N/A</v>
      </c>
      <c r="AS165" s="486"/>
      <c r="AT165" s="166"/>
      <c r="AU165" s="166"/>
      <c r="AV165" s="166"/>
      <c r="AW165" s="180" t="e">
        <f t="shared" si="43"/>
        <v>#N/A</v>
      </c>
      <c r="AX165" s="486"/>
    </row>
    <row r="166" spans="2:50">
      <c r="B166" s="479"/>
      <c r="C166" s="180">
        <v>20</v>
      </c>
      <c r="D166" s="201" t="s">
        <v>523</v>
      </c>
      <c r="E166" s="166">
        <v>17</v>
      </c>
      <c r="F166" s="180">
        <v>1440</v>
      </c>
      <c r="G166" s="265">
        <v>84.7</v>
      </c>
      <c r="H166" s="460"/>
      <c r="I166" s="166">
        <f t="shared" si="36"/>
        <v>18</v>
      </c>
      <c r="J166" s="166">
        <f t="shared" si="36"/>
        <v>1260.2014652014648</v>
      </c>
      <c r="K166" s="265">
        <f t="shared" si="36"/>
        <v>70.011192511192505</v>
      </c>
      <c r="L166" s="460"/>
      <c r="M166" s="166">
        <f>RANK(K166, K$147:$K$176)</f>
        <v>18</v>
      </c>
      <c r="N166" s="462"/>
      <c r="O166" s="462"/>
      <c r="P166" s="166">
        <v>18</v>
      </c>
      <c r="Q166" s="166">
        <v>1280.7692307692314</v>
      </c>
      <c r="R166" s="166">
        <v>71.153846153846189</v>
      </c>
      <c r="S166" s="180">
        <f t="shared" si="37"/>
        <v>19</v>
      </c>
      <c r="T166" s="486"/>
      <c r="U166" s="166">
        <v>18</v>
      </c>
      <c r="V166" s="166">
        <v>1284.2857142857138</v>
      </c>
      <c r="W166" s="166">
        <v>71.349206349206327</v>
      </c>
      <c r="X166" s="180">
        <f t="shared" si="38"/>
        <v>16</v>
      </c>
      <c r="Y166" s="486"/>
      <c r="Z166" s="166">
        <v>18</v>
      </c>
      <c r="AA166" s="166">
        <v>1246.6666666666656</v>
      </c>
      <c r="AB166" s="166">
        <v>69.259259259259196</v>
      </c>
      <c r="AC166" s="180">
        <f t="shared" si="39"/>
        <v>18</v>
      </c>
      <c r="AD166" s="486"/>
      <c r="AE166" s="166">
        <v>18</v>
      </c>
      <c r="AF166" s="166">
        <v>1224.2857142857138</v>
      </c>
      <c r="AG166" s="166">
        <v>68.015873015872984</v>
      </c>
      <c r="AH166" s="180">
        <f t="shared" si="40"/>
        <v>21</v>
      </c>
      <c r="AI166" s="486"/>
      <c r="AJ166" s="166">
        <v>18</v>
      </c>
      <c r="AK166" s="166">
        <v>1265.0000000000005</v>
      </c>
      <c r="AL166" s="166">
        <v>70.2777777777778</v>
      </c>
      <c r="AM166" s="180">
        <f t="shared" si="41"/>
        <v>16</v>
      </c>
      <c r="AN166" s="486"/>
      <c r="AO166" s="166"/>
      <c r="AP166" s="166"/>
      <c r="AQ166" s="166"/>
      <c r="AR166" s="180" t="e">
        <f t="shared" si="42"/>
        <v>#N/A</v>
      </c>
      <c r="AS166" s="486"/>
      <c r="AT166" s="166"/>
      <c r="AU166" s="166"/>
      <c r="AV166" s="166"/>
      <c r="AW166" s="180" t="e">
        <f t="shared" si="43"/>
        <v>#N/A</v>
      </c>
      <c r="AX166" s="486"/>
    </row>
    <row r="167" spans="2:50">
      <c r="B167" s="479"/>
      <c r="C167" s="180">
        <v>21</v>
      </c>
      <c r="D167" s="201" t="s">
        <v>549</v>
      </c>
      <c r="E167" s="166">
        <v>17</v>
      </c>
      <c r="F167" s="180">
        <v>1500</v>
      </c>
      <c r="G167" s="265">
        <v>88.2</v>
      </c>
      <c r="H167" s="460"/>
      <c r="I167" s="166">
        <f t="shared" si="36"/>
        <v>18</v>
      </c>
      <c r="J167" s="166">
        <f t="shared" si="36"/>
        <v>1296.4569052316413</v>
      </c>
      <c r="K167" s="265">
        <f t="shared" si="36"/>
        <v>72.025383623980048</v>
      </c>
      <c r="L167" s="460"/>
      <c r="M167" s="166">
        <f>RANK(K167, K$147:$K$176)</f>
        <v>14</v>
      </c>
      <c r="N167" s="462"/>
      <c r="O167" s="462"/>
      <c r="P167" s="166">
        <v>18</v>
      </c>
      <c r="Q167" s="166">
        <v>1288.8888888888885</v>
      </c>
      <c r="R167" s="166">
        <v>71.604938271604908</v>
      </c>
      <c r="S167" s="180">
        <f t="shared" si="37"/>
        <v>17</v>
      </c>
      <c r="T167" s="486"/>
      <c r="U167" s="166">
        <v>18</v>
      </c>
      <c r="V167" s="166">
        <v>1281.5625000000016</v>
      </c>
      <c r="W167" s="166">
        <v>71.197916666666757</v>
      </c>
      <c r="X167" s="180">
        <f t="shared" si="38"/>
        <v>17</v>
      </c>
      <c r="Y167" s="486"/>
      <c r="Z167" s="166">
        <v>18</v>
      </c>
      <c r="AA167" s="166">
        <v>1291.0714285714296</v>
      </c>
      <c r="AB167" s="166">
        <v>71.726190476190538</v>
      </c>
      <c r="AC167" s="180">
        <f t="shared" si="39"/>
        <v>14</v>
      </c>
      <c r="AD167" s="486"/>
      <c r="AE167" s="166">
        <v>18</v>
      </c>
      <c r="AF167" s="166">
        <v>1303.4482758620666</v>
      </c>
      <c r="AG167" s="166">
        <v>72.413793103448143</v>
      </c>
      <c r="AH167" s="180">
        <f t="shared" si="40"/>
        <v>12</v>
      </c>
      <c r="AI167" s="486"/>
      <c r="AJ167" s="166">
        <v>18</v>
      </c>
      <c r="AK167" s="166">
        <v>1317.3134328358192</v>
      </c>
      <c r="AL167" s="166">
        <v>73.18407960198995</v>
      </c>
      <c r="AM167" s="180">
        <f t="shared" si="41"/>
        <v>10</v>
      </c>
      <c r="AN167" s="486"/>
      <c r="AO167" s="166"/>
      <c r="AP167" s="166"/>
      <c r="AQ167" s="166"/>
      <c r="AR167" s="180" t="e">
        <f t="shared" si="42"/>
        <v>#N/A</v>
      </c>
      <c r="AS167" s="486"/>
      <c r="AT167" s="166"/>
      <c r="AU167" s="166"/>
      <c r="AV167" s="166"/>
      <c r="AW167" s="180" t="e">
        <f t="shared" si="43"/>
        <v>#N/A</v>
      </c>
      <c r="AX167" s="486"/>
    </row>
    <row r="168" spans="2:50">
      <c r="B168" s="479"/>
      <c r="C168" s="180">
        <v>22</v>
      </c>
      <c r="D168" s="201" t="s">
        <v>558</v>
      </c>
      <c r="E168" s="166">
        <v>18</v>
      </c>
      <c r="F168" s="180">
        <v>1500</v>
      </c>
      <c r="G168" s="265">
        <v>83.3</v>
      </c>
      <c r="H168" s="460"/>
      <c r="I168" s="166">
        <f t="shared" si="36"/>
        <v>18</v>
      </c>
      <c r="J168" s="166">
        <f t="shared" si="36"/>
        <v>1282.1206571515256</v>
      </c>
      <c r="K168" s="265">
        <f t="shared" si="36"/>
        <v>71.228925397306966</v>
      </c>
      <c r="L168" s="460"/>
      <c r="M168" s="166">
        <f>RANK(K168, K$147:$K$176)</f>
        <v>16</v>
      </c>
      <c r="N168" s="462"/>
      <c r="O168" s="462"/>
      <c r="P168" s="166">
        <v>18</v>
      </c>
      <c r="Q168" s="166">
        <v>1332.7272727272741</v>
      </c>
      <c r="R168" s="166">
        <v>74.040404040404113</v>
      </c>
      <c r="S168" s="180">
        <f t="shared" si="37"/>
        <v>14</v>
      </c>
      <c r="T168" s="486"/>
      <c r="U168" s="166">
        <v>18</v>
      </c>
      <c r="V168" s="166">
        <v>1338.7500000000016</v>
      </c>
      <c r="W168" s="166">
        <v>74.375000000000085</v>
      </c>
      <c r="X168" s="180">
        <f t="shared" si="38"/>
        <v>11</v>
      </c>
      <c r="Y168" s="486"/>
      <c r="Z168" s="166">
        <v>18</v>
      </c>
      <c r="AA168" s="166">
        <v>1308.3870967741948</v>
      </c>
      <c r="AB168" s="166">
        <v>72.688172043010823</v>
      </c>
      <c r="AC168" s="180">
        <f t="shared" si="39"/>
        <v>13</v>
      </c>
      <c r="AD168" s="486"/>
      <c r="AE168" s="166">
        <v>18</v>
      </c>
      <c r="AF168" s="166">
        <v>1119.310344827587</v>
      </c>
      <c r="AG168" s="166">
        <v>62.183908045977056</v>
      </c>
      <c r="AH168" s="180">
        <f t="shared" si="40"/>
        <v>23</v>
      </c>
      <c r="AI168" s="486"/>
      <c r="AJ168" s="166">
        <v>18</v>
      </c>
      <c r="AK168" s="166">
        <v>1311.4285714285702</v>
      </c>
      <c r="AL168" s="166">
        <v>72.85714285714279</v>
      </c>
      <c r="AM168" s="180">
        <f t="shared" si="41"/>
        <v>12</v>
      </c>
      <c r="AN168" s="486"/>
      <c r="AO168" s="166"/>
      <c r="AP168" s="166"/>
      <c r="AQ168" s="166"/>
      <c r="AR168" s="180" t="e">
        <f t="shared" si="42"/>
        <v>#N/A</v>
      </c>
      <c r="AS168" s="486"/>
      <c r="AT168" s="166"/>
      <c r="AU168" s="166"/>
      <c r="AV168" s="166"/>
      <c r="AW168" s="180" t="e">
        <f t="shared" si="43"/>
        <v>#N/A</v>
      </c>
      <c r="AX168" s="486"/>
    </row>
    <row r="169" spans="2:50">
      <c r="B169" s="479"/>
      <c r="C169" s="180">
        <v>23</v>
      </c>
      <c r="D169" s="201" t="s">
        <v>559</v>
      </c>
      <c r="E169" s="166">
        <v>20</v>
      </c>
      <c r="F169" s="180">
        <v>1380</v>
      </c>
      <c r="G169" s="265">
        <v>69</v>
      </c>
      <c r="H169" s="460"/>
      <c r="I169" s="166">
        <f t="shared" si="36"/>
        <v>20</v>
      </c>
      <c r="J169" s="166">
        <f t="shared" si="36"/>
        <v>1090.152472592607</v>
      </c>
      <c r="K169" s="265">
        <f t="shared" si="36"/>
        <v>54.507623629630345</v>
      </c>
      <c r="L169" s="460"/>
      <c r="M169" s="166">
        <f>RANK(K169, K$147:$K$176)</f>
        <v>30</v>
      </c>
      <c r="N169" s="462"/>
      <c r="O169" s="462"/>
      <c r="P169" s="166">
        <v>20</v>
      </c>
      <c r="Q169" s="166">
        <v>1093.9726027397253</v>
      </c>
      <c r="R169" s="166">
        <v>54.698630136986267</v>
      </c>
      <c r="S169" s="180">
        <f t="shared" si="37"/>
        <v>30</v>
      </c>
      <c r="T169" s="486"/>
      <c r="U169" s="166">
        <v>20</v>
      </c>
      <c r="V169" s="166">
        <v>1096.4516129032268</v>
      </c>
      <c r="W169" s="166">
        <v>54.822580645161338</v>
      </c>
      <c r="X169" s="180">
        <f t="shared" si="38"/>
        <v>30</v>
      </c>
      <c r="Y169" s="486"/>
      <c r="Z169" s="166">
        <v>20</v>
      </c>
      <c r="AA169" s="166">
        <v>1083.1578947368428</v>
      </c>
      <c r="AB169" s="166">
        <v>54.157894736842138</v>
      </c>
      <c r="AC169" s="180">
        <f t="shared" si="39"/>
        <v>29</v>
      </c>
      <c r="AD169" s="486"/>
      <c r="AE169" s="166">
        <v>20</v>
      </c>
      <c r="AF169" s="166">
        <v>1085.5384615384628</v>
      </c>
      <c r="AG169" s="166">
        <v>54.27692307692314</v>
      </c>
      <c r="AH169" s="180">
        <f t="shared" si="40"/>
        <v>27</v>
      </c>
      <c r="AI169" s="486"/>
      <c r="AJ169" s="166">
        <v>20</v>
      </c>
      <c r="AK169" s="166">
        <v>1091.6417910447776</v>
      </c>
      <c r="AL169" s="166">
        <v>54.582089552238884</v>
      </c>
      <c r="AM169" s="180">
        <f t="shared" si="41"/>
        <v>27</v>
      </c>
      <c r="AN169" s="486"/>
      <c r="AO169" s="166"/>
      <c r="AP169" s="166"/>
      <c r="AQ169" s="166"/>
      <c r="AR169" s="180" t="e">
        <f t="shared" si="42"/>
        <v>#N/A</v>
      </c>
      <c r="AS169" s="486"/>
      <c r="AT169" s="166"/>
      <c r="AU169" s="166"/>
      <c r="AV169" s="166"/>
      <c r="AW169" s="180" t="e">
        <f t="shared" si="43"/>
        <v>#N/A</v>
      </c>
      <c r="AX169" s="486"/>
    </row>
    <row r="170" spans="2:50">
      <c r="B170" s="479"/>
      <c r="C170" s="180">
        <v>24</v>
      </c>
      <c r="D170" s="201" t="s">
        <v>595</v>
      </c>
      <c r="E170" s="166">
        <v>16</v>
      </c>
      <c r="F170" s="180">
        <v>1565</v>
      </c>
      <c r="G170" s="265">
        <v>97.8</v>
      </c>
      <c r="H170" s="460"/>
      <c r="I170" s="166">
        <f t="shared" si="36"/>
        <v>17</v>
      </c>
      <c r="J170" s="166">
        <f t="shared" si="36"/>
        <v>1258.3846958414067</v>
      </c>
      <c r="K170" s="265">
        <f t="shared" si="36"/>
        <v>74.022629167141574</v>
      </c>
      <c r="L170" s="460"/>
      <c r="M170" s="166">
        <f>RANK(K170, K$147:$K$176)</f>
        <v>10</v>
      </c>
      <c r="N170" s="462"/>
      <c r="O170" s="462"/>
      <c r="P170" s="166">
        <v>17</v>
      </c>
      <c r="Q170" s="166">
        <v>1268.9552238805986</v>
      </c>
      <c r="R170" s="166">
        <v>74.644424934152866</v>
      </c>
      <c r="S170" s="180">
        <f t="shared" si="37"/>
        <v>12</v>
      </c>
      <c r="T170" s="486"/>
      <c r="U170" s="166">
        <v>17</v>
      </c>
      <c r="V170" s="166">
        <v>1228.0645161290333</v>
      </c>
      <c r="W170" s="166">
        <v>72.239089184060788</v>
      </c>
      <c r="X170" s="180">
        <f t="shared" si="38"/>
        <v>15</v>
      </c>
      <c r="Y170" s="486"/>
      <c r="Z170" s="166">
        <v>17</v>
      </c>
      <c r="AA170" s="166">
        <v>1269.2307692307697</v>
      </c>
      <c r="AB170" s="166">
        <v>74.660633484162929</v>
      </c>
      <c r="AC170" s="180">
        <f t="shared" si="39"/>
        <v>9</v>
      </c>
      <c r="AD170" s="486"/>
      <c r="AE170" s="166">
        <v>17</v>
      </c>
      <c r="AF170" s="166">
        <v>1257.9310344827597</v>
      </c>
      <c r="AG170" s="166">
        <v>73.995943204868226</v>
      </c>
      <c r="AH170" s="180">
        <f t="shared" si="40"/>
        <v>9</v>
      </c>
      <c r="AI170" s="486"/>
      <c r="AJ170" s="166">
        <v>17</v>
      </c>
      <c r="AK170" s="166">
        <v>1267.7419354838721</v>
      </c>
      <c r="AL170" s="166">
        <v>74.57305502846306</v>
      </c>
      <c r="AM170" s="180">
        <f t="shared" si="41"/>
        <v>9</v>
      </c>
      <c r="AN170" s="486"/>
      <c r="AO170" s="166"/>
      <c r="AP170" s="166"/>
      <c r="AQ170" s="166"/>
      <c r="AR170" s="180" t="e">
        <f t="shared" si="42"/>
        <v>#N/A</v>
      </c>
      <c r="AS170" s="486"/>
      <c r="AT170" s="166"/>
      <c r="AU170" s="166"/>
      <c r="AV170" s="166"/>
      <c r="AW170" s="180" t="e">
        <f t="shared" si="43"/>
        <v>#N/A</v>
      </c>
      <c r="AX170" s="486"/>
    </row>
    <row r="171" spans="2:50">
      <c r="B171" s="479"/>
      <c r="C171" s="180">
        <v>25</v>
      </c>
      <c r="D171" s="201" t="s">
        <v>596</v>
      </c>
      <c r="E171" s="166">
        <v>19</v>
      </c>
      <c r="F171" s="180">
        <v>1385</v>
      </c>
      <c r="G171" s="265">
        <v>72.900000000000006</v>
      </c>
      <c r="H171" s="460"/>
      <c r="I171" s="166">
        <f t="shared" ref="I171:K176" si="44">AVERAGE(P171,U171,Z171,AE171,AJ171,AO171,AT171)</f>
        <v>19</v>
      </c>
      <c r="J171" s="166">
        <f t="shared" si="44"/>
        <v>1094.9111949418211</v>
      </c>
      <c r="K171" s="265">
        <f t="shared" si="44"/>
        <v>57.626904996937959</v>
      </c>
      <c r="L171" s="460"/>
      <c r="M171" s="166">
        <f>RANK(K171, K$147:$K$176)</f>
        <v>29</v>
      </c>
      <c r="N171" s="462"/>
      <c r="O171" s="462"/>
      <c r="P171" s="166">
        <v>19</v>
      </c>
      <c r="Q171" s="166">
        <v>1094.0000000000011</v>
      </c>
      <c r="R171" s="166">
        <v>57.578947368421112</v>
      </c>
      <c r="S171" s="180">
        <f t="shared" si="37"/>
        <v>28</v>
      </c>
      <c r="T171" s="486"/>
      <c r="U171" s="166">
        <v>19</v>
      </c>
      <c r="V171" s="166">
        <v>1099.322033898306</v>
      </c>
      <c r="W171" s="166">
        <v>57.859054415700314</v>
      </c>
      <c r="X171" s="180">
        <f t="shared" si="38"/>
        <v>28</v>
      </c>
      <c r="Y171" s="486"/>
      <c r="Z171" s="166">
        <v>19</v>
      </c>
      <c r="AA171" s="166">
        <v>1084.0677966101703</v>
      </c>
      <c r="AB171" s="166">
        <v>57.05619982158791</v>
      </c>
      <c r="AC171" s="180">
        <f t="shared" si="39"/>
        <v>28</v>
      </c>
      <c r="AD171" s="486"/>
      <c r="AE171" s="166">
        <v>19</v>
      </c>
      <c r="AF171" s="166">
        <v>1098.6206896551732</v>
      </c>
      <c r="AG171" s="166">
        <v>57.822141560798592</v>
      </c>
      <c r="AH171" s="180">
        <f t="shared" si="40"/>
        <v>26</v>
      </c>
      <c r="AI171" s="486"/>
      <c r="AJ171" s="166">
        <v>19</v>
      </c>
      <c r="AK171" s="166">
        <v>1098.5454545454552</v>
      </c>
      <c r="AL171" s="166">
        <v>57.818181818181849</v>
      </c>
      <c r="AM171" s="180">
        <f t="shared" si="41"/>
        <v>26</v>
      </c>
      <c r="AN171" s="486"/>
      <c r="AO171" s="166"/>
      <c r="AP171" s="166"/>
      <c r="AQ171" s="166"/>
      <c r="AR171" s="180" t="e">
        <f t="shared" si="42"/>
        <v>#N/A</v>
      </c>
      <c r="AS171" s="486"/>
      <c r="AT171" s="166"/>
      <c r="AU171" s="166"/>
      <c r="AV171" s="166"/>
      <c r="AW171" s="180" t="e">
        <f t="shared" si="43"/>
        <v>#N/A</v>
      </c>
      <c r="AX171" s="486"/>
    </row>
    <row r="172" spans="2:50">
      <c r="B172" s="479"/>
      <c r="C172" s="180">
        <v>26</v>
      </c>
      <c r="D172" s="201" t="s">
        <v>597</v>
      </c>
      <c r="E172" s="166">
        <v>18</v>
      </c>
      <c r="F172" s="180">
        <v>1440</v>
      </c>
      <c r="G172" s="265">
        <v>80</v>
      </c>
      <c r="H172" s="460"/>
      <c r="I172" s="166">
        <f t="shared" si="44"/>
        <v>18</v>
      </c>
      <c r="J172" s="166">
        <f t="shared" si="44"/>
        <v>1130.4071618037108</v>
      </c>
      <c r="K172" s="265">
        <f t="shared" si="44"/>
        <v>62.800397877983926</v>
      </c>
      <c r="L172" s="460"/>
      <c r="M172" s="166">
        <f>RANK(K172, K$147:$K$176)</f>
        <v>26</v>
      </c>
      <c r="N172" s="462"/>
      <c r="O172" s="462"/>
      <c r="P172" s="166">
        <v>18</v>
      </c>
      <c r="Q172" s="166">
        <v>1277.4999999999959</v>
      </c>
      <c r="R172" s="166">
        <v>70.972222222222001</v>
      </c>
      <c r="S172" s="180">
        <f t="shared" si="37"/>
        <v>20</v>
      </c>
      <c r="T172" s="486"/>
      <c r="U172" s="166">
        <v>18</v>
      </c>
      <c r="V172" s="166">
        <v>1079.9999999999977</v>
      </c>
      <c r="W172" s="166">
        <v>59.999999999999872</v>
      </c>
      <c r="X172" s="180">
        <f t="shared" si="38"/>
        <v>27</v>
      </c>
      <c r="Y172" s="486"/>
      <c r="Z172" s="166">
        <v>18</v>
      </c>
      <c r="AA172" s="166">
        <v>1093.8461538461511</v>
      </c>
      <c r="AB172" s="166">
        <v>60.769230769230617</v>
      </c>
      <c r="AC172" s="180">
        <f t="shared" si="39"/>
        <v>25</v>
      </c>
      <c r="AD172" s="486"/>
      <c r="AE172" s="166">
        <v>18</v>
      </c>
      <c r="AF172" s="166">
        <v>1100.6896551724117</v>
      </c>
      <c r="AG172" s="166">
        <v>61.149425287356202</v>
      </c>
      <c r="AH172" s="180">
        <f t="shared" si="40"/>
        <v>24</v>
      </c>
      <c r="AI172" s="486"/>
      <c r="AJ172" s="166">
        <v>18</v>
      </c>
      <c r="AK172" s="166">
        <v>1099.9999999999973</v>
      </c>
      <c r="AL172" s="166">
        <v>61.111111111110958</v>
      </c>
      <c r="AM172" s="180">
        <f t="shared" si="41"/>
        <v>24</v>
      </c>
      <c r="AN172" s="486"/>
      <c r="AO172" s="166"/>
      <c r="AP172" s="166"/>
      <c r="AQ172" s="166"/>
      <c r="AR172" s="180" t="e">
        <f t="shared" si="42"/>
        <v>#N/A</v>
      </c>
      <c r="AS172" s="486"/>
      <c r="AT172" s="166"/>
      <c r="AU172" s="166"/>
      <c r="AV172" s="166"/>
      <c r="AW172" s="180" t="e">
        <f t="shared" si="43"/>
        <v>#N/A</v>
      </c>
      <c r="AX172" s="486"/>
    </row>
    <row r="173" spans="2:50">
      <c r="B173" s="479"/>
      <c r="C173" s="180">
        <v>27</v>
      </c>
      <c r="D173" s="201" t="s">
        <v>598</v>
      </c>
      <c r="E173" s="166">
        <v>16</v>
      </c>
      <c r="F173" s="180">
        <v>1440</v>
      </c>
      <c r="G173" s="265">
        <v>90</v>
      </c>
      <c r="H173" s="460"/>
      <c r="I173" s="166">
        <f t="shared" si="44"/>
        <v>16</v>
      </c>
      <c r="J173" s="166">
        <f t="shared" si="44"/>
        <v>1260.79402084238</v>
      </c>
      <c r="K173" s="265">
        <f t="shared" si="44"/>
        <v>78.799626302648747</v>
      </c>
      <c r="L173" s="460"/>
      <c r="M173" s="166">
        <f>RANK(K173, K$147:$K$176)</f>
        <v>7</v>
      </c>
      <c r="N173" s="462"/>
      <c r="O173" s="462"/>
      <c r="P173" s="166">
        <v>16</v>
      </c>
      <c r="Q173" s="166">
        <v>1264.8000000000004</v>
      </c>
      <c r="R173" s="166">
        <v>79.050000000000026</v>
      </c>
      <c r="S173" s="180">
        <f t="shared" si="37"/>
        <v>8</v>
      </c>
      <c r="T173" s="486"/>
      <c r="U173" s="166">
        <v>16</v>
      </c>
      <c r="V173" s="166">
        <v>1228.7500000000002</v>
      </c>
      <c r="W173" s="166">
        <v>76.796875000000014</v>
      </c>
      <c r="X173" s="180">
        <f t="shared" si="38"/>
        <v>8</v>
      </c>
      <c r="Y173" s="486"/>
      <c r="Z173" s="166">
        <v>16</v>
      </c>
      <c r="AA173" s="166">
        <v>1274.0425531914896</v>
      </c>
      <c r="AB173" s="166">
        <v>79.627659574468098</v>
      </c>
      <c r="AC173" s="180">
        <f t="shared" si="39"/>
        <v>5</v>
      </c>
      <c r="AD173" s="486"/>
      <c r="AE173" s="166">
        <v>16</v>
      </c>
      <c r="AF173" s="166">
        <v>1282.5000000000005</v>
      </c>
      <c r="AG173" s="166">
        <v>80.156250000000028</v>
      </c>
      <c r="AH173" s="180">
        <f t="shared" si="40"/>
        <v>5</v>
      </c>
      <c r="AI173" s="486"/>
      <c r="AJ173" s="166">
        <v>16</v>
      </c>
      <c r="AK173" s="166">
        <v>1253.8775510204084</v>
      </c>
      <c r="AL173" s="166">
        <v>78.367346938775526</v>
      </c>
      <c r="AM173" s="180">
        <f t="shared" si="41"/>
        <v>7</v>
      </c>
      <c r="AN173" s="486"/>
      <c r="AO173" s="166"/>
      <c r="AP173" s="166"/>
      <c r="AQ173" s="166"/>
      <c r="AR173" s="180" t="e">
        <f t="shared" si="42"/>
        <v>#N/A</v>
      </c>
      <c r="AS173" s="486"/>
      <c r="AT173" s="166"/>
      <c r="AU173" s="166"/>
      <c r="AV173" s="166"/>
      <c r="AW173" s="180" t="e">
        <f t="shared" si="43"/>
        <v>#N/A</v>
      </c>
      <c r="AX173" s="486"/>
    </row>
    <row r="174" spans="2:50">
      <c r="B174" s="479"/>
      <c r="C174" s="180">
        <v>28</v>
      </c>
      <c r="D174" s="201" t="s">
        <v>670</v>
      </c>
      <c r="E174" s="166">
        <v>21</v>
      </c>
      <c r="F174" s="180">
        <v>1500</v>
      </c>
      <c r="G174" s="265">
        <v>71.400000000000006</v>
      </c>
      <c r="H174" s="460"/>
      <c r="I174" s="166">
        <f t="shared" si="44"/>
        <v>19.600000000000001</v>
      </c>
      <c r="J174" s="166">
        <f t="shared" si="44"/>
        <v>1140.6433770643648</v>
      </c>
      <c r="K174" s="265">
        <f t="shared" si="44"/>
        <v>58.220222565210825</v>
      </c>
      <c r="L174" s="460"/>
      <c r="M174" s="166">
        <f>RANK(K174, K$147:$K$176)</f>
        <v>28</v>
      </c>
      <c r="N174" s="462"/>
      <c r="O174" s="462"/>
      <c r="P174" s="166">
        <v>20</v>
      </c>
      <c r="Q174" s="166">
        <v>1137.2727272727313</v>
      </c>
      <c r="R174" s="166">
        <v>56.863636363636566</v>
      </c>
      <c r="S174" s="180">
        <f t="shared" si="37"/>
        <v>29</v>
      </c>
      <c r="T174" s="486"/>
      <c r="U174" s="166">
        <v>20</v>
      </c>
      <c r="V174" s="166">
        <v>1153.800000000004</v>
      </c>
      <c r="W174" s="166">
        <v>57.690000000000204</v>
      </c>
      <c r="X174" s="180">
        <f t="shared" si="38"/>
        <v>29</v>
      </c>
      <c r="Y174" s="486"/>
      <c r="Z174" s="166">
        <v>20</v>
      </c>
      <c r="AA174" s="166">
        <v>1154.842105263162</v>
      </c>
      <c r="AB174" s="166">
        <v>57.742105263158102</v>
      </c>
      <c r="AC174" s="180">
        <f t="shared" si="39"/>
        <v>27</v>
      </c>
      <c r="AD174" s="486"/>
      <c r="AE174" s="166">
        <v>19</v>
      </c>
      <c r="AF174" s="166">
        <v>1125.4838709677431</v>
      </c>
      <c r="AG174" s="166">
        <v>59.235993208828582</v>
      </c>
      <c r="AH174" s="180">
        <f t="shared" si="40"/>
        <v>25</v>
      </c>
      <c r="AI174" s="486"/>
      <c r="AJ174" s="166">
        <v>19</v>
      </c>
      <c r="AK174" s="166">
        <v>1131.8181818181831</v>
      </c>
      <c r="AL174" s="166">
        <v>59.569377990430688</v>
      </c>
      <c r="AM174" s="180">
        <f t="shared" si="41"/>
        <v>25</v>
      </c>
      <c r="AN174" s="486"/>
      <c r="AO174" s="166"/>
      <c r="AP174" s="166"/>
      <c r="AQ174" s="166"/>
      <c r="AR174" s="180" t="e">
        <f t="shared" si="42"/>
        <v>#N/A</v>
      </c>
      <c r="AS174" s="486"/>
      <c r="AT174" s="166"/>
      <c r="AU174" s="166"/>
      <c r="AV174" s="166"/>
      <c r="AW174" s="180" t="e">
        <f t="shared" si="43"/>
        <v>#N/A</v>
      </c>
      <c r="AX174" s="486"/>
    </row>
    <row r="175" spans="2:50">
      <c r="B175" s="479"/>
      <c r="C175" s="180">
        <v>29</v>
      </c>
      <c r="D175" s="201" t="s">
        <v>671</v>
      </c>
      <c r="E175" s="166">
        <v>19</v>
      </c>
      <c r="F175" s="180">
        <v>1440</v>
      </c>
      <c r="G175" s="265">
        <v>75.8</v>
      </c>
      <c r="H175" s="460"/>
      <c r="I175" s="166">
        <f t="shared" si="44"/>
        <v>17</v>
      </c>
      <c r="J175" s="166">
        <f t="shared" si="44"/>
        <v>1257.9679144385034</v>
      </c>
      <c r="K175" s="265">
        <f t="shared" si="44"/>
        <v>73.998112614029608</v>
      </c>
      <c r="L175" s="460"/>
      <c r="M175" s="166">
        <f>RANK(K175, K$147:$K$176)</f>
        <v>11</v>
      </c>
      <c r="N175" s="462"/>
      <c r="O175" s="462"/>
      <c r="P175" s="166">
        <v>17</v>
      </c>
      <c r="Q175" s="166">
        <v>1281.8181818181827</v>
      </c>
      <c r="R175" s="166">
        <v>75.401069518716625</v>
      </c>
      <c r="S175" s="180">
        <f t="shared" si="37"/>
        <v>11</v>
      </c>
      <c r="T175" s="486"/>
      <c r="U175" s="166">
        <v>17</v>
      </c>
      <c r="V175" s="166">
        <v>1234.1176470588241</v>
      </c>
      <c r="W175" s="166">
        <v>72.595155709342592</v>
      </c>
      <c r="X175" s="180">
        <f t="shared" si="38"/>
        <v>14</v>
      </c>
      <c r="Y175" s="486"/>
      <c r="Z175" s="166" t="s">
        <v>522</v>
      </c>
      <c r="AA175" s="166" t="s">
        <v>522</v>
      </c>
      <c r="AB175" s="166" t="s">
        <v>522</v>
      </c>
      <c r="AC175" s="180" t="e">
        <f t="shared" si="39"/>
        <v>#VALUE!</v>
      </c>
      <c r="AD175" s="486"/>
      <c r="AE175" s="166" t="s">
        <v>522</v>
      </c>
      <c r="AF175" s="166" t="s">
        <v>522</v>
      </c>
      <c r="AG175" s="166" t="s">
        <v>522</v>
      </c>
      <c r="AH175" s="180" t="e">
        <f t="shared" si="40"/>
        <v>#VALUE!</v>
      </c>
      <c r="AI175" s="486"/>
      <c r="AJ175" s="166" t="s">
        <v>522</v>
      </c>
      <c r="AK175" s="166" t="s">
        <v>522</v>
      </c>
      <c r="AL175" s="166" t="s">
        <v>522</v>
      </c>
      <c r="AM175" s="180" t="e">
        <f t="shared" si="41"/>
        <v>#VALUE!</v>
      </c>
      <c r="AN175" s="486"/>
      <c r="AO175" s="166" t="s">
        <v>522</v>
      </c>
      <c r="AP175" s="166" t="s">
        <v>522</v>
      </c>
      <c r="AQ175" s="166" t="s">
        <v>522</v>
      </c>
      <c r="AR175" s="180" t="e">
        <f t="shared" si="42"/>
        <v>#VALUE!</v>
      </c>
      <c r="AS175" s="486"/>
      <c r="AT175" s="166" t="s">
        <v>522</v>
      </c>
      <c r="AU175" s="166" t="s">
        <v>522</v>
      </c>
      <c r="AV175" s="166" t="s">
        <v>522</v>
      </c>
      <c r="AW175" s="180" t="e">
        <f t="shared" si="43"/>
        <v>#VALUE!</v>
      </c>
      <c r="AX175" s="486"/>
    </row>
    <row r="176" spans="2:50">
      <c r="B176" s="479"/>
      <c r="C176" s="180">
        <v>30</v>
      </c>
      <c r="D176" s="201" t="s">
        <v>672</v>
      </c>
      <c r="E176" s="166">
        <v>20</v>
      </c>
      <c r="F176" s="180">
        <v>1500</v>
      </c>
      <c r="G176" s="265">
        <v>75</v>
      </c>
      <c r="H176" s="461"/>
      <c r="I176" s="166">
        <f t="shared" si="44"/>
        <v>20</v>
      </c>
      <c r="J176" s="166">
        <f t="shared" si="44"/>
        <v>1232.6591478696735</v>
      </c>
      <c r="K176" s="265">
        <f t="shared" si="44"/>
        <v>61.632957393483672</v>
      </c>
      <c r="L176" s="461"/>
      <c r="M176" s="166">
        <f>RANK(K176, K$147:$K$176)</f>
        <v>27</v>
      </c>
      <c r="N176" s="462"/>
      <c r="O176" s="462"/>
      <c r="P176" s="166">
        <v>20</v>
      </c>
      <c r="Q176" s="166">
        <v>1256.9999999999995</v>
      </c>
      <c r="R176" s="166">
        <v>62.84999999999998</v>
      </c>
      <c r="S176" s="180">
        <f t="shared" si="37"/>
        <v>27</v>
      </c>
      <c r="T176" s="486"/>
      <c r="U176" s="166">
        <v>20</v>
      </c>
      <c r="V176" s="166">
        <v>1225.2631578947357</v>
      </c>
      <c r="W176" s="166">
        <v>61.263157894736786</v>
      </c>
      <c r="X176" s="180">
        <f t="shared" si="38"/>
        <v>26</v>
      </c>
      <c r="Y176" s="486"/>
      <c r="Z176" s="166">
        <v>20</v>
      </c>
      <c r="AA176" s="166">
        <v>1215.7142857142853</v>
      </c>
      <c r="AB176" s="166">
        <v>60.785714285714263</v>
      </c>
      <c r="AC176" s="180">
        <f t="shared" si="39"/>
        <v>24</v>
      </c>
      <c r="AD176" s="486"/>
      <c r="AE176" s="166" t="s">
        <v>522</v>
      </c>
      <c r="AF176" s="166" t="s">
        <v>522</v>
      </c>
      <c r="AG176" s="166" t="s">
        <v>522</v>
      </c>
      <c r="AH176" s="180" t="e">
        <f t="shared" si="40"/>
        <v>#VALUE!</v>
      </c>
      <c r="AI176" s="486"/>
      <c r="AJ176" s="166" t="s">
        <v>522</v>
      </c>
      <c r="AK176" s="166" t="s">
        <v>522</v>
      </c>
      <c r="AL176" s="166" t="s">
        <v>522</v>
      </c>
      <c r="AM176" s="180" t="e">
        <f t="shared" si="41"/>
        <v>#VALUE!</v>
      </c>
      <c r="AN176" s="486"/>
      <c r="AO176" s="166" t="s">
        <v>522</v>
      </c>
      <c r="AP176" s="166" t="s">
        <v>522</v>
      </c>
      <c r="AQ176" s="166" t="s">
        <v>522</v>
      </c>
      <c r="AR176" s="180" t="e">
        <f t="shared" si="42"/>
        <v>#VALUE!</v>
      </c>
      <c r="AS176" s="486"/>
      <c r="AT176" s="166" t="s">
        <v>522</v>
      </c>
      <c r="AU176" s="166" t="s">
        <v>522</v>
      </c>
      <c r="AV176" s="166" t="s">
        <v>522</v>
      </c>
      <c r="AW176" s="180" t="e">
        <f t="shared" si="43"/>
        <v>#VALUE!</v>
      </c>
      <c r="AX176" s="486"/>
    </row>
    <row r="177" spans="2:50" ht="15.75">
      <c r="B177" s="480" t="s">
        <v>721</v>
      </c>
      <c r="C177" s="481"/>
      <c r="D177" s="481"/>
      <c r="E177" s="481"/>
      <c r="F177" s="481"/>
      <c r="G177" s="481"/>
      <c r="H177" s="481"/>
      <c r="I177" s="184"/>
      <c r="J177" s="184"/>
      <c r="K177" s="184"/>
      <c r="L177" s="184"/>
      <c r="M177" s="183"/>
      <c r="N177" s="469" t="s">
        <v>722</v>
      </c>
      <c r="O177" s="469" t="s">
        <v>723</v>
      </c>
      <c r="P177" s="478">
        <f>P142+7</f>
        <v>46084</v>
      </c>
      <c r="Q177" s="479"/>
      <c r="R177" s="479"/>
      <c r="S177" s="479"/>
      <c r="T177" s="479"/>
      <c r="U177" s="475">
        <f>P177+1</f>
        <v>46085</v>
      </c>
      <c r="V177" s="476"/>
      <c r="W177" s="476"/>
      <c r="X177" s="476"/>
      <c r="Y177" s="477"/>
      <c r="Z177" s="475">
        <f>U177+1</f>
        <v>46086</v>
      </c>
      <c r="AA177" s="476"/>
      <c r="AB177" s="476"/>
      <c r="AC177" s="476"/>
      <c r="AD177" s="477"/>
      <c r="AE177" s="475">
        <f>Z177+1</f>
        <v>46087</v>
      </c>
      <c r="AF177" s="476"/>
      <c r="AG177" s="476"/>
      <c r="AH177" s="476"/>
      <c r="AI177" s="477"/>
      <c r="AJ177" s="475">
        <f>AE177+1</f>
        <v>46088</v>
      </c>
      <c r="AK177" s="476"/>
      <c r="AL177" s="476"/>
      <c r="AM177" s="476"/>
      <c r="AN177" s="477"/>
      <c r="AO177" s="475">
        <f>AJ177+1</f>
        <v>46089</v>
      </c>
      <c r="AP177" s="476"/>
      <c r="AQ177" s="476"/>
      <c r="AR177" s="476"/>
      <c r="AS177" s="477"/>
      <c r="AT177" s="475">
        <f>AO177+1</f>
        <v>46090</v>
      </c>
      <c r="AU177" s="476"/>
      <c r="AV177" s="476"/>
      <c r="AW177" s="476"/>
      <c r="AX177" s="477"/>
    </row>
    <row r="178" spans="2:50" ht="15.75">
      <c r="B178" s="482"/>
      <c r="C178" s="482"/>
      <c r="D178" s="482"/>
      <c r="E178" s="482"/>
      <c r="F178" s="482"/>
      <c r="G178" s="482"/>
      <c r="H178" s="482"/>
      <c r="I178" s="182"/>
      <c r="J178" s="182"/>
      <c r="K178" s="182"/>
      <c r="L178" s="182"/>
      <c r="M178" s="179"/>
      <c r="N178" s="471"/>
      <c r="O178" s="471"/>
      <c r="P178" s="478" t="s">
        <v>724</v>
      </c>
      <c r="Q178" s="479"/>
      <c r="R178" s="479"/>
      <c r="S178" s="479"/>
      <c r="T178" s="479"/>
      <c r="U178" s="478" t="s">
        <v>725</v>
      </c>
      <c r="V178" s="479"/>
      <c r="W178" s="479"/>
      <c r="X178" s="479"/>
      <c r="Y178" s="479"/>
      <c r="Z178" s="478" t="s">
        <v>726</v>
      </c>
      <c r="AA178" s="479"/>
      <c r="AB178" s="479"/>
      <c r="AC178" s="479"/>
      <c r="AD178" s="479"/>
      <c r="AE178" s="478" t="s">
        <v>727</v>
      </c>
      <c r="AF178" s="479"/>
      <c r="AG178" s="479"/>
      <c r="AH178" s="479"/>
      <c r="AI178" s="479"/>
      <c r="AJ178" s="478" t="s">
        <v>728</v>
      </c>
      <c r="AK178" s="479"/>
      <c r="AL178" s="479"/>
      <c r="AM178" s="479"/>
      <c r="AN178" s="479"/>
      <c r="AO178" s="478" t="s">
        <v>729</v>
      </c>
      <c r="AP178" s="479"/>
      <c r="AQ178" s="479"/>
      <c r="AR178" s="479"/>
      <c r="AS178" s="479"/>
      <c r="AT178" s="478" t="s">
        <v>730</v>
      </c>
      <c r="AU178" s="479"/>
      <c r="AV178" s="479"/>
      <c r="AW178" s="479"/>
      <c r="AX178" s="479"/>
    </row>
    <row r="179" spans="2:50">
      <c r="B179" s="462" t="s">
        <v>731</v>
      </c>
      <c r="C179" s="462" t="s">
        <v>732</v>
      </c>
      <c r="D179" s="462"/>
      <c r="E179" s="462" t="s">
        <v>733</v>
      </c>
      <c r="F179" s="462"/>
      <c r="G179" s="462"/>
      <c r="H179" s="463" t="s">
        <v>734</v>
      </c>
      <c r="I179" s="462" t="s">
        <v>735</v>
      </c>
      <c r="J179" s="462"/>
      <c r="K179" s="462"/>
      <c r="L179" s="463" t="s">
        <v>734</v>
      </c>
      <c r="M179" s="469" t="s">
        <v>736</v>
      </c>
      <c r="N179" s="462"/>
      <c r="O179" s="462" t="s">
        <v>737</v>
      </c>
      <c r="P179" s="466" t="s">
        <v>738</v>
      </c>
      <c r="Q179" s="467"/>
      <c r="R179" s="467"/>
      <c r="S179" s="468"/>
      <c r="T179" s="462" t="s">
        <v>734</v>
      </c>
      <c r="U179" s="466" t="s">
        <v>738</v>
      </c>
      <c r="V179" s="467"/>
      <c r="W179" s="467"/>
      <c r="X179" s="468"/>
      <c r="Y179" s="462" t="s">
        <v>734</v>
      </c>
      <c r="Z179" s="466" t="s">
        <v>738</v>
      </c>
      <c r="AA179" s="467"/>
      <c r="AB179" s="467"/>
      <c r="AC179" s="468"/>
      <c r="AD179" s="462" t="s">
        <v>734</v>
      </c>
      <c r="AE179" s="466" t="s">
        <v>738</v>
      </c>
      <c r="AF179" s="467"/>
      <c r="AG179" s="467"/>
      <c r="AH179" s="468"/>
      <c r="AI179" s="462" t="s">
        <v>734</v>
      </c>
      <c r="AJ179" s="466" t="s">
        <v>738</v>
      </c>
      <c r="AK179" s="467"/>
      <c r="AL179" s="467"/>
      <c r="AM179" s="468"/>
      <c r="AN179" s="462" t="s">
        <v>734</v>
      </c>
      <c r="AO179" s="466" t="s">
        <v>738</v>
      </c>
      <c r="AP179" s="467"/>
      <c r="AQ179" s="467"/>
      <c r="AR179" s="468"/>
      <c r="AS179" s="462" t="s">
        <v>734</v>
      </c>
      <c r="AT179" s="466" t="s">
        <v>738</v>
      </c>
      <c r="AU179" s="467"/>
      <c r="AV179" s="467"/>
      <c r="AW179" s="468"/>
      <c r="AX179" s="462" t="s">
        <v>734</v>
      </c>
    </row>
    <row r="180" spans="2:50">
      <c r="B180" s="462"/>
      <c r="C180" s="462"/>
      <c r="D180" s="462"/>
      <c r="E180" s="462" t="s">
        <v>739</v>
      </c>
      <c r="F180" s="462"/>
      <c r="G180" s="462"/>
      <c r="H180" s="464"/>
      <c r="I180" s="462" t="s">
        <v>739</v>
      </c>
      <c r="J180" s="462"/>
      <c r="K180" s="462"/>
      <c r="L180" s="464"/>
      <c r="M180" s="470"/>
      <c r="N180" s="462"/>
      <c r="O180" s="462"/>
      <c r="P180" s="466" t="s">
        <v>740</v>
      </c>
      <c r="Q180" s="467"/>
      <c r="R180" s="467"/>
      <c r="S180" s="468"/>
      <c r="T180" s="462"/>
      <c r="U180" s="466" t="s">
        <v>740</v>
      </c>
      <c r="V180" s="467"/>
      <c r="W180" s="467"/>
      <c r="X180" s="468"/>
      <c r="Y180" s="462"/>
      <c r="Z180" s="466" t="s">
        <v>740</v>
      </c>
      <c r="AA180" s="467"/>
      <c r="AB180" s="467"/>
      <c r="AC180" s="468"/>
      <c r="AD180" s="462"/>
      <c r="AE180" s="466" t="s">
        <v>740</v>
      </c>
      <c r="AF180" s="467"/>
      <c r="AG180" s="467"/>
      <c r="AH180" s="468"/>
      <c r="AI180" s="462"/>
      <c r="AJ180" s="466" t="s">
        <v>740</v>
      </c>
      <c r="AK180" s="467"/>
      <c r="AL180" s="467"/>
      <c r="AM180" s="468"/>
      <c r="AN180" s="462"/>
      <c r="AO180" s="466" t="s">
        <v>740</v>
      </c>
      <c r="AP180" s="467"/>
      <c r="AQ180" s="467"/>
      <c r="AR180" s="468"/>
      <c r="AS180" s="462"/>
      <c r="AT180" s="466" t="s">
        <v>740</v>
      </c>
      <c r="AU180" s="467"/>
      <c r="AV180" s="467"/>
      <c r="AW180" s="468"/>
      <c r="AX180" s="462"/>
    </row>
    <row r="181" spans="2:50">
      <c r="B181" s="462"/>
      <c r="C181" s="462"/>
      <c r="D181" s="462"/>
      <c r="E181" s="264" t="s">
        <v>741</v>
      </c>
      <c r="F181" s="264" t="s">
        <v>742</v>
      </c>
      <c r="G181" s="264" t="s">
        <v>743</v>
      </c>
      <c r="H181" s="465"/>
      <c r="I181" s="264" t="s">
        <v>741</v>
      </c>
      <c r="J181" s="264" t="s">
        <v>742</v>
      </c>
      <c r="K181" s="264" t="s">
        <v>743</v>
      </c>
      <c r="L181" s="465"/>
      <c r="M181" s="471"/>
      <c r="N181" s="462"/>
      <c r="O181" s="462"/>
      <c r="P181" s="264" t="s">
        <v>741</v>
      </c>
      <c r="Q181" s="264" t="s">
        <v>742</v>
      </c>
      <c r="R181" s="264" t="s">
        <v>743</v>
      </c>
      <c r="S181" s="264" t="s">
        <v>736</v>
      </c>
      <c r="T181" s="462"/>
      <c r="U181" s="264" t="s">
        <v>741</v>
      </c>
      <c r="V181" s="264" t="s">
        <v>742</v>
      </c>
      <c r="W181" s="264" t="s">
        <v>743</v>
      </c>
      <c r="X181" s="264" t="s">
        <v>736</v>
      </c>
      <c r="Y181" s="462"/>
      <c r="Z181" s="264" t="s">
        <v>741</v>
      </c>
      <c r="AA181" s="264" t="s">
        <v>742</v>
      </c>
      <c r="AB181" s="264" t="s">
        <v>743</v>
      </c>
      <c r="AC181" s="264" t="s">
        <v>736</v>
      </c>
      <c r="AD181" s="462"/>
      <c r="AE181" s="264" t="s">
        <v>741</v>
      </c>
      <c r="AF181" s="264" t="s">
        <v>742</v>
      </c>
      <c r="AG181" s="264" t="s">
        <v>743</v>
      </c>
      <c r="AH181" s="264" t="s">
        <v>736</v>
      </c>
      <c r="AI181" s="462"/>
      <c r="AJ181" s="264" t="s">
        <v>741</v>
      </c>
      <c r="AK181" s="264" t="s">
        <v>742</v>
      </c>
      <c r="AL181" s="264" t="s">
        <v>743</v>
      </c>
      <c r="AM181" s="264" t="s">
        <v>736</v>
      </c>
      <c r="AN181" s="462"/>
      <c r="AO181" s="264" t="s">
        <v>741</v>
      </c>
      <c r="AP181" s="264" t="s">
        <v>742</v>
      </c>
      <c r="AQ181" s="264" t="s">
        <v>743</v>
      </c>
      <c r="AR181" s="264" t="s">
        <v>736</v>
      </c>
      <c r="AS181" s="462"/>
      <c r="AT181" s="264" t="s">
        <v>741</v>
      </c>
      <c r="AU181" s="264" t="s">
        <v>742</v>
      </c>
      <c r="AV181" s="264" t="s">
        <v>743</v>
      </c>
      <c r="AW181" s="264" t="s">
        <v>736</v>
      </c>
      <c r="AX181" s="462"/>
    </row>
    <row r="182" spans="2:50">
      <c r="B182" s="462" t="s">
        <v>753</v>
      </c>
      <c r="C182" s="180">
        <v>1</v>
      </c>
      <c r="D182" s="201"/>
      <c r="E182" s="166"/>
      <c r="F182" s="180"/>
      <c r="G182" s="265"/>
      <c r="H182" s="459" t="e">
        <f>AVERAGE(G182:G211)</f>
        <v>#DIV/0!</v>
      </c>
      <c r="I182" s="166" t="e">
        <f>AVERAGE(P182,U182,Z182,AE182,AJ182,AO182,AT182)</f>
        <v>#DIV/0!</v>
      </c>
      <c r="J182" s="166" t="e">
        <f>AVERAGE(Q182,V182,AA182,AF182,AK182,AP182,AU182)</f>
        <v>#DIV/0!</v>
      </c>
      <c r="K182" s="265" t="e">
        <f>AVERAGE(R182,W182,AB182,AG182,AL182,AQ182,AV182)</f>
        <v>#DIV/0!</v>
      </c>
      <c r="L182" s="459" t="str">
        <f>IFERROR(AVERAGE(K182:K211),"-")</f>
        <v>-</v>
      </c>
      <c r="M182" s="272" t="e">
        <f>RANK(K182, K$147:$K$176)</f>
        <v>#DIV/0!</v>
      </c>
      <c r="N182" s="462"/>
      <c r="O182" s="462"/>
      <c r="P182" s="166"/>
      <c r="Q182" s="166"/>
      <c r="R182" s="166"/>
      <c r="S182" s="180" t="e">
        <f>RANK(R182, R$182:R$211)</f>
        <v>#N/A</v>
      </c>
      <c r="T182" s="486" t="e">
        <f>AVERAGE(R182:R211)</f>
        <v>#DIV/0!</v>
      </c>
      <c r="U182" s="166"/>
      <c r="V182" s="166"/>
      <c r="W182" s="166"/>
      <c r="X182" s="180" t="e">
        <f>RANK(W182, W$182:W$211)</f>
        <v>#N/A</v>
      </c>
      <c r="Y182" s="486" t="e">
        <f>AVERAGE(W182:W211)</f>
        <v>#DIV/0!</v>
      </c>
      <c r="Z182" s="166"/>
      <c r="AA182" s="166"/>
      <c r="AB182" s="166"/>
      <c r="AC182" s="180" t="e">
        <f>RANK(AB182, AB$182:AB$211)</f>
        <v>#N/A</v>
      </c>
      <c r="AD182" s="486" t="e">
        <f>AVERAGE(AB182:AB211)</f>
        <v>#DIV/0!</v>
      </c>
      <c r="AE182" s="166"/>
      <c r="AF182" s="166"/>
      <c r="AG182" s="166"/>
      <c r="AH182" s="180" t="e">
        <f>RANK(AG182, AG$182:AG$211)</f>
        <v>#N/A</v>
      </c>
      <c r="AI182" s="486" t="e">
        <f>AVERAGE(AG182:AG211)</f>
        <v>#DIV/0!</v>
      </c>
      <c r="AJ182" s="166"/>
      <c r="AK182" s="166"/>
      <c r="AL182" s="166"/>
      <c r="AM182" s="180" t="e">
        <f>RANK(AL182, AL$182:AL$211)</f>
        <v>#N/A</v>
      </c>
      <c r="AN182" s="486" t="e">
        <f>AVERAGE(AL182:AL211)</f>
        <v>#DIV/0!</v>
      </c>
      <c r="AO182" s="166"/>
      <c r="AP182" s="166"/>
      <c r="AQ182" s="166"/>
      <c r="AR182" s="180" t="e">
        <f>RANK(AQ182, AQ$182:AQ$211)</f>
        <v>#N/A</v>
      </c>
      <c r="AS182" s="486" t="e">
        <f>AVERAGE(AQ182:AQ211)</f>
        <v>#DIV/0!</v>
      </c>
      <c r="AT182" s="166"/>
      <c r="AU182" s="166"/>
      <c r="AV182" s="166"/>
      <c r="AW182" s="180" t="e">
        <f>RANK(AV182, AV$182:AV$211)</f>
        <v>#N/A</v>
      </c>
      <c r="AX182" s="486" t="e">
        <f>AVERAGE(AV182:AV211)</f>
        <v>#DIV/0!</v>
      </c>
    </row>
    <row r="183" spans="2:50">
      <c r="B183" s="479"/>
      <c r="C183" s="180">
        <v>2</v>
      </c>
      <c r="D183" s="201"/>
      <c r="E183" s="166"/>
      <c r="F183" s="180"/>
      <c r="G183" s="265"/>
      <c r="H183" s="460"/>
      <c r="I183" s="166" t="e">
        <f t="shared" ref="I183:K205" si="45">AVERAGE(P183,U183,Z183,AE183,AJ183,AO183,AT183)</f>
        <v>#DIV/0!</v>
      </c>
      <c r="J183" s="166" t="e">
        <f t="shared" si="45"/>
        <v>#DIV/0!</v>
      </c>
      <c r="K183" s="265" t="e">
        <f t="shared" si="45"/>
        <v>#DIV/0!</v>
      </c>
      <c r="L183" s="460"/>
      <c r="M183" s="272" t="e">
        <f>RANK(K183, K$147:$K$176)</f>
        <v>#DIV/0!</v>
      </c>
      <c r="N183" s="462"/>
      <c r="O183" s="462"/>
      <c r="P183" s="166"/>
      <c r="Q183" s="166"/>
      <c r="R183" s="166"/>
      <c r="S183" s="180" t="e">
        <f t="shared" ref="S183:S211" si="46">RANK(R183, R$182:R$211)</f>
        <v>#N/A</v>
      </c>
      <c r="T183" s="486"/>
      <c r="U183" s="166"/>
      <c r="V183" s="166"/>
      <c r="W183" s="166"/>
      <c r="X183" s="180" t="e">
        <f t="shared" ref="X183:X211" si="47">RANK(W183, W$182:W$211)</f>
        <v>#N/A</v>
      </c>
      <c r="Y183" s="486"/>
      <c r="Z183" s="166"/>
      <c r="AA183" s="166"/>
      <c r="AB183" s="166"/>
      <c r="AC183" s="180" t="e">
        <f t="shared" ref="AC183:AC211" si="48">RANK(AB183, AB$182:AB$211)</f>
        <v>#N/A</v>
      </c>
      <c r="AD183" s="486"/>
      <c r="AE183" s="166"/>
      <c r="AF183" s="166"/>
      <c r="AG183" s="166"/>
      <c r="AH183" s="180" t="e">
        <f t="shared" ref="AH183:AH211" si="49">RANK(AG183, AG$182:AG$211)</f>
        <v>#N/A</v>
      </c>
      <c r="AI183" s="486"/>
      <c r="AJ183" s="166"/>
      <c r="AK183" s="166"/>
      <c r="AL183" s="166"/>
      <c r="AM183" s="180" t="e">
        <f t="shared" ref="AM183:AM211" si="50">RANK(AL183, AL$182:AL$211)</f>
        <v>#N/A</v>
      </c>
      <c r="AN183" s="486"/>
      <c r="AO183" s="166"/>
      <c r="AP183" s="166"/>
      <c r="AQ183" s="166"/>
      <c r="AR183" s="180" t="e">
        <f t="shared" ref="AR183:AR211" si="51">RANK(AQ183, AQ$182:AQ$211)</f>
        <v>#N/A</v>
      </c>
      <c r="AS183" s="486"/>
      <c r="AT183" s="166"/>
      <c r="AU183" s="166"/>
      <c r="AV183" s="166"/>
      <c r="AW183" s="180" t="e">
        <f t="shared" ref="AW183:AW211" si="52">RANK(AV183, AV$182:AV$211)</f>
        <v>#N/A</v>
      </c>
      <c r="AX183" s="486"/>
    </row>
    <row r="184" spans="2:50">
      <c r="B184" s="479"/>
      <c r="C184" s="180">
        <v>3</v>
      </c>
      <c r="D184" s="201"/>
      <c r="E184" s="166"/>
      <c r="F184" s="180"/>
      <c r="G184" s="265"/>
      <c r="H184" s="460"/>
      <c r="I184" s="166" t="e">
        <f t="shared" si="45"/>
        <v>#DIV/0!</v>
      </c>
      <c r="J184" s="166" t="e">
        <f t="shared" si="45"/>
        <v>#DIV/0!</v>
      </c>
      <c r="K184" s="265" t="e">
        <f t="shared" si="45"/>
        <v>#DIV/0!</v>
      </c>
      <c r="L184" s="460"/>
      <c r="M184" s="272" t="e">
        <f>RANK(K184, K$147:$K$176)</f>
        <v>#DIV/0!</v>
      </c>
      <c r="N184" s="462"/>
      <c r="O184" s="462"/>
      <c r="P184" s="166"/>
      <c r="Q184" s="166"/>
      <c r="R184" s="166"/>
      <c r="S184" s="180" t="e">
        <f t="shared" si="46"/>
        <v>#N/A</v>
      </c>
      <c r="T184" s="486"/>
      <c r="U184" s="166"/>
      <c r="V184" s="166"/>
      <c r="W184" s="166"/>
      <c r="X184" s="180" t="e">
        <f t="shared" si="47"/>
        <v>#N/A</v>
      </c>
      <c r="Y184" s="486"/>
      <c r="Z184" s="166"/>
      <c r="AA184" s="166"/>
      <c r="AB184" s="166"/>
      <c r="AC184" s="180" t="e">
        <f t="shared" si="48"/>
        <v>#N/A</v>
      </c>
      <c r="AD184" s="486"/>
      <c r="AE184" s="166"/>
      <c r="AF184" s="166"/>
      <c r="AG184" s="166"/>
      <c r="AH184" s="180" t="e">
        <f t="shared" si="49"/>
        <v>#N/A</v>
      </c>
      <c r="AI184" s="486"/>
      <c r="AJ184" s="166"/>
      <c r="AK184" s="166"/>
      <c r="AL184" s="166"/>
      <c r="AM184" s="180" t="e">
        <f t="shared" si="50"/>
        <v>#N/A</v>
      </c>
      <c r="AN184" s="486"/>
      <c r="AO184" s="166"/>
      <c r="AP184" s="166"/>
      <c r="AQ184" s="166"/>
      <c r="AR184" s="180" t="e">
        <f t="shared" si="51"/>
        <v>#N/A</v>
      </c>
      <c r="AS184" s="486"/>
      <c r="AT184" s="166"/>
      <c r="AU184" s="166"/>
      <c r="AV184" s="166"/>
      <c r="AW184" s="180" t="e">
        <f t="shared" si="52"/>
        <v>#N/A</v>
      </c>
      <c r="AX184" s="486"/>
    </row>
    <row r="185" spans="2:50">
      <c r="B185" s="479"/>
      <c r="C185" s="180">
        <v>4</v>
      </c>
      <c r="D185" s="201"/>
      <c r="E185" s="166"/>
      <c r="F185" s="180"/>
      <c r="G185" s="265"/>
      <c r="H185" s="460"/>
      <c r="I185" s="166" t="e">
        <f t="shared" si="45"/>
        <v>#DIV/0!</v>
      </c>
      <c r="J185" s="166" t="e">
        <f t="shared" si="45"/>
        <v>#DIV/0!</v>
      </c>
      <c r="K185" s="265" t="e">
        <f t="shared" si="45"/>
        <v>#DIV/0!</v>
      </c>
      <c r="L185" s="460"/>
      <c r="M185" s="272" t="e">
        <f>RANK(K185, K$147:$K$176)</f>
        <v>#DIV/0!</v>
      </c>
      <c r="N185" s="462"/>
      <c r="O185" s="462"/>
      <c r="P185" s="166"/>
      <c r="Q185" s="166"/>
      <c r="R185" s="166"/>
      <c r="S185" s="180" t="e">
        <f t="shared" si="46"/>
        <v>#N/A</v>
      </c>
      <c r="T185" s="486"/>
      <c r="U185" s="166"/>
      <c r="V185" s="166"/>
      <c r="W185" s="166"/>
      <c r="X185" s="180" t="e">
        <f t="shared" si="47"/>
        <v>#N/A</v>
      </c>
      <c r="Y185" s="486"/>
      <c r="Z185" s="166"/>
      <c r="AA185" s="166"/>
      <c r="AB185" s="166"/>
      <c r="AC185" s="180" t="e">
        <f t="shared" si="48"/>
        <v>#N/A</v>
      </c>
      <c r="AD185" s="486"/>
      <c r="AE185" s="166"/>
      <c r="AF185" s="166"/>
      <c r="AG185" s="166"/>
      <c r="AH185" s="180" t="e">
        <f t="shared" si="49"/>
        <v>#N/A</v>
      </c>
      <c r="AI185" s="486"/>
      <c r="AJ185" s="166"/>
      <c r="AK185" s="166"/>
      <c r="AL185" s="166"/>
      <c r="AM185" s="180" t="e">
        <f t="shared" si="50"/>
        <v>#N/A</v>
      </c>
      <c r="AN185" s="486"/>
      <c r="AO185" s="166"/>
      <c r="AP185" s="166"/>
      <c r="AQ185" s="166"/>
      <c r="AR185" s="180" t="e">
        <f t="shared" si="51"/>
        <v>#N/A</v>
      </c>
      <c r="AS185" s="486"/>
      <c r="AT185" s="166"/>
      <c r="AU185" s="166"/>
      <c r="AV185" s="166"/>
      <c r="AW185" s="180" t="e">
        <f t="shared" si="52"/>
        <v>#N/A</v>
      </c>
      <c r="AX185" s="486"/>
    </row>
    <row r="186" spans="2:50">
      <c r="B186" s="479"/>
      <c r="C186" s="180">
        <v>5</v>
      </c>
      <c r="D186" s="201"/>
      <c r="E186" s="166"/>
      <c r="F186" s="180"/>
      <c r="G186" s="265"/>
      <c r="H186" s="460"/>
      <c r="I186" s="166" t="e">
        <f t="shared" si="45"/>
        <v>#DIV/0!</v>
      </c>
      <c r="J186" s="166" t="e">
        <f t="shared" si="45"/>
        <v>#DIV/0!</v>
      </c>
      <c r="K186" s="265" t="e">
        <f t="shared" si="45"/>
        <v>#DIV/0!</v>
      </c>
      <c r="L186" s="460"/>
      <c r="M186" s="272" t="e">
        <f>RANK(K186, K$147:$K$176)</f>
        <v>#DIV/0!</v>
      </c>
      <c r="N186" s="462"/>
      <c r="O186" s="462"/>
      <c r="P186" s="166"/>
      <c r="Q186" s="166"/>
      <c r="R186" s="166"/>
      <c r="S186" s="180" t="e">
        <f t="shared" si="46"/>
        <v>#N/A</v>
      </c>
      <c r="T186" s="486"/>
      <c r="U186" s="166"/>
      <c r="V186" s="166"/>
      <c r="W186" s="166"/>
      <c r="X186" s="180" t="e">
        <f t="shared" si="47"/>
        <v>#N/A</v>
      </c>
      <c r="Y186" s="486"/>
      <c r="Z186" s="166"/>
      <c r="AA186" s="166"/>
      <c r="AB186" s="166"/>
      <c r="AC186" s="180" t="e">
        <f t="shared" si="48"/>
        <v>#N/A</v>
      </c>
      <c r="AD186" s="486"/>
      <c r="AE186" s="166"/>
      <c r="AF186" s="166"/>
      <c r="AG186" s="166"/>
      <c r="AH186" s="180" t="e">
        <f t="shared" si="49"/>
        <v>#N/A</v>
      </c>
      <c r="AI186" s="486"/>
      <c r="AJ186" s="166"/>
      <c r="AK186" s="166"/>
      <c r="AL186" s="166"/>
      <c r="AM186" s="180" t="e">
        <f t="shared" si="50"/>
        <v>#N/A</v>
      </c>
      <c r="AN186" s="486"/>
      <c r="AO186" s="166"/>
      <c r="AP186" s="166"/>
      <c r="AQ186" s="166"/>
      <c r="AR186" s="180" t="e">
        <f t="shared" si="51"/>
        <v>#N/A</v>
      </c>
      <c r="AS186" s="486"/>
      <c r="AT186" s="166"/>
      <c r="AU186" s="166"/>
      <c r="AV186" s="166"/>
      <c r="AW186" s="180" t="e">
        <f t="shared" si="52"/>
        <v>#N/A</v>
      </c>
      <c r="AX186" s="486"/>
    </row>
    <row r="187" spans="2:50">
      <c r="B187" s="479"/>
      <c r="C187" s="180">
        <v>6</v>
      </c>
      <c r="D187" s="201"/>
      <c r="E187" s="166"/>
      <c r="F187" s="180"/>
      <c r="G187" s="265"/>
      <c r="H187" s="460"/>
      <c r="I187" s="166" t="e">
        <f t="shared" si="45"/>
        <v>#DIV/0!</v>
      </c>
      <c r="J187" s="166" t="e">
        <f t="shared" si="45"/>
        <v>#DIV/0!</v>
      </c>
      <c r="K187" s="265" t="e">
        <f t="shared" si="45"/>
        <v>#DIV/0!</v>
      </c>
      <c r="L187" s="460"/>
      <c r="M187" s="272" t="e">
        <f>RANK(K187, K$147:$K$176)</f>
        <v>#DIV/0!</v>
      </c>
      <c r="N187" s="462"/>
      <c r="O187" s="462"/>
      <c r="P187" s="166"/>
      <c r="Q187" s="166"/>
      <c r="R187" s="166"/>
      <c r="S187" s="180" t="e">
        <f t="shared" si="46"/>
        <v>#N/A</v>
      </c>
      <c r="T187" s="486"/>
      <c r="U187" s="166"/>
      <c r="V187" s="166"/>
      <c r="W187" s="166"/>
      <c r="X187" s="180" t="e">
        <f t="shared" si="47"/>
        <v>#N/A</v>
      </c>
      <c r="Y187" s="486"/>
      <c r="Z187" s="166"/>
      <c r="AA187" s="166"/>
      <c r="AB187" s="166"/>
      <c r="AC187" s="180" t="e">
        <f t="shared" si="48"/>
        <v>#N/A</v>
      </c>
      <c r="AD187" s="486"/>
      <c r="AE187" s="166"/>
      <c r="AF187" s="166"/>
      <c r="AG187" s="166"/>
      <c r="AH187" s="180" t="e">
        <f t="shared" si="49"/>
        <v>#N/A</v>
      </c>
      <c r="AI187" s="486"/>
      <c r="AJ187" s="166"/>
      <c r="AK187" s="166"/>
      <c r="AL187" s="166"/>
      <c r="AM187" s="180" t="e">
        <f t="shared" si="50"/>
        <v>#N/A</v>
      </c>
      <c r="AN187" s="486"/>
      <c r="AO187" s="166"/>
      <c r="AP187" s="166"/>
      <c r="AQ187" s="166"/>
      <c r="AR187" s="180" t="e">
        <f t="shared" si="51"/>
        <v>#N/A</v>
      </c>
      <c r="AS187" s="486"/>
      <c r="AT187" s="166"/>
      <c r="AU187" s="166"/>
      <c r="AV187" s="166"/>
      <c r="AW187" s="180" t="e">
        <f t="shared" si="52"/>
        <v>#N/A</v>
      </c>
      <c r="AX187" s="486"/>
    </row>
    <row r="188" spans="2:50">
      <c r="B188" s="479"/>
      <c r="C188" s="180">
        <v>7</v>
      </c>
      <c r="D188" s="201"/>
      <c r="E188" s="166"/>
      <c r="F188" s="180"/>
      <c r="G188" s="265"/>
      <c r="H188" s="460"/>
      <c r="I188" s="166" t="e">
        <f t="shared" si="45"/>
        <v>#DIV/0!</v>
      </c>
      <c r="J188" s="166" t="e">
        <f t="shared" si="45"/>
        <v>#DIV/0!</v>
      </c>
      <c r="K188" s="265" t="e">
        <f t="shared" si="45"/>
        <v>#DIV/0!</v>
      </c>
      <c r="L188" s="460"/>
      <c r="M188" s="272" t="e">
        <f>RANK(K188, K$147:$K$176)</f>
        <v>#DIV/0!</v>
      </c>
      <c r="N188" s="462"/>
      <c r="O188" s="462"/>
      <c r="P188" s="166"/>
      <c r="Q188" s="166"/>
      <c r="R188" s="166"/>
      <c r="S188" s="180" t="e">
        <f t="shared" si="46"/>
        <v>#N/A</v>
      </c>
      <c r="T188" s="486"/>
      <c r="U188" s="166"/>
      <c r="V188" s="166"/>
      <c r="W188" s="166"/>
      <c r="X188" s="180" t="e">
        <f t="shared" si="47"/>
        <v>#N/A</v>
      </c>
      <c r="Y188" s="486"/>
      <c r="Z188" s="166"/>
      <c r="AA188" s="166"/>
      <c r="AB188" s="166"/>
      <c r="AC188" s="180" t="e">
        <f t="shared" si="48"/>
        <v>#N/A</v>
      </c>
      <c r="AD188" s="486"/>
      <c r="AE188" s="166"/>
      <c r="AF188" s="166"/>
      <c r="AG188" s="166"/>
      <c r="AH188" s="180" t="e">
        <f t="shared" si="49"/>
        <v>#N/A</v>
      </c>
      <c r="AI188" s="486"/>
      <c r="AJ188" s="166"/>
      <c r="AK188" s="166"/>
      <c r="AL188" s="166"/>
      <c r="AM188" s="180" t="e">
        <f t="shared" si="50"/>
        <v>#N/A</v>
      </c>
      <c r="AN188" s="486"/>
      <c r="AO188" s="166"/>
      <c r="AP188" s="166"/>
      <c r="AQ188" s="166"/>
      <c r="AR188" s="180" t="e">
        <f t="shared" si="51"/>
        <v>#N/A</v>
      </c>
      <c r="AS188" s="486"/>
      <c r="AT188" s="166"/>
      <c r="AU188" s="166"/>
      <c r="AV188" s="166"/>
      <c r="AW188" s="180" t="e">
        <f t="shared" si="52"/>
        <v>#N/A</v>
      </c>
      <c r="AX188" s="486"/>
    </row>
    <row r="189" spans="2:50">
      <c r="B189" s="479"/>
      <c r="C189" s="180">
        <v>8</v>
      </c>
      <c r="D189" s="201"/>
      <c r="E189" s="166"/>
      <c r="F189" s="180"/>
      <c r="G189" s="265"/>
      <c r="H189" s="460"/>
      <c r="I189" s="166" t="e">
        <f t="shared" si="45"/>
        <v>#DIV/0!</v>
      </c>
      <c r="J189" s="166" t="e">
        <f t="shared" si="45"/>
        <v>#DIV/0!</v>
      </c>
      <c r="K189" s="265" t="e">
        <f t="shared" si="45"/>
        <v>#DIV/0!</v>
      </c>
      <c r="L189" s="460"/>
      <c r="M189" s="272" t="e">
        <f>RANK(K189, K$147:$K$176)</f>
        <v>#DIV/0!</v>
      </c>
      <c r="N189" s="462"/>
      <c r="O189" s="462"/>
      <c r="P189" s="166"/>
      <c r="Q189" s="166"/>
      <c r="R189" s="166"/>
      <c r="S189" s="180" t="e">
        <f t="shared" si="46"/>
        <v>#N/A</v>
      </c>
      <c r="T189" s="486"/>
      <c r="U189" s="166"/>
      <c r="V189" s="166"/>
      <c r="W189" s="166"/>
      <c r="X189" s="180" t="e">
        <f t="shared" si="47"/>
        <v>#N/A</v>
      </c>
      <c r="Y189" s="486"/>
      <c r="Z189" s="166"/>
      <c r="AA189" s="166"/>
      <c r="AB189" s="166"/>
      <c r="AC189" s="180" t="e">
        <f t="shared" si="48"/>
        <v>#N/A</v>
      </c>
      <c r="AD189" s="486"/>
      <c r="AE189" s="166"/>
      <c r="AF189" s="166"/>
      <c r="AG189" s="166"/>
      <c r="AH189" s="180" t="e">
        <f t="shared" si="49"/>
        <v>#N/A</v>
      </c>
      <c r="AI189" s="486"/>
      <c r="AJ189" s="166"/>
      <c r="AK189" s="166"/>
      <c r="AL189" s="166"/>
      <c r="AM189" s="180" t="e">
        <f t="shared" si="50"/>
        <v>#N/A</v>
      </c>
      <c r="AN189" s="486"/>
      <c r="AO189" s="166"/>
      <c r="AP189" s="166"/>
      <c r="AQ189" s="166"/>
      <c r="AR189" s="180" t="e">
        <f t="shared" si="51"/>
        <v>#N/A</v>
      </c>
      <c r="AS189" s="486"/>
      <c r="AT189" s="166"/>
      <c r="AU189" s="166"/>
      <c r="AV189" s="166"/>
      <c r="AW189" s="180" t="e">
        <f t="shared" si="52"/>
        <v>#N/A</v>
      </c>
      <c r="AX189" s="486"/>
    </row>
    <row r="190" spans="2:50">
      <c r="B190" s="479"/>
      <c r="C190" s="180">
        <v>9</v>
      </c>
      <c r="D190" s="201"/>
      <c r="E190" s="166"/>
      <c r="F190" s="180"/>
      <c r="G190" s="265"/>
      <c r="H190" s="460"/>
      <c r="I190" s="166" t="e">
        <f t="shared" si="45"/>
        <v>#DIV/0!</v>
      </c>
      <c r="J190" s="166" t="e">
        <f t="shared" si="45"/>
        <v>#DIV/0!</v>
      </c>
      <c r="K190" s="265" t="e">
        <f t="shared" si="45"/>
        <v>#DIV/0!</v>
      </c>
      <c r="L190" s="460"/>
      <c r="M190" s="272" t="e">
        <f>RANK(K190, K$147:$K$176)</f>
        <v>#DIV/0!</v>
      </c>
      <c r="N190" s="462"/>
      <c r="O190" s="462"/>
      <c r="P190" s="166"/>
      <c r="Q190" s="166"/>
      <c r="R190" s="166"/>
      <c r="S190" s="180" t="e">
        <f t="shared" si="46"/>
        <v>#N/A</v>
      </c>
      <c r="T190" s="486"/>
      <c r="U190" s="166"/>
      <c r="V190" s="166"/>
      <c r="W190" s="166"/>
      <c r="X190" s="180" t="e">
        <f t="shared" si="47"/>
        <v>#N/A</v>
      </c>
      <c r="Y190" s="486"/>
      <c r="Z190" s="166"/>
      <c r="AA190" s="166"/>
      <c r="AB190" s="166"/>
      <c r="AC190" s="180" t="e">
        <f t="shared" si="48"/>
        <v>#N/A</v>
      </c>
      <c r="AD190" s="486"/>
      <c r="AE190" s="166"/>
      <c r="AF190" s="166"/>
      <c r="AG190" s="166"/>
      <c r="AH190" s="180" t="e">
        <f t="shared" si="49"/>
        <v>#N/A</v>
      </c>
      <c r="AI190" s="486"/>
      <c r="AJ190" s="166"/>
      <c r="AK190" s="166"/>
      <c r="AL190" s="166"/>
      <c r="AM190" s="180" t="e">
        <f t="shared" si="50"/>
        <v>#N/A</v>
      </c>
      <c r="AN190" s="486"/>
      <c r="AO190" s="166"/>
      <c r="AP190" s="166"/>
      <c r="AQ190" s="166"/>
      <c r="AR190" s="180" t="e">
        <f t="shared" si="51"/>
        <v>#N/A</v>
      </c>
      <c r="AS190" s="486"/>
      <c r="AT190" s="166"/>
      <c r="AU190" s="166"/>
      <c r="AV190" s="166"/>
      <c r="AW190" s="180" t="e">
        <f t="shared" si="52"/>
        <v>#N/A</v>
      </c>
      <c r="AX190" s="486"/>
    </row>
    <row r="191" spans="2:50">
      <c r="B191" s="479"/>
      <c r="C191" s="180">
        <v>10</v>
      </c>
      <c r="D191" s="201"/>
      <c r="E191" s="166"/>
      <c r="F191" s="180"/>
      <c r="G191" s="265"/>
      <c r="H191" s="460"/>
      <c r="I191" s="166" t="e">
        <f t="shared" si="45"/>
        <v>#DIV/0!</v>
      </c>
      <c r="J191" s="166" t="e">
        <f t="shared" si="45"/>
        <v>#DIV/0!</v>
      </c>
      <c r="K191" s="265" t="e">
        <f t="shared" si="45"/>
        <v>#DIV/0!</v>
      </c>
      <c r="L191" s="460"/>
      <c r="M191" s="272" t="e">
        <f>RANK(K191, K$147:$K$176)</f>
        <v>#DIV/0!</v>
      </c>
      <c r="N191" s="462"/>
      <c r="O191" s="462"/>
      <c r="P191" s="166"/>
      <c r="Q191" s="166"/>
      <c r="R191" s="166"/>
      <c r="S191" s="180" t="e">
        <f t="shared" si="46"/>
        <v>#N/A</v>
      </c>
      <c r="T191" s="486"/>
      <c r="U191" s="166"/>
      <c r="V191" s="166"/>
      <c r="W191" s="166"/>
      <c r="X191" s="180" t="e">
        <f t="shared" si="47"/>
        <v>#N/A</v>
      </c>
      <c r="Y191" s="486"/>
      <c r="Z191" s="166"/>
      <c r="AA191" s="166"/>
      <c r="AB191" s="166"/>
      <c r="AC191" s="180" t="e">
        <f t="shared" si="48"/>
        <v>#N/A</v>
      </c>
      <c r="AD191" s="486"/>
      <c r="AE191" s="166"/>
      <c r="AF191" s="166"/>
      <c r="AG191" s="166"/>
      <c r="AH191" s="180" t="e">
        <f t="shared" si="49"/>
        <v>#N/A</v>
      </c>
      <c r="AI191" s="486"/>
      <c r="AJ191" s="166"/>
      <c r="AK191" s="166"/>
      <c r="AL191" s="166"/>
      <c r="AM191" s="180" t="e">
        <f t="shared" si="50"/>
        <v>#N/A</v>
      </c>
      <c r="AN191" s="486"/>
      <c r="AO191" s="166"/>
      <c r="AP191" s="166"/>
      <c r="AQ191" s="166"/>
      <c r="AR191" s="180" t="e">
        <f t="shared" si="51"/>
        <v>#N/A</v>
      </c>
      <c r="AS191" s="486"/>
      <c r="AT191" s="166"/>
      <c r="AU191" s="166"/>
      <c r="AV191" s="166"/>
      <c r="AW191" s="180" t="e">
        <f t="shared" si="52"/>
        <v>#N/A</v>
      </c>
      <c r="AX191" s="486"/>
    </row>
    <row r="192" spans="2:50">
      <c r="B192" s="479"/>
      <c r="C192" s="180">
        <v>11</v>
      </c>
      <c r="D192" s="201"/>
      <c r="E192" s="166"/>
      <c r="F192" s="180"/>
      <c r="G192" s="265"/>
      <c r="H192" s="460"/>
      <c r="I192" s="166" t="e">
        <f t="shared" si="45"/>
        <v>#DIV/0!</v>
      </c>
      <c r="J192" s="166" t="e">
        <f t="shared" si="45"/>
        <v>#DIV/0!</v>
      </c>
      <c r="K192" s="265" t="e">
        <f t="shared" si="45"/>
        <v>#DIV/0!</v>
      </c>
      <c r="L192" s="460"/>
      <c r="M192" s="272" t="e">
        <f>RANK(K192, K$147:$K$176)</f>
        <v>#DIV/0!</v>
      </c>
      <c r="N192" s="462"/>
      <c r="O192" s="462"/>
      <c r="P192" s="166"/>
      <c r="Q192" s="166"/>
      <c r="R192" s="166"/>
      <c r="S192" s="180" t="e">
        <f t="shared" si="46"/>
        <v>#N/A</v>
      </c>
      <c r="T192" s="486"/>
      <c r="U192" s="166"/>
      <c r="V192" s="166"/>
      <c r="W192" s="166"/>
      <c r="X192" s="180" t="e">
        <f t="shared" si="47"/>
        <v>#N/A</v>
      </c>
      <c r="Y192" s="486"/>
      <c r="Z192" s="166"/>
      <c r="AA192" s="166"/>
      <c r="AB192" s="166"/>
      <c r="AC192" s="180" t="e">
        <f t="shared" si="48"/>
        <v>#N/A</v>
      </c>
      <c r="AD192" s="486"/>
      <c r="AE192" s="166"/>
      <c r="AF192" s="166"/>
      <c r="AG192" s="166"/>
      <c r="AH192" s="180" t="e">
        <f t="shared" si="49"/>
        <v>#N/A</v>
      </c>
      <c r="AI192" s="486"/>
      <c r="AJ192" s="166"/>
      <c r="AK192" s="166"/>
      <c r="AL192" s="166"/>
      <c r="AM192" s="180" t="e">
        <f t="shared" si="50"/>
        <v>#N/A</v>
      </c>
      <c r="AN192" s="486"/>
      <c r="AO192" s="166"/>
      <c r="AP192" s="166"/>
      <c r="AQ192" s="166"/>
      <c r="AR192" s="180" t="e">
        <f t="shared" si="51"/>
        <v>#N/A</v>
      </c>
      <c r="AS192" s="486"/>
      <c r="AT192" s="166"/>
      <c r="AU192" s="166"/>
      <c r="AV192" s="166"/>
      <c r="AW192" s="180" t="e">
        <f t="shared" si="52"/>
        <v>#N/A</v>
      </c>
      <c r="AX192" s="486"/>
    </row>
    <row r="193" spans="2:50">
      <c r="B193" s="479"/>
      <c r="C193" s="180">
        <v>12</v>
      </c>
      <c r="D193" s="201"/>
      <c r="E193" s="166"/>
      <c r="F193" s="180"/>
      <c r="G193" s="265"/>
      <c r="H193" s="460"/>
      <c r="I193" s="166" t="e">
        <f t="shared" si="45"/>
        <v>#DIV/0!</v>
      </c>
      <c r="J193" s="166" t="e">
        <f t="shared" si="45"/>
        <v>#DIV/0!</v>
      </c>
      <c r="K193" s="265" t="e">
        <f t="shared" si="45"/>
        <v>#DIV/0!</v>
      </c>
      <c r="L193" s="460"/>
      <c r="M193" s="272" t="e">
        <f>RANK(K193, K$147:$K$176)</f>
        <v>#DIV/0!</v>
      </c>
      <c r="N193" s="462"/>
      <c r="O193" s="462"/>
      <c r="P193" s="166"/>
      <c r="Q193" s="166"/>
      <c r="R193" s="166"/>
      <c r="S193" s="180" t="e">
        <f t="shared" si="46"/>
        <v>#N/A</v>
      </c>
      <c r="T193" s="486"/>
      <c r="U193" s="166"/>
      <c r="V193" s="166"/>
      <c r="W193" s="166"/>
      <c r="X193" s="180" t="e">
        <f t="shared" si="47"/>
        <v>#N/A</v>
      </c>
      <c r="Y193" s="486"/>
      <c r="Z193" s="166"/>
      <c r="AA193" s="166"/>
      <c r="AB193" s="166"/>
      <c r="AC193" s="180" t="e">
        <f t="shared" si="48"/>
        <v>#N/A</v>
      </c>
      <c r="AD193" s="486"/>
      <c r="AE193" s="166"/>
      <c r="AF193" s="166"/>
      <c r="AG193" s="166"/>
      <c r="AH193" s="180" t="e">
        <f t="shared" si="49"/>
        <v>#N/A</v>
      </c>
      <c r="AI193" s="486"/>
      <c r="AJ193" s="166"/>
      <c r="AK193" s="166"/>
      <c r="AL193" s="166"/>
      <c r="AM193" s="180" t="e">
        <f t="shared" si="50"/>
        <v>#N/A</v>
      </c>
      <c r="AN193" s="486"/>
      <c r="AO193" s="166"/>
      <c r="AP193" s="166"/>
      <c r="AQ193" s="166"/>
      <c r="AR193" s="180" t="e">
        <f t="shared" si="51"/>
        <v>#N/A</v>
      </c>
      <c r="AS193" s="486"/>
      <c r="AT193" s="166"/>
      <c r="AU193" s="166"/>
      <c r="AV193" s="166"/>
      <c r="AW193" s="180" t="e">
        <f t="shared" si="52"/>
        <v>#N/A</v>
      </c>
      <c r="AX193" s="486"/>
    </row>
    <row r="194" spans="2:50">
      <c r="B194" s="479"/>
      <c r="C194" s="180">
        <v>13</v>
      </c>
      <c r="D194" s="201"/>
      <c r="E194" s="166"/>
      <c r="F194" s="180"/>
      <c r="G194" s="265"/>
      <c r="H194" s="460"/>
      <c r="I194" s="166" t="e">
        <f t="shared" si="45"/>
        <v>#DIV/0!</v>
      </c>
      <c r="J194" s="166" t="e">
        <f t="shared" si="45"/>
        <v>#DIV/0!</v>
      </c>
      <c r="K194" s="265" t="e">
        <f t="shared" si="45"/>
        <v>#DIV/0!</v>
      </c>
      <c r="L194" s="460"/>
      <c r="M194" s="272" t="e">
        <f>RANK(K194, K$147:$K$176)</f>
        <v>#DIV/0!</v>
      </c>
      <c r="N194" s="462"/>
      <c r="O194" s="462"/>
      <c r="P194" s="166"/>
      <c r="Q194" s="166"/>
      <c r="R194" s="166"/>
      <c r="S194" s="180" t="e">
        <f t="shared" si="46"/>
        <v>#N/A</v>
      </c>
      <c r="T194" s="486"/>
      <c r="U194" s="166"/>
      <c r="V194" s="166"/>
      <c r="W194" s="166"/>
      <c r="X194" s="180" t="e">
        <f t="shared" si="47"/>
        <v>#N/A</v>
      </c>
      <c r="Y194" s="486"/>
      <c r="Z194" s="166"/>
      <c r="AA194" s="166"/>
      <c r="AB194" s="166"/>
      <c r="AC194" s="180" t="e">
        <f t="shared" si="48"/>
        <v>#N/A</v>
      </c>
      <c r="AD194" s="486"/>
      <c r="AE194" s="166"/>
      <c r="AF194" s="166"/>
      <c r="AG194" s="166"/>
      <c r="AH194" s="180" t="e">
        <f t="shared" si="49"/>
        <v>#N/A</v>
      </c>
      <c r="AI194" s="486"/>
      <c r="AJ194" s="166"/>
      <c r="AK194" s="166"/>
      <c r="AL194" s="166"/>
      <c r="AM194" s="180" t="e">
        <f t="shared" si="50"/>
        <v>#N/A</v>
      </c>
      <c r="AN194" s="486"/>
      <c r="AO194" s="166"/>
      <c r="AP194" s="166"/>
      <c r="AQ194" s="166"/>
      <c r="AR194" s="180" t="e">
        <f t="shared" si="51"/>
        <v>#N/A</v>
      </c>
      <c r="AS194" s="486"/>
      <c r="AT194" s="166"/>
      <c r="AU194" s="166"/>
      <c r="AV194" s="166"/>
      <c r="AW194" s="180" t="e">
        <f t="shared" si="52"/>
        <v>#N/A</v>
      </c>
      <c r="AX194" s="486"/>
    </row>
    <row r="195" spans="2:50">
      <c r="B195" s="479"/>
      <c r="C195" s="180">
        <v>14</v>
      </c>
      <c r="D195" s="201"/>
      <c r="E195" s="166"/>
      <c r="F195" s="180"/>
      <c r="G195" s="265"/>
      <c r="H195" s="460"/>
      <c r="I195" s="166" t="e">
        <f t="shared" si="45"/>
        <v>#DIV/0!</v>
      </c>
      <c r="J195" s="166" t="e">
        <f t="shared" si="45"/>
        <v>#DIV/0!</v>
      </c>
      <c r="K195" s="265" t="e">
        <f t="shared" si="45"/>
        <v>#DIV/0!</v>
      </c>
      <c r="L195" s="460"/>
      <c r="M195" s="272" t="e">
        <f>RANK(K195, K$147:$K$176)</f>
        <v>#DIV/0!</v>
      </c>
      <c r="N195" s="462"/>
      <c r="O195" s="462"/>
      <c r="P195" s="166"/>
      <c r="Q195" s="166"/>
      <c r="R195" s="166"/>
      <c r="S195" s="180" t="e">
        <f t="shared" si="46"/>
        <v>#N/A</v>
      </c>
      <c r="T195" s="486"/>
      <c r="U195" s="166"/>
      <c r="V195" s="166"/>
      <c r="W195" s="166"/>
      <c r="X195" s="180" t="e">
        <f t="shared" si="47"/>
        <v>#N/A</v>
      </c>
      <c r="Y195" s="486"/>
      <c r="Z195" s="166"/>
      <c r="AA195" s="166"/>
      <c r="AB195" s="166"/>
      <c r="AC195" s="180" t="e">
        <f t="shared" si="48"/>
        <v>#N/A</v>
      </c>
      <c r="AD195" s="486"/>
      <c r="AE195" s="166"/>
      <c r="AF195" s="166"/>
      <c r="AG195" s="166"/>
      <c r="AH195" s="180" t="e">
        <f t="shared" si="49"/>
        <v>#N/A</v>
      </c>
      <c r="AI195" s="486"/>
      <c r="AJ195" s="166"/>
      <c r="AK195" s="166"/>
      <c r="AL195" s="166"/>
      <c r="AM195" s="180" t="e">
        <f t="shared" si="50"/>
        <v>#N/A</v>
      </c>
      <c r="AN195" s="486"/>
      <c r="AO195" s="166"/>
      <c r="AP195" s="166"/>
      <c r="AQ195" s="166"/>
      <c r="AR195" s="180" t="e">
        <f t="shared" si="51"/>
        <v>#N/A</v>
      </c>
      <c r="AS195" s="486"/>
      <c r="AT195" s="166"/>
      <c r="AU195" s="166"/>
      <c r="AV195" s="166"/>
      <c r="AW195" s="180" t="e">
        <f t="shared" si="52"/>
        <v>#N/A</v>
      </c>
      <c r="AX195" s="486"/>
    </row>
    <row r="196" spans="2:50">
      <c r="B196" s="479"/>
      <c r="C196" s="180">
        <v>15</v>
      </c>
      <c r="D196" s="201"/>
      <c r="E196" s="166"/>
      <c r="F196" s="180"/>
      <c r="G196" s="265"/>
      <c r="H196" s="460"/>
      <c r="I196" s="166" t="e">
        <f t="shared" si="45"/>
        <v>#DIV/0!</v>
      </c>
      <c r="J196" s="166" t="e">
        <f t="shared" si="45"/>
        <v>#DIV/0!</v>
      </c>
      <c r="K196" s="265" t="e">
        <f t="shared" si="45"/>
        <v>#DIV/0!</v>
      </c>
      <c r="L196" s="460"/>
      <c r="M196" s="166" t="e">
        <f>RANK(K196, K$147:$K$176)</f>
        <v>#DIV/0!</v>
      </c>
      <c r="N196" s="462"/>
      <c r="O196" s="462"/>
      <c r="P196" s="166"/>
      <c r="Q196" s="166"/>
      <c r="R196" s="166"/>
      <c r="S196" s="180" t="e">
        <f t="shared" si="46"/>
        <v>#N/A</v>
      </c>
      <c r="T196" s="486"/>
      <c r="U196" s="166"/>
      <c r="V196" s="166"/>
      <c r="W196" s="166"/>
      <c r="X196" s="180" t="e">
        <f t="shared" si="47"/>
        <v>#N/A</v>
      </c>
      <c r="Y196" s="486"/>
      <c r="Z196" s="166"/>
      <c r="AA196" s="166"/>
      <c r="AB196" s="166"/>
      <c r="AC196" s="180" t="e">
        <f t="shared" si="48"/>
        <v>#N/A</v>
      </c>
      <c r="AD196" s="486"/>
      <c r="AE196" s="166"/>
      <c r="AF196" s="166"/>
      <c r="AG196" s="166"/>
      <c r="AH196" s="180" t="e">
        <f t="shared" si="49"/>
        <v>#N/A</v>
      </c>
      <c r="AI196" s="486"/>
      <c r="AJ196" s="166"/>
      <c r="AK196" s="166"/>
      <c r="AL196" s="166"/>
      <c r="AM196" s="180" t="e">
        <f t="shared" si="50"/>
        <v>#N/A</v>
      </c>
      <c r="AN196" s="486"/>
      <c r="AO196" s="166"/>
      <c r="AP196" s="166"/>
      <c r="AQ196" s="166"/>
      <c r="AR196" s="180" t="e">
        <f t="shared" si="51"/>
        <v>#N/A</v>
      </c>
      <c r="AS196" s="486"/>
      <c r="AT196" s="166"/>
      <c r="AU196" s="166"/>
      <c r="AV196" s="166"/>
      <c r="AW196" s="180" t="e">
        <f t="shared" si="52"/>
        <v>#N/A</v>
      </c>
      <c r="AX196" s="486"/>
    </row>
    <row r="197" spans="2:50">
      <c r="B197" s="479"/>
      <c r="C197" s="180">
        <v>16</v>
      </c>
      <c r="D197" s="201"/>
      <c r="E197" s="166"/>
      <c r="F197" s="180"/>
      <c r="G197" s="265"/>
      <c r="H197" s="460"/>
      <c r="I197" s="166" t="e">
        <f t="shared" si="45"/>
        <v>#DIV/0!</v>
      </c>
      <c r="J197" s="166" t="e">
        <f t="shared" si="45"/>
        <v>#DIV/0!</v>
      </c>
      <c r="K197" s="265" t="e">
        <f t="shared" si="45"/>
        <v>#DIV/0!</v>
      </c>
      <c r="L197" s="460"/>
      <c r="M197" s="166" t="e">
        <f>RANK(K197, K$147:$K$176)</f>
        <v>#DIV/0!</v>
      </c>
      <c r="N197" s="462"/>
      <c r="O197" s="462"/>
      <c r="P197" s="166"/>
      <c r="Q197" s="166"/>
      <c r="R197" s="166"/>
      <c r="S197" s="180" t="e">
        <f t="shared" si="46"/>
        <v>#N/A</v>
      </c>
      <c r="T197" s="486"/>
      <c r="U197" s="166"/>
      <c r="V197" s="166"/>
      <c r="W197" s="166"/>
      <c r="X197" s="180" t="e">
        <f t="shared" si="47"/>
        <v>#N/A</v>
      </c>
      <c r="Y197" s="486"/>
      <c r="Z197" s="166"/>
      <c r="AA197" s="166"/>
      <c r="AB197" s="166"/>
      <c r="AC197" s="180" t="e">
        <f t="shared" si="48"/>
        <v>#N/A</v>
      </c>
      <c r="AD197" s="486"/>
      <c r="AE197" s="166"/>
      <c r="AF197" s="166"/>
      <c r="AG197" s="166"/>
      <c r="AH197" s="180" t="e">
        <f t="shared" si="49"/>
        <v>#N/A</v>
      </c>
      <c r="AI197" s="486"/>
      <c r="AJ197" s="166"/>
      <c r="AK197" s="166"/>
      <c r="AL197" s="166"/>
      <c r="AM197" s="180" t="e">
        <f t="shared" si="50"/>
        <v>#N/A</v>
      </c>
      <c r="AN197" s="486"/>
      <c r="AO197" s="166"/>
      <c r="AP197" s="166"/>
      <c r="AQ197" s="166"/>
      <c r="AR197" s="180" t="e">
        <f t="shared" si="51"/>
        <v>#N/A</v>
      </c>
      <c r="AS197" s="486"/>
      <c r="AT197" s="166"/>
      <c r="AU197" s="166"/>
      <c r="AV197" s="166"/>
      <c r="AW197" s="180" t="e">
        <f t="shared" si="52"/>
        <v>#N/A</v>
      </c>
      <c r="AX197" s="486"/>
    </row>
    <row r="198" spans="2:50">
      <c r="B198" s="479"/>
      <c r="C198" s="180">
        <v>17</v>
      </c>
      <c r="D198" s="201"/>
      <c r="E198" s="166"/>
      <c r="F198" s="180"/>
      <c r="G198" s="265"/>
      <c r="H198" s="460"/>
      <c r="I198" s="166" t="e">
        <f t="shared" si="45"/>
        <v>#DIV/0!</v>
      </c>
      <c r="J198" s="166" t="e">
        <f t="shared" si="45"/>
        <v>#DIV/0!</v>
      </c>
      <c r="K198" s="265" t="e">
        <f t="shared" si="45"/>
        <v>#DIV/0!</v>
      </c>
      <c r="L198" s="460"/>
      <c r="M198" s="166" t="e">
        <f>RANK(K198, K$147:$K$176)</f>
        <v>#DIV/0!</v>
      </c>
      <c r="N198" s="462"/>
      <c r="O198" s="462"/>
      <c r="P198" s="166"/>
      <c r="Q198" s="166"/>
      <c r="R198" s="166"/>
      <c r="S198" s="180" t="e">
        <f t="shared" si="46"/>
        <v>#N/A</v>
      </c>
      <c r="T198" s="486"/>
      <c r="U198" s="166"/>
      <c r="V198" s="166"/>
      <c r="W198" s="166"/>
      <c r="X198" s="180" t="e">
        <f t="shared" si="47"/>
        <v>#N/A</v>
      </c>
      <c r="Y198" s="486"/>
      <c r="Z198" s="166"/>
      <c r="AA198" s="166"/>
      <c r="AB198" s="166"/>
      <c r="AC198" s="180" t="e">
        <f t="shared" si="48"/>
        <v>#N/A</v>
      </c>
      <c r="AD198" s="486"/>
      <c r="AE198" s="166"/>
      <c r="AF198" s="166"/>
      <c r="AG198" s="166"/>
      <c r="AH198" s="180" t="e">
        <f t="shared" si="49"/>
        <v>#N/A</v>
      </c>
      <c r="AI198" s="486"/>
      <c r="AJ198" s="166"/>
      <c r="AK198" s="166"/>
      <c r="AL198" s="166"/>
      <c r="AM198" s="180" t="e">
        <f t="shared" si="50"/>
        <v>#N/A</v>
      </c>
      <c r="AN198" s="486"/>
      <c r="AO198" s="166"/>
      <c r="AP198" s="166"/>
      <c r="AQ198" s="166"/>
      <c r="AR198" s="180" t="e">
        <f t="shared" si="51"/>
        <v>#N/A</v>
      </c>
      <c r="AS198" s="486"/>
      <c r="AT198" s="166"/>
      <c r="AU198" s="166"/>
      <c r="AV198" s="166"/>
      <c r="AW198" s="180" t="e">
        <f t="shared" si="52"/>
        <v>#N/A</v>
      </c>
      <c r="AX198" s="486"/>
    </row>
    <row r="199" spans="2:50">
      <c r="B199" s="479"/>
      <c r="C199" s="180">
        <v>18</v>
      </c>
      <c r="D199" s="201"/>
      <c r="E199" s="166"/>
      <c r="F199" s="180"/>
      <c r="G199" s="265"/>
      <c r="H199" s="460"/>
      <c r="I199" s="166" t="e">
        <f t="shared" si="45"/>
        <v>#DIV/0!</v>
      </c>
      <c r="J199" s="166" t="e">
        <f t="shared" si="45"/>
        <v>#DIV/0!</v>
      </c>
      <c r="K199" s="265" t="e">
        <f t="shared" si="45"/>
        <v>#DIV/0!</v>
      </c>
      <c r="L199" s="460"/>
      <c r="M199" s="166" t="e">
        <f>RANK(K199, K$147:$K$176)</f>
        <v>#DIV/0!</v>
      </c>
      <c r="N199" s="462"/>
      <c r="O199" s="462"/>
      <c r="P199" s="166"/>
      <c r="Q199" s="166"/>
      <c r="R199" s="166"/>
      <c r="S199" s="180" t="e">
        <f t="shared" si="46"/>
        <v>#N/A</v>
      </c>
      <c r="T199" s="486"/>
      <c r="U199" s="166"/>
      <c r="V199" s="166"/>
      <c r="W199" s="166"/>
      <c r="X199" s="180" t="e">
        <f t="shared" si="47"/>
        <v>#N/A</v>
      </c>
      <c r="Y199" s="486"/>
      <c r="Z199" s="166"/>
      <c r="AA199" s="166"/>
      <c r="AB199" s="166"/>
      <c r="AC199" s="180" t="e">
        <f t="shared" si="48"/>
        <v>#N/A</v>
      </c>
      <c r="AD199" s="486"/>
      <c r="AE199" s="166"/>
      <c r="AF199" s="166"/>
      <c r="AG199" s="166"/>
      <c r="AH199" s="180" t="e">
        <f t="shared" si="49"/>
        <v>#N/A</v>
      </c>
      <c r="AI199" s="486"/>
      <c r="AJ199" s="166"/>
      <c r="AK199" s="166"/>
      <c r="AL199" s="166"/>
      <c r="AM199" s="180" t="e">
        <f t="shared" si="50"/>
        <v>#N/A</v>
      </c>
      <c r="AN199" s="486"/>
      <c r="AO199" s="166"/>
      <c r="AP199" s="166"/>
      <c r="AQ199" s="166"/>
      <c r="AR199" s="180" t="e">
        <f t="shared" si="51"/>
        <v>#N/A</v>
      </c>
      <c r="AS199" s="486"/>
      <c r="AT199" s="166"/>
      <c r="AU199" s="166"/>
      <c r="AV199" s="166"/>
      <c r="AW199" s="180" t="e">
        <f t="shared" si="52"/>
        <v>#N/A</v>
      </c>
      <c r="AX199" s="486"/>
    </row>
    <row r="200" spans="2:50">
      <c r="B200" s="479"/>
      <c r="C200" s="180">
        <v>19</v>
      </c>
      <c r="D200" s="201"/>
      <c r="E200" s="166"/>
      <c r="F200" s="180"/>
      <c r="G200" s="265"/>
      <c r="H200" s="460"/>
      <c r="I200" s="166" t="e">
        <f t="shared" si="45"/>
        <v>#DIV/0!</v>
      </c>
      <c r="J200" s="166" t="e">
        <f t="shared" si="45"/>
        <v>#DIV/0!</v>
      </c>
      <c r="K200" s="265" t="e">
        <f t="shared" si="45"/>
        <v>#DIV/0!</v>
      </c>
      <c r="L200" s="460"/>
      <c r="M200" s="166" t="e">
        <f>RANK(K200, K$147:$K$176)</f>
        <v>#DIV/0!</v>
      </c>
      <c r="N200" s="462"/>
      <c r="O200" s="462"/>
      <c r="P200" s="166"/>
      <c r="Q200" s="166"/>
      <c r="R200" s="166"/>
      <c r="S200" s="180" t="e">
        <f t="shared" si="46"/>
        <v>#N/A</v>
      </c>
      <c r="T200" s="486"/>
      <c r="U200" s="166"/>
      <c r="V200" s="166"/>
      <c r="W200" s="166"/>
      <c r="X200" s="180" t="e">
        <f t="shared" si="47"/>
        <v>#N/A</v>
      </c>
      <c r="Y200" s="486"/>
      <c r="Z200" s="166"/>
      <c r="AA200" s="166"/>
      <c r="AB200" s="166"/>
      <c r="AC200" s="180" t="e">
        <f t="shared" si="48"/>
        <v>#N/A</v>
      </c>
      <c r="AD200" s="486"/>
      <c r="AE200" s="166"/>
      <c r="AF200" s="166"/>
      <c r="AG200" s="166"/>
      <c r="AH200" s="180" t="e">
        <f t="shared" si="49"/>
        <v>#N/A</v>
      </c>
      <c r="AI200" s="486"/>
      <c r="AJ200" s="166"/>
      <c r="AK200" s="166"/>
      <c r="AL200" s="166"/>
      <c r="AM200" s="180" t="e">
        <f t="shared" si="50"/>
        <v>#N/A</v>
      </c>
      <c r="AN200" s="486"/>
      <c r="AO200" s="166"/>
      <c r="AP200" s="166"/>
      <c r="AQ200" s="166"/>
      <c r="AR200" s="180" t="e">
        <f t="shared" si="51"/>
        <v>#N/A</v>
      </c>
      <c r="AS200" s="486"/>
      <c r="AT200" s="166"/>
      <c r="AU200" s="166"/>
      <c r="AV200" s="166"/>
      <c r="AW200" s="180" t="e">
        <f t="shared" si="52"/>
        <v>#N/A</v>
      </c>
      <c r="AX200" s="486"/>
    </row>
    <row r="201" spans="2:50">
      <c r="B201" s="479"/>
      <c r="C201" s="180">
        <v>20</v>
      </c>
      <c r="D201" s="201"/>
      <c r="E201" s="166"/>
      <c r="F201" s="180"/>
      <c r="G201" s="265"/>
      <c r="H201" s="460"/>
      <c r="I201" s="166" t="e">
        <f t="shared" si="45"/>
        <v>#DIV/0!</v>
      </c>
      <c r="J201" s="166" t="e">
        <f t="shared" si="45"/>
        <v>#DIV/0!</v>
      </c>
      <c r="K201" s="265" t="e">
        <f t="shared" si="45"/>
        <v>#DIV/0!</v>
      </c>
      <c r="L201" s="460"/>
      <c r="M201" s="166" t="e">
        <f>RANK(K201, K$147:$K$176)</f>
        <v>#DIV/0!</v>
      </c>
      <c r="N201" s="462"/>
      <c r="O201" s="462"/>
      <c r="P201" s="166"/>
      <c r="Q201" s="166"/>
      <c r="R201" s="166"/>
      <c r="S201" s="180" t="e">
        <f t="shared" si="46"/>
        <v>#N/A</v>
      </c>
      <c r="T201" s="486"/>
      <c r="U201" s="166"/>
      <c r="V201" s="166"/>
      <c r="W201" s="166"/>
      <c r="X201" s="180" t="e">
        <f t="shared" si="47"/>
        <v>#N/A</v>
      </c>
      <c r="Y201" s="486"/>
      <c r="Z201" s="166"/>
      <c r="AA201" s="166"/>
      <c r="AB201" s="166"/>
      <c r="AC201" s="180" t="e">
        <f t="shared" si="48"/>
        <v>#N/A</v>
      </c>
      <c r="AD201" s="486"/>
      <c r="AE201" s="166"/>
      <c r="AF201" s="166"/>
      <c r="AG201" s="166"/>
      <c r="AH201" s="180" t="e">
        <f t="shared" si="49"/>
        <v>#N/A</v>
      </c>
      <c r="AI201" s="486"/>
      <c r="AJ201" s="166"/>
      <c r="AK201" s="166"/>
      <c r="AL201" s="166"/>
      <c r="AM201" s="180" t="e">
        <f t="shared" si="50"/>
        <v>#N/A</v>
      </c>
      <c r="AN201" s="486"/>
      <c r="AO201" s="166"/>
      <c r="AP201" s="166"/>
      <c r="AQ201" s="166"/>
      <c r="AR201" s="180" t="e">
        <f t="shared" si="51"/>
        <v>#N/A</v>
      </c>
      <c r="AS201" s="486"/>
      <c r="AT201" s="166"/>
      <c r="AU201" s="166"/>
      <c r="AV201" s="166"/>
      <c r="AW201" s="180" t="e">
        <f t="shared" si="52"/>
        <v>#N/A</v>
      </c>
      <c r="AX201" s="486"/>
    </row>
    <row r="202" spans="2:50">
      <c r="B202" s="479"/>
      <c r="C202" s="180">
        <v>21</v>
      </c>
      <c r="D202" s="201"/>
      <c r="E202" s="166"/>
      <c r="F202" s="180"/>
      <c r="G202" s="265"/>
      <c r="H202" s="460"/>
      <c r="I202" s="166" t="e">
        <f t="shared" si="45"/>
        <v>#DIV/0!</v>
      </c>
      <c r="J202" s="166" t="e">
        <f t="shared" si="45"/>
        <v>#DIV/0!</v>
      </c>
      <c r="K202" s="265" t="e">
        <f t="shared" si="45"/>
        <v>#DIV/0!</v>
      </c>
      <c r="L202" s="460"/>
      <c r="M202" s="166" t="e">
        <f>RANK(K202, K$147:$K$176)</f>
        <v>#DIV/0!</v>
      </c>
      <c r="N202" s="462"/>
      <c r="O202" s="462"/>
      <c r="P202" s="166"/>
      <c r="Q202" s="166"/>
      <c r="R202" s="166"/>
      <c r="S202" s="180" t="e">
        <f t="shared" si="46"/>
        <v>#N/A</v>
      </c>
      <c r="T202" s="486"/>
      <c r="U202" s="166"/>
      <c r="V202" s="166"/>
      <c r="W202" s="166"/>
      <c r="X202" s="180" t="e">
        <f t="shared" si="47"/>
        <v>#N/A</v>
      </c>
      <c r="Y202" s="486"/>
      <c r="Z202" s="166"/>
      <c r="AA202" s="166"/>
      <c r="AB202" s="166"/>
      <c r="AC202" s="180" t="e">
        <f t="shared" si="48"/>
        <v>#N/A</v>
      </c>
      <c r="AD202" s="486"/>
      <c r="AE202" s="166"/>
      <c r="AF202" s="166"/>
      <c r="AG202" s="166"/>
      <c r="AH202" s="180" t="e">
        <f t="shared" si="49"/>
        <v>#N/A</v>
      </c>
      <c r="AI202" s="486"/>
      <c r="AJ202" s="166"/>
      <c r="AK202" s="166"/>
      <c r="AL202" s="166"/>
      <c r="AM202" s="180" t="e">
        <f t="shared" si="50"/>
        <v>#N/A</v>
      </c>
      <c r="AN202" s="486"/>
      <c r="AO202" s="166"/>
      <c r="AP202" s="166"/>
      <c r="AQ202" s="166"/>
      <c r="AR202" s="180" t="e">
        <f t="shared" si="51"/>
        <v>#N/A</v>
      </c>
      <c r="AS202" s="486"/>
      <c r="AT202" s="166"/>
      <c r="AU202" s="166"/>
      <c r="AV202" s="166"/>
      <c r="AW202" s="180" t="e">
        <f t="shared" si="52"/>
        <v>#N/A</v>
      </c>
      <c r="AX202" s="486"/>
    </row>
    <row r="203" spans="2:50">
      <c r="B203" s="479"/>
      <c r="C203" s="180">
        <v>22</v>
      </c>
      <c r="D203" s="201"/>
      <c r="E203" s="166"/>
      <c r="F203" s="180"/>
      <c r="G203" s="265"/>
      <c r="H203" s="460"/>
      <c r="I203" s="166" t="e">
        <f t="shared" si="45"/>
        <v>#DIV/0!</v>
      </c>
      <c r="J203" s="166" t="e">
        <f t="shared" si="45"/>
        <v>#DIV/0!</v>
      </c>
      <c r="K203" s="265" t="e">
        <f t="shared" si="45"/>
        <v>#DIV/0!</v>
      </c>
      <c r="L203" s="460"/>
      <c r="M203" s="166" t="e">
        <f>RANK(K203, K$147:$K$176)</f>
        <v>#DIV/0!</v>
      </c>
      <c r="N203" s="462"/>
      <c r="O203" s="462"/>
      <c r="P203" s="166"/>
      <c r="Q203" s="166"/>
      <c r="R203" s="166"/>
      <c r="S203" s="180" t="e">
        <f t="shared" si="46"/>
        <v>#N/A</v>
      </c>
      <c r="T203" s="486"/>
      <c r="U203" s="166"/>
      <c r="V203" s="166"/>
      <c r="W203" s="166"/>
      <c r="X203" s="180" t="e">
        <f t="shared" si="47"/>
        <v>#N/A</v>
      </c>
      <c r="Y203" s="486"/>
      <c r="Z203" s="166"/>
      <c r="AA203" s="166"/>
      <c r="AB203" s="166"/>
      <c r="AC203" s="180" t="e">
        <f t="shared" si="48"/>
        <v>#N/A</v>
      </c>
      <c r="AD203" s="486"/>
      <c r="AE203" s="166"/>
      <c r="AF203" s="166"/>
      <c r="AG203" s="166"/>
      <c r="AH203" s="180" t="e">
        <f t="shared" si="49"/>
        <v>#N/A</v>
      </c>
      <c r="AI203" s="486"/>
      <c r="AJ203" s="166"/>
      <c r="AK203" s="166"/>
      <c r="AL203" s="166"/>
      <c r="AM203" s="180" t="e">
        <f t="shared" si="50"/>
        <v>#N/A</v>
      </c>
      <c r="AN203" s="486"/>
      <c r="AO203" s="166"/>
      <c r="AP203" s="166"/>
      <c r="AQ203" s="166"/>
      <c r="AR203" s="180" t="e">
        <f t="shared" si="51"/>
        <v>#N/A</v>
      </c>
      <c r="AS203" s="486"/>
      <c r="AT203" s="166"/>
      <c r="AU203" s="166"/>
      <c r="AV203" s="166"/>
      <c r="AW203" s="180" t="e">
        <f t="shared" si="52"/>
        <v>#N/A</v>
      </c>
      <c r="AX203" s="486"/>
    </row>
    <row r="204" spans="2:50">
      <c r="B204" s="479"/>
      <c r="C204" s="180">
        <v>23</v>
      </c>
      <c r="D204" s="201"/>
      <c r="E204" s="166"/>
      <c r="F204" s="180"/>
      <c r="G204" s="265"/>
      <c r="H204" s="460"/>
      <c r="I204" s="166" t="e">
        <f t="shared" si="45"/>
        <v>#DIV/0!</v>
      </c>
      <c r="J204" s="166" t="e">
        <f t="shared" si="45"/>
        <v>#DIV/0!</v>
      </c>
      <c r="K204" s="265" t="e">
        <f t="shared" si="45"/>
        <v>#DIV/0!</v>
      </c>
      <c r="L204" s="460"/>
      <c r="M204" s="166" t="e">
        <f>RANK(K204, K$147:$K$176)</f>
        <v>#DIV/0!</v>
      </c>
      <c r="N204" s="462"/>
      <c r="O204" s="462"/>
      <c r="P204" s="166"/>
      <c r="Q204" s="166"/>
      <c r="R204" s="166"/>
      <c r="S204" s="180" t="e">
        <f t="shared" si="46"/>
        <v>#N/A</v>
      </c>
      <c r="T204" s="486"/>
      <c r="U204" s="166"/>
      <c r="V204" s="166"/>
      <c r="W204" s="166"/>
      <c r="X204" s="180" t="e">
        <f t="shared" si="47"/>
        <v>#N/A</v>
      </c>
      <c r="Y204" s="486"/>
      <c r="Z204" s="166"/>
      <c r="AA204" s="166"/>
      <c r="AB204" s="166"/>
      <c r="AC204" s="180" t="e">
        <f t="shared" si="48"/>
        <v>#N/A</v>
      </c>
      <c r="AD204" s="486"/>
      <c r="AE204" s="166"/>
      <c r="AF204" s="166"/>
      <c r="AG204" s="166"/>
      <c r="AH204" s="180" t="e">
        <f t="shared" si="49"/>
        <v>#N/A</v>
      </c>
      <c r="AI204" s="486"/>
      <c r="AJ204" s="166"/>
      <c r="AK204" s="166"/>
      <c r="AL204" s="166"/>
      <c r="AM204" s="180" t="e">
        <f t="shared" si="50"/>
        <v>#N/A</v>
      </c>
      <c r="AN204" s="486"/>
      <c r="AO204" s="166"/>
      <c r="AP204" s="166"/>
      <c r="AQ204" s="166"/>
      <c r="AR204" s="180" t="e">
        <f t="shared" si="51"/>
        <v>#N/A</v>
      </c>
      <c r="AS204" s="486"/>
      <c r="AT204" s="166"/>
      <c r="AU204" s="166"/>
      <c r="AV204" s="166"/>
      <c r="AW204" s="180" t="e">
        <f t="shared" si="52"/>
        <v>#N/A</v>
      </c>
      <c r="AX204" s="486"/>
    </row>
    <row r="205" spans="2:50">
      <c r="B205" s="479"/>
      <c r="C205" s="180">
        <v>24</v>
      </c>
      <c r="D205" s="201"/>
      <c r="E205" s="166"/>
      <c r="F205" s="180"/>
      <c r="G205" s="265"/>
      <c r="H205" s="460"/>
      <c r="I205" s="166" t="e">
        <f t="shared" si="45"/>
        <v>#DIV/0!</v>
      </c>
      <c r="J205" s="166" t="e">
        <f t="shared" si="45"/>
        <v>#DIV/0!</v>
      </c>
      <c r="K205" s="265" t="e">
        <f t="shared" si="45"/>
        <v>#DIV/0!</v>
      </c>
      <c r="L205" s="460"/>
      <c r="M205" s="166" t="e">
        <f>RANK(K205, K$147:$K$176)</f>
        <v>#DIV/0!</v>
      </c>
      <c r="N205" s="462"/>
      <c r="O205" s="462"/>
      <c r="P205" s="180"/>
      <c r="Q205" s="265"/>
      <c r="R205" s="265"/>
      <c r="S205" s="180" t="e">
        <f t="shared" si="46"/>
        <v>#N/A</v>
      </c>
      <c r="T205" s="486"/>
      <c r="U205" s="180"/>
      <c r="V205" s="265"/>
      <c r="W205" s="265"/>
      <c r="X205" s="180" t="e">
        <f t="shared" si="47"/>
        <v>#N/A</v>
      </c>
      <c r="Y205" s="486"/>
      <c r="Z205" s="180"/>
      <c r="AA205" s="265"/>
      <c r="AB205" s="265"/>
      <c r="AC205" s="180" t="e">
        <f t="shared" si="48"/>
        <v>#N/A</v>
      </c>
      <c r="AD205" s="486"/>
      <c r="AE205" s="180"/>
      <c r="AF205" s="265"/>
      <c r="AG205" s="265"/>
      <c r="AH205" s="180" t="e">
        <f t="shared" si="49"/>
        <v>#N/A</v>
      </c>
      <c r="AI205" s="486"/>
      <c r="AJ205" s="180"/>
      <c r="AK205" s="265"/>
      <c r="AL205" s="265"/>
      <c r="AM205" s="180" t="e">
        <f t="shared" si="50"/>
        <v>#N/A</v>
      </c>
      <c r="AN205" s="486"/>
      <c r="AO205" s="180"/>
      <c r="AP205" s="265"/>
      <c r="AQ205" s="265"/>
      <c r="AR205" s="180" t="e">
        <f t="shared" si="51"/>
        <v>#N/A</v>
      </c>
      <c r="AS205" s="486"/>
      <c r="AT205" s="180"/>
      <c r="AU205" s="265"/>
      <c r="AV205" s="265"/>
      <c r="AW205" s="180" t="e">
        <f t="shared" si="52"/>
        <v>#N/A</v>
      </c>
      <c r="AX205" s="486"/>
    </row>
    <row r="206" spans="2:50">
      <c r="B206" s="479"/>
      <c r="C206" s="180">
        <v>25</v>
      </c>
      <c r="D206" s="201"/>
      <c r="E206" s="166"/>
      <c r="F206" s="180"/>
      <c r="G206" s="265"/>
      <c r="H206" s="460"/>
      <c r="I206" s="166"/>
      <c r="J206" s="166"/>
      <c r="K206" s="265"/>
      <c r="L206" s="460"/>
      <c r="M206" s="166" t="e">
        <f>RANK(K206, K$147:$K$176)</f>
        <v>#N/A</v>
      </c>
      <c r="N206" s="462"/>
      <c r="O206" s="462"/>
      <c r="P206" s="180"/>
      <c r="Q206" s="265"/>
      <c r="R206" s="265"/>
      <c r="S206" s="180" t="e">
        <f t="shared" si="46"/>
        <v>#N/A</v>
      </c>
      <c r="T206" s="486"/>
      <c r="U206" s="180"/>
      <c r="V206" s="265"/>
      <c r="W206" s="265"/>
      <c r="X206" s="180" t="e">
        <f t="shared" si="47"/>
        <v>#N/A</v>
      </c>
      <c r="Y206" s="486"/>
      <c r="Z206" s="180"/>
      <c r="AA206" s="265"/>
      <c r="AB206" s="265"/>
      <c r="AC206" s="180" t="e">
        <f t="shared" si="48"/>
        <v>#N/A</v>
      </c>
      <c r="AD206" s="486"/>
      <c r="AE206" s="180"/>
      <c r="AF206" s="265"/>
      <c r="AG206" s="265"/>
      <c r="AH206" s="180" t="e">
        <f t="shared" si="49"/>
        <v>#N/A</v>
      </c>
      <c r="AI206" s="486"/>
      <c r="AJ206" s="180"/>
      <c r="AK206" s="265"/>
      <c r="AL206" s="265"/>
      <c r="AM206" s="180" t="e">
        <f t="shared" si="50"/>
        <v>#N/A</v>
      </c>
      <c r="AN206" s="486"/>
      <c r="AO206" s="180"/>
      <c r="AP206" s="265"/>
      <c r="AQ206" s="265"/>
      <c r="AR206" s="180" t="e">
        <f t="shared" si="51"/>
        <v>#N/A</v>
      </c>
      <c r="AS206" s="486"/>
      <c r="AT206" s="180"/>
      <c r="AU206" s="265"/>
      <c r="AV206" s="265"/>
      <c r="AW206" s="180" t="e">
        <f t="shared" si="52"/>
        <v>#N/A</v>
      </c>
      <c r="AX206" s="486"/>
    </row>
    <row r="207" spans="2:50">
      <c r="B207" s="479"/>
      <c r="C207" s="180">
        <v>26</v>
      </c>
      <c r="D207" s="201"/>
      <c r="E207" s="166"/>
      <c r="F207" s="180"/>
      <c r="G207" s="265"/>
      <c r="H207" s="460"/>
      <c r="I207" s="166"/>
      <c r="J207" s="166"/>
      <c r="K207" s="265"/>
      <c r="L207" s="460"/>
      <c r="M207" s="166" t="e">
        <f>RANK(K207, K$147:$K$176)</f>
        <v>#N/A</v>
      </c>
      <c r="N207" s="462"/>
      <c r="O207" s="462"/>
      <c r="P207" s="180"/>
      <c r="Q207" s="265"/>
      <c r="R207" s="265"/>
      <c r="S207" s="180" t="e">
        <f t="shared" si="46"/>
        <v>#N/A</v>
      </c>
      <c r="T207" s="486"/>
      <c r="U207" s="180"/>
      <c r="V207" s="265"/>
      <c r="W207" s="265"/>
      <c r="X207" s="180" t="e">
        <f t="shared" si="47"/>
        <v>#N/A</v>
      </c>
      <c r="Y207" s="486"/>
      <c r="Z207" s="180"/>
      <c r="AA207" s="265"/>
      <c r="AB207" s="265"/>
      <c r="AC207" s="180" t="e">
        <f t="shared" si="48"/>
        <v>#N/A</v>
      </c>
      <c r="AD207" s="486"/>
      <c r="AE207" s="180"/>
      <c r="AF207" s="265"/>
      <c r="AG207" s="265"/>
      <c r="AH207" s="180" t="e">
        <f t="shared" si="49"/>
        <v>#N/A</v>
      </c>
      <c r="AI207" s="486"/>
      <c r="AJ207" s="180"/>
      <c r="AK207" s="265"/>
      <c r="AL207" s="265"/>
      <c r="AM207" s="180" t="e">
        <f t="shared" si="50"/>
        <v>#N/A</v>
      </c>
      <c r="AN207" s="486"/>
      <c r="AO207" s="180"/>
      <c r="AP207" s="265"/>
      <c r="AQ207" s="265"/>
      <c r="AR207" s="180" t="e">
        <f t="shared" si="51"/>
        <v>#N/A</v>
      </c>
      <c r="AS207" s="486"/>
      <c r="AT207" s="180"/>
      <c r="AU207" s="265"/>
      <c r="AV207" s="265"/>
      <c r="AW207" s="180" t="e">
        <f t="shared" si="52"/>
        <v>#N/A</v>
      </c>
      <c r="AX207" s="486"/>
    </row>
    <row r="208" spans="2:50">
      <c r="B208" s="479"/>
      <c r="C208" s="180">
        <v>27</v>
      </c>
      <c r="D208" s="201"/>
      <c r="E208" s="166"/>
      <c r="F208" s="180"/>
      <c r="G208" s="265"/>
      <c r="H208" s="460"/>
      <c r="I208" s="166"/>
      <c r="J208" s="166"/>
      <c r="K208" s="265"/>
      <c r="L208" s="460"/>
      <c r="M208" s="166" t="e">
        <f>RANK(K208, K$147:$K$176)</f>
        <v>#N/A</v>
      </c>
      <c r="N208" s="462"/>
      <c r="O208" s="462"/>
      <c r="P208" s="180"/>
      <c r="Q208" s="265"/>
      <c r="R208" s="265"/>
      <c r="S208" s="180" t="e">
        <f t="shared" si="46"/>
        <v>#N/A</v>
      </c>
      <c r="T208" s="486"/>
      <c r="U208" s="180"/>
      <c r="V208" s="265"/>
      <c r="W208" s="265"/>
      <c r="X208" s="180" t="e">
        <f t="shared" si="47"/>
        <v>#N/A</v>
      </c>
      <c r="Y208" s="486"/>
      <c r="Z208" s="180"/>
      <c r="AA208" s="265"/>
      <c r="AB208" s="265"/>
      <c r="AC208" s="180" t="e">
        <f t="shared" si="48"/>
        <v>#N/A</v>
      </c>
      <c r="AD208" s="486"/>
      <c r="AE208" s="180"/>
      <c r="AF208" s="265"/>
      <c r="AG208" s="265"/>
      <c r="AH208" s="180" t="e">
        <f t="shared" si="49"/>
        <v>#N/A</v>
      </c>
      <c r="AI208" s="486"/>
      <c r="AJ208" s="180"/>
      <c r="AK208" s="265"/>
      <c r="AL208" s="265"/>
      <c r="AM208" s="180" t="e">
        <f t="shared" si="50"/>
        <v>#N/A</v>
      </c>
      <c r="AN208" s="486"/>
      <c r="AO208" s="180"/>
      <c r="AP208" s="265"/>
      <c r="AQ208" s="265"/>
      <c r="AR208" s="180" t="e">
        <f t="shared" si="51"/>
        <v>#N/A</v>
      </c>
      <c r="AS208" s="486"/>
      <c r="AT208" s="180"/>
      <c r="AU208" s="265"/>
      <c r="AV208" s="265"/>
      <c r="AW208" s="180" t="e">
        <f t="shared" si="52"/>
        <v>#N/A</v>
      </c>
      <c r="AX208" s="486"/>
    </row>
    <row r="209" spans="2:50">
      <c r="B209" s="479"/>
      <c r="C209" s="180">
        <v>28</v>
      </c>
      <c r="D209" s="201"/>
      <c r="E209" s="166"/>
      <c r="F209" s="180"/>
      <c r="G209" s="265"/>
      <c r="H209" s="460"/>
      <c r="I209" s="166"/>
      <c r="J209" s="166"/>
      <c r="K209" s="265"/>
      <c r="L209" s="460"/>
      <c r="M209" s="166" t="e">
        <f>RANK(K209, K$147:$K$176)</f>
        <v>#N/A</v>
      </c>
      <c r="N209" s="462"/>
      <c r="O209" s="462"/>
      <c r="P209" s="180"/>
      <c r="Q209" s="265"/>
      <c r="R209" s="265"/>
      <c r="S209" s="180" t="e">
        <f t="shared" si="46"/>
        <v>#N/A</v>
      </c>
      <c r="T209" s="486"/>
      <c r="U209" s="180"/>
      <c r="V209" s="265"/>
      <c r="W209" s="265"/>
      <c r="X209" s="180" t="e">
        <f t="shared" si="47"/>
        <v>#N/A</v>
      </c>
      <c r="Y209" s="486"/>
      <c r="Z209" s="180"/>
      <c r="AA209" s="265"/>
      <c r="AB209" s="265"/>
      <c r="AC209" s="180" t="e">
        <f t="shared" si="48"/>
        <v>#N/A</v>
      </c>
      <c r="AD209" s="486"/>
      <c r="AE209" s="180"/>
      <c r="AF209" s="265"/>
      <c r="AG209" s="265"/>
      <c r="AH209" s="180" t="e">
        <f t="shared" si="49"/>
        <v>#N/A</v>
      </c>
      <c r="AI209" s="486"/>
      <c r="AJ209" s="180"/>
      <c r="AK209" s="265"/>
      <c r="AL209" s="265"/>
      <c r="AM209" s="180" t="e">
        <f t="shared" si="50"/>
        <v>#N/A</v>
      </c>
      <c r="AN209" s="486"/>
      <c r="AO209" s="180"/>
      <c r="AP209" s="265"/>
      <c r="AQ209" s="265"/>
      <c r="AR209" s="180" t="e">
        <f t="shared" si="51"/>
        <v>#N/A</v>
      </c>
      <c r="AS209" s="486"/>
      <c r="AT209" s="180"/>
      <c r="AU209" s="265"/>
      <c r="AV209" s="265"/>
      <c r="AW209" s="180" t="e">
        <f t="shared" si="52"/>
        <v>#N/A</v>
      </c>
      <c r="AX209" s="486"/>
    </row>
    <row r="210" spans="2:50">
      <c r="B210" s="479"/>
      <c r="C210" s="180">
        <v>29</v>
      </c>
      <c r="D210" s="201"/>
      <c r="E210" s="166"/>
      <c r="F210" s="180"/>
      <c r="G210" s="265"/>
      <c r="H210" s="460"/>
      <c r="I210" s="180"/>
      <c r="J210" s="180"/>
      <c r="K210" s="180"/>
      <c r="L210" s="460"/>
      <c r="M210" s="166" t="e">
        <f>RANK(K210, K$147:$K$176)</f>
        <v>#N/A</v>
      </c>
      <c r="N210" s="462"/>
      <c r="O210" s="462"/>
      <c r="P210" s="180"/>
      <c r="Q210" s="180"/>
      <c r="R210" s="180"/>
      <c r="S210" s="180" t="e">
        <f t="shared" si="46"/>
        <v>#N/A</v>
      </c>
      <c r="T210" s="486"/>
      <c r="U210" s="180"/>
      <c r="V210" s="180"/>
      <c r="W210" s="180"/>
      <c r="X210" s="180" t="e">
        <f t="shared" si="47"/>
        <v>#N/A</v>
      </c>
      <c r="Y210" s="486"/>
      <c r="Z210" s="180"/>
      <c r="AA210" s="180"/>
      <c r="AB210" s="180"/>
      <c r="AC210" s="180" t="e">
        <f t="shared" si="48"/>
        <v>#N/A</v>
      </c>
      <c r="AD210" s="486"/>
      <c r="AE210" s="180"/>
      <c r="AF210" s="180"/>
      <c r="AG210" s="180"/>
      <c r="AH210" s="180" t="e">
        <f t="shared" si="49"/>
        <v>#N/A</v>
      </c>
      <c r="AI210" s="486"/>
      <c r="AJ210" s="180"/>
      <c r="AK210" s="180"/>
      <c r="AL210" s="180"/>
      <c r="AM210" s="180" t="e">
        <f t="shared" si="50"/>
        <v>#N/A</v>
      </c>
      <c r="AN210" s="486"/>
      <c r="AO210" s="180"/>
      <c r="AP210" s="180"/>
      <c r="AQ210" s="180"/>
      <c r="AR210" s="180" t="e">
        <f t="shared" si="51"/>
        <v>#N/A</v>
      </c>
      <c r="AS210" s="486"/>
      <c r="AT210" s="180"/>
      <c r="AU210" s="180"/>
      <c r="AV210" s="180"/>
      <c r="AW210" s="180" t="e">
        <f t="shared" si="52"/>
        <v>#N/A</v>
      </c>
      <c r="AX210" s="486"/>
    </row>
    <row r="211" spans="2:50">
      <c r="B211" s="479"/>
      <c r="C211" s="180">
        <v>30</v>
      </c>
      <c r="D211" s="201"/>
      <c r="E211" s="166"/>
      <c r="F211" s="180"/>
      <c r="G211" s="265"/>
      <c r="H211" s="461"/>
      <c r="I211" s="180"/>
      <c r="J211" s="180"/>
      <c r="K211" s="180"/>
      <c r="L211" s="461"/>
      <c r="M211" s="166" t="e">
        <f>RANK(K211, K$147:$K$176)</f>
        <v>#N/A</v>
      </c>
      <c r="N211" s="462"/>
      <c r="O211" s="462"/>
      <c r="P211" s="180"/>
      <c r="Q211" s="180"/>
      <c r="R211" s="180"/>
      <c r="S211" s="180" t="e">
        <f t="shared" si="46"/>
        <v>#N/A</v>
      </c>
      <c r="T211" s="486"/>
      <c r="U211" s="180"/>
      <c r="V211" s="180"/>
      <c r="W211" s="180"/>
      <c r="X211" s="180" t="e">
        <f t="shared" si="47"/>
        <v>#N/A</v>
      </c>
      <c r="Y211" s="486"/>
      <c r="Z211" s="180"/>
      <c r="AA211" s="180"/>
      <c r="AB211" s="180"/>
      <c r="AC211" s="180" t="e">
        <f t="shared" si="48"/>
        <v>#N/A</v>
      </c>
      <c r="AD211" s="486"/>
      <c r="AE211" s="180"/>
      <c r="AF211" s="180"/>
      <c r="AG211" s="180"/>
      <c r="AH211" s="180" t="e">
        <f t="shared" si="49"/>
        <v>#N/A</v>
      </c>
      <c r="AI211" s="486"/>
      <c r="AJ211" s="180"/>
      <c r="AK211" s="180"/>
      <c r="AL211" s="180"/>
      <c r="AM211" s="180" t="e">
        <f t="shared" si="50"/>
        <v>#N/A</v>
      </c>
      <c r="AN211" s="486"/>
      <c r="AO211" s="180"/>
      <c r="AP211" s="180"/>
      <c r="AQ211" s="180"/>
      <c r="AR211" s="180" t="e">
        <f t="shared" si="51"/>
        <v>#N/A</v>
      </c>
      <c r="AS211" s="486"/>
      <c r="AT211" s="180"/>
      <c r="AU211" s="180"/>
      <c r="AV211" s="180"/>
      <c r="AW211" s="180" t="e">
        <f t="shared" si="52"/>
        <v>#N/A</v>
      </c>
      <c r="AX211" s="486"/>
    </row>
    <row r="213" spans="2:50" ht="15.75">
      <c r="B213" s="502" t="s">
        <v>746</v>
      </c>
      <c r="C213" s="503"/>
      <c r="D213" s="503"/>
      <c r="E213" s="503"/>
      <c r="F213" s="503"/>
      <c r="G213" s="503"/>
      <c r="H213" s="503"/>
      <c r="I213" s="266"/>
      <c r="J213" s="266"/>
      <c r="K213" s="266"/>
      <c r="L213" s="266"/>
      <c r="M213" s="267"/>
    </row>
    <row r="214" spans="2:50" ht="15.75">
      <c r="B214" s="504"/>
      <c r="C214" s="504"/>
      <c r="D214" s="504"/>
      <c r="E214" s="504"/>
      <c r="F214" s="504"/>
      <c r="G214" s="504"/>
      <c r="H214" s="504"/>
      <c r="I214" s="268"/>
      <c r="J214" s="268"/>
      <c r="K214" s="268"/>
      <c r="L214" s="268"/>
      <c r="M214" s="269"/>
    </row>
    <row r="215" spans="2:50">
      <c r="B215" s="462" t="s">
        <v>731</v>
      </c>
      <c r="C215" s="462" t="s">
        <v>732</v>
      </c>
      <c r="D215" s="462"/>
      <c r="E215" s="462" t="s">
        <v>733</v>
      </c>
      <c r="F215" s="462"/>
      <c r="G215" s="462"/>
      <c r="H215" s="462" t="s">
        <v>734</v>
      </c>
      <c r="I215" s="505" t="s">
        <v>735</v>
      </c>
      <c r="J215" s="505"/>
      <c r="K215" s="505"/>
      <c r="L215" s="505" t="s">
        <v>734</v>
      </c>
      <c r="M215" s="505" t="s">
        <v>736</v>
      </c>
    </row>
    <row r="216" spans="2:50">
      <c r="B216" s="462"/>
      <c r="C216" s="462"/>
      <c r="D216" s="462"/>
      <c r="E216" s="462" t="s">
        <v>739</v>
      </c>
      <c r="F216" s="462"/>
      <c r="G216" s="462"/>
      <c r="H216" s="462"/>
      <c r="I216" s="505" t="s">
        <v>739</v>
      </c>
      <c r="J216" s="505"/>
      <c r="K216" s="505"/>
      <c r="L216" s="505"/>
      <c r="M216" s="505"/>
    </row>
    <row r="217" spans="2:50">
      <c r="B217" s="462"/>
      <c r="C217" s="462"/>
      <c r="D217" s="462"/>
      <c r="E217" s="264" t="s">
        <v>741</v>
      </c>
      <c r="F217" s="264" t="s">
        <v>742</v>
      </c>
      <c r="G217" s="264" t="s">
        <v>743</v>
      </c>
      <c r="H217" s="462"/>
      <c r="I217" s="270" t="s">
        <v>741</v>
      </c>
      <c r="J217" s="270" t="s">
        <v>742</v>
      </c>
      <c r="K217" s="270" t="s">
        <v>743</v>
      </c>
      <c r="L217" s="505"/>
      <c r="M217" s="505"/>
    </row>
    <row r="218" spans="2:50">
      <c r="B218" s="462" t="s">
        <v>753</v>
      </c>
      <c r="C218" s="180">
        <v>1</v>
      </c>
      <c r="D218" s="180"/>
      <c r="E218" s="166"/>
      <c r="F218" s="180"/>
      <c r="G218" s="265"/>
      <c r="H218" s="486" t="e">
        <f>AVERAGE(G218:G247)</f>
        <v>#DIV/0!</v>
      </c>
      <c r="I218" s="166" t="e">
        <f t="shared" ref="I218:K241" si="53">AVERAGEIF($D$7:$D$211,$D218,I$7:I$211)</f>
        <v>#DIV/0!</v>
      </c>
      <c r="J218" s="166" t="e">
        <f t="shared" si="53"/>
        <v>#DIV/0!</v>
      </c>
      <c r="K218" s="166" t="e">
        <f t="shared" si="53"/>
        <v>#DIV/0!</v>
      </c>
      <c r="L218" s="506" t="e">
        <f>AVERAGE(K218:K247)</f>
        <v>#DIV/0!</v>
      </c>
      <c r="M218" s="166" t="e">
        <f>RANK(K218, K$218:$K$247)</f>
        <v>#DIV/0!</v>
      </c>
    </row>
    <row r="219" spans="2:50">
      <c r="B219" s="479"/>
      <c r="C219" s="180">
        <v>2</v>
      </c>
      <c r="D219" s="180"/>
      <c r="E219" s="166"/>
      <c r="F219" s="180"/>
      <c r="G219" s="265"/>
      <c r="H219" s="486"/>
      <c r="I219" s="166" t="e">
        <f t="shared" si="53"/>
        <v>#DIV/0!</v>
      </c>
      <c r="J219" s="166" t="e">
        <f t="shared" si="53"/>
        <v>#DIV/0!</v>
      </c>
      <c r="K219" s="166" t="e">
        <f t="shared" si="53"/>
        <v>#DIV/0!</v>
      </c>
      <c r="L219" s="506"/>
      <c r="M219" s="166" t="e">
        <f>RANK(K219, K$218:$K$247)</f>
        <v>#DIV/0!</v>
      </c>
    </row>
    <row r="220" spans="2:50">
      <c r="B220" s="479"/>
      <c r="C220" s="180">
        <v>3</v>
      </c>
      <c r="D220" s="180"/>
      <c r="E220" s="166"/>
      <c r="F220" s="180"/>
      <c r="G220" s="265"/>
      <c r="H220" s="486"/>
      <c r="I220" s="166" t="e">
        <f t="shared" si="53"/>
        <v>#DIV/0!</v>
      </c>
      <c r="J220" s="166" t="e">
        <f t="shared" si="53"/>
        <v>#DIV/0!</v>
      </c>
      <c r="K220" s="166" t="e">
        <f t="shared" si="53"/>
        <v>#DIV/0!</v>
      </c>
      <c r="L220" s="506"/>
      <c r="M220" s="166" t="e">
        <f>RANK(K220, K$218:$K$247)</f>
        <v>#DIV/0!</v>
      </c>
    </row>
    <row r="221" spans="2:50">
      <c r="B221" s="479"/>
      <c r="C221" s="180">
        <v>4</v>
      </c>
      <c r="D221" s="180"/>
      <c r="E221" s="166"/>
      <c r="F221" s="180"/>
      <c r="G221" s="265"/>
      <c r="H221" s="486"/>
      <c r="I221" s="166" t="e">
        <f t="shared" si="53"/>
        <v>#DIV/0!</v>
      </c>
      <c r="J221" s="166" t="e">
        <f t="shared" si="53"/>
        <v>#DIV/0!</v>
      </c>
      <c r="K221" s="166" t="e">
        <f t="shared" si="53"/>
        <v>#DIV/0!</v>
      </c>
      <c r="L221" s="506"/>
      <c r="M221" s="166" t="e">
        <f>RANK(K221, K$218:$K$247)</f>
        <v>#DIV/0!</v>
      </c>
    </row>
    <row r="222" spans="2:50">
      <c r="B222" s="479"/>
      <c r="C222" s="180">
        <v>5</v>
      </c>
      <c r="D222" s="180"/>
      <c r="E222" s="166"/>
      <c r="F222" s="180"/>
      <c r="G222" s="265"/>
      <c r="H222" s="486"/>
      <c r="I222" s="166" t="e">
        <f t="shared" si="53"/>
        <v>#DIV/0!</v>
      </c>
      <c r="J222" s="166" t="e">
        <f t="shared" si="53"/>
        <v>#DIV/0!</v>
      </c>
      <c r="K222" s="166" t="e">
        <f t="shared" si="53"/>
        <v>#DIV/0!</v>
      </c>
      <c r="L222" s="506"/>
      <c r="M222" s="166" t="e">
        <f>RANK(K222, K$218:$K$247)</f>
        <v>#DIV/0!</v>
      </c>
    </row>
    <row r="223" spans="2:50">
      <c r="B223" s="479"/>
      <c r="C223" s="180">
        <v>6</v>
      </c>
      <c r="D223" s="180"/>
      <c r="E223" s="166"/>
      <c r="F223" s="180"/>
      <c r="G223" s="265"/>
      <c r="H223" s="486"/>
      <c r="I223" s="166" t="e">
        <f t="shared" si="53"/>
        <v>#DIV/0!</v>
      </c>
      <c r="J223" s="166" t="e">
        <f t="shared" si="53"/>
        <v>#DIV/0!</v>
      </c>
      <c r="K223" s="166" t="e">
        <f t="shared" si="53"/>
        <v>#DIV/0!</v>
      </c>
      <c r="L223" s="506"/>
      <c r="M223" s="166" t="e">
        <f>RANK(K223, K$218:$K$247)</f>
        <v>#DIV/0!</v>
      </c>
    </row>
    <row r="224" spans="2:50">
      <c r="B224" s="479"/>
      <c r="C224" s="180">
        <v>7</v>
      </c>
      <c r="D224" s="180"/>
      <c r="E224" s="166"/>
      <c r="F224" s="180"/>
      <c r="G224" s="265"/>
      <c r="H224" s="486"/>
      <c r="I224" s="166" t="e">
        <f t="shared" si="53"/>
        <v>#DIV/0!</v>
      </c>
      <c r="J224" s="166" t="e">
        <f t="shared" si="53"/>
        <v>#DIV/0!</v>
      </c>
      <c r="K224" s="166" t="e">
        <f t="shared" si="53"/>
        <v>#DIV/0!</v>
      </c>
      <c r="L224" s="506"/>
      <c r="M224" s="166" t="e">
        <f>RANK(K224, K$218:$K$247)</f>
        <v>#DIV/0!</v>
      </c>
    </row>
    <row r="225" spans="2:13" s="103" customFormat="1">
      <c r="B225" s="479"/>
      <c r="C225" s="180">
        <v>8</v>
      </c>
      <c r="D225" s="180"/>
      <c r="E225" s="166"/>
      <c r="F225" s="180"/>
      <c r="G225" s="265"/>
      <c r="H225" s="486"/>
      <c r="I225" s="166" t="e">
        <f t="shared" si="53"/>
        <v>#DIV/0!</v>
      </c>
      <c r="J225" s="166" t="e">
        <f t="shared" si="53"/>
        <v>#DIV/0!</v>
      </c>
      <c r="K225" s="166" t="e">
        <f t="shared" si="53"/>
        <v>#DIV/0!</v>
      </c>
      <c r="L225" s="506"/>
      <c r="M225" s="166" t="e">
        <f>RANK(K225, K$218:$K$247)</f>
        <v>#DIV/0!</v>
      </c>
    </row>
    <row r="226" spans="2:13" s="103" customFormat="1">
      <c r="B226" s="479"/>
      <c r="C226" s="180">
        <v>9</v>
      </c>
      <c r="D226" s="180"/>
      <c r="E226" s="166"/>
      <c r="F226" s="180"/>
      <c r="G226" s="265"/>
      <c r="H226" s="486"/>
      <c r="I226" s="166" t="e">
        <f t="shared" si="53"/>
        <v>#DIV/0!</v>
      </c>
      <c r="J226" s="166" t="e">
        <f t="shared" si="53"/>
        <v>#DIV/0!</v>
      </c>
      <c r="K226" s="166" t="e">
        <f t="shared" si="53"/>
        <v>#DIV/0!</v>
      </c>
      <c r="L226" s="506"/>
      <c r="M226" s="166" t="e">
        <f>RANK(K226, K$218:$K$247)</f>
        <v>#DIV/0!</v>
      </c>
    </row>
    <row r="227" spans="2:13" s="103" customFormat="1">
      <c r="B227" s="479"/>
      <c r="C227" s="180">
        <v>10</v>
      </c>
      <c r="D227" s="180"/>
      <c r="E227" s="166"/>
      <c r="F227" s="180"/>
      <c r="G227" s="265"/>
      <c r="H227" s="486"/>
      <c r="I227" s="166" t="e">
        <f t="shared" si="53"/>
        <v>#DIV/0!</v>
      </c>
      <c r="J227" s="166" t="e">
        <f t="shared" si="53"/>
        <v>#DIV/0!</v>
      </c>
      <c r="K227" s="166" t="e">
        <f t="shared" si="53"/>
        <v>#DIV/0!</v>
      </c>
      <c r="L227" s="506"/>
      <c r="M227" s="166" t="e">
        <f>RANK(K227, K$218:$K$247)</f>
        <v>#DIV/0!</v>
      </c>
    </row>
    <row r="228" spans="2:13" s="103" customFormat="1">
      <c r="B228" s="479"/>
      <c r="C228" s="180">
        <v>11</v>
      </c>
      <c r="D228" s="180"/>
      <c r="E228" s="166"/>
      <c r="F228" s="180"/>
      <c r="G228" s="265"/>
      <c r="H228" s="486"/>
      <c r="I228" s="166" t="e">
        <f t="shared" si="53"/>
        <v>#DIV/0!</v>
      </c>
      <c r="J228" s="166" t="e">
        <f t="shared" si="53"/>
        <v>#DIV/0!</v>
      </c>
      <c r="K228" s="166" t="e">
        <f t="shared" si="53"/>
        <v>#DIV/0!</v>
      </c>
      <c r="L228" s="506"/>
      <c r="M228" s="166" t="e">
        <f>RANK(K228, K$218:$K$247)</f>
        <v>#DIV/0!</v>
      </c>
    </row>
    <row r="229" spans="2:13" s="103" customFormat="1">
      <c r="B229" s="479"/>
      <c r="C229" s="180">
        <v>12</v>
      </c>
      <c r="D229" s="180"/>
      <c r="E229" s="166"/>
      <c r="F229" s="180"/>
      <c r="G229" s="265"/>
      <c r="H229" s="486"/>
      <c r="I229" s="166" t="e">
        <f t="shared" si="53"/>
        <v>#DIV/0!</v>
      </c>
      <c r="J229" s="166" t="e">
        <f t="shared" si="53"/>
        <v>#DIV/0!</v>
      </c>
      <c r="K229" s="166" t="e">
        <f t="shared" si="53"/>
        <v>#DIV/0!</v>
      </c>
      <c r="L229" s="506"/>
      <c r="M229" s="166" t="e">
        <f>RANK(K229, K$218:$K$247)</f>
        <v>#DIV/0!</v>
      </c>
    </row>
    <row r="230" spans="2:13" s="103" customFormat="1">
      <c r="B230" s="479"/>
      <c r="C230" s="180">
        <v>13</v>
      </c>
      <c r="D230" s="180"/>
      <c r="E230" s="166"/>
      <c r="F230" s="180"/>
      <c r="G230" s="265"/>
      <c r="H230" s="486"/>
      <c r="I230" s="166" t="e">
        <f t="shared" si="53"/>
        <v>#DIV/0!</v>
      </c>
      <c r="J230" s="166" t="e">
        <f t="shared" si="53"/>
        <v>#DIV/0!</v>
      </c>
      <c r="K230" s="166" t="e">
        <f t="shared" si="53"/>
        <v>#DIV/0!</v>
      </c>
      <c r="L230" s="506"/>
      <c r="M230" s="166" t="e">
        <f>RANK(K230, K$218:$K$247)</f>
        <v>#DIV/0!</v>
      </c>
    </row>
    <row r="231" spans="2:13" s="103" customFormat="1">
      <c r="B231" s="479"/>
      <c r="C231" s="180">
        <v>14</v>
      </c>
      <c r="D231" s="180"/>
      <c r="E231" s="166"/>
      <c r="F231" s="180"/>
      <c r="G231" s="265"/>
      <c r="H231" s="486"/>
      <c r="I231" s="166" t="e">
        <f t="shared" si="53"/>
        <v>#DIV/0!</v>
      </c>
      <c r="J231" s="166" t="e">
        <f t="shared" si="53"/>
        <v>#DIV/0!</v>
      </c>
      <c r="K231" s="166" t="e">
        <f t="shared" si="53"/>
        <v>#DIV/0!</v>
      </c>
      <c r="L231" s="506"/>
      <c r="M231" s="166" t="e">
        <f>RANK(K231, K$218:$K$247)</f>
        <v>#DIV/0!</v>
      </c>
    </row>
    <row r="232" spans="2:13" s="103" customFormat="1">
      <c r="B232" s="479"/>
      <c r="C232" s="180">
        <v>15</v>
      </c>
      <c r="D232" s="180"/>
      <c r="E232" s="166"/>
      <c r="F232" s="180"/>
      <c r="G232" s="265"/>
      <c r="H232" s="486"/>
      <c r="I232" s="166" t="e">
        <f t="shared" si="53"/>
        <v>#DIV/0!</v>
      </c>
      <c r="J232" s="166" t="e">
        <f t="shared" si="53"/>
        <v>#DIV/0!</v>
      </c>
      <c r="K232" s="166" t="e">
        <f t="shared" si="53"/>
        <v>#DIV/0!</v>
      </c>
      <c r="L232" s="506"/>
      <c r="M232" s="166" t="e">
        <f>RANK(K232, K$218:$K$247)</f>
        <v>#DIV/0!</v>
      </c>
    </row>
    <row r="233" spans="2:13" s="103" customFormat="1">
      <c r="B233" s="479"/>
      <c r="C233" s="180">
        <v>16</v>
      </c>
      <c r="D233" s="180"/>
      <c r="E233" s="166"/>
      <c r="F233" s="180"/>
      <c r="G233" s="265"/>
      <c r="H233" s="486"/>
      <c r="I233" s="166" t="e">
        <f t="shared" si="53"/>
        <v>#DIV/0!</v>
      </c>
      <c r="J233" s="166" t="e">
        <f t="shared" si="53"/>
        <v>#DIV/0!</v>
      </c>
      <c r="K233" s="166" t="e">
        <f t="shared" si="53"/>
        <v>#DIV/0!</v>
      </c>
      <c r="L233" s="506"/>
      <c r="M233" s="166" t="e">
        <f>RANK(K233, K$218:$K$247)</f>
        <v>#DIV/0!</v>
      </c>
    </row>
    <row r="234" spans="2:13" s="103" customFormat="1">
      <c r="B234" s="479"/>
      <c r="C234" s="180">
        <v>17</v>
      </c>
      <c r="D234" s="180"/>
      <c r="E234" s="166"/>
      <c r="F234" s="180"/>
      <c r="G234" s="265"/>
      <c r="H234" s="486"/>
      <c r="I234" s="166" t="e">
        <f t="shared" si="53"/>
        <v>#DIV/0!</v>
      </c>
      <c r="J234" s="166" t="e">
        <f t="shared" si="53"/>
        <v>#DIV/0!</v>
      </c>
      <c r="K234" s="166" t="e">
        <f t="shared" si="53"/>
        <v>#DIV/0!</v>
      </c>
      <c r="L234" s="506"/>
      <c r="M234" s="166" t="e">
        <f>RANK(K234, K$218:$K$247)</f>
        <v>#DIV/0!</v>
      </c>
    </row>
    <row r="235" spans="2:13" s="103" customFormat="1">
      <c r="B235" s="479"/>
      <c r="C235" s="180">
        <v>18</v>
      </c>
      <c r="D235" s="180"/>
      <c r="E235" s="166"/>
      <c r="F235" s="180"/>
      <c r="G235" s="265"/>
      <c r="H235" s="486"/>
      <c r="I235" s="166" t="e">
        <f t="shared" si="53"/>
        <v>#DIV/0!</v>
      </c>
      <c r="J235" s="166" t="e">
        <f t="shared" si="53"/>
        <v>#DIV/0!</v>
      </c>
      <c r="K235" s="166" t="e">
        <f t="shared" si="53"/>
        <v>#DIV/0!</v>
      </c>
      <c r="L235" s="506"/>
      <c r="M235" s="166" t="e">
        <f>RANK(K235, K$218:$K$247)</f>
        <v>#DIV/0!</v>
      </c>
    </row>
    <row r="236" spans="2:13" s="103" customFormat="1">
      <c r="B236" s="479"/>
      <c r="C236" s="180">
        <v>19</v>
      </c>
      <c r="D236" s="180"/>
      <c r="E236" s="166"/>
      <c r="F236" s="180"/>
      <c r="G236" s="265"/>
      <c r="H236" s="486"/>
      <c r="I236" s="166" t="e">
        <f t="shared" si="53"/>
        <v>#DIV/0!</v>
      </c>
      <c r="J236" s="166" t="e">
        <f t="shared" si="53"/>
        <v>#DIV/0!</v>
      </c>
      <c r="K236" s="166" t="e">
        <f t="shared" si="53"/>
        <v>#DIV/0!</v>
      </c>
      <c r="L236" s="506"/>
      <c r="M236" s="166" t="e">
        <f>RANK(K236, K$218:$K$247)</f>
        <v>#DIV/0!</v>
      </c>
    </row>
    <row r="237" spans="2:13" s="103" customFormat="1">
      <c r="B237" s="479"/>
      <c r="C237" s="180">
        <v>20</v>
      </c>
      <c r="D237" s="180"/>
      <c r="E237" s="166"/>
      <c r="F237" s="180"/>
      <c r="G237" s="265"/>
      <c r="H237" s="486"/>
      <c r="I237" s="166" t="e">
        <f t="shared" si="53"/>
        <v>#DIV/0!</v>
      </c>
      <c r="J237" s="166" t="e">
        <f t="shared" si="53"/>
        <v>#DIV/0!</v>
      </c>
      <c r="K237" s="166" t="e">
        <f t="shared" si="53"/>
        <v>#DIV/0!</v>
      </c>
      <c r="L237" s="506"/>
      <c r="M237" s="166" t="e">
        <f>RANK(K237, K$218:$K$247)</f>
        <v>#DIV/0!</v>
      </c>
    </row>
    <row r="238" spans="2:13" s="103" customFormat="1">
      <c r="B238" s="479"/>
      <c r="C238" s="180">
        <v>21</v>
      </c>
      <c r="D238" s="180"/>
      <c r="E238" s="166"/>
      <c r="F238" s="180"/>
      <c r="G238" s="265"/>
      <c r="H238" s="486"/>
      <c r="I238" s="166" t="e">
        <f t="shared" si="53"/>
        <v>#DIV/0!</v>
      </c>
      <c r="J238" s="166" t="e">
        <f t="shared" si="53"/>
        <v>#DIV/0!</v>
      </c>
      <c r="K238" s="166" t="e">
        <f t="shared" si="53"/>
        <v>#DIV/0!</v>
      </c>
      <c r="L238" s="506"/>
      <c r="M238" s="166" t="e">
        <f>RANK(K238, K$218:$K$247)</f>
        <v>#DIV/0!</v>
      </c>
    </row>
    <row r="239" spans="2:13" s="103" customFormat="1">
      <c r="B239" s="479"/>
      <c r="C239" s="180">
        <v>22</v>
      </c>
      <c r="D239" s="180"/>
      <c r="E239" s="166"/>
      <c r="F239" s="180"/>
      <c r="G239" s="265"/>
      <c r="H239" s="486"/>
      <c r="I239" s="166" t="e">
        <f t="shared" si="53"/>
        <v>#DIV/0!</v>
      </c>
      <c r="J239" s="166" t="e">
        <f t="shared" si="53"/>
        <v>#DIV/0!</v>
      </c>
      <c r="K239" s="166" t="e">
        <f t="shared" si="53"/>
        <v>#DIV/0!</v>
      </c>
      <c r="L239" s="506"/>
      <c r="M239" s="166" t="e">
        <f>RANK(K239, K$218:$K$247)</f>
        <v>#DIV/0!</v>
      </c>
    </row>
    <row r="240" spans="2:13" s="103" customFormat="1">
      <c r="B240" s="479"/>
      <c r="C240" s="180">
        <v>23</v>
      </c>
      <c r="D240" s="180"/>
      <c r="E240" s="166"/>
      <c r="F240" s="180"/>
      <c r="G240" s="265"/>
      <c r="H240" s="486"/>
      <c r="I240" s="166" t="e">
        <f t="shared" si="53"/>
        <v>#DIV/0!</v>
      </c>
      <c r="J240" s="166" t="e">
        <f t="shared" si="53"/>
        <v>#DIV/0!</v>
      </c>
      <c r="K240" s="166" t="e">
        <f t="shared" si="53"/>
        <v>#DIV/0!</v>
      </c>
      <c r="L240" s="506"/>
      <c r="M240" s="166" t="e">
        <f>RANK(K240, K$218:$K$247)</f>
        <v>#DIV/0!</v>
      </c>
    </row>
    <row r="241" spans="2:13" s="103" customFormat="1">
      <c r="B241" s="479"/>
      <c r="C241" s="180">
        <v>24</v>
      </c>
      <c r="D241" s="180"/>
      <c r="E241" s="166"/>
      <c r="F241" s="180"/>
      <c r="G241" s="265"/>
      <c r="H241" s="486"/>
      <c r="I241" s="166" t="e">
        <f t="shared" si="53"/>
        <v>#DIV/0!</v>
      </c>
      <c r="J241" s="166" t="e">
        <f t="shared" si="53"/>
        <v>#DIV/0!</v>
      </c>
      <c r="K241" s="166" t="e">
        <f t="shared" si="53"/>
        <v>#DIV/0!</v>
      </c>
      <c r="L241" s="506"/>
      <c r="M241" s="166" t="e">
        <f>RANK(K241, K$218:$K$247)</f>
        <v>#DIV/0!</v>
      </c>
    </row>
    <row r="242" spans="2:13" s="103" customFormat="1">
      <c r="B242" s="479"/>
      <c r="C242" s="180">
        <v>25</v>
      </c>
      <c r="D242" s="180"/>
      <c r="E242" s="166"/>
      <c r="F242" s="180"/>
      <c r="G242" s="265"/>
      <c r="H242" s="486"/>
      <c r="I242" s="166"/>
      <c r="J242" s="166"/>
      <c r="K242" s="166"/>
      <c r="L242" s="506"/>
      <c r="M242" s="166" t="e">
        <f>RANK(K242, K$218:$K$247)</f>
        <v>#DIV/0!</v>
      </c>
    </row>
    <row r="243" spans="2:13" s="103" customFormat="1">
      <c r="B243" s="479"/>
      <c r="C243" s="180">
        <v>26</v>
      </c>
      <c r="D243" s="180"/>
      <c r="E243" s="166"/>
      <c r="F243" s="180"/>
      <c r="G243" s="265"/>
      <c r="H243" s="486"/>
      <c r="I243" s="166"/>
      <c r="J243" s="166"/>
      <c r="K243" s="166"/>
      <c r="L243" s="506"/>
      <c r="M243" s="166" t="e">
        <f>RANK(K243, K$218:$K$247)</f>
        <v>#DIV/0!</v>
      </c>
    </row>
    <row r="244" spans="2:13" s="103" customFormat="1">
      <c r="B244" s="479"/>
      <c r="C244" s="180">
        <v>27</v>
      </c>
      <c r="D244" s="180"/>
      <c r="E244" s="166"/>
      <c r="F244" s="180"/>
      <c r="G244" s="265"/>
      <c r="H244" s="486"/>
      <c r="I244" s="166"/>
      <c r="J244" s="166"/>
      <c r="K244" s="166"/>
      <c r="L244" s="506"/>
      <c r="M244" s="166" t="e">
        <f>RANK(K244, K$218:$K$247)</f>
        <v>#DIV/0!</v>
      </c>
    </row>
    <row r="245" spans="2:13" s="103" customFormat="1">
      <c r="B245" s="479"/>
      <c r="C245" s="180">
        <v>28</v>
      </c>
      <c r="D245" s="180"/>
      <c r="E245" s="166"/>
      <c r="F245" s="180"/>
      <c r="G245" s="265"/>
      <c r="H245" s="486"/>
      <c r="I245" s="166"/>
      <c r="J245" s="166"/>
      <c r="K245" s="166"/>
      <c r="L245" s="506"/>
      <c r="M245" s="166" t="e">
        <f>RANK(K245, K$218:$K$247)</f>
        <v>#DIV/0!</v>
      </c>
    </row>
    <row r="246" spans="2:13" s="103" customFormat="1">
      <c r="B246" s="479"/>
      <c r="C246" s="180">
        <v>29</v>
      </c>
      <c r="D246" s="180"/>
      <c r="E246" s="166"/>
      <c r="F246" s="180"/>
      <c r="G246" s="265"/>
      <c r="H246" s="486"/>
      <c r="I246" s="166"/>
      <c r="J246" s="166"/>
      <c r="K246" s="166"/>
      <c r="L246" s="506"/>
      <c r="M246" s="166" t="e">
        <f>RANK(K246, K$218:$K$247)</f>
        <v>#DIV/0!</v>
      </c>
    </row>
    <row r="247" spans="2:13" s="103" customFormat="1">
      <c r="B247" s="479"/>
      <c r="C247" s="180">
        <v>30</v>
      </c>
      <c r="D247" s="180"/>
      <c r="E247" s="166"/>
      <c r="F247" s="180"/>
      <c r="G247" s="265"/>
      <c r="H247" s="486"/>
      <c r="I247" s="166"/>
      <c r="J247" s="166"/>
      <c r="K247" s="166"/>
      <c r="L247" s="506"/>
      <c r="M247" s="166" t="e">
        <f>RANK(K247, K$218:$K$247)</f>
        <v>#DIV/0!</v>
      </c>
    </row>
  </sheetData>
  <mergeCells count="367">
    <mergeCell ref="B218:B247"/>
    <mergeCell ref="H218:H247"/>
    <mergeCell ref="L218:L247"/>
    <mergeCell ref="B213:H214"/>
    <mergeCell ref="B215:B217"/>
    <mergeCell ref="C215:D217"/>
    <mergeCell ref="E215:G215"/>
    <mergeCell ref="H215:H217"/>
    <mergeCell ref="I215:K215"/>
    <mergeCell ref="L215:L217"/>
    <mergeCell ref="M215:M217"/>
    <mergeCell ref="E216:G216"/>
    <mergeCell ref="I216:K216"/>
    <mergeCell ref="AX179:AX181"/>
    <mergeCell ref="B182:B211"/>
    <mergeCell ref="H182:H211"/>
    <mergeCell ref="L182:L211"/>
    <mergeCell ref="T182:T211"/>
    <mergeCell ref="Y182:Y211"/>
    <mergeCell ref="AD182:AD211"/>
    <mergeCell ref="AI182:AI211"/>
    <mergeCell ref="AN182:AN211"/>
    <mergeCell ref="AS182:AS211"/>
    <mergeCell ref="AX182:AX211"/>
    <mergeCell ref="AT179:AW179"/>
    <mergeCell ref="P179:S179"/>
    <mergeCell ref="T179:T181"/>
    <mergeCell ref="U179:X179"/>
    <mergeCell ref="Y179:Y181"/>
    <mergeCell ref="AJ180:AM180"/>
    <mergeCell ref="AO180:AR180"/>
    <mergeCell ref="AT180:AW180"/>
    <mergeCell ref="AD179:AD181"/>
    <mergeCell ref="AE179:AH179"/>
    <mergeCell ref="AI179:AI181"/>
    <mergeCell ref="AJ179:AM179"/>
    <mergeCell ref="AN179:AN181"/>
    <mergeCell ref="AO179:AR179"/>
    <mergeCell ref="AS179:AS181"/>
    <mergeCell ref="B179:B181"/>
    <mergeCell ref="C179:D181"/>
    <mergeCell ref="E179:G179"/>
    <mergeCell ref="H179:H181"/>
    <mergeCell ref="I179:K179"/>
    <mergeCell ref="L179:L181"/>
    <mergeCell ref="M179:M181"/>
    <mergeCell ref="N179:N211"/>
    <mergeCell ref="O179:O211"/>
    <mergeCell ref="AT178:AX178"/>
    <mergeCell ref="E180:G180"/>
    <mergeCell ref="I180:K180"/>
    <mergeCell ref="P180:S180"/>
    <mergeCell ref="U180:X180"/>
    <mergeCell ref="Z180:AC180"/>
    <mergeCell ref="AE180:AH180"/>
    <mergeCell ref="P178:T178"/>
    <mergeCell ref="U178:Y178"/>
    <mergeCell ref="Z178:AD178"/>
    <mergeCell ref="AE178:AI178"/>
    <mergeCell ref="AJ178:AN178"/>
    <mergeCell ref="AO178:AS178"/>
    <mergeCell ref="Z179:AC179"/>
    <mergeCell ref="B177:H178"/>
    <mergeCell ref="N177:N178"/>
    <mergeCell ref="O177:O178"/>
    <mergeCell ref="P177:T177"/>
    <mergeCell ref="U177:Y177"/>
    <mergeCell ref="Z177:AD177"/>
    <mergeCell ref="AE177:AI177"/>
    <mergeCell ref="AJ177:AN177"/>
    <mergeCell ref="AO177:AS177"/>
    <mergeCell ref="AT177:AX177"/>
    <mergeCell ref="AE2:AI2"/>
    <mergeCell ref="AJ2:AN2"/>
    <mergeCell ref="AO2:AS2"/>
    <mergeCell ref="AT2:AX2"/>
    <mergeCell ref="P3:T3"/>
    <mergeCell ref="U3:Y3"/>
    <mergeCell ref="Z3:AD3"/>
    <mergeCell ref="AE3:AI3"/>
    <mergeCell ref="AJ3:AN3"/>
    <mergeCell ref="AO3:AS3"/>
    <mergeCell ref="P2:T2"/>
    <mergeCell ref="U2:Y2"/>
    <mergeCell ref="Z2:AD2"/>
    <mergeCell ref="AT3:AX3"/>
    <mergeCell ref="B2:H3"/>
    <mergeCell ref="N2:N3"/>
    <mergeCell ref="O2:O3"/>
    <mergeCell ref="AT4:AW4"/>
    <mergeCell ref="AX4:AX6"/>
    <mergeCell ref="E5:G5"/>
    <mergeCell ref="I5:K5"/>
    <mergeCell ref="P5:S5"/>
    <mergeCell ref="U5:X5"/>
    <mergeCell ref="Z5:AC5"/>
    <mergeCell ref="AE5:AH5"/>
    <mergeCell ref="AJ5:AM5"/>
    <mergeCell ref="AO5:AR5"/>
    <mergeCell ref="AE4:AH4"/>
    <mergeCell ref="AI4:AI6"/>
    <mergeCell ref="AJ4:AM4"/>
    <mergeCell ref="AN4:AN6"/>
    <mergeCell ref="AO4:AR4"/>
    <mergeCell ref="AS4:AS6"/>
    <mergeCell ref="P4:S4"/>
    <mergeCell ref="T4:T6"/>
    <mergeCell ref="U4:X4"/>
    <mergeCell ref="Y4:Y6"/>
    <mergeCell ref="Z4:AC4"/>
    <mergeCell ref="AD4:AD6"/>
    <mergeCell ref="AT5:AW5"/>
    <mergeCell ref="B7:B36"/>
    <mergeCell ref="H7:H36"/>
    <mergeCell ref="L7:L36"/>
    <mergeCell ref="T7:T36"/>
    <mergeCell ref="Y7:Y36"/>
    <mergeCell ref="AD7:AD36"/>
    <mergeCell ref="AI7:AI36"/>
    <mergeCell ref="AN7:AN36"/>
    <mergeCell ref="AS7:AS36"/>
    <mergeCell ref="B4:B6"/>
    <mergeCell ref="C4:D6"/>
    <mergeCell ref="E4:G4"/>
    <mergeCell ref="H4:H6"/>
    <mergeCell ref="I4:K4"/>
    <mergeCell ref="L4:L6"/>
    <mergeCell ref="M4:M6"/>
    <mergeCell ref="N4:N36"/>
    <mergeCell ref="O4:O36"/>
    <mergeCell ref="B37:H38"/>
    <mergeCell ref="N37:N38"/>
    <mergeCell ref="O37:O38"/>
    <mergeCell ref="P37:T37"/>
    <mergeCell ref="U37:Y37"/>
    <mergeCell ref="Z37:AD37"/>
    <mergeCell ref="AE37:AI37"/>
    <mergeCell ref="AJ37:AN37"/>
    <mergeCell ref="AO37:AS37"/>
    <mergeCell ref="AT37:AX37"/>
    <mergeCell ref="P38:T38"/>
    <mergeCell ref="U38:Y38"/>
    <mergeCell ref="Z38:AD38"/>
    <mergeCell ref="AE38:AI38"/>
    <mergeCell ref="AJ38:AN38"/>
    <mergeCell ref="AO38:AS38"/>
    <mergeCell ref="AT38:AX38"/>
    <mergeCell ref="AX7:AX36"/>
    <mergeCell ref="AX39:AX41"/>
    <mergeCell ref="E40:G40"/>
    <mergeCell ref="I40:K40"/>
    <mergeCell ref="P40:S40"/>
    <mergeCell ref="U40:X40"/>
    <mergeCell ref="Z40:AC40"/>
    <mergeCell ref="Y39:Y41"/>
    <mergeCell ref="Z39:AC39"/>
    <mergeCell ref="AD39:AD41"/>
    <mergeCell ref="AE39:AH39"/>
    <mergeCell ref="AI39:AI41"/>
    <mergeCell ref="AJ39:AM39"/>
    <mergeCell ref="AE40:AH40"/>
    <mergeCell ref="AJ40:AM40"/>
    <mergeCell ref="M39:M41"/>
    <mergeCell ref="N39:N71"/>
    <mergeCell ref="O39:O71"/>
    <mergeCell ref="P39:S39"/>
    <mergeCell ref="T39:T41"/>
    <mergeCell ref="U39:X39"/>
    <mergeCell ref="E39:G39"/>
    <mergeCell ref="H39:H41"/>
    <mergeCell ref="I39:K39"/>
    <mergeCell ref="L39:L41"/>
    <mergeCell ref="AO40:AR40"/>
    <mergeCell ref="AT40:AW40"/>
    <mergeCell ref="B42:B71"/>
    <mergeCell ref="H42:H71"/>
    <mergeCell ref="L42:L71"/>
    <mergeCell ref="T42:T71"/>
    <mergeCell ref="Y42:Y71"/>
    <mergeCell ref="AD42:AD71"/>
    <mergeCell ref="AI42:AI71"/>
    <mergeCell ref="AN42:AN71"/>
    <mergeCell ref="AN39:AN41"/>
    <mergeCell ref="AO39:AR39"/>
    <mergeCell ref="AS39:AS41"/>
    <mergeCell ref="AT39:AW39"/>
    <mergeCell ref="B39:B41"/>
    <mergeCell ref="C39:D41"/>
    <mergeCell ref="AS42:AS71"/>
    <mergeCell ref="AX42:AX71"/>
    <mergeCell ref="B72:H73"/>
    <mergeCell ref="N72:N73"/>
    <mergeCell ref="O72:O73"/>
    <mergeCell ref="P72:T72"/>
    <mergeCell ref="U72:Y72"/>
    <mergeCell ref="Z72:AD72"/>
    <mergeCell ref="AE72:AI72"/>
    <mergeCell ref="AJ72:AN72"/>
    <mergeCell ref="AO72:AS72"/>
    <mergeCell ref="AT72:AX72"/>
    <mergeCell ref="P73:T73"/>
    <mergeCell ref="U73:Y73"/>
    <mergeCell ref="Z73:AD73"/>
    <mergeCell ref="AE73:AI73"/>
    <mergeCell ref="AJ73:AN73"/>
    <mergeCell ref="AO73:AS73"/>
    <mergeCell ref="AT73:AX73"/>
    <mergeCell ref="AX74:AX76"/>
    <mergeCell ref="E75:G75"/>
    <mergeCell ref="I75:K75"/>
    <mergeCell ref="P75:S75"/>
    <mergeCell ref="U75:X75"/>
    <mergeCell ref="Z75:AC75"/>
    <mergeCell ref="Y74:Y76"/>
    <mergeCell ref="Z74:AC74"/>
    <mergeCell ref="AD74:AD76"/>
    <mergeCell ref="AE74:AH74"/>
    <mergeCell ref="AI74:AI76"/>
    <mergeCell ref="AJ74:AM74"/>
    <mergeCell ref="AE75:AH75"/>
    <mergeCell ref="AJ75:AM75"/>
    <mergeCell ref="M74:M76"/>
    <mergeCell ref="N74:N106"/>
    <mergeCell ref="O74:O106"/>
    <mergeCell ref="P74:S74"/>
    <mergeCell ref="T74:T76"/>
    <mergeCell ref="U74:X74"/>
    <mergeCell ref="E74:G74"/>
    <mergeCell ref="H74:H76"/>
    <mergeCell ref="I74:K74"/>
    <mergeCell ref="L74:L76"/>
    <mergeCell ref="AO75:AR75"/>
    <mergeCell ref="AT75:AW75"/>
    <mergeCell ref="B77:B106"/>
    <mergeCell ref="H77:H106"/>
    <mergeCell ref="L77:L106"/>
    <mergeCell ref="T77:T106"/>
    <mergeCell ref="Y77:Y106"/>
    <mergeCell ref="AD77:AD106"/>
    <mergeCell ref="AI77:AI106"/>
    <mergeCell ref="AN77:AN106"/>
    <mergeCell ref="AN74:AN76"/>
    <mergeCell ref="AO74:AR74"/>
    <mergeCell ref="AS74:AS76"/>
    <mergeCell ref="AT74:AW74"/>
    <mergeCell ref="B74:B76"/>
    <mergeCell ref="C74:D76"/>
    <mergeCell ref="AS77:AS106"/>
    <mergeCell ref="AX77:AX106"/>
    <mergeCell ref="B107:H108"/>
    <mergeCell ref="N107:N108"/>
    <mergeCell ref="O107:O108"/>
    <mergeCell ref="P107:T107"/>
    <mergeCell ref="U107:Y107"/>
    <mergeCell ref="Z107:AD107"/>
    <mergeCell ref="AE107:AI107"/>
    <mergeCell ref="AJ107:AN107"/>
    <mergeCell ref="AO107:AS107"/>
    <mergeCell ref="AT107:AX107"/>
    <mergeCell ref="P108:T108"/>
    <mergeCell ref="U108:Y108"/>
    <mergeCell ref="Z108:AD108"/>
    <mergeCell ref="AE108:AI108"/>
    <mergeCell ref="AJ108:AN108"/>
    <mergeCell ref="AO108:AS108"/>
    <mergeCell ref="AT108:AX108"/>
    <mergeCell ref="AD147:AD176"/>
    <mergeCell ref="AI147:AI176"/>
    <mergeCell ref="B144:B146"/>
    <mergeCell ref="AX109:AX111"/>
    <mergeCell ref="E110:G110"/>
    <mergeCell ref="I110:K110"/>
    <mergeCell ref="P110:S110"/>
    <mergeCell ref="U110:X110"/>
    <mergeCell ref="Z110:AC110"/>
    <mergeCell ref="Y109:Y111"/>
    <mergeCell ref="Z109:AC109"/>
    <mergeCell ref="AD109:AD111"/>
    <mergeCell ref="AE109:AH109"/>
    <mergeCell ref="AI109:AI111"/>
    <mergeCell ref="AJ109:AM109"/>
    <mergeCell ref="AE110:AH110"/>
    <mergeCell ref="AJ110:AM110"/>
    <mergeCell ref="M109:M111"/>
    <mergeCell ref="N109:N141"/>
    <mergeCell ref="O109:O141"/>
    <mergeCell ref="P109:S109"/>
    <mergeCell ref="T109:T111"/>
    <mergeCell ref="U109:X109"/>
    <mergeCell ref="E109:G109"/>
    <mergeCell ref="AO110:AR110"/>
    <mergeCell ref="AT110:AW110"/>
    <mergeCell ref="B112:B141"/>
    <mergeCell ref="H112:H141"/>
    <mergeCell ref="L112:L141"/>
    <mergeCell ref="T112:T141"/>
    <mergeCell ref="Y112:Y141"/>
    <mergeCell ref="AD112:AD141"/>
    <mergeCell ref="AI112:AI141"/>
    <mergeCell ref="AN112:AN141"/>
    <mergeCell ref="AN109:AN111"/>
    <mergeCell ref="AO109:AR109"/>
    <mergeCell ref="AS109:AS111"/>
    <mergeCell ref="AT109:AW109"/>
    <mergeCell ref="B109:B111"/>
    <mergeCell ref="C109:D111"/>
    <mergeCell ref="AS112:AS141"/>
    <mergeCell ref="H109:H111"/>
    <mergeCell ref="I109:K109"/>
    <mergeCell ref="L109:L111"/>
    <mergeCell ref="AX112:AX141"/>
    <mergeCell ref="B142:H143"/>
    <mergeCell ref="N142:N143"/>
    <mergeCell ref="O142:O143"/>
    <mergeCell ref="P142:T142"/>
    <mergeCell ref="U142:Y142"/>
    <mergeCell ref="Z142:AD142"/>
    <mergeCell ref="AE142:AI142"/>
    <mergeCell ref="AJ142:AN142"/>
    <mergeCell ref="AO142:AS142"/>
    <mergeCell ref="AT142:AX142"/>
    <mergeCell ref="P143:T143"/>
    <mergeCell ref="U143:Y143"/>
    <mergeCell ref="Z143:AD143"/>
    <mergeCell ref="AE143:AI143"/>
    <mergeCell ref="AJ143:AN143"/>
    <mergeCell ref="AO143:AS143"/>
    <mergeCell ref="AT143:AX143"/>
    <mergeCell ref="Z144:AC144"/>
    <mergeCell ref="P144:S144"/>
    <mergeCell ref="T144:T146"/>
    <mergeCell ref="U144:X144"/>
    <mergeCell ref="E145:G145"/>
    <mergeCell ref="I145:K145"/>
    <mergeCell ref="P145:S145"/>
    <mergeCell ref="U145:X145"/>
    <mergeCell ref="M144:M146"/>
    <mergeCell ref="N144:N176"/>
    <mergeCell ref="O144:O176"/>
    <mergeCell ref="H147:H176"/>
    <mergeCell ref="L147:L176"/>
    <mergeCell ref="T147:T176"/>
    <mergeCell ref="Y147:Y176"/>
    <mergeCell ref="B147:B176"/>
    <mergeCell ref="AS147:AS176"/>
    <mergeCell ref="AX147:AX176"/>
    <mergeCell ref="AO145:AR145"/>
    <mergeCell ref="AT145:AW145"/>
    <mergeCell ref="AO144:AR144"/>
    <mergeCell ref="AS144:AS146"/>
    <mergeCell ref="AT144:AW144"/>
    <mergeCell ref="AX144:AX146"/>
    <mergeCell ref="AJ145:AM145"/>
    <mergeCell ref="AN147:AN176"/>
    <mergeCell ref="AN144:AN146"/>
    <mergeCell ref="AJ144:AM144"/>
    <mergeCell ref="C144:D146"/>
    <mergeCell ref="E144:G144"/>
    <mergeCell ref="H144:H146"/>
    <mergeCell ref="I144:K144"/>
    <mergeCell ref="L144:L146"/>
    <mergeCell ref="AD144:AD146"/>
    <mergeCell ref="AE144:AH144"/>
    <mergeCell ref="AI144:AI146"/>
    <mergeCell ref="AE145:AH145"/>
    <mergeCell ref="Z145:AC145"/>
    <mergeCell ref="Y144:Y146"/>
  </mergeCells>
  <phoneticPr fontId="11" type="noConversion"/>
  <pageMargins left="0.7" right="0.7" top="0.75" bottom="0.75" header="0.3" footer="0.3"/>
  <pageSetup paperSize="9" orientation="portrait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FFCC"/>
  </sheetPr>
  <dimension ref="A1:BB142"/>
  <sheetViews>
    <sheetView zoomScale="55" zoomScaleNormal="55" workbookViewId="0">
      <pane xSplit="15" topLeftCell="Z1" activePane="topRight" state="frozen"/>
      <selection activeCell="B144" sqref="B144:AX176"/>
      <selection pane="topRight" activeCell="AT87" sqref="AT87:AV96"/>
    </sheetView>
  </sheetViews>
  <sheetFormatPr defaultColWidth="8.85546875" defaultRowHeight="12.75"/>
  <cols>
    <col min="1" max="1" width="5.5703125" style="103" customWidth="1"/>
    <col min="2" max="2" width="12.42578125" style="103" customWidth="1"/>
    <col min="3" max="3" width="8.85546875" style="102"/>
    <col min="4" max="4" width="26.42578125" style="102" customWidth="1"/>
    <col min="5" max="7" width="8.42578125" style="102" customWidth="1"/>
    <col min="8" max="8" width="11.140625" style="102" bestFit="1" customWidth="1"/>
    <col min="9" max="12" width="11.140625" style="102" customWidth="1"/>
    <col min="13" max="13" width="13.5703125" style="102" customWidth="1"/>
    <col min="14" max="14" width="9.85546875" style="102" customWidth="1"/>
    <col min="15" max="15" width="7.140625" style="102" customWidth="1"/>
    <col min="16" max="18" width="12.85546875" style="102" customWidth="1"/>
    <col min="19" max="19" width="5.42578125" style="102" customWidth="1"/>
    <col min="20" max="20" width="12.85546875" style="102" customWidth="1"/>
    <col min="21" max="23" width="12.85546875" style="103" customWidth="1"/>
    <col min="24" max="24" width="5.42578125" style="102" customWidth="1"/>
    <col min="25" max="28" width="12.85546875" style="103" customWidth="1"/>
    <col min="29" max="29" width="5.42578125" style="102" customWidth="1"/>
    <col min="30" max="30" width="12.85546875" style="103" customWidth="1"/>
    <col min="31" max="33" width="12.5703125" style="103" customWidth="1"/>
    <col min="34" max="34" width="5.42578125" style="102" customWidth="1"/>
    <col min="35" max="35" width="13" style="103" customWidth="1"/>
    <col min="36" max="38" width="12.5703125" style="103" customWidth="1"/>
    <col min="39" max="39" width="5.42578125" style="102" customWidth="1"/>
    <col min="40" max="40" width="13" style="103" customWidth="1"/>
    <col min="41" max="43" width="13.140625" style="103" customWidth="1"/>
    <col min="44" max="44" width="5.42578125" style="103" customWidth="1"/>
    <col min="45" max="48" width="13.140625" style="103" customWidth="1"/>
    <col min="49" max="49" width="5.42578125" style="103" customWidth="1"/>
    <col min="50" max="50" width="13.140625" style="103" customWidth="1"/>
    <col min="51" max="16384" width="8.85546875" style="103"/>
  </cols>
  <sheetData>
    <row r="1" spans="1:54" ht="24">
      <c r="A1" s="74"/>
      <c r="B1" s="196" t="s">
        <v>328</v>
      </c>
      <c r="C1" s="195">
        <f>AVERAGE(L7,L27,L47,L67,L87,L107)</f>
        <v>66.758428134453652</v>
      </c>
    </row>
    <row r="2" spans="1:54" ht="15.75">
      <c r="A2" s="79"/>
      <c r="B2" s="480" t="s">
        <v>721</v>
      </c>
      <c r="C2" s="480"/>
      <c r="D2" s="480"/>
      <c r="E2" s="480"/>
      <c r="F2" s="480"/>
      <c r="G2" s="480"/>
      <c r="H2" s="480"/>
      <c r="I2" s="181"/>
      <c r="J2" s="181"/>
      <c r="K2" s="181"/>
      <c r="L2" s="181"/>
      <c r="M2" s="178"/>
      <c r="N2" s="469" t="s">
        <v>722</v>
      </c>
      <c r="O2" s="469" t="s">
        <v>723</v>
      </c>
      <c r="P2" s="513"/>
      <c r="Q2" s="514"/>
      <c r="R2" s="514"/>
      <c r="S2" s="514"/>
      <c r="T2" s="515"/>
      <c r="U2" s="478"/>
      <c r="V2" s="479"/>
      <c r="W2" s="479"/>
      <c r="X2" s="479"/>
      <c r="Y2" s="479"/>
      <c r="Z2" s="478"/>
      <c r="AA2" s="479"/>
      <c r="AB2" s="479"/>
      <c r="AC2" s="479"/>
      <c r="AD2" s="479"/>
      <c r="AE2" s="478"/>
      <c r="AF2" s="479"/>
      <c r="AG2" s="479"/>
      <c r="AH2" s="479"/>
      <c r="AI2" s="479"/>
      <c r="AJ2" s="478"/>
      <c r="AK2" s="479"/>
      <c r="AL2" s="479"/>
      <c r="AM2" s="479"/>
      <c r="AN2" s="479"/>
      <c r="AO2" s="478">
        <v>46054</v>
      </c>
      <c r="AP2" s="479"/>
      <c r="AQ2" s="479"/>
      <c r="AR2" s="479"/>
      <c r="AS2" s="479"/>
      <c r="AT2" s="478">
        <f t="shared" ref="AT2" si="0">AO2+1</f>
        <v>46055</v>
      </c>
      <c r="AU2" s="479"/>
      <c r="AV2" s="479"/>
      <c r="AW2" s="479"/>
      <c r="AX2" s="479"/>
    </row>
    <row r="3" spans="1:54" ht="15.75">
      <c r="A3" s="79"/>
      <c r="B3" s="495"/>
      <c r="C3" s="495"/>
      <c r="D3" s="495"/>
      <c r="E3" s="495"/>
      <c r="F3" s="495"/>
      <c r="G3" s="495"/>
      <c r="H3" s="495"/>
      <c r="I3" s="182"/>
      <c r="J3" s="182"/>
      <c r="K3" s="182"/>
      <c r="L3" s="182"/>
      <c r="M3" s="179"/>
      <c r="N3" s="471"/>
      <c r="O3" s="471"/>
      <c r="P3" s="475" t="s">
        <v>724</v>
      </c>
      <c r="Q3" s="476"/>
      <c r="R3" s="476"/>
      <c r="S3" s="476"/>
      <c r="T3" s="477"/>
      <c r="U3" s="475" t="s">
        <v>725</v>
      </c>
      <c r="V3" s="476"/>
      <c r="W3" s="476"/>
      <c r="X3" s="476"/>
      <c r="Y3" s="477"/>
      <c r="Z3" s="475" t="s">
        <v>726</v>
      </c>
      <c r="AA3" s="476"/>
      <c r="AB3" s="476"/>
      <c r="AC3" s="476"/>
      <c r="AD3" s="477"/>
      <c r="AE3" s="475" t="s">
        <v>727</v>
      </c>
      <c r="AF3" s="476"/>
      <c r="AG3" s="476"/>
      <c r="AH3" s="476"/>
      <c r="AI3" s="477"/>
      <c r="AJ3" s="475" t="s">
        <v>728</v>
      </c>
      <c r="AK3" s="476"/>
      <c r="AL3" s="476"/>
      <c r="AM3" s="476"/>
      <c r="AN3" s="477"/>
      <c r="AO3" s="475" t="s">
        <v>729</v>
      </c>
      <c r="AP3" s="476"/>
      <c r="AQ3" s="476"/>
      <c r="AR3" s="476"/>
      <c r="AS3" s="477"/>
      <c r="AT3" s="475" t="s">
        <v>730</v>
      </c>
      <c r="AU3" s="476"/>
      <c r="AV3" s="476"/>
      <c r="AW3" s="476"/>
      <c r="AX3" s="477"/>
    </row>
    <row r="4" spans="1:54" ht="14.25">
      <c r="A4" s="79"/>
      <c r="B4" s="462" t="s">
        <v>731</v>
      </c>
      <c r="C4" s="462" t="s">
        <v>732</v>
      </c>
      <c r="D4" s="462"/>
      <c r="E4" s="462" t="s">
        <v>733</v>
      </c>
      <c r="F4" s="462"/>
      <c r="G4" s="462"/>
      <c r="H4" s="463" t="s">
        <v>734</v>
      </c>
      <c r="I4" s="462" t="s">
        <v>735</v>
      </c>
      <c r="J4" s="462"/>
      <c r="K4" s="462"/>
      <c r="L4" s="463" t="s">
        <v>734</v>
      </c>
      <c r="M4" s="469" t="s">
        <v>736</v>
      </c>
      <c r="N4" s="462"/>
      <c r="O4" s="462" t="s">
        <v>737</v>
      </c>
      <c r="P4" s="466" t="s">
        <v>738</v>
      </c>
      <c r="Q4" s="467"/>
      <c r="R4" s="467"/>
      <c r="S4" s="468"/>
      <c r="T4" s="462" t="s">
        <v>402</v>
      </c>
      <c r="U4" s="466" t="s">
        <v>738</v>
      </c>
      <c r="V4" s="467"/>
      <c r="W4" s="467"/>
      <c r="X4" s="468"/>
      <c r="Y4" s="462" t="s">
        <v>734</v>
      </c>
      <c r="Z4" s="466" t="s">
        <v>738</v>
      </c>
      <c r="AA4" s="467"/>
      <c r="AB4" s="467"/>
      <c r="AC4" s="468"/>
      <c r="AD4" s="462" t="s">
        <v>734</v>
      </c>
      <c r="AE4" s="466" t="s">
        <v>738</v>
      </c>
      <c r="AF4" s="467"/>
      <c r="AG4" s="467"/>
      <c r="AH4" s="468"/>
      <c r="AI4" s="462" t="s">
        <v>734</v>
      </c>
      <c r="AJ4" s="466" t="s">
        <v>738</v>
      </c>
      <c r="AK4" s="467"/>
      <c r="AL4" s="467"/>
      <c r="AM4" s="468"/>
      <c r="AN4" s="462" t="s">
        <v>734</v>
      </c>
      <c r="AO4" s="466" t="s">
        <v>738</v>
      </c>
      <c r="AP4" s="467"/>
      <c r="AQ4" s="467"/>
      <c r="AR4" s="468"/>
      <c r="AS4" s="462" t="s">
        <v>734</v>
      </c>
      <c r="AT4" s="466" t="s">
        <v>738</v>
      </c>
      <c r="AU4" s="467"/>
      <c r="AV4" s="467"/>
      <c r="AW4" s="468"/>
      <c r="AX4" s="462" t="s">
        <v>734</v>
      </c>
    </row>
    <row r="5" spans="1:54" ht="14.25">
      <c r="A5" s="79"/>
      <c r="B5" s="462"/>
      <c r="C5" s="462"/>
      <c r="D5" s="462"/>
      <c r="E5" s="462" t="s">
        <v>739</v>
      </c>
      <c r="F5" s="462"/>
      <c r="G5" s="462"/>
      <c r="H5" s="464"/>
      <c r="I5" s="462" t="s">
        <v>739</v>
      </c>
      <c r="J5" s="462"/>
      <c r="K5" s="462"/>
      <c r="L5" s="464"/>
      <c r="M5" s="470"/>
      <c r="N5" s="462"/>
      <c r="O5" s="462"/>
      <c r="P5" s="466" t="s">
        <v>740</v>
      </c>
      <c r="Q5" s="467"/>
      <c r="R5" s="467"/>
      <c r="S5" s="468"/>
      <c r="T5" s="462"/>
      <c r="U5" s="466" t="s">
        <v>740</v>
      </c>
      <c r="V5" s="467"/>
      <c r="W5" s="467"/>
      <c r="X5" s="468"/>
      <c r="Y5" s="462"/>
      <c r="Z5" s="466" t="s">
        <v>740</v>
      </c>
      <c r="AA5" s="467"/>
      <c r="AB5" s="467"/>
      <c r="AC5" s="468"/>
      <c r="AD5" s="462"/>
      <c r="AE5" s="466" t="s">
        <v>740</v>
      </c>
      <c r="AF5" s="467"/>
      <c r="AG5" s="467"/>
      <c r="AH5" s="468"/>
      <c r="AI5" s="462"/>
      <c r="AJ5" s="466" t="s">
        <v>740</v>
      </c>
      <c r="AK5" s="467"/>
      <c r="AL5" s="467"/>
      <c r="AM5" s="468"/>
      <c r="AN5" s="462"/>
      <c r="AO5" s="466" t="s">
        <v>740</v>
      </c>
      <c r="AP5" s="467"/>
      <c r="AQ5" s="467"/>
      <c r="AR5" s="468"/>
      <c r="AS5" s="462"/>
      <c r="AT5" s="466" t="s">
        <v>740</v>
      </c>
      <c r="AU5" s="467"/>
      <c r="AV5" s="467"/>
      <c r="AW5" s="468"/>
      <c r="AX5" s="462"/>
    </row>
    <row r="6" spans="1:54" ht="14.25">
      <c r="A6" s="77"/>
      <c r="B6" s="462"/>
      <c r="C6" s="462"/>
      <c r="D6" s="462"/>
      <c r="E6" s="264" t="s">
        <v>741</v>
      </c>
      <c r="F6" s="264" t="s">
        <v>742</v>
      </c>
      <c r="G6" s="264" t="s">
        <v>743</v>
      </c>
      <c r="H6" s="465"/>
      <c r="I6" s="264" t="s">
        <v>741</v>
      </c>
      <c r="J6" s="264" t="s">
        <v>742</v>
      </c>
      <c r="K6" s="264" t="s">
        <v>743</v>
      </c>
      <c r="L6" s="465"/>
      <c r="M6" s="471"/>
      <c r="N6" s="462"/>
      <c r="O6" s="462"/>
      <c r="P6" s="264" t="s">
        <v>741</v>
      </c>
      <c r="Q6" s="264" t="s">
        <v>742</v>
      </c>
      <c r="R6" s="264" t="s">
        <v>743</v>
      </c>
      <c r="S6" s="264" t="s">
        <v>736</v>
      </c>
      <c r="T6" s="462"/>
      <c r="U6" s="264" t="s">
        <v>741</v>
      </c>
      <c r="V6" s="264" t="s">
        <v>742</v>
      </c>
      <c r="W6" s="264" t="s">
        <v>743</v>
      </c>
      <c r="X6" s="264" t="s">
        <v>736</v>
      </c>
      <c r="Y6" s="462"/>
      <c r="Z6" s="264" t="s">
        <v>741</v>
      </c>
      <c r="AA6" s="264" t="s">
        <v>742</v>
      </c>
      <c r="AB6" s="264" t="s">
        <v>743</v>
      </c>
      <c r="AC6" s="264" t="s">
        <v>736</v>
      </c>
      <c r="AD6" s="462"/>
      <c r="AE6" s="264" t="s">
        <v>741</v>
      </c>
      <c r="AF6" s="264" t="s">
        <v>742</v>
      </c>
      <c r="AG6" s="264" t="s">
        <v>743</v>
      </c>
      <c r="AH6" s="264" t="s">
        <v>736</v>
      </c>
      <c r="AI6" s="462"/>
      <c r="AJ6" s="264" t="s">
        <v>741</v>
      </c>
      <c r="AK6" s="264" t="s">
        <v>742</v>
      </c>
      <c r="AL6" s="264" t="s">
        <v>743</v>
      </c>
      <c r="AM6" s="264" t="s">
        <v>736</v>
      </c>
      <c r="AN6" s="462"/>
      <c r="AO6" s="264" t="s">
        <v>741</v>
      </c>
      <c r="AP6" s="264" t="s">
        <v>742</v>
      </c>
      <c r="AQ6" s="264" t="s">
        <v>743</v>
      </c>
      <c r="AR6" s="264" t="s">
        <v>736</v>
      </c>
      <c r="AS6" s="462"/>
      <c r="AT6" s="264" t="s">
        <v>741</v>
      </c>
      <c r="AU6" s="264" t="s">
        <v>742</v>
      </c>
      <c r="AV6" s="264" t="s">
        <v>743</v>
      </c>
      <c r="AW6" s="264" t="s">
        <v>736</v>
      </c>
      <c r="AX6" s="462"/>
    </row>
    <row r="7" spans="1:54" ht="14.25">
      <c r="A7" s="79"/>
      <c r="B7" s="462" t="s">
        <v>754</v>
      </c>
      <c r="C7" s="180">
        <v>1</v>
      </c>
      <c r="D7" s="201" t="s">
        <v>372</v>
      </c>
      <c r="E7" s="166">
        <v>18</v>
      </c>
      <c r="F7" s="180">
        <v>1440</v>
      </c>
      <c r="G7" s="265">
        <v>80</v>
      </c>
      <c r="H7" s="459">
        <f>AVERAGE(G7:G21)</f>
        <v>80.927272727272722</v>
      </c>
      <c r="I7" s="166">
        <f>AVERAGE(P7,U7,Z7,AE7,AJ7,AO7,AT7)</f>
        <v>18</v>
      </c>
      <c r="J7" s="166">
        <f>AVERAGE(Q7,V7,AA7,AF7,AK7,AP7,AU7)</f>
        <v>1287.084730803178</v>
      </c>
      <c r="K7" s="265">
        <f>AVERAGE(R7,W7,AB7,AG7,AL7,AQ7,AV7)</f>
        <v>71.504707266843212</v>
      </c>
      <c r="L7" s="459">
        <f>IFERROR(AVERAGE(K7:K21),"-")</f>
        <v>67.352427868109231</v>
      </c>
      <c r="M7" s="272">
        <f>RANK(K7, K$7:$K$21)</f>
        <v>3</v>
      </c>
      <c r="N7" s="462"/>
      <c r="O7" s="462"/>
      <c r="P7" s="166"/>
      <c r="Q7" s="265"/>
      <c r="R7" s="265"/>
      <c r="S7" s="180" t="e">
        <f>RANK(R7, R$7:R$21)</f>
        <v>#N/A</v>
      </c>
      <c r="T7" s="459" t="e">
        <f>AVERAGE(R7:R21)</f>
        <v>#DIV/0!</v>
      </c>
      <c r="U7" s="166"/>
      <c r="V7" s="265"/>
      <c r="W7" s="265"/>
      <c r="X7" s="180" t="e">
        <f>RANK(W7, W$7:W$21)</f>
        <v>#N/A</v>
      </c>
      <c r="Y7" s="459" t="e">
        <f>AVERAGE(W7:W21)</f>
        <v>#DIV/0!</v>
      </c>
      <c r="Z7" s="166"/>
      <c r="AA7" s="265"/>
      <c r="AB7" s="265"/>
      <c r="AC7" s="180" t="e">
        <f>RANK(AB7, AB$7:AB$21)</f>
        <v>#N/A</v>
      </c>
      <c r="AD7" s="459" t="e">
        <f>AVERAGE(AB7:AB21)</f>
        <v>#DIV/0!</v>
      </c>
      <c r="AE7" s="166"/>
      <c r="AF7" s="265"/>
      <c r="AG7" s="265"/>
      <c r="AH7" s="180" t="e">
        <f>RANK(AG7, AG$7:AG$21)</f>
        <v>#N/A</v>
      </c>
      <c r="AI7" s="459" t="e">
        <f>AVERAGE(AG7:AG21)</f>
        <v>#DIV/0!</v>
      </c>
      <c r="AJ7" s="166"/>
      <c r="AK7" s="265"/>
      <c r="AL7" s="265"/>
      <c r="AM7" s="180" t="e">
        <f>RANK(AL7, AL$7:AL$21)</f>
        <v>#N/A</v>
      </c>
      <c r="AN7" s="459" t="e">
        <f>AVERAGE(AL7:AL21)</f>
        <v>#DIV/0!</v>
      </c>
      <c r="AO7" s="166">
        <v>18</v>
      </c>
      <c r="AP7" s="166">
        <v>1282.3636363636367</v>
      </c>
      <c r="AQ7" s="166">
        <v>71.242424242424264</v>
      </c>
      <c r="AR7" s="180">
        <f>RANK(AQ7, AQ$7:AQ$21)</f>
        <v>3</v>
      </c>
      <c r="AS7" s="459">
        <f>AVERAGE(AQ7:AQ21)</f>
        <v>66.786290138887367</v>
      </c>
      <c r="AT7" s="166">
        <v>18</v>
      </c>
      <c r="AU7" s="166">
        <v>1291.805825242719</v>
      </c>
      <c r="AV7" s="166">
        <v>71.766990291262175</v>
      </c>
      <c r="AW7" s="180">
        <f>RANK(AV7, AV$7:AV$21)</f>
        <v>3</v>
      </c>
      <c r="AX7" s="486">
        <f>AVERAGE(AV7:AV21)</f>
        <v>67.918565597331124</v>
      </c>
      <c r="AZ7" s="272" t="e">
        <f>RANK(AX7, $K$7:AX$21)</f>
        <v>#N/A</v>
      </c>
      <c r="BB7" s="180" t="e">
        <f>RANK(BA7, BA$7:BA$21)</f>
        <v>#N/A</v>
      </c>
    </row>
    <row r="8" spans="1:54" ht="15" customHeight="1">
      <c r="A8" s="79"/>
      <c r="B8" s="479"/>
      <c r="C8" s="180">
        <v>2</v>
      </c>
      <c r="D8" s="201" t="s">
        <v>373</v>
      </c>
      <c r="E8" s="166">
        <v>18</v>
      </c>
      <c r="F8" s="180">
        <v>1440</v>
      </c>
      <c r="G8" s="265">
        <v>80</v>
      </c>
      <c r="H8" s="460"/>
      <c r="I8" s="166">
        <f t="shared" ref="I8:K16" si="1">AVERAGE(P8,U8,Z8,AE8,AJ8,AO8,AT8)</f>
        <v>18</v>
      </c>
      <c r="J8" s="166">
        <f t="shared" si="1"/>
        <v>1246.8854282536129</v>
      </c>
      <c r="K8" s="265">
        <f t="shared" si="1"/>
        <v>69.271412680756271</v>
      </c>
      <c r="L8" s="460"/>
      <c r="M8" s="272">
        <f>RANK(K8, K$7:$K$21)</f>
        <v>4</v>
      </c>
      <c r="N8" s="462"/>
      <c r="O8" s="462"/>
      <c r="P8" s="180"/>
      <c r="Q8" s="265"/>
      <c r="R8" s="265"/>
      <c r="S8" s="180" t="e">
        <f t="shared" ref="S8:S21" si="2">RANK(R8, R$7:R$21)</f>
        <v>#N/A</v>
      </c>
      <c r="T8" s="460"/>
      <c r="U8" s="180"/>
      <c r="V8" s="265"/>
      <c r="W8" s="265"/>
      <c r="X8" s="180" t="e">
        <f t="shared" ref="X8:X21" si="3">RANK(W8, W$7:W$21)</f>
        <v>#N/A</v>
      </c>
      <c r="Y8" s="460"/>
      <c r="Z8" s="180"/>
      <c r="AA8" s="265"/>
      <c r="AB8" s="265"/>
      <c r="AC8" s="180" t="e">
        <f t="shared" ref="AC8:AC21" si="4">RANK(AB8, AB$7:AB$21)</f>
        <v>#N/A</v>
      </c>
      <c r="AD8" s="460"/>
      <c r="AE8" s="180"/>
      <c r="AF8" s="265"/>
      <c r="AG8" s="265"/>
      <c r="AH8" s="180" t="e">
        <f t="shared" ref="AH8:AH21" si="5">RANK(AG8, AG$7:AG$21)</f>
        <v>#N/A</v>
      </c>
      <c r="AI8" s="460"/>
      <c r="AJ8" s="180"/>
      <c r="AK8" s="265"/>
      <c r="AL8" s="265"/>
      <c r="AM8" s="180" t="e">
        <f t="shared" ref="AM8:AM21" si="6">RANK(AL8, AL$7:AL$21)</f>
        <v>#N/A</v>
      </c>
      <c r="AN8" s="460"/>
      <c r="AO8" s="166">
        <v>18</v>
      </c>
      <c r="AP8" s="166">
        <v>1250.3225806451592</v>
      </c>
      <c r="AQ8" s="166">
        <v>69.462365591397727</v>
      </c>
      <c r="AR8" s="180">
        <f t="shared" ref="AR8:AR21" si="7">RANK(AQ8, AQ$7:AQ$21)</f>
        <v>4</v>
      </c>
      <c r="AS8" s="460"/>
      <c r="AT8" s="166">
        <v>18</v>
      </c>
      <c r="AU8" s="166">
        <v>1243.4482758620666</v>
      </c>
      <c r="AV8" s="166">
        <v>69.080459770114814</v>
      </c>
      <c r="AW8" s="180">
        <f t="shared" ref="AW8:AW21" si="8">RANK(AV8, AV$7:AV$21)</f>
        <v>4</v>
      </c>
      <c r="AX8" s="486"/>
      <c r="AZ8" s="272" t="e">
        <f>RANK(AX8, $K$7:AX$21)</f>
        <v>#N/A</v>
      </c>
      <c r="BB8" s="180" t="e">
        <f t="shared" ref="BB8:BB21" si="9">RANK(BA8, BA$7:BA$21)</f>
        <v>#N/A</v>
      </c>
    </row>
    <row r="9" spans="1:54" ht="14.25">
      <c r="A9" s="79"/>
      <c r="B9" s="479"/>
      <c r="C9" s="180">
        <v>3</v>
      </c>
      <c r="D9" s="201" t="s">
        <v>673</v>
      </c>
      <c r="E9" s="166">
        <v>18</v>
      </c>
      <c r="F9" s="180">
        <v>1440</v>
      </c>
      <c r="G9" s="265">
        <v>80</v>
      </c>
      <c r="H9" s="460"/>
      <c r="I9" s="166">
        <f t="shared" si="1"/>
        <v>18.5</v>
      </c>
      <c r="J9" s="166">
        <f t="shared" si="1"/>
        <v>1025.869565217391</v>
      </c>
      <c r="K9" s="265">
        <f t="shared" si="1"/>
        <v>55.528222730739884</v>
      </c>
      <c r="L9" s="460"/>
      <c r="M9" s="272">
        <f>RANK(K9, K$7:$K$21)</f>
        <v>10</v>
      </c>
      <c r="N9" s="462"/>
      <c r="O9" s="462"/>
      <c r="P9" s="180"/>
      <c r="Q9" s="265"/>
      <c r="R9" s="265"/>
      <c r="S9" s="180" t="e">
        <f t="shared" si="2"/>
        <v>#N/A</v>
      </c>
      <c r="T9" s="460"/>
      <c r="U9" s="180"/>
      <c r="V9" s="265"/>
      <c r="W9" s="265"/>
      <c r="X9" s="180" t="e">
        <f t="shared" si="3"/>
        <v>#N/A</v>
      </c>
      <c r="Y9" s="460"/>
      <c r="Z9" s="180"/>
      <c r="AA9" s="265"/>
      <c r="AB9" s="265"/>
      <c r="AC9" s="180" t="e">
        <f t="shared" si="4"/>
        <v>#N/A</v>
      </c>
      <c r="AD9" s="460"/>
      <c r="AE9" s="180"/>
      <c r="AF9" s="265"/>
      <c r="AG9" s="265"/>
      <c r="AH9" s="180" t="e">
        <f t="shared" si="5"/>
        <v>#N/A</v>
      </c>
      <c r="AI9" s="460"/>
      <c r="AJ9" s="180"/>
      <c r="AK9" s="265"/>
      <c r="AL9" s="265"/>
      <c r="AM9" s="180" t="e">
        <f t="shared" si="6"/>
        <v>#N/A</v>
      </c>
      <c r="AN9" s="460"/>
      <c r="AO9" s="166">
        <v>19</v>
      </c>
      <c r="AP9" s="166">
        <v>1001.7391304347826</v>
      </c>
      <c r="AQ9" s="166">
        <v>52.723112128146454</v>
      </c>
      <c r="AR9" s="180">
        <f t="shared" si="7"/>
        <v>10</v>
      </c>
      <c r="AS9" s="460"/>
      <c r="AT9" s="166">
        <v>18</v>
      </c>
      <c r="AU9" s="166">
        <v>1049.9999999999995</v>
      </c>
      <c r="AV9" s="166">
        <v>58.333333333333307</v>
      </c>
      <c r="AW9" s="180">
        <f t="shared" si="8"/>
        <v>9</v>
      </c>
      <c r="AX9" s="486"/>
      <c r="AZ9" s="272" t="e">
        <f>RANK(AX9, $K$7:AX$21)</f>
        <v>#N/A</v>
      </c>
      <c r="BB9" s="180" t="e">
        <f t="shared" si="9"/>
        <v>#N/A</v>
      </c>
    </row>
    <row r="10" spans="1:54" ht="14.25">
      <c r="A10" s="79"/>
      <c r="B10" s="479"/>
      <c r="C10" s="180">
        <v>4</v>
      </c>
      <c r="D10" s="201" t="s">
        <v>374</v>
      </c>
      <c r="E10" s="166">
        <v>16</v>
      </c>
      <c r="F10" s="180">
        <v>1440</v>
      </c>
      <c r="G10" s="265">
        <v>90</v>
      </c>
      <c r="H10" s="460"/>
      <c r="I10" s="166">
        <f t="shared" si="1"/>
        <v>16</v>
      </c>
      <c r="J10" s="166">
        <f t="shared" si="1"/>
        <v>1270.9416941694176</v>
      </c>
      <c r="K10" s="265">
        <f t="shared" si="1"/>
        <v>79.433855885588599</v>
      </c>
      <c r="L10" s="460"/>
      <c r="M10" s="272">
        <f>RANK(K10, K$7:$K$21)</f>
        <v>2</v>
      </c>
      <c r="N10" s="462"/>
      <c r="O10" s="462"/>
      <c r="P10" s="180"/>
      <c r="Q10" s="265"/>
      <c r="R10" s="265"/>
      <c r="S10" s="180" t="e">
        <f t="shared" si="2"/>
        <v>#N/A</v>
      </c>
      <c r="T10" s="460"/>
      <c r="U10" s="180"/>
      <c r="V10" s="265"/>
      <c r="W10" s="265"/>
      <c r="X10" s="180" t="e">
        <f t="shared" si="3"/>
        <v>#N/A</v>
      </c>
      <c r="Y10" s="460"/>
      <c r="Z10" s="180"/>
      <c r="AA10" s="265"/>
      <c r="AB10" s="265"/>
      <c r="AC10" s="180" t="e">
        <f t="shared" si="4"/>
        <v>#N/A</v>
      </c>
      <c r="AD10" s="460"/>
      <c r="AE10" s="180"/>
      <c r="AF10" s="265"/>
      <c r="AG10" s="265"/>
      <c r="AH10" s="180" t="e">
        <f t="shared" si="5"/>
        <v>#N/A</v>
      </c>
      <c r="AI10" s="460"/>
      <c r="AJ10" s="180"/>
      <c r="AK10" s="265"/>
      <c r="AL10" s="265"/>
      <c r="AM10" s="180" t="e">
        <f t="shared" si="6"/>
        <v>#N/A</v>
      </c>
      <c r="AN10" s="460"/>
      <c r="AO10" s="166">
        <v>16</v>
      </c>
      <c r="AP10" s="166">
        <v>1251.1111111111118</v>
      </c>
      <c r="AQ10" s="166">
        <v>78.194444444444485</v>
      </c>
      <c r="AR10" s="180">
        <f t="shared" si="7"/>
        <v>2</v>
      </c>
      <c r="AS10" s="460"/>
      <c r="AT10" s="166">
        <v>16</v>
      </c>
      <c r="AU10" s="166">
        <v>1290.7722772277234</v>
      </c>
      <c r="AV10" s="166">
        <v>80.673267326732713</v>
      </c>
      <c r="AW10" s="180">
        <f t="shared" si="8"/>
        <v>2</v>
      </c>
      <c r="AX10" s="486"/>
      <c r="AZ10" s="272" t="e">
        <f>RANK(AX10, $K$7:AX$21)</f>
        <v>#N/A</v>
      </c>
      <c r="BB10" s="180" t="e">
        <f t="shared" si="9"/>
        <v>#N/A</v>
      </c>
    </row>
    <row r="11" spans="1:54" ht="14.25">
      <c r="A11" s="79"/>
      <c r="B11" s="479"/>
      <c r="C11" s="180">
        <v>5</v>
      </c>
      <c r="D11" s="201" t="s">
        <v>375</v>
      </c>
      <c r="E11" s="166">
        <v>17</v>
      </c>
      <c r="F11" s="180">
        <v>1440</v>
      </c>
      <c r="G11" s="265">
        <v>84.7</v>
      </c>
      <c r="H11" s="460"/>
      <c r="I11" s="166">
        <f t="shared" si="1"/>
        <v>19</v>
      </c>
      <c r="J11" s="166">
        <f t="shared" si="1"/>
        <v>1106.0624999999982</v>
      </c>
      <c r="K11" s="265">
        <f t="shared" si="1"/>
        <v>58.213815789473585</v>
      </c>
      <c r="L11" s="460"/>
      <c r="M11" s="272">
        <f>RANK(K11, K$7:$K$21)</f>
        <v>9</v>
      </c>
      <c r="N11" s="462"/>
      <c r="O11" s="462"/>
      <c r="P11" s="180"/>
      <c r="Q11" s="265"/>
      <c r="R11" s="265"/>
      <c r="S11" s="180" t="e">
        <f t="shared" si="2"/>
        <v>#N/A</v>
      </c>
      <c r="T11" s="460"/>
      <c r="U11" s="180"/>
      <c r="V11" s="265"/>
      <c r="W11" s="265"/>
      <c r="X11" s="180" t="e">
        <f t="shared" si="3"/>
        <v>#N/A</v>
      </c>
      <c r="Y11" s="460"/>
      <c r="Z11" s="180"/>
      <c r="AA11" s="265"/>
      <c r="AB11" s="265"/>
      <c r="AC11" s="180" t="e">
        <f t="shared" si="4"/>
        <v>#N/A</v>
      </c>
      <c r="AD11" s="460"/>
      <c r="AE11" s="180"/>
      <c r="AF11" s="265"/>
      <c r="AG11" s="265"/>
      <c r="AH11" s="180" t="e">
        <f t="shared" si="5"/>
        <v>#N/A</v>
      </c>
      <c r="AI11" s="460"/>
      <c r="AJ11" s="180"/>
      <c r="AK11" s="265"/>
      <c r="AL11" s="265"/>
      <c r="AM11" s="180" t="e">
        <f t="shared" si="6"/>
        <v>#N/A</v>
      </c>
      <c r="AN11" s="460"/>
      <c r="AO11" s="166">
        <v>19</v>
      </c>
      <c r="AP11" s="166">
        <v>1103.999999999998</v>
      </c>
      <c r="AQ11" s="166">
        <v>58.105263157894626</v>
      </c>
      <c r="AR11" s="180">
        <f t="shared" si="7"/>
        <v>9</v>
      </c>
      <c r="AS11" s="460"/>
      <c r="AT11" s="166">
        <v>19</v>
      </c>
      <c r="AU11" s="166">
        <v>1108.1249999999984</v>
      </c>
      <c r="AV11" s="166">
        <v>58.322368421052545</v>
      </c>
      <c r="AW11" s="180">
        <f t="shared" si="8"/>
        <v>10</v>
      </c>
      <c r="AX11" s="486"/>
      <c r="AZ11" s="272" t="e">
        <f>RANK(AX11, $K$7:AX$21)</f>
        <v>#N/A</v>
      </c>
      <c r="BB11" s="180" t="e">
        <f t="shared" si="9"/>
        <v>#N/A</v>
      </c>
    </row>
    <row r="12" spans="1:54" ht="14.25">
      <c r="A12" s="79"/>
      <c r="B12" s="479"/>
      <c r="C12" s="180">
        <v>6</v>
      </c>
      <c r="D12" s="201" t="s">
        <v>376</v>
      </c>
      <c r="E12" s="166">
        <v>21</v>
      </c>
      <c r="F12" s="180">
        <v>1385</v>
      </c>
      <c r="G12" s="265">
        <v>65.900000000000006</v>
      </c>
      <c r="H12" s="460"/>
      <c r="I12" s="166">
        <f t="shared" si="1"/>
        <v>19.5</v>
      </c>
      <c r="J12" s="166">
        <f t="shared" si="1"/>
        <v>1157.9659498207884</v>
      </c>
      <c r="K12" s="265">
        <f t="shared" si="1"/>
        <v>59.409757592906992</v>
      </c>
      <c r="L12" s="460"/>
      <c r="M12" s="272">
        <f>RANK(K12, K$7:$K$21)</f>
        <v>8</v>
      </c>
      <c r="N12" s="462"/>
      <c r="O12" s="462"/>
      <c r="P12" s="180"/>
      <c r="Q12" s="265"/>
      <c r="R12" s="265"/>
      <c r="S12" s="180" t="e">
        <f t="shared" si="2"/>
        <v>#N/A</v>
      </c>
      <c r="T12" s="460"/>
      <c r="U12" s="180"/>
      <c r="V12" s="265"/>
      <c r="W12" s="265"/>
      <c r="X12" s="180" t="e">
        <f t="shared" si="3"/>
        <v>#N/A</v>
      </c>
      <c r="Y12" s="460"/>
      <c r="Z12" s="180"/>
      <c r="AA12" s="265"/>
      <c r="AB12" s="265"/>
      <c r="AC12" s="180" t="e">
        <f t="shared" si="4"/>
        <v>#N/A</v>
      </c>
      <c r="AD12" s="460"/>
      <c r="AE12" s="180"/>
      <c r="AF12" s="265"/>
      <c r="AG12" s="265"/>
      <c r="AH12" s="180" t="e">
        <f t="shared" si="5"/>
        <v>#N/A</v>
      </c>
      <c r="AI12" s="460"/>
      <c r="AJ12" s="180"/>
      <c r="AK12" s="265"/>
      <c r="AL12" s="265"/>
      <c r="AM12" s="180" t="e">
        <f t="shared" si="6"/>
        <v>#N/A</v>
      </c>
      <c r="AN12" s="460"/>
      <c r="AO12" s="166">
        <v>19</v>
      </c>
      <c r="AP12" s="166">
        <v>1148.7096774193551</v>
      </c>
      <c r="AQ12" s="166">
        <v>60.458404074702898</v>
      </c>
      <c r="AR12" s="180">
        <f t="shared" si="7"/>
        <v>8</v>
      </c>
      <c r="AS12" s="460"/>
      <c r="AT12" s="166">
        <v>20</v>
      </c>
      <c r="AU12" s="166">
        <v>1167.2222222222217</v>
      </c>
      <c r="AV12" s="166">
        <v>58.361111111111086</v>
      </c>
      <c r="AW12" s="180">
        <f t="shared" si="8"/>
        <v>8</v>
      </c>
      <c r="AX12" s="486"/>
      <c r="AZ12" s="272" t="e">
        <f>RANK(AX12, $K$7:AX$21)</f>
        <v>#N/A</v>
      </c>
      <c r="BB12" s="180" t="e">
        <f t="shared" si="9"/>
        <v>#N/A</v>
      </c>
    </row>
    <row r="13" spans="1:54" ht="14.25">
      <c r="A13" s="79"/>
      <c r="B13" s="479"/>
      <c r="C13" s="180">
        <v>7</v>
      </c>
      <c r="D13" s="201" t="s">
        <v>377</v>
      </c>
      <c r="E13" s="166">
        <v>19</v>
      </c>
      <c r="F13" s="180">
        <v>1440</v>
      </c>
      <c r="G13" s="265">
        <v>75.8</v>
      </c>
      <c r="H13" s="460"/>
      <c r="I13" s="166">
        <f t="shared" si="1"/>
        <v>19</v>
      </c>
      <c r="J13" s="166">
        <f t="shared" si="1"/>
        <v>1232.0780590717291</v>
      </c>
      <c r="K13" s="265">
        <f t="shared" si="1"/>
        <v>64.846213635354161</v>
      </c>
      <c r="L13" s="460"/>
      <c r="M13" s="272">
        <f>RANK(K13, K$7:$K$21)</f>
        <v>6</v>
      </c>
      <c r="N13" s="462"/>
      <c r="O13" s="462"/>
      <c r="P13" s="180"/>
      <c r="Q13" s="265"/>
      <c r="R13" s="265"/>
      <c r="S13" s="180" t="e">
        <f t="shared" si="2"/>
        <v>#N/A</v>
      </c>
      <c r="T13" s="460"/>
      <c r="U13" s="180"/>
      <c r="V13" s="265"/>
      <c r="W13" s="265"/>
      <c r="X13" s="180" t="e">
        <f t="shared" si="3"/>
        <v>#N/A</v>
      </c>
      <c r="Y13" s="460"/>
      <c r="Z13" s="180"/>
      <c r="AA13" s="265"/>
      <c r="AB13" s="265"/>
      <c r="AC13" s="180" t="e">
        <f t="shared" si="4"/>
        <v>#N/A</v>
      </c>
      <c r="AD13" s="460"/>
      <c r="AE13" s="180"/>
      <c r="AF13" s="265"/>
      <c r="AG13" s="265"/>
      <c r="AH13" s="180" t="e">
        <f t="shared" si="5"/>
        <v>#N/A</v>
      </c>
      <c r="AI13" s="460"/>
      <c r="AJ13" s="180"/>
      <c r="AK13" s="265"/>
      <c r="AL13" s="265"/>
      <c r="AM13" s="180" t="e">
        <f t="shared" si="6"/>
        <v>#N/A</v>
      </c>
      <c r="AN13" s="460"/>
      <c r="AO13" s="166">
        <v>19</v>
      </c>
      <c r="AP13" s="166">
        <v>1225.8227848101258</v>
      </c>
      <c r="AQ13" s="166">
        <v>64.516988674217146</v>
      </c>
      <c r="AR13" s="180">
        <f t="shared" si="7"/>
        <v>6</v>
      </c>
      <c r="AS13" s="460"/>
      <c r="AT13" s="166">
        <v>19</v>
      </c>
      <c r="AU13" s="166">
        <v>1238.3333333333323</v>
      </c>
      <c r="AV13" s="166">
        <v>65.175438596491176</v>
      </c>
      <c r="AW13" s="180">
        <f t="shared" si="8"/>
        <v>6</v>
      </c>
      <c r="AX13" s="486"/>
      <c r="AZ13" s="272" t="e">
        <f>RANK(AX13, $K$7:AX$21)</f>
        <v>#N/A</v>
      </c>
      <c r="BB13" s="180" t="e">
        <f t="shared" si="9"/>
        <v>#N/A</v>
      </c>
    </row>
    <row r="14" spans="1:54" ht="14.25">
      <c r="A14" s="79"/>
      <c r="B14" s="479"/>
      <c r="C14" s="180">
        <v>8</v>
      </c>
      <c r="D14" s="201" t="s">
        <v>454</v>
      </c>
      <c r="E14" s="166">
        <v>18</v>
      </c>
      <c r="F14" s="180">
        <v>1385</v>
      </c>
      <c r="G14" s="265">
        <v>76.900000000000006</v>
      </c>
      <c r="H14" s="460"/>
      <c r="I14" s="166">
        <f t="shared" si="1"/>
        <v>18</v>
      </c>
      <c r="J14" s="166">
        <f t="shared" si="1"/>
        <v>1213.9058413251958</v>
      </c>
      <c r="K14" s="265">
        <f t="shared" si="1"/>
        <v>67.439213406955318</v>
      </c>
      <c r="L14" s="460"/>
      <c r="M14" s="272">
        <f>RANK(K14, K$7:$K$21)</f>
        <v>5</v>
      </c>
      <c r="N14" s="462"/>
      <c r="O14" s="462"/>
      <c r="P14" s="180"/>
      <c r="Q14" s="265"/>
      <c r="R14" s="265"/>
      <c r="S14" s="180" t="e">
        <f t="shared" si="2"/>
        <v>#N/A</v>
      </c>
      <c r="T14" s="460"/>
      <c r="U14" s="180"/>
      <c r="V14" s="265"/>
      <c r="W14" s="265"/>
      <c r="X14" s="180" t="e">
        <f t="shared" si="3"/>
        <v>#N/A</v>
      </c>
      <c r="Y14" s="460"/>
      <c r="Z14" s="180"/>
      <c r="AA14" s="265"/>
      <c r="AB14" s="265"/>
      <c r="AC14" s="180" t="e">
        <f t="shared" si="4"/>
        <v>#N/A</v>
      </c>
      <c r="AD14" s="460"/>
      <c r="AE14" s="180"/>
      <c r="AF14" s="265"/>
      <c r="AG14" s="265"/>
      <c r="AH14" s="180" t="e">
        <f t="shared" si="5"/>
        <v>#N/A</v>
      </c>
      <c r="AI14" s="460"/>
      <c r="AJ14" s="180"/>
      <c r="AK14" s="265"/>
      <c r="AL14" s="265"/>
      <c r="AM14" s="180" t="e">
        <f t="shared" si="6"/>
        <v>#N/A</v>
      </c>
      <c r="AN14" s="460"/>
      <c r="AO14" s="166">
        <v>18</v>
      </c>
      <c r="AP14" s="166">
        <v>1214.8387096774195</v>
      </c>
      <c r="AQ14" s="166">
        <v>67.491039426523301</v>
      </c>
      <c r="AR14" s="180">
        <f t="shared" si="7"/>
        <v>5</v>
      </c>
      <c r="AS14" s="460"/>
      <c r="AT14" s="166">
        <v>18</v>
      </c>
      <c r="AU14" s="166">
        <v>1212.972972972972</v>
      </c>
      <c r="AV14" s="166">
        <v>67.387387387387335</v>
      </c>
      <c r="AW14" s="180">
        <f t="shared" si="8"/>
        <v>5</v>
      </c>
      <c r="AX14" s="486"/>
      <c r="AZ14" s="272" t="e">
        <f>RANK(AX14, $K$7:AX$21)</f>
        <v>#N/A</v>
      </c>
      <c r="BB14" s="180" t="e">
        <f t="shared" si="9"/>
        <v>#N/A</v>
      </c>
    </row>
    <row r="15" spans="1:54" ht="14.25">
      <c r="A15" s="79"/>
      <c r="B15" s="479"/>
      <c r="C15" s="180">
        <v>9</v>
      </c>
      <c r="D15" s="201" t="s">
        <v>457</v>
      </c>
      <c r="E15" s="166">
        <v>18</v>
      </c>
      <c r="F15" s="180">
        <v>1385</v>
      </c>
      <c r="G15" s="265">
        <v>76.900000000000006</v>
      </c>
      <c r="H15" s="460"/>
      <c r="I15" s="166">
        <f t="shared" si="1"/>
        <v>19</v>
      </c>
      <c r="J15" s="166">
        <f t="shared" si="1"/>
        <v>1218.9189189189178</v>
      </c>
      <c r="K15" s="265">
        <f t="shared" si="1"/>
        <v>64.153627311522001</v>
      </c>
      <c r="L15" s="460"/>
      <c r="M15" s="272">
        <f>RANK(K15, K$7:$K$21)</f>
        <v>7</v>
      </c>
      <c r="N15" s="462"/>
      <c r="O15" s="462"/>
      <c r="P15" s="180"/>
      <c r="Q15" s="265"/>
      <c r="R15" s="265"/>
      <c r="S15" s="180" t="e">
        <f t="shared" si="2"/>
        <v>#N/A</v>
      </c>
      <c r="T15" s="460"/>
      <c r="U15" s="180"/>
      <c r="V15" s="265"/>
      <c r="W15" s="265"/>
      <c r="X15" s="180" t="e">
        <f t="shared" si="3"/>
        <v>#N/A</v>
      </c>
      <c r="Y15" s="460"/>
      <c r="Z15" s="180"/>
      <c r="AA15" s="265"/>
      <c r="AB15" s="265"/>
      <c r="AC15" s="180" t="e">
        <f t="shared" si="4"/>
        <v>#N/A</v>
      </c>
      <c r="AD15" s="460"/>
      <c r="AE15" s="180"/>
      <c r="AF15" s="265"/>
      <c r="AG15" s="265"/>
      <c r="AH15" s="180" t="e">
        <f t="shared" si="5"/>
        <v>#N/A</v>
      </c>
      <c r="AI15" s="460"/>
      <c r="AJ15" s="180"/>
      <c r="AK15" s="265"/>
      <c r="AL15" s="265"/>
      <c r="AM15" s="180" t="e">
        <f t="shared" si="6"/>
        <v>#N/A</v>
      </c>
      <c r="AN15" s="460"/>
      <c r="AO15" s="166">
        <v>19</v>
      </c>
      <c r="AP15" s="166">
        <v>1219.9999999999991</v>
      </c>
      <c r="AQ15" s="166">
        <v>64.210526315789423</v>
      </c>
      <c r="AR15" s="180">
        <f t="shared" si="7"/>
        <v>7</v>
      </c>
      <c r="AS15" s="460"/>
      <c r="AT15" s="166">
        <v>19</v>
      </c>
      <c r="AU15" s="166">
        <v>1217.8378378378368</v>
      </c>
      <c r="AV15" s="166">
        <v>64.096728307254565</v>
      </c>
      <c r="AW15" s="180">
        <f t="shared" si="8"/>
        <v>7</v>
      </c>
      <c r="AX15" s="486"/>
      <c r="AZ15" s="272" t="e">
        <f>RANK(AX15, $K$7:AX$21)</f>
        <v>#N/A</v>
      </c>
      <c r="BB15" s="180" t="e">
        <f t="shared" si="9"/>
        <v>#N/A</v>
      </c>
    </row>
    <row r="16" spans="1:54" ht="14.25">
      <c r="A16" s="79"/>
      <c r="B16" s="479"/>
      <c r="C16" s="180">
        <v>10</v>
      </c>
      <c r="D16" s="201" t="s">
        <v>524</v>
      </c>
      <c r="E16" s="166">
        <v>16</v>
      </c>
      <c r="F16" s="180">
        <v>1440</v>
      </c>
      <c r="G16" s="265">
        <v>90</v>
      </c>
      <c r="H16" s="460"/>
      <c r="I16" s="166">
        <f t="shared" si="1"/>
        <v>15.5</v>
      </c>
      <c r="J16" s="166">
        <f t="shared" si="1"/>
        <v>1296.5809523809526</v>
      </c>
      <c r="K16" s="265">
        <f t="shared" si="1"/>
        <v>83.723452380952381</v>
      </c>
      <c r="L16" s="460"/>
      <c r="M16" s="272">
        <f>RANK(K16, K$7:$K$21)</f>
        <v>1</v>
      </c>
      <c r="N16" s="462"/>
      <c r="O16" s="462"/>
      <c r="P16" s="180"/>
      <c r="Q16" s="265"/>
      <c r="R16" s="265"/>
      <c r="S16" s="180" t="e">
        <f t="shared" si="2"/>
        <v>#N/A</v>
      </c>
      <c r="T16" s="460"/>
      <c r="U16" s="180"/>
      <c r="V16" s="265"/>
      <c r="W16" s="265"/>
      <c r="X16" s="180" t="e">
        <f t="shared" si="3"/>
        <v>#N/A</v>
      </c>
      <c r="Y16" s="460"/>
      <c r="Z16" s="180"/>
      <c r="AA16" s="265"/>
      <c r="AB16" s="265"/>
      <c r="AC16" s="180" t="e">
        <f t="shared" si="4"/>
        <v>#N/A</v>
      </c>
      <c r="AD16" s="460"/>
      <c r="AE16" s="180"/>
      <c r="AF16" s="265"/>
      <c r="AG16" s="265"/>
      <c r="AH16" s="180" t="e">
        <f t="shared" si="5"/>
        <v>#N/A</v>
      </c>
      <c r="AI16" s="460"/>
      <c r="AJ16" s="180"/>
      <c r="AK16" s="265"/>
      <c r="AL16" s="265"/>
      <c r="AM16" s="180" t="e">
        <f t="shared" si="6"/>
        <v>#N/A</v>
      </c>
      <c r="AN16" s="460"/>
      <c r="AO16" s="166">
        <v>16</v>
      </c>
      <c r="AP16" s="166">
        <v>1303.3333333333337</v>
      </c>
      <c r="AQ16" s="166">
        <v>81.458333333333357</v>
      </c>
      <c r="AR16" s="180">
        <f t="shared" si="7"/>
        <v>1</v>
      </c>
      <c r="AS16" s="460"/>
      <c r="AT16" s="166">
        <v>15</v>
      </c>
      <c r="AU16" s="166">
        <v>1289.8285714285712</v>
      </c>
      <c r="AV16" s="166">
        <v>85.988571428571419</v>
      </c>
      <c r="AW16" s="180">
        <f t="shared" si="8"/>
        <v>1</v>
      </c>
      <c r="AX16" s="486"/>
      <c r="AZ16" s="272" t="e">
        <f>RANK(AX16, $K$7:AX$21)</f>
        <v>#N/A</v>
      </c>
      <c r="BB16" s="180" t="e">
        <f t="shared" si="9"/>
        <v>#N/A</v>
      </c>
    </row>
    <row r="17" spans="2:54">
      <c r="B17" s="479"/>
      <c r="C17" s="180">
        <v>11</v>
      </c>
      <c r="D17" s="201" t="s">
        <v>561</v>
      </c>
      <c r="E17" s="166">
        <v>16</v>
      </c>
      <c r="F17" s="180">
        <v>1440</v>
      </c>
      <c r="G17" s="265">
        <v>90</v>
      </c>
      <c r="H17" s="460"/>
      <c r="I17" s="180"/>
      <c r="J17" s="180"/>
      <c r="K17" s="180"/>
      <c r="L17" s="460"/>
      <c r="M17" s="272" t="e">
        <f>RANK(K17, K$7:$K$21)</f>
        <v>#N/A</v>
      </c>
      <c r="N17" s="462"/>
      <c r="O17" s="462"/>
      <c r="P17" s="180"/>
      <c r="Q17" s="265"/>
      <c r="R17" s="265"/>
      <c r="S17" s="180" t="e">
        <f t="shared" si="2"/>
        <v>#N/A</v>
      </c>
      <c r="T17" s="460"/>
      <c r="U17" s="180"/>
      <c r="V17" s="265"/>
      <c r="W17" s="265"/>
      <c r="X17" s="180" t="e">
        <f t="shared" si="3"/>
        <v>#N/A</v>
      </c>
      <c r="Y17" s="460"/>
      <c r="Z17" s="180"/>
      <c r="AA17" s="265"/>
      <c r="AB17" s="265"/>
      <c r="AC17" s="180" t="e">
        <f t="shared" si="4"/>
        <v>#N/A</v>
      </c>
      <c r="AD17" s="460"/>
      <c r="AE17" s="180"/>
      <c r="AF17" s="265"/>
      <c r="AG17" s="265"/>
      <c r="AH17" s="180" t="e">
        <f t="shared" si="5"/>
        <v>#N/A</v>
      </c>
      <c r="AI17" s="460"/>
      <c r="AJ17" s="180"/>
      <c r="AK17" s="265"/>
      <c r="AL17" s="265"/>
      <c r="AM17" s="180" t="e">
        <f t="shared" si="6"/>
        <v>#N/A</v>
      </c>
      <c r="AN17" s="460"/>
      <c r="AO17" s="180"/>
      <c r="AP17" s="265"/>
      <c r="AQ17" s="265"/>
      <c r="AR17" s="180" t="e">
        <f t="shared" si="7"/>
        <v>#N/A</v>
      </c>
      <c r="AS17" s="460"/>
      <c r="AT17" s="180"/>
      <c r="AU17" s="265"/>
      <c r="AV17" s="265"/>
      <c r="AW17" s="180" t="e">
        <f t="shared" si="8"/>
        <v>#N/A</v>
      </c>
      <c r="AX17" s="486"/>
      <c r="AZ17" s="272" t="e">
        <f>RANK(AX17, $K$7:AX$21)</f>
        <v>#N/A</v>
      </c>
      <c r="BB17" s="180" t="e">
        <f t="shared" si="9"/>
        <v>#N/A</v>
      </c>
    </row>
    <row r="18" spans="2:54">
      <c r="B18" s="479"/>
      <c r="C18" s="180">
        <v>12</v>
      </c>
      <c r="D18" s="201"/>
      <c r="E18" s="166"/>
      <c r="F18" s="180"/>
      <c r="G18" s="265"/>
      <c r="H18" s="460"/>
      <c r="I18" s="180"/>
      <c r="J18" s="180"/>
      <c r="K18" s="180"/>
      <c r="L18" s="460"/>
      <c r="M18" s="272" t="e">
        <f>RANK(K18, K$7:$K$21)</f>
        <v>#N/A</v>
      </c>
      <c r="N18" s="462"/>
      <c r="O18" s="462"/>
      <c r="P18" s="180"/>
      <c r="Q18" s="265"/>
      <c r="R18" s="265"/>
      <c r="S18" s="180" t="e">
        <f t="shared" si="2"/>
        <v>#N/A</v>
      </c>
      <c r="T18" s="460"/>
      <c r="U18" s="180"/>
      <c r="V18" s="265"/>
      <c r="W18" s="265"/>
      <c r="X18" s="180" t="e">
        <f t="shared" si="3"/>
        <v>#N/A</v>
      </c>
      <c r="Y18" s="460"/>
      <c r="Z18" s="180"/>
      <c r="AA18" s="265"/>
      <c r="AB18" s="265"/>
      <c r="AC18" s="180" t="e">
        <f t="shared" si="4"/>
        <v>#N/A</v>
      </c>
      <c r="AD18" s="460"/>
      <c r="AE18" s="180"/>
      <c r="AF18" s="265"/>
      <c r="AG18" s="265"/>
      <c r="AH18" s="180" t="e">
        <f t="shared" si="5"/>
        <v>#N/A</v>
      </c>
      <c r="AI18" s="460"/>
      <c r="AJ18" s="180"/>
      <c r="AK18" s="265"/>
      <c r="AL18" s="265"/>
      <c r="AM18" s="180" t="e">
        <f t="shared" si="6"/>
        <v>#N/A</v>
      </c>
      <c r="AN18" s="460"/>
      <c r="AO18" s="180"/>
      <c r="AP18" s="265"/>
      <c r="AQ18" s="265"/>
      <c r="AR18" s="180" t="e">
        <f t="shared" si="7"/>
        <v>#N/A</v>
      </c>
      <c r="AS18" s="460"/>
      <c r="AT18" s="180"/>
      <c r="AU18" s="265"/>
      <c r="AV18" s="265"/>
      <c r="AW18" s="180" t="e">
        <f t="shared" si="8"/>
        <v>#N/A</v>
      </c>
      <c r="AX18" s="486"/>
      <c r="AZ18" s="272" t="e">
        <f>RANK(AX18, $K$7:AX$21)</f>
        <v>#N/A</v>
      </c>
      <c r="BB18" s="180" t="e">
        <f t="shared" si="9"/>
        <v>#N/A</v>
      </c>
    </row>
    <row r="19" spans="2:54">
      <c r="B19" s="479"/>
      <c r="C19" s="180">
        <v>13</v>
      </c>
      <c r="D19" s="201"/>
      <c r="E19" s="166"/>
      <c r="F19" s="180"/>
      <c r="G19" s="265"/>
      <c r="H19" s="460"/>
      <c r="I19" s="180"/>
      <c r="J19" s="180"/>
      <c r="K19" s="180"/>
      <c r="L19" s="460"/>
      <c r="M19" s="272" t="e">
        <f>RANK(K19, K$7:$K$21)</f>
        <v>#N/A</v>
      </c>
      <c r="N19" s="462"/>
      <c r="O19" s="462"/>
      <c r="P19" s="180"/>
      <c r="Q19" s="265"/>
      <c r="R19" s="265"/>
      <c r="S19" s="180" t="e">
        <f t="shared" si="2"/>
        <v>#N/A</v>
      </c>
      <c r="T19" s="460"/>
      <c r="U19" s="180"/>
      <c r="V19" s="265"/>
      <c r="W19" s="265"/>
      <c r="X19" s="180" t="e">
        <f t="shared" si="3"/>
        <v>#N/A</v>
      </c>
      <c r="Y19" s="460"/>
      <c r="Z19" s="180"/>
      <c r="AA19" s="265"/>
      <c r="AB19" s="265"/>
      <c r="AC19" s="180" t="e">
        <f t="shared" si="4"/>
        <v>#N/A</v>
      </c>
      <c r="AD19" s="460"/>
      <c r="AE19" s="180"/>
      <c r="AF19" s="265"/>
      <c r="AG19" s="265"/>
      <c r="AH19" s="180" t="e">
        <f t="shared" si="5"/>
        <v>#N/A</v>
      </c>
      <c r="AI19" s="460"/>
      <c r="AJ19" s="180"/>
      <c r="AK19" s="265"/>
      <c r="AL19" s="265"/>
      <c r="AM19" s="180" t="e">
        <f t="shared" si="6"/>
        <v>#N/A</v>
      </c>
      <c r="AN19" s="460"/>
      <c r="AO19" s="180"/>
      <c r="AP19" s="265"/>
      <c r="AQ19" s="265"/>
      <c r="AR19" s="180" t="e">
        <f t="shared" si="7"/>
        <v>#N/A</v>
      </c>
      <c r="AS19" s="460"/>
      <c r="AT19" s="180"/>
      <c r="AU19" s="265"/>
      <c r="AV19" s="265"/>
      <c r="AW19" s="180" t="e">
        <f t="shared" si="8"/>
        <v>#N/A</v>
      </c>
      <c r="AX19" s="486"/>
      <c r="AZ19" s="272" t="e">
        <f>RANK(AX19, $K$7:AX$21)</f>
        <v>#N/A</v>
      </c>
      <c r="BB19" s="180" t="e">
        <f t="shared" si="9"/>
        <v>#N/A</v>
      </c>
    </row>
    <row r="20" spans="2:54">
      <c r="B20" s="479"/>
      <c r="C20" s="180">
        <v>14</v>
      </c>
      <c r="D20" s="201"/>
      <c r="E20" s="166"/>
      <c r="F20" s="180"/>
      <c r="G20" s="265"/>
      <c r="H20" s="460"/>
      <c r="I20" s="180"/>
      <c r="J20" s="180"/>
      <c r="K20" s="180"/>
      <c r="L20" s="460"/>
      <c r="M20" s="272" t="e">
        <f>RANK(K20, K$7:$K$21)</f>
        <v>#N/A</v>
      </c>
      <c r="N20" s="462"/>
      <c r="O20" s="462"/>
      <c r="P20" s="180"/>
      <c r="Q20" s="265"/>
      <c r="R20" s="265"/>
      <c r="S20" s="180" t="e">
        <f t="shared" si="2"/>
        <v>#N/A</v>
      </c>
      <c r="T20" s="460"/>
      <c r="U20" s="180"/>
      <c r="V20" s="265"/>
      <c r="W20" s="265"/>
      <c r="X20" s="180" t="e">
        <f t="shared" si="3"/>
        <v>#N/A</v>
      </c>
      <c r="Y20" s="460"/>
      <c r="Z20" s="180"/>
      <c r="AA20" s="265"/>
      <c r="AB20" s="265"/>
      <c r="AC20" s="180" t="e">
        <f t="shared" si="4"/>
        <v>#N/A</v>
      </c>
      <c r="AD20" s="460"/>
      <c r="AE20" s="180"/>
      <c r="AF20" s="265"/>
      <c r="AG20" s="265"/>
      <c r="AH20" s="180" t="e">
        <f t="shared" si="5"/>
        <v>#N/A</v>
      </c>
      <c r="AI20" s="460"/>
      <c r="AJ20" s="180"/>
      <c r="AK20" s="265"/>
      <c r="AL20" s="265"/>
      <c r="AM20" s="180" t="e">
        <f t="shared" si="6"/>
        <v>#N/A</v>
      </c>
      <c r="AN20" s="460"/>
      <c r="AO20" s="180"/>
      <c r="AP20" s="265"/>
      <c r="AQ20" s="265"/>
      <c r="AR20" s="180" t="e">
        <f t="shared" si="7"/>
        <v>#N/A</v>
      </c>
      <c r="AS20" s="460"/>
      <c r="AT20" s="180"/>
      <c r="AU20" s="265"/>
      <c r="AV20" s="265"/>
      <c r="AW20" s="180" t="e">
        <f t="shared" si="8"/>
        <v>#N/A</v>
      </c>
      <c r="AX20" s="486"/>
      <c r="AZ20" s="272" t="e">
        <f>RANK(AX20, $K$7:AX$21)</f>
        <v>#N/A</v>
      </c>
      <c r="BB20" s="180" t="e">
        <f t="shared" si="9"/>
        <v>#N/A</v>
      </c>
    </row>
    <row r="21" spans="2:54">
      <c r="B21" s="479"/>
      <c r="C21" s="180">
        <v>15</v>
      </c>
      <c r="D21" s="201"/>
      <c r="E21" s="166"/>
      <c r="F21" s="180"/>
      <c r="G21" s="265"/>
      <c r="H21" s="461"/>
      <c r="I21" s="180"/>
      <c r="J21" s="180"/>
      <c r="K21" s="180"/>
      <c r="L21" s="461"/>
      <c r="M21" s="272" t="e">
        <f>RANK(K21, K$7:$K$21)</f>
        <v>#N/A</v>
      </c>
      <c r="N21" s="462"/>
      <c r="O21" s="462"/>
      <c r="P21" s="180"/>
      <c r="Q21" s="265"/>
      <c r="R21" s="265"/>
      <c r="S21" s="180" t="e">
        <f t="shared" si="2"/>
        <v>#N/A</v>
      </c>
      <c r="T21" s="461"/>
      <c r="U21" s="180"/>
      <c r="V21" s="265"/>
      <c r="W21" s="265"/>
      <c r="X21" s="180" t="e">
        <f t="shared" si="3"/>
        <v>#N/A</v>
      </c>
      <c r="Y21" s="461"/>
      <c r="Z21" s="180"/>
      <c r="AA21" s="265"/>
      <c r="AB21" s="265"/>
      <c r="AC21" s="180" t="e">
        <f t="shared" si="4"/>
        <v>#N/A</v>
      </c>
      <c r="AD21" s="461"/>
      <c r="AE21" s="180"/>
      <c r="AF21" s="265"/>
      <c r="AG21" s="265"/>
      <c r="AH21" s="180" t="e">
        <f t="shared" si="5"/>
        <v>#N/A</v>
      </c>
      <c r="AI21" s="461"/>
      <c r="AJ21" s="180"/>
      <c r="AK21" s="265"/>
      <c r="AL21" s="265"/>
      <c r="AM21" s="180" t="e">
        <f t="shared" si="6"/>
        <v>#N/A</v>
      </c>
      <c r="AN21" s="461"/>
      <c r="AO21" s="180"/>
      <c r="AP21" s="265"/>
      <c r="AQ21" s="265"/>
      <c r="AR21" s="180" t="e">
        <f t="shared" si="7"/>
        <v>#N/A</v>
      </c>
      <c r="AS21" s="461"/>
      <c r="AT21" s="180"/>
      <c r="AU21" s="265"/>
      <c r="AV21" s="265"/>
      <c r="AW21" s="180" t="e">
        <f t="shared" si="8"/>
        <v>#N/A</v>
      </c>
      <c r="AX21" s="486"/>
      <c r="AZ21" s="166" t="e">
        <f>RANK(AX21, $K$7:AX$21)</f>
        <v>#N/A</v>
      </c>
      <c r="BB21" s="180" t="e">
        <f t="shared" si="9"/>
        <v>#N/A</v>
      </c>
    </row>
    <row r="22" spans="2:54" ht="15.75">
      <c r="B22" s="490" t="s">
        <v>721</v>
      </c>
      <c r="C22" s="491"/>
      <c r="D22" s="491"/>
      <c r="E22" s="491"/>
      <c r="F22" s="491"/>
      <c r="G22" s="491"/>
      <c r="H22" s="491"/>
      <c r="I22" s="181"/>
      <c r="J22" s="181"/>
      <c r="K22" s="181"/>
      <c r="L22" s="181"/>
      <c r="M22" s="178"/>
      <c r="N22" s="469" t="s">
        <v>722</v>
      </c>
      <c r="O22" s="469" t="s">
        <v>723</v>
      </c>
      <c r="P22" s="478">
        <f>AT2+1</f>
        <v>46056</v>
      </c>
      <c r="Q22" s="479"/>
      <c r="R22" s="479"/>
      <c r="S22" s="479"/>
      <c r="T22" s="479"/>
      <c r="U22" s="478">
        <f>P22+1</f>
        <v>46057</v>
      </c>
      <c r="V22" s="479"/>
      <c r="W22" s="479"/>
      <c r="X22" s="479"/>
      <c r="Y22" s="479"/>
      <c r="Z22" s="478">
        <f>U22+1</f>
        <v>46058</v>
      </c>
      <c r="AA22" s="479"/>
      <c r="AB22" s="479"/>
      <c r="AC22" s="479"/>
      <c r="AD22" s="479"/>
      <c r="AE22" s="478">
        <f>Z22+1</f>
        <v>46059</v>
      </c>
      <c r="AF22" s="479"/>
      <c r="AG22" s="479"/>
      <c r="AH22" s="479"/>
      <c r="AI22" s="479"/>
      <c r="AJ22" s="478">
        <f>AE22+1</f>
        <v>46060</v>
      </c>
      <c r="AK22" s="479"/>
      <c r="AL22" s="479"/>
      <c r="AM22" s="479"/>
      <c r="AN22" s="479"/>
      <c r="AO22" s="478">
        <f>AJ22+1</f>
        <v>46061</v>
      </c>
      <c r="AP22" s="479"/>
      <c r="AQ22" s="479"/>
      <c r="AR22" s="479"/>
      <c r="AS22" s="479"/>
      <c r="AT22" s="478">
        <f>AO22+1</f>
        <v>46062</v>
      </c>
      <c r="AU22" s="479"/>
      <c r="AV22" s="479"/>
      <c r="AW22" s="479"/>
      <c r="AX22" s="479"/>
    </row>
    <row r="23" spans="2:54" ht="15.75">
      <c r="B23" s="482"/>
      <c r="C23" s="482"/>
      <c r="D23" s="482"/>
      <c r="E23" s="482"/>
      <c r="F23" s="482"/>
      <c r="G23" s="482"/>
      <c r="H23" s="482"/>
      <c r="I23" s="182"/>
      <c r="J23" s="182"/>
      <c r="K23" s="182"/>
      <c r="L23" s="182"/>
      <c r="M23" s="179"/>
      <c r="N23" s="471"/>
      <c r="O23" s="471"/>
      <c r="P23" s="478" t="s">
        <v>724</v>
      </c>
      <c r="Q23" s="479"/>
      <c r="R23" s="479"/>
      <c r="S23" s="479"/>
      <c r="T23" s="479"/>
      <c r="U23" s="478" t="s">
        <v>725</v>
      </c>
      <c r="V23" s="479"/>
      <c r="W23" s="479"/>
      <c r="X23" s="479"/>
      <c r="Y23" s="479"/>
      <c r="Z23" s="478" t="s">
        <v>726</v>
      </c>
      <c r="AA23" s="479"/>
      <c r="AB23" s="479"/>
      <c r="AC23" s="479"/>
      <c r="AD23" s="479"/>
      <c r="AE23" s="478" t="s">
        <v>727</v>
      </c>
      <c r="AF23" s="479"/>
      <c r="AG23" s="479"/>
      <c r="AH23" s="479"/>
      <c r="AI23" s="479"/>
      <c r="AJ23" s="478" t="s">
        <v>728</v>
      </c>
      <c r="AK23" s="479"/>
      <c r="AL23" s="479"/>
      <c r="AM23" s="479"/>
      <c r="AN23" s="479"/>
      <c r="AO23" s="478" t="s">
        <v>729</v>
      </c>
      <c r="AP23" s="479"/>
      <c r="AQ23" s="479"/>
      <c r="AR23" s="479"/>
      <c r="AS23" s="479"/>
      <c r="AT23" s="478" t="s">
        <v>730</v>
      </c>
      <c r="AU23" s="479"/>
      <c r="AV23" s="479"/>
      <c r="AW23" s="479"/>
      <c r="AX23" s="479"/>
    </row>
    <row r="24" spans="2:54">
      <c r="B24" s="462" t="s">
        <v>731</v>
      </c>
      <c r="C24" s="462" t="s">
        <v>732</v>
      </c>
      <c r="D24" s="462"/>
      <c r="E24" s="462" t="s">
        <v>733</v>
      </c>
      <c r="F24" s="462"/>
      <c r="G24" s="462"/>
      <c r="H24" s="463" t="s">
        <v>734</v>
      </c>
      <c r="I24" s="462" t="s">
        <v>735</v>
      </c>
      <c r="J24" s="462"/>
      <c r="K24" s="462"/>
      <c r="L24" s="463" t="s">
        <v>734</v>
      </c>
      <c r="M24" s="469" t="s">
        <v>736</v>
      </c>
      <c r="N24" s="462"/>
      <c r="O24" s="462" t="s">
        <v>737</v>
      </c>
      <c r="P24" s="466" t="s">
        <v>738</v>
      </c>
      <c r="Q24" s="467"/>
      <c r="R24" s="467"/>
      <c r="S24" s="468"/>
      <c r="T24" s="462" t="s">
        <v>734</v>
      </c>
      <c r="U24" s="466" t="s">
        <v>738</v>
      </c>
      <c r="V24" s="467"/>
      <c r="W24" s="467"/>
      <c r="X24" s="468"/>
      <c r="Y24" s="462" t="s">
        <v>734</v>
      </c>
      <c r="Z24" s="466" t="s">
        <v>738</v>
      </c>
      <c r="AA24" s="467"/>
      <c r="AB24" s="467"/>
      <c r="AC24" s="468"/>
      <c r="AD24" s="462" t="s">
        <v>734</v>
      </c>
      <c r="AE24" s="466" t="s">
        <v>738</v>
      </c>
      <c r="AF24" s="467"/>
      <c r="AG24" s="467"/>
      <c r="AH24" s="468"/>
      <c r="AI24" s="462" t="s">
        <v>734</v>
      </c>
      <c r="AJ24" s="466" t="s">
        <v>738</v>
      </c>
      <c r="AK24" s="467"/>
      <c r="AL24" s="467"/>
      <c r="AM24" s="468"/>
      <c r="AN24" s="462" t="s">
        <v>734</v>
      </c>
      <c r="AO24" s="466" t="s">
        <v>738</v>
      </c>
      <c r="AP24" s="467"/>
      <c r="AQ24" s="467"/>
      <c r="AR24" s="468"/>
      <c r="AS24" s="462" t="s">
        <v>734</v>
      </c>
      <c r="AT24" s="466" t="s">
        <v>738</v>
      </c>
      <c r="AU24" s="467"/>
      <c r="AV24" s="467"/>
      <c r="AW24" s="468"/>
      <c r="AX24" s="462" t="s">
        <v>734</v>
      </c>
    </row>
    <row r="25" spans="2:54">
      <c r="B25" s="462"/>
      <c r="C25" s="462"/>
      <c r="D25" s="462"/>
      <c r="E25" s="462" t="s">
        <v>739</v>
      </c>
      <c r="F25" s="462"/>
      <c r="G25" s="462"/>
      <c r="H25" s="464"/>
      <c r="I25" s="462" t="s">
        <v>739</v>
      </c>
      <c r="J25" s="462"/>
      <c r="K25" s="462"/>
      <c r="L25" s="464"/>
      <c r="M25" s="470"/>
      <c r="N25" s="462"/>
      <c r="O25" s="462"/>
      <c r="P25" s="466" t="s">
        <v>740</v>
      </c>
      <c r="Q25" s="467"/>
      <c r="R25" s="467"/>
      <c r="S25" s="468"/>
      <c r="T25" s="462"/>
      <c r="U25" s="466" t="s">
        <v>740</v>
      </c>
      <c r="V25" s="467"/>
      <c r="W25" s="467"/>
      <c r="X25" s="468"/>
      <c r="Y25" s="462"/>
      <c r="Z25" s="466" t="s">
        <v>740</v>
      </c>
      <c r="AA25" s="467"/>
      <c r="AB25" s="467"/>
      <c r="AC25" s="468"/>
      <c r="AD25" s="462"/>
      <c r="AE25" s="466" t="s">
        <v>740</v>
      </c>
      <c r="AF25" s="467"/>
      <c r="AG25" s="467"/>
      <c r="AH25" s="468"/>
      <c r="AI25" s="462"/>
      <c r="AJ25" s="466" t="s">
        <v>740</v>
      </c>
      <c r="AK25" s="467"/>
      <c r="AL25" s="467"/>
      <c r="AM25" s="468"/>
      <c r="AN25" s="462"/>
      <c r="AO25" s="466" t="s">
        <v>740</v>
      </c>
      <c r="AP25" s="467"/>
      <c r="AQ25" s="467"/>
      <c r="AR25" s="468"/>
      <c r="AS25" s="462"/>
      <c r="AT25" s="466" t="s">
        <v>740</v>
      </c>
      <c r="AU25" s="467"/>
      <c r="AV25" s="467"/>
      <c r="AW25" s="468"/>
      <c r="AX25" s="462"/>
    </row>
    <row r="26" spans="2:54">
      <c r="B26" s="462"/>
      <c r="C26" s="462"/>
      <c r="D26" s="462"/>
      <c r="E26" s="264" t="s">
        <v>741</v>
      </c>
      <c r="F26" s="264" t="s">
        <v>742</v>
      </c>
      <c r="G26" s="264" t="s">
        <v>743</v>
      </c>
      <c r="H26" s="465"/>
      <c r="I26" s="264" t="s">
        <v>741</v>
      </c>
      <c r="J26" s="264" t="s">
        <v>742</v>
      </c>
      <c r="K26" s="264" t="s">
        <v>743</v>
      </c>
      <c r="L26" s="465"/>
      <c r="M26" s="471"/>
      <c r="N26" s="462"/>
      <c r="O26" s="462"/>
      <c r="P26" s="264" t="s">
        <v>741</v>
      </c>
      <c r="Q26" s="264" t="s">
        <v>742</v>
      </c>
      <c r="R26" s="264" t="s">
        <v>743</v>
      </c>
      <c r="S26" s="264" t="s">
        <v>736</v>
      </c>
      <c r="T26" s="462"/>
      <c r="U26" s="264" t="s">
        <v>741</v>
      </c>
      <c r="V26" s="264" t="s">
        <v>742</v>
      </c>
      <c r="W26" s="264" t="s">
        <v>743</v>
      </c>
      <c r="X26" s="264" t="s">
        <v>736</v>
      </c>
      <c r="Y26" s="462"/>
      <c r="Z26" s="264" t="s">
        <v>741</v>
      </c>
      <c r="AA26" s="264" t="s">
        <v>742</v>
      </c>
      <c r="AB26" s="264" t="s">
        <v>743</v>
      </c>
      <c r="AC26" s="264" t="s">
        <v>736</v>
      </c>
      <c r="AD26" s="462"/>
      <c r="AE26" s="264" t="s">
        <v>741</v>
      </c>
      <c r="AF26" s="264" t="s">
        <v>742</v>
      </c>
      <c r="AG26" s="264" t="s">
        <v>743</v>
      </c>
      <c r="AH26" s="264" t="s">
        <v>736</v>
      </c>
      <c r="AI26" s="462"/>
      <c r="AJ26" s="264" t="s">
        <v>741</v>
      </c>
      <c r="AK26" s="264" t="s">
        <v>742</v>
      </c>
      <c r="AL26" s="264" t="s">
        <v>743</v>
      </c>
      <c r="AM26" s="264" t="s">
        <v>736</v>
      </c>
      <c r="AN26" s="462"/>
      <c r="AO26" s="264" t="s">
        <v>741</v>
      </c>
      <c r="AP26" s="264" t="s">
        <v>742</v>
      </c>
      <c r="AQ26" s="264" t="s">
        <v>743</v>
      </c>
      <c r="AR26" s="264" t="s">
        <v>736</v>
      </c>
      <c r="AS26" s="462"/>
      <c r="AT26" s="264" t="s">
        <v>741</v>
      </c>
      <c r="AU26" s="264" t="s">
        <v>742</v>
      </c>
      <c r="AV26" s="264" t="s">
        <v>743</v>
      </c>
      <c r="AW26" s="264" t="s">
        <v>736</v>
      </c>
      <c r="AX26" s="462"/>
    </row>
    <row r="27" spans="2:54">
      <c r="B27" s="462" t="s">
        <v>754</v>
      </c>
      <c r="C27" s="180">
        <v>1</v>
      </c>
      <c r="D27" s="201" t="s">
        <v>372</v>
      </c>
      <c r="E27" s="166">
        <v>18</v>
      </c>
      <c r="F27" s="180">
        <v>1440</v>
      </c>
      <c r="G27" s="265">
        <v>80</v>
      </c>
      <c r="H27" s="459">
        <f>AVERAGE(G27:G41)</f>
        <v>79.311111111111117</v>
      </c>
      <c r="I27" s="166">
        <f>AVERAGE(P27,U27,Z27,AE27,AJ27,AO27,AT27)</f>
        <v>18</v>
      </c>
      <c r="J27" s="166">
        <f>AVERAGE(Q27,V27,AA27,AF27,AK27,AP27,AU27)</f>
        <v>1261.0515558074653</v>
      </c>
      <c r="K27" s="265">
        <f>AVERAGE(R27,W27,AB27,AG27,AL27,AQ27,AV27)</f>
        <v>70.058419767081404</v>
      </c>
      <c r="L27" s="459">
        <f>IFERROR(AVERAGE(K27:K41),"-")</f>
        <v>67.398039368256164</v>
      </c>
      <c r="M27" s="272">
        <f>RANK(K27, K$27:$K$41)</f>
        <v>4</v>
      </c>
      <c r="N27" s="462"/>
      <c r="O27" s="462"/>
      <c r="P27" s="166">
        <v>18</v>
      </c>
      <c r="Q27" s="166">
        <v>1247.4545454545453</v>
      </c>
      <c r="R27" s="166">
        <v>69.303030303030297</v>
      </c>
      <c r="S27" s="180">
        <f t="shared" ref="S27:S41" si="10">RANK(R27, R$27:R$41)</f>
        <v>5</v>
      </c>
      <c r="T27" s="459">
        <f>AVERAGE(R27:R41)</f>
        <v>67.798637097124455</v>
      </c>
      <c r="U27" s="166">
        <v>18</v>
      </c>
      <c r="V27" s="166">
        <v>1254.6000000000004</v>
      </c>
      <c r="W27" s="166">
        <v>69.700000000000017</v>
      </c>
      <c r="X27" s="180">
        <f t="shared" ref="X27:X41" si="11">RANK(W27, W$27:W$41)</f>
        <v>4</v>
      </c>
      <c r="Y27" s="459">
        <f t="shared" ref="Y27" si="12">AVERAGE(W27:W41)</f>
        <v>68.304076730216806</v>
      </c>
      <c r="Z27" s="166">
        <v>18</v>
      </c>
      <c r="AA27" s="166">
        <v>1277.3195876288664</v>
      </c>
      <c r="AB27" s="166">
        <v>70.962199312714802</v>
      </c>
      <c r="AC27" s="180">
        <f t="shared" ref="AC27:AC41" si="13">RANK(AB27, AB$27:AB$41)</f>
        <v>4</v>
      </c>
      <c r="AD27" s="459">
        <f t="shared" ref="AD27" si="14">AVERAGE(AB27:AB41)</f>
        <v>67.888684747143117</v>
      </c>
      <c r="AE27" s="166">
        <v>18</v>
      </c>
      <c r="AF27" s="166">
        <v>1240.5194805194808</v>
      </c>
      <c r="AG27" s="166">
        <v>68.917748917748938</v>
      </c>
      <c r="AH27" s="180">
        <f t="shared" ref="AH27:AH41" si="15">RANK(AG27, AG$27:AG$41)</f>
        <v>4</v>
      </c>
      <c r="AI27" s="459">
        <f t="shared" ref="AI27" si="16">AVERAGE(AG27:AG41)</f>
        <v>66.253183127772459</v>
      </c>
      <c r="AJ27" s="166">
        <v>18</v>
      </c>
      <c r="AK27" s="166">
        <v>1276.4210526315792</v>
      </c>
      <c r="AL27" s="166">
        <v>70.912280701754398</v>
      </c>
      <c r="AM27" s="180">
        <f t="shared" ref="AM27:AM41" si="17">RANK(AL27, AL$27:AL$41)</f>
        <v>3</v>
      </c>
      <c r="AN27" s="459">
        <f t="shared" ref="AN27" si="18">AVERAGE(AL27:AL41)</f>
        <v>66.801623927929711</v>
      </c>
      <c r="AO27" s="166">
        <v>18</v>
      </c>
      <c r="AP27" s="166">
        <v>1284.8076923076931</v>
      </c>
      <c r="AQ27" s="166">
        <v>71.378205128205167</v>
      </c>
      <c r="AR27" s="180">
        <f t="shared" ref="AR27:AR41" si="19">RANK(AQ27, AQ$27:AQ$41)</f>
        <v>3</v>
      </c>
      <c r="AS27" s="459">
        <f t="shared" ref="AS27" si="20">AVERAGE(AQ27:AQ41)</f>
        <v>67.091450099352357</v>
      </c>
      <c r="AT27" s="166">
        <v>18</v>
      </c>
      <c r="AU27" s="166">
        <v>1246.2385321100917</v>
      </c>
      <c r="AV27" s="166">
        <v>69.235474006116206</v>
      </c>
      <c r="AW27" s="180">
        <f t="shared" ref="AW27:AW41" si="21">RANK(AV27, AV$27:AV$41)</f>
        <v>4</v>
      </c>
      <c r="AX27" s="486">
        <f t="shared" ref="AX27" si="22">AVERAGE(AV27:AV41)</f>
        <v>67.648619848254199</v>
      </c>
    </row>
    <row r="28" spans="2:54">
      <c r="B28" s="479"/>
      <c r="C28" s="180">
        <v>2</v>
      </c>
      <c r="D28" s="201" t="s">
        <v>373</v>
      </c>
      <c r="E28" s="166">
        <v>18</v>
      </c>
      <c r="F28" s="180">
        <v>1440</v>
      </c>
      <c r="G28" s="265">
        <v>80</v>
      </c>
      <c r="H28" s="460"/>
      <c r="I28" s="166">
        <f t="shared" ref="I28:K37" si="23">AVERAGE(P28,U28,Z28,AE28,AJ28,AO28,AT28)</f>
        <v>18</v>
      </c>
      <c r="J28" s="166">
        <f t="shared" si="23"/>
        <v>1174.3661242971582</v>
      </c>
      <c r="K28" s="265">
        <f t="shared" si="23"/>
        <v>65.242562460953238</v>
      </c>
      <c r="L28" s="460"/>
      <c r="M28" s="272">
        <f>RANK(K28, K$27:$K$41)</f>
        <v>7</v>
      </c>
      <c r="N28" s="462"/>
      <c r="O28" s="462"/>
      <c r="P28" s="166">
        <v>18</v>
      </c>
      <c r="Q28" s="166">
        <v>1251.9999999999977</v>
      </c>
      <c r="R28" s="166">
        <v>69.555555555555429</v>
      </c>
      <c r="S28" s="180">
        <f t="shared" si="10"/>
        <v>4</v>
      </c>
      <c r="T28" s="460"/>
      <c r="U28" s="166">
        <v>18</v>
      </c>
      <c r="V28" s="166">
        <v>1253.7931034482733</v>
      </c>
      <c r="W28" s="166">
        <v>69.655172413792968</v>
      </c>
      <c r="X28" s="180">
        <f t="shared" si="11"/>
        <v>5</v>
      </c>
      <c r="Y28" s="460"/>
      <c r="Z28" s="166">
        <v>18</v>
      </c>
      <c r="AA28" s="166">
        <v>1245.517241379308</v>
      </c>
      <c r="AB28" s="166">
        <v>69.195402298850439</v>
      </c>
      <c r="AC28" s="180">
        <f t="shared" si="13"/>
        <v>5</v>
      </c>
      <c r="AD28" s="460"/>
      <c r="AE28" s="166">
        <v>18</v>
      </c>
      <c r="AF28" s="166">
        <v>1068.8888888888926</v>
      </c>
      <c r="AG28" s="166">
        <v>59.382716049382921</v>
      </c>
      <c r="AH28" s="180">
        <f t="shared" si="15"/>
        <v>9</v>
      </c>
      <c r="AI28" s="460"/>
      <c r="AJ28" s="166">
        <v>18</v>
      </c>
      <c r="AK28" s="166">
        <v>1081.8181818181854</v>
      </c>
      <c r="AL28" s="166">
        <v>60.101010101010303</v>
      </c>
      <c r="AM28" s="180">
        <f t="shared" si="17"/>
        <v>10</v>
      </c>
      <c r="AN28" s="460"/>
      <c r="AO28" s="166">
        <v>18</v>
      </c>
      <c r="AP28" s="166">
        <v>1074.5454545454531</v>
      </c>
      <c r="AQ28" s="166">
        <v>59.696969696969617</v>
      </c>
      <c r="AR28" s="180">
        <f t="shared" si="19"/>
        <v>10</v>
      </c>
      <c r="AS28" s="460"/>
      <c r="AT28" s="166">
        <v>18</v>
      </c>
      <c r="AU28" s="166">
        <v>1243.9999999999977</v>
      </c>
      <c r="AV28" s="166">
        <v>69.111111111110986</v>
      </c>
      <c r="AW28" s="180">
        <f t="shared" si="21"/>
        <v>5</v>
      </c>
      <c r="AX28" s="486"/>
    </row>
    <row r="29" spans="2:54">
      <c r="B29" s="479"/>
      <c r="C29" s="180">
        <v>3</v>
      </c>
      <c r="D29" s="201" t="s">
        <v>673</v>
      </c>
      <c r="E29" s="166">
        <v>18</v>
      </c>
      <c r="F29" s="180">
        <v>1440</v>
      </c>
      <c r="G29" s="265">
        <v>80</v>
      </c>
      <c r="H29" s="460"/>
      <c r="I29" s="166">
        <f t="shared" si="23"/>
        <v>18.857142857142858</v>
      </c>
      <c r="J29" s="166">
        <f t="shared" si="23"/>
        <v>1088.7041853800263</v>
      </c>
      <c r="K29" s="265">
        <f t="shared" si="23"/>
        <v>57.749955732894719</v>
      </c>
      <c r="L29" s="460"/>
      <c r="M29" s="272">
        <f>RANK(K29, K$27:$K$41)</f>
        <v>11</v>
      </c>
      <c r="N29" s="462"/>
      <c r="O29" s="462"/>
      <c r="P29" s="166">
        <v>19</v>
      </c>
      <c r="Q29" s="166">
        <v>1110.0000000000039</v>
      </c>
      <c r="R29" s="166">
        <v>58.421052631579151</v>
      </c>
      <c r="S29" s="180">
        <f t="shared" si="10"/>
        <v>11</v>
      </c>
      <c r="T29" s="460"/>
      <c r="U29" s="166">
        <v>19</v>
      </c>
      <c r="V29" s="166">
        <v>1091.6129032258045</v>
      </c>
      <c r="W29" s="166">
        <v>57.453310696094974</v>
      </c>
      <c r="X29" s="180">
        <f t="shared" si="11"/>
        <v>11</v>
      </c>
      <c r="Y29" s="460"/>
      <c r="Z29" s="166">
        <v>19</v>
      </c>
      <c r="AA29" s="166">
        <v>1108.9655172413773</v>
      </c>
      <c r="AB29" s="166">
        <v>58.3666061705988</v>
      </c>
      <c r="AC29" s="180">
        <f t="shared" si="13"/>
        <v>11</v>
      </c>
      <c r="AD29" s="460"/>
      <c r="AE29" s="166">
        <v>19</v>
      </c>
      <c r="AF29" s="166">
        <v>1073.6842105263197</v>
      </c>
      <c r="AG29" s="166">
        <v>56.509695290858929</v>
      </c>
      <c r="AH29" s="180">
        <f t="shared" si="15"/>
        <v>10</v>
      </c>
      <c r="AI29" s="460"/>
      <c r="AJ29" s="166">
        <v>19</v>
      </c>
      <c r="AK29" s="166">
        <v>1080.0000000000039</v>
      </c>
      <c r="AL29" s="166">
        <v>56.842105263158096</v>
      </c>
      <c r="AM29" s="180">
        <f t="shared" si="17"/>
        <v>11</v>
      </c>
      <c r="AN29" s="460"/>
      <c r="AO29" s="166">
        <v>19</v>
      </c>
      <c r="AP29" s="166">
        <v>1080.0000000000039</v>
      </c>
      <c r="AQ29" s="166">
        <v>56.842105263158096</v>
      </c>
      <c r="AR29" s="180">
        <f t="shared" si="19"/>
        <v>11</v>
      </c>
      <c r="AS29" s="460"/>
      <c r="AT29" s="166">
        <v>18</v>
      </c>
      <c r="AU29" s="166">
        <v>1076.6666666666704</v>
      </c>
      <c r="AV29" s="166">
        <v>59.814814814815023</v>
      </c>
      <c r="AW29" s="180">
        <f t="shared" si="21"/>
        <v>11</v>
      </c>
      <c r="AX29" s="486"/>
    </row>
    <row r="30" spans="2:54">
      <c r="B30" s="479"/>
      <c r="C30" s="180">
        <v>4</v>
      </c>
      <c r="D30" s="201" t="s">
        <v>374</v>
      </c>
      <c r="E30" s="166">
        <v>16</v>
      </c>
      <c r="F30" s="180">
        <v>1440</v>
      </c>
      <c r="G30" s="265">
        <v>90</v>
      </c>
      <c r="H30" s="460"/>
      <c r="I30" s="166">
        <f t="shared" si="23"/>
        <v>16.142857142857142</v>
      </c>
      <c r="J30" s="166">
        <f t="shared" si="23"/>
        <v>1247.0694513270298</v>
      </c>
      <c r="K30" s="265">
        <f t="shared" si="23"/>
        <v>77.290102740024935</v>
      </c>
      <c r="L30" s="460"/>
      <c r="M30" s="272">
        <f>RANK(K30, K$27:$K$41)</f>
        <v>2</v>
      </c>
      <c r="N30" s="462"/>
      <c r="O30" s="462"/>
      <c r="P30" s="166">
        <v>17</v>
      </c>
      <c r="Q30" s="166">
        <v>1240.909090909091</v>
      </c>
      <c r="R30" s="166">
        <v>72.994652406417117</v>
      </c>
      <c r="S30" s="180">
        <f t="shared" si="10"/>
        <v>2</v>
      </c>
      <c r="T30" s="460"/>
      <c r="U30" s="166">
        <v>16</v>
      </c>
      <c r="V30" s="166">
        <v>1252.3076923076917</v>
      </c>
      <c r="W30" s="166">
        <v>78.269230769230731</v>
      </c>
      <c r="X30" s="180">
        <f t="shared" si="11"/>
        <v>2</v>
      </c>
      <c r="Y30" s="460"/>
      <c r="Z30" s="166">
        <v>16</v>
      </c>
      <c r="AA30" s="166">
        <v>1245.2941176470583</v>
      </c>
      <c r="AB30" s="166">
        <v>77.830882352941146</v>
      </c>
      <c r="AC30" s="180">
        <f t="shared" si="13"/>
        <v>2</v>
      </c>
      <c r="AD30" s="460"/>
      <c r="AE30" s="166">
        <v>16</v>
      </c>
      <c r="AF30" s="166">
        <v>1265.1923076923074</v>
      </c>
      <c r="AG30" s="166">
        <v>79.074519230769212</v>
      </c>
      <c r="AH30" s="180">
        <f t="shared" si="15"/>
        <v>2</v>
      </c>
      <c r="AI30" s="460"/>
      <c r="AJ30" s="166">
        <v>16</v>
      </c>
      <c r="AK30" s="166">
        <v>1242.4778761061948</v>
      </c>
      <c r="AL30" s="166">
        <v>77.654867256637175</v>
      </c>
      <c r="AM30" s="180">
        <f t="shared" si="17"/>
        <v>2</v>
      </c>
      <c r="AN30" s="460"/>
      <c r="AO30" s="166">
        <v>16</v>
      </c>
      <c r="AP30" s="166">
        <v>1242.9850746268655</v>
      </c>
      <c r="AQ30" s="166">
        <v>77.686567164179095</v>
      </c>
      <c r="AR30" s="180">
        <f t="shared" si="19"/>
        <v>2</v>
      </c>
      <c r="AS30" s="460"/>
      <c r="AT30" s="166">
        <v>16</v>
      </c>
      <c r="AU30" s="166">
        <v>1240.3199999999997</v>
      </c>
      <c r="AV30" s="166">
        <v>77.519999999999982</v>
      </c>
      <c r="AW30" s="180">
        <f t="shared" si="21"/>
        <v>2</v>
      </c>
      <c r="AX30" s="486"/>
    </row>
    <row r="31" spans="2:54">
      <c r="B31" s="479"/>
      <c r="C31" s="180">
        <v>5</v>
      </c>
      <c r="D31" s="201" t="s">
        <v>375</v>
      </c>
      <c r="E31" s="166">
        <v>19</v>
      </c>
      <c r="F31" s="180">
        <v>1440</v>
      </c>
      <c r="G31" s="265">
        <v>84.7</v>
      </c>
      <c r="H31" s="460"/>
      <c r="I31" s="166">
        <f t="shared" si="23"/>
        <v>19</v>
      </c>
      <c r="J31" s="166">
        <f t="shared" si="23"/>
        <v>1209.7414965986386</v>
      </c>
      <c r="K31" s="265">
        <f t="shared" si="23"/>
        <v>63.67060508413887</v>
      </c>
      <c r="L31" s="460"/>
      <c r="M31" s="272">
        <f>RANK(K31, K$27:$K$41)</f>
        <v>8</v>
      </c>
      <c r="N31" s="462"/>
      <c r="O31" s="462"/>
      <c r="P31" s="166">
        <v>19</v>
      </c>
      <c r="Q31" s="166">
        <v>1219.2857142857115</v>
      </c>
      <c r="R31" s="166">
        <v>64.172932330826924</v>
      </c>
      <c r="S31" s="180">
        <f t="shared" si="10"/>
        <v>8</v>
      </c>
      <c r="T31" s="460"/>
      <c r="U31" s="166">
        <v>19</v>
      </c>
      <c r="V31" s="166">
        <v>1242.2222222222267</v>
      </c>
      <c r="W31" s="166">
        <v>65.380116959064566</v>
      </c>
      <c r="X31" s="180">
        <f t="shared" si="11"/>
        <v>7</v>
      </c>
      <c r="Y31" s="460"/>
      <c r="Z31" s="166">
        <v>19</v>
      </c>
      <c r="AA31" s="166">
        <v>1202.1428571428546</v>
      </c>
      <c r="AB31" s="166">
        <v>63.270676691729193</v>
      </c>
      <c r="AC31" s="180">
        <f t="shared" si="13"/>
        <v>8</v>
      </c>
      <c r="AD31" s="460"/>
      <c r="AE31" s="166">
        <v>19</v>
      </c>
      <c r="AF31" s="166">
        <v>1234.2857142857092</v>
      </c>
      <c r="AG31" s="166">
        <v>64.962406015037331</v>
      </c>
      <c r="AH31" s="180">
        <f t="shared" si="15"/>
        <v>6</v>
      </c>
      <c r="AI31" s="460"/>
      <c r="AJ31" s="166">
        <v>19</v>
      </c>
      <c r="AK31" s="166">
        <v>1161.999999999998</v>
      </c>
      <c r="AL31" s="166">
        <v>61.157894736841996</v>
      </c>
      <c r="AM31" s="180">
        <f t="shared" si="17"/>
        <v>8</v>
      </c>
      <c r="AN31" s="460"/>
      <c r="AO31" s="166">
        <v>19</v>
      </c>
      <c r="AP31" s="166">
        <v>1191.1111111111154</v>
      </c>
      <c r="AQ31" s="166">
        <v>62.690058479532389</v>
      </c>
      <c r="AR31" s="180">
        <f t="shared" si="19"/>
        <v>8</v>
      </c>
      <c r="AS31" s="460"/>
      <c r="AT31" s="166">
        <v>19</v>
      </c>
      <c r="AU31" s="166">
        <v>1217.1428571428546</v>
      </c>
      <c r="AV31" s="166">
        <v>64.060150375939713</v>
      </c>
      <c r="AW31" s="180">
        <f t="shared" si="21"/>
        <v>9</v>
      </c>
      <c r="AX31" s="486"/>
    </row>
    <row r="32" spans="2:54">
      <c r="B32" s="479"/>
      <c r="C32" s="180">
        <v>6</v>
      </c>
      <c r="D32" s="201" t="s">
        <v>376</v>
      </c>
      <c r="E32" s="166">
        <v>21</v>
      </c>
      <c r="F32" s="180">
        <v>1385</v>
      </c>
      <c r="G32" s="265">
        <v>65.900000000000006</v>
      </c>
      <c r="H32" s="460"/>
      <c r="I32" s="166">
        <f t="shared" si="23"/>
        <v>20</v>
      </c>
      <c r="J32" s="166">
        <f t="shared" si="23"/>
        <v>1220.321756869653</v>
      </c>
      <c r="K32" s="265">
        <f t="shared" si="23"/>
        <v>61.016087843482651</v>
      </c>
      <c r="L32" s="460"/>
      <c r="M32" s="272">
        <f>RANK(K32, K$27:$K$41)</f>
        <v>10</v>
      </c>
      <c r="N32" s="462"/>
      <c r="O32" s="462"/>
      <c r="P32" s="166">
        <v>20</v>
      </c>
      <c r="Q32" s="166">
        <v>1216.9655172413791</v>
      </c>
      <c r="R32" s="166">
        <v>60.848275862068952</v>
      </c>
      <c r="S32" s="180">
        <f t="shared" si="10"/>
        <v>10</v>
      </c>
      <c r="T32" s="460"/>
      <c r="U32" s="166">
        <v>20</v>
      </c>
      <c r="V32" s="166">
        <v>1214.6707317073165</v>
      </c>
      <c r="W32" s="166">
        <v>60.733536585365826</v>
      </c>
      <c r="X32" s="180">
        <f t="shared" si="11"/>
        <v>10</v>
      </c>
      <c r="Y32" s="460"/>
      <c r="Z32" s="166">
        <v>20</v>
      </c>
      <c r="AA32" s="166">
        <v>1200.6250000000002</v>
      </c>
      <c r="AB32" s="166">
        <v>60.031250000000014</v>
      </c>
      <c r="AC32" s="180">
        <f t="shared" si="13"/>
        <v>10</v>
      </c>
      <c r="AD32" s="460"/>
      <c r="AE32" s="166">
        <v>20</v>
      </c>
      <c r="AF32" s="166">
        <v>1241.3538461538476</v>
      </c>
      <c r="AG32" s="166">
        <v>62.067692307692383</v>
      </c>
      <c r="AH32" s="180">
        <f t="shared" si="15"/>
        <v>8</v>
      </c>
      <c r="AI32" s="460"/>
      <c r="AJ32" s="166">
        <v>20</v>
      </c>
      <c r="AK32" s="166">
        <v>1220.8695652173901</v>
      </c>
      <c r="AL32" s="166">
        <v>61.043478260869506</v>
      </c>
      <c r="AM32" s="180">
        <f t="shared" si="17"/>
        <v>9</v>
      </c>
      <c r="AN32" s="460"/>
      <c r="AO32" s="166">
        <v>20</v>
      </c>
      <c r="AP32" s="166">
        <v>1242.7027027027036</v>
      </c>
      <c r="AQ32" s="166">
        <v>62.135135135135179</v>
      </c>
      <c r="AR32" s="180">
        <f t="shared" si="19"/>
        <v>9</v>
      </c>
      <c r="AS32" s="460"/>
      <c r="AT32" s="166">
        <v>20</v>
      </c>
      <c r="AU32" s="166">
        <v>1205.0649350649344</v>
      </c>
      <c r="AV32" s="166">
        <v>60.253246753246721</v>
      </c>
      <c r="AW32" s="180">
        <f t="shared" si="21"/>
        <v>10</v>
      </c>
      <c r="AX32" s="486"/>
    </row>
    <row r="33" spans="2:50">
      <c r="B33" s="479"/>
      <c r="C33" s="180">
        <v>7</v>
      </c>
      <c r="D33" s="201" t="s">
        <v>377</v>
      </c>
      <c r="E33" s="166">
        <v>19</v>
      </c>
      <c r="F33" s="180">
        <v>1440</v>
      </c>
      <c r="G33" s="265">
        <v>75.8</v>
      </c>
      <c r="H33" s="460"/>
      <c r="I33" s="166">
        <f t="shared" si="23"/>
        <v>20</v>
      </c>
      <c r="J33" s="166">
        <f t="shared" si="23"/>
        <v>1273.0166477533337</v>
      </c>
      <c r="K33" s="265">
        <f t="shared" si="23"/>
        <v>63.650832387666696</v>
      </c>
      <c r="L33" s="460"/>
      <c r="M33" s="272">
        <f>RANK(K33, K$27:$K$41)</f>
        <v>9</v>
      </c>
      <c r="N33" s="462"/>
      <c r="O33" s="462"/>
      <c r="P33" s="166">
        <v>20</v>
      </c>
      <c r="Q33" s="166">
        <v>1275.4545454545469</v>
      </c>
      <c r="R33" s="166">
        <v>63.772727272727344</v>
      </c>
      <c r="S33" s="180">
        <f t="shared" si="10"/>
        <v>9</v>
      </c>
      <c r="T33" s="460"/>
      <c r="U33" s="166">
        <v>20</v>
      </c>
      <c r="V33" s="166">
        <v>1275.4545454545469</v>
      </c>
      <c r="W33" s="166">
        <v>63.772727272727344</v>
      </c>
      <c r="X33" s="180">
        <f t="shared" si="11"/>
        <v>9</v>
      </c>
      <c r="Y33" s="460"/>
      <c r="Z33" s="166">
        <v>20</v>
      </c>
      <c r="AA33" s="166">
        <v>1261.2923076923091</v>
      </c>
      <c r="AB33" s="166">
        <v>63.064615384615458</v>
      </c>
      <c r="AC33" s="180">
        <f t="shared" si="13"/>
        <v>9</v>
      </c>
      <c r="AD33" s="460"/>
      <c r="AE33" s="166">
        <v>20</v>
      </c>
      <c r="AF33" s="166">
        <v>1247.0000000000002</v>
      </c>
      <c r="AG33" s="166">
        <v>62.350000000000009</v>
      </c>
      <c r="AH33" s="180">
        <f t="shared" si="15"/>
        <v>7</v>
      </c>
      <c r="AI33" s="460"/>
      <c r="AJ33" s="166">
        <v>20</v>
      </c>
      <c r="AK33" s="166">
        <v>1285.0746268656733</v>
      </c>
      <c r="AL33" s="166">
        <v>64.253731343283661</v>
      </c>
      <c r="AM33" s="180">
        <f t="shared" si="17"/>
        <v>7</v>
      </c>
      <c r="AN33" s="460"/>
      <c r="AO33" s="166">
        <v>20</v>
      </c>
      <c r="AP33" s="166">
        <v>1274.7857142857129</v>
      </c>
      <c r="AQ33" s="166">
        <v>63.739285714285643</v>
      </c>
      <c r="AR33" s="180">
        <f t="shared" si="19"/>
        <v>7</v>
      </c>
      <c r="AS33" s="460"/>
      <c r="AT33" s="166">
        <v>20</v>
      </c>
      <c r="AU33" s="166">
        <v>1292.0547945205471</v>
      </c>
      <c r="AV33" s="166">
        <v>64.602739726027352</v>
      </c>
      <c r="AW33" s="180">
        <f t="shared" si="21"/>
        <v>8</v>
      </c>
      <c r="AX33" s="486"/>
    </row>
    <row r="34" spans="2:50">
      <c r="B34" s="479"/>
      <c r="C34" s="180">
        <v>8</v>
      </c>
      <c r="D34" s="201" t="s">
        <v>454</v>
      </c>
      <c r="E34" s="166">
        <v>18</v>
      </c>
      <c r="F34" s="180">
        <v>1385</v>
      </c>
      <c r="G34" s="265">
        <v>76.900000000000006</v>
      </c>
      <c r="H34" s="460"/>
      <c r="I34" s="166">
        <f t="shared" si="23"/>
        <v>18.142857142857142</v>
      </c>
      <c r="J34" s="166">
        <f t="shared" si="23"/>
        <v>1205.5996310012367</v>
      </c>
      <c r="K34" s="265">
        <f t="shared" si="23"/>
        <v>66.464880883963232</v>
      </c>
      <c r="L34" s="460"/>
      <c r="M34" s="272">
        <f>RANK(K34, K$27:$K$41)</f>
        <v>5</v>
      </c>
      <c r="N34" s="462"/>
      <c r="O34" s="462"/>
      <c r="P34" s="166">
        <v>18</v>
      </c>
      <c r="Q34" s="166">
        <v>1199.2941176470586</v>
      </c>
      <c r="R34" s="166">
        <v>66.62745098039214</v>
      </c>
      <c r="S34" s="180">
        <f t="shared" si="10"/>
        <v>7</v>
      </c>
      <c r="T34" s="460"/>
      <c r="U34" s="166">
        <v>18</v>
      </c>
      <c r="V34" s="166">
        <v>1209.5238095238108</v>
      </c>
      <c r="W34" s="166">
        <v>67.19576719576726</v>
      </c>
      <c r="X34" s="180">
        <f t="shared" si="11"/>
        <v>6</v>
      </c>
      <c r="Y34" s="460"/>
      <c r="Z34" s="166">
        <v>18</v>
      </c>
      <c r="AA34" s="166">
        <v>1189.5238095238076</v>
      </c>
      <c r="AB34" s="166">
        <v>66.084656084655975</v>
      </c>
      <c r="AC34" s="180">
        <f t="shared" si="13"/>
        <v>7</v>
      </c>
      <c r="AD34" s="460"/>
      <c r="AE34" s="166">
        <v>18</v>
      </c>
      <c r="AF34" s="166">
        <v>1217.7049180327879</v>
      </c>
      <c r="AG34" s="166">
        <v>67.650273224043772</v>
      </c>
      <c r="AH34" s="180">
        <f t="shared" si="15"/>
        <v>5</v>
      </c>
      <c r="AI34" s="460"/>
      <c r="AJ34" s="166">
        <v>18</v>
      </c>
      <c r="AK34" s="166">
        <v>1199.9999999999984</v>
      </c>
      <c r="AL34" s="166">
        <v>66.666666666666572</v>
      </c>
      <c r="AM34" s="180">
        <f t="shared" si="17"/>
        <v>6</v>
      </c>
      <c r="AN34" s="460"/>
      <c r="AO34" s="166">
        <v>18</v>
      </c>
      <c r="AP34" s="166">
        <v>1195.3246753246747</v>
      </c>
      <c r="AQ34" s="166">
        <v>66.406926406926374</v>
      </c>
      <c r="AR34" s="180">
        <f t="shared" si="19"/>
        <v>6</v>
      </c>
      <c r="AS34" s="460"/>
      <c r="AT34" s="166">
        <v>19</v>
      </c>
      <c r="AU34" s="166">
        <v>1227.8260869565204</v>
      </c>
      <c r="AV34" s="166">
        <v>64.622425629290547</v>
      </c>
      <c r="AW34" s="180">
        <f t="shared" si="21"/>
        <v>7</v>
      </c>
      <c r="AX34" s="486"/>
    </row>
    <row r="35" spans="2:50">
      <c r="B35" s="479"/>
      <c r="C35" s="180">
        <v>9</v>
      </c>
      <c r="D35" s="201" t="s">
        <v>457</v>
      </c>
      <c r="E35" s="166">
        <v>18</v>
      </c>
      <c r="F35" s="180">
        <v>1385</v>
      </c>
      <c r="G35" s="265">
        <v>76.900000000000006</v>
      </c>
      <c r="H35" s="460"/>
      <c r="I35" s="166">
        <f t="shared" si="23"/>
        <v>18</v>
      </c>
      <c r="J35" s="166">
        <f t="shared" si="23"/>
        <v>1184.8323329331738</v>
      </c>
      <c r="K35" s="265">
        <f t="shared" si="23"/>
        <v>65.824018496287437</v>
      </c>
      <c r="L35" s="460"/>
      <c r="M35" s="272">
        <f>RANK(K35, K$27:$K$41)</f>
        <v>6</v>
      </c>
      <c r="N35" s="462"/>
      <c r="O35" s="462"/>
      <c r="P35" s="166">
        <v>18</v>
      </c>
      <c r="Q35" s="166">
        <v>1230.0000000000043</v>
      </c>
      <c r="R35" s="166">
        <v>68.33333333333357</v>
      </c>
      <c r="S35" s="180">
        <f t="shared" si="10"/>
        <v>6</v>
      </c>
      <c r="T35" s="460"/>
      <c r="U35" s="166">
        <v>18</v>
      </c>
      <c r="V35" s="166">
        <v>1176.6666666666658</v>
      </c>
      <c r="W35" s="166">
        <v>65.370370370370324</v>
      </c>
      <c r="X35" s="180">
        <f t="shared" si="11"/>
        <v>8</v>
      </c>
      <c r="Y35" s="460"/>
      <c r="Z35" s="166">
        <v>18</v>
      </c>
      <c r="AA35" s="166">
        <v>1225.7142857142846</v>
      </c>
      <c r="AB35" s="166">
        <v>68.095238095238031</v>
      </c>
      <c r="AC35" s="180">
        <f t="shared" si="13"/>
        <v>6</v>
      </c>
      <c r="AD35" s="460"/>
      <c r="AE35" s="166">
        <v>18</v>
      </c>
      <c r="AF35" s="166">
        <v>1011.4285714285704</v>
      </c>
      <c r="AG35" s="166">
        <v>56.190476190476133</v>
      </c>
      <c r="AH35" s="180">
        <f t="shared" si="15"/>
        <v>11</v>
      </c>
      <c r="AI35" s="460"/>
      <c r="AJ35" s="166">
        <v>18</v>
      </c>
      <c r="AK35" s="166">
        <v>1210.5882352941162</v>
      </c>
      <c r="AL35" s="166">
        <v>67.254901960784238</v>
      </c>
      <c r="AM35" s="180">
        <f t="shared" si="17"/>
        <v>5</v>
      </c>
      <c r="AN35" s="460"/>
      <c r="AO35" s="166">
        <v>18</v>
      </c>
      <c r="AP35" s="166">
        <v>1222.2857142857131</v>
      </c>
      <c r="AQ35" s="166">
        <v>67.904761904761841</v>
      </c>
      <c r="AR35" s="180">
        <f t="shared" si="19"/>
        <v>5</v>
      </c>
      <c r="AS35" s="460"/>
      <c r="AT35" s="166">
        <v>18</v>
      </c>
      <c r="AU35" s="166">
        <v>1217.1428571428617</v>
      </c>
      <c r="AV35" s="166">
        <v>67.619047619047876</v>
      </c>
      <c r="AW35" s="180">
        <f t="shared" si="21"/>
        <v>6</v>
      </c>
      <c r="AX35" s="486"/>
    </row>
    <row r="36" spans="2:50">
      <c r="B36" s="479"/>
      <c r="C36" s="180">
        <v>10</v>
      </c>
      <c r="D36" s="201" t="s">
        <v>524</v>
      </c>
      <c r="E36" s="166">
        <v>16</v>
      </c>
      <c r="F36" s="180">
        <v>1440</v>
      </c>
      <c r="G36" s="265">
        <v>90</v>
      </c>
      <c r="H36" s="460"/>
      <c r="I36" s="166">
        <f t="shared" si="23"/>
        <v>15.857142857142858</v>
      </c>
      <c r="J36" s="166">
        <f t="shared" si="23"/>
        <v>1260.439078571284</v>
      </c>
      <c r="K36" s="265">
        <f t="shared" si="23"/>
        <v>79.520234022762921</v>
      </c>
      <c r="L36" s="460"/>
      <c r="M36" s="272">
        <f>RANK(K36, K$27:$K$41)</f>
        <v>1</v>
      </c>
      <c r="N36" s="462"/>
      <c r="O36" s="462"/>
      <c r="P36" s="166">
        <v>16</v>
      </c>
      <c r="Q36" s="166">
        <v>1282.3728813559317</v>
      </c>
      <c r="R36" s="166">
        <v>80.148305084745729</v>
      </c>
      <c r="S36" s="180">
        <f t="shared" si="10"/>
        <v>1</v>
      </c>
      <c r="T36" s="460"/>
      <c r="U36" s="166">
        <v>15</v>
      </c>
      <c r="V36" s="166">
        <v>1247.8899082568807</v>
      </c>
      <c r="W36" s="166">
        <v>83.192660550458712</v>
      </c>
      <c r="X36" s="180">
        <f t="shared" si="11"/>
        <v>1</v>
      </c>
      <c r="Y36" s="460"/>
      <c r="Z36" s="166">
        <v>16</v>
      </c>
      <c r="AA36" s="166">
        <v>1261.8795180722889</v>
      </c>
      <c r="AB36" s="166">
        <v>78.867469879518055</v>
      </c>
      <c r="AC36" s="180">
        <f t="shared" si="13"/>
        <v>1</v>
      </c>
      <c r="AD36" s="460"/>
      <c r="AE36" s="166">
        <v>16</v>
      </c>
      <c r="AF36" s="166">
        <v>1277.5384615384623</v>
      </c>
      <c r="AG36" s="166">
        <v>79.846153846153896</v>
      </c>
      <c r="AH36" s="180">
        <f t="shared" si="15"/>
        <v>1</v>
      </c>
      <c r="AI36" s="460"/>
      <c r="AJ36" s="166">
        <v>16</v>
      </c>
      <c r="AK36" s="166">
        <v>1249.090909090909</v>
      </c>
      <c r="AL36" s="166">
        <v>78.068181818181813</v>
      </c>
      <c r="AM36" s="180">
        <f t="shared" si="17"/>
        <v>1</v>
      </c>
      <c r="AN36" s="460"/>
      <c r="AO36" s="166">
        <v>16</v>
      </c>
      <c r="AP36" s="166">
        <v>1257.786407766991</v>
      </c>
      <c r="AQ36" s="166">
        <v>78.61165048543694</v>
      </c>
      <c r="AR36" s="180">
        <f t="shared" si="19"/>
        <v>1</v>
      </c>
      <c r="AS36" s="460"/>
      <c r="AT36" s="166">
        <v>16</v>
      </c>
      <c r="AU36" s="166">
        <v>1246.515463917525</v>
      </c>
      <c r="AV36" s="166">
        <v>77.907216494845315</v>
      </c>
      <c r="AW36" s="180">
        <f t="shared" si="21"/>
        <v>1</v>
      </c>
      <c r="AX36" s="486"/>
    </row>
    <row r="37" spans="2:50">
      <c r="B37" s="479"/>
      <c r="C37" s="180">
        <v>11</v>
      </c>
      <c r="D37" s="201" t="s">
        <v>755</v>
      </c>
      <c r="E37" s="166">
        <v>18</v>
      </c>
      <c r="F37" s="180">
        <v>1300</v>
      </c>
      <c r="G37" s="265">
        <v>72.222222222222229</v>
      </c>
      <c r="H37" s="460"/>
      <c r="I37" s="166">
        <f t="shared" si="23"/>
        <v>18</v>
      </c>
      <c r="J37" s="166">
        <f t="shared" si="23"/>
        <v>1276.0332053681102</v>
      </c>
      <c r="K37" s="265">
        <f t="shared" si="23"/>
        <v>70.890733631561673</v>
      </c>
      <c r="L37" s="460"/>
      <c r="M37" s="272">
        <f>RANK(K37, K$27:$K$41)</f>
        <v>3</v>
      </c>
      <c r="N37" s="462"/>
      <c r="O37" s="462"/>
      <c r="P37" s="180">
        <v>18</v>
      </c>
      <c r="Q37" s="265">
        <v>1288.9384615384611</v>
      </c>
      <c r="R37" s="265">
        <v>71.607692307692275</v>
      </c>
      <c r="S37" s="180">
        <f t="shared" si="10"/>
        <v>3</v>
      </c>
      <c r="T37" s="460"/>
      <c r="U37" s="180">
        <v>18</v>
      </c>
      <c r="V37" s="265">
        <v>1271.1951219512191</v>
      </c>
      <c r="W37" s="265">
        <v>70.621951219512169</v>
      </c>
      <c r="X37" s="180">
        <f t="shared" si="11"/>
        <v>3</v>
      </c>
      <c r="Y37" s="460"/>
      <c r="Z37" s="180">
        <v>18</v>
      </c>
      <c r="AA37" s="265">
        <v>1278.1176470588241</v>
      </c>
      <c r="AB37" s="265">
        <v>71.00653594771245</v>
      </c>
      <c r="AC37" s="180">
        <f t="shared" si="13"/>
        <v>3</v>
      </c>
      <c r="AD37" s="460"/>
      <c r="AE37" s="180">
        <v>18</v>
      </c>
      <c r="AF37" s="265">
        <v>1293.0000000000009</v>
      </c>
      <c r="AG37" s="265">
        <v>71.833333333333385</v>
      </c>
      <c r="AH37" s="180">
        <f t="shared" si="15"/>
        <v>3</v>
      </c>
      <c r="AI37" s="460"/>
      <c r="AJ37" s="180">
        <v>18</v>
      </c>
      <c r="AK37" s="265">
        <v>1275.5294117647061</v>
      </c>
      <c r="AL37" s="265">
        <v>70.862745098039227</v>
      </c>
      <c r="AM37" s="180">
        <f t="shared" si="17"/>
        <v>4</v>
      </c>
      <c r="AN37" s="460"/>
      <c r="AO37" s="180">
        <v>18</v>
      </c>
      <c r="AP37" s="265">
        <v>1276.457142857143</v>
      </c>
      <c r="AQ37" s="265">
        <v>70.914285714285725</v>
      </c>
      <c r="AR37" s="180">
        <f t="shared" si="19"/>
        <v>4</v>
      </c>
      <c r="AS37" s="460"/>
      <c r="AT37" s="180">
        <v>18</v>
      </c>
      <c r="AU37" s="265">
        <v>1248.9946524064167</v>
      </c>
      <c r="AV37" s="265">
        <v>69.38859180035648</v>
      </c>
      <c r="AW37" s="180">
        <f t="shared" si="21"/>
        <v>3</v>
      </c>
      <c r="AX37" s="486"/>
    </row>
    <row r="38" spans="2:50">
      <c r="B38" s="479"/>
      <c r="C38" s="180">
        <v>12</v>
      </c>
      <c r="D38" s="201"/>
      <c r="E38" s="166"/>
      <c r="F38" s="180"/>
      <c r="G38" s="265"/>
      <c r="H38" s="460"/>
      <c r="I38" s="166"/>
      <c r="J38" s="166"/>
      <c r="K38" s="265"/>
      <c r="L38" s="460"/>
      <c r="M38" s="272" t="e">
        <f>RANK(K38, K$27:$K$41)</f>
        <v>#N/A</v>
      </c>
      <c r="N38" s="462"/>
      <c r="O38" s="462"/>
      <c r="P38" s="180"/>
      <c r="Q38" s="265"/>
      <c r="R38" s="265"/>
      <c r="S38" s="180" t="e">
        <f t="shared" si="10"/>
        <v>#N/A</v>
      </c>
      <c r="T38" s="460"/>
      <c r="U38" s="180"/>
      <c r="V38" s="265"/>
      <c r="W38" s="265"/>
      <c r="X38" s="180" t="e">
        <f t="shared" si="11"/>
        <v>#N/A</v>
      </c>
      <c r="Y38" s="460"/>
      <c r="Z38" s="180"/>
      <c r="AA38" s="265"/>
      <c r="AB38" s="265"/>
      <c r="AC38" s="180" t="e">
        <f t="shared" si="13"/>
        <v>#N/A</v>
      </c>
      <c r="AD38" s="460"/>
      <c r="AE38" s="180"/>
      <c r="AF38" s="265"/>
      <c r="AG38" s="265"/>
      <c r="AH38" s="180" t="e">
        <f t="shared" si="15"/>
        <v>#N/A</v>
      </c>
      <c r="AI38" s="460"/>
      <c r="AJ38" s="180"/>
      <c r="AK38" s="265"/>
      <c r="AL38" s="265"/>
      <c r="AM38" s="180" t="e">
        <f t="shared" si="17"/>
        <v>#N/A</v>
      </c>
      <c r="AN38" s="460"/>
      <c r="AO38" s="180"/>
      <c r="AP38" s="265"/>
      <c r="AQ38" s="265"/>
      <c r="AR38" s="180" t="e">
        <f t="shared" si="19"/>
        <v>#N/A</v>
      </c>
      <c r="AS38" s="460"/>
      <c r="AT38" s="180"/>
      <c r="AU38" s="265"/>
      <c r="AV38" s="265"/>
      <c r="AW38" s="180" t="e">
        <f t="shared" si="21"/>
        <v>#N/A</v>
      </c>
      <c r="AX38" s="486"/>
    </row>
    <row r="39" spans="2:50">
      <c r="B39" s="479"/>
      <c r="C39" s="180">
        <v>13</v>
      </c>
      <c r="D39" s="201"/>
      <c r="E39" s="166"/>
      <c r="F39" s="180"/>
      <c r="G39" s="265"/>
      <c r="H39" s="460"/>
      <c r="I39" s="180"/>
      <c r="J39" s="180"/>
      <c r="K39" s="180"/>
      <c r="L39" s="460"/>
      <c r="M39" s="272" t="e">
        <f>RANK(K39, K$27:$K$41)</f>
        <v>#N/A</v>
      </c>
      <c r="N39" s="462"/>
      <c r="O39" s="462"/>
      <c r="P39" s="180"/>
      <c r="Q39" s="265"/>
      <c r="R39" s="265"/>
      <c r="S39" s="180" t="e">
        <f t="shared" si="10"/>
        <v>#N/A</v>
      </c>
      <c r="T39" s="460"/>
      <c r="U39" s="180"/>
      <c r="V39" s="265"/>
      <c r="W39" s="265"/>
      <c r="X39" s="180" t="e">
        <f t="shared" si="11"/>
        <v>#N/A</v>
      </c>
      <c r="Y39" s="460"/>
      <c r="Z39" s="180"/>
      <c r="AA39" s="265"/>
      <c r="AB39" s="265"/>
      <c r="AC39" s="180" t="e">
        <f t="shared" si="13"/>
        <v>#N/A</v>
      </c>
      <c r="AD39" s="460"/>
      <c r="AE39" s="180"/>
      <c r="AF39" s="265"/>
      <c r="AG39" s="265"/>
      <c r="AH39" s="180" t="e">
        <f t="shared" si="15"/>
        <v>#N/A</v>
      </c>
      <c r="AI39" s="460"/>
      <c r="AJ39" s="180"/>
      <c r="AK39" s="265"/>
      <c r="AL39" s="265"/>
      <c r="AM39" s="180" t="e">
        <f t="shared" si="17"/>
        <v>#N/A</v>
      </c>
      <c r="AN39" s="460"/>
      <c r="AO39" s="180"/>
      <c r="AP39" s="265"/>
      <c r="AQ39" s="265"/>
      <c r="AR39" s="180" t="e">
        <f t="shared" si="19"/>
        <v>#N/A</v>
      </c>
      <c r="AS39" s="460"/>
      <c r="AT39" s="180"/>
      <c r="AU39" s="265"/>
      <c r="AV39" s="265"/>
      <c r="AW39" s="180" t="e">
        <f t="shared" si="21"/>
        <v>#N/A</v>
      </c>
      <c r="AX39" s="486"/>
    </row>
    <row r="40" spans="2:50">
      <c r="B40" s="479"/>
      <c r="C40" s="180">
        <v>14</v>
      </c>
      <c r="D40" s="201"/>
      <c r="E40" s="166"/>
      <c r="F40" s="180"/>
      <c r="G40" s="265"/>
      <c r="H40" s="460"/>
      <c r="I40" s="180"/>
      <c r="J40" s="180"/>
      <c r="K40" s="180"/>
      <c r="L40" s="460"/>
      <c r="M40" s="272" t="e">
        <f>RANK(K40, K$27:$K$41)</f>
        <v>#N/A</v>
      </c>
      <c r="N40" s="462"/>
      <c r="O40" s="462"/>
      <c r="P40" s="180"/>
      <c r="Q40" s="265"/>
      <c r="R40" s="265"/>
      <c r="S40" s="180" t="e">
        <f t="shared" si="10"/>
        <v>#N/A</v>
      </c>
      <c r="T40" s="460"/>
      <c r="U40" s="180"/>
      <c r="V40" s="265"/>
      <c r="W40" s="265"/>
      <c r="X40" s="180" t="e">
        <f t="shared" si="11"/>
        <v>#N/A</v>
      </c>
      <c r="Y40" s="460"/>
      <c r="Z40" s="180"/>
      <c r="AA40" s="265"/>
      <c r="AB40" s="265"/>
      <c r="AC40" s="180" t="e">
        <f t="shared" si="13"/>
        <v>#N/A</v>
      </c>
      <c r="AD40" s="460"/>
      <c r="AE40" s="180"/>
      <c r="AF40" s="265"/>
      <c r="AG40" s="265"/>
      <c r="AH40" s="180" t="e">
        <f t="shared" si="15"/>
        <v>#N/A</v>
      </c>
      <c r="AI40" s="460"/>
      <c r="AJ40" s="180"/>
      <c r="AK40" s="265"/>
      <c r="AL40" s="265"/>
      <c r="AM40" s="180" t="e">
        <f t="shared" si="17"/>
        <v>#N/A</v>
      </c>
      <c r="AN40" s="460"/>
      <c r="AO40" s="180"/>
      <c r="AP40" s="265"/>
      <c r="AQ40" s="265"/>
      <c r="AR40" s="180" t="e">
        <f t="shared" si="19"/>
        <v>#N/A</v>
      </c>
      <c r="AS40" s="460"/>
      <c r="AT40" s="180"/>
      <c r="AU40" s="265"/>
      <c r="AV40" s="265"/>
      <c r="AW40" s="180" t="e">
        <f t="shared" si="21"/>
        <v>#N/A</v>
      </c>
      <c r="AX40" s="486"/>
    </row>
    <row r="41" spans="2:50">
      <c r="B41" s="479"/>
      <c r="C41" s="180">
        <v>15</v>
      </c>
      <c r="D41" s="201"/>
      <c r="E41" s="166"/>
      <c r="F41" s="180"/>
      <c r="G41" s="265"/>
      <c r="H41" s="461"/>
      <c r="I41" s="180"/>
      <c r="J41" s="180"/>
      <c r="K41" s="180"/>
      <c r="L41" s="461"/>
      <c r="M41" s="166" t="e">
        <f>RANK(K41, K$27:$K$41)</f>
        <v>#N/A</v>
      </c>
      <c r="N41" s="462"/>
      <c r="O41" s="462"/>
      <c r="P41" s="180"/>
      <c r="Q41" s="265"/>
      <c r="R41" s="265"/>
      <c r="S41" s="180" t="e">
        <f t="shared" si="10"/>
        <v>#N/A</v>
      </c>
      <c r="T41" s="461"/>
      <c r="U41" s="180"/>
      <c r="V41" s="265"/>
      <c r="W41" s="265"/>
      <c r="X41" s="180" t="e">
        <f t="shared" si="11"/>
        <v>#N/A</v>
      </c>
      <c r="Y41" s="461"/>
      <c r="Z41" s="180"/>
      <c r="AA41" s="265"/>
      <c r="AB41" s="265"/>
      <c r="AC41" s="180" t="e">
        <f t="shared" si="13"/>
        <v>#N/A</v>
      </c>
      <c r="AD41" s="461"/>
      <c r="AE41" s="180"/>
      <c r="AF41" s="265"/>
      <c r="AG41" s="265"/>
      <c r="AH41" s="180" t="e">
        <f t="shared" si="15"/>
        <v>#N/A</v>
      </c>
      <c r="AI41" s="461"/>
      <c r="AJ41" s="180"/>
      <c r="AK41" s="265"/>
      <c r="AL41" s="265"/>
      <c r="AM41" s="180" t="e">
        <f t="shared" si="17"/>
        <v>#N/A</v>
      </c>
      <c r="AN41" s="461"/>
      <c r="AO41" s="180"/>
      <c r="AP41" s="265"/>
      <c r="AQ41" s="265"/>
      <c r="AR41" s="180" t="e">
        <f t="shared" si="19"/>
        <v>#N/A</v>
      </c>
      <c r="AS41" s="461"/>
      <c r="AT41" s="180"/>
      <c r="AU41" s="265"/>
      <c r="AV41" s="265"/>
      <c r="AW41" s="180" t="e">
        <f t="shared" si="21"/>
        <v>#N/A</v>
      </c>
      <c r="AX41" s="486"/>
    </row>
    <row r="42" spans="2:50" ht="15.75">
      <c r="B42" s="490" t="s">
        <v>721</v>
      </c>
      <c r="C42" s="491"/>
      <c r="D42" s="491"/>
      <c r="E42" s="491"/>
      <c r="F42" s="491"/>
      <c r="G42" s="491"/>
      <c r="H42" s="491"/>
      <c r="I42" s="184"/>
      <c r="J42" s="181"/>
      <c r="K42" s="184"/>
      <c r="L42" s="184"/>
      <c r="M42" s="178"/>
      <c r="N42" s="469" t="s">
        <v>722</v>
      </c>
      <c r="O42" s="469" t="s">
        <v>723</v>
      </c>
      <c r="P42" s="478">
        <f>P22+7</f>
        <v>46063</v>
      </c>
      <c r="Q42" s="479"/>
      <c r="R42" s="479"/>
      <c r="S42" s="479"/>
      <c r="T42" s="479"/>
      <c r="U42" s="475">
        <f>P42+1</f>
        <v>46064</v>
      </c>
      <c r="V42" s="476"/>
      <c r="W42" s="476"/>
      <c r="X42" s="476"/>
      <c r="Y42" s="477"/>
      <c r="Z42" s="475">
        <f>U42+1</f>
        <v>46065</v>
      </c>
      <c r="AA42" s="476"/>
      <c r="AB42" s="476"/>
      <c r="AC42" s="476"/>
      <c r="AD42" s="477"/>
      <c r="AE42" s="475">
        <f>Z42+1</f>
        <v>46066</v>
      </c>
      <c r="AF42" s="476"/>
      <c r="AG42" s="476"/>
      <c r="AH42" s="476"/>
      <c r="AI42" s="477"/>
      <c r="AJ42" s="475">
        <f>AE42+1</f>
        <v>46067</v>
      </c>
      <c r="AK42" s="476"/>
      <c r="AL42" s="476"/>
      <c r="AM42" s="476"/>
      <c r="AN42" s="477"/>
      <c r="AO42" s="475">
        <f>AJ42+1</f>
        <v>46068</v>
      </c>
      <c r="AP42" s="476"/>
      <c r="AQ42" s="476"/>
      <c r="AR42" s="476"/>
      <c r="AS42" s="477"/>
      <c r="AT42" s="475">
        <f>AO42+1</f>
        <v>46069</v>
      </c>
      <c r="AU42" s="476"/>
      <c r="AV42" s="476"/>
      <c r="AW42" s="476"/>
      <c r="AX42" s="477"/>
    </row>
    <row r="43" spans="2:50" ht="15.75">
      <c r="B43" s="482"/>
      <c r="C43" s="482"/>
      <c r="D43" s="482"/>
      <c r="E43" s="482"/>
      <c r="F43" s="482"/>
      <c r="G43" s="482"/>
      <c r="H43" s="482"/>
      <c r="I43" s="182"/>
      <c r="J43" s="182"/>
      <c r="K43" s="182"/>
      <c r="L43" s="182"/>
      <c r="M43" s="179"/>
      <c r="N43" s="471"/>
      <c r="O43" s="471"/>
      <c r="P43" s="478" t="s">
        <v>724</v>
      </c>
      <c r="Q43" s="479"/>
      <c r="R43" s="479"/>
      <c r="S43" s="479"/>
      <c r="T43" s="479"/>
      <c r="U43" s="478" t="s">
        <v>725</v>
      </c>
      <c r="V43" s="479"/>
      <c r="W43" s="479"/>
      <c r="X43" s="479"/>
      <c r="Y43" s="479"/>
      <c r="Z43" s="478" t="s">
        <v>726</v>
      </c>
      <c r="AA43" s="479"/>
      <c r="AB43" s="479"/>
      <c r="AC43" s="479"/>
      <c r="AD43" s="479"/>
      <c r="AE43" s="478" t="s">
        <v>727</v>
      </c>
      <c r="AF43" s="479"/>
      <c r="AG43" s="479"/>
      <c r="AH43" s="479"/>
      <c r="AI43" s="479"/>
      <c r="AJ43" s="478" t="s">
        <v>728</v>
      </c>
      <c r="AK43" s="479"/>
      <c r="AL43" s="479"/>
      <c r="AM43" s="479"/>
      <c r="AN43" s="479"/>
      <c r="AO43" s="478" t="s">
        <v>729</v>
      </c>
      <c r="AP43" s="479"/>
      <c r="AQ43" s="479"/>
      <c r="AR43" s="479"/>
      <c r="AS43" s="479"/>
      <c r="AT43" s="478" t="s">
        <v>730</v>
      </c>
      <c r="AU43" s="479"/>
      <c r="AV43" s="479"/>
      <c r="AW43" s="479"/>
      <c r="AX43" s="479"/>
    </row>
    <row r="44" spans="2:50">
      <c r="B44" s="462" t="s">
        <v>731</v>
      </c>
      <c r="C44" s="462" t="s">
        <v>732</v>
      </c>
      <c r="D44" s="462"/>
      <c r="E44" s="462" t="s">
        <v>733</v>
      </c>
      <c r="F44" s="462"/>
      <c r="G44" s="462"/>
      <c r="H44" s="463" t="s">
        <v>734</v>
      </c>
      <c r="I44" s="462" t="s">
        <v>735</v>
      </c>
      <c r="J44" s="462"/>
      <c r="K44" s="462"/>
      <c r="L44" s="463" t="s">
        <v>734</v>
      </c>
      <c r="M44" s="469" t="s">
        <v>736</v>
      </c>
      <c r="N44" s="462"/>
      <c r="O44" s="462" t="s">
        <v>737</v>
      </c>
      <c r="P44" s="466" t="s">
        <v>738</v>
      </c>
      <c r="Q44" s="467"/>
      <c r="R44" s="467"/>
      <c r="S44" s="468"/>
      <c r="T44" s="462" t="s">
        <v>734</v>
      </c>
      <c r="U44" s="466" t="s">
        <v>738</v>
      </c>
      <c r="V44" s="467"/>
      <c r="W44" s="467"/>
      <c r="X44" s="468"/>
      <c r="Y44" s="462" t="s">
        <v>734</v>
      </c>
      <c r="Z44" s="466" t="s">
        <v>738</v>
      </c>
      <c r="AA44" s="467"/>
      <c r="AB44" s="467"/>
      <c r="AC44" s="468"/>
      <c r="AD44" s="462" t="s">
        <v>734</v>
      </c>
      <c r="AE44" s="466" t="s">
        <v>738</v>
      </c>
      <c r="AF44" s="467"/>
      <c r="AG44" s="467"/>
      <c r="AH44" s="468"/>
      <c r="AI44" s="462" t="s">
        <v>734</v>
      </c>
      <c r="AJ44" s="466" t="s">
        <v>738</v>
      </c>
      <c r="AK44" s="467"/>
      <c r="AL44" s="467"/>
      <c r="AM44" s="468"/>
      <c r="AN44" s="462" t="s">
        <v>734</v>
      </c>
      <c r="AO44" s="466" t="s">
        <v>738</v>
      </c>
      <c r="AP44" s="467"/>
      <c r="AQ44" s="467"/>
      <c r="AR44" s="468"/>
      <c r="AS44" s="462" t="s">
        <v>734</v>
      </c>
      <c r="AT44" s="466" t="s">
        <v>738</v>
      </c>
      <c r="AU44" s="467"/>
      <c r="AV44" s="467"/>
      <c r="AW44" s="468"/>
      <c r="AX44" s="462" t="s">
        <v>734</v>
      </c>
    </row>
    <row r="45" spans="2:50">
      <c r="B45" s="462"/>
      <c r="C45" s="462"/>
      <c r="D45" s="462"/>
      <c r="E45" s="462" t="s">
        <v>739</v>
      </c>
      <c r="F45" s="462"/>
      <c r="G45" s="462"/>
      <c r="H45" s="464"/>
      <c r="I45" s="462" t="s">
        <v>739</v>
      </c>
      <c r="J45" s="462"/>
      <c r="K45" s="462"/>
      <c r="L45" s="464"/>
      <c r="M45" s="470"/>
      <c r="N45" s="462"/>
      <c r="O45" s="462"/>
      <c r="P45" s="466" t="s">
        <v>740</v>
      </c>
      <c r="Q45" s="467"/>
      <c r="R45" s="467"/>
      <c r="S45" s="468"/>
      <c r="T45" s="462"/>
      <c r="U45" s="466" t="s">
        <v>740</v>
      </c>
      <c r="V45" s="467"/>
      <c r="W45" s="467"/>
      <c r="X45" s="468"/>
      <c r="Y45" s="462"/>
      <c r="Z45" s="466" t="s">
        <v>740</v>
      </c>
      <c r="AA45" s="467"/>
      <c r="AB45" s="467"/>
      <c r="AC45" s="468"/>
      <c r="AD45" s="462"/>
      <c r="AE45" s="466" t="s">
        <v>740</v>
      </c>
      <c r="AF45" s="467"/>
      <c r="AG45" s="467"/>
      <c r="AH45" s="468"/>
      <c r="AI45" s="462"/>
      <c r="AJ45" s="466" t="s">
        <v>740</v>
      </c>
      <c r="AK45" s="467"/>
      <c r="AL45" s="467"/>
      <c r="AM45" s="468"/>
      <c r="AN45" s="462"/>
      <c r="AO45" s="466" t="s">
        <v>740</v>
      </c>
      <c r="AP45" s="467"/>
      <c r="AQ45" s="467"/>
      <c r="AR45" s="468"/>
      <c r="AS45" s="462"/>
      <c r="AT45" s="466" t="s">
        <v>740</v>
      </c>
      <c r="AU45" s="467"/>
      <c r="AV45" s="467"/>
      <c r="AW45" s="468"/>
      <c r="AX45" s="462"/>
    </row>
    <row r="46" spans="2:50">
      <c r="B46" s="462"/>
      <c r="C46" s="462"/>
      <c r="D46" s="462"/>
      <c r="E46" s="264" t="s">
        <v>741</v>
      </c>
      <c r="F46" s="264" t="s">
        <v>742</v>
      </c>
      <c r="G46" s="264" t="s">
        <v>743</v>
      </c>
      <c r="H46" s="465"/>
      <c r="I46" s="264" t="s">
        <v>741</v>
      </c>
      <c r="J46" s="264" t="s">
        <v>742</v>
      </c>
      <c r="K46" s="264" t="s">
        <v>743</v>
      </c>
      <c r="L46" s="465"/>
      <c r="M46" s="471"/>
      <c r="N46" s="462"/>
      <c r="O46" s="462"/>
      <c r="P46" s="264" t="s">
        <v>741</v>
      </c>
      <c r="Q46" s="264" t="s">
        <v>742</v>
      </c>
      <c r="R46" s="264" t="s">
        <v>743</v>
      </c>
      <c r="S46" s="264" t="s">
        <v>736</v>
      </c>
      <c r="T46" s="462"/>
      <c r="U46" s="264" t="s">
        <v>741</v>
      </c>
      <c r="V46" s="264" t="s">
        <v>742</v>
      </c>
      <c r="W46" s="264" t="s">
        <v>743</v>
      </c>
      <c r="X46" s="264" t="s">
        <v>736</v>
      </c>
      <c r="Y46" s="462"/>
      <c r="Z46" s="264" t="s">
        <v>741</v>
      </c>
      <c r="AA46" s="264" t="s">
        <v>742</v>
      </c>
      <c r="AB46" s="264" t="s">
        <v>743</v>
      </c>
      <c r="AC46" s="264" t="s">
        <v>736</v>
      </c>
      <c r="AD46" s="462"/>
      <c r="AE46" s="264" t="s">
        <v>741</v>
      </c>
      <c r="AF46" s="264" t="s">
        <v>742</v>
      </c>
      <c r="AG46" s="264" t="s">
        <v>743</v>
      </c>
      <c r="AH46" s="264" t="s">
        <v>736</v>
      </c>
      <c r="AI46" s="462"/>
      <c r="AJ46" s="264" t="s">
        <v>741</v>
      </c>
      <c r="AK46" s="264" t="s">
        <v>742</v>
      </c>
      <c r="AL46" s="264" t="s">
        <v>743</v>
      </c>
      <c r="AM46" s="264" t="s">
        <v>736</v>
      </c>
      <c r="AN46" s="462"/>
      <c r="AO46" s="264" t="s">
        <v>741</v>
      </c>
      <c r="AP46" s="264" t="s">
        <v>742</v>
      </c>
      <c r="AQ46" s="264" t="s">
        <v>743</v>
      </c>
      <c r="AR46" s="264" t="s">
        <v>736</v>
      </c>
      <c r="AS46" s="462"/>
      <c r="AT46" s="264" t="s">
        <v>741</v>
      </c>
      <c r="AU46" s="264" t="s">
        <v>742</v>
      </c>
      <c r="AV46" s="264" t="s">
        <v>743</v>
      </c>
      <c r="AW46" s="264" t="s">
        <v>736</v>
      </c>
      <c r="AX46" s="462"/>
    </row>
    <row r="47" spans="2:50">
      <c r="B47" s="462" t="s">
        <v>754</v>
      </c>
      <c r="C47" s="180">
        <v>1</v>
      </c>
      <c r="D47" s="201" t="s">
        <v>372</v>
      </c>
      <c r="E47" s="166">
        <v>18</v>
      </c>
      <c r="F47" s="180">
        <v>1440</v>
      </c>
      <c r="G47" s="265">
        <v>80</v>
      </c>
      <c r="H47" s="459">
        <f>AVERAGE(G47:G61)</f>
        <v>79.242222222222225</v>
      </c>
      <c r="I47" s="166">
        <f>AVERAGE(P47,U47,Z47,AE47,AJ47,AO47,AT47)</f>
        <v>18</v>
      </c>
      <c r="J47" s="166">
        <f>AVERAGE(Q47,V47,AA47,AF47,AK47,AP47,AU47)</f>
        <v>1266.3280576103821</v>
      </c>
      <c r="K47" s="265">
        <f>AVERAGE(R47,W47,AB47,AG47,AL47,AQ47,AV47)</f>
        <v>70.351558756132334</v>
      </c>
      <c r="L47" s="459">
        <f>IFERROR(AVERAGE(K47:K61),"-")</f>
        <v>66.840558374728332</v>
      </c>
      <c r="M47" s="272">
        <f>RANK(K47, K$47:$K$61)</f>
        <v>4</v>
      </c>
      <c r="N47" s="462"/>
      <c r="O47" s="462"/>
      <c r="P47" s="166">
        <v>18</v>
      </c>
      <c r="Q47" s="166">
        <v>1276.8000000000002</v>
      </c>
      <c r="R47" s="166">
        <v>70.933333333333337</v>
      </c>
      <c r="S47" s="180">
        <f>RANK(R47, R$47:R$61)</f>
        <v>4</v>
      </c>
      <c r="T47" s="486">
        <f>AVERAGE(R47:R61)</f>
        <v>66.827560294452681</v>
      </c>
      <c r="U47" s="166">
        <v>18</v>
      </c>
      <c r="V47" s="166">
        <v>1286.4516129032261</v>
      </c>
      <c r="W47" s="166">
        <v>71.46953405017922</v>
      </c>
      <c r="X47" s="180">
        <f>RANK(W47, W$47:W$61)</f>
        <v>3</v>
      </c>
      <c r="Y47" s="486">
        <f>AVERAGE(W47:W61)</f>
        <v>66.704718382746066</v>
      </c>
      <c r="Z47" s="166">
        <v>18</v>
      </c>
      <c r="AA47" s="166">
        <v>1241.590909090909</v>
      </c>
      <c r="AB47" s="166">
        <v>68.97727272727272</v>
      </c>
      <c r="AC47" s="180">
        <f>RANK(AB47, AB$47:AB$61)</f>
        <v>4</v>
      </c>
      <c r="AD47" s="486">
        <f>AVERAGE(AB47:AB61)</f>
        <v>67.267241285286815</v>
      </c>
      <c r="AE47" s="166">
        <v>18</v>
      </c>
      <c r="AF47" s="166">
        <v>1236.8000000000004</v>
      </c>
      <c r="AG47" s="166">
        <v>68.711111111111137</v>
      </c>
      <c r="AH47" s="180">
        <f>RANK(AG47, AG$47:AG$61)</f>
        <v>4</v>
      </c>
      <c r="AI47" s="486">
        <f>AVERAGE(AG47:AG61)</f>
        <v>65.348252464464309</v>
      </c>
      <c r="AJ47" s="166">
        <v>18</v>
      </c>
      <c r="AK47" s="166">
        <v>1285.3333333333333</v>
      </c>
      <c r="AL47" s="166">
        <v>71.407407407407405</v>
      </c>
      <c r="AM47" s="180">
        <f>RANK(AL47, AL$47:AL$61)</f>
        <v>3</v>
      </c>
      <c r="AN47" s="486">
        <f>AVERAGE(AL47:AL61)</f>
        <v>67.747172007187459</v>
      </c>
      <c r="AO47" s="166">
        <v>18</v>
      </c>
      <c r="AP47" s="166">
        <v>1264.5205479452059</v>
      </c>
      <c r="AQ47" s="166">
        <v>70.251141552511442</v>
      </c>
      <c r="AR47" s="180">
        <f>RANK(AQ47, AQ$47:AQ$61)</f>
        <v>3</v>
      </c>
      <c r="AS47" s="486">
        <f>AVERAGE(AQ47:AQ61)</f>
        <v>67.216399014641212</v>
      </c>
      <c r="AT47" s="166">
        <v>18</v>
      </c>
      <c r="AU47" s="166">
        <v>1272.7999999999997</v>
      </c>
      <c r="AV47" s="166">
        <v>70.711111111111094</v>
      </c>
      <c r="AW47" s="180">
        <f>RANK(AV47, AV$47:AV$61)</f>
        <v>3</v>
      </c>
      <c r="AX47" s="486">
        <f>AVERAGE(AV47:AV61)</f>
        <v>66.77256517431978</v>
      </c>
    </row>
    <row r="48" spans="2:50">
      <c r="B48" s="479"/>
      <c r="C48" s="180">
        <v>2</v>
      </c>
      <c r="D48" s="201" t="s">
        <v>373</v>
      </c>
      <c r="E48" s="166">
        <v>18</v>
      </c>
      <c r="F48" s="180">
        <v>1440</v>
      </c>
      <c r="G48" s="265">
        <v>80</v>
      </c>
      <c r="H48" s="460"/>
      <c r="I48" s="166">
        <f t="shared" ref="I48:K56" si="24">AVERAGE(P48,U48,Z48,AE48,AJ48,AO48,AT48)</f>
        <v>17.142857142857142</v>
      </c>
      <c r="J48" s="166">
        <f t="shared" si="24"/>
        <v>1098.7432342502204</v>
      </c>
      <c r="K48" s="265">
        <f t="shared" si="24"/>
        <v>64.216531721384129</v>
      </c>
      <c r="L48" s="460"/>
      <c r="M48" s="272">
        <f>RANK(K48, K$47:$K$61)</f>
        <v>6</v>
      </c>
      <c r="N48" s="462"/>
      <c r="O48" s="462"/>
      <c r="P48" s="166">
        <v>18</v>
      </c>
      <c r="Q48" s="166">
        <v>1108.1249999999984</v>
      </c>
      <c r="R48" s="166">
        <v>61.562499999999915</v>
      </c>
      <c r="S48" s="180">
        <f t="shared" ref="S48:S61" si="25">RANK(R48, R$47:R$61)</f>
        <v>8</v>
      </c>
      <c r="T48" s="486"/>
      <c r="U48" s="166">
        <v>18</v>
      </c>
      <c r="V48" s="166">
        <v>1101.9999999999982</v>
      </c>
      <c r="W48" s="166">
        <v>61.222222222222122</v>
      </c>
      <c r="X48" s="180">
        <f t="shared" ref="X48:X61" si="26">RANK(W48, W$47:W$61)</f>
        <v>8</v>
      </c>
      <c r="Y48" s="486"/>
      <c r="Z48" s="166">
        <v>18</v>
      </c>
      <c r="AA48" s="166">
        <v>1189.9999999999964</v>
      </c>
      <c r="AB48" s="166">
        <v>66.111111111110915</v>
      </c>
      <c r="AC48" s="180">
        <f t="shared" ref="AC48:AC61" si="27">RANK(AB48, AB$47:AB$61)</f>
        <v>6</v>
      </c>
      <c r="AD48" s="486"/>
      <c r="AE48" s="166">
        <v>18</v>
      </c>
      <c r="AF48" s="166">
        <v>1090.4347826086919</v>
      </c>
      <c r="AG48" s="166">
        <v>60.579710144927326</v>
      </c>
      <c r="AH48" s="180">
        <f t="shared" ref="AH48:AH61" si="28">RANK(AG48, AG$47:AG$61)</f>
        <v>7</v>
      </c>
      <c r="AI48" s="486"/>
      <c r="AJ48" s="166">
        <v>16</v>
      </c>
      <c r="AK48" s="166">
        <v>1096.0000000000009</v>
      </c>
      <c r="AL48" s="166">
        <v>68.500000000000057</v>
      </c>
      <c r="AM48" s="180">
        <f t="shared" ref="AM48:AM61" si="29">RANK(AL48, AL$47:AL$61)</f>
        <v>5</v>
      </c>
      <c r="AN48" s="486"/>
      <c r="AO48" s="166">
        <v>16</v>
      </c>
      <c r="AP48" s="166">
        <v>1067.142857142858</v>
      </c>
      <c r="AQ48" s="166">
        <v>66.696428571428626</v>
      </c>
      <c r="AR48" s="180">
        <f t="shared" ref="AR48:AR61" si="30">RANK(AQ48, AQ$47:AQ$61)</f>
        <v>5</v>
      </c>
      <c r="AS48" s="486"/>
      <c r="AT48" s="166">
        <v>16</v>
      </c>
      <c r="AU48" s="166">
        <v>1037.5000000000002</v>
      </c>
      <c r="AV48" s="166">
        <v>64.843750000000014</v>
      </c>
      <c r="AW48" s="180">
        <f t="shared" ref="AW48:AW61" si="31">RANK(AV48, AV$47:AV$61)</f>
        <v>7</v>
      </c>
      <c r="AX48" s="486"/>
    </row>
    <row r="49" spans="2:50">
      <c r="B49" s="479"/>
      <c r="C49" s="180">
        <v>3</v>
      </c>
      <c r="D49" s="201" t="s">
        <v>374</v>
      </c>
      <c r="E49" s="166">
        <v>16</v>
      </c>
      <c r="F49" s="180">
        <v>1440</v>
      </c>
      <c r="G49" s="265">
        <v>90</v>
      </c>
      <c r="H49" s="460"/>
      <c r="I49" s="166">
        <f t="shared" si="24"/>
        <v>16.857142857142858</v>
      </c>
      <c r="J49" s="166">
        <f t="shared" si="24"/>
        <v>1269.8541839548707</v>
      </c>
      <c r="K49" s="265">
        <f t="shared" si="24"/>
        <v>75.353340079851051</v>
      </c>
      <c r="L49" s="460"/>
      <c r="M49" s="272">
        <f>RANK(K49, K$47:$K$61)</f>
        <v>2</v>
      </c>
      <c r="N49" s="462"/>
      <c r="O49" s="462"/>
      <c r="P49" s="166">
        <v>16</v>
      </c>
      <c r="Q49" s="166">
        <v>1249.0909090909086</v>
      </c>
      <c r="R49" s="166">
        <v>78.068181818181785</v>
      </c>
      <c r="S49" s="180">
        <f t="shared" si="25"/>
        <v>2</v>
      </c>
      <c r="T49" s="486"/>
      <c r="U49" s="166">
        <v>17</v>
      </c>
      <c r="V49" s="166">
        <v>1282.1052631578957</v>
      </c>
      <c r="W49" s="166">
        <v>75.417956656346803</v>
      </c>
      <c r="X49" s="180">
        <f t="shared" si="26"/>
        <v>2</v>
      </c>
      <c r="Y49" s="486"/>
      <c r="Z49" s="166">
        <v>17</v>
      </c>
      <c r="AA49" s="166">
        <v>1258.8461538461536</v>
      </c>
      <c r="AB49" s="166">
        <v>74.049773755656091</v>
      </c>
      <c r="AC49" s="180">
        <f t="shared" si="27"/>
        <v>2</v>
      </c>
      <c r="AD49" s="486"/>
      <c r="AE49" s="166">
        <v>17</v>
      </c>
      <c r="AF49" s="166">
        <v>1273.3333333333339</v>
      </c>
      <c r="AG49" s="166">
        <v>74.901960784313758</v>
      </c>
      <c r="AH49" s="180">
        <f t="shared" si="28"/>
        <v>2</v>
      </c>
      <c r="AI49" s="486"/>
      <c r="AJ49" s="166">
        <v>17</v>
      </c>
      <c r="AK49" s="166">
        <v>1287.1304347826097</v>
      </c>
      <c r="AL49" s="166">
        <v>75.713554987212333</v>
      </c>
      <c r="AM49" s="180">
        <f t="shared" si="29"/>
        <v>2</v>
      </c>
      <c r="AN49" s="486"/>
      <c r="AO49" s="166">
        <v>17</v>
      </c>
      <c r="AP49" s="166">
        <v>1255.909090909091</v>
      </c>
      <c r="AQ49" s="166">
        <v>73.877005347593581</v>
      </c>
      <c r="AR49" s="180">
        <f t="shared" si="30"/>
        <v>2</v>
      </c>
      <c r="AS49" s="486"/>
      <c r="AT49" s="166">
        <v>17</v>
      </c>
      <c r="AU49" s="166">
        <v>1282.5641025641019</v>
      </c>
      <c r="AV49" s="166">
        <v>75.444947209653051</v>
      </c>
      <c r="AW49" s="180">
        <f t="shared" si="31"/>
        <v>2</v>
      </c>
      <c r="AX49" s="486"/>
    </row>
    <row r="50" spans="2:50">
      <c r="B50" s="479"/>
      <c r="C50" s="180">
        <v>4</v>
      </c>
      <c r="D50" s="201" t="s">
        <v>375</v>
      </c>
      <c r="E50" s="166">
        <v>19</v>
      </c>
      <c r="F50" s="180">
        <v>1440</v>
      </c>
      <c r="G50" s="265">
        <v>84.7</v>
      </c>
      <c r="H50" s="460"/>
      <c r="I50" s="166">
        <f t="shared" si="24"/>
        <v>18.857142857142858</v>
      </c>
      <c r="J50" s="166">
        <f t="shared" si="24"/>
        <v>1069.8870349771339</v>
      </c>
      <c r="K50" s="265">
        <f t="shared" si="24"/>
        <v>56.765822602483162</v>
      </c>
      <c r="L50" s="460"/>
      <c r="M50" s="272">
        <f>RANK(K50, K$47:$K$61)</f>
        <v>10</v>
      </c>
      <c r="N50" s="462"/>
      <c r="O50" s="462"/>
      <c r="P50" s="166">
        <v>19</v>
      </c>
      <c r="Q50" s="166">
        <v>1039.9999999999982</v>
      </c>
      <c r="R50" s="166">
        <v>54.736842105263065</v>
      </c>
      <c r="S50" s="180">
        <f t="shared" si="25"/>
        <v>10</v>
      </c>
      <c r="T50" s="486"/>
      <c r="U50" s="166">
        <v>19</v>
      </c>
      <c r="V50" s="166">
        <v>1061.999999999998</v>
      </c>
      <c r="W50" s="166">
        <v>55.894736842105154</v>
      </c>
      <c r="X50" s="180">
        <f t="shared" si="26"/>
        <v>10</v>
      </c>
      <c r="Y50" s="486"/>
      <c r="Z50" s="166">
        <v>19</v>
      </c>
      <c r="AA50" s="166">
        <v>1108.9655172413773</v>
      </c>
      <c r="AB50" s="166">
        <v>58.3666061705988</v>
      </c>
      <c r="AC50" s="180">
        <f t="shared" si="27"/>
        <v>10</v>
      </c>
      <c r="AD50" s="486"/>
      <c r="AE50" s="166">
        <v>19</v>
      </c>
      <c r="AF50" s="166">
        <v>1050.0000000000039</v>
      </c>
      <c r="AG50" s="166">
        <v>55.263157894737049</v>
      </c>
      <c r="AH50" s="180">
        <f t="shared" si="28"/>
        <v>10</v>
      </c>
      <c r="AI50" s="486"/>
      <c r="AJ50" s="166">
        <v>19</v>
      </c>
      <c r="AK50" s="166">
        <v>1087.7419354838692</v>
      </c>
      <c r="AL50" s="166">
        <v>57.249575551782584</v>
      </c>
      <c r="AM50" s="180">
        <f t="shared" si="29"/>
        <v>10</v>
      </c>
      <c r="AN50" s="486"/>
      <c r="AO50" s="166">
        <v>18</v>
      </c>
      <c r="AP50" s="166">
        <v>1091.6129032258045</v>
      </c>
      <c r="AQ50" s="166">
        <v>60.645161290322477</v>
      </c>
      <c r="AR50" s="180">
        <f t="shared" si="30"/>
        <v>9</v>
      </c>
      <c r="AS50" s="486"/>
      <c r="AT50" s="166">
        <v>19</v>
      </c>
      <c r="AU50" s="166">
        <v>1048.8888888888864</v>
      </c>
      <c r="AV50" s="166">
        <v>55.20467836257297</v>
      </c>
      <c r="AW50" s="180">
        <f t="shared" si="31"/>
        <v>10</v>
      </c>
      <c r="AX50" s="486"/>
    </row>
    <row r="51" spans="2:50">
      <c r="B51" s="479"/>
      <c r="C51" s="180">
        <v>5</v>
      </c>
      <c r="D51" s="201" t="s">
        <v>376</v>
      </c>
      <c r="E51" s="166">
        <v>21</v>
      </c>
      <c r="F51" s="180">
        <v>1385</v>
      </c>
      <c r="G51" s="265">
        <v>65.900000000000006</v>
      </c>
      <c r="H51" s="460"/>
      <c r="I51" s="166">
        <f t="shared" si="24"/>
        <v>20.428571428571427</v>
      </c>
      <c r="J51" s="166">
        <f t="shared" si="24"/>
        <v>1206.6434256395185</v>
      </c>
      <c r="K51" s="265">
        <f t="shared" si="24"/>
        <v>59.101161434270686</v>
      </c>
      <c r="L51" s="460"/>
      <c r="M51" s="272">
        <f>RANK(K51, K$47:$K$61)</f>
        <v>9</v>
      </c>
      <c r="N51" s="462"/>
      <c r="O51" s="462"/>
      <c r="P51" s="166">
        <v>21</v>
      </c>
      <c r="Q51" s="166">
        <v>1224.7058823529417</v>
      </c>
      <c r="R51" s="166">
        <v>58.319327731092457</v>
      </c>
      <c r="S51" s="180">
        <f t="shared" si="25"/>
        <v>9</v>
      </c>
      <c r="T51" s="486"/>
      <c r="U51" s="166">
        <v>21</v>
      </c>
      <c r="V51" s="166">
        <v>1235.8181818181829</v>
      </c>
      <c r="W51" s="166">
        <v>58.848484848484901</v>
      </c>
      <c r="X51" s="180">
        <f t="shared" si="26"/>
        <v>9</v>
      </c>
      <c r="Y51" s="486"/>
      <c r="Z51" s="166">
        <v>21</v>
      </c>
      <c r="AA51" s="166">
        <v>1242.6666666666667</v>
      </c>
      <c r="AB51" s="166">
        <v>59.174603174603178</v>
      </c>
      <c r="AC51" s="180">
        <f t="shared" si="27"/>
        <v>9</v>
      </c>
      <c r="AD51" s="486"/>
      <c r="AE51" s="166">
        <v>21</v>
      </c>
      <c r="AF51" s="166">
        <v>1224.0000000000007</v>
      </c>
      <c r="AG51" s="166">
        <v>58.28571428571432</v>
      </c>
      <c r="AH51" s="180">
        <f t="shared" si="28"/>
        <v>8</v>
      </c>
      <c r="AI51" s="486"/>
      <c r="AJ51" s="166">
        <v>19</v>
      </c>
      <c r="AK51" s="166">
        <v>1183.4482758620688</v>
      </c>
      <c r="AL51" s="166">
        <v>62.286751361161521</v>
      </c>
      <c r="AM51" s="180">
        <f t="shared" si="29"/>
        <v>8</v>
      </c>
      <c r="AN51" s="486"/>
      <c r="AO51" s="166">
        <v>20</v>
      </c>
      <c r="AP51" s="166">
        <v>1170.0965517241377</v>
      </c>
      <c r="AQ51" s="166">
        <v>58.504827586206886</v>
      </c>
      <c r="AR51" s="180">
        <f t="shared" si="30"/>
        <v>10</v>
      </c>
      <c r="AS51" s="486"/>
      <c r="AT51" s="166">
        <v>20</v>
      </c>
      <c r="AU51" s="166">
        <v>1165.7684210526309</v>
      </c>
      <c r="AV51" s="166">
        <v>58.288421052631541</v>
      </c>
      <c r="AW51" s="180">
        <f t="shared" si="31"/>
        <v>9</v>
      </c>
      <c r="AX51" s="486"/>
    </row>
    <row r="52" spans="2:50">
      <c r="B52" s="479"/>
      <c r="C52" s="180">
        <v>6</v>
      </c>
      <c r="D52" s="201" t="s">
        <v>377</v>
      </c>
      <c r="E52" s="166">
        <v>19</v>
      </c>
      <c r="F52" s="180">
        <v>1440</v>
      </c>
      <c r="G52" s="265">
        <v>75.8</v>
      </c>
      <c r="H52" s="460"/>
      <c r="I52" s="166">
        <f t="shared" si="24"/>
        <v>19.714285714285715</v>
      </c>
      <c r="J52" s="166">
        <f t="shared" si="24"/>
        <v>1261.7874653051529</v>
      </c>
      <c r="K52" s="265">
        <f t="shared" si="24"/>
        <v>64.03365682629348</v>
      </c>
      <c r="L52" s="460"/>
      <c r="M52" s="272">
        <f>RANK(K52, K$47:$K$61)</f>
        <v>7</v>
      </c>
      <c r="N52" s="462"/>
      <c r="O52" s="462"/>
      <c r="P52" s="166">
        <v>20</v>
      </c>
      <c r="Q52" s="166">
        <v>1250.8235294117644</v>
      </c>
      <c r="R52" s="166">
        <v>62.541176470588219</v>
      </c>
      <c r="S52" s="180">
        <f t="shared" si="25"/>
        <v>7</v>
      </c>
      <c r="T52" s="486"/>
      <c r="U52" s="166">
        <v>20</v>
      </c>
      <c r="V52" s="166">
        <v>1275.6164383561634</v>
      </c>
      <c r="W52" s="166">
        <v>63.780821917808169</v>
      </c>
      <c r="X52" s="180">
        <f t="shared" si="26"/>
        <v>7</v>
      </c>
      <c r="Y52" s="486"/>
      <c r="Z52" s="166">
        <v>20</v>
      </c>
      <c r="AA52" s="166">
        <v>1275.2542372881367</v>
      </c>
      <c r="AB52" s="166">
        <v>63.762711864406832</v>
      </c>
      <c r="AC52" s="180">
        <f t="shared" si="27"/>
        <v>8</v>
      </c>
      <c r="AD52" s="486"/>
      <c r="AE52" s="166">
        <v>20</v>
      </c>
      <c r="AF52" s="166">
        <v>1262.5531914893618</v>
      </c>
      <c r="AG52" s="166">
        <v>63.12765957446809</v>
      </c>
      <c r="AH52" s="180">
        <f t="shared" si="28"/>
        <v>5</v>
      </c>
      <c r="AI52" s="486"/>
      <c r="AJ52" s="166">
        <v>19</v>
      </c>
      <c r="AK52" s="166">
        <v>1255.9322033898316</v>
      </c>
      <c r="AL52" s="166">
        <v>66.101694915254299</v>
      </c>
      <c r="AM52" s="180">
        <f t="shared" si="29"/>
        <v>7</v>
      </c>
      <c r="AN52" s="486"/>
      <c r="AO52" s="166">
        <v>20</v>
      </c>
      <c r="AP52" s="166">
        <v>1256.4705882352926</v>
      </c>
      <c r="AQ52" s="166">
        <v>62.823529411764625</v>
      </c>
      <c r="AR52" s="180">
        <f t="shared" si="30"/>
        <v>7</v>
      </c>
      <c r="AS52" s="486"/>
      <c r="AT52" s="166">
        <v>19</v>
      </c>
      <c r="AU52" s="166">
        <v>1255.8620689655181</v>
      </c>
      <c r="AV52" s="166">
        <v>66.098003629764108</v>
      </c>
      <c r="AW52" s="180">
        <f t="shared" si="31"/>
        <v>5</v>
      </c>
      <c r="AX52" s="486"/>
    </row>
    <row r="53" spans="2:50">
      <c r="B53" s="479"/>
      <c r="C53" s="180">
        <v>7</v>
      </c>
      <c r="D53" s="201" t="s">
        <v>454</v>
      </c>
      <c r="E53" s="166">
        <v>18</v>
      </c>
      <c r="F53" s="180">
        <v>1385</v>
      </c>
      <c r="G53" s="265">
        <v>76.900000000000006</v>
      </c>
      <c r="H53" s="460"/>
      <c r="I53" s="166">
        <f t="shared" si="24"/>
        <v>18.428571428571427</v>
      </c>
      <c r="J53" s="166">
        <f t="shared" si="24"/>
        <v>1183.7649103466013</v>
      </c>
      <c r="K53" s="265">
        <f t="shared" si="24"/>
        <v>64.264403695483409</v>
      </c>
      <c r="L53" s="460"/>
      <c r="M53" s="272">
        <f>RANK(K53, K$47:$K$61)</f>
        <v>5</v>
      </c>
      <c r="N53" s="462"/>
      <c r="O53" s="462"/>
      <c r="P53" s="166">
        <v>19</v>
      </c>
      <c r="Q53" s="166">
        <v>1223.1999999999991</v>
      </c>
      <c r="R53" s="166">
        <v>64.378947368421009</v>
      </c>
      <c r="S53" s="180">
        <f t="shared" si="25"/>
        <v>6</v>
      </c>
      <c r="T53" s="486"/>
      <c r="U53" s="166">
        <v>19</v>
      </c>
      <c r="V53" s="166">
        <v>1216.0563380281678</v>
      </c>
      <c r="W53" s="166">
        <v>64.002965159377254</v>
      </c>
      <c r="X53" s="180">
        <f t="shared" si="26"/>
        <v>6</v>
      </c>
      <c r="Y53" s="486"/>
      <c r="Z53" s="166">
        <v>19</v>
      </c>
      <c r="AA53" s="166">
        <v>1216.2162162162153</v>
      </c>
      <c r="AB53" s="166">
        <v>64.011379800853433</v>
      </c>
      <c r="AC53" s="180">
        <f t="shared" si="27"/>
        <v>7</v>
      </c>
      <c r="AD53" s="486"/>
      <c r="AE53" s="166">
        <v>19</v>
      </c>
      <c r="AF53" s="166">
        <v>1194.5454545454552</v>
      </c>
      <c r="AG53" s="166">
        <v>62.870813397129218</v>
      </c>
      <c r="AH53" s="180">
        <f t="shared" si="28"/>
        <v>6</v>
      </c>
      <c r="AI53" s="486"/>
      <c r="AJ53" s="166">
        <v>18</v>
      </c>
      <c r="AK53" s="166">
        <v>1191.8181818181818</v>
      </c>
      <c r="AL53" s="166">
        <v>66.212121212121204</v>
      </c>
      <c r="AM53" s="180">
        <f t="shared" si="29"/>
        <v>6</v>
      </c>
      <c r="AN53" s="486"/>
      <c r="AO53" s="166">
        <v>18</v>
      </c>
      <c r="AP53" s="166">
        <v>1118.7000000000039</v>
      </c>
      <c r="AQ53" s="166">
        <v>62.150000000000219</v>
      </c>
      <c r="AR53" s="180">
        <f t="shared" si="30"/>
        <v>8</v>
      </c>
      <c r="AS53" s="486"/>
      <c r="AT53" s="166">
        <v>17</v>
      </c>
      <c r="AU53" s="166">
        <v>1125.8181818181858</v>
      </c>
      <c r="AV53" s="166">
        <v>66.22459893048152</v>
      </c>
      <c r="AW53" s="180">
        <f t="shared" si="31"/>
        <v>4</v>
      </c>
      <c r="AX53" s="486"/>
    </row>
    <row r="54" spans="2:50">
      <c r="B54" s="479"/>
      <c r="C54" s="180">
        <v>8</v>
      </c>
      <c r="D54" s="201" t="s">
        <v>457</v>
      </c>
      <c r="E54" s="166">
        <v>18</v>
      </c>
      <c r="F54" s="180">
        <v>1385</v>
      </c>
      <c r="G54" s="265">
        <v>76.900000000000006</v>
      </c>
      <c r="H54" s="460"/>
      <c r="I54" s="166">
        <f t="shared" si="24"/>
        <v>18.285714285714285</v>
      </c>
      <c r="J54" s="166">
        <f t="shared" si="24"/>
        <v>1159.5227218175573</v>
      </c>
      <c r="K54" s="265">
        <f t="shared" si="24"/>
        <v>63.412180116332763</v>
      </c>
      <c r="L54" s="460"/>
      <c r="M54" s="272">
        <f>RANK(K54, K$47:$K$61)</f>
        <v>8</v>
      </c>
      <c r="N54" s="462"/>
      <c r="O54" s="462"/>
      <c r="P54" s="166">
        <v>18</v>
      </c>
      <c r="Q54" s="166">
        <v>1191.6000000000004</v>
      </c>
      <c r="R54" s="166">
        <v>66.200000000000017</v>
      </c>
      <c r="S54" s="180">
        <f t="shared" si="25"/>
        <v>5</v>
      </c>
      <c r="T54" s="486"/>
      <c r="U54" s="166">
        <v>18</v>
      </c>
      <c r="V54" s="166">
        <v>1223.4146341463411</v>
      </c>
      <c r="W54" s="166">
        <v>67.967479674796721</v>
      </c>
      <c r="X54" s="180">
        <f t="shared" si="26"/>
        <v>5</v>
      </c>
      <c r="Y54" s="486"/>
      <c r="Z54" s="166">
        <v>18</v>
      </c>
      <c r="AA54" s="166">
        <v>1192.9411764705887</v>
      </c>
      <c r="AB54" s="166">
        <v>66.274509803921603</v>
      </c>
      <c r="AC54" s="180">
        <f t="shared" si="27"/>
        <v>5</v>
      </c>
      <c r="AD54" s="486"/>
      <c r="AE54" s="166">
        <v>18</v>
      </c>
      <c r="AF54" s="166">
        <v>1042.7586206896531</v>
      </c>
      <c r="AG54" s="166">
        <v>57.931034482758506</v>
      </c>
      <c r="AH54" s="180">
        <f t="shared" si="28"/>
        <v>9</v>
      </c>
      <c r="AI54" s="486"/>
      <c r="AJ54" s="166">
        <v>18</v>
      </c>
      <c r="AK54" s="166">
        <v>1058.1818181818167</v>
      </c>
      <c r="AL54" s="166">
        <v>58.787878787878704</v>
      </c>
      <c r="AM54" s="180">
        <f t="shared" si="29"/>
        <v>9</v>
      </c>
      <c r="AN54" s="486"/>
      <c r="AO54" s="166">
        <v>19</v>
      </c>
      <c r="AP54" s="166">
        <v>1224.905660377359</v>
      </c>
      <c r="AQ54" s="166">
        <v>64.468718967229421</v>
      </c>
      <c r="AR54" s="180">
        <f t="shared" si="30"/>
        <v>6</v>
      </c>
      <c r="AS54" s="486"/>
      <c r="AT54" s="166">
        <v>19</v>
      </c>
      <c r="AU54" s="166">
        <v>1182.8571428571424</v>
      </c>
      <c r="AV54" s="166">
        <v>62.255639097744336</v>
      </c>
      <c r="AW54" s="180">
        <f t="shared" si="31"/>
        <v>8</v>
      </c>
      <c r="AX54" s="486"/>
    </row>
    <row r="55" spans="2:50">
      <c r="B55" s="479"/>
      <c r="C55" s="180">
        <v>9</v>
      </c>
      <c r="D55" s="201" t="s">
        <v>524</v>
      </c>
      <c r="E55" s="166">
        <v>16</v>
      </c>
      <c r="F55" s="180">
        <v>1440</v>
      </c>
      <c r="G55" s="265">
        <v>90</v>
      </c>
      <c r="H55" s="460"/>
      <c r="I55" s="166">
        <f t="shared" si="24"/>
        <v>15.714285714285714</v>
      </c>
      <c r="J55" s="166">
        <f t="shared" si="24"/>
        <v>1265.1901462204062</v>
      </c>
      <c r="K55" s="265">
        <f t="shared" si="24"/>
        <v>80.552567391152181</v>
      </c>
      <c r="L55" s="460"/>
      <c r="M55" s="272">
        <f>RANK(K55, K$47:$K$61)</f>
        <v>1</v>
      </c>
      <c r="N55" s="462"/>
      <c r="O55" s="462"/>
      <c r="P55" s="166">
        <v>16</v>
      </c>
      <c r="Q55" s="166">
        <v>1272.0000000000005</v>
      </c>
      <c r="R55" s="166">
        <v>79.500000000000028</v>
      </c>
      <c r="S55" s="180">
        <f t="shared" si="25"/>
        <v>1</v>
      </c>
      <c r="T55" s="486"/>
      <c r="U55" s="166">
        <v>16</v>
      </c>
      <c r="V55" s="166">
        <v>1248.421052631579</v>
      </c>
      <c r="W55" s="166">
        <v>78.026315789473685</v>
      </c>
      <c r="X55" s="180">
        <f t="shared" si="26"/>
        <v>1</v>
      </c>
      <c r="Y55" s="486"/>
      <c r="Z55" s="166">
        <v>16</v>
      </c>
      <c r="AA55" s="166">
        <v>1285.3333333333333</v>
      </c>
      <c r="AB55" s="166">
        <v>80.333333333333329</v>
      </c>
      <c r="AC55" s="180">
        <f t="shared" si="27"/>
        <v>1</v>
      </c>
      <c r="AD55" s="486"/>
      <c r="AE55" s="166">
        <v>16</v>
      </c>
      <c r="AF55" s="166">
        <v>1280.6250000000005</v>
      </c>
      <c r="AG55" s="166">
        <v>80.039062500000028</v>
      </c>
      <c r="AH55" s="180">
        <f t="shared" si="28"/>
        <v>1</v>
      </c>
      <c r="AI55" s="486"/>
      <c r="AJ55" s="166">
        <v>16</v>
      </c>
      <c r="AK55" s="166">
        <v>1286.6037735849054</v>
      </c>
      <c r="AL55" s="166">
        <v>80.412735849056588</v>
      </c>
      <c r="AM55" s="180">
        <f t="shared" si="29"/>
        <v>1</v>
      </c>
      <c r="AN55" s="486"/>
      <c r="AO55" s="166">
        <v>15</v>
      </c>
      <c r="AP55" s="166">
        <v>1240.6451612903229</v>
      </c>
      <c r="AQ55" s="166">
        <v>82.709677419354861</v>
      </c>
      <c r="AR55" s="180">
        <f t="shared" si="30"/>
        <v>1</v>
      </c>
      <c r="AS55" s="486"/>
      <c r="AT55" s="166">
        <v>15</v>
      </c>
      <c r="AU55" s="166">
        <v>1242.7027027027027</v>
      </c>
      <c r="AV55" s="166">
        <v>82.846846846846844</v>
      </c>
      <c r="AW55" s="180">
        <f t="shared" si="31"/>
        <v>1</v>
      </c>
      <c r="AX55" s="486"/>
    </row>
    <row r="56" spans="2:50">
      <c r="B56" s="479"/>
      <c r="C56" s="180">
        <v>10</v>
      </c>
      <c r="D56" s="201" t="s">
        <v>755</v>
      </c>
      <c r="E56" s="166">
        <v>18</v>
      </c>
      <c r="F56" s="180">
        <v>1300</v>
      </c>
      <c r="G56" s="265">
        <v>72.222222222222229</v>
      </c>
      <c r="H56" s="460"/>
      <c r="I56" s="166">
        <f t="shared" si="24"/>
        <v>18.142857142857142</v>
      </c>
      <c r="J56" s="166">
        <f t="shared" si="24"/>
        <v>1275.7795938734009</v>
      </c>
      <c r="K56" s="265">
        <f t="shared" si="24"/>
        <v>70.354361123900119</v>
      </c>
      <c r="L56" s="460"/>
      <c r="M56" s="272">
        <f>RANK(K56, K$47:$K$61)</f>
        <v>3</v>
      </c>
      <c r="N56" s="462"/>
      <c r="O56" s="462"/>
      <c r="P56" s="166">
        <v>18</v>
      </c>
      <c r="Q56" s="166">
        <v>1296.6352941176467</v>
      </c>
      <c r="R56" s="166">
        <v>72.035294117647041</v>
      </c>
      <c r="S56" s="180">
        <f t="shared" si="25"/>
        <v>3</v>
      </c>
      <c r="T56" s="486"/>
      <c r="U56" s="166">
        <v>18</v>
      </c>
      <c r="V56" s="166">
        <v>1267.5000000000014</v>
      </c>
      <c r="W56" s="166">
        <v>70.416666666666742</v>
      </c>
      <c r="X56" s="180">
        <f t="shared" si="26"/>
        <v>4</v>
      </c>
      <c r="Y56" s="486"/>
      <c r="Z56" s="166">
        <v>18</v>
      </c>
      <c r="AA56" s="166">
        <v>1289.0000000000011</v>
      </c>
      <c r="AB56" s="166">
        <v>71.611111111111171</v>
      </c>
      <c r="AC56" s="180">
        <f t="shared" si="27"/>
        <v>3</v>
      </c>
      <c r="AD56" s="486"/>
      <c r="AE56" s="166">
        <v>18</v>
      </c>
      <c r="AF56" s="166">
        <v>1291.901408450703</v>
      </c>
      <c r="AG56" s="166">
        <v>71.772300469483497</v>
      </c>
      <c r="AH56" s="180">
        <f t="shared" si="28"/>
        <v>3</v>
      </c>
      <c r="AI56" s="486"/>
      <c r="AJ56" s="166">
        <v>18</v>
      </c>
      <c r="AK56" s="166">
        <v>1274.3999999999999</v>
      </c>
      <c r="AL56" s="166">
        <v>70.8</v>
      </c>
      <c r="AM56" s="180">
        <f t="shared" si="29"/>
        <v>4</v>
      </c>
      <c r="AN56" s="486"/>
      <c r="AO56" s="166">
        <v>18</v>
      </c>
      <c r="AP56" s="166">
        <v>1260.6750000000002</v>
      </c>
      <c r="AQ56" s="166">
        <v>70.037500000000009</v>
      </c>
      <c r="AR56" s="180">
        <f t="shared" si="30"/>
        <v>4</v>
      </c>
      <c r="AS56" s="486"/>
      <c r="AT56" s="166">
        <v>19</v>
      </c>
      <c r="AU56" s="166">
        <v>1250.3454545454547</v>
      </c>
      <c r="AV56" s="166">
        <v>65.80765550239235</v>
      </c>
      <c r="AW56" s="180">
        <f t="shared" si="31"/>
        <v>6</v>
      </c>
      <c r="AX56" s="486"/>
    </row>
    <row r="57" spans="2:50">
      <c r="B57" s="479"/>
      <c r="C57" s="180">
        <v>11</v>
      </c>
      <c r="D57" s="201"/>
      <c r="E57" s="166"/>
      <c r="F57" s="180"/>
      <c r="G57" s="265"/>
      <c r="H57" s="460"/>
      <c r="I57" s="166"/>
      <c r="J57" s="166"/>
      <c r="K57" s="265"/>
      <c r="L57" s="460"/>
      <c r="M57" s="272" t="e">
        <f>RANK(K57, K$47:$K$61)</f>
        <v>#N/A</v>
      </c>
      <c r="N57" s="462"/>
      <c r="O57" s="462"/>
      <c r="P57" s="180"/>
      <c r="Q57" s="265"/>
      <c r="R57" s="265"/>
      <c r="S57" s="180" t="e">
        <f t="shared" si="25"/>
        <v>#N/A</v>
      </c>
      <c r="T57" s="486"/>
      <c r="U57" s="180"/>
      <c r="V57" s="265"/>
      <c r="W57" s="265"/>
      <c r="X57" s="180" t="e">
        <f t="shared" si="26"/>
        <v>#N/A</v>
      </c>
      <c r="Y57" s="486"/>
      <c r="Z57" s="180"/>
      <c r="AA57" s="265"/>
      <c r="AB57" s="265"/>
      <c r="AC57" s="180" t="e">
        <f t="shared" si="27"/>
        <v>#N/A</v>
      </c>
      <c r="AD57" s="486"/>
      <c r="AE57" s="180"/>
      <c r="AF57" s="265"/>
      <c r="AG57" s="265"/>
      <c r="AH57" s="180" t="e">
        <f t="shared" si="28"/>
        <v>#N/A</v>
      </c>
      <c r="AI57" s="486"/>
      <c r="AJ57" s="180"/>
      <c r="AK57" s="265"/>
      <c r="AL57" s="265"/>
      <c r="AM57" s="180" t="e">
        <f t="shared" si="29"/>
        <v>#N/A</v>
      </c>
      <c r="AN57" s="486"/>
      <c r="AO57" s="180"/>
      <c r="AP57" s="265"/>
      <c r="AQ57" s="265"/>
      <c r="AR57" s="180" t="e">
        <f t="shared" si="30"/>
        <v>#N/A</v>
      </c>
      <c r="AS57" s="486"/>
      <c r="AT57" s="180"/>
      <c r="AU57" s="265"/>
      <c r="AV57" s="265"/>
      <c r="AW57" s="180" t="e">
        <f t="shared" si="31"/>
        <v>#N/A</v>
      </c>
      <c r="AX57" s="486"/>
    </row>
    <row r="58" spans="2:50">
      <c r="B58" s="479"/>
      <c r="C58" s="180">
        <v>12</v>
      </c>
      <c r="D58" s="201"/>
      <c r="E58" s="166"/>
      <c r="F58" s="180"/>
      <c r="G58" s="265"/>
      <c r="H58" s="460"/>
      <c r="I58" s="166"/>
      <c r="J58" s="166"/>
      <c r="K58" s="265"/>
      <c r="L58" s="460"/>
      <c r="M58" s="272" t="e">
        <f>RANK(K58, K$47:$K$61)</f>
        <v>#N/A</v>
      </c>
      <c r="N58" s="462"/>
      <c r="O58" s="462"/>
      <c r="P58" s="180"/>
      <c r="Q58" s="265"/>
      <c r="R58" s="265"/>
      <c r="S58" s="180" t="e">
        <f t="shared" si="25"/>
        <v>#N/A</v>
      </c>
      <c r="T58" s="486"/>
      <c r="U58" s="180"/>
      <c r="V58" s="265"/>
      <c r="W58" s="265"/>
      <c r="X58" s="180" t="e">
        <f t="shared" si="26"/>
        <v>#N/A</v>
      </c>
      <c r="Y58" s="486"/>
      <c r="Z58" s="180"/>
      <c r="AA58" s="265"/>
      <c r="AB58" s="265"/>
      <c r="AC58" s="180" t="e">
        <f t="shared" si="27"/>
        <v>#N/A</v>
      </c>
      <c r="AD58" s="486"/>
      <c r="AE58" s="180"/>
      <c r="AF58" s="265"/>
      <c r="AG58" s="265"/>
      <c r="AH58" s="180" t="e">
        <f t="shared" si="28"/>
        <v>#N/A</v>
      </c>
      <c r="AI58" s="486"/>
      <c r="AJ58" s="180"/>
      <c r="AK58" s="265"/>
      <c r="AL58" s="265"/>
      <c r="AM58" s="180" t="e">
        <f t="shared" si="29"/>
        <v>#N/A</v>
      </c>
      <c r="AN58" s="486"/>
      <c r="AO58" s="180"/>
      <c r="AP58" s="265"/>
      <c r="AQ58" s="265"/>
      <c r="AR58" s="180" t="e">
        <f t="shared" si="30"/>
        <v>#N/A</v>
      </c>
      <c r="AS58" s="486"/>
      <c r="AT58" s="180"/>
      <c r="AU58" s="265"/>
      <c r="AV58" s="265"/>
      <c r="AW58" s="180" t="e">
        <f t="shared" si="31"/>
        <v>#N/A</v>
      </c>
      <c r="AX58" s="486"/>
    </row>
    <row r="59" spans="2:50">
      <c r="B59" s="479"/>
      <c r="C59" s="180">
        <v>13</v>
      </c>
      <c r="D59" s="201"/>
      <c r="E59" s="166"/>
      <c r="F59" s="180"/>
      <c r="G59" s="265"/>
      <c r="H59" s="460"/>
      <c r="I59" s="180"/>
      <c r="J59" s="180"/>
      <c r="K59" s="180"/>
      <c r="L59" s="460"/>
      <c r="M59" s="272" t="e">
        <f>RANK(K59, K$47:$K$61)</f>
        <v>#N/A</v>
      </c>
      <c r="N59" s="462"/>
      <c r="O59" s="462"/>
      <c r="P59" s="180"/>
      <c r="Q59" s="265"/>
      <c r="R59" s="265"/>
      <c r="S59" s="180" t="e">
        <f t="shared" si="25"/>
        <v>#N/A</v>
      </c>
      <c r="T59" s="486"/>
      <c r="U59" s="180"/>
      <c r="V59" s="265"/>
      <c r="W59" s="265"/>
      <c r="X59" s="180" t="e">
        <f t="shared" si="26"/>
        <v>#N/A</v>
      </c>
      <c r="Y59" s="486"/>
      <c r="Z59" s="180"/>
      <c r="AA59" s="265"/>
      <c r="AB59" s="265"/>
      <c r="AC59" s="180" t="e">
        <f t="shared" si="27"/>
        <v>#N/A</v>
      </c>
      <c r="AD59" s="486"/>
      <c r="AE59" s="180"/>
      <c r="AF59" s="265"/>
      <c r="AG59" s="265"/>
      <c r="AH59" s="180" t="e">
        <f t="shared" si="28"/>
        <v>#N/A</v>
      </c>
      <c r="AI59" s="486"/>
      <c r="AJ59" s="180"/>
      <c r="AK59" s="265"/>
      <c r="AL59" s="265"/>
      <c r="AM59" s="180" t="e">
        <f t="shared" si="29"/>
        <v>#N/A</v>
      </c>
      <c r="AN59" s="486"/>
      <c r="AO59" s="180"/>
      <c r="AP59" s="265"/>
      <c r="AQ59" s="265"/>
      <c r="AR59" s="180" t="e">
        <f t="shared" si="30"/>
        <v>#N/A</v>
      </c>
      <c r="AS59" s="486"/>
      <c r="AT59" s="180"/>
      <c r="AU59" s="265"/>
      <c r="AV59" s="265"/>
      <c r="AW59" s="180" t="e">
        <f t="shared" si="31"/>
        <v>#N/A</v>
      </c>
      <c r="AX59" s="486"/>
    </row>
    <row r="60" spans="2:50">
      <c r="B60" s="479"/>
      <c r="C60" s="180">
        <v>14</v>
      </c>
      <c r="D60" s="201"/>
      <c r="E60" s="166"/>
      <c r="F60" s="180"/>
      <c r="G60" s="265"/>
      <c r="H60" s="460"/>
      <c r="I60" s="180"/>
      <c r="J60" s="180"/>
      <c r="K60" s="180"/>
      <c r="L60" s="460"/>
      <c r="M60" s="272" t="e">
        <f>RANK(K60, K$47:$K$61)</f>
        <v>#N/A</v>
      </c>
      <c r="N60" s="462"/>
      <c r="O60" s="462"/>
      <c r="P60" s="180"/>
      <c r="Q60" s="265"/>
      <c r="R60" s="265"/>
      <c r="S60" s="180" t="e">
        <f t="shared" si="25"/>
        <v>#N/A</v>
      </c>
      <c r="T60" s="486"/>
      <c r="U60" s="180"/>
      <c r="V60" s="265"/>
      <c r="W60" s="265"/>
      <c r="X60" s="180" t="e">
        <f t="shared" si="26"/>
        <v>#N/A</v>
      </c>
      <c r="Y60" s="486"/>
      <c r="Z60" s="180"/>
      <c r="AA60" s="265"/>
      <c r="AB60" s="265"/>
      <c r="AC60" s="180" t="e">
        <f t="shared" si="27"/>
        <v>#N/A</v>
      </c>
      <c r="AD60" s="486"/>
      <c r="AE60" s="180"/>
      <c r="AF60" s="265"/>
      <c r="AG60" s="265"/>
      <c r="AH60" s="180" t="e">
        <f t="shared" si="28"/>
        <v>#N/A</v>
      </c>
      <c r="AI60" s="486"/>
      <c r="AJ60" s="180"/>
      <c r="AK60" s="265"/>
      <c r="AL60" s="265"/>
      <c r="AM60" s="180" t="e">
        <f t="shared" si="29"/>
        <v>#N/A</v>
      </c>
      <c r="AN60" s="486"/>
      <c r="AO60" s="180"/>
      <c r="AP60" s="265"/>
      <c r="AQ60" s="265"/>
      <c r="AR60" s="180" t="e">
        <f t="shared" si="30"/>
        <v>#N/A</v>
      </c>
      <c r="AS60" s="486"/>
      <c r="AT60" s="180"/>
      <c r="AU60" s="265"/>
      <c r="AV60" s="265"/>
      <c r="AW60" s="180" t="e">
        <f t="shared" si="31"/>
        <v>#N/A</v>
      </c>
      <c r="AX60" s="486"/>
    </row>
    <row r="61" spans="2:50">
      <c r="B61" s="479"/>
      <c r="C61" s="180">
        <v>15</v>
      </c>
      <c r="D61" s="201"/>
      <c r="E61" s="166"/>
      <c r="F61" s="180"/>
      <c r="G61" s="265"/>
      <c r="H61" s="461"/>
      <c r="I61" s="180"/>
      <c r="J61" s="180"/>
      <c r="K61" s="180"/>
      <c r="L61" s="461"/>
      <c r="M61" s="272" t="e">
        <f>RANK(K61, K$47:$K$61)</f>
        <v>#N/A</v>
      </c>
      <c r="N61" s="462"/>
      <c r="O61" s="462"/>
      <c r="P61" s="180"/>
      <c r="Q61" s="265"/>
      <c r="R61" s="265"/>
      <c r="S61" s="180" t="e">
        <f t="shared" si="25"/>
        <v>#N/A</v>
      </c>
      <c r="T61" s="486"/>
      <c r="U61" s="180"/>
      <c r="V61" s="265"/>
      <c r="W61" s="265"/>
      <c r="X61" s="180" t="e">
        <f t="shared" si="26"/>
        <v>#N/A</v>
      </c>
      <c r="Y61" s="486"/>
      <c r="Z61" s="180"/>
      <c r="AA61" s="265"/>
      <c r="AB61" s="265"/>
      <c r="AC61" s="180" t="e">
        <f t="shared" si="27"/>
        <v>#N/A</v>
      </c>
      <c r="AD61" s="486"/>
      <c r="AE61" s="180"/>
      <c r="AF61" s="265"/>
      <c r="AG61" s="265"/>
      <c r="AH61" s="180" t="e">
        <f t="shared" si="28"/>
        <v>#N/A</v>
      </c>
      <c r="AI61" s="486"/>
      <c r="AJ61" s="180"/>
      <c r="AK61" s="265"/>
      <c r="AL61" s="265"/>
      <c r="AM61" s="180" t="e">
        <f t="shared" si="29"/>
        <v>#N/A</v>
      </c>
      <c r="AN61" s="486"/>
      <c r="AO61" s="180"/>
      <c r="AP61" s="265"/>
      <c r="AQ61" s="265"/>
      <c r="AR61" s="180" t="e">
        <f t="shared" si="30"/>
        <v>#N/A</v>
      </c>
      <c r="AS61" s="486"/>
      <c r="AT61" s="180"/>
      <c r="AU61" s="265"/>
      <c r="AV61" s="265"/>
      <c r="AW61" s="180" t="e">
        <f t="shared" si="31"/>
        <v>#N/A</v>
      </c>
      <c r="AX61" s="486"/>
    </row>
    <row r="62" spans="2:50" ht="15.75">
      <c r="B62" s="480" t="s">
        <v>721</v>
      </c>
      <c r="C62" s="481"/>
      <c r="D62" s="481"/>
      <c r="E62" s="481"/>
      <c r="F62" s="481"/>
      <c r="G62" s="481"/>
      <c r="H62" s="481"/>
      <c r="I62" s="184"/>
      <c r="J62" s="184"/>
      <c r="K62" s="184"/>
      <c r="L62" s="184"/>
      <c r="M62" s="183"/>
      <c r="N62" s="469" t="s">
        <v>722</v>
      </c>
      <c r="O62" s="469" t="s">
        <v>723</v>
      </c>
      <c r="P62" s="478">
        <f>P42+7</f>
        <v>46070</v>
      </c>
      <c r="Q62" s="479"/>
      <c r="R62" s="479"/>
      <c r="S62" s="479"/>
      <c r="T62" s="479"/>
      <c r="U62" s="475">
        <f>P62+1</f>
        <v>46071</v>
      </c>
      <c r="V62" s="476"/>
      <c r="W62" s="476"/>
      <c r="X62" s="476"/>
      <c r="Y62" s="477"/>
      <c r="Z62" s="475">
        <f>U62+1</f>
        <v>46072</v>
      </c>
      <c r="AA62" s="476"/>
      <c r="AB62" s="476"/>
      <c r="AC62" s="476"/>
      <c r="AD62" s="477"/>
      <c r="AE62" s="475">
        <f>Z62+1</f>
        <v>46073</v>
      </c>
      <c r="AF62" s="476"/>
      <c r="AG62" s="476"/>
      <c r="AH62" s="476"/>
      <c r="AI62" s="477"/>
      <c r="AJ62" s="475">
        <f>AE62+1</f>
        <v>46074</v>
      </c>
      <c r="AK62" s="476"/>
      <c r="AL62" s="476"/>
      <c r="AM62" s="476"/>
      <c r="AN62" s="477"/>
      <c r="AO62" s="475">
        <f>AJ62+1</f>
        <v>46075</v>
      </c>
      <c r="AP62" s="476"/>
      <c r="AQ62" s="476"/>
      <c r="AR62" s="476"/>
      <c r="AS62" s="477"/>
      <c r="AT62" s="475">
        <f>AO62+1</f>
        <v>46076</v>
      </c>
      <c r="AU62" s="476"/>
      <c r="AV62" s="476"/>
      <c r="AW62" s="476"/>
      <c r="AX62" s="477"/>
    </row>
    <row r="63" spans="2:50" ht="15.75">
      <c r="B63" s="482"/>
      <c r="C63" s="482"/>
      <c r="D63" s="482"/>
      <c r="E63" s="482"/>
      <c r="F63" s="482"/>
      <c r="G63" s="482"/>
      <c r="H63" s="482"/>
      <c r="I63" s="182"/>
      <c r="J63" s="182"/>
      <c r="K63" s="182"/>
      <c r="L63" s="182"/>
      <c r="M63" s="179"/>
      <c r="N63" s="471"/>
      <c r="O63" s="471"/>
      <c r="P63" s="478" t="s">
        <v>724</v>
      </c>
      <c r="Q63" s="479"/>
      <c r="R63" s="479"/>
      <c r="S63" s="479"/>
      <c r="T63" s="479"/>
      <c r="U63" s="478" t="s">
        <v>725</v>
      </c>
      <c r="V63" s="479"/>
      <c r="W63" s="479"/>
      <c r="X63" s="479"/>
      <c r="Y63" s="479"/>
      <c r="Z63" s="478" t="s">
        <v>726</v>
      </c>
      <c r="AA63" s="479"/>
      <c r="AB63" s="479"/>
      <c r="AC63" s="479"/>
      <c r="AD63" s="479"/>
      <c r="AE63" s="478" t="s">
        <v>727</v>
      </c>
      <c r="AF63" s="479"/>
      <c r="AG63" s="479"/>
      <c r="AH63" s="479"/>
      <c r="AI63" s="479"/>
      <c r="AJ63" s="478" t="s">
        <v>728</v>
      </c>
      <c r="AK63" s="479"/>
      <c r="AL63" s="479"/>
      <c r="AM63" s="479"/>
      <c r="AN63" s="479"/>
      <c r="AO63" s="478" t="s">
        <v>729</v>
      </c>
      <c r="AP63" s="479"/>
      <c r="AQ63" s="479"/>
      <c r="AR63" s="479"/>
      <c r="AS63" s="479"/>
      <c r="AT63" s="478" t="s">
        <v>730</v>
      </c>
      <c r="AU63" s="479"/>
      <c r="AV63" s="479"/>
      <c r="AW63" s="479"/>
      <c r="AX63" s="479"/>
    </row>
    <row r="64" spans="2:50">
      <c r="B64" s="462" t="s">
        <v>731</v>
      </c>
      <c r="C64" s="462" t="s">
        <v>732</v>
      </c>
      <c r="D64" s="462"/>
      <c r="E64" s="462" t="s">
        <v>733</v>
      </c>
      <c r="F64" s="462"/>
      <c r="G64" s="462"/>
      <c r="H64" s="463" t="s">
        <v>734</v>
      </c>
      <c r="I64" s="462" t="s">
        <v>735</v>
      </c>
      <c r="J64" s="462"/>
      <c r="K64" s="462"/>
      <c r="L64" s="463" t="s">
        <v>734</v>
      </c>
      <c r="M64" s="469" t="s">
        <v>736</v>
      </c>
      <c r="N64" s="462"/>
      <c r="O64" s="462" t="s">
        <v>737</v>
      </c>
      <c r="P64" s="466" t="s">
        <v>738</v>
      </c>
      <c r="Q64" s="467"/>
      <c r="R64" s="467"/>
      <c r="S64" s="468"/>
      <c r="T64" s="462" t="s">
        <v>734</v>
      </c>
      <c r="U64" s="466" t="s">
        <v>738</v>
      </c>
      <c r="V64" s="467"/>
      <c r="W64" s="467"/>
      <c r="X64" s="468"/>
      <c r="Y64" s="462" t="s">
        <v>734</v>
      </c>
      <c r="Z64" s="466" t="s">
        <v>738</v>
      </c>
      <c r="AA64" s="467"/>
      <c r="AB64" s="467"/>
      <c r="AC64" s="468"/>
      <c r="AD64" s="462" t="s">
        <v>734</v>
      </c>
      <c r="AE64" s="466" t="s">
        <v>738</v>
      </c>
      <c r="AF64" s="467"/>
      <c r="AG64" s="467"/>
      <c r="AH64" s="468"/>
      <c r="AI64" s="462" t="s">
        <v>734</v>
      </c>
      <c r="AJ64" s="466" t="s">
        <v>738</v>
      </c>
      <c r="AK64" s="467"/>
      <c r="AL64" s="467"/>
      <c r="AM64" s="468"/>
      <c r="AN64" s="462" t="s">
        <v>734</v>
      </c>
      <c r="AO64" s="466" t="s">
        <v>738</v>
      </c>
      <c r="AP64" s="467"/>
      <c r="AQ64" s="467"/>
      <c r="AR64" s="468"/>
      <c r="AS64" s="462" t="s">
        <v>734</v>
      </c>
      <c r="AT64" s="466" t="s">
        <v>738</v>
      </c>
      <c r="AU64" s="467"/>
      <c r="AV64" s="467"/>
      <c r="AW64" s="468"/>
      <c r="AX64" s="462" t="s">
        <v>734</v>
      </c>
    </row>
    <row r="65" spans="2:50">
      <c r="B65" s="462"/>
      <c r="C65" s="462"/>
      <c r="D65" s="462"/>
      <c r="E65" s="462" t="s">
        <v>739</v>
      </c>
      <c r="F65" s="462"/>
      <c r="G65" s="462"/>
      <c r="H65" s="464"/>
      <c r="I65" s="462" t="s">
        <v>739</v>
      </c>
      <c r="J65" s="462"/>
      <c r="K65" s="462"/>
      <c r="L65" s="464"/>
      <c r="M65" s="470"/>
      <c r="N65" s="462"/>
      <c r="O65" s="462"/>
      <c r="P65" s="466" t="s">
        <v>740</v>
      </c>
      <c r="Q65" s="467"/>
      <c r="R65" s="467"/>
      <c r="S65" s="468"/>
      <c r="T65" s="462"/>
      <c r="U65" s="466" t="s">
        <v>740</v>
      </c>
      <c r="V65" s="467"/>
      <c r="W65" s="467"/>
      <c r="X65" s="468"/>
      <c r="Y65" s="462"/>
      <c r="Z65" s="466" t="s">
        <v>740</v>
      </c>
      <c r="AA65" s="467"/>
      <c r="AB65" s="467"/>
      <c r="AC65" s="468"/>
      <c r="AD65" s="462"/>
      <c r="AE65" s="466" t="s">
        <v>740</v>
      </c>
      <c r="AF65" s="467"/>
      <c r="AG65" s="467"/>
      <c r="AH65" s="468"/>
      <c r="AI65" s="462"/>
      <c r="AJ65" s="466" t="s">
        <v>740</v>
      </c>
      <c r="AK65" s="467"/>
      <c r="AL65" s="467"/>
      <c r="AM65" s="468"/>
      <c r="AN65" s="462"/>
      <c r="AO65" s="466" t="s">
        <v>740</v>
      </c>
      <c r="AP65" s="467"/>
      <c r="AQ65" s="467"/>
      <c r="AR65" s="468"/>
      <c r="AS65" s="462"/>
      <c r="AT65" s="466" t="s">
        <v>740</v>
      </c>
      <c r="AU65" s="467"/>
      <c r="AV65" s="467"/>
      <c r="AW65" s="468"/>
      <c r="AX65" s="462"/>
    </row>
    <row r="66" spans="2:50">
      <c r="B66" s="462"/>
      <c r="C66" s="462"/>
      <c r="D66" s="462"/>
      <c r="E66" s="264" t="s">
        <v>741</v>
      </c>
      <c r="F66" s="264" t="s">
        <v>742</v>
      </c>
      <c r="G66" s="264" t="s">
        <v>743</v>
      </c>
      <c r="H66" s="465"/>
      <c r="I66" s="264" t="s">
        <v>741</v>
      </c>
      <c r="J66" s="264" t="s">
        <v>742</v>
      </c>
      <c r="K66" s="264" t="s">
        <v>743</v>
      </c>
      <c r="L66" s="465"/>
      <c r="M66" s="471"/>
      <c r="N66" s="462"/>
      <c r="O66" s="462"/>
      <c r="P66" s="264" t="s">
        <v>741</v>
      </c>
      <c r="Q66" s="264" t="s">
        <v>742</v>
      </c>
      <c r="R66" s="264" t="s">
        <v>743</v>
      </c>
      <c r="S66" s="264" t="s">
        <v>736</v>
      </c>
      <c r="T66" s="462"/>
      <c r="U66" s="264" t="s">
        <v>741</v>
      </c>
      <c r="V66" s="264" t="s">
        <v>742</v>
      </c>
      <c r="W66" s="264" t="s">
        <v>743</v>
      </c>
      <c r="X66" s="264" t="s">
        <v>736</v>
      </c>
      <c r="Y66" s="462"/>
      <c r="Z66" s="264" t="s">
        <v>741</v>
      </c>
      <c r="AA66" s="264" t="s">
        <v>742</v>
      </c>
      <c r="AB66" s="264" t="s">
        <v>743</v>
      </c>
      <c r="AC66" s="264" t="s">
        <v>736</v>
      </c>
      <c r="AD66" s="462"/>
      <c r="AE66" s="264" t="s">
        <v>741</v>
      </c>
      <c r="AF66" s="264" t="s">
        <v>742</v>
      </c>
      <c r="AG66" s="264" t="s">
        <v>743</v>
      </c>
      <c r="AH66" s="264" t="s">
        <v>736</v>
      </c>
      <c r="AI66" s="462"/>
      <c r="AJ66" s="264" t="s">
        <v>741</v>
      </c>
      <c r="AK66" s="264" t="s">
        <v>742</v>
      </c>
      <c r="AL66" s="264" t="s">
        <v>743</v>
      </c>
      <c r="AM66" s="264" t="s">
        <v>736</v>
      </c>
      <c r="AN66" s="462"/>
      <c r="AO66" s="264" t="s">
        <v>741</v>
      </c>
      <c r="AP66" s="264" t="s">
        <v>742</v>
      </c>
      <c r="AQ66" s="264" t="s">
        <v>743</v>
      </c>
      <c r="AR66" s="264" t="s">
        <v>736</v>
      </c>
      <c r="AS66" s="462"/>
      <c r="AT66" s="264" t="s">
        <v>741</v>
      </c>
      <c r="AU66" s="264" t="s">
        <v>742</v>
      </c>
      <c r="AV66" s="264" t="s">
        <v>743</v>
      </c>
      <c r="AW66" s="264" t="s">
        <v>736</v>
      </c>
      <c r="AX66" s="462"/>
    </row>
    <row r="67" spans="2:50">
      <c r="B67" s="462" t="s">
        <v>754</v>
      </c>
      <c r="C67" s="180">
        <v>1</v>
      </c>
      <c r="D67" s="201" t="s">
        <v>372</v>
      </c>
      <c r="E67" s="166">
        <v>18</v>
      </c>
      <c r="F67" s="180">
        <v>1440</v>
      </c>
      <c r="G67" s="265">
        <v>80</v>
      </c>
      <c r="H67" s="459">
        <f>AVERAGE(G67:G81)</f>
        <v>79.242222222222225</v>
      </c>
      <c r="I67" s="166">
        <f>AVERAGE(P67,U67,Z67,AE67,AJ67,AO67,AT67)</f>
        <v>18</v>
      </c>
      <c r="J67" s="166">
        <f>AVERAGE(Q67,V67,AA67,AF67,AK67,AP67,AU67)</f>
        <v>1271.8747125183388</v>
      </c>
      <c r="K67" s="265">
        <f>AVERAGE(R67,W67,AB67,AG67,AL67,AQ67,AV67)</f>
        <v>70.659706251018832</v>
      </c>
      <c r="L67" s="459">
        <f>IFERROR(AVERAGE(K67:K81),"-")</f>
        <v>66.58592833039657</v>
      </c>
      <c r="M67" s="272">
        <f>RANK(K67, K$67:$K$81)</f>
        <v>3</v>
      </c>
      <c r="N67" s="462"/>
      <c r="O67" s="462"/>
      <c r="P67" s="166">
        <v>18</v>
      </c>
      <c r="Q67" s="166">
        <v>1282.0000000000002</v>
      </c>
      <c r="R67" s="166">
        <v>71.222222222222229</v>
      </c>
      <c r="S67" s="180">
        <f>RANK(R67, R$67:R$81)</f>
        <v>3</v>
      </c>
      <c r="T67" s="459">
        <f>AVERAGE(R67:R81)</f>
        <v>65.71294118174842</v>
      </c>
      <c r="U67" s="166">
        <v>18</v>
      </c>
      <c r="V67" s="166">
        <v>1286.666666666667</v>
      </c>
      <c r="W67" s="166">
        <v>71.481481481481495</v>
      </c>
      <c r="X67" s="180">
        <f t="shared" ref="X67:X81" si="32">RANK(W67, W$67:W$81)</f>
        <v>3</v>
      </c>
      <c r="Y67" s="459">
        <f t="shared" ref="Y67" si="33">AVERAGE(W67:W81)</f>
        <v>65.33211869532991</v>
      </c>
      <c r="Z67" s="166">
        <v>18</v>
      </c>
      <c r="AA67" s="166">
        <v>1270.1123595505619</v>
      </c>
      <c r="AB67" s="166">
        <v>70.561797752808999</v>
      </c>
      <c r="AC67" s="180">
        <f t="shared" ref="AC67:AC81" si="34">RANK(AB67, AB$67:AB$81)</f>
        <v>3</v>
      </c>
      <c r="AD67" s="459">
        <f t="shared" ref="AD67" si="35">AVERAGE(AB67:AB81)</f>
        <v>66.295545450089975</v>
      </c>
      <c r="AE67" s="166">
        <v>18</v>
      </c>
      <c r="AF67" s="166">
        <v>1258.0480000000005</v>
      </c>
      <c r="AG67" s="166">
        <v>69.891555555555584</v>
      </c>
      <c r="AH67" s="180">
        <f t="shared" ref="AH67:AH81" si="36">RANK(AG67, AG$67:AG$81)</f>
        <v>3</v>
      </c>
      <c r="AI67" s="459">
        <f t="shared" ref="AI67" si="37">AVERAGE(AG67:AG81)</f>
        <v>65.846784865387775</v>
      </c>
      <c r="AJ67" s="166">
        <v>18</v>
      </c>
      <c r="AK67" s="166">
        <v>1276.0000000000005</v>
      </c>
      <c r="AL67" s="166">
        <v>70.888888888888914</v>
      </c>
      <c r="AM67" s="180">
        <f t="shared" ref="AM67:AM81" si="38">RANK(AL67, AL$67:AL$81)</f>
        <v>3</v>
      </c>
      <c r="AN67" s="459">
        <f t="shared" ref="AN67" si="39">AVERAGE(AL67:AL81)</f>
        <v>66.3207167593105</v>
      </c>
      <c r="AO67" s="166">
        <v>18</v>
      </c>
      <c r="AP67" s="166">
        <v>1255.5743119266053</v>
      </c>
      <c r="AQ67" s="166">
        <v>69.754128440366969</v>
      </c>
      <c r="AR67" s="180">
        <f t="shared" ref="AR67:AR81" si="40">RANK(AQ67, AQ$67:AQ$81)</f>
        <v>5</v>
      </c>
      <c r="AS67" s="459">
        <f t="shared" ref="AS67" si="41">AVERAGE(AQ67:AQ81)</f>
        <v>67.363583376724961</v>
      </c>
      <c r="AT67" s="166">
        <v>18</v>
      </c>
      <c r="AU67" s="166">
        <v>1274.7216494845366</v>
      </c>
      <c r="AV67" s="166">
        <v>70.817869415807593</v>
      </c>
      <c r="AW67" s="180">
        <f t="shared" ref="AW67:AW81" si="42">RANK(AV67, AV$67:AV$81)</f>
        <v>5</v>
      </c>
      <c r="AX67" s="486">
        <f t="shared" ref="AX67" si="43">AVERAGE(AV67:AV81)</f>
        <v>69.229807984184319</v>
      </c>
    </row>
    <row r="68" spans="2:50">
      <c r="B68" s="479"/>
      <c r="C68" s="180">
        <v>2</v>
      </c>
      <c r="D68" s="201" t="s">
        <v>373</v>
      </c>
      <c r="E68" s="166">
        <v>18</v>
      </c>
      <c r="F68" s="180">
        <v>1440</v>
      </c>
      <c r="G68" s="265">
        <v>80</v>
      </c>
      <c r="H68" s="460"/>
      <c r="I68" s="166">
        <f t="shared" ref="I68:K76" si="44">AVERAGE(P68,U68,Z68,AE68,AJ68,AO68,AT68)</f>
        <v>17.714285714285715</v>
      </c>
      <c r="J68" s="166">
        <f t="shared" si="44"/>
        <v>1106.2126491971271</v>
      </c>
      <c r="K68" s="265">
        <f t="shared" si="44"/>
        <v>62.455005613746245</v>
      </c>
      <c r="L68" s="460"/>
      <c r="M68" s="272">
        <f>RANK(K68, K$67:$K$81)</f>
        <v>7</v>
      </c>
      <c r="N68" s="462"/>
      <c r="O68" s="462"/>
      <c r="P68" s="166">
        <v>18</v>
      </c>
      <c r="Q68" s="166">
        <v>1065.0000000000009</v>
      </c>
      <c r="R68" s="166">
        <v>59.166666666666714</v>
      </c>
      <c r="S68" s="180">
        <f t="shared" ref="S68:S81" si="45">RANK(R68, R$67:R$81)</f>
        <v>8</v>
      </c>
      <c r="T68" s="460"/>
      <c r="U68" s="166">
        <v>18</v>
      </c>
      <c r="V68" s="166">
        <v>1075.2000000000003</v>
      </c>
      <c r="W68" s="166">
        <v>59.733333333333348</v>
      </c>
      <c r="X68" s="180">
        <f t="shared" si="32"/>
        <v>8</v>
      </c>
      <c r="Y68" s="460"/>
      <c r="Z68" s="166">
        <v>17</v>
      </c>
      <c r="AA68" s="166">
        <v>1067.142857142858</v>
      </c>
      <c r="AB68" s="166">
        <v>62.773109243697533</v>
      </c>
      <c r="AC68" s="180">
        <f t="shared" si="34"/>
        <v>6</v>
      </c>
      <c r="AD68" s="460"/>
      <c r="AE68" s="166">
        <v>17</v>
      </c>
      <c r="AF68" s="166">
        <v>1072.1739130434783</v>
      </c>
      <c r="AG68" s="166">
        <v>63.069053708439895</v>
      </c>
      <c r="AH68" s="180">
        <f t="shared" si="36"/>
        <v>7</v>
      </c>
      <c r="AI68" s="460"/>
      <c r="AJ68" s="166">
        <v>18</v>
      </c>
      <c r="AK68" s="166">
        <v>1078.1250000000014</v>
      </c>
      <c r="AL68" s="166">
        <v>59.895833333333407</v>
      </c>
      <c r="AM68" s="180">
        <f t="shared" si="38"/>
        <v>8</v>
      </c>
      <c r="AN68" s="460"/>
      <c r="AO68" s="166">
        <v>18</v>
      </c>
      <c r="AP68" s="166">
        <v>1098.7500000000014</v>
      </c>
      <c r="AQ68" s="166">
        <v>61.041666666666742</v>
      </c>
      <c r="AR68" s="180">
        <f t="shared" si="40"/>
        <v>9</v>
      </c>
      <c r="AS68" s="460"/>
      <c r="AT68" s="166">
        <v>18</v>
      </c>
      <c r="AU68" s="166">
        <v>1287.0967741935494</v>
      </c>
      <c r="AV68" s="166">
        <v>71.505376344086073</v>
      </c>
      <c r="AW68" s="180">
        <f t="shared" si="42"/>
        <v>3</v>
      </c>
      <c r="AX68" s="486"/>
    </row>
    <row r="69" spans="2:50">
      <c r="B69" s="479"/>
      <c r="C69" s="180">
        <v>3</v>
      </c>
      <c r="D69" s="201" t="s">
        <v>374</v>
      </c>
      <c r="E69" s="166">
        <v>16</v>
      </c>
      <c r="F69" s="180">
        <v>1440</v>
      </c>
      <c r="G69" s="265">
        <v>90</v>
      </c>
      <c r="H69" s="460"/>
      <c r="I69" s="166">
        <f t="shared" si="44"/>
        <v>17</v>
      </c>
      <c r="J69" s="166">
        <f t="shared" si="44"/>
        <v>1261.3125006560708</v>
      </c>
      <c r="K69" s="265">
        <f t="shared" si="44"/>
        <v>74.194852979768868</v>
      </c>
      <c r="L69" s="460"/>
      <c r="M69" s="272">
        <f>RANK(K69, K$67:$K$81)</f>
        <v>2</v>
      </c>
      <c r="N69" s="462"/>
      <c r="O69" s="462"/>
      <c r="P69" s="166">
        <v>17</v>
      </c>
      <c r="Q69" s="166">
        <v>1242.1874999999998</v>
      </c>
      <c r="R69" s="166">
        <v>73.069852941176464</v>
      </c>
      <c r="S69" s="180">
        <f t="shared" si="45"/>
        <v>2</v>
      </c>
      <c r="T69" s="460"/>
      <c r="U69" s="166">
        <v>17</v>
      </c>
      <c r="V69" s="166">
        <v>1270.866141732283</v>
      </c>
      <c r="W69" s="166">
        <v>74.756831866604884</v>
      </c>
      <c r="X69" s="180">
        <f t="shared" si="32"/>
        <v>2</v>
      </c>
      <c r="Y69" s="460"/>
      <c r="Z69" s="166">
        <v>17</v>
      </c>
      <c r="AA69" s="166">
        <v>1267.6799999999998</v>
      </c>
      <c r="AB69" s="166">
        <v>74.569411764705876</v>
      </c>
      <c r="AC69" s="180">
        <f t="shared" si="34"/>
        <v>2</v>
      </c>
      <c r="AD69" s="460"/>
      <c r="AE69" s="166">
        <v>17</v>
      </c>
      <c r="AF69" s="166">
        <v>1234.7619047619046</v>
      </c>
      <c r="AG69" s="166">
        <v>72.633053221288506</v>
      </c>
      <c r="AH69" s="180">
        <f t="shared" si="36"/>
        <v>2</v>
      </c>
      <c r="AI69" s="460"/>
      <c r="AJ69" s="166">
        <v>17</v>
      </c>
      <c r="AK69" s="166">
        <v>1285.9199999999996</v>
      </c>
      <c r="AL69" s="166">
        <v>75.642352941176455</v>
      </c>
      <c r="AM69" s="180">
        <f t="shared" si="38"/>
        <v>2</v>
      </c>
      <c r="AN69" s="460"/>
      <c r="AO69" s="166">
        <v>17</v>
      </c>
      <c r="AP69" s="166">
        <v>1256.3013698630141</v>
      </c>
      <c r="AQ69" s="166">
        <v>73.900080580177303</v>
      </c>
      <c r="AR69" s="180">
        <f t="shared" si="40"/>
        <v>2</v>
      </c>
      <c r="AS69" s="460"/>
      <c r="AT69" s="166">
        <v>17</v>
      </c>
      <c r="AU69" s="166">
        <v>1271.4705882352941</v>
      </c>
      <c r="AV69" s="166">
        <v>74.792387543252602</v>
      </c>
      <c r="AW69" s="180">
        <f t="shared" si="42"/>
        <v>2</v>
      </c>
      <c r="AX69" s="486"/>
    </row>
    <row r="70" spans="2:50">
      <c r="B70" s="479"/>
      <c r="C70" s="180">
        <v>4</v>
      </c>
      <c r="D70" s="201" t="s">
        <v>375</v>
      </c>
      <c r="E70" s="166">
        <v>19</v>
      </c>
      <c r="F70" s="180">
        <v>1440</v>
      </c>
      <c r="G70" s="265">
        <v>84.7</v>
      </c>
      <c r="H70" s="460"/>
      <c r="I70" s="166">
        <f t="shared" si="44"/>
        <v>19</v>
      </c>
      <c r="J70" s="166">
        <f t="shared" si="44"/>
        <v>1112.105646457328</v>
      </c>
      <c r="K70" s="265">
        <f t="shared" si="44"/>
        <v>58.531876129333057</v>
      </c>
      <c r="L70" s="460"/>
      <c r="M70" s="272">
        <f>RANK(K70, K$67:$K$81)</f>
        <v>10</v>
      </c>
      <c r="N70" s="462"/>
      <c r="O70" s="462"/>
      <c r="P70" s="166">
        <v>19</v>
      </c>
      <c r="Q70" s="166">
        <v>1061.999999999998</v>
      </c>
      <c r="R70" s="166">
        <v>55.894736842105154</v>
      </c>
      <c r="S70" s="180">
        <f t="shared" si="45"/>
        <v>10</v>
      </c>
      <c r="T70" s="460"/>
      <c r="U70" s="166">
        <v>19</v>
      </c>
      <c r="V70" s="166">
        <v>1061.7391304347789</v>
      </c>
      <c r="W70" s="166">
        <v>55.881006864988365</v>
      </c>
      <c r="X70" s="180">
        <f t="shared" si="32"/>
        <v>10</v>
      </c>
      <c r="Y70" s="460"/>
      <c r="Z70" s="166">
        <v>19</v>
      </c>
      <c r="AA70" s="166">
        <v>1068.4615384615356</v>
      </c>
      <c r="AB70" s="166">
        <v>56.234817813765034</v>
      </c>
      <c r="AC70" s="180">
        <f t="shared" si="34"/>
        <v>10</v>
      </c>
      <c r="AD70" s="460"/>
      <c r="AE70" s="166">
        <v>19</v>
      </c>
      <c r="AF70" s="166">
        <v>1047.2727272727311</v>
      </c>
      <c r="AG70" s="166">
        <v>55.119617224880585</v>
      </c>
      <c r="AH70" s="180">
        <f t="shared" si="36"/>
        <v>10</v>
      </c>
      <c r="AI70" s="460"/>
      <c r="AJ70" s="166">
        <v>19</v>
      </c>
      <c r="AK70" s="166">
        <v>1068.7499999999984</v>
      </c>
      <c r="AL70" s="166">
        <v>56.249999999999915</v>
      </c>
      <c r="AM70" s="180">
        <f t="shared" si="38"/>
        <v>10</v>
      </c>
      <c r="AN70" s="460"/>
      <c r="AO70" s="166">
        <v>19</v>
      </c>
      <c r="AP70" s="166">
        <v>1231.9999999999977</v>
      </c>
      <c r="AQ70" s="166">
        <v>64.842105263157777</v>
      </c>
      <c r="AR70" s="180">
        <f t="shared" si="40"/>
        <v>7</v>
      </c>
      <c r="AS70" s="460"/>
      <c r="AT70" s="166">
        <v>19</v>
      </c>
      <c r="AU70" s="166">
        <v>1244.5161290322562</v>
      </c>
      <c r="AV70" s="166">
        <v>65.500848896434533</v>
      </c>
      <c r="AW70" s="180">
        <f t="shared" si="42"/>
        <v>8</v>
      </c>
      <c r="AX70" s="486"/>
    </row>
    <row r="71" spans="2:50">
      <c r="B71" s="479"/>
      <c r="C71" s="180">
        <v>5</v>
      </c>
      <c r="D71" s="201" t="s">
        <v>376</v>
      </c>
      <c r="E71" s="166">
        <v>21</v>
      </c>
      <c r="F71" s="180">
        <v>1385</v>
      </c>
      <c r="G71" s="265">
        <v>65.900000000000006</v>
      </c>
      <c r="H71" s="460"/>
      <c r="I71" s="166">
        <f t="shared" si="44"/>
        <v>20.285714285714285</v>
      </c>
      <c r="J71" s="166">
        <f t="shared" si="44"/>
        <v>1188.5036928692946</v>
      </c>
      <c r="K71" s="265">
        <f t="shared" si="44"/>
        <v>58.622524703084068</v>
      </c>
      <c r="L71" s="460"/>
      <c r="M71" s="272">
        <f>RANK(K71, K$67:$K$81)</f>
        <v>9</v>
      </c>
      <c r="N71" s="462"/>
      <c r="O71" s="462"/>
      <c r="P71" s="166">
        <v>21</v>
      </c>
      <c r="Q71" s="166">
        <v>1183.8202247191011</v>
      </c>
      <c r="R71" s="166">
        <v>56.372391653290528</v>
      </c>
      <c r="S71" s="180">
        <f t="shared" si="45"/>
        <v>9</v>
      </c>
      <c r="T71" s="460"/>
      <c r="U71" s="166">
        <v>20</v>
      </c>
      <c r="V71" s="166">
        <v>1211.2000000000012</v>
      </c>
      <c r="W71" s="166">
        <v>60.560000000000059</v>
      </c>
      <c r="X71" s="180">
        <f t="shared" si="32"/>
        <v>7</v>
      </c>
      <c r="Y71" s="460"/>
      <c r="Z71" s="166">
        <v>20</v>
      </c>
      <c r="AA71" s="166">
        <v>1171.1688311688306</v>
      </c>
      <c r="AB71" s="166">
        <v>58.55844155844153</v>
      </c>
      <c r="AC71" s="180">
        <f t="shared" si="34"/>
        <v>9</v>
      </c>
      <c r="AD71" s="460"/>
      <c r="AE71" s="166">
        <v>20</v>
      </c>
      <c r="AF71" s="166">
        <v>1203.7974683544296</v>
      </c>
      <c r="AG71" s="166">
        <v>60.189873417721479</v>
      </c>
      <c r="AH71" s="180">
        <f t="shared" si="36"/>
        <v>9</v>
      </c>
      <c r="AI71" s="460"/>
      <c r="AJ71" s="166">
        <v>20</v>
      </c>
      <c r="AK71" s="166">
        <v>1188.5393258426966</v>
      </c>
      <c r="AL71" s="166">
        <v>59.426966292134829</v>
      </c>
      <c r="AM71" s="180">
        <f t="shared" si="38"/>
        <v>9</v>
      </c>
      <c r="AN71" s="460"/>
      <c r="AO71" s="166">
        <v>21</v>
      </c>
      <c r="AP71" s="166">
        <v>1176.0000000000043</v>
      </c>
      <c r="AQ71" s="166">
        <v>56.000000000000206</v>
      </c>
      <c r="AR71" s="180">
        <f t="shared" si="40"/>
        <v>10</v>
      </c>
      <c r="AS71" s="460"/>
      <c r="AT71" s="166">
        <v>20</v>
      </c>
      <c r="AU71" s="166">
        <v>1184.999999999997</v>
      </c>
      <c r="AV71" s="166">
        <v>59.249999999999851</v>
      </c>
      <c r="AW71" s="180">
        <f t="shared" si="42"/>
        <v>10</v>
      </c>
      <c r="AX71" s="486"/>
    </row>
    <row r="72" spans="2:50">
      <c r="B72" s="479"/>
      <c r="C72" s="180">
        <v>6</v>
      </c>
      <c r="D72" s="201" t="s">
        <v>377</v>
      </c>
      <c r="E72" s="166">
        <v>19</v>
      </c>
      <c r="F72" s="180">
        <v>1440</v>
      </c>
      <c r="G72" s="265">
        <v>75.8</v>
      </c>
      <c r="H72" s="460"/>
      <c r="I72" s="166">
        <f t="shared" si="44"/>
        <v>19.714285714285715</v>
      </c>
      <c r="J72" s="166">
        <f t="shared" si="44"/>
        <v>1233.0172147349856</v>
      </c>
      <c r="K72" s="265">
        <f t="shared" si="44"/>
        <v>62.585289066580685</v>
      </c>
      <c r="L72" s="460"/>
      <c r="M72" s="272">
        <f>RANK(K72, K$67:$K$81)</f>
        <v>6</v>
      </c>
      <c r="N72" s="462"/>
      <c r="O72" s="462"/>
      <c r="P72" s="166">
        <v>20</v>
      </c>
      <c r="Q72" s="166">
        <v>1219.3846153846168</v>
      </c>
      <c r="R72" s="166">
        <v>60.96923076923084</v>
      </c>
      <c r="S72" s="180">
        <f t="shared" si="45"/>
        <v>7</v>
      </c>
      <c r="T72" s="460"/>
      <c r="U72" s="166">
        <v>20</v>
      </c>
      <c r="V72" s="166">
        <v>1218.0000000000011</v>
      </c>
      <c r="W72" s="166">
        <v>60.900000000000055</v>
      </c>
      <c r="X72" s="180">
        <f t="shared" si="32"/>
        <v>6</v>
      </c>
      <c r="Y72" s="460"/>
      <c r="Z72" s="166">
        <v>20</v>
      </c>
      <c r="AA72" s="166">
        <v>1237.6271186440688</v>
      </c>
      <c r="AB72" s="166">
        <v>61.881355932203441</v>
      </c>
      <c r="AC72" s="180">
        <f t="shared" si="34"/>
        <v>8</v>
      </c>
      <c r="AD72" s="460"/>
      <c r="AE72" s="166">
        <v>20</v>
      </c>
      <c r="AF72" s="166">
        <v>1222.0000000000011</v>
      </c>
      <c r="AG72" s="166">
        <v>61.100000000000058</v>
      </c>
      <c r="AH72" s="180">
        <f t="shared" si="36"/>
        <v>8</v>
      </c>
      <c r="AI72" s="460"/>
      <c r="AJ72" s="166">
        <v>20</v>
      </c>
      <c r="AK72" s="166">
        <v>1248.5294117647045</v>
      </c>
      <c r="AL72" s="166">
        <v>62.426470588235226</v>
      </c>
      <c r="AM72" s="180">
        <f t="shared" si="38"/>
        <v>7</v>
      </c>
      <c r="AN72" s="460"/>
      <c r="AO72" s="166">
        <v>19</v>
      </c>
      <c r="AP72" s="166">
        <v>1240.76923076923</v>
      </c>
      <c r="AQ72" s="166">
        <v>65.303643724696315</v>
      </c>
      <c r="AR72" s="180">
        <f t="shared" si="40"/>
        <v>6</v>
      </c>
      <c r="AS72" s="460"/>
      <c r="AT72" s="166">
        <v>19</v>
      </c>
      <c r="AU72" s="166">
        <v>1244.8101265822777</v>
      </c>
      <c r="AV72" s="166">
        <v>65.516322451698827</v>
      </c>
      <c r="AW72" s="180">
        <f t="shared" si="42"/>
        <v>7</v>
      </c>
      <c r="AX72" s="486"/>
    </row>
    <row r="73" spans="2:50">
      <c r="B73" s="479"/>
      <c r="C73" s="180">
        <v>7</v>
      </c>
      <c r="D73" s="201" t="s">
        <v>454</v>
      </c>
      <c r="E73" s="166">
        <v>18</v>
      </c>
      <c r="F73" s="180">
        <v>1385</v>
      </c>
      <c r="G73" s="265">
        <v>76.900000000000006</v>
      </c>
      <c r="H73" s="460"/>
      <c r="I73" s="166">
        <f t="shared" si="44"/>
        <v>17.571428571428573</v>
      </c>
      <c r="J73" s="166">
        <f t="shared" si="44"/>
        <v>1201.0915383733136</v>
      </c>
      <c r="K73" s="265">
        <f t="shared" si="44"/>
        <v>68.38649049392717</v>
      </c>
      <c r="L73" s="460"/>
      <c r="M73" s="272">
        <f>RANK(K73, K$67:$K$81)</f>
        <v>5</v>
      </c>
      <c r="N73" s="462"/>
      <c r="O73" s="462"/>
      <c r="P73" s="166">
        <v>17</v>
      </c>
      <c r="Q73" s="166">
        <v>1130.2500000000039</v>
      </c>
      <c r="R73" s="166">
        <v>66.485294117647285</v>
      </c>
      <c r="S73" s="180">
        <f t="shared" si="45"/>
        <v>5</v>
      </c>
      <c r="T73" s="460"/>
      <c r="U73" s="166">
        <v>18</v>
      </c>
      <c r="V73" s="166">
        <v>1196.6037735849063</v>
      </c>
      <c r="W73" s="166">
        <v>66.477987421383688</v>
      </c>
      <c r="X73" s="180">
        <f t="shared" si="32"/>
        <v>5</v>
      </c>
      <c r="Y73" s="460"/>
      <c r="Z73" s="166">
        <v>18</v>
      </c>
      <c r="AA73" s="166">
        <v>1212.2222222222229</v>
      </c>
      <c r="AB73" s="166">
        <v>67.345679012345713</v>
      </c>
      <c r="AC73" s="180">
        <f t="shared" si="34"/>
        <v>5</v>
      </c>
      <c r="AD73" s="460"/>
      <c r="AE73" s="166">
        <v>18</v>
      </c>
      <c r="AF73" s="166">
        <v>1226.3157894736835</v>
      </c>
      <c r="AG73" s="166">
        <v>68.128654970760195</v>
      </c>
      <c r="AH73" s="180">
        <f t="shared" si="36"/>
        <v>4</v>
      </c>
      <c r="AI73" s="460"/>
      <c r="AJ73" s="166">
        <v>18</v>
      </c>
      <c r="AK73" s="166">
        <v>1218.5294117647059</v>
      </c>
      <c r="AL73" s="166">
        <v>67.696078431372541</v>
      </c>
      <c r="AM73" s="180">
        <f t="shared" si="38"/>
        <v>5</v>
      </c>
      <c r="AN73" s="460"/>
      <c r="AO73" s="166">
        <v>17</v>
      </c>
      <c r="AP73" s="166">
        <v>1213.8461538461531</v>
      </c>
      <c r="AQ73" s="166">
        <v>71.402714932126656</v>
      </c>
      <c r="AR73" s="180">
        <f t="shared" si="40"/>
        <v>3</v>
      </c>
      <c r="AS73" s="460"/>
      <c r="AT73" s="166">
        <v>17</v>
      </c>
      <c r="AU73" s="166">
        <v>1209.8734177215197</v>
      </c>
      <c r="AV73" s="166">
        <v>71.169024571854095</v>
      </c>
      <c r="AW73" s="180">
        <f t="shared" si="42"/>
        <v>4</v>
      </c>
      <c r="AX73" s="486"/>
    </row>
    <row r="74" spans="2:50">
      <c r="B74" s="479"/>
      <c r="C74" s="180">
        <v>8</v>
      </c>
      <c r="D74" s="201" t="s">
        <v>457</v>
      </c>
      <c r="E74" s="166">
        <v>18</v>
      </c>
      <c r="F74" s="180">
        <v>1385</v>
      </c>
      <c r="G74" s="265">
        <v>76.900000000000006</v>
      </c>
      <c r="H74" s="460"/>
      <c r="I74" s="166">
        <f t="shared" si="44"/>
        <v>18.857142857142858</v>
      </c>
      <c r="J74" s="166">
        <f t="shared" si="44"/>
        <v>1177.0225696432683</v>
      </c>
      <c r="K74" s="265">
        <f t="shared" si="44"/>
        <v>62.434619940972496</v>
      </c>
      <c r="L74" s="460"/>
      <c r="M74" s="272">
        <f>RANK(K74, K$67:$K$81)</f>
        <v>8</v>
      </c>
      <c r="N74" s="462"/>
      <c r="O74" s="462"/>
      <c r="P74" s="166">
        <v>19</v>
      </c>
      <c r="Q74" s="166">
        <v>1226.0377358490571</v>
      </c>
      <c r="R74" s="166">
        <v>64.528301886792477</v>
      </c>
      <c r="S74" s="180">
        <f t="shared" si="45"/>
        <v>6</v>
      </c>
      <c r="T74" s="460"/>
      <c r="U74" s="166">
        <v>19</v>
      </c>
      <c r="V74" s="166">
        <v>1063.6363636363624</v>
      </c>
      <c r="W74" s="166">
        <v>55.980861244019074</v>
      </c>
      <c r="X74" s="180">
        <f t="shared" si="32"/>
        <v>9</v>
      </c>
      <c r="Y74" s="460"/>
      <c r="Z74" s="166">
        <v>19</v>
      </c>
      <c r="AA74" s="166">
        <v>1184.5161290322592</v>
      </c>
      <c r="AB74" s="166">
        <v>62.342954159592587</v>
      </c>
      <c r="AC74" s="180">
        <f t="shared" si="34"/>
        <v>7</v>
      </c>
      <c r="AD74" s="460"/>
      <c r="AE74" s="166">
        <v>18</v>
      </c>
      <c r="AF74" s="166">
        <v>1163.6363636363621</v>
      </c>
      <c r="AG74" s="166">
        <v>64.646464646464565</v>
      </c>
      <c r="AH74" s="180">
        <f t="shared" si="36"/>
        <v>6</v>
      </c>
      <c r="AI74" s="460"/>
      <c r="AJ74" s="166">
        <v>19</v>
      </c>
      <c r="AK74" s="166">
        <v>1205.5813953488371</v>
      </c>
      <c r="AL74" s="166">
        <v>63.4516523867809</v>
      </c>
      <c r="AM74" s="180">
        <f t="shared" si="38"/>
        <v>6</v>
      </c>
      <c r="AN74" s="460"/>
      <c r="AO74" s="166">
        <v>19</v>
      </c>
      <c r="AP74" s="166">
        <v>1192</v>
      </c>
      <c r="AQ74" s="166">
        <v>62.736842105263158</v>
      </c>
      <c r="AR74" s="180">
        <f t="shared" si="40"/>
        <v>8</v>
      </c>
      <c r="AS74" s="460"/>
      <c r="AT74" s="166">
        <v>19</v>
      </c>
      <c r="AU74" s="166">
        <v>1203.7500000000005</v>
      </c>
      <c r="AV74" s="166">
        <v>63.355263157894761</v>
      </c>
      <c r="AW74" s="180">
        <f t="shared" si="42"/>
        <v>9</v>
      </c>
      <c r="AX74" s="486"/>
    </row>
    <row r="75" spans="2:50">
      <c r="B75" s="479"/>
      <c r="C75" s="180">
        <v>9</v>
      </c>
      <c r="D75" s="201" t="s">
        <v>524</v>
      </c>
      <c r="E75" s="166">
        <v>16</v>
      </c>
      <c r="F75" s="180">
        <v>1440</v>
      </c>
      <c r="G75" s="265">
        <v>90</v>
      </c>
      <c r="H75" s="460"/>
      <c r="I75" s="166">
        <f t="shared" si="44"/>
        <v>16</v>
      </c>
      <c r="J75" s="166">
        <f t="shared" si="44"/>
        <v>1256.37289195161</v>
      </c>
      <c r="K75" s="265">
        <f t="shared" si="44"/>
        <v>78.523305746975623</v>
      </c>
      <c r="L75" s="460"/>
      <c r="M75" s="272">
        <f>RANK(K75, K$67:$K$81)</f>
        <v>1</v>
      </c>
      <c r="N75" s="462"/>
      <c r="O75" s="462"/>
      <c r="P75" s="166">
        <v>16</v>
      </c>
      <c r="Q75" s="166">
        <v>1262.3622047244091</v>
      </c>
      <c r="R75" s="166">
        <v>78.897637795275571</v>
      </c>
      <c r="S75" s="180">
        <f t="shared" si="45"/>
        <v>1</v>
      </c>
      <c r="T75" s="460"/>
      <c r="U75" s="166">
        <v>16</v>
      </c>
      <c r="V75" s="166">
        <v>1264.9180327868855</v>
      </c>
      <c r="W75" s="166">
        <v>79.057377049180346</v>
      </c>
      <c r="X75" s="180">
        <f t="shared" si="32"/>
        <v>1</v>
      </c>
      <c r="Y75" s="460"/>
      <c r="Z75" s="166">
        <v>16</v>
      </c>
      <c r="AA75" s="166">
        <v>1279.2857142857144</v>
      </c>
      <c r="AB75" s="166">
        <v>79.955357142857153</v>
      </c>
      <c r="AC75" s="180">
        <f t="shared" si="34"/>
        <v>1</v>
      </c>
      <c r="AD75" s="460"/>
      <c r="AE75" s="166">
        <v>16</v>
      </c>
      <c r="AF75" s="166">
        <v>1211.3114754098365</v>
      </c>
      <c r="AG75" s="166">
        <v>75.70696721311478</v>
      </c>
      <c r="AH75" s="180">
        <f t="shared" si="36"/>
        <v>1</v>
      </c>
      <c r="AI75" s="460"/>
      <c r="AJ75" s="166">
        <v>16</v>
      </c>
      <c r="AK75" s="166">
        <v>1244.5161290322576</v>
      </c>
      <c r="AL75" s="166">
        <v>77.7822580645161</v>
      </c>
      <c r="AM75" s="180">
        <f t="shared" si="38"/>
        <v>1</v>
      </c>
      <c r="AN75" s="460"/>
      <c r="AO75" s="166">
        <v>16</v>
      </c>
      <c r="AP75" s="166">
        <v>1247.6712328767121</v>
      </c>
      <c r="AQ75" s="166">
        <v>77.979452054794507</v>
      </c>
      <c r="AR75" s="180">
        <f t="shared" si="40"/>
        <v>1</v>
      </c>
      <c r="AS75" s="460"/>
      <c r="AT75" s="166">
        <v>16</v>
      </c>
      <c r="AU75" s="166">
        <v>1284.5454545454545</v>
      </c>
      <c r="AV75" s="166">
        <v>80.284090909090907</v>
      </c>
      <c r="AW75" s="180">
        <f t="shared" si="42"/>
        <v>1</v>
      </c>
      <c r="AX75" s="486"/>
    </row>
    <row r="76" spans="2:50">
      <c r="B76" s="479"/>
      <c r="C76" s="180">
        <v>10</v>
      </c>
      <c r="D76" s="201" t="s">
        <v>755</v>
      </c>
      <c r="E76" s="166">
        <v>18</v>
      </c>
      <c r="F76" s="180">
        <v>1300</v>
      </c>
      <c r="G76" s="265">
        <v>72.222222222222229</v>
      </c>
      <c r="H76" s="460"/>
      <c r="I76" s="166">
        <f t="shared" si="44"/>
        <v>18</v>
      </c>
      <c r="J76" s="166">
        <f t="shared" si="44"/>
        <v>1250.3810228140526</v>
      </c>
      <c r="K76" s="265">
        <f t="shared" si="44"/>
        <v>69.465612378558475</v>
      </c>
      <c r="L76" s="460"/>
      <c r="M76" s="272">
        <f>RANK(K76, K$67:$K$81)</f>
        <v>4</v>
      </c>
      <c r="N76" s="462"/>
      <c r="O76" s="462"/>
      <c r="P76" s="166">
        <v>18</v>
      </c>
      <c r="Q76" s="166">
        <v>1269.4153846153838</v>
      </c>
      <c r="R76" s="166">
        <v>70.523076923076871</v>
      </c>
      <c r="S76" s="180">
        <f t="shared" si="45"/>
        <v>4</v>
      </c>
      <c r="T76" s="460"/>
      <c r="U76" s="166">
        <v>18</v>
      </c>
      <c r="V76" s="166">
        <v>1232.8615384615382</v>
      </c>
      <c r="W76" s="166">
        <v>68.492307692307676</v>
      </c>
      <c r="X76" s="180">
        <f t="shared" si="32"/>
        <v>4</v>
      </c>
      <c r="Y76" s="460"/>
      <c r="Z76" s="166">
        <v>18</v>
      </c>
      <c r="AA76" s="166">
        <v>1237.1855421686741</v>
      </c>
      <c r="AB76" s="166">
        <v>68.732530120481897</v>
      </c>
      <c r="AC76" s="180">
        <f t="shared" si="34"/>
        <v>4</v>
      </c>
      <c r="AD76" s="460"/>
      <c r="AE76" s="166">
        <v>18</v>
      </c>
      <c r="AF76" s="166">
        <v>1223.6869565217391</v>
      </c>
      <c r="AG76" s="166">
        <v>67.982608695652175</v>
      </c>
      <c r="AH76" s="180">
        <f t="shared" si="36"/>
        <v>5</v>
      </c>
      <c r="AI76" s="460"/>
      <c r="AJ76" s="166">
        <v>18</v>
      </c>
      <c r="AK76" s="166">
        <v>1255.44</v>
      </c>
      <c r="AL76" s="166">
        <v>69.74666666666667</v>
      </c>
      <c r="AM76" s="180">
        <f t="shared" si="38"/>
        <v>4</v>
      </c>
      <c r="AN76" s="460"/>
      <c r="AO76" s="166">
        <v>18</v>
      </c>
      <c r="AP76" s="166">
        <v>1272.1535999999994</v>
      </c>
      <c r="AQ76" s="166">
        <v>70.675199999999961</v>
      </c>
      <c r="AR76" s="180">
        <f t="shared" si="40"/>
        <v>4</v>
      </c>
      <c r="AS76" s="460"/>
      <c r="AT76" s="166">
        <v>18</v>
      </c>
      <c r="AU76" s="166">
        <v>1261.9241379310336</v>
      </c>
      <c r="AV76" s="166">
        <v>70.106896551724091</v>
      </c>
      <c r="AW76" s="180">
        <f t="shared" si="42"/>
        <v>6</v>
      </c>
      <c r="AX76" s="486"/>
    </row>
    <row r="77" spans="2:50">
      <c r="B77" s="479"/>
      <c r="C77" s="180">
        <v>11</v>
      </c>
      <c r="D77" s="201"/>
      <c r="E77" s="166"/>
      <c r="F77" s="180"/>
      <c r="G77" s="265"/>
      <c r="H77" s="460"/>
      <c r="I77" s="166"/>
      <c r="J77" s="166"/>
      <c r="K77" s="265"/>
      <c r="L77" s="460"/>
      <c r="M77" s="272" t="e">
        <f>RANK(K77, K$67:$K$81)</f>
        <v>#N/A</v>
      </c>
      <c r="N77" s="462"/>
      <c r="O77" s="462"/>
      <c r="P77" s="180"/>
      <c r="Q77" s="265"/>
      <c r="R77" s="265"/>
      <c r="S77" s="180" t="e">
        <f t="shared" si="45"/>
        <v>#N/A</v>
      </c>
      <c r="T77" s="460"/>
      <c r="U77" s="180"/>
      <c r="V77" s="265"/>
      <c r="W77" s="265"/>
      <c r="X77" s="180" t="e">
        <f t="shared" si="32"/>
        <v>#N/A</v>
      </c>
      <c r="Y77" s="460"/>
      <c r="Z77" s="180"/>
      <c r="AA77" s="265"/>
      <c r="AB77" s="265"/>
      <c r="AC77" s="180" t="e">
        <f t="shared" si="34"/>
        <v>#N/A</v>
      </c>
      <c r="AD77" s="460"/>
      <c r="AE77" s="180"/>
      <c r="AF77" s="265"/>
      <c r="AG77" s="265"/>
      <c r="AH77" s="180" t="e">
        <f t="shared" si="36"/>
        <v>#N/A</v>
      </c>
      <c r="AI77" s="460"/>
      <c r="AJ77" s="180"/>
      <c r="AK77" s="265"/>
      <c r="AL77" s="265"/>
      <c r="AM77" s="180" t="e">
        <f t="shared" si="38"/>
        <v>#N/A</v>
      </c>
      <c r="AN77" s="460"/>
      <c r="AO77" s="180"/>
      <c r="AP77" s="265"/>
      <c r="AQ77" s="265"/>
      <c r="AR77" s="180" t="e">
        <f t="shared" si="40"/>
        <v>#N/A</v>
      </c>
      <c r="AS77" s="460"/>
      <c r="AT77" s="180"/>
      <c r="AU77" s="265"/>
      <c r="AV77" s="265"/>
      <c r="AW77" s="180" t="e">
        <f t="shared" si="42"/>
        <v>#N/A</v>
      </c>
      <c r="AX77" s="486"/>
    </row>
    <row r="78" spans="2:50">
      <c r="B78" s="479"/>
      <c r="C78" s="180">
        <v>12</v>
      </c>
      <c r="D78" s="201"/>
      <c r="E78" s="166"/>
      <c r="F78" s="180"/>
      <c r="G78" s="265"/>
      <c r="H78" s="460"/>
      <c r="I78" s="166"/>
      <c r="J78" s="166"/>
      <c r="K78" s="265"/>
      <c r="L78" s="460"/>
      <c r="M78" s="272" t="e">
        <f>RANK(K78, K$67:$K$81)</f>
        <v>#N/A</v>
      </c>
      <c r="N78" s="462"/>
      <c r="O78" s="462"/>
      <c r="P78" s="180"/>
      <c r="Q78" s="265"/>
      <c r="R78" s="265"/>
      <c r="S78" s="180" t="e">
        <f t="shared" si="45"/>
        <v>#N/A</v>
      </c>
      <c r="T78" s="460"/>
      <c r="U78" s="180"/>
      <c r="V78" s="265"/>
      <c r="W78" s="265"/>
      <c r="X78" s="180" t="e">
        <f t="shared" si="32"/>
        <v>#N/A</v>
      </c>
      <c r="Y78" s="460"/>
      <c r="Z78" s="180"/>
      <c r="AA78" s="265"/>
      <c r="AB78" s="265"/>
      <c r="AC78" s="180" t="e">
        <f t="shared" si="34"/>
        <v>#N/A</v>
      </c>
      <c r="AD78" s="460"/>
      <c r="AE78" s="180"/>
      <c r="AF78" s="265"/>
      <c r="AG78" s="265"/>
      <c r="AH78" s="180" t="e">
        <f t="shared" si="36"/>
        <v>#N/A</v>
      </c>
      <c r="AI78" s="460"/>
      <c r="AJ78" s="180"/>
      <c r="AK78" s="265"/>
      <c r="AL78" s="265"/>
      <c r="AM78" s="180" t="e">
        <f t="shared" si="38"/>
        <v>#N/A</v>
      </c>
      <c r="AN78" s="460"/>
      <c r="AO78" s="180"/>
      <c r="AP78" s="265"/>
      <c r="AQ78" s="265"/>
      <c r="AR78" s="180" t="e">
        <f t="shared" si="40"/>
        <v>#N/A</v>
      </c>
      <c r="AS78" s="460"/>
      <c r="AT78" s="180"/>
      <c r="AU78" s="265"/>
      <c r="AV78" s="265"/>
      <c r="AW78" s="180" t="e">
        <f t="shared" si="42"/>
        <v>#N/A</v>
      </c>
      <c r="AX78" s="486"/>
    </row>
    <row r="79" spans="2:50">
      <c r="B79" s="479"/>
      <c r="C79" s="180">
        <v>13</v>
      </c>
      <c r="D79" s="201"/>
      <c r="E79" s="166"/>
      <c r="F79" s="180"/>
      <c r="G79" s="265"/>
      <c r="H79" s="460"/>
      <c r="I79" s="180"/>
      <c r="J79" s="180"/>
      <c r="K79" s="180"/>
      <c r="L79" s="460"/>
      <c r="M79" s="272" t="e">
        <f>RANK(K79, K$67:$K$81)</f>
        <v>#N/A</v>
      </c>
      <c r="N79" s="462"/>
      <c r="O79" s="462"/>
      <c r="P79" s="180"/>
      <c r="Q79" s="265"/>
      <c r="R79" s="265"/>
      <c r="S79" s="180" t="e">
        <f t="shared" si="45"/>
        <v>#N/A</v>
      </c>
      <c r="T79" s="460"/>
      <c r="U79" s="180"/>
      <c r="V79" s="265"/>
      <c r="W79" s="265"/>
      <c r="X79" s="180" t="e">
        <f t="shared" si="32"/>
        <v>#N/A</v>
      </c>
      <c r="Y79" s="460"/>
      <c r="Z79" s="180"/>
      <c r="AA79" s="265"/>
      <c r="AB79" s="265"/>
      <c r="AC79" s="180" t="e">
        <f t="shared" si="34"/>
        <v>#N/A</v>
      </c>
      <c r="AD79" s="460"/>
      <c r="AE79" s="180"/>
      <c r="AF79" s="265"/>
      <c r="AG79" s="265"/>
      <c r="AH79" s="180" t="e">
        <f t="shared" si="36"/>
        <v>#N/A</v>
      </c>
      <c r="AI79" s="460"/>
      <c r="AJ79" s="180"/>
      <c r="AK79" s="265"/>
      <c r="AL79" s="265"/>
      <c r="AM79" s="180" t="e">
        <f t="shared" si="38"/>
        <v>#N/A</v>
      </c>
      <c r="AN79" s="460"/>
      <c r="AO79" s="180"/>
      <c r="AP79" s="265"/>
      <c r="AQ79" s="265"/>
      <c r="AR79" s="180" t="e">
        <f t="shared" si="40"/>
        <v>#N/A</v>
      </c>
      <c r="AS79" s="460"/>
      <c r="AT79" s="180"/>
      <c r="AU79" s="265"/>
      <c r="AV79" s="265"/>
      <c r="AW79" s="180" t="e">
        <f t="shared" si="42"/>
        <v>#N/A</v>
      </c>
      <c r="AX79" s="486"/>
    </row>
    <row r="80" spans="2:50">
      <c r="B80" s="479"/>
      <c r="C80" s="180">
        <v>14</v>
      </c>
      <c r="D80" s="201"/>
      <c r="E80" s="166"/>
      <c r="F80" s="180"/>
      <c r="G80" s="265"/>
      <c r="H80" s="460"/>
      <c r="I80" s="180"/>
      <c r="J80" s="180"/>
      <c r="K80" s="180"/>
      <c r="L80" s="460"/>
      <c r="M80" s="272" t="e">
        <f>RANK(K80, K$67:$K$81)</f>
        <v>#N/A</v>
      </c>
      <c r="N80" s="462"/>
      <c r="O80" s="462"/>
      <c r="P80" s="180"/>
      <c r="Q80" s="265"/>
      <c r="R80" s="265"/>
      <c r="S80" s="180" t="e">
        <f t="shared" si="45"/>
        <v>#N/A</v>
      </c>
      <c r="T80" s="460"/>
      <c r="U80" s="180"/>
      <c r="V80" s="265"/>
      <c r="W80" s="265"/>
      <c r="X80" s="180" t="e">
        <f t="shared" si="32"/>
        <v>#N/A</v>
      </c>
      <c r="Y80" s="460"/>
      <c r="Z80" s="180"/>
      <c r="AA80" s="265"/>
      <c r="AB80" s="265"/>
      <c r="AC80" s="180" t="e">
        <f t="shared" si="34"/>
        <v>#N/A</v>
      </c>
      <c r="AD80" s="460"/>
      <c r="AE80" s="180"/>
      <c r="AF80" s="265"/>
      <c r="AG80" s="265"/>
      <c r="AH80" s="180" t="e">
        <f t="shared" si="36"/>
        <v>#N/A</v>
      </c>
      <c r="AI80" s="460"/>
      <c r="AJ80" s="180"/>
      <c r="AK80" s="265"/>
      <c r="AL80" s="265"/>
      <c r="AM80" s="180" t="e">
        <f t="shared" si="38"/>
        <v>#N/A</v>
      </c>
      <c r="AN80" s="460"/>
      <c r="AO80" s="180"/>
      <c r="AP80" s="265"/>
      <c r="AQ80" s="265"/>
      <c r="AR80" s="180" t="e">
        <f t="shared" si="40"/>
        <v>#N/A</v>
      </c>
      <c r="AS80" s="460"/>
      <c r="AT80" s="180"/>
      <c r="AU80" s="265"/>
      <c r="AV80" s="265"/>
      <c r="AW80" s="180" t="e">
        <f t="shared" si="42"/>
        <v>#N/A</v>
      </c>
      <c r="AX80" s="486"/>
    </row>
    <row r="81" spans="2:50">
      <c r="B81" s="479"/>
      <c r="C81" s="180">
        <v>15</v>
      </c>
      <c r="D81" s="201"/>
      <c r="E81" s="166"/>
      <c r="F81" s="180"/>
      <c r="G81" s="265"/>
      <c r="H81" s="461"/>
      <c r="I81" s="180"/>
      <c r="J81" s="180"/>
      <c r="K81" s="180"/>
      <c r="L81" s="461"/>
      <c r="M81" s="272" t="e">
        <f>RANK(K81, K$67:$K$81)</f>
        <v>#N/A</v>
      </c>
      <c r="N81" s="462"/>
      <c r="O81" s="462"/>
      <c r="P81" s="180"/>
      <c r="Q81" s="265"/>
      <c r="R81" s="265"/>
      <c r="S81" s="180" t="e">
        <f t="shared" si="45"/>
        <v>#N/A</v>
      </c>
      <c r="T81" s="461"/>
      <c r="U81" s="180"/>
      <c r="V81" s="265"/>
      <c r="W81" s="265"/>
      <c r="X81" s="180" t="e">
        <f t="shared" si="32"/>
        <v>#N/A</v>
      </c>
      <c r="Y81" s="461"/>
      <c r="Z81" s="180"/>
      <c r="AA81" s="265"/>
      <c r="AB81" s="265"/>
      <c r="AC81" s="180" t="e">
        <f t="shared" si="34"/>
        <v>#N/A</v>
      </c>
      <c r="AD81" s="461"/>
      <c r="AE81" s="180"/>
      <c r="AF81" s="265"/>
      <c r="AG81" s="265"/>
      <c r="AH81" s="180" t="e">
        <f t="shared" si="36"/>
        <v>#N/A</v>
      </c>
      <c r="AI81" s="461"/>
      <c r="AJ81" s="180"/>
      <c r="AK81" s="265"/>
      <c r="AL81" s="265"/>
      <c r="AM81" s="180" t="e">
        <f t="shared" si="38"/>
        <v>#N/A</v>
      </c>
      <c r="AN81" s="461"/>
      <c r="AO81" s="180"/>
      <c r="AP81" s="265"/>
      <c r="AQ81" s="265"/>
      <c r="AR81" s="180" t="e">
        <f t="shared" si="40"/>
        <v>#N/A</v>
      </c>
      <c r="AS81" s="461"/>
      <c r="AT81" s="180"/>
      <c r="AU81" s="265"/>
      <c r="AV81" s="265"/>
      <c r="AW81" s="180" t="e">
        <f t="shared" si="42"/>
        <v>#N/A</v>
      </c>
      <c r="AX81" s="486"/>
    </row>
    <row r="82" spans="2:50" ht="15.75">
      <c r="B82" s="480" t="s">
        <v>721</v>
      </c>
      <c r="C82" s="481"/>
      <c r="D82" s="481"/>
      <c r="E82" s="481"/>
      <c r="F82" s="481"/>
      <c r="G82" s="481"/>
      <c r="H82" s="481"/>
      <c r="I82" s="184"/>
      <c r="J82" s="184"/>
      <c r="K82" s="184"/>
      <c r="L82" s="184"/>
      <c r="M82" s="183"/>
      <c r="N82" s="469" t="s">
        <v>722</v>
      </c>
      <c r="O82" s="469" t="s">
        <v>723</v>
      </c>
      <c r="P82" s="478">
        <f>P62+7</f>
        <v>46077</v>
      </c>
      <c r="Q82" s="479"/>
      <c r="R82" s="479"/>
      <c r="S82" s="479"/>
      <c r="T82" s="479"/>
      <c r="U82" s="475">
        <f>P82+1</f>
        <v>46078</v>
      </c>
      <c r="V82" s="476"/>
      <c r="W82" s="476"/>
      <c r="X82" s="476"/>
      <c r="Y82" s="477"/>
      <c r="Z82" s="475">
        <f>U82+1</f>
        <v>46079</v>
      </c>
      <c r="AA82" s="476"/>
      <c r="AB82" s="476"/>
      <c r="AC82" s="476"/>
      <c r="AD82" s="477"/>
      <c r="AE82" s="475">
        <f>Z82+1</f>
        <v>46080</v>
      </c>
      <c r="AF82" s="476"/>
      <c r="AG82" s="476"/>
      <c r="AH82" s="476"/>
      <c r="AI82" s="477"/>
      <c r="AJ82" s="475">
        <f>AE82+1</f>
        <v>46081</v>
      </c>
      <c r="AK82" s="476"/>
      <c r="AL82" s="476"/>
      <c r="AM82" s="476"/>
      <c r="AN82" s="477"/>
      <c r="AO82" s="475">
        <f>AJ82+1</f>
        <v>46082</v>
      </c>
      <c r="AP82" s="476"/>
      <c r="AQ82" s="476"/>
      <c r="AR82" s="476"/>
      <c r="AS82" s="477"/>
      <c r="AT82" s="475">
        <f>AO82+1</f>
        <v>46083</v>
      </c>
      <c r="AU82" s="476"/>
      <c r="AV82" s="476"/>
      <c r="AW82" s="476"/>
      <c r="AX82" s="477"/>
    </row>
    <row r="83" spans="2:50" ht="15.75">
      <c r="B83" s="482"/>
      <c r="C83" s="482"/>
      <c r="D83" s="482"/>
      <c r="E83" s="482"/>
      <c r="F83" s="482"/>
      <c r="G83" s="482"/>
      <c r="H83" s="482"/>
      <c r="I83" s="182"/>
      <c r="J83" s="182"/>
      <c r="K83" s="182"/>
      <c r="L83" s="182"/>
      <c r="M83" s="179"/>
      <c r="N83" s="471"/>
      <c r="O83" s="471"/>
      <c r="P83" s="478" t="s">
        <v>724</v>
      </c>
      <c r="Q83" s="479"/>
      <c r="R83" s="479"/>
      <c r="S83" s="479"/>
      <c r="T83" s="479"/>
      <c r="U83" s="478" t="s">
        <v>725</v>
      </c>
      <c r="V83" s="479"/>
      <c r="W83" s="479"/>
      <c r="X83" s="479"/>
      <c r="Y83" s="479"/>
      <c r="Z83" s="478" t="s">
        <v>726</v>
      </c>
      <c r="AA83" s="479"/>
      <c r="AB83" s="479"/>
      <c r="AC83" s="479"/>
      <c r="AD83" s="479"/>
      <c r="AE83" s="478" t="s">
        <v>727</v>
      </c>
      <c r="AF83" s="479"/>
      <c r="AG83" s="479"/>
      <c r="AH83" s="479"/>
      <c r="AI83" s="479"/>
      <c r="AJ83" s="478" t="s">
        <v>728</v>
      </c>
      <c r="AK83" s="479"/>
      <c r="AL83" s="479"/>
      <c r="AM83" s="479"/>
      <c r="AN83" s="479"/>
      <c r="AO83" s="478" t="s">
        <v>729</v>
      </c>
      <c r="AP83" s="479"/>
      <c r="AQ83" s="479"/>
      <c r="AR83" s="479"/>
      <c r="AS83" s="479"/>
      <c r="AT83" s="478" t="s">
        <v>730</v>
      </c>
      <c r="AU83" s="479"/>
      <c r="AV83" s="479"/>
      <c r="AW83" s="479"/>
      <c r="AX83" s="479"/>
    </row>
    <row r="84" spans="2:50">
      <c r="B84" s="462" t="s">
        <v>731</v>
      </c>
      <c r="C84" s="462" t="s">
        <v>732</v>
      </c>
      <c r="D84" s="462"/>
      <c r="E84" s="462" t="s">
        <v>733</v>
      </c>
      <c r="F84" s="462"/>
      <c r="G84" s="462"/>
      <c r="H84" s="463" t="s">
        <v>734</v>
      </c>
      <c r="I84" s="462" t="s">
        <v>735</v>
      </c>
      <c r="J84" s="462"/>
      <c r="K84" s="462"/>
      <c r="L84" s="463" t="s">
        <v>734</v>
      </c>
      <c r="M84" s="469" t="s">
        <v>736</v>
      </c>
      <c r="N84" s="462"/>
      <c r="O84" s="462" t="s">
        <v>737</v>
      </c>
      <c r="P84" s="466" t="s">
        <v>738</v>
      </c>
      <c r="Q84" s="467"/>
      <c r="R84" s="467"/>
      <c r="S84" s="468"/>
      <c r="T84" s="462" t="s">
        <v>734</v>
      </c>
      <c r="U84" s="466" t="s">
        <v>738</v>
      </c>
      <c r="V84" s="467"/>
      <c r="W84" s="467"/>
      <c r="X84" s="468"/>
      <c r="Y84" s="462" t="s">
        <v>734</v>
      </c>
      <c r="Z84" s="466" t="s">
        <v>738</v>
      </c>
      <c r="AA84" s="467"/>
      <c r="AB84" s="467"/>
      <c r="AC84" s="468"/>
      <c r="AD84" s="462" t="s">
        <v>734</v>
      </c>
      <c r="AE84" s="466" t="s">
        <v>738</v>
      </c>
      <c r="AF84" s="467"/>
      <c r="AG84" s="467"/>
      <c r="AH84" s="468"/>
      <c r="AI84" s="462" t="s">
        <v>734</v>
      </c>
      <c r="AJ84" s="466" t="s">
        <v>738</v>
      </c>
      <c r="AK84" s="467"/>
      <c r="AL84" s="467"/>
      <c r="AM84" s="468"/>
      <c r="AN84" s="462" t="s">
        <v>734</v>
      </c>
      <c r="AO84" s="466" t="s">
        <v>738</v>
      </c>
      <c r="AP84" s="467"/>
      <c r="AQ84" s="467"/>
      <c r="AR84" s="468"/>
      <c r="AS84" s="462" t="s">
        <v>734</v>
      </c>
      <c r="AT84" s="466" t="s">
        <v>738</v>
      </c>
      <c r="AU84" s="467"/>
      <c r="AV84" s="467"/>
      <c r="AW84" s="468"/>
      <c r="AX84" s="462" t="s">
        <v>734</v>
      </c>
    </row>
    <row r="85" spans="2:50">
      <c r="B85" s="462"/>
      <c r="C85" s="462"/>
      <c r="D85" s="462"/>
      <c r="E85" s="462" t="s">
        <v>739</v>
      </c>
      <c r="F85" s="462"/>
      <c r="G85" s="462"/>
      <c r="H85" s="464"/>
      <c r="I85" s="462" t="s">
        <v>739</v>
      </c>
      <c r="J85" s="462"/>
      <c r="K85" s="462"/>
      <c r="L85" s="464"/>
      <c r="M85" s="470"/>
      <c r="N85" s="462"/>
      <c r="O85" s="462"/>
      <c r="P85" s="466" t="s">
        <v>740</v>
      </c>
      <c r="Q85" s="467"/>
      <c r="R85" s="467"/>
      <c r="S85" s="468"/>
      <c r="T85" s="462"/>
      <c r="U85" s="466" t="s">
        <v>740</v>
      </c>
      <c r="V85" s="467"/>
      <c r="W85" s="467"/>
      <c r="X85" s="468"/>
      <c r="Y85" s="462"/>
      <c r="Z85" s="466" t="s">
        <v>740</v>
      </c>
      <c r="AA85" s="467"/>
      <c r="AB85" s="467"/>
      <c r="AC85" s="468"/>
      <c r="AD85" s="462"/>
      <c r="AE85" s="466" t="s">
        <v>740</v>
      </c>
      <c r="AF85" s="467"/>
      <c r="AG85" s="467"/>
      <c r="AH85" s="468"/>
      <c r="AI85" s="462"/>
      <c r="AJ85" s="466" t="s">
        <v>740</v>
      </c>
      <c r="AK85" s="467"/>
      <c r="AL85" s="467"/>
      <c r="AM85" s="468"/>
      <c r="AN85" s="462"/>
      <c r="AO85" s="466" t="s">
        <v>740</v>
      </c>
      <c r="AP85" s="467"/>
      <c r="AQ85" s="467"/>
      <c r="AR85" s="468"/>
      <c r="AS85" s="462"/>
      <c r="AT85" s="466" t="s">
        <v>740</v>
      </c>
      <c r="AU85" s="467"/>
      <c r="AV85" s="467"/>
      <c r="AW85" s="468"/>
      <c r="AX85" s="462"/>
    </row>
    <row r="86" spans="2:50">
      <c r="B86" s="462"/>
      <c r="C86" s="462"/>
      <c r="D86" s="462"/>
      <c r="E86" s="264" t="s">
        <v>741</v>
      </c>
      <c r="F86" s="264" t="s">
        <v>742</v>
      </c>
      <c r="G86" s="264" t="s">
        <v>743</v>
      </c>
      <c r="H86" s="465"/>
      <c r="I86" s="264" t="s">
        <v>741</v>
      </c>
      <c r="J86" s="264" t="s">
        <v>742</v>
      </c>
      <c r="K86" s="264" t="s">
        <v>743</v>
      </c>
      <c r="L86" s="465"/>
      <c r="M86" s="471"/>
      <c r="N86" s="462"/>
      <c r="O86" s="462"/>
      <c r="P86" s="264" t="s">
        <v>741</v>
      </c>
      <c r="Q86" s="264" t="s">
        <v>742</v>
      </c>
      <c r="R86" s="264" t="s">
        <v>743</v>
      </c>
      <c r="S86" s="264" t="s">
        <v>736</v>
      </c>
      <c r="T86" s="462"/>
      <c r="U86" s="264" t="s">
        <v>741</v>
      </c>
      <c r="V86" s="264" t="s">
        <v>742</v>
      </c>
      <c r="W86" s="264" t="s">
        <v>743</v>
      </c>
      <c r="X86" s="264" t="s">
        <v>736</v>
      </c>
      <c r="Y86" s="462"/>
      <c r="Z86" s="264" t="s">
        <v>741</v>
      </c>
      <c r="AA86" s="264" t="s">
        <v>742</v>
      </c>
      <c r="AB86" s="264" t="s">
        <v>743</v>
      </c>
      <c r="AC86" s="264" t="s">
        <v>736</v>
      </c>
      <c r="AD86" s="462"/>
      <c r="AE86" s="264" t="s">
        <v>741</v>
      </c>
      <c r="AF86" s="264" t="s">
        <v>742</v>
      </c>
      <c r="AG86" s="264" t="s">
        <v>743</v>
      </c>
      <c r="AH86" s="264" t="s">
        <v>736</v>
      </c>
      <c r="AI86" s="462"/>
      <c r="AJ86" s="264" t="s">
        <v>741</v>
      </c>
      <c r="AK86" s="264" t="s">
        <v>742</v>
      </c>
      <c r="AL86" s="264" t="s">
        <v>743</v>
      </c>
      <c r="AM86" s="264" t="s">
        <v>736</v>
      </c>
      <c r="AN86" s="462"/>
      <c r="AO86" s="264" t="s">
        <v>741</v>
      </c>
      <c r="AP86" s="264" t="s">
        <v>742</v>
      </c>
      <c r="AQ86" s="264" t="s">
        <v>743</v>
      </c>
      <c r="AR86" s="264" t="s">
        <v>736</v>
      </c>
      <c r="AS86" s="462"/>
      <c r="AT86" s="264" t="s">
        <v>741</v>
      </c>
      <c r="AU86" s="264" t="s">
        <v>742</v>
      </c>
      <c r="AV86" s="264" t="s">
        <v>743</v>
      </c>
      <c r="AW86" s="264" t="s">
        <v>736</v>
      </c>
      <c r="AX86" s="462"/>
    </row>
    <row r="87" spans="2:50">
      <c r="B87" s="462" t="s">
        <v>754</v>
      </c>
      <c r="C87" s="180">
        <v>1</v>
      </c>
      <c r="D87" s="201" t="s">
        <v>372</v>
      </c>
      <c r="E87" s="166">
        <v>18</v>
      </c>
      <c r="F87" s="180">
        <v>1440</v>
      </c>
      <c r="G87" s="265">
        <v>80</v>
      </c>
      <c r="H87" s="459">
        <f>AVERAGE(G87:G101)</f>
        <v>79.242222222222225</v>
      </c>
      <c r="I87" s="166">
        <f>AVERAGE(P87,U87,Z87,AE87,AJ87,AO87,AT87)</f>
        <v>18</v>
      </c>
      <c r="J87" s="166">
        <f>AVERAGE(Q87,V87,AA87,AF87,AK87,AP87,AU87)</f>
        <v>1220.6774869234082</v>
      </c>
      <c r="K87" s="265">
        <f>AVERAGE(R87,W87,AB87,AG87,AL87,AQ87,AV87)</f>
        <v>67.815415940189339</v>
      </c>
      <c r="L87" s="459">
        <f>IFERROR(AVERAGE(K87:K101),"-")</f>
        <v>65.615186730777992</v>
      </c>
      <c r="M87" s="272">
        <f>RANK(K87, K$87:$K$101)</f>
        <v>4</v>
      </c>
      <c r="N87" s="462"/>
      <c r="O87" s="462"/>
      <c r="P87" s="166">
        <v>18</v>
      </c>
      <c r="Q87" s="166">
        <v>1241.7179487179487</v>
      </c>
      <c r="R87" s="166">
        <v>68.984330484330485</v>
      </c>
      <c r="S87" s="180">
        <f>RANK(R87, R$87:R$101)</f>
        <v>6</v>
      </c>
      <c r="T87" s="459">
        <f>AVERAGE(R87:R101)</f>
        <v>68.262865658793245</v>
      </c>
      <c r="U87" s="166">
        <v>18</v>
      </c>
      <c r="V87" s="166">
        <v>1206.5839285714287</v>
      </c>
      <c r="W87" s="166">
        <v>67.032440476190487</v>
      </c>
      <c r="X87" s="180">
        <f t="shared" ref="X87:X101" si="46">RANK(W87, W$87:W$101)</f>
        <v>5</v>
      </c>
      <c r="Y87" s="459">
        <f t="shared" ref="Y87" si="47">AVERAGE(W87:W101)</f>
        <v>66.483751328667296</v>
      </c>
      <c r="Z87" s="166">
        <v>18</v>
      </c>
      <c r="AA87" s="166">
        <v>1208.284210526316</v>
      </c>
      <c r="AB87" s="166">
        <v>67.126900584795337</v>
      </c>
      <c r="AC87" s="180">
        <f t="shared" ref="AC87:AC101" si="48">RANK(AB87, AB$87:AB$101)</f>
        <v>4</v>
      </c>
      <c r="AD87" s="459">
        <f t="shared" ref="AD87" si="49">AVERAGE(AB87:AB101)</f>
        <v>65.683580858929119</v>
      </c>
      <c r="AE87" s="166">
        <v>18</v>
      </c>
      <c r="AF87" s="166">
        <v>1234.0740740740737</v>
      </c>
      <c r="AG87" s="166">
        <v>68.559670781892976</v>
      </c>
      <c r="AH87" s="180">
        <f t="shared" ref="AH87:AH101" si="50">RANK(AG87, AG$87:AG$101)</f>
        <v>3</v>
      </c>
      <c r="AI87" s="459">
        <f t="shared" ref="AI87" si="51">AVERAGE(AG87:AG101)</f>
        <v>63.766909276398522</v>
      </c>
      <c r="AJ87" s="166">
        <v>18</v>
      </c>
      <c r="AK87" s="166">
        <v>1212.727272727273</v>
      </c>
      <c r="AL87" s="166">
        <v>67.373737373737384</v>
      </c>
      <c r="AM87" s="180">
        <f t="shared" ref="AM87:AM101" si="52">RANK(AL87, AL$87:AL$101)</f>
        <v>5</v>
      </c>
      <c r="AN87" s="459">
        <f t="shared" ref="AN87" si="53">AVERAGE(AL87:AL101)</f>
        <v>63.87882653110178</v>
      </c>
      <c r="AO87" s="166"/>
      <c r="AP87" s="166"/>
      <c r="AQ87" s="166"/>
      <c r="AR87" s="180" t="e">
        <f t="shared" ref="AR87:AR101" si="54">RANK(AQ87, AQ$87:AQ$101)</f>
        <v>#N/A</v>
      </c>
      <c r="AS87" s="459" t="e">
        <f t="shared" ref="AS87" si="55">AVERAGE(AQ87:AQ101)</f>
        <v>#DIV/0!</v>
      </c>
      <c r="AT87" s="166"/>
      <c r="AU87" s="166"/>
      <c r="AV87" s="166"/>
      <c r="AW87" s="180" t="e">
        <f t="shared" ref="AW87:AW101" si="56">RANK(AV87, AV$87:AV$101)</f>
        <v>#N/A</v>
      </c>
      <c r="AX87" s="486" t="e">
        <f t="shared" ref="AX87" si="57">AVERAGE(AV87:AV101)</f>
        <v>#DIV/0!</v>
      </c>
    </row>
    <row r="88" spans="2:50">
      <c r="B88" s="479"/>
      <c r="C88" s="180">
        <v>2</v>
      </c>
      <c r="D88" s="201" t="s">
        <v>373</v>
      </c>
      <c r="E88" s="166">
        <v>18</v>
      </c>
      <c r="F88" s="180">
        <v>1440</v>
      </c>
      <c r="G88" s="265">
        <v>80</v>
      </c>
      <c r="H88" s="460"/>
      <c r="I88" s="166">
        <f t="shared" ref="I88:K96" si="58">AVERAGE(P88,U88,Z88,AE88,AJ88,AO88,AT88)</f>
        <v>18</v>
      </c>
      <c r="J88" s="166">
        <f t="shared" si="58"/>
        <v>1186.5319521690749</v>
      </c>
      <c r="K88" s="265">
        <f t="shared" si="58"/>
        <v>65.918441787170821</v>
      </c>
      <c r="L88" s="460"/>
      <c r="M88" s="272">
        <f>RANK(K88, K$87:$K$101)</f>
        <v>5</v>
      </c>
      <c r="N88" s="462"/>
      <c r="O88" s="462"/>
      <c r="P88" s="166">
        <v>18</v>
      </c>
      <c r="Q88" s="166">
        <v>1256.1290322580626</v>
      </c>
      <c r="R88" s="166">
        <v>69.784946236559037</v>
      </c>
      <c r="S88" s="180">
        <f t="shared" ref="S88:S101" si="59">RANK(R88, R$87:R$101)</f>
        <v>5</v>
      </c>
      <c r="T88" s="460"/>
      <c r="U88" s="166">
        <v>18</v>
      </c>
      <c r="V88" s="166">
        <v>1194.3749999999984</v>
      </c>
      <c r="W88" s="166">
        <v>66.354166666666572</v>
      </c>
      <c r="X88" s="180">
        <f t="shared" si="46"/>
        <v>6</v>
      </c>
      <c r="Y88" s="460"/>
      <c r="Z88" s="166">
        <v>18</v>
      </c>
      <c r="AA88" s="166">
        <v>1207.7419354838689</v>
      </c>
      <c r="AB88" s="166">
        <v>67.096774193548271</v>
      </c>
      <c r="AC88" s="180">
        <f t="shared" si="48"/>
        <v>5</v>
      </c>
      <c r="AD88" s="460"/>
      <c r="AE88" s="166">
        <v>18</v>
      </c>
      <c r="AF88" s="166">
        <v>1032.4137931034461</v>
      </c>
      <c r="AG88" s="166">
        <v>57.356321839080337</v>
      </c>
      <c r="AH88" s="180">
        <f t="shared" si="50"/>
        <v>9</v>
      </c>
      <c r="AI88" s="460"/>
      <c r="AJ88" s="166">
        <v>18</v>
      </c>
      <c r="AK88" s="166">
        <v>1241.9999999999977</v>
      </c>
      <c r="AL88" s="166">
        <v>68.999999999999872</v>
      </c>
      <c r="AM88" s="180">
        <f t="shared" si="52"/>
        <v>3</v>
      </c>
      <c r="AN88" s="460"/>
      <c r="AO88" s="166"/>
      <c r="AP88" s="166"/>
      <c r="AQ88" s="166"/>
      <c r="AR88" s="180" t="e">
        <f t="shared" si="54"/>
        <v>#N/A</v>
      </c>
      <c r="AS88" s="460"/>
      <c r="AT88" s="166"/>
      <c r="AU88" s="166"/>
      <c r="AV88" s="166"/>
      <c r="AW88" s="180" t="e">
        <f t="shared" si="56"/>
        <v>#N/A</v>
      </c>
      <c r="AX88" s="486"/>
    </row>
    <row r="89" spans="2:50">
      <c r="B89" s="479"/>
      <c r="C89" s="180">
        <v>3</v>
      </c>
      <c r="D89" s="201" t="s">
        <v>374</v>
      </c>
      <c r="E89" s="166">
        <v>16</v>
      </c>
      <c r="F89" s="180">
        <v>1440</v>
      </c>
      <c r="G89" s="265">
        <v>90</v>
      </c>
      <c r="H89" s="460"/>
      <c r="I89" s="166">
        <f t="shared" si="58"/>
        <v>17</v>
      </c>
      <c r="J89" s="166">
        <f t="shared" si="58"/>
        <v>1222.7479011748724</v>
      </c>
      <c r="K89" s="265">
        <f t="shared" si="58"/>
        <v>71.926347127933681</v>
      </c>
      <c r="L89" s="460"/>
      <c r="M89" s="272">
        <f>RANK(K89, K$87:$K$101)</f>
        <v>2</v>
      </c>
      <c r="N89" s="462"/>
      <c r="O89" s="462"/>
      <c r="P89" s="166">
        <v>17</v>
      </c>
      <c r="Q89" s="166">
        <v>1245.4285714285716</v>
      </c>
      <c r="R89" s="166">
        <v>73.260504201680675</v>
      </c>
      <c r="S89" s="180">
        <f t="shared" si="59"/>
        <v>1</v>
      </c>
      <c r="T89" s="460"/>
      <c r="U89" s="166">
        <v>17</v>
      </c>
      <c r="V89" s="166">
        <v>1212.7868852459012</v>
      </c>
      <c r="W89" s="166">
        <v>71.340405014464778</v>
      </c>
      <c r="X89" s="180">
        <f t="shared" si="46"/>
        <v>2</v>
      </c>
      <c r="Y89" s="460"/>
      <c r="Z89" s="166">
        <v>17</v>
      </c>
      <c r="AA89" s="166">
        <v>1219.5652173913043</v>
      </c>
      <c r="AB89" s="166">
        <v>71.739130434782609</v>
      </c>
      <c r="AC89" s="180">
        <f t="shared" si="48"/>
        <v>1</v>
      </c>
      <c r="AD89" s="460"/>
      <c r="AE89" s="166">
        <v>17</v>
      </c>
      <c r="AF89" s="166">
        <v>1218.7241379310342</v>
      </c>
      <c r="AG89" s="166">
        <v>71.689655172413779</v>
      </c>
      <c r="AH89" s="180">
        <f t="shared" si="50"/>
        <v>2</v>
      </c>
      <c r="AI89" s="460"/>
      <c r="AJ89" s="166">
        <v>17</v>
      </c>
      <c r="AK89" s="166">
        <v>1217.2346938775513</v>
      </c>
      <c r="AL89" s="166">
        <v>71.60204081632655</v>
      </c>
      <c r="AM89" s="180">
        <f t="shared" si="52"/>
        <v>2</v>
      </c>
      <c r="AN89" s="460"/>
      <c r="AO89" s="166"/>
      <c r="AP89" s="166"/>
      <c r="AQ89" s="166"/>
      <c r="AR89" s="180" t="e">
        <f t="shared" si="54"/>
        <v>#N/A</v>
      </c>
      <c r="AS89" s="460"/>
      <c r="AT89" s="166"/>
      <c r="AU89" s="166"/>
      <c r="AV89" s="166"/>
      <c r="AW89" s="180" t="e">
        <f t="shared" si="56"/>
        <v>#N/A</v>
      </c>
      <c r="AX89" s="486"/>
    </row>
    <row r="90" spans="2:50">
      <c r="B90" s="479"/>
      <c r="C90" s="180">
        <v>4</v>
      </c>
      <c r="D90" s="201" t="s">
        <v>375</v>
      </c>
      <c r="E90" s="166">
        <v>19</v>
      </c>
      <c r="F90" s="180">
        <v>1440</v>
      </c>
      <c r="G90" s="265">
        <v>84.7</v>
      </c>
      <c r="H90" s="460"/>
      <c r="I90" s="166">
        <f t="shared" si="58"/>
        <v>18.600000000000001</v>
      </c>
      <c r="J90" s="166">
        <f t="shared" si="58"/>
        <v>1138.5843773873175</v>
      </c>
      <c r="K90" s="265">
        <f t="shared" si="58"/>
        <v>61.233764223392654</v>
      </c>
      <c r="L90" s="460"/>
      <c r="M90" s="272">
        <f>RANK(K90, K$87:$K$101)</f>
        <v>9</v>
      </c>
      <c r="N90" s="462"/>
      <c r="O90" s="462"/>
      <c r="P90" s="166">
        <v>19</v>
      </c>
      <c r="Q90" s="166">
        <v>1227.2727272727257</v>
      </c>
      <c r="R90" s="166">
        <v>64.593301435406616</v>
      </c>
      <c r="S90" s="180">
        <f t="shared" si="59"/>
        <v>7</v>
      </c>
      <c r="T90" s="460"/>
      <c r="U90" s="166">
        <v>19</v>
      </c>
      <c r="V90" s="166">
        <v>1188.7499999999984</v>
      </c>
      <c r="W90" s="166">
        <v>62.565789473684127</v>
      </c>
      <c r="X90" s="180">
        <f t="shared" si="46"/>
        <v>9</v>
      </c>
      <c r="Y90" s="460"/>
      <c r="Z90" s="166">
        <v>19</v>
      </c>
      <c r="AA90" s="166">
        <v>1203.999999999998</v>
      </c>
      <c r="AB90" s="166">
        <v>63.368421052631469</v>
      </c>
      <c r="AC90" s="180">
        <f t="shared" si="48"/>
        <v>8</v>
      </c>
      <c r="AD90" s="460"/>
      <c r="AE90" s="166">
        <v>17</v>
      </c>
      <c r="AF90" s="166">
        <v>1056.4285714285722</v>
      </c>
      <c r="AG90" s="166">
        <v>62.142857142857189</v>
      </c>
      <c r="AH90" s="180">
        <f t="shared" si="50"/>
        <v>5</v>
      </c>
      <c r="AI90" s="460"/>
      <c r="AJ90" s="166">
        <v>19</v>
      </c>
      <c r="AK90" s="166">
        <v>1016.4705882352929</v>
      </c>
      <c r="AL90" s="166">
        <v>53.498452012383837</v>
      </c>
      <c r="AM90" s="180">
        <f t="shared" si="52"/>
        <v>10</v>
      </c>
      <c r="AN90" s="460"/>
      <c r="AO90" s="166"/>
      <c r="AP90" s="166"/>
      <c r="AQ90" s="166"/>
      <c r="AR90" s="180" t="e">
        <f t="shared" si="54"/>
        <v>#N/A</v>
      </c>
      <c r="AS90" s="460"/>
      <c r="AT90" s="166"/>
      <c r="AU90" s="166"/>
      <c r="AV90" s="166"/>
      <c r="AW90" s="180" t="e">
        <f t="shared" si="56"/>
        <v>#N/A</v>
      </c>
      <c r="AX90" s="486"/>
    </row>
    <row r="91" spans="2:50">
      <c r="B91" s="479"/>
      <c r="C91" s="180">
        <v>5</v>
      </c>
      <c r="D91" s="201" t="s">
        <v>376</v>
      </c>
      <c r="E91" s="166">
        <v>21</v>
      </c>
      <c r="F91" s="180">
        <v>1385</v>
      </c>
      <c r="G91" s="265">
        <v>65.900000000000006</v>
      </c>
      <c r="H91" s="460"/>
      <c r="I91" s="166">
        <f t="shared" si="58"/>
        <v>20.399999999999999</v>
      </c>
      <c r="J91" s="166">
        <f t="shared" si="58"/>
        <v>1177.0511154215171</v>
      </c>
      <c r="K91" s="265">
        <f t="shared" si="58"/>
        <v>57.802214000171077</v>
      </c>
      <c r="L91" s="460"/>
      <c r="M91" s="272">
        <f>RANK(K91, K$87:$K$101)</f>
        <v>10</v>
      </c>
      <c r="N91" s="462"/>
      <c r="O91" s="462"/>
      <c r="P91" s="166">
        <v>19</v>
      </c>
      <c r="Q91" s="166">
        <v>1201.1009174311935</v>
      </c>
      <c r="R91" s="166">
        <v>63.215837759536498</v>
      </c>
      <c r="S91" s="180">
        <f t="shared" si="59"/>
        <v>10</v>
      </c>
      <c r="T91" s="460"/>
      <c r="U91" s="166">
        <v>20</v>
      </c>
      <c r="V91" s="166">
        <v>1150.904347826083</v>
      </c>
      <c r="W91" s="166">
        <v>57.545217391304149</v>
      </c>
      <c r="X91" s="180">
        <f t="shared" si="46"/>
        <v>10</v>
      </c>
      <c r="Y91" s="460"/>
      <c r="Z91" s="166">
        <v>21</v>
      </c>
      <c r="AA91" s="166">
        <v>1182.5999999999997</v>
      </c>
      <c r="AB91" s="166">
        <v>56.314285714285703</v>
      </c>
      <c r="AC91" s="180">
        <f t="shared" si="48"/>
        <v>10</v>
      </c>
      <c r="AD91" s="460"/>
      <c r="AE91" s="166">
        <v>21</v>
      </c>
      <c r="AF91" s="166">
        <v>1198.5810810810801</v>
      </c>
      <c r="AG91" s="166">
        <v>57.075289575289531</v>
      </c>
      <c r="AH91" s="180">
        <f t="shared" si="50"/>
        <v>10</v>
      </c>
      <c r="AI91" s="460"/>
      <c r="AJ91" s="166">
        <v>21</v>
      </c>
      <c r="AK91" s="166">
        <v>1152.0692307692302</v>
      </c>
      <c r="AL91" s="166">
        <v>54.860439560439531</v>
      </c>
      <c r="AM91" s="180">
        <f t="shared" si="52"/>
        <v>9</v>
      </c>
      <c r="AN91" s="460"/>
      <c r="AO91" s="166"/>
      <c r="AP91" s="166"/>
      <c r="AQ91" s="166"/>
      <c r="AR91" s="180" t="e">
        <f t="shared" si="54"/>
        <v>#N/A</v>
      </c>
      <c r="AS91" s="460"/>
      <c r="AT91" s="166"/>
      <c r="AU91" s="166"/>
      <c r="AV91" s="166"/>
      <c r="AW91" s="180" t="e">
        <f t="shared" si="56"/>
        <v>#N/A</v>
      </c>
      <c r="AX91" s="486"/>
    </row>
    <row r="92" spans="2:50">
      <c r="B92" s="479"/>
      <c r="C92" s="180">
        <v>6</v>
      </c>
      <c r="D92" s="201" t="s">
        <v>377</v>
      </c>
      <c r="E92" s="166">
        <v>19</v>
      </c>
      <c r="F92" s="180">
        <v>1440</v>
      </c>
      <c r="G92" s="265">
        <v>75.8</v>
      </c>
      <c r="H92" s="460"/>
      <c r="I92" s="166">
        <f t="shared" si="58"/>
        <v>19.399999999999999</v>
      </c>
      <c r="J92" s="166">
        <f t="shared" si="58"/>
        <v>1224.0951224317485</v>
      </c>
      <c r="K92" s="265">
        <f t="shared" si="58"/>
        <v>63.154609062763896</v>
      </c>
      <c r="L92" s="460"/>
      <c r="M92" s="272">
        <f>RANK(K92, K$87:$K$101)</f>
        <v>7</v>
      </c>
      <c r="N92" s="462"/>
      <c r="O92" s="462"/>
      <c r="P92" s="166">
        <v>19</v>
      </c>
      <c r="Q92" s="166">
        <v>1225.7205882352957</v>
      </c>
      <c r="R92" s="166">
        <v>64.511609907120828</v>
      </c>
      <c r="S92" s="180">
        <f t="shared" si="59"/>
        <v>8</v>
      </c>
      <c r="T92" s="460"/>
      <c r="U92" s="166">
        <v>19</v>
      </c>
      <c r="V92" s="166">
        <v>1250.9999999999995</v>
      </c>
      <c r="W92" s="166">
        <v>65.842105263157876</v>
      </c>
      <c r="X92" s="180">
        <f t="shared" si="46"/>
        <v>7</v>
      </c>
      <c r="Y92" s="460"/>
      <c r="Z92" s="166">
        <v>19</v>
      </c>
      <c r="AA92" s="166">
        <v>1228</v>
      </c>
      <c r="AB92" s="166">
        <v>64.631578947368425</v>
      </c>
      <c r="AC92" s="180">
        <f t="shared" si="48"/>
        <v>7</v>
      </c>
      <c r="AD92" s="460"/>
      <c r="AE92" s="166">
        <v>20</v>
      </c>
      <c r="AF92" s="166">
        <v>1193.0181818181829</v>
      </c>
      <c r="AG92" s="166">
        <v>59.650909090909146</v>
      </c>
      <c r="AH92" s="180">
        <f t="shared" si="50"/>
        <v>7</v>
      </c>
      <c r="AI92" s="460"/>
      <c r="AJ92" s="166">
        <v>20</v>
      </c>
      <c r="AK92" s="166">
        <v>1222.7368421052643</v>
      </c>
      <c r="AL92" s="166">
        <v>61.136842105263213</v>
      </c>
      <c r="AM92" s="180">
        <f t="shared" si="52"/>
        <v>7</v>
      </c>
      <c r="AN92" s="460"/>
      <c r="AO92" s="166"/>
      <c r="AP92" s="166"/>
      <c r="AQ92" s="166"/>
      <c r="AR92" s="180" t="e">
        <f t="shared" si="54"/>
        <v>#N/A</v>
      </c>
      <c r="AS92" s="460"/>
      <c r="AT92" s="166"/>
      <c r="AU92" s="166"/>
      <c r="AV92" s="166"/>
      <c r="AW92" s="180" t="e">
        <f t="shared" si="56"/>
        <v>#N/A</v>
      </c>
      <c r="AX92" s="486"/>
    </row>
    <row r="93" spans="2:50">
      <c r="B93" s="479"/>
      <c r="C93" s="180">
        <v>7</v>
      </c>
      <c r="D93" s="201" t="s">
        <v>454</v>
      </c>
      <c r="E93" s="166">
        <v>18</v>
      </c>
      <c r="F93" s="180">
        <v>1385</v>
      </c>
      <c r="G93" s="265">
        <v>76.900000000000006</v>
      </c>
      <c r="H93" s="460"/>
      <c r="I93" s="166">
        <f t="shared" si="58"/>
        <v>18</v>
      </c>
      <c r="J93" s="166">
        <f t="shared" si="58"/>
        <v>1177.8311743235206</v>
      </c>
      <c r="K93" s="265">
        <f t="shared" si="58"/>
        <v>65.627944148162257</v>
      </c>
      <c r="L93" s="460"/>
      <c r="M93" s="272">
        <f>RANK(K93, K$87:$K$101)</f>
        <v>6</v>
      </c>
      <c r="N93" s="462"/>
      <c r="O93" s="462"/>
      <c r="P93" s="166">
        <v>17</v>
      </c>
      <c r="Q93" s="166">
        <v>1208.6746987951803</v>
      </c>
      <c r="R93" s="166">
        <v>71.098511693834141</v>
      </c>
      <c r="S93" s="180">
        <f t="shared" si="59"/>
        <v>3</v>
      </c>
      <c r="T93" s="460"/>
      <c r="U93" s="166">
        <v>17</v>
      </c>
      <c r="V93" s="166">
        <v>1177.731958762887</v>
      </c>
      <c r="W93" s="166">
        <v>69.278350515463941</v>
      </c>
      <c r="X93" s="180">
        <f t="shared" si="46"/>
        <v>3</v>
      </c>
      <c r="Y93" s="460"/>
      <c r="Z93" s="166">
        <v>18</v>
      </c>
      <c r="AA93" s="166">
        <v>1165.4117647058822</v>
      </c>
      <c r="AB93" s="166">
        <v>64.745098039215677</v>
      </c>
      <c r="AC93" s="180">
        <f t="shared" si="48"/>
        <v>6</v>
      </c>
      <c r="AD93" s="460"/>
      <c r="AE93" s="166">
        <v>19</v>
      </c>
      <c r="AF93" s="166">
        <v>1162.8169014084497</v>
      </c>
      <c r="AG93" s="166">
        <v>61.200889547813141</v>
      </c>
      <c r="AH93" s="180">
        <f t="shared" si="50"/>
        <v>6</v>
      </c>
      <c r="AI93" s="460"/>
      <c r="AJ93" s="166">
        <v>19</v>
      </c>
      <c r="AK93" s="166">
        <v>1174.5205479452045</v>
      </c>
      <c r="AL93" s="166">
        <v>61.81687094448445</v>
      </c>
      <c r="AM93" s="180">
        <f t="shared" si="52"/>
        <v>6</v>
      </c>
      <c r="AN93" s="460"/>
      <c r="AO93" s="166"/>
      <c r="AP93" s="166"/>
      <c r="AQ93" s="166"/>
      <c r="AR93" s="180" t="e">
        <f t="shared" si="54"/>
        <v>#N/A</v>
      </c>
      <c r="AS93" s="460"/>
      <c r="AT93" s="166"/>
      <c r="AU93" s="166"/>
      <c r="AV93" s="166"/>
      <c r="AW93" s="180" t="e">
        <f t="shared" si="56"/>
        <v>#N/A</v>
      </c>
      <c r="AX93" s="486"/>
    </row>
    <row r="94" spans="2:50">
      <c r="B94" s="479"/>
      <c r="C94" s="180">
        <v>8</v>
      </c>
      <c r="D94" s="201" t="s">
        <v>457</v>
      </c>
      <c r="E94" s="166">
        <v>18</v>
      </c>
      <c r="F94" s="180">
        <v>1385</v>
      </c>
      <c r="G94" s="265">
        <v>76.900000000000006</v>
      </c>
      <c r="H94" s="460"/>
      <c r="I94" s="166">
        <f t="shared" si="58"/>
        <v>19.399999999999999</v>
      </c>
      <c r="J94" s="166">
        <f t="shared" si="58"/>
        <v>1189.2314303662638</v>
      </c>
      <c r="K94" s="265">
        <f t="shared" si="58"/>
        <v>61.356402543243938</v>
      </c>
      <c r="L94" s="460"/>
      <c r="M94" s="272">
        <f>RANK(K94, K$87:$K$101)</f>
        <v>8</v>
      </c>
      <c r="N94" s="462"/>
      <c r="O94" s="462"/>
      <c r="P94" s="166">
        <v>19</v>
      </c>
      <c r="Q94" s="166">
        <v>1215.6000000000004</v>
      </c>
      <c r="R94" s="166">
        <v>63.978947368421075</v>
      </c>
      <c r="S94" s="180">
        <f t="shared" si="59"/>
        <v>9</v>
      </c>
      <c r="T94" s="460"/>
      <c r="U94" s="166">
        <v>19</v>
      </c>
      <c r="V94" s="166">
        <v>1193.0000000000011</v>
      </c>
      <c r="W94" s="166">
        <v>62.789473684210584</v>
      </c>
      <c r="X94" s="180">
        <f t="shared" si="46"/>
        <v>8</v>
      </c>
      <c r="Y94" s="460"/>
      <c r="Z94" s="166">
        <v>19</v>
      </c>
      <c r="AA94" s="166">
        <v>1191.578947368422</v>
      </c>
      <c r="AB94" s="166">
        <v>62.714681440443258</v>
      </c>
      <c r="AC94" s="180">
        <f t="shared" si="48"/>
        <v>9</v>
      </c>
      <c r="AD94" s="460"/>
      <c r="AE94" s="166">
        <v>20</v>
      </c>
      <c r="AF94" s="166">
        <v>1186.8292682926826</v>
      </c>
      <c r="AG94" s="166">
        <v>59.341463414634134</v>
      </c>
      <c r="AH94" s="180">
        <f t="shared" si="50"/>
        <v>8</v>
      </c>
      <c r="AI94" s="460"/>
      <c r="AJ94" s="166">
        <v>20</v>
      </c>
      <c r="AK94" s="166">
        <v>1159.1489361702129</v>
      </c>
      <c r="AL94" s="166">
        <v>57.957446808510646</v>
      </c>
      <c r="AM94" s="180">
        <f t="shared" si="52"/>
        <v>8</v>
      </c>
      <c r="AN94" s="460"/>
      <c r="AO94" s="166"/>
      <c r="AP94" s="166"/>
      <c r="AQ94" s="166"/>
      <c r="AR94" s="180" t="e">
        <f t="shared" si="54"/>
        <v>#N/A</v>
      </c>
      <c r="AS94" s="460"/>
      <c r="AT94" s="166"/>
      <c r="AU94" s="166"/>
      <c r="AV94" s="166"/>
      <c r="AW94" s="180" t="e">
        <f t="shared" si="56"/>
        <v>#N/A</v>
      </c>
      <c r="AX94" s="486"/>
    </row>
    <row r="95" spans="2:50">
      <c r="B95" s="479"/>
      <c r="C95" s="180">
        <v>9</v>
      </c>
      <c r="D95" s="201" t="s">
        <v>524</v>
      </c>
      <c r="E95" s="166">
        <v>16</v>
      </c>
      <c r="F95" s="180">
        <v>1440</v>
      </c>
      <c r="G95" s="265">
        <v>90</v>
      </c>
      <c r="H95" s="460"/>
      <c r="I95" s="166">
        <f t="shared" si="58"/>
        <v>17</v>
      </c>
      <c r="J95" s="166">
        <f t="shared" si="58"/>
        <v>1231.7800486419162</v>
      </c>
      <c r="K95" s="265">
        <f t="shared" si="58"/>
        <v>72.457649920112729</v>
      </c>
      <c r="L95" s="460"/>
      <c r="M95" s="272">
        <f>RANK(K95, K$87:$K$101)</f>
        <v>1</v>
      </c>
      <c r="N95" s="462"/>
      <c r="O95" s="462"/>
      <c r="P95" s="166">
        <v>17</v>
      </c>
      <c r="Q95" s="166">
        <v>1234.0425531914896</v>
      </c>
      <c r="R95" s="166">
        <v>72.590738423028796</v>
      </c>
      <c r="S95" s="180">
        <f t="shared" si="59"/>
        <v>2</v>
      </c>
      <c r="T95" s="460"/>
      <c r="U95" s="166">
        <v>17</v>
      </c>
      <c r="V95" s="166">
        <v>1246.8292682926826</v>
      </c>
      <c r="W95" s="166">
        <v>73.342898134863688</v>
      </c>
      <c r="X95" s="180">
        <f t="shared" si="46"/>
        <v>1</v>
      </c>
      <c r="Y95" s="460"/>
      <c r="Z95" s="166">
        <v>17</v>
      </c>
      <c r="AA95" s="166">
        <v>1198.3018867924525</v>
      </c>
      <c r="AB95" s="166">
        <v>70.488346281908974</v>
      </c>
      <c r="AC95" s="180">
        <f t="shared" si="48"/>
        <v>2</v>
      </c>
      <c r="AD95" s="460"/>
      <c r="AE95" s="166">
        <v>17</v>
      </c>
      <c r="AF95" s="166">
        <v>1234.0384615384612</v>
      </c>
      <c r="AG95" s="166">
        <v>72.590497737556547</v>
      </c>
      <c r="AH95" s="180">
        <f t="shared" si="50"/>
        <v>1</v>
      </c>
      <c r="AI95" s="460"/>
      <c r="AJ95" s="166">
        <v>17</v>
      </c>
      <c r="AK95" s="166">
        <v>1245.6880733944952</v>
      </c>
      <c r="AL95" s="166">
        <v>73.275769023205598</v>
      </c>
      <c r="AM95" s="180">
        <f t="shared" si="52"/>
        <v>1</v>
      </c>
      <c r="AN95" s="460"/>
      <c r="AO95" s="166"/>
      <c r="AP95" s="166"/>
      <c r="AQ95" s="166"/>
      <c r="AR95" s="180" t="e">
        <f t="shared" si="54"/>
        <v>#N/A</v>
      </c>
      <c r="AS95" s="460"/>
      <c r="AT95" s="166"/>
      <c r="AU95" s="166"/>
      <c r="AV95" s="166"/>
      <c r="AW95" s="180" t="e">
        <f t="shared" si="56"/>
        <v>#N/A</v>
      </c>
      <c r="AX95" s="486"/>
    </row>
    <row r="96" spans="2:50">
      <c r="B96" s="479"/>
      <c r="C96" s="180">
        <v>10</v>
      </c>
      <c r="D96" s="201" t="s">
        <v>755</v>
      </c>
      <c r="E96" s="166">
        <v>18</v>
      </c>
      <c r="F96" s="180">
        <v>1300</v>
      </c>
      <c r="G96" s="265">
        <v>72.222222222222229</v>
      </c>
      <c r="H96" s="460"/>
      <c r="I96" s="166">
        <f t="shared" si="58"/>
        <v>18</v>
      </c>
      <c r="J96" s="166">
        <f t="shared" si="58"/>
        <v>1239.4634139835111</v>
      </c>
      <c r="K96" s="265">
        <f t="shared" si="58"/>
        <v>68.85907855463951</v>
      </c>
      <c r="L96" s="460"/>
      <c r="M96" s="272">
        <f>RANK(K96, K$87:$K$101)</f>
        <v>3</v>
      </c>
      <c r="N96" s="462"/>
      <c r="O96" s="462"/>
      <c r="P96" s="166">
        <v>18</v>
      </c>
      <c r="Q96" s="166">
        <v>1270.9787234042556</v>
      </c>
      <c r="R96" s="166">
        <v>70.609929078014204</v>
      </c>
      <c r="S96" s="180">
        <f t="shared" si="59"/>
        <v>4</v>
      </c>
      <c r="T96" s="460"/>
      <c r="U96" s="166">
        <v>18</v>
      </c>
      <c r="V96" s="166">
        <v>1237.4400000000003</v>
      </c>
      <c r="W96" s="166">
        <v>68.746666666666684</v>
      </c>
      <c r="X96" s="180">
        <f t="shared" si="46"/>
        <v>4</v>
      </c>
      <c r="Y96" s="460"/>
      <c r="Z96" s="166">
        <v>18</v>
      </c>
      <c r="AA96" s="166">
        <v>1234.9906542056074</v>
      </c>
      <c r="AB96" s="166">
        <v>68.610591900311519</v>
      </c>
      <c r="AC96" s="180">
        <f t="shared" si="48"/>
        <v>3</v>
      </c>
      <c r="AD96" s="460"/>
      <c r="AE96" s="166">
        <v>18</v>
      </c>
      <c r="AF96" s="166">
        <v>1225.1076923076926</v>
      </c>
      <c r="AG96" s="166">
        <v>68.061538461538476</v>
      </c>
      <c r="AH96" s="180">
        <f t="shared" si="50"/>
        <v>4</v>
      </c>
      <c r="AI96" s="460"/>
      <c r="AJ96" s="166">
        <v>18</v>
      </c>
      <c r="AK96" s="166">
        <v>1228.7999999999997</v>
      </c>
      <c r="AL96" s="166">
        <v>68.266666666666652</v>
      </c>
      <c r="AM96" s="180">
        <f t="shared" si="52"/>
        <v>4</v>
      </c>
      <c r="AN96" s="460"/>
      <c r="AO96" s="166"/>
      <c r="AP96" s="166"/>
      <c r="AQ96" s="166"/>
      <c r="AR96" s="180" t="e">
        <f t="shared" si="54"/>
        <v>#N/A</v>
      </c>
      <c r="AS96" s="460"/>
      <c r="AT96" s="166"/>
      <c r="AU96" s="166"/>
      <c r="AV96" s="166"/>
      <c r="AW96" s="180" t="e">
        <f t="shared" si="56"/>
        <v>#N/A</v>
      </c>
      <c r="AX96" s="486"/>
    </row>
    <row r="97" spans="2:50">
      <c r="B97" s="479"/>
      <c r="C97" s="180">
        <v>11</v>
      </c>
      <c r="D97" s="201"/>
      <c r="E97" s="166"/>
      <c r="F97" s="180"/>
      <c r="G97" s="265"/>
      <c r="H97" s="460"/>
      <c r="I97" s="166"/>
      <c r="J97" s="166"/>
      <c r="K97" s="265"/>
      <c r="L97" s="460"/>
      <c r="M97" s="272" t="e">
        <f>RANK(K97, K$87:$K$101)</f>
        <v>#N/A</v>
      </c>
      <c r="N97" s="462"/>
      <c r="O97" s="462"/>
      <c r="P97" s="180"/>
      <c r="Q97" s="265"/>
      <c r="R97" s="265"/>
      <c r="S97" s="180" t="e">
        <f t="shared" si="59"/>
        <v>#N/A</v>
      </c>
      <c r="T97" s="460"/>
      <c r="U97" s="180"/>
      <c r="V97" s="265"/>
      <c r="W97" s="265"/>
      <c r="X97" s="180" t="e">
        <f t="shared" si="46"/>
        <v>#N/A</v>
      </c>
      <c r="Y97" s="460"/>
      <c r="Z97" s="180"/>
      <c r="AA97" s="265"/>
      <c r="AB97" s="265"/>
      <c r="AC97" s="180" t="e">
        <f t="shared" si="48"/>
        <v>#N/A</v>
      </c>
      <c r="AD97" s="460"/>
      <c r="AE97" s="180"/>
      <c r="AF97" s="265"/>
      <c r="AG97" s="265"/>
      <c r="AH97" s="180" t="e">
        <f t="shared" si="50"/>
        <v>#N/A</v>
      </c>
      <c r="AI97" s="460"/>
      <c r="AJ97" s="180"/>
      <c r="AK97" s="265"/>
      <c r="AL97" s="265"/>
      <c r="AM97" s="180" t="e">
        <f t="shared" si="52"/>
        <v>#N/A</v>
      </c>
      <c r="AN97" s="460"/>
      <c r="AO97" s="180"/>
      <c r="AP97" s="265"/>
      <c r="AQ97" s="265"/>
      <c r="AR97" s="180" t="e">
        <f t="shared" si="54"/>
        <v>#N/A</v>
      </c>
      <c r="AS97" s="460"/>
      <c r="AT97" s="180"/>
      <c r="AU97" s="265"/>
      <c r="AV97" s="265"/>
      <c r="AW97" s="180" t="e">
        <f t="shared" si="56"/>
        <v>#N/A</v>
      </c>
      <c r="AX97" s="486"/>
    </row>
    <row r="98" spans="2:50">
      <c r="B98" s="479"/>
      <c r="C98" s="180">
        <v>12</v>
      </c>
      <c r="D98" s="201"/>
      <c r="E98" s="166"/>
      <c r="F98" s="180"/>
      <c r="G98" s="265"/>
      <c r="H98" s="460"/>
      <c r="I98" s="166"/>
      <c r="J98" s="166"/>
      <c r="K98" s="265"/>
      <c r="L98" s="460"/>
      <c r="M98" s="272" t="e">
        <f>RANK(K98, K$87:$K$101)</f>
        <v>#N/A</v>
      </c>
      <c r="N98" s="462"/>
      <c r="O98" s="462"/>
      <c r="P98" s="180"/>
      <c r="Q98" s="265"/>
      <c r="R98" s="265"/>
      <c r="S98" s="180" t="e">
        <f t="shared" si="59"/>
        <v>#N/A</v>
      </c>
      <c r="T98" s="460"/>
      <c r="U98" s="180"/>
      <c r="V98" s="265"/>
      <c r="W98" s="265"/>
      <c r="X98" s="180" t="e">
        <f t="shared" si="46"/>
        <v>#N/A</v>
      </c>
      <c r="Y98" s="460"/>
      <c r="Z98" s="180"/>
      <c r="AA98" s="265"/>
      <c r="AB98" s="265"/>
      <c r="AC98" s="180" t="e">
        <f t="shared" si="48"/>
        <v>#N/A</v>
      </c>
      <c r="AD98" s="460"/>
      <c r="AE98" s="180"/>
      <c r="AF98" s="265"/>
      <c r="AG98" s="265"/>
      <c r="AH98" s="180" t="e">
        <f t="shared" si="50"/>
        <v>#N/A</v>
      </c>
      <c r="AI98" s="460"/>
      <c r="AJ98" s="180"/>
      <c r="AK98" s="265"/>
      <c r="AL98" s="265"/>
      <c r="AM98" s="180" t="e">
        <f t="shared" si="52"/>
        <v>#N/A</v>
      </c>
      <c r="AN98" s="460"/>
      <c r="AO98" s="180"/>
      <c r="AP98" s="265"/>
      <c r="AQ98" s="265"/>
      <c r="AR98" s="180" t="e">
        <f t="shared" si="54"/>
        <v>#N/A</v>
      </c>
      <c r="AS98" s="460"/>
      <c r="AT98" s="180"/>
      <c r="AU98" s="265"/>
      <c r="AV98" s="265"/>
      <c r="AW98" s="180" t="e">
        <f t="shared" si="56"/>
        <v>#N/A</v>
      </c>
      <c r="AX98" s="486"/>
    </row>
    <row r="99" spans="2:50">
      <c r="B99" s="479"/>
      <c r="C99" s="180">
        <v>13</v>
      </c>
      <c r="D99" s="201"/>
      <c r="E99" s="166"/>
      <c r="F99" s="180"/>
      <c r="G99" s="265"/>
      <c r="H99" s="460"/>
      <c r="I99" s="180"/>
      <c r="J99" s="180"/>
      <c r="K99" s="180"/>
      <c r="L99" s="460"/>
      <c r="M99" s="272" t="e">
        <f>RANK(K99, K$87:$K$101)</f>
        <v>#N/A</v>
      </c>
      <c r="N99" s="462"/>
      <c r="O99" s="462"/>
      <c r="P99" s="180"/>
      <c r="Q99" s="265"/>
      <c r="R99" s="265"/>
      <c r="S99" s="180" t="e">
        <f t="shared" si="59"/>
        <v>#N/A</v>
      </c>
      <c r="T99" s="460"/>
      <c r="U99" s="180"/>
      <c r="V99" s="265"/>
      <c r="W99" s="265"/>
      <c r="X99" s="180" t="e">
        <f t="shared" si="46"/>
        <v>#N/A</v>
      </c>
      <c r="Y99" s="460"/>
      <c r="Z99" s="180"/>
      <c r="AA99" s="265"/>
      <c r="AB99" s="265"/>
      <c r="AC99" s="180" t="e">
        <f t="shared" si="48"/>
        <v>#N/A</v>
      </c>
      <c r="AD99" s="460"/>
      <c r="AE99" s="180"/>
      <c r="AF99" s="265"/>
      <c r="AG99" s="265"/>
      <c r="AH99" s="180" t="e">
        <f t="shared" si="50"/>
        <v>#N/A</v>
      </c>
      <c r="AI99" s="460"/>
      <c r="AJ99" s="180"/>
      <c r="AK99" s="265"/>
      <c r="AL99" s="265"/>
      <c r="AM99" s="180" t="e">
        <f t="shared" si="52"/>
        <v>#N/A</v>
      </c>
      <c r="AN99" s="460"/>
      <c r="AO99" s="180"/>
      <c r="AP99" s="265"/>
      <c r="AQ99" s="265"/>
      <c r="AR99" s="180" t="e">
        <f t="shared" si="54"/>
        <v>#N/A</v>
      </c>
      <c r="AS99" s="460"/>
      <c r="AT99" s="180"/>
      <c r="AU99" s="265"/>
      <c r="AV99" s="265"/>
      <c r="AW99" s="180" t="e">
        <f t="shared" si="56"/>
        <v>#N/A</v>
      </c>
      <c r="AX99" s="486"/>
    </row>
    <row r="100" spans="2:50">
      <c r="B100" s="479"/>
      <c r="C100" s="180">
        <v>14</v>
      </c>
      <c r="D100" s="201"/>
      <c r="E100" s="166"/>
      <c r="F100" s="180"/>
      <c r="G100" s="265"/>
      <c r="H100" s="460"/>
      <c r="I100" s="180"/>
      <c r="J100" s="180"/>
      <c r="K100" s="180"/>
      <c r="L100" s="460"/>
      <c r="M100" s="272" t="e">
        <f>RANK(K100, K$87:$K$101)</f>
        <v>#N/A</v>
      </c>
      <c r="N100" s="462"/>
      <c r="O100" s="462"/>
      <c r="P100" s="180"/>
      <c r="Q100" s="265"/>
      <c r="R100" s="265"/>
      <c r="S100" s="180" t="e">
        <f t="shared" si="59"/>
        <v>#N/A</v>
      </c>
      <c r="T100" s="460"/>
      <c r="U100" s="180"/>
      <c r="V100" s="265"/>
      <c r="W100" s="265"/>
      <c r="X100" s="180" t="e">
        <f t="shared" si="46"/>
        <v>#N/A</v>
      </c>
      <c r="Y100" s="460"/>
      <c r="Z100" s="180"/>
      <c r="AA100" s="265"/>
      <c r="AB100" s="265"/>
      <c r="AC100" s="180" t="e">
        <f t="shared" si="48"/>
        <v>#N/A</v>
      </c>
      <c r="AD100" s="460"/>
      <c r="AE100" s="180"/>
      <c r="AF100" s="265"/>
      <c r="AG100" s="265"/>
      <c r="AH100" s="180" t="e">
        <f t="shared" si="50"/>
        <v>#N/A</v>
      </c>
      <c r="AI100" s="460"/>
      <c r="AJ100" s="180"/>
      <c r="AK100" s="265"/>
      <c r="AL100" s="265"/>
      <c r="AM100" s="180" t="e">
        <f t="shared" si="52"/>
        <v>#N/A</v>
      </c>
      <c r="AN100" s="460"/>
      <c r="AO100" s="180"/>
      <c r="AP100" s="265"/>
      <c r="AQ100" s="265"/>
      <c r="AR100" s="180" t="e">
        <f t="shared" si="54"/>
        <v>#N/A</v>
      </c>
      <c r="AS100" s="460"/>
      <c r="AT100" s="180"/>
      <c r="AU100" s="265"/>
      <c r="AV100" s="265"/>
      <c r="AW100" s="180" t="e">
        <f t="shared" si="56"/>
        <v>#N/A</v>
      </c>
      <c r="AX100" s="486"/>
    </row>
    <row r="101" spans="2:50">
      <c r="B101" s="479"/>
      <c r="C101" s="180">
        <v>15</v>
      </c>
      <c r="D101" s="201"/>
      <c r="E101" s="166"/>
      <c r="F101" s="180"/>
      <c r="G101" s="265"/>
      <c r="H101" s="461"/>
      <c r="I101" s="180"/>
      <c r="J101" s="180"/>
      <c r="K101" s="180"/>
      <c r="L101" s="461"/>
      <c r="M101" s="166" t="e">
        <f>RANK(K101, K$87:$K$101)</f>
        <v>#N/A</v>
      </c>
      <c r="N101" s="462"/>
      <c r="O101" s="462"/>
      <c r="P101" s="180"/>
      <c r="Q101" s="265"/>
      <c r="R101" s="265"/>
      <c r="S101" s="180" t="e">
        <f t="shared" si="59"/>
        <v>#N/A</v>
      </c>
      <c r="T101" s="461"/>
      <c r="U101" s="180"/>
      <c r="V101" s="265"/>
      <c r="W101" s="265"/>
      <c r="X101" s="180" t="e">
        <f t="shared" si="46"/>
        <v>#N/A</v>
      </c>
      <c r="Y101" s="461"/>
      <c r="Z101" s="180"/>
      <c r="AA101" s="265"/>
      <c r="AB101" s="265"/>
      <c r="AC101" s="180" t="e">
        <f t="shared" si="48"/>
        <v>#N/A</v>
      </c>
      <c r="AD101" s="461"/>
      <c r="AE101" s="180"/>
      <c r="AF101" s="265"/>
      <c r="AG101" s="265"/>
      <c r="AH101" s="180" t="e">
        <f t="shared" si="50"/>
        <v>#N/A</v>
      </c>
      <c r="AI101" s="461"/>
      <c r="AJ101" s="180"/>
      <c r="AK101" s="265"/>
      <c r="AL101" s="265"/>
      <c r="AM101" s="180" t="e">
        <f t="shared" si="52"/>
        <v>#N/A</v>
      </c>
      <c r="AN101" s="461"/>
      <c r="AO101" s="180"/>
      <c r="AP101" s="265"/>
      <c r="AQ101" s="265"/>
      <c r="AR101" s="180" t="e">
        <f t="shared" si="54"/>
        <v>#N/A</v>
      </c>
      <c r="AS101" s="461"/>
      <c r="AT101" s="180"/>
      <c r="AU101" s="265"/>
      <c r="AV101" s="265"/>
      <c r="AW101" s="180" t="e">
        <f t="shared" si="56"/>
        <v>#N/A</v>
      </c>
      <c r="AX101" s="486"/>
    </row>
    <row r="102" spans="2:50" ht="15.75">
      <c r="B102" s="480" t="s">
        <v>721</v>
      </c>
      <c r="C102" s="481"/>
      <c r="D102" s="481"/>
      <c r="E102" s="481"/>
      <c r="F102" s="481"/>
      <c r="G102" s="481"/>
      <c r="H102" s="481"/>
      <c r="I102" s="184"/>
      <c r="J102" s="184"/>
      <c r="K102" s="184"/>
      <c r="L102" s="184"/>
      <c r="M102" s="183"/>
      <c r="N102" s="469" t="s">
        <v>722</v>
      </c>
      <c r="O102" s="469" t="s">
        <v>723</v>
      </c>
      <c r="P102" s="478">
        <f>P82+7</f>
        <v>46084</v>
      </c>
      <c r="Q102" s="479"/>
      <c r="R102" s="479"/>
      <c r="S102" s="479"/>
      <c r="T102" s="479"/>
      <c r="U102" s="475">
        <f>P102+1</f>
        <v>46085</v>
      </c>
      <c r="V102" s="476"/>
      <c r="W102" s="476"/>
      <c r="X102" s="476"/>
      <c r="Y102" s="477"/>
      <c r="Z102" s="475">
        <f>U102+1</f>
        <v>46086</v>
      </c>
      <c r="AA102" s="476"/>
      <c r="AB102" s="476"/>
      <c r="AC102" s="476"/>
      <c r="AD102" s="477"/>
      <c r="AE102" s="475">
        <f>Z102+1</f>
        <v>46087</v>
      </c>
      <c r="AF102" s="476"/>
      <c r="AG102" s="476"/>
      <c r="AH102" s="476"/>
      <c r="AI102" s="477"/>
      <c r="AJ102" s="475">
        <f>AE102+1</f>
        <v>46088</v>
      </c>
      <c r="AK102" s="476"/>
      <c r="AL102" s="476"/>
      <c r="AM102" s="476"/>
      <c r="AN102" s="477"/>
      <c r="AO102" s="475">
        <f>AJ102+1</f>
        <v>46089</v>
      </c>
      <c r="AP102" s="476"/>
      <c r="AQ102" s="476"/>
      <c r="AR102" s="476"/>
      <c r="AS102" s="477"/>
      <c r="AT102" s="475">
        <f>AO102+1</f>
        <v>46090</v>
      </c>
      <c r="AU102" s="476"/>
      <c r="AV102" s="476"/>
      <c r="AW102" s="476"/>
      <c r="AX102" s="477"/>
    </row>
    <row r="103" spans="2:50" ht="15.75">
      <c r="B103" s="482"/>
      <c r="C103" s="482"/>
      <c r="D103" s="482"/>
      <c r="E103" s="482"/>
      <c r="F103" s="482"/>
      <c r="G103" s="482"/>
      <c r="H103" s="482"/>
      <c r="I103" s="182"/>
      <c r="J103" s="182"/>
      <c r="K103" s="182"/>
      <c r="L103" s="182"/>
      <c r="M103" s="179"/>
      <c r="N103" s="471"/>
      <c r="O103" s="471"/>
      <c r="P103" s="478" t="s">
        <v>724</v>
      </c>
      <c r="Q103" s="479"/>
      <c r="R103" s="479"/>
      <c r="S103" s="479"/>
      <c r="T103" s="479"/>
      <c r="U103" s="478" t="s">
        <v>725</v>
      </c>
      <c r="V103" s="479"/>
      <c r="W103" s="479"/>
      <c r="X103" s="479"/>
      <c r="Y103" s="479"/>
      <c r="Z103" s="478" t="s">
        <v>726</v>
      </c>
      <c r="AA103" s="479"/>
      <c r="AB103" s="479"/>
      <c r="AC103" s="479"/>
      <c r="AD103" s="479"/>
      <c r="AE103" s="478" t="s">
        <v>727</v>
      </c>
      <c r="AF103" s="479"/>
      <c r="AG103" s="479"/>
      <c r="AH103" s="479"/>
      <c r="AI103" s="479"/>
      <c r="AJ103" s="478" t="s">
        <v>728</v>
      </c>
      <c r="AK103" s="479"/>
      <c r="AL103" s="479"/>
      <c r="AM103" s="479"/>
      <c r="AN103" s="479"/>
      <c r="AO103" s="478" t="s">
        <v>729</v>
      </c>
      <c r="AP103" s="479"/>
      <c r="AQ103" s="479"/>
      <c r="AR103" s="479"/>
      <c r="AS103" s="479"/>
      <c r="AT103" s="478" t="s">
        <v>730</v>
      </c>
      <c r="AU103" s="479"/>
      <c r="AV103" s="479"/>
      <c r="AW103" s="479"/>
      <c r="AX103" s="479"/>
    </row>
    <row r="104" spans="2:50">
      <c r="B104" s="462" t="s">
        <v>731</v>
      </c>
      <c r="C104" s="462" t="s">
        <v>732</v>
      </c>
      <c r="D104" s="462"/>
      <c r="E104" s="462" t="s">
        <v>733</v>
      </c>
      <c r="F104" s="462"/>
      <c r="G104" s="462"/>
      <c r="H104" s="463" t="s">
        <v>734</v>
      </c>
      <c r="I104" s="462" t="s">
        <v>735</v>
      </c>
      <c r="J104" s="462"/>
      <c r="K104" s="462"/>
      <c r="L104" s="463" t="s">
        <v>734</v>
      </c>
      <c r="M104" s="469" t="s">
        <v>736</v>
      </c>
      <c r="N104" s="462"/>
      <c r="O104" s="462" t="s">
        <v>737</v>
      </c>
      <c r="P104" s="466" t="s">
        <v>738</v>
      </c>
      <c r="Q104" s="467"/>
      <c r="R104" s="467"/>
      <c r="S104" s="468"/>
      <c r="T104" s="462" t="s">
        <v>734</v>
      </c>
      <c r="U104" s="466" t="s">
        <v>738</v>
      </c>
      <c r="V104" s="467"/>
      <c r="W104" s="467"/>
      <c r="X104" s="468"/>
      <c r="Y104" s="462" t="s">
        <v>734</v>
      </c>
      <c r="Z104" s="466" t="s">
        <v>738</v>
      </c>
      <c r="AA104" s="467"/>
      <c r="AB104" s="467"/>
      <c r="AC104" s="468"/>
      <c r="AD104" s="462" t="s">
        <v>734</v>
      </c>
      <c r="AE104" s="466" t="s">
        <v>738</v>
      </c>
      <c r="AF104" s="467"/>
      <c r="AG104" s="467"/>
      <c r="AH104" s="468"/>
      <c r="AI104" s="462" t="s">
        <v>734</v>
      </c>
      <c r="AJ104" s="466" t="s">
        <v>738</v>
      </c>
      <c r="AK104" s="467"/>
      <c r="AL104" s="467"/>
      <c r="AM104" s="468"/>
      <c r="AN104" s="462" t="s">
        <v>734</v>
      </c>
      <c r="AO104" s="466" t="s">
        <v>738</v>
      </c>
      <c r="AP104" s="467"/>
      <c r="AQ104" s="467"/>
      <c r="AR104" s="468"/>
      <c r="AS104" s="462" t="s">
        <v>734</v>
      </c>
      <c r="AT104" s="466" t="s">
        <v>738</v>
      </c>
      <c r="AU104" s="467"/>
      <c r="AV104" s="467"/>
      <c r="AW104" s="468"/>
      <c r="AX104" s="462" t="s">
        <v>734</v>
      </c>
    </row>
    <row r="105" spans="2:50">
      <c r="B105" s="462"/>
      <c r="C105" s="462"/>
      <c r="D105" s="462"/>
      <c r="E105" s="462" t="s">
        <v>739</v>
      </c>
      <c r="F105" s="462"/>
      <c r="G105" s="462"/>
      <c r="H105" s="464"/>
      <c r="I105" s="462" t="s">
        <v>739</v>
      </c>
      <c r="J105" s="462"/>
      <c r="K105" s="462"/>
      <c r="L105" s="464"/>
      <c r="M105" s="470"/>
      <c r="N105" s="462"/>
      <c r="O105" s="462"/>
      <c r="P105" s="466" t="s">
        <v>740</v>
      </c>
      <c r="Q105" s="467"/>
      <c r="R105" s="467"/>
      <c r="S105" s="468"/>
      <c r="T105" s="462"/>
      <c r="U105" s="466" t="s">
        <v>740</v>
      </c>
      <c r="V105" s="467"/>
      <c r="W105" s="467"/>
      <c r="X105" s="468"/>
      <c r="Y105" s="462"/>
      <c r="Z105" s="466" t="s">
        <v>740</v>
      </c>
      <c r="AA105" s="467"/>
      <c r="AB105" s="467"/>
      <c r="AC105" s="468"/>
      <c r="AD105" s="462"/>
      <c r="AE105" s="466" t="s">
        <v>740</v>
      </c>
      <c r="AF105" s="467"/>
      <c r="AG105" s="467"/>
      <c r="AH105" s="468"/>
      <c r="AI105" s="462"/>
      <c r="AJ105" s="466" t="s">
        <v>740</v>
      </c>
      <c r="AK105" s="467"/>
      <c r="AL105" s="467"/>
      <c r="AM105" s="468"/>
      <c r="AN105" s="462"/>
      <c r="AO105" s="466" t="s">
        <v>740</v>
      </c>
      <c r="AP105" s="467"/>
      <c r="AQ105" s="467"/>
      <c r="AR105" s="468"/>
      <c r="AS105" s="462"/>
      <c r="AT105" s="466" t="s">
        <v>740</v>
      </c>
      <c r="AU105" s="467"/>
      <c r="AV105" s="467"/>
      <c r="AW105" s="468"/>
      <c r="AX105" s="462"/>
    </row>
    <row r="106" spans="2:50">
      <c r="B106" s="462"/>
      <c r="C106" s="462"/>
      <c r="D106" s="462"/>
      <c r="E106" s="264" t="s">
        <v>741</v>
      </c>
      <c r="F106" s="264" t="s">
        <v>742</v>
      </c>
      <c r="G106" s="264" t="s">
        <v>743</v>
      </c>
      <c r="H106" s="465"/>
      <c r="I106" s="264" t="s">
        <v>741</v>
      </c>
      <c r="J106" s="264" t="s">
        <v>742</v>
      </c>
      <c r="K106" s="264" t="s">
        <v>743</v>
      </c>
      <c r="L106" s="465"/>
      <c r="M106" s="471"/>
      <c r="N106" s="462"/>
      <c r="O106" s="462"/>
      <c r="P106" s="264" t="s">
        <v>741</v>
      </c>
      <c r="Q106" s="264" t="s">
        <v>742</v>
      </c>
      <c r="R106" s="264" t="s">
        <v>743</v>
      </c>
      <c r="S106" s="264" t="s">
        <v>736</v>
      </c>
      <c r="T106" s="462"/>
      <c r="U106" s="264" t="s">
        <v>741</v>
      </c>
      <c r="V106" s="264" t="s">
        <v>742</v>
      </c>
      <c r="W106" s="264" t="s">
        <v>743</v>
      </c>
      <c r="X106" s="264" t="s">
        <v>736</v>
      </c>
      <c r="Y106" s="462"/>
      <c r="Z106" s="264" t="s">
        <v>741</v>
      </c>
      <c r="AA106" s="264" t="s">
        <v>742</v>
      </c>
      <c r="AB106" s="264" t="s">
        <v>743</v>
      </c>
      <c r="AC106" s="264" t="s">
        <v>736</v>
      </c>
      <c r="AD106" s="462"/>
      <c r="AE106" s="264" t="s">
        <v>741</v>
      </c>
      <c r="AF106" s="264" t="s">
        <v>742</v>
      </c>
      <c r="AG106" s="264" t="s">
        <v>743</v>
      </c>
      <c r="AH106" s="264" t="s">
        <v>736</v>
      </c>
      <c r="AI106" s="462"/>
      <c r="AJ106" s="264" t="s">
        <v>741</v>
      </c>
      <c r="AK106" s="264" t="s">
        <v>742</v>
      </c>
      <c r="AL106" s="264" t="s">
        <v>743</v>
      </c>
      <c r="AM106" s="264" t="s">
        <v>736</v>
      </c>
      <c r="AN106" s="462"/>
      <c r="AO106" s="264" t="s">
        <v>741</v>
      </c>
      <c r="AP106" s="264" t="s">
        <v>742</v>
      </c>
      <c r="AQ106" s="264" t="s">
        <v>743</v>
      </c>
      <c r="AR106" s="264" t="s">
        <v>736</v>
      </c>
      <c r="AS106" s="462"/>
      <c r="AT106" s="264" t="s">
        <v>741</v>
      </c>
      <c r="AU106" s="264" t="s">
        <v>742</v>
      </c>
      <c r="AV106" s="264" t="s">
        <v>743</v>
      </c>
      <c r="AW106" s="264" t="s">
        <v>736</v>
      </c>
      <c r="AX106" s="462"/>
    </row>
    <row r="107" spans="2:50">
      <c r="B107" s="462" t="s">
        <v>754</v>
      </c>
      <c r="C107" s="180">
        <v>1</v>
      </c>
      <c r="D107" s="201"/>
      <c r="E107" s="166"/>
      <c r="F107" s="180"/>
      <c r="G107" s="265"/>
      <c r="H107" s="459" t="e">
        <f>AVERAGE(G107:G121)</f>
        <v>#DIV/0!</v>
      </c>
      <c r="I107" s="166" t="e">
        <f>AVERAGE(P107,U107,Z107,AE107,AJ107,AO107,AT107)</f>
        <v>#DIV/0!</v>
      </c>
      <c r="J107" s="166" t="e">
        <f>AVERAGE(Q107,V107,AA107,AF107,AK107,AP107,AU107)</f>
        <v>#DIV/0!</v>
      </c>
      <c r="K107" s="265" t="e">
        <f>AVERAGE(R107,W107,AB107,AG107,AL107,AQ107,AV107)</f>
        <v>#DIV/0!</v>
      </c>
      <c r="L107" s="459" t="str">
        <f>IFERROR(AVERAGE(K107:K121),"-")</f>
        <v>-</v>
      </c>
      <c r="M107" s="272" t="e">
        <f>RANK(K107, K$107:$K$121)</f>
        <v>#DIV/0!</v>
      </c>
      <c r="N107" s="462"/>
      <c r="O107" s="462"/>
      <c r="P107" s="166"/>
      <c r="Q107" s="265"/>
      <c r="R107" s="265"/>
      <c r="S107" s="180" t="e">
        <f>RANK(R107, R$107:R$121)</f>
        <v>#N/A</v>
      </c>
      <c r="T107" s="459" t="e">
        <f>AVERAGE(R107:R121)</f>
        <v>#DIV/0!</v>
      </c>
      <c r="U107" s="166"/>
      <c r="V107" s="265"/>
      <c r="W107" s="265"/>
      <c r="X107" s="180" t="e">
        <f>RANK(W107, W$107:W$121)</f>
        <v>#N/A</v>
      </c>
      <c r="Y107" s="459" t="e">
        <f>AVERAGE(W107:W121)</f>
        <v>#DIV/0!</v>
      </c>
      <c r="Z107" s="166"/>
      <c r="AA107" s="265"/>
      <c r="AB107" s="265"/>
      <c r="AC107" s="180" t="e">
        <f>RANK(AB107, AB$107:AB$121)</f>
        <v>#N/A</v>
      </c>
      <c r="AD107" s="459" t="e">
        <f>AVERAGE(AB107:AB121)</f>
        <v>#DIV/0!</v>
      </c>
      <c r="AE107" s="166"/>
      <c r="AF107" s="265"/>
      <c r="AG107" s="265"/>
      <c r="AH107" s="180" t="e">
        <f>RANK(AG107, AG$107:AG$121)</f>
        <v>#N/A</v>
      </c>
      <c r="AI107" s="459" t="e">
        <f>AVERAGE(AG107:AG121)</f>
        <v>#DIV/0!</v>
      </c>
      <c r="AJ107" s="166"/>
      <c r="AK107" s="265"/>
      <c r="AL107" s="265"/>
      <c r="AM107" s="180" t="e">
        <f>RANK(AL107, AL$107:AL$121)</f>
        <v>#N/A</v>
      </c>
      <c r="AN107" s="459" t="e">
        <f>AVERAGE(AL107:AL121)</f>
        <v>#DIV/0!</v>
      </c>
      <c r="AO107" s="166"/>
      <c r="AP107" s="265"/>
      <c r="AQ107" s="265"/>
      <c r="AR107" s="180" t="e">
        <f>RANK(AQ107, AQ$107:AQ$121)</f>
        <v>#N/A</v>
      </c>
      <c r="AS107" s="459" t="e">
        <f>AVERAGE(AQ107:AQ121)</f>
        <v>#DIV/0!</v>
      </c>
      <c r="AT107" s="166"/>
      <c r="AU107" s="265"/>
      <c r="AV107" s="265"/>
      <c r="AW107" s="180" t="e">
        <f>RANK(AV107, AV$107:AV$121)</f>
        <v>#N/A</v>
      </c>
      <c r="AX107" s="486" t="e">
        <f>AVERAGE(AV107:AV121)</f>
        <v>#DIV/0!</v>
      </c>
    </row>
    <row r="108" spans="2:50">
      <c r="B108" s="479"/>
      <c r="C108" s="180">
        <v>2</v>
      </c>
      <c r="D108" s="201"/>
      <c r="E108" s="166"/>
      <c r="F108" s="180"/>
      <c r="G108" s="265"/>
      <c r="H108" s="460"/>
      <c r="I108" s="166" t="e">
        <f t="shared" ref="I108:K116" si="60">AVERAGE(P108,U108,Z108,AE108,AJ108,AO108,AT108)</f>
        <v>#DIV/0!</v>
      </c>
      <c r="J108" s="166" t="e">
        <f t="shared" si="60"/>
        <v>#DIV/0!</v>
      </c>
      <c r="K108" s="265" t="e">
        <f t="shared" si="60"/>
        <v>#DIV/0!</v>
      </c>
      <c r="L108" s="460"/>
      <c r="M108" s="272" t="e">
        <f>RANK(K108, K$107:$K$121)</f>
        <v>#DIV/0!</v>
      </c>
      <c r="N108" s="462"/>
      <c r="O108" s="462"/>
      <c r="P108" s="180"/>
      <c r="Q108" s="265"/>
      <c r="R108" s="265"/>
      <c r="S108" s="180" t="e">
        <f t="shared" ref="S108:S121" si="61">RANK(R108, R$107:R$121)</f>
        <v>#N/A</v>
      </c>
      <c r="T108" s="460"/>
      <c r="U108" s="180"/>
      <c r="V108" s="265"/>
      <c r="W108" s="265"/>
      <c r="X108" s="180" t="e">
        <f t="shared" ref="X108:X121" si="62">RANK(W108, W$107:W$121)</f>
        <v>#N/A</v>
      </c>
      <c r="Y108" s="460"/>
      <c r="Z108" s="180"/>
      <c r="AA108" s="265"/>
      <c r="AB108" s="265"/>
      <c r="AC108" s="180" t="e">
        <f t="shared" ref="AC108:AC121" si="63">RANK(AB108, AB$107:AB$121)</f>
        <v>#N/A</v>
      </c>
      <c r="AD108" s="460"/>
      <c r="AE108" s="180"/>
      <c r="AF108" s="265"/>
      <c r="AG108" s="265"/>
      <c r="AH108" s="180" t="e">
        <f t="shared" ref="AH108:AH121" si="64">RANK(AG108, AG$107:AG$121)</f>
        <v>#N/A</v>
      </c>
      <c r="AI108" s="460"/>
      <c r="AJ108" s="180"/>
      <c r="AK108" s="265"/>
      <c r="AL108" s="265"/>
      <c r="AM108" s="180" t="e">
        <f t="shared" ref="AM108:AM121" si="65">RANK(AL108, AL$107:AL$121)</f>
        <v>#N/A</v>
      </c>
      <c r="AN108" s="460"/>
      <c r="AO108" s="180"/>
      <c r="AP108" s="265"/>
      <c r="AQ108" s="265"/>
      <c r="AR108" s="180" t="e">
        <f t="shared" ref="AR108:AR121" si="66">RANK(AQ108, AQ$107:AQ$121)</f>
        <v>#N/A</v>
      </c>
      <c r="AS108" s="460"/>
      <c r="AT108" s="180"/>
      <c r="AU108" s="265"/>
      <c r="AV108" s="265"/>
      <c r="AW108" s="180" t="e">
        <f t="shared" ref="AW108:AW121" si="67">RANK(AV108, AV$107:AV$121)</f>
        <v>#N/A</v>
      </c>
      <c r="AX108" s="486"/>
    </row>
    <row r="109" spans="2:50">
      <c r="B109" s="479"/>
      <c r="C109" s="180">
        <v>3</v>
      </c>
      <c r="D109" s="201"/>
      <c r="E109" s="166"/>
      <c r="F109" s="180"/>
      <c r="G109" s="265"/>
      <c r="H109" s="460"/>
      <c r="I109" s="166" t="e">
        <f t="shared" si="60"/>
        <v>#DIV/0!</v>
      </c>
      <c r="J109" s="166" t="e">
        <f t="shared" si="60"/>
        <v>#DIV/0!</v>
      </c>
      <c r="K109" s="265" t="e">
        <f t="shared" si="60"/>
        <v>#DIV/0!</v>
      </c>
      <c r="L109" s="460"/>
      <c r="M109" s="272" t="e">
        <f>RANK(K109, K$107:$K$121)</f>
        <v>#DIV/0!</v>
      </c>
      <c r="N109" s="462"/>
      <c r="O109" s="462"/>
      <c r="P109" s="180"/>
      <c r="Q109" s="265"/>
      <c r="R109" s="265"/>
      <c r="S109" s="180" t="e">
        <f t="shared" si="61"/>
        <v>#N/A</v>
      </c>
      <c r="T109" s="460"/>
      <c r="U109" s="180"/>
      <c r="V109" s="265"/>
      <c r="W109" s="265"/>
      <c r="X109" s="180" t="e">
        <f t="shared" si="62"/>
        <v>#N/A</v>
      </c>
      <c r="Y109" s="460"/>
      <c r="Z109" s="180"/>
      <c r="AA109" s="265"/>
      <c r="AB109" s="265"/>
      <c r="AC109" s="180" t="e">
        <f t="shared" si="63"/>
        <v>#N/A</v>
      </c>
      <c r="AD109" s="460"/>
      <c r="AE109" s="180"/>
      <c r="AF109" s="265"/>
      <c r="AG109" s="265"/>
      <c r="AH109" s="180" t="e">
        <f t="shared" si="64"/>
        <v>#N/A</v>
      </c>
      <c r="AI109" s="460"/>
      <c r="AJ109" s="180"/>
      <c r="AK109" s="265"/>
      <c r="AL109" s="265"/>
      <c r="AM109" s="180" t="e">
        <f t="shared" si="65"/>
        <v>#N/A</v>
      </c>
      <c r="AN109" s="460"/>
      <c r="AO109" s="180"/>
      <c r="AP109" s="265"/>
      <c r="AQ109" s="265"/>
      <c r="AR109" s="180" t="e">
        <f t="shared" si="66"/>
        <v>#N/A</v>
      </c>
      <c r="AS109" s="460"/>
      <c r="AT109" s="180"/>
      <c r="AU109" s="265"/>
      <c r="AV109" s="265"/>
      <c r="AW109" s="180" t="e">
        <f t="shared" si="67"/>
        <v>#N/A</v>
      </c>
      <c r="AX109" s="486"/>
    </row>
    <row r="110" spans="2:50">
      <c r="B110" s="479"/>
      <c r="C110" s="180">
        <v>4</v>
      </c>
      <c r="D110" s="201"/>
      <c r="E110" s="166"/>
      <c r="F110" s="180"/>
      <c r="G110" s="265"/>
      <c r="H110" s="460"/>
      <c r="I110" s="166" t="e">
        <f t="shared" si="60"/>
        <v>#DIV/0!</v>
      </c>
      <c r="J110" s="166" t="e">
        <f t="shared" si="60"/>
        <v>#DIV/0!</v>
      </c>
      <c r="K110" s="265" t="e">
        <f t="shared" si="60"/>
        <v>#DIV/0!</v>
      </c>
      <c r="L110" s="460"/>
      <c r="M110" s="272" t="e">
        <f>RANK(K110, K$107:$K$121)</f>
        <v>#DIV/0!</v>
      </c>
      <c r="N110" s="462"/>
      <c r="O110" s="462"/>
      <c r="P110" s="180"/>
      <c r="Q110" s="265"/>
      <c r="R110" s="265"/>
      <c r="S110" s="180" t="e">
        <f t="shared" si="61"/>
        <v>#N/A</v>
      </c>
      <c r="T110" s="460"/>
      <c r="U110" s="180"/>
      <c r="V110" s="265"/>
      <c r="W110" s="265"/>
      <c r="X110" s="180" t="e">
        <f t="shared" si="62"/>
        <v>#N/A</v>
      </c>
      <c r="Y110" s="460"/>
      <c r="Z110" s="180"/>
      <c r="AA110" s="265"/>
      <c r="AB110" s="265"/>
      <c r="AC110" s="180" t="e">
        <f t="shared" si="63"/>
        <v>#N/A</v>
      </c>
      <c r="AD110" s="460"/>
      <c r="AE110" s="180"/>
      <c r="AF110" s="265"/>
      <c r="AG110" s="265"/>
      <c r="AH110" s="180" t="e">
        <f t="shared" si="64"/>
        <v>#N/A</v>
      </c>
      <c r="AI110" s="460"/>
      <c r="AJ110" s="180"/>
      <c r="AK110" s="265"/>
      <c r="AL110" s="265"/>
      <c r="AM110" s="180" t="e">
        <f t="shared" si="65"/>
        <v>#N/A</v>
      </c>
      <c r="AN110" s="460"/>
      <c r="AO110" s="180"/>
      <c r="AP110" s="265"/>
      <c r="AQ110" s="265"/>
      <c r="AR110" s="180" t="e">
        <f t="shared" si="66"/>
        <v>#N/A</v>
      </c>
      <c r="AS110" s="460"/>
      <c r="AT110" s="180"/>
      <c r="AU110" s="265"/>
      <c r="AV110" s="265"/>
      <c r="AW110" s="180" t="e">
        <f t="shared" si="67"/>
        <v>#N/A</v>
      </c>
      <c r="AX110" s="486"/>
    </row>
    <row r="111" spans="2:50">
      <c r="B111" s="479"/>
      <c r="C111" s="180">
        <v>5</v>
      </c>
      <c r="D111" s="201"/>
      <c r="E111" s="166"/>
      <c r="F111" s="180"/>
      <c r="G111" s="265"/>
      <c r="H111" s="460"/>
      <c r="I111" s="166" t="e">
        <f t="shared" si="60"/>
        <v>#DIV/0!</v>
      </c>
      <c r="J111" s="166" t="e">
        <f t="shared" si="60"/>
        <v>#DIV/0!</v>
      </c>
      <c r="K111" s="265" t="e">
        <f t="shared" si="60"/>
        <v>#DIV/0!</v>
      </c>
      <c r="L111" s="460"/>
      <c r="M111" s="272" t="e">
        <f>RANK(K111, K$107:$K$121)</f>
        <v>#DIV/0!</v>
      </c>
      <c r="N111" s="462"/>
      <c r="O111" s="462"/>
      <c r="P111" s="180"/>
      <c r="Q111" s="265"/>
      <c r="R111" s="265"/>
      <c r="S111" s="180" t="e">
        <f t="shared" si="61"/>
        <v>#N/A</v>
      </c>
      <c r="T111" s="460"/>
      <c r="U111" s="180"/>
      <c r="V111" s="265"/>
      <c r="W111" s="265"/>
      <c r="X111" s="180" t="e">
        <f t="shared" si="62"/>
        <v>#N/A</v>
      </c>
      <c r="Y111" s="460"/>
      <c r="Z111" s="180"/>
      <c r="AA111" s="265"/>
      <c r="AB111" s="265"/>
      <c r="AC111" s="180" t="e">
        <f t="shared" si="63"/>
        <v>#N/A</v>
      </c>
      <c r="AD111" s="460"/>
      <c r="AE111" s="180"/>
      <c r="AF111" s="265"/>
      <c r="AG111" s="265"/>
      <c r="AH111" s="180" t="e">
        <f t="shared" si="64"/>
        <v>#N/A</v>
      </c>
      <c r="AI111" s="460"/>
      <c r="AJ111" s="180"/>
      <c r="AK111" s="265"/>
      <c r="AL111" s="265"/>
      <c r="AM111" s="180" t="e">
        <f t="shared" si="65"/>
        <v>#N/A</v>
      </c>
      <c r="AN111" s="460"/>
      <c r="AO111" s="180"/>
      <c r="AP111" s="265"/>
      <c r="AQ111" s="265"/>
      <c r="AR111" s="180" t="e">
        <f t="shared" si="66"/>
        <v>#N/A</v>
      </c>
      <c r="AS111" s="460"/>
      <c r="AT111" s="180"/>
      <c r="AU111" s="265"/>
      <c r="AV111" s="265"/>
      <c r="AW111" s="180" t="e">
        <f t="shared" si="67"/>
        <v>#N/A</v>
      </c>
      <c r="AX111" s="486"/>
    </row>
    <row r="112" spans="2:50">
      <c r="B112" s="479"/>
      <c r="C112" s="180">
        <v>6</v>
      </c>
      <c r="D112" s="201"/>
      <c r="E112" s="166"/>
      <c r="F112" s="180"/>
      <c r="G112" s="265"/>
      <c r="H112" s="460"/>
      <c r="I112" s="166" t="e">
        <f t="shared" si="60"/>
        <v>#DIV/0!</v>
      </c>
      <c r="J112" s="166" t="e">
        <f t="shared" si="60"/>
        <v>#DIV/0!</v>
      </c>
      <c r="K112" s="265" t="e">
        <f t="shared" si="60"/>
        <v>#DIV/0!</v>
      </c>
      <c r="L112" s="460"/>
      <c r="M112" s="272" t="e">
        <f>RANK(K112, K$107:$K$121)</f>
        <v>#DIV/0!</v>
      </c>
      <c r="N112" s="462"/>
      <c r="O112" s="462"/>
      <c r="P112" s="180"/>
      <c r="Q112" s="265"/>
      <c r="R112" s="265"/>
      <c r="S112" s="180" t="e">
        <f t="shared" si="61"/>
        <v>#N/A</v>
      </c>
      <c r="T112" s="460"/>
      <c r="U112" s="180"/>
      <c r="V112" s="265"/>
      <c r="W112" s="265"/>
      <c r="X112" s="180" t="e">
        <f t="shared" si="62"/>
        <v>#N/A</v>
      </c>
      <c r="Y112" s="460"/>
      <c r="Z112" s="180"/>
      <c r="AA112" s="265"/>
      <c r="AB112" s="265"/>
      <c r="AC112" s="180" t="e">
        <f t="shared" si="63"/>
        <v>#N/A</v>
      </c>
      <c r="AD112" s="460"/>
      <c r="AE112" s="180"/>
      <c r="AF112" s="265"/>
      <c r="AG112" s="265"/>
      <c r="AH112" s="180" t="e">
        <f t="shared" si="64"/>
        <v>#N/A</v>
      </c>
      <c r="AI112" s="460"/>
      <c r="AJ112" s="180"/>
      <c r="AK112" s="265"/>
      <c r="AL112" s="265"/>
      <c r="AM112" s="180" t="e">
        <f t="shared" si="65"/>
        <v>#N/A</v>
      </c>
      <c r="AN112" s="460"/>
      <c r="AO112" s="180"/>
      <c r="AP112" s="265"/>
      <c r="AQ112" s="265"/>
      <c r="AR112" s="180" t="e">
        <f t="shared" si="66"/>
        <v>#N/A</v>
      </c>
      <c r="AS112" s="460"/>
      <c r="AT112" s="180"/>
      <c r="AU112" s="265"/>
      <c r="AV112" s="265"/>
      <c r="AW112" s="180" t="e">
        <f t="shared" si="67"/>
        <v>#N/A</v>
      </c>
      <c r="AX112" s="486"/>
    </row>
    <row r="113" spans="2:50">
      <c r="B113" s="479"/>
      <c r="C113" s="180">
        <v>7</v>
      </c>
      <c r="D113" s="201"/>
      <c r="E113" s="166"/>
      <c r="F113" s="180"/>
      <c r="G113" s="265"/>
      <c r="H113" s="460"/>
      <c r="I113" s="166" t="e">
        <f t="shared" si="60"/>
        <v>#DIV/0!</v>
      </c>
      <c r="J113" s="166" t="e">
        <f t="shared" si="60"/>
        <v>#DIV/0!</v>
      </c>
      <c r="K113" s="265" t="e">
        <f t="shared" si="60"/>
        <v>#DIV/0!</v>
      </c>
      <c r="L113" s="460"/>
      <c r="M113" s="272" t="e">
        <f>RANK(K113, K$107:$K$121)</f>
        <v>#DIV/0!</v>
      </c>
      <c r="N113" s="462"/>
      <c r="O113" s="462"/>
      <c r="P113" s="180"/>
      <c r="Q113" s="265"/>
      <c r="R113" s="265"/>
      <c r="S113" s="180" t="e">
        <f t="shared" si="61"/>
        <v>#N/A</v>
      </c>
      <c r="T113" s="460"/>
      <c r="U113" s="180"/>
      <c r="V113" s="265"/>
      <c r="W113" s="265"/>
      <c r="X113" s="180" t="e">
        <f t="shared" si="62"/>
        <v>#N/A</v>
      </c>
      <c r="Y113" s="460"/>
      <c r="Z113" s="180"/>
      <c r="AA113" s="265"/>
      <c r="AB113" s="265"/>
      <c r="AC113" s="180" t="e">
        <f t="shared" si="63"/>
        <v>#N/A</v>
      </c>
      <c r="AD113" s="460"/>
      <c r="AE113" s="180"/>
      <c r="AF113" s="265"/>
      <c r="AG113" s="265"/>
      <c r="AH113" s="180" t="e">
        <f t="shared" si="64"/>
        <v>#N/A</v>
      </c>
      <c r="AI113" s="460"/>
      <c r="AJ113" s="180"/>
      <c r="AK113" s="265"/>
      <c r="AL113" s="265"/>
      <c r="AM113" s="180" t="e">
        <f t="shared" si="65"/>
        <v>#N/A</v>
      </c>
      <c r="AN113" s="460"/>
      <c r="AO113" s="180"/>
      <c r="AP113" s="265"/>
      <c r="AQ113" s="265"/>
      <c r="AR113" s="180" t="e">
        <f t="shared" si="66"/>
        <v>#N/A</v>
      </c>
      <c r="AS113" s="460"/>
      <c r="AT113" s="180"/>
      <c r="AU113" s="265"/>
      <c r="AV113" s="265"/>
      <c r="AW113" s="180" t="e">
        <f t="shared" si="67"/>
        <v>#N/A</v>
      </c>
      <c r="AX113" s="486"/>
    </row>
    <row r="114" spans="2:50">
      <c r="B114" s="479"/>
      <c r="C114" s="180">
        <v>8</v>
      </c>
      <c r="D114" s="201"/>
      <c r="E114" s="166"/>
      <c r="F114" s="180"/>
      <c r="G114" s="265"/>
      <c r="H114" s="460"/>
      <c r="I114" s="166" t="e">
        <f t="shared" si="60"/>
        <v>#DIV/0!</v>
      </c>
      <c r="J114" s="166" t="e">
        <f t="shared" si="60"/>
        <v>#DIV/0!</v>
      </c>
      <c r="K114" s="265" t="e">
        <f t="shared" si="60"/>
        <v>#DIV/0!</v>
      </c>
      <c r="L114" s="460"/>
      <c r="M114" s="272" t="e">
        <f>RANK(K114, K$107:$K$121)</f>
        <v>#DIV/0!</v>
      </c>
      <c r="N114" s="462"/>
      <c r="O114" s="462"/>
      <c r="P114" s="180"/>
      <c r="Q114" s="265"/>
      <c r="R114" s="265"/>
      <c r="S114" s="180" t="e">
        <f t="shared" si="61"/>
        <v>#N/A</v>
      </c>
      <c r="T114" s="460"/>
      <c r="U114" s="180"/>
      <c r="V114" s="265"/>
      <c r="W114" s="265"/>
      <c r="X114" s="180" t="e">
        <f t="shared" si="62"/>
        <v>#N/A</v>
      </c>
      <c r="Y114" s="460"/>
      <c r="Z114" s="180"/>
      <c r="AA114" s="265"/>
      <c r="AB114" s="265"/>
      <c r="AC114" s="180" t="e">
        <f t="shared" si="63"/>
        <v>#N/A</v>
      </c>
      <c r="AD114" s="460"/>
      <c r="AE114" s="180"/>
      <c r="AF114" s="265"/>
      <c r="AG114" s="265"/>
      <c r="AH114" s="180" t="e">
        <f t="shared" si="64"/>
        <v>#N/A</v>
      </c>
      <c r="AI114" s="460"/>
      <c r="AJ114" s="180"/>
      <c r="AK114" s="265"/>
      <c r="AL114" s="265"/>
      <c r="AM114" s="180" t="e">
        <f t="shared" si="65"/>
        <v>#N/A</v>
      </c>
      <c r="AN114" s="460"/>
      <c r="AO114" s="180"/>
      <c r="AP114" s="265"/>
      <c r="AQ114" s="265"/>
      <c r="AR114" s="180" t="e">
        <f t="shared" si="66"/>
        <v>#N/A</v>
      </c>
      <c r="AS114" s="460"/>
      <c r="AT114" s="180"/>
      <c r="AU114" s="265"/>
      <c r="AV114" s="265"/>
      <c r="AW114" s="180" t="e">
        <f t="shared" si="67"/>
        <v>#N/A</v>
      </c>
      <c r="AX114" s="486"/>
    </row>
    <row r="115" spans="2:50">
      <c r="B115" s="479"/>
      <c r="C115" s="180">
        <v>9</v>
      </c>
      <c r="D115" s="201"/>
      <c r="E115" s="166"/>
      <c r="F115" s="180"/>
      <c r="G115" s="265"/>
      <c r="H115" s="460"/>
      <c r="I115" s="166" t="e">
        <f t="shared" si="60"/>
        <v>#DIV/0!</v>
      </c>
      <c r="J115" s="166" t="e">
        <f t="shared" si="60"/>
        <v>#DIV/0!</v>
      </c>
      <c r="K115" s="265" t="e">
        <f t="shared" si="60"/>
        <v>#DIV/0!</v>
      </c>
      <c r="L115" s="460"/>
      <c r="M115" s="272" t="e">
        <f>RANK(K115, K$107:$K$121)</f>
        <v>#DIV/0!</v>
      </c>
      <c r="N115" s="462"/>
      <c r="O115" s="462"/>
      <c r="P115" s="180"/>
      <c r="Q115" s="265"/>
      <c r="R115" s="265"/>
      <c r="S115" s="180" t="e">
        <f t="shared" si="61"/>
        <v>#N/A</v>
      </c>
      <c r="T115" s="460"/>
      <c r="U115" s="180"/>
      <c r="V115" s="265"/>
      <c r="W115" s="265"/>
      <c r="X115" s="180" t="e">
        <f t="shared" si="62"/>
        <v>#N/A</v>
      </c>
      <c r="Y115" s="460"/>
      <c r="Z115" s="180"/>
      <c r="AA115" s="265"/>
      <c r="AB115" s="265"/>
      <c r="AC115" s="180" t="e">
        <f t="shared" si="63"/>
        <v>#N/A</v>
      </c>
      <c r="AD115" s="460"/>
      <c r="AE115" s="180"/>
      <c r="AF115" s="265"/>
      <c r="AG115" s="265"/>
      <c r="AH115" s="180" t="e">
        <f t="shared" si="64"/>
        <v>#N/A</v>
      </c>
      <c r="AI115" s="460"/>
      <c r="AJ115" s="180"/>
      <c r="AK115" s="265"/>
      <c r="AL115" s="265"/>
      <c r="AM115" s="180" t="e">
        <f t="shared" si="65"/>
        <v>#N/A</v>
      </c>
      <c r="AN115" s="460"/>
      <c r="AO115" s="180"/>
      <c r="AP115" s="265"/>
      <c r="AQ115" s="265"/>
      <c r="AR115" s="180" t="e">
        <f t="shared" si="66"/>
        <v>#N/A</v>
      </c>
      <c r="AS115" s="460"/>
      <c r="AT115" s="180"/>
      <c r="AU115" s="265"/>
      <c r="AV115" s="265"/>
      <c r="AW115" s="180" t="e">
        <f t="shared" si="67"/>
        <v>#N/A</v>
      </c>
      <c r="AX115" s="486"/>
    </row>
    <row r="116" spans="2:50">
      <c r="B116" s="479"/>
      <c r="C116" s="180">
        <v>10</v>
      </c>
      <c r="D116" s="201"/>
      <c r="E116" s="166"/>
      <c r="F116" s="180"/>
      <c r="G116" s="265"/>
      <c r="H116" s="460"/>
      <c r="I116" s="166" t="e">
        <f t="shared" si="60"/>
        <v>#DIV/0!</v>
      </c>
      <c r="J116" s="166" t="e">
        <f t="shared" si="60"/>
        <v>#DIV/0!</v>
      </c>
      <c r="K116" s="265" t="e">
        <f t="shared" si="60"/>
        <v>#DIV/0!</v>
      </c>
      <c r="L116" s="460"/>
      <c r="M116" s="272" t="e">
        <f>RANK(K116, K$107:$K$121)</f>
        <v>#DIV/0!</v>
      </c>
      <c r="N116" s="462"/>
      <c r="O116" s="462"/>
      <c r="P116" s="180"/>
      <c r="Q116" s="265"/>
      <c r="R116" s="265"/>
      <c r="S116" s="180" t="e">
        <f t="shared" si="61"/>
        <v>#N/A</v>
      </c>
      <c r="T116" s="460"/>
      <c r="U116" s="180"/>
      <c r="V116" s="265"/>
      <c r="W116" s="265"/>
      <c r="X116" s="180" t="e">
        <f t="shared" si="62"/>
        <v>#N/A</v>
      </c>
      <c r="Y116" s="460"/>
      <c r="Z116" s="180"/>
      <c r="AA116" s="265"/>
      <c r="AB116" s="265"/>
      <c r="AC116" s="180" t="e">
        <f t="shared" si="63"/>
        <v>#N/A</v>
      </c>
      <c r="AD116" s="460"/>
      <c r="AE116" s="180"/>
      <c r="AF116" s="265"/>
      <c r="AG116" s="265"/>
      <c r="AH116" s="180" t="e">
        <f t="shared" si="64"/>
        <v>#N/A</v>
      </c>
      <c r="AI116" s="460"/>
      <c r="AJ116" s="180"/>
      <c r="AK116" s="265"/>
      <c r="AL116" s="265"/>
      <c r="AM116" s="180" t="e">
        <f t="shared" si="65"/>
        <v>#N/A</v>
      </c>
      <c r="AN116" s="460"/>
      <c r="AO116" s="180"/>
      <c r="AP116" s="265"/>
      <c r="AQ116" s="265"/>
      <c r="AR116" s="180" t="e">
        <f t="shared" si="66"/>
        <v>#N/A</v>
      </c>
      <c r="AS116" s="460"/>
      <c r="AT116" s="180"/>
      <c r="AU116" s="265"/>
      <c r="AV116" s="265"/>
      <c r="AW116" s="180" t="e">
        <f t="shared" si="67"/>
        <v>#N/A</v>
      </c>
      <c r="AX116" s="486"/>
    </row>
    <row r="117" spans="2:50">
      <c r="B117" s="479"/>
      <c r="C117" s="180">
        <v>11</v>
      </c>
      <c r="D117" s="201"/>
      <c r="E117" s="166"/>
      <c r="F117" s="180"/>
      <c r="G117" s="265"/>
      <c r="H117" s="460"/>
      <c r="I117" s="180"/>
      <c r="J117" s="180"/>
      <c r="K117" s="180"/>
      <c r="L117" s="460"/>
      <c r="M117" s="272" t="e">
        <f>RANK(K117, K$107:$K$121)</f>
        <v>#DIV/0!</v>
      </c>
      <c r="N117" s="462"/>
      <c r="O117" s="462"/>
      <c r="P117" s="180"/>
      <c r="Q117" s="265"/>
      <c r="R117" s="265"/>
      <c r="S117" s="180" t="e">
        <f t="shared" si="61"/>
        <v>#N/A</v>
      </c>
      <c r="T117" s="460"/>
      <c r="U117" s="180"/>
      <c r="V117" s="265"/>
      <c r="W117" s="265"/>
      <c r="X117" s="180" t="e">
        <f t="shared" si="62"/>
        <v>#N/A</v>
      </c>
      <c r="Y117" s="460"/>
      <c r="Z117" s="180"/>
      <c r="AA117" s="265"/>
      <c r="AB117" s="265"/>
      <c r="AC117" s="180" t="e">
        <f t="shared" si="63"/>
        <v>#N/A</v>
      </c>
      <c r="AD117" s="460"/>
      <c r="AE117" s="180"/>
      <c r="AF117" s="265"/>
      <c r="AG117" s="265"/>
      <c r="AH117" s="180" t="e">
        <f t="shared" si="64"/>
        <v>#N/A</v>
      </c>
      <c r="AI117" s="460"/>
      <c r="AJ117" s="180"/>
      <c r="AK117" s="265"/>
      <c r="AL117" s="265"/>
      <c r="AM117" s="180" t="e">
        <f t="shared" si="65"/>
        <v>#N/A</v>
      </c>
      <c r="AN117" s="460"/>
      <c r="AO117" s="180"/>
      <c r="AP117" s="265"/>
      <c r="AQ117" s="265"/>
      <c r="AR117" s="180" t="e">
        <f t="shared" si="66"/>
        <v>#N/A</v>
      </c>
      <c r="AS117" s="460"/>
      <c r="AT117" s="180"/>
      <c r="AU117" s="265"/>
      <c r="AV117" s="265"/>
      <c r="AW117" s="180" t="e">
        <f t="shared" si="67"/>
        <v>#N/A</v>
      </c>
      <c r="AX117" s="486"/>
    </row>
    <row r="118" spans="2:50">
      <c r="B118" s="479"/>
      <c r="C118" s="180">
        <v>12</v>
      </c>
      <c r="D118" s="201"/>
      <c r="E118" s="166"/>
      <c r="F118" s="180"/>
      <c r="G118" s="265"/>
      <c r="H118" s="460"/>
      <c r="I118" s="180"/>
      <c r="J118" s="180"/>
      <c r="K118" s="180"/>
      <c r="L118" s="460"/>
      <c r="M118" s="272" t="e">
        <f>RANK(K118, K$107:$K$121)</f>
        <v>#DIV/0!</v>
      </c>
      <c r="N118" s="462"/>
      <c r="O118" s="462"/>
      <c r="P118" s="180"/>
      <c r="Q118" s="265"/>
      <c r="R118" s="265"/>
      <c r="S118" s="180" t="e">
        <f t="shared" si="61"/>
        <v>#N/A</v>
      </c>
      <c r="T118" s="460"/>
      <c r="U118" s="180"/>
      <c r="V118" s="265"/>
      <c r="W118" s="265"/>
      <c r="X118" s="180" t="e">
        <f t="shared" si="62"/>
        <v>#N/A</v>
      </c>
      <c r="Y118" s="460"/>
      <c r="Z118" s="180"/>
      <c r="AA118" s="265"/>
      <c r="AB118" s="265"/>
      <c r="AC118" s="180" t="e">
        <f t="shared" si="63"/>
        <v>#N/A</v>
      </c>
      <c r="AD118" s="460"/>
      <c r="AE118" s="180"/>
      <c r="AF118" s="265"/>
      <c r="AG118" s="265"/>
      <c r="AH118" s="180" t="e">
        <f t="shared" si="64"/>
        <v>#N/A</v>
      </c>
      <c r="AI118" s="460"/>
      <c r="AJ118" s="180"/>
      <c r="AK118" s="265"/>
      <c r="AL118" s="265"/>
      <c r="AM118" s="180" t="e">
        <f t="shared" si="65"/>
        <v>#N/A</v>
      </c>
      <c r="AN118" s="460"/>
      <c r="AO118" s="180"/>
      <c r="AP118" s="265"/>
      <c r="AQ118" s="265"/>
      <c r="AR118" s="180" t="e">
        <f t="shared" si="66"/>
        <v>#N/A</v>
      </c>
      <c r="AS118" s="460"/>
      <c r="AT118" s="180"/>
      <c r="AU118" s="265"/>
      <c r="AV118" s="265"/>
      <c r="AW118" s="180" t="e">
        <f t="shared" si="67"/>
        <v>#N/A</v>
      </c>
      <c r="AX118" s="486"/>
    </row>
    <row r="119" spans="2:50">
      <c r="B119" s="479"/>
      <c r="C119" s="180">
        <v>13</v>
      </c>
      <c r="D119" s="201"/>
      <c r="E119" s="166"/>
      <c r="F119" s="180"/>
      <c r="G119" s="265"/>
      <c r="H119" s="460"/>
      <c r="I119" s="180"/>
      <c r="J119" s="180"/>
      <c r="K119" s="180"/>
      <c r="L119" s="460"/>
      <c r="M119" s="272" t="e">
        <f>RANK(K119, K$107:$K$121)</f>
        <v>#DIV/0!</v>
      </c>
      <c r="N119" s="462"/>
      <c r="O119" s="462"/>
      <c r="P119" s="180"/>
      <c r="Q119" s="265"/>
      <c r="R119" s="265"/>
      <c r="S119" s="180" t="e">
        <f t="shared" si="61"/>
        <v>#N/A</v>
      </c>
      <c r="T119" s="460"/>
      <c r="U119" s="180"/>
      <c r="V119" s="265"/>
      <c r="W119" s="265"/>
      <c r="X119" s="180" t="e">
        <f t="shared" si="62"/>
        <v>#N/A</v>
      </c>
      <c r="Y119" s="460"/>
      <c r="Z119" s="180"/>
      <c r="AA119" s="265"/>
      <c r="AB119" s="265"/>
      <c r="AC119" s="180" t="e">
        <f t="shared" si="63"/>
        <v>#N/A</v>
      </c>
      <c r="AD119" s="460"/>
      <c r="AE119" s="180"/>
      <c r="AF119" s="265"/>
      <c r="AG119" s="265"/>
      <c r="AH119" s="180" t="e">
        <f t="shared" si="64"/>
        <v>#N/A</v>
      </c>
      <c r="AI119" s="460"/>
      <c r="AJ119" s="180"/>
      <c r="AK119" s="265"/>
      <c r="AL119" s="265"/>
      <c r="AM119" s="180" t="e">
        <f t="shared" si="65"/>
        <v>#N/A</v>
      </c>
      <c r="AN119" s="460"/>
      <c r="AO119" s="180"/>
      <c r="AP119" s="265"/>
      <c r="AQ119" s="265"/>
      <c r="AR119" s="180" t="e">
        <f t="shared" si="66"/>
        <v>#N/A</v>
      </c>
      <c r="AS119" s="460"/>
      <c r="AT119" s="180"/>
      <c r="AU119" s="265"/>
      <c r="AV119" s="265"/>
      <c r="AW119" s="180" t="e">
        <f t="shared" si="67"/>
        <v>#N/A</v>
      </c>
      <c r="AX119" s="486"/>
    </row>
    <row r="120" spans="2:50">
      <c r="B120" s="479"/>
      <c r="C120" s="180">
        <v>14</v>
      </c>
      <c r="D120" s="201"/>
      <c r="E120" s="166"/>
      <c r="F120" s="180"/>
      <c r="G120" s="265"/>
      <c r="H120" s="460"/>
      <c r="I120" s="180"/>
      <c r="J120" s="180"/>
      <c r="K120" s="180"/>
      <c r="L120" s="460"/>
      <c r="M120" s="272" t="e">
        <f>RANK(K120, K$107:$K$121)</f>
        <v>#DIV/0!</v>
      </c>
      <c r="N120" s="462"/>
      <c r="O120" s="462"/>
      <c r="P120" s="180"/>
      <c r="Q120" s="265"/>
      <c r="R120" s="265"/>
      <c r="S120" s="180" t="e">
        <f t="shared" si="61"/>
        <v>#N/A</v>
      </c>
      <c r="T120" s="460"/>
      <c r="U120" s="180"/>
      <c r="V120" s="265"/>
      <c r="W120" s="265"/>
      <c r="X120" s="180" t="e">
        <f t="shared" si="62"/>
        <v>#N/A</v>
      </c>
      <c r="Y120" s="460"/>
      <c r="Z120" s="180"/>
      <c r="AA120" s="265"/>
      <c r="AB120" s="265"/>
      <c r="AC120" s="180" t="e">
        <f t="shared" si="63"/>
        <v>#N/A</v>
      </c>
      <c r="AD120" s="460"/>
      <c r="AE120" s="180"/>
      <c r="AF120" s="265"/>
      <c r="AG120" s="265"/>
      <c r="AH120" s="180" t="e">
        <f t="shared" si="64"/>
        <v>#N/A</v>
      </c>
      <c r="AI120" s="460"/>
      <c r="AJ120" s="180"/>
      <c r="AK120" s="265"/>
      <c r="AL120" s="265"/>
      <c r="AM120" s="180" t="e">
        <f t="shared" si="65"/>
        <v>#N/A</v>
      </c>
      <c r="AN120" s="460"/>
      <c r="AO120" s="180"/>
      <c r="AP120" s="265"/>
      <c r="AQ120" s="265"/>
      <c r="AR120" s="180" t="e">
        <f t="shared" si="66"/>
        <v>#N/A</v>
      </c>
      <c r="AS120" s="460"/>
      <c r="AT120" s="180"/>
      <c r="AU120" s="265"/>
      <c r="AV120" s="265"/>
      <c r="AW120" s="180" t="e">
        <f t="shared" si="67"/>
        <v>#N/A</v>
      </c>
      <c r="AX120" s="486"/>
    </row>
    <row r="121" spans="2:50">
      <c r="B121" s="479"/>
      <c r="C121" s="180">
        <v>15</v>
      </c>
      <c r="D121" s="201"/>
      <c r="E121" s="166"/>
      <c r="F121" s="180"/>
      <c r="G121" s="265"/>
      <c r="H121" s="461"/>
      <c r="I121" s="180"/>
      <c r="J121" s="180"/>
      <c r="K121" s="180"/>
      <c r="L121" s="461"/>
      <c r="M121" s="272" t="e">
        <f>RANK(K121, K$107:$K$121)</f>
        <v>#DIV/0!</v>
      </c>
      <c r="N121" s="462"/>
      <c r="O121" s="462"/>
      <c r="P121" s="180"/>
      <c r="Q121" s="265"/>
      <c r="R121" s="265"/>
      <c r="S121" s="180" t="e">
        <f t="shared" si="61"/>
        <v>#N/A</v>
      </c>
      <c r="T121" s="461"/>
      <c r="U121" s="180"/>
      <c r="V121" s="265"/>
      <c r="W121" s="265"/>
      <c r="X121" s="180" t="e">
        <f t="shared" si="62"/>
        <v>#N/A</v>
      </c>
      <c r="Y121" s="461"/>
      <c r="Z121" s="180"/>
      <c r="AA121" s="265"/>
      <c r="AB121" s="265"/>
      <c r="AC121" s="180" t="e">
        <f t="shared" si="63"/>
        <v>#N/A</v>
      </c>
      <c r="AD121" s="461"/>
      <c r="AE121" s="180"/>
      <c r="AF121" s="265"/>
      <c r="AG121" s="265"/>
      <c r="AH121" s="180" t="e">
        <f t="shared" si="64"/>
        <v>#N/A</v>
      </c>
      <c r="AI121" s="461"/>
      <c r="AJ121" s="180"/>
      <c r="AK121" s="265"/>
      <c r="AL121" s="265"/>
      <c r="AM121" s="180" t="e">
        <f t="shared" si="65"/>
        <v>#N/A</v>
      </c>
      <c r="AN121" s="461"/>
      <c r="AO121" s="180"/>
      <c r="AP121" s="265"/>
      <c r="AQ121" s="265"/>
      <c r="AR121" s="180" t="e">
        <f t="shared" si="66"/>
        <v>#N/A</v>
      </c>
      <c r="AS121" s="461"/>
      <c r="AT121" s="180"/>
      <c r="AU121" s="265"/>
      <c r="AV121" s="265"/>
      <c r="AW121" s="180" t="e">
        <f t="shared" si="67"/>
        <v>#N/A</v>
      </c>
      <c r="AX121" s="486"/>
    </row>
    <row r="123" spans="2:50" ht="15.75">
      <c r="B123" s="502" t="s">
        <v>746</v>
      </c>
      <c r="C123" s="503"/>
      <c r="D123" s="503"/>
      <c r="E123" s="503"/>
      <c r="F123" s="503"/>
      <c r="G123" s="503"/>
      <c r="H123" s="503"/>
      <c r="I123" s="266"/>
      <c r="J123" s="266"/>
      <c r="K123" s="266"/>
      <c r="L123" s="266"/>
      <c r="M123" s="267"/>
    </row>
    <row r="124" spans="2:50" ht="15.75">
      <c r="B124" s="504"/>
      <c r="C124" s="504"/>
      <c r="D124" s="504"/>
      <c r="E124" s="504"/>
      <c r="F124" s="504"/>
      <c r="G124" s="504"/>
      <c r="H124" s="504"/>
      <c r="I124" s="268"/>
      <c r="J124" s="268"/>
      <c r="K124" s="268"/>
      <c r="L124" s="268"/>
      <c r="M124" s="269"/>
    </row>
    <row r="125" spans="2:50">
      <c r="B125" s="462" t="s">
        <v>731</v>
      </c>
      <c r="C125" s="462" t="s">
        <v>732</v>
      </c>
      <c r="D125" s="462"/>
      <c r="E125" s="462" t="s">
        <v>733</v>
      </c>
      <c r="F125" s="462"/>
      <c r="G125" s="462"/>
      <c r="H125" s="463" t="s">
        <v>734</v>
      </c>
      <c r="I125" s="505" t="s">
        <v>735</v>
      </c>
      <c r="J125" s="505"/>
      <c r="K125" s="505"/>
      <c r="L125" s="519" t="s">
        <v>734</v>
      </c>
      <c r="M125" s="522" t="s">
        <v>736</v>
      </c>
    </row>
    <row r="126" spans="2:50">
      <c r="B126" s="462"/>
      <c r="C126" s="462"/>
      <c r="D126" s="462"/>
      <c r="E126" s="462" t="s">
        <v>739</v>
      </c>
      <c r="F126" s="462"/>
      <c r="G126" s="462"/>
      <c r="H126" s="464"/>
      <c r="I126" s="505" t="s">
        <v>739</v>
      </c>
      <c r="J126" s="505"/>
      <c r="K126" s="505"/>
      <c r="L126" s="520"/>
      <c r="M126" s="523"/>
    </row>
    <row r="127" spans="2:50">
      <c r="B127" s="462"/>
      <c r="C127" s="462"/>
      <c r="D127" s="462"/>
      <c r="E127" s="264" t="s">
        <v>741</v>
      </c>
      <c r="F127" s="264" t="s">
        <v>742</v>
      </c>
      <c r="G127" s="264" t="s">
        <v>743</v>
      </c>
      <c r="H127" s="465"/>
      <c r="I127" s="270" t="s">
        <v>741</v>
      </c>
      <c r="J127" s="270" t="s">
        <v>742</v>
      </c>
      <c r="K127" s="270" t="s">
        <v>743</v>
      </c>
      <c r="L127" s="521"/>
      <c r="M127" s="524"/>
    </row>
    <row r="128" spans="2:50">
      <c r="B128" s="462" t="s">
        <v>754</v>
      </c>
      <c r="C128" s="180">
        <v>1</v>
      </c>
      <c r="D128" s="201"/>
      <c r="E128" s="166"/>
      <c r="F128" s="180"/>
      <c r="G128" s="265"/>
      <c r="H128" s="459" t="e">
        <f>AVERAGE(G128:G142)</f>
        <v>#DIV/0!</v>
      </c>
      <c r="I128" s="166" t="e">
        <f t="shared" ref="I128:K135" si="68">AVERAGEIF($D$7:$D$121,$D128,I$7:I$121)</f>
        <v>#DIV/0!</v>
      </c>
      <c r="J128" s="166" t="e">
        <f t="shared" si="68"/>
        <v>#DIV/0!</v>
      </c>
      <c r="K128" s="166" t="e">
        <f t="shared" si="68"/>
        <v>#DIV/0!</v>
      </c>
      <c r="L128" s="516" t="e">
        <f>AVERAGE(K128:K142)</f>
        <v>#DIV/0!</v>
      </c>
      <c r="M128" s="166" t="e">
        <f>RANK(K128, K$128:$K$142)</f>
        <v>#DIV/0!</v>
      </c>
    </row>
    <row r="129" spans="2:13" s="103" customFormat="1">
      <c r="B129" s="479"/>
      <c r="C129" s="180">
        <v>2</v>
      </c>
      <c r="D129" s="201"/>
      <c r="E129" s="166"/>
      <c r="F129" s="180"/>
      <c r="G129" s="265"/>
      <c r="H129" s="460"/>
      <c r="I129" s="166" t="e">
        <f t="shared" si="68"/>
        <v>#DIV/0!</v>
      </c>
      <c r="J129" s="166" t="e">
        <f t="shared" si="68"/>
        <v>#DIV/0!</v>
      </c>
      <c r="K129" s="166" t="e">
        <f t="shared" si="68"/>
        <v>#DIV/0!</v>
      </c>
      <c r="L129" s="517"/>
      <c r="M129" s="166" t="e">
        <f>RANK(K129, K$128:$K$142)</f>
        <v>#DIV/0!</v>
      </c>
    </row>
    <row r="130" spans="2:13" s="103" customFormat="1">
      <c r="B130" s="479"/>
      <c r="C130" s="180">
        <v>3</v>
      </c>
      <c r="D130" s="201"/>
      <c r="E130" s="166"/>
      <c r="F130" s="180"/>
      <c r="G130" s="265"/>
      <c r="H130" s="460"/>
      <c r="I130" s="166" t="e">
        <f t="shared" si="68"/>
        <v>#DIV/0!</v>
      </c>
      <c r="J130" s="166" t="e">
        <f t="shared" si="68"/>
        <v>#DIV/0!</v>
      </c>
      <c r="K130" s="166" t="e">
        <f t="shared" si="68"/>
        <v>#DIV/0!</v>
      </c>
      <c r="L130" s="517"/>
      <c r="M130" s="166" t="e">
        <f>RANK(K130, K$128:$K$142)</f>
        <v>#DIV/0!</v>
      </c>
    </row>
    <row r="131" spans="2:13" s="103" customFormat="1">
      <c r="B131" s="479"/>
      <c r="C131" s="180">
        <v>4</v>
      </c>
      <c r="D131" s="201"/>
      <c r="E131" s="166"/>
      <c r="F131" s="180"/>
      <c r="G131" s="265"/>
      <c r="H131" s="460"/>
      <c r="I131" s="166" t="e">
        <f t="shared" si="68"/>
        <v>#DIV/0!</v>
      </c>
      <c r="J131" s="166" t="e">
        <f t="shared" si="68"/>
        <v>#DIV/0!</v>
      </c>
      <c r="K131" s="166" t="e">
        <f t="shared" si="68"/>
        <v>#DIV/0!</v>
      </c>
      <c r="L131" s="517"/>
      <c r="M131" s="166" t="e">
        <f>RANK(K131, K$128:$K$142)</f>
        <v>#DIV/0!</v>
      </c>
    </row>
    <row r="132" spans="2:13" s="103" customFormat="1">
      <c r="B132" s="479"/>
      <c r="C132" s="180">
        <v>5</v>
      </c>
      <c r="D132" s="201"/>
      <c r="E132" s="166"/>
      <c r="F132" s="180"/>
      <c r="G132" s="265"/>
      <c r="H132" s="460"/>
      <c r="I132" s="166" t="e">
        <f t="shared" si="68"/>
        <v>#DIV/0!</v>
      </c>
      <c r="J132" s="166" t="e">
        <f t="shared" si="68"/>
        <v>#DIV/0!</v>
      </c>
      <c r="K132" s="166" t="e">
        <f t="shared" si="68"/>
        <v>#DIV/0!</v>
      </c>
      <c r="L132" s="517"/>
      <c r="M132" s="166" t="e">
        <f>RANK(K132, K$128:$K$142)</f>
        <v>#DIV/0!</v>
      </c>
    </row>
    <row r="133" spans="2:13" s="103" customFormat="1">
      <c r="B133" s="479"/>
      <c r="C133" s="180">
        <v>6</v>
      </c>
      <c r="D133" s="271"/>
      <c r="E133" s="166"/>
      <c r="F133" s="180"/>
      <c r="G133" s="265"/>
      <c r="H133" s="460"/>
      <c r="I133" s="166" t="e">
        <f t="shared" si="68"/>
        <v>#DIV/0!</v>
      </c>
      <c r="J133" s="166" t="e">
        <f t="shared" si="68"/>
        <v>#DIV/0!</v>
      </c>
      <c r="K133" s="166" t="e">
        <f t="shared" si="68"/>
        <v>#DIV/0!</v>
      </c>
      <c r="L133" s="517"/>
      <c r="M133" s="166" t="e">
        <f>RANK(K133, K$128:$K$142)</f>
        <v>#DIV/0!</v>
      </c>
    </row>
    <row r="134" spans="2:13" s="103" customFormat="1">
      <c r="B134" s="479"/>
      <c r="C134" s="180">
        <v>7</v>
      </c>
      <c r="D134" s="201"/>
      <c r="E134" s="166"/>
      <c r="F134" s="180"/>
      <c r="G134" s="265"/>
      <c r="H134" s="460"/>
      <c r="I134" s="166" t="e">
        <f t="shared" si="68"/>
        <v>#DIV/0!</v>
      </c>
      <c r="J134" s="166" t="e">
        <f t="shared" si="68"/>
        <v>#DIV/0!</v>
      </c>
      <c r="K134" s="166" t="e">
        <f t="shared" si="68"/>
        <v>#DIV/0!</v>
      </c>
      <c r="L134" s="517"/>
      <c r="M134" s="166" t="e">
        <f>RANK(K134, K$128:$K$142)</f>
        <v>#DIV/0!</v>
      </c>
    </row>
    <row r="135" spans="2:13" s="103" customFormat="1">
      <c r="B135" s="479"/>
      <c r="C135" s="180">
        <v>8</v>
      </c>
      <c r="D135" s="201"/>
      <c r="E135" s="166"/>
      <c r="F135" s="180"/>
      <c r="G135" s="265"/>
      <c r="H135" s="460"/>
      <c r="I135" s="166" t="e">
        <f t="shared" si="68"/>
        <v>#DIV/0!</v>
      </c>
      <c r="J135" s="166" t="e">
        <f t="shared" si="68"/>
        <v>#DIV/0!</v>
      </c>
      <c r="K135" s="166" t="e">
        <f t="shared" si="68"/>
        <v>#DIV/0!</v>
      </c>
      <c r="L135" s="517"/>
      <c r="M135" s="166" t="e">
        <f>RANK(K135, K$128:$K$142)</f>
        <v>#DIV/0!</v>
      </c>
    </row>
    <row r="136" spans="2:13" s="103" customFormat="1">
      <c r="B136" s="479"/>
      <c r="C136" s="180">
        <v>9</v>
      </c>
      <c r="D136" s="201"/>
      <c r="E136" s="180"/>
      <c r="F136" s="180"/>
      <c r="G136" s="180"/>
      <c r="H136" s="460"/>
      <c r="I136" s="166"/>
      <c r="J136" s="166"/>
      <c r="K136" s="166"/>
      <c r="L136" s="517"/>
      <c r="M136" s="166" t="e">
        <f>RANK(K136, K$128:$K$142)</f>
        <v>#DIV/0!</v>
      </c>
    </row>
    <row r="137" spans="2:13" s="103" customFormat="1">
      <c r="B137" s="479"/>
      <c r="C137" s="180">
        <v>10</v>
      </c>
      <c r="D137" s="201"/>
      <c r="E137" s="180"/>
      <c r="F137" s="180"/>
      <c r="G137" s="180"/>
      <c r="H137" s="460"/>
      <c r="I137" s="166"/>
      <c r="J137" s="166"/>
      <c r="K137" s="166"/>
      <c r="L137" s="517"/>
      <c r="M137" s="166" t="e">
        <f>RANK(K137, K$128:$K$142)</f>
        <v>#DIV/0!</v>
      </c>
    </row>
    <row r="138" spans="2:13" s="103" customFormat="1">
      <c r="B138" s="479"/>
      <c r="C138" s="180">
        <v>11</v>
      </c>
      <c r="D138" s="201"/>
      <c r="E138" s="180"/>
      <c r="F138" s="180"/>
      <c r="G138" s="180"/>
      <c r="H138" s="460"/>
      <c r="I138" s="166"/>
      <c r="J138" s="166"/>
      <c r="K138" s="166"/>
      <c r="L138" s="517"/>
      <c r="M138" s="166" t="e">
        <f>RANK(K138, K$128:$K$142)</f>
        <v>#DIV/0!</v>
      </c>
    </row>
    <row r="139" spans="2:13" s="103" customFormat="1">
      <c r="B139" s="479"/>
      <c r="C139" s="180">
        <v>12</v>
      </c>
      <c r="D139" s="201"/>
      <c r="E139" s="180"/>
      <c r="F139" s="180"/>
      <c r="G139" s="180"/>
      <c r="H139" s="460"/>
      <c r="I139" s="166"/>
      <c r="J139" s="166"/>
      <c r="K139" s="166"/>
      <c r="L139" s="517"/>
      <c r="M139" s="166" t="e">
        <f>RANK(K139, K$128:$K$142)</f>
        <v>#DIV/0!</v>
      </c>
    </row>
    <row r="140" spans="2:13" s="103" customFormat="1">
      <c r="B140" s="479"/>
      <c r="C140" s="180">
        <v>13</v>
      </c>
      <c r="D140" s="201"/>
      <c r="E140" s="180"/>
      <c r="F140" s="180"/>
      <c r="G140" s="180"/>
      <c r="H140" s="460"/>
      <c r="I140" s="166"/>
      <c r="J140" s="166"/>
      <c r="K140" s="166"/>
      <c r="L140" s="517"/>
      <c r="M140" s="166" t="e">
        <f>RANK(K140, K$128:$K$142)</f>
        <v>#DIV/0!</v>
      </c>
    </row>
    <row r="141" spans="2:13" s="103" customFormat="1">
      <c r="B141" s="479"/>
      <c r="C141" s="180">
        <v>14</v>
      </c>
      <c r="D141" s="201"/>
      <c r="E141" s="180"/>
      <c r="F141" s="180"/>
      <c r="G141" s="180"/>
      <c r="H141" s="460"/>
      <c r="I141" s="166"/>
      <c r="J141" s="166"/>
      <c r="K141" s="166"/>
      <c r="L141" s="517"/>
      <c r="M141" s="166" t="e">
        <f>RANK(K141, K$128:$K$142)</f>
        <v>#DIV/0!</v>
      </c>
    </row>
    <row r="142" spans="2:13" s="103" customFormat="1">
      <c r="B142" s="479"/>
      <c r="C142" s="180">
        <v>15</v>
      </c>
      <c r="D142" s="201"/>
      <c r="E142" s="180"/>
      <c r="F142" s="180"/>
      <c r="G142" s="180"/>
      <c r="H142" s="461"/>
      <c r="I142" s="166"/>
      <c r="J142" s="166"/>
      <c r="K142" s="166"/>
      <c r="L142" s="518"/>
      <c r="M142" s="166" t="e">
        <f>RANK(K142, K$128:$K$142)</f>
        <v>#DIV/0!</v>
      </c>
    </row>
  </sheetData>
  <mergeCells count="367">
    <mergeCell ref="B128:B142"/>
    <mergeCell ref="H128:H142"/>
    <mergeCell ref="L128:L142"/>
    <mergeCell ref="AX107:AX121"/>
    <mergeCell ref="B123:H124"/>
    <mergeCell ref="B125:B127"/>
    <mergeCell ref="C125:D127"/>
    <mergeCell ref="E125:G125"/>
    <mergeCell ref="H125:H127"/>
    <mergeCell ref="I125:K125"/>
    <mergeCell ref="L125:L127"/>
    <mergeCell ref="M125:M127"/>
    <mergeCell ref="E126:G126"/>
    <mergeCell ref="I126:K126"/>
    <mergeCell ref="B107:B121"/>
    <mergeCell ref="H107:H121"/>
    <mergeCell ref="L107:L121"/>
    <mergeCell ref="T107:T121"/>
    <mergeCell ref="Y107:Y121"/>
    <mergeCell ref="AD107:AD121"/>
    <mergeCell ref="AI107:AI121"/>
    <mergeCell ref="AN107:AN121"/>
    <mergeCell ref="AS107:AS121"/>
    <mergeCell ref="AI104:AI106"/>
    <mergeCell ref="AJ104:AM104"/>
    <mergeCell ref="AN104:AN106"/>
    <mergeCell ref="AO104:AR104"/>
    <mergeCell ref="AS104:AS106"/>
    <mergeCell ref="AT104:AW104"/>
    <mergeCell ref="AX104:AX106"/>
    <mergeCell ref="E105:G105"/>
    <mergeCell ref="I105:K105"/>
    <mergeCell ref="P105:S105"/>
    <mergeCell ref="U105:X105"/>
    <mergeCell ref="Z105:AC105"/>
    <mergeCell ref="AE105:AH105"/>
    <mergeCell ref="AJ105:AM105"/>
    <mergeCell ref="AO105:AR105"/>
    <mergeCell ref="AT105:AW105"/>
    <mergeCell ref="AT102:AX102"/>
    <mergeCell ref="P103:T103"/>
    <mergeCell ref="U103:Y103"/>
    <mergeCell ref="Z103:AD103"/>
    <mergeCell ref="AE103:AI103"/>
    <mergeCell ref="AJ103:AN103"/>
    <mergeCell ref="AO103:AS103"/>
    <mergeCell ref="AT103:AX103"/>
    <mergeCell ref="B104:B106"/>
    <mergeCell ref="C104:D106"/>
    <mergeCell ref="E104:G104"/>
    <mergeCell ref="H104:H106"/>
    <mergeCell ref="I104:K104"/>
    <mergeCell ref="L104:L106"/>
    <mergeCell ref="M104:M106"/>
    <mergeCell ref="N104:N121"/>
    <mergeCell ref="O104:O121"/>
    <mergeCell ref="P104:S104"/>
    <mergeCell ref="T104:T106"/>
    <mergeCell ref="U104:X104"/>
    <mergeCell ref="Y104:Y106"/>
    <mergeCell ref="Z104:AC104"/>
    <mergeCell ref="AD104:AD106"/>
    <mergeCell ref="AE104:AH104"/>
    <mergeCell ref="B102:H103"/>
    <mergeCell ref="N102:N103"/>
    <mergeCell ref="O102:O103"/>
    <mergeCell ref="P102:T102"/>
    <mergeCell ref="U102:Y102"/>
    <mergeCell ref="Z102:AD102"/>
    <mergeCell ref="AE102:AI102"/>
    <mergeCell ref="AJ102:AN102"/>
    <mergeCell ref="AO102:AS102"/>
    <mergeCell ref="AE2:AI2"/>
    <mergeCell ref="AJ2:AN2"/>
    <mergeCell ref="AO2:AS2"/>
    <mergeCell ref="AT2:AX2"/>
    <mergeCell ref="P3:T3"/>
    <mergeCell ref="U3:Y3"/>
    <mergeCell ref="Z3:AD3"/>
    <mergeCell ref="AE3:AI3"/>
    <mergeCell ref="AJ3:AN3"/>
    <mergeCell ref="AO3:AS3"/>
    <mergeCell ref="P2:T2"/>
    <mergeCell ref="U2:Y2"/>
    <mergeCell ref="Z2:AD2"/>
    <mergeCell ref="AT3:AX3"/>
    <mergeCell ref="B2:H3"/>
    <mergeCell ref="N2:N3"/>
    <mergeCell ref="O2:O3"/>
    <mergeCell ref="AT4:AW4"/>
    <mergeCell ref="AX4:AX6"/>
    <mergeCell ref="E5:G5"/>
    <mergeCell ref="I5:K5"/>
    <mergeCell ref="P5:S5"/>
    <mergeCell ref="U5:X5"/>
    <mergeCell ref="Z5:AC5"/>
    <mergeCell ref="AE5:AH5"/>
    <mergeCell ref="AJ5:AM5"/>
    <mergeCell ref="AO5:AR5"/>
    <mergeCell ref="AE4:AH4"/>
    <mergeCell ref="AI4:AI6"/>
    <mergeCell ref="AJ4:AM4"/>
    <mergeCell ref="AN4:AN6"/>
    <mergeCell ref="AO4:AR4"/>
    <mergeCell ref="AS4:AS6"/>
    <mergeCell ref="P4:S4"/>
    <mergeCell ref="T4:T6"/>
    <mergeCell ref="U4:X4"/>
    <mergeCell ref="Y4:Y6"/>
    <mergeCell ref="Z4:AC4"/>
    <mergeCell ref="AD4:AD6"/>
    <mergeCell ref="AT5:AW5"/>
    <mergeCell ref="B7:B21"/>
    <mergeCell ref="H7:H21"/>
    <mergeCell ref="L7:L21"/>
    <mergeCell ref="T7:T21"/>
    <mergeCell ref="Y7:Y21"/>
    <mergeCell ref="AD7:AD21"/>
    <mergeCell ref="AI7:AI21"/>
    <mergeCell ref="AN7:AN21"/>
    <mergeCell ref="AS7:AS21"/>
    <mergeCell ref="B4:B6"/>
    <mergeCell ref="C4:D6"/>
    <mergeCell ref="E4:G4"/>
    <mergeCell ref="H4:H6"/>
    <mergeCell ref="I4:K4"/>
    <mergeCell ref="L4:L6"/>
    <mergeCell ref="M4:M6"/>
    <mergeCell ref="N4:N21"/>
    <mergeCell ref="O4:O21"/>
    <mergeCell ref="B22:H23"/>
    <mergeCell ref="N22:N23"/>
    <mergeCell ref="O22:O23"/>
    <mergeCell ref="P22:T22"/>
    <mergeCell ref="U22:Y22"/>
    <mergeCell ref="Z22:AD22"/>
    <mergeCell ref="AE22:AI22"/>
    <mergeCell ref="AJ22:AN22"/>
    <mergeCell ref="AO22:AS22"/>
    <mergeCell ref="AT22:AX22"/>
    <mergeCell ref="P23:T23"/>
    <mergeCell ref="U23:Y23"/>
    <mergeCell ref="Z23:AD23"/>
    <mergeCell ref="AE23:AI23"/>
    <mergeCell ref="AJ23:AN23"/>
    <mergeCell ref="AO23:AS23"/>
    <mergeCell ref="AT23:AX23"/>
    <mergeCell ref="AX7:AX21"/>
    <mergeCell ref="AX24:AX26"/>
    <mergeCell ref="E25:G25"/>
    <mergeCell ref="I25:K25"/>
    <mergeCell ref="P25:S25"/>
    <mergeCell ref="U25:X25"/>
    <mergeCell ref="Z25:AC25"/>
    <mergeCell ref="Y24:Y26"/>
    <mergeCell ref="Z24:AC24"/>
    <mergeCell ref="AD24:AD26"/>
    <mergeCell ref="AE24:AH24"/>
    <mergeCell ref="AI24:AI26"/>
    <mergeCell ref="AJ24:AM24"/>
    <mergeCell ref="AE25:AH25"/>
    <mergeCell ref="AJ25:AM25"/>
    <mergeCell ref="M24:M26"/>
    <mergeCell ref="N24:N41"/>
    <mergeCell ref="O24:O41"/>
    <mergeCell ref="P24:S24"/>
    <mergeCell ref="T24:T26"/>
    <mergeCell ref="U24:X24"/>
    <mergeCell ref="E24:G24"/>
    <mergeCell ref="H24:H26"/>
    <mergeCell ref="I24:K24"/>
    <mergeCell ref="L24:L26"/>
    <mergeCell ref="AO25:AR25"/>
    <mergeCell ref="AT25:AW25"/>
    <mergeCell ref="B27:B41"/>
    <mergeCell ref="H27:H41"/>
    <mergeCell ref="L27:L41"/>
    <mergeCell ref="T27:T41"/>
    <mergeCell ref="Y27:Y41"/>
    <mergeCell ref="AD27:AD41"/>
    <mergeCell ref="AI27:AI41"/>
    <mergeCell ref="AN27:AN41"/>
    <mergeCell ref="AN24:AN26"/>
    <mergeCell ref="AO24:AR24"/>
    <mergeCell ref="AS24:AS26"/>
    <mergeCell ref="AT24:AW24"/>
    <mergeCell ref="B24:B26"/>
    <mergeCell ref="C24:D26"/>
    <mergeCell ref="AS27:AS41"/>
    <mergeCell ref="AX27:AX41"/>
    <mergeCell ref="B42:H43"/>
    <mergeCell ref="N42:N43"/>
    <mergeCell ref="O42:O43"/>
    <mergeCell ref="P42:T42"/>
    <mergeCell ref="U42:Y42"/>
    <mergeCell ref="Z42:AD42"/>
    <mergeCell ref="AE42:AI42"/>
    <mergeCell ref="AJ42:AN42"/>
    <mergeCell ref="AO42:AS42"/>
    <mergeCell ref="AT42:AX42"/>
    <mergeCell ref="P43:T43"/>
    <mergeCell ref="U43:Y43"/>
    <mergeCell ref="Z43:AD43"/>
    <mergeCell ref="AE43:AI43"/>
    <mergeCell ref="AJ43:AN43"/>
    <mergeCell ref="AO43:AS43"/>
    <mergeCell ref="AT43:AX43"/>
    <mergeCell ref="AX44:AX46"/>
    <mergeCell ref="E45:G45"/>
    <mergeCell ref="I45:K45"/>
    <mergeCell ref="P45:S45"/>
    <mergeCell ref="U45:X45"/>
    <mergeCell ref="Z45:AC45"/>
    <mergeCell ref="Y44:Y46"/>
    <mergeCell ref="Z44:AC44"/>
    <mergeCell ref="AD44:AD46"/>
    <mergeCell ref="AE44:AH44"/>
    <mergeCell ref="AI44:AI46"/>
    <mergeCell ref="AJ44:AM44"/>
    <mergeCell ref="AE45:AH45"/>
    <mergeCell ref="AJ45:AM45"/>
    <mergeCell ref="M44:M46"/>
    <mergeCell ref="N44:N61"/>
    <mergeCell ref="O44:O61"/>
    <mergeCell ref="P44:S44"/>
    <mergeCell ref="T44:T46"/>
    <mergeCell ref="U44:X44"/>
    <mergeCell ref="E44:G44"/>
    <mergeCell ref="H44:H46"/>
    <mergeCell ref="I44:K44"/>
    <mergeCell ref="L44:L46"/>
    <mergeCell ref="AO45:AR45"/>
    <mergeCell ref="AT45:AW45"/>
    <mergeCell ref="B47:B61"/>
    <mergeCell ref="H47:H61"/>
    <mergeCell ref="L47:L61"/>
    <mergeCell ref="T47:T61"/>
    <mergeCell ref="Y47:Y61"/>
    <mergeCell ref="AD47:AD61"/>
    <mergeCell ref="AI47:AI61"/>
    <mergeCell ref="AN47:AN61"/>
    <mergeCell ref="AN44:AN46"/>
    <mergeCell ref="AO44:AR44"/>
    <mergeCell ref="AS44:AS46"/>
    <mergeCell ref="AT44:AW44"/>
    <mergeCell ref="B44:B46"/>
    <mergeCell ref="C44:D46"/>
    <mergeCell ref="AS47:AS61"/>
    <mergeCell ref="AX47:AX61"/>
    <mergeCell ref="B62:H63"/>
    <mergeCell ref="N62:N63"/>
    <mergeCell ref="O62:O63"/>
    <mergeCell ref="P62:T62"/>
    <mergeCell ref="U62:Y62"/>
    <mergeCell ref="Z62:AD62"/>
    <mergeCell ref="AE62:AI62"/>
    <mergeCell ref="AJ62:AN62"/>
    <mergeCell ref="AO62:AS62"/>
    <mergeCell ref="AT62:AX62"/>
    <mergeCell ref="P63:T63"/>
    <mergeCell ref="U63:Y63"/>
    <mergeCell ref="Z63:AD63"/>
    <mergeCell ref="AE63:AI63"/>
    <mergeCell ref="AJ63:AN63"/>
    <mergeCell ref="AO63:AS63"/>
    <mergeCell ref="AT63:AX63"/>
    <mergeCell ref="AD87:AD101"/>
    <mergeCell ref="AI87:AI101"/>
    <mergeCell ref="B84:B86"/>
    <mergeCell ref="AX64:AX66"/>
    <mergeCell ref="E65:G65"/>
    <mergeCell ref="I65:K65"/>
    <mergeCell ref="P65:S65"/>
    <mergeCell ref="U65:X65"/>
    <mergeCell ref="Z65:AC65"/>
    <mergeCell ref="Y64:Y66"/>
    <mergeCell ref="Z64:AC64"/>
    <mergeCell ref="AD64:AD66"/>
    <mergeCell ref="AE64:AH64"/>
    <mergeCell ref="AI64:AI66"/>
    <mergeCell ref="AJ64:AM64"/>
    <mergeCell ref="AE65:AH65"/>
    <mergeCell ref="AJ65:AM65"/>
    <mergeCell ref="M64:M66"/>
    <mergeCell ref="N64:N81"/>
    <mergeCell ref="O64:O81"/>
    <mergeCell ref="P64:S64"/>
    <mergeCell ref="T64:T66"/>
    <mergeCell ref="U64:X64"/>
    <mergeCell ref="E64:G64"/>
    <mergeCell ref="AO65:AR65"/>
    <mergeCell ref="AT65:AW65"/>
    <mergeCell ref="B67:B81"/>
    <mergeCell ref="H67:H81"/>
    <mergeCell ref="L67:L81"/>
    <mergeCell ref="T67:T81"/>
    <mergeCell ref="Y67:Y81"/>
    <mergeCell ref="AD67:AD81"/>
    <mergeCell ref="AI67:AI81"/>
    <mergeCell ref="AN67:AN81"/>
    <mergeCell ref="AN64:AN66"/>
    <mergeCell ref="AO64:AR64"/>
    <mergeCell ref="AS64:AS66"/>
    <mergeCell ref="AT64:AW64"/>
    <mergeCell ref="B64:B66"/>
    <mergeCell ref="C64:D66"/>
    <mergeCell ref="AS67:AS81"/>
    <mergeCell ref="H64:H66"/>
    <mergeCell ref="I64:K64"/>
    <mergeCell ref="L64:L66"/>
    <mergeCell ref="AX67:AX81"/>
    <mergeCell ref="B82:H83"/>
    <mergeCell ref="N82:N83"/>
    <mergeCell ref="O82:O83"/>
    <mergeCell ref="P82:T82"/>
    <mergeCell ref="U82:Y82"/>
    <mergeCell ref="Z82:AD82"/>
    <mergeCell ref="AE82:AI82"/>
    <mergeCell ref="AJ82:AN82"/>
    <mergeCell ref="AO82:AS82"/>
    <mergeCell ref="AT82:AX82"/>
    <mergeCell ref="P83:T83"/>
    <mergeCell ref="U83:Y83"/>
    <mergeCell ref="Z83:AD83"/>
    <mergeCell ref="AE83:AI83"/>
    <mergeCell ref="AJ83:AN83"/>
    <mergeCell ref="AO83:AS83"/>
    <mergeCell ref="AT83:AX83"/>
    <mergeCell ref="Z84:AC84"/>
    <mergeCell ref="P84:S84"/>
    <mergeCell ref="T84:T86"/>
    <mergeCell ref="U84:X84"/>
    <mergeCell ref="E85:G85"/>
    <mergeCell ref="I85:K85"/>
    <mergeCell ref="P85:S85"/>
    <mergeCell ref="U85:X85"/>
    <mergeCell ref="M84:M86"/>
    <mergeCell ref="N84:N101"/>
    <mergeCell ref="O84:O101"/>
    <mergeCell ref="H87:H101"/>
    <mergeCell ref="L87:L101"/>
    <mergeCell ref="T87:T101"/>
    <mergeCell ref="Y87:Y101"/>
    <mergeCell ref="B87:B101"/>
    <mergeCell ref="AS87:AS101"/>
    <mergeCell ref="AX87:AX101"/>
    <mergeCell ref="AO85:AR85"/>
    <mergeCell ref="AT85:AW85"/>
    <mergeCell ref="AO84:AR84"/>
    <mergeCell ref="AS84:AS86"/>
    <mergeCell ref="AT84:AW84"/>
    <mergeCell ref="AX84:AX86"/>
    <mergeCell ref="AJ85:AM85"/>
    <mergeCell ref="AN87:AN101"/>
    <mergeCell ref="AN84:AN86"/>
    <mergeCell ref="AJ84:AM84"/>
    <mergeCell ref="C84:D86"/>
    <mergeCell ref="E84:G84"/>
    <mergeCell ref="H84:H86"/>
    <mergeCell ref="I84:K84"/>
    <mergeCell ref="L84:L86"/>
    <mergeCell ref="AD84:AD86"/>
    <mergeCell ref="AE84:AH84"/>
    <mergeCell ref="AI84:AI86"/>
    <mergeCell ref="AE85:AH85"/>
    <mergeCell ref="Z85:AC85"/>
    <mergeCell ref="Y84:Y86"/>
  </mergeCells>
  <phoneticPr fontId="11" type="noConversion"/>
  <pageMargins left="0.7" right="0.7" top="0.75" bottom="0.75" header="0.3" footer="0.3"/>
  <pageSetup paperSize="9" orientation="portrait" horizontalDpi="300" verticalDpi="3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FFFFCC"/>
  </sheetPr>
  <dimension ref="A1:BB142"/>
  <sheetViews>
    <sheetView zoomScale="55" zoomScaleNormal="55" workbookViewId="0">
      <pane xSplit="15" topLeftCell="Z1" activePane="topRight" state="frozen"/>
      <selection activeCell="B144" sqref="B144:AX176"/>
      <selection pane="topRight" activeCell="AT87" sqref="AT87:AV88"/>
    </sheetView>
  </sheetViews>
  <sheetFormatPr defaultColWidth="8.85546875" defaultRowHeight="12.75"/>
  <cols>
    <col min="1" max="1" width="5.5703125" style="103" customWidth="1"/>
    <col min="2" max="2" width="12.42578125" style="103" customWidth="1"/>
    <col min="3" max="3" width="8.85546875" style="102"/>
    <col min="4" max="4" width="26.42578125" style="102" customWidth="1"/>
    <col min="5" max="7" width="8.42578125" style="102" customWidth="1"/>
    <col min="8" max="8" width="11.140625" style="102" bestFit="1" customWidth="1"/>
    <col min="9" max="12" width="11.140625" style="102" customWidth="1"/>
    <col min="13" max="13" width="13.5703125" style="102" customWidth="1"/>
    <col min="14" max="14" width="9.85546875" style="102" customWidth="1"/>
    <col min="15" max="15" width="7.140625" style="102" customWidth="1"/>
    <col min="16" max="18" width="12.85546875" style="102" customWidth="1"/>
    <col min="19" max="19" width="5.42578125" style="102" customWidth="1"/>
    <col min="20" max="20" width="12.85546875" style="102" customWidth="1"/>
    <col min="21" max="23" width="12.85546875" style="103" customWidth="1"/>
    <col min="24" max="24" width="5.42578125" style="102" customWidth="1"/>
    <col min="25" max="28" width="12.85546875" style="103" customWidth="1"/>
    <col min="29" max="29" width="5.42578125" style="102" customWidth="1"/>
    <col min="30" max="30" width="12.85546875" style="103" customWidth="1"/>
    <col min="31" max="33" width="12.5703125" style="103" customWidth="1"/>
    <col min="34" max="34" width="5.42578125" style="102" customWidth="1"/>
    <col min="35" max="35" width="13" style="103" customWidth="1"/>
    <col min="36" max="38" width="12.5703125" style="103" customWidth="1"/>
    <col min="39" max="39" width="5.42578125" style="102" customWidth="1"/>
    <col min="40" max="40" width="13" style="103" customWidth="1"/>
    <col min="41" max="43" width="13.140625" style="103" customWidth="1"/>
    <col min="44" max="44" width="5.42578125" style="103" customWidth="1"/>
    <col min="45" max="48" width="13.140625" style="103" customWidth="1"/>
    <col min="49" max="49" width="5.42578125" style="103" customWidth="1"/>
    <col min="50" max="50" width="13.140625" style="103" customWidth="1"/>
    <col min="51" max="16384" width="8.85546875" style="103"/>
  </cols>
  <sheetData>
    <row r="1" spans="1:54" ht="24">
      <c r="A1" s="74"/>
      <c r="B1" s="196" t="s">
        <v>328</v>
      </c>
      <c r="C1" s="195">
        <f>AVERAGE(L7,L27,L47,L67,L87,L107)</f>
        <v>74.884976507910679</v>
      </c>
    </row>
    <row r="2" spans="1:54" ht="15.75">
      <c r="A2" s="79"/>
      <c r="B2" s="480" t="s">
        <v>721</v>
      </c>
      <c r="C2" s="480"/>
      <c r="D2" s="480"/>
      <c r="E2" s="480"/>
      <c r="F2" s="480"/>
      <c r="G2" s="480"/>
      <c r="H2" s="480"/>
      <c r="I2" s="181"/>
      <c r="J2" s="181"/>
      <c r="K2" s="181"/>
      <c r="L2" s="181"/>
      <c r="M2" s="178"/>
      <c r="N2" s="469" t="s">
        <v>722</v>
      </c>
      <c r="O2" s="469" t="s">
        <v>723</v>
      </c>
      <c r="P2" s="513"/>
      <c r="Q2" s="514"/>
      <c r="R2" s="514"/>
      <c r="S2" s="514"/>
      <c r="T2" s="515"/>
      <c r="U2" s="478"/>
      <c r="V2" s="479"/>
      <c r="W2" s="479"/>
      <c r="X2" s="479"/>
      <c r="Y2" s="479"/>
      <c r="Z2" s="478"/>
      <c r="AA2" s="479"/>
      <c r="AB2" s="479"/>
      <c r="AC2" s="479"/>
      <c r="AD2" s="479"/>
      <c r="AE2" s="478"/>
      <c r="AF2" s="479"/>
      <c r="AG2" s="479"/>
      <c r="AH2" s="479"/>
      <c r="AI2" s="479"/>
      <c r="AJ2" s="478"/>
      <c r="AK2" s="479"/>
      <c r="AL2" s="479"/>
      <c r="AM2" s="479"/>
      <c r="AN2" s="479"/>
      <c r="AO2" s="478">
        <v>46054</v>
      </c>
      <c r="AP2" s="479"/>
      <c r="AQ2" s="479"/>
      <c r="AR2" s="479"/>
      <c r="AS2" s="479"/>
      <c r="AT2" s="478">
        <f t="shared" ref="AT2" si="0">AO2+1</f>
        <v>46055</v>
      </c>
      <c r="AU2" s="479"/>
      <c r="AV2" s="479"/>
      <c r="AW2" s="479"/>
      <c r="AX2" s="479"/>
    </row>
    <row r="3" spans="1:54" ht="15.75">
      <c r="A3" s="79"/>
      <c r="B3" s="495"/>
      <c r="C3" s="495"/>
      <c r="D3" s="495"/>
      <c r="E3" s="495"/>
      <c r="F3" s="495"/>
      <c r="G3" s="495"/>
      <c r="H3" s="495"/>
      <c r="I3" s="182"/>
      <c r="J3" s="182"/>
      <c r="K3" s="182"/>
      <c r="L3" s="182"/>
      <c r="M3" s="179"/>
      <c r="N3" s="471"/>
      <c r="O3" s="471"/>
      <c r="P3" s="475" t="s">
        <v>724</v>
      </c>
      <c r="Q3" s="476"/>
      <c r="R3" s="476"/>
      <c r="S3" s="476"/>
      <c r="T3" s="477"/>
      <c r="U3" s="475" t="s">
        <v>725</v>
      </c>
      <c r="V3" s="476"/>
      <c r="W3" s="476"/>
      <c r="X3" s="476"/>
      <c r="Y3" s="477"/>
      <c r="Z3" s="475" t="s">
        <v>726</v>
      </c>
      <c r="AA3" s="476"/>
      <c r="AB3" s="476"/>
      <c r="AC3" s="476"/>
      <c r="AD3" s="477"/>
      <c r="AE3" s="475" t="s">
        <v>727</v>
      </c>
      <c r="AF3" s="476"/>
      <c r="AG3" s="476"/>
      <c r="AH3" s="476"/>
      <c r="AI3" s="477"/>
      <c r="AJ3" s="475" t="s">
        <v>728</v>
      </c>
      <c r="AK3" s="476"/>
      <c r="AL3" s="476"/>
      <c r="AM3" s="476"/>
      <c r="AN3" s="477"/>
      <c r="AO3" s="475" t="s">
        <v>729</v>
      </c>
      <c r="AP3" s="476"/>
      <c r="AQ3" s="476"/>
      <c r="AR3" s="476"/>
      <c r="AS3" s="477"/>
      <c r="AT3" s="475" t="s">
        <v>730</v>
      </c>
      <c r="AU3" s="476"/>
      <c r="AV3" s="476"/>
      <c r="AW3" s="476"/>
      <c r="AX3" s="477"/>
    </row>
    <row r="4" spans="1:54" ht="14.25">
      <c r="A4" s="79"/>
      <c r="B4" s="462" t="s">
        <v>628</v>
      </c>
      <c r="C4" s="462" t="s">
        <v>629</v>
      </c>
      <c r="D4" s="462"/>
      <c r="E4" s="462" t="s">
        <v>630</v>
      </c>
      <c r="F4" s="462"/>
      <c r="G4" s="462"/>
      <c r="H4" s="463" t="s">
        <v>631</v>
      </c>
      <c r="I4" s="462" t="s">
        <v>632</v>
      </c>
      <c r="J4" s="462"/>
      <c r="K4" s="462"/>
      <c r="L4" s="463" t="s">
        <v>631</v>
      </c>
      <c r="M4" s="469" t="s">
        <v>633</v>
      </c>
      <c r="N4" s="462"/>
      <c r="O4" s="462" t="s">
        <v>634</v>
      </c>
      <c r="P4" s="466" t="s">
        <v>738</v>
      </c>
      <c r="Q4" s="467"/>
      <c r="R4" s="467"/>
      <c r="S4" s="468"/>
      <c r="T4" s="462" t="s">
        <v>734</v>
      </c>
      <c r="U4" s="466" t="s">
        <v>738</v>
      </c>
      <c r="V4" s="467"/>
      <c r="W4" s="467"/>
      <c r="X4" s="468"/>
      <c r="Y4" s="462" t="s">
        <v>734</v>
      </c>
      <c r="Z4" s="466" t="s">
        <v>738</v>
      </c>
      <c r="AA4" s="467"/>
      <c r="AB4" s="467"/>
      <c r="AC4" s="468"/>
      <c r="AD4" s="462" t="s">
        <v>734</v>
      </c>
      <c r="AE4" s="466" t="s">
        <v>738</v>
      </c>
      <c r="AF4" s="467"/>
      <c r="AG4" s="467"/>
      <c r="AH4" s="468"/>
      <c r="AI4" s="462" t="s">
        <v>734</v>
      </c>
      <c r="AJ4" s="466" t="s">
        <v>738</v>
      </c>
      <c r="AK4" s="467"/>
      <c r="AL4" s="467"/>
      <c r="AM4" s="468"/>
      <c r="AN4" s="462" t="s">
        <v>734</v>
      </c>
      <c r="AO4" s="466" t="s">
        <v>738</v>
      </c>
      <c r="AP4" s="467"/>
      <c r="AQ4" s="467"/>
      <c r="AR4" s="468"/>
      <c r="AS4" s="462" t="s">
        <v>734</v>
      </c>
      <c r="AT4" s="466" t="s">
        <v>738</v>
      </c>
      <c r="AU4" s="467"/>
      <c r="AV4" s="467"/>
      <c r="AW4" s="468"/>
      <c r="AX4" s="462" t="s">
        <v>734</v>
      </c>
    </row>
    <row r="5" spans="1:54" ht="14.25">
      <c r="A5" s="79"/>
      <c r="B5" s="462"/>
      <c r="C5" s="462"/>
      <c r="D5" s="462"/>
      <c r="E5" s="462" t="s">
        <v>635</v>
      </c>
      <c r="F5" s="462"/>
      <c r="G5" s="462"/>
      <c r="H5" s="464"/>
      <c r="I5" s="462" t="s">
        <v>635</v>
      </c>
      <c r="J5" s="462"/>
      <c r="K5" s="462"/>
      <c r="L5" s="464"/>
      <c r="M5" s="470"/>
      <c r="N5" s="462"/>
      <c r="O5" s="462"/>
      <c r="P5" s="466" t="s">
        <v>740</v>
      </c>
      <c r="Q5" s="467"/>
      <c r="R5" s="467"/>
      <c r="S5" s="468"/>
      <c r="T5" s="462"/>
      <c r="U5" s="466" t="s">
        <v>740</v>
      </c>
      <c r="V5" s="467"/>
      <c r="W5" s="467"/>
      <c r="X5" s="468"/>
      <c r="Y5" s="462"/>
      <c r="Z5" s="466" t="s">
        <v>740</v>
      </c>
      <c r="AA5" s="467"/>
      <c r="AB5" s="467"/>
      <c r="AC5" s="468"/>
      <c r="AD5" s="462"/>
      <c r="AE5" s="466" t="s">
        <v>740</v>
      </c>
      <c r="AF5" s="467"/>
      <c r="AG5" s="467"/>
      <c r="AH5" s="468"/>
      <c r="AI5" s="462"/>
      <c r="AJ5" s="466" t="s">
        <v>740</v>
      </c>
      <c r="AK5" s="467"/>
      <c r="AL5" s="467"/>
      <c r="AM5" s="468"/>
      <c r="AN5" s="462"/>
      <c r="AO5" s="466" t="s">
        <v>740</v>
      </c>
      <c r="AP5" s="467"/>
      <c r="AQ5" s="467"/>
      <c r="AR5" s="468"/>
      <c r="AS5" s="462"/>
      <c r="AT5" s="466" t="s">
        <v>740</v>
      </c>
      <c r="AU5" s="467"/>
      <c r="AV5" s="467"/>
      <c r="AW5" s="468"/>
      <c r="AX5" s="462"/>
    </row>
    <row r="6" spans="1:54" ht="14.25">
      <c r="A6" s="77"/>
      <c r="B6" s="462"/>
      <c r="C6" s="462"/>
      <c r="D6" s="462"/>
      <c r="E6" s="264" t="s">
        <v>636</v>
      </c>
      <c r="F6" s="264" t="s">
        <v>637</v>
      </c>
      <c r="G6" s="264" t="s">
        <v>638</v>
      </c>
      <c r="H6" s="465"/>
      <c r="I6" s="264" t="s">
        <v>636</v>
      </c>
      <c r="J6" s="264" t="s">
        <v>637</v>
      </c>
      <c r="K6" s="264" t="s">
        <v>638</v>
      </c>
      <c r="L6" s="465"/>
      <c r="M6" s="471"/>
      <c r="N6" s="462"/>
      <c r="O6" s="462"/>
      <c r="P6" s="264" t="s">
        <v>741</v>
      </c>
      <c r="Q6" s="264" t="s">
        <v>742</v>
      </c>
      <c r="R6" s="264" t="s">
        <v>743</v>
      </c>
      <c r="S6" s="264" t="s">
        <v>736</v>
      </c>
      <c r="T6" s="462"/>
      <c r="U6" s="264" t="s">
        <v>741</v>
      </c>
      <c r="V6" s="264" t="s">
        <v>742</v>
      </c>
      <c r="W6" s="264" t="s">
        <v>743</v>
      </c>
      <c r="X6" s="264" t="s">
        <v>736</v>
      </c>
      <c r="Y6" s="462"/>
      <c r="Z6" s="264" t="s">
        <v>741</v>
      </c>
      <c r="AA6" s="264" t="s">
        <v>742</v>
      </c>
      <c r="AB6" s="264" t="s">
        <v>743</v>
      </c>
      <c r="AC6" s="264" t="s">
        <v>736</v>
      </c>
      <c r="AD6" s="462"/>
      <c r="AE6" s="264" t="s">
        <v>741</v>
      </c>
      <c r="AF6" s="264" t="s">
        <v>742</v>
      </c>
      <c r="AG6" s="264" t="s">
        <v>743</v>
      </c>
      <c r="AH6" s="264" t="s">
        <v>736</v>
      </c>
      <c r="AI6" s="462"/>
      <c r="AJ6" s="264" t="s">
        <v>741</v>
      </c>
      <c r="AK6" s="264" t="s">
        <v>742</v>
      </c>
      <c r="AL6" s="264" t="s">
        <v>743</v>
      </c>
      <c r="AM6" s="264" t="s">
        <v>736</v>
      </c>
      <c r="AN6" s="462"/>
      <c r="AO6" s="264" t="s">
        <v>741</v>
      </c>
      <c r="AP6" s="264" t="s">
        <v>742</v>
      </c>
      <c r="AQ6" s="264" t="s">
        <v>743</v>
      </c>
      <c r="AR6" s="264" t="s">
        <v>736</v>
      </c>
      <c r="AS6" s="462"/>
      <c r="AT6" s="264" t="s">
        <v>741</v>
      </c>
      <c r="AU6" s="264" t="s">
        <v>742</v>
      </c>
      <c r="AV6" s="264" t="s">
        <v>743</v>
      </c>
      <c r="AW6" s="264" t="s">
        <v>736</v>
      </c>
      <c r="AX6" s="462"/>
    </row>
    <row r="7" spans="1:54" ht="14.25">
      <c r="A7" s="79"/>
      <c r="B7" s="462" t="s">
        <v>135</v>
      </c>
      <c r="C7" s="180">
        <v>1</v>
      </c>
      <c r="D7" s="201" t="s">
        <v>518</v>
      </c>
      <c r="E7" s="166">
        <v>14</v>
      </c>
      <c r="F7" s="180">
        <v>1500</v>
      </c>
      <c r="G7" s="265">
        <v>107.14285714285714</v>
      </c>
      <c r="H7" s="459">
        <f>AVERAGE(G7:G21)</f>
        <v>90.605394204465412</v>
      </c>
      <c r="I7" s="166">
        <f>AVERAGE(P7,U7,Z7,AE7,AJ7,AO7,AT7)</f>
        <v>12.5</v>
      </c>
      <c r="J7" s="166">
        <f>AVERAGE(Q7,V7,AA7,AF7,AK7,AP7,AU7)</f>
        <v>1121.076923076924</v>
      </c>
      <c r="K7" s="265">
        <f>AVERAGE(R7,W7,AB7,AG7,AL7,AQ7,AV7)</f>
        <v>89.813609467455706</v>
      </c>
      <c r="L7" s="459">
        <f>AVERAGE(K7:K21)</f>
        <v>74.743239115253701</v>
      </c>
      <c r="M7" s="272">
        <f>RANK(K7, K$7:$K$21)</f>
        <v>1</v>
      </c>
      <c r="N7" s="462"/>
      <c r="O7" s="462"/>
      <c r="P7" s="180"/>
      <c r="Q7" s="166"/>
      <c r="R7" s="166"/>
      <c r="S7" s="166" t="e">
        <f>RANK(R7, R$7:R$21)</f>
        <v>#N/A</v>
      </c>
      <c r="T7" s="506" t="e">
        <f>AVERAGE(R7:R21)</f>
        <v>#DIV/0!</v>
      </c>
      <c r="U7" s="180"/>
      <c r="V7" s="166"/>
      <c r="W7" s="166"/>
      <c r="X7" s="166" t="e">
        <f>RANK(W7, W$7:W$21)</f>
        <v>#N/A</v>
      </c>
      <c r="Y7" s="486" t="e">
        <f>AVERAGE(W7:W21)</f>
        <v>#DIV/0!</v>
      </c>
      <c r="Z7" s="180"/>
      <c r="AA7" s="166"/>
      <c r="AB7" s="166"/>
      <c r="AC7" s="166" t="e">
        <f>RANK(AB7, AB$7:AB$21)</f>
        <v>#N/A</v>
      </c>
      <c r="AD7" s="486" t="e">
        <f>AVERAGE(AB7:AB21)</f>
        <v>#DIV/0!</v>
      </c>
      <c r="AE7" s="180"/>
      <c r="AF7" s="166"/>
      <c r="AG7" s="166"/>
      <c r="AH7" s="166" t="e">
        <f>RANK(AG7, AG$7:AG$21)</f>
        <v>#N/A</v>
      </c>
      <c r="AI7" s="486" t="e">
        <f>AVERAGE(AG7:AG21)</f>
        <v>#DIV/0!</v>
      </c>
      <c r="AJ7" s="180"/>
      <c r="AK7" s="166"/>
      <c r="AL7" s="166"/>
      <c r="AM7" s="166" t="e">
        <f>RANK(AL7, AL$7:AL$21)</f>
        <v>#N/A</v>
      </c>
      <c r="AN7" s="486" t="e">
        <f>AVERAGE(AL7:AL21)</f>
        <v>#DIV/0!</v>
      </c>
      <c r="AO7" s="166">
        <v>13</v>
      </c>
      <c r="AP7" s="166">
        <v>1126.1538461538469</v>
      </c>
      <c r="AQ7" s="166">
        <v>86.627218934911298</v>
      </c>
      <c r="AR7" s="166">
        <f>RANK(AQ7, AQ$7:AQ$21)</f>
        <v>1</v>
      </c>
      <c r="AS7" s="506">
        <f>AVERAGE(AQ7:AQ21)</f>
        <v>74.164335852105154</v>
      </c>
      <c r="AT7" s="166">
        <v>12</v>
      </c>
      <c r="AU7" s="166">
        <v>1116.0000000000011</v>
      </c>
      <c r="AV7" s="166">
        <v>93.000000000000099</v>
      </c>
      <c r="AW7" s="166">
        <f>RANK(AV7, AV$7:AV$21)</f>
        <v>1</v>
      </c>
      <c r="AX7" s="525">
        <f>AVERAGE(AV7:AV21)</f>
        <v>75.322142378402233</v>
      </c>
      <c r="AZ7" s="272" t="e">
        <f>RANK(AX7, $K$7:AX$21)</f>
        <v>#N/A</v>
      </c>
      <c r="BB7" s="180" t="e">
        <f>RANK(BA7, BA$7:BA$21)</f>
        <v>#N/A</v>
      </c>
    </row>
    <row r="8" spans="1:54" ht="15" customHeight="1">
      <c r="A8" s="79"/>
      <c r="B8" s="479"/>
      <c r="C8" s="180">
        <v>2</v>
      </c>
      <c r="D8" s="201" t="s">
        <v>599</v>
      </c>
      <c r="E8" s="166">
        <v>17</v>
      </c>
      <c r="F8" s="180">
        <v>1636</v>
      </c>
      <c r="G8" s="265">
        <v>96.235294117647058</v>
      </c>
      <c r="H8" s="460"/>
      <c r="I8" s="166">
        <f t="shared" ref="I8:K12" si="1">AVERAGE(P8,U8,Z8,AE8,AJ8,AO8,AT8)</f>
        <v>17</v>
      </c>
      <c r="J8" s="166">
        <f t="shared" si="1"/>
        <v>1341.7072552004061</v>
      </c>
      <c r="K8" s="265">
        <f t="shared" si="1"/>
        <v>78.923956188259183</v>
      </c>
      <c r="L8" s="460"/>
      <c r="M8" s="272">
        <f>RANK(K8, K$7:$K$21)</f>
        <v>2</v>
      </c>
      <c r="N8" s="462"/>
      <c r="O8" s="462"/>
      <c r="P8" s="180"/>
      <c r="Q8" s="166"/>
      <c r="R8" s="166"/>
      <c r="S8" s="166" t="e">
        <f t="shared" ref="S8:S21" si="2">RANK(R8, R$7:R$21)</f>
        <v>#N/A</v>
      </c>
      <c r="T8" s="506"/>
      <c r="U8" s="180"/>
      <c r="V8" s="166"/>
      <c r="W8" s="166"/>
      <c r="X8" s="166" t="e">
        <f t="shared" ref="X8:X21" si="3">RANK(W8, W$7:W$21)</f>
        <v>#N/A</v>
      </c>
      <c r="Y8" s="486"/>
      <c r="Z8" s="180"/>
      <c r="AA8" s="166"/>
      <c r="AB8" s="166"/>
      <c r="AC8" s="166" t="e">
        <f t="shared" ref="AC8:AC21" si="4">RANK(AB8, AB$7:AB$21)</f>
        <v>#N/A</v>
      </c>
      <c r="AD8" s="486"/>
      <c r="AE8" s="180"/>
      <c r="AF8" s="166"/>
      <c r="AG8" s="166"/>
      <c r="AH8" s="166" t="e">
        <f t="shared" ref="AH8:AH21" si="5">RANK(AG8, AG$7:AG$21)</f>
        <v>#N/A</v>
      </c>
      <c r="AI8" s="486"/>
      <c r="AJ8" s="180"/>
      <c r="AK8" s="166"/>
      <c r="AL8" s="166"/>
      <c r="AM8" s="166" t="e">
        <f t="shared" ref="AM8:AM21" si="6">RANK(AL8, AL$7:AL$21)</f>
        <v>#N/A</v>
      </c>
      <c r="AN8" s="486"/>
      <c r="AO8" s="166">
        <v>17</v>
      </c>
      <c r="AP8" s="166">
        <v>1332.5925925925928</v>
      </c>
      <c r="AQ8" s="166">
        <v>78.387799564270168</v>
      </c>
      <c r="AR8" s="166">
        <f t="shared" ref="AR8:AR21" si="7">RANK(AQ8, AQ$7:AQ$21)</f>
        <v>2</v>
      </c>
      <c r="AS8" s="506"/>
      <c r="AT8" s="166">
        <v>17</v>
      </c>
      <c r="AU8" s="166">
        <v>1350.821917808219</v>
      </c>
      <c r="AV8" s="166">
        <v>79.460112812248184</v>
      </c>
      <c r="AW8" s="166">
        <f t="shared" ref="AW8:AW21" si="8">RANK(AV8, AV$7:AV$21)</f>
        <v>2</v>
      </c>
      <c r="AX8" s="525"/>
      <c r="AZ8" s="272" t="e">
        <f>RANK(AX8, $K$7:AX$21)</f>
        <v>#N/A</v>
      </c>
      <c r="BB8" s="180" t="e">
        <f t="shared" ref="BB8:BB21" si="9">RANK(BA8, BA$7:BA$21)</f>
        <v>#N/A</v>
      </c>
    </row>
    <row r="9" spans="1:54" ht="14.25">
      <c r="A9" s="79"/>
      <c r="B9" s="479"/>
      <c r="C9" s="180">
        <v>3</v>
      </c>
      <c r="D9" s="201" t="s">
        <v>555</v>
      </c>
      <c r="E9" s="166">
        <v>17</v>
      </c>
      <c r="F9" s="180">
        <v>1500</v>
      </c>
      <c r="G9" s="265">
        <v>88.235294117647058</v>
      </c>
      <c r="H9" s="460"/>
      <c r="I9" s="166">
        <f t="shared" si="1"/>
        <v>18</v>
      </c>
      <c r="J9" s="166">
        <f t="shared" si="1"/>
        <v>1333.5661016949152</v>
      </c>
      <c r="K9" s="265">
        <f t="shared" si="1"/>
        <v>74.087005649717511</v>
      </c>
      <c r="L9" s="460"/>
      <c r="M9" s="272">
        <f>RANK(K9, K$7:$K$21)</f>
        <v>5</v>
      </c>
      <c r="N9" s="462"/>
      <c r="O9" s="462"/>
      <c r="P9" s="180"/>
      <c r="Q9" s="166"/>
      <c r="R9" s="166"/>
      <c r="S9" s="166" t="e">
        <f t="shared" si="2"/>
        <v>#N/A</v>
      </c>
      <c r="T9" s="506"/>
      <c r="U9" s="180"/>
      <c r="V9" s="166"/>
      <c r="W9" s="166"/>
      <c r="X9" s="166" t="e">
        <f t="shared" si="3"/>
        <v>#N/A</v>
      </c>
      <c r="Y9" s="486"/>
      <c r="Z9" s="180"/>
      <c r="AA9" s="166"/>
      <c r="AB9" s="166"/>
      <c r="AC9" s="166" t="e">
        <f t="shared" si="4"/>
        <v>#N/A</v>
      </c>
      <c r="AD9" s="486"/>
      <c r="AE9" s="180"/>
      <c r="AF9" s="166"/>
      <c r="AG9" s="166"/>
      <c r="AH9" s="166" t="e">
        <f t="shared" si="5"/>
        <v>#N/A</v>
      </c>
      <c r="AI9" s="486"/>
      <c r="AJ9" s="180"/>
      <c r="AK9" s="166"/>
      <c r="AL9" s="166"/>
      <c r="AM9" s="166" t="e">
        <f t="shared" si="6"/>
        <v>#N/A</v>
      </c>
      <c r="AN9" s="486"/>
      <c r="AO9" s="166">
        <v>18</v>
      </c>
      <c r="AP9" s="166">
        <v>1351.2000000000005</v>
      </c>
      <c r="AQ9" s="166">
        <v>75.066666666666691</v>
      </c>
      <c r="AR9" s="166">
        <f t="shared" si="7"/>
        <v>4</v>
      </c>
      <c r="AS9" s="506"/>
      <c r="AT9" s="166">
        <v>18</v>
      </c>
      <c r="AU9" s="166">
        <v>1315.93220338983</v>
      </c>
      <c r="AV9" s="166">
        <v>73.107344632768331</v>
      </c>
      <c r="AW9" s="166">
        <f t="shared" si="8"/>
        <v>5</v>
      </c>
      <c r="AX9" s="525"/>
      <c r="AZ9" s="272" t="e">
        <f>RANK(AX9, $K$7:AX$21)</f>
        <v>#N/A</v>
      </c>
      <c r="BB9" s="180" t="e">
        <f t="shared" si="9"/>
        <v>#N/A</v>
      </c>
    </row>
    <row r="10" spans="1:54" ht="14.25">
      <c r="A10" s="79"/>
      <c r="B10" s="479"/>
      <c r="C10" s="180">
        <v>4</v>
      </c>
      <c r="D10" s="201" t="s">
        <v>566</v>
      </c>
      <c r="E10" s="166">
        <v>17</v>
      </c>
      <c r="F10" s="180">
        <v>1500</v>
      </c>
      <c r="G10" s="265">
        <v>88.235294117647058</v>
      </c>
      <c r="H10" s="460"/>
      <c r="I10" s="166">
        <f t="shared" si="1"/>
        <v>18</v>
      </c>
      <c r="J10" s="166">
        <f t="shared" si="1"/>
        <v>1336.25</v>
      </c>
      <c r="K10" s="265">
        <f t="shared" si="1"/>
        <v>74.236111111111114</v>
      </c>
      <c r="L10" s="460"/>
      <c r="M10" s="272">
        <f>RANK(K10, K$7:$K$21)</f>
        <v>4</v>
      </c>
      <c r="N10" s="462"/>
      <c r="O10" s="462"/>
      <c r="P10" s="180"/>
      <c r="Q10" s="166"/>
      <c r="R10" s="166"/>
      <c r="S10" s="166" t="e">
        <f t="shared" si="2"/>
        <v>#N/A</v>
      </c>
      <c r="T10" s="506"/>
      <c r="U10" s="180"/>
      <c r="V10" s="166"/>
      <c r="W10" s="166"/>
      <c r="X10" s="166" t="e">
        <f t="shared" si="3"/>
        <v>#N/A</v>
      </c>
      <c r="Y10" s="486"/>
      <c r="Z10" s="180"/>
      <c r="AA10" s="166"/>
      <c r="AB10" s="166"/>
      <c r="AC10" s="166" t="e">
        <f t="shared" si="4"/>
        <v>#N/A</v>
      </c>
      <c r="AD10" s="486"/>
      <c r="AE10" s="180"/>
      <c r="AF10" s="166"/>
      <c r="AG10" s="166"/>
      <c r="AH10" s="166" t="e">
        <f t="shared" si="5"/>
        <v>#N/A</v>
      </c>
      <c r="AI10" s="486"/>
      <c r="AJ10" s="180"/>
      <c r="AK10" s="166"/>
      <c r="AL10" s="166"/>
      <c r="AM10" s="166" t="e">
        <f t="shared" si="6"/>
        <v>#N/A</v>
      </c>
      <c r="AN10" s="486"/>
      <c r="AO10" s="166">
        <v>18</v>
      </c>
      <c r="AP10" s="166">
        <v>1342.5</v>
      </c>
      <c r="AQ10" s="166">
        <v>74.583333333333329</v>
      </c>
      <c r="AR10" s="166">
        <f t="shared" si="7"/>
        <v>5</v>
      </c>
      <c r="AS10" s="506"/>
      <c r="AT10" s="166">
        <v>18</v>
      </c>
      <c r="AU10" s="166">
        <v>1330.0000000000002</v>
      </c>
      <c r="AV10" s="166">
        <v>73.8888888888889</v>
      </c>
      <c r="AW10" s="166">
        <f t="shared" si="8"/>
        <v>4</v>
      </c>
      <c r="AX10" s="525"/>
      <c r="AZ10" s="272" t="e">
        <f>RANK(AX10, $K$7:AX$21)</f>
        <v>#N/A</v>
      </c>
      <c r="BB10" s="180" t="e">
        <f t="shared" si="9"/>
        <v>#N/A</v>
      </c>
    </row>
    <row r="11" spans="1:54" ht="14.25">
      <c r="A11" s="79"/>
      <c r="B11" s="479"/>
      <c r="C11" s="180">
        <v>5</v>
      </c>
      <c r="D11" s="201" t="s">
        <v>674</v>
      </c>
      <c r="E11" s="166">
        <v>18</v>
      </c>
      <c r="F11" s="180">
        <v>1636</v>
      </c>
      <c r="G11" s="265">
        <v>90.888888888888886</v>
      </c>
      <c r="H11" s="460"/>
      <c r="I11" s="166">
        <f t="shared" si="1"/>
        <v>18</v>
      </c>
      <c r="J11" s="166">
        <f t="shared" si="1"/>
        <v>1385.2021563342319</v>
      </c>
      <c r="K11" s="265">
        <f t="shared" si="1"/>
        <v>76.955675351901775</v>
      </c>
      <c r="L11" s="460"/>
      <c r="M11" s="272">
        <f>RANK(K11, K$7:$K$21)</f>
        <v>3</v>
      </c>
      <c r="N11" s="462"/>
      <c r="O11" s="462"/>
      <c r="P11" s="180"/>
      <c r="Q11" s="166"/>
      <c r="R11" s="166"/>
      <c r="S11" s="166" t="e">
        <f t="shared" si="2"/>
        <v>#N/A</v>
      </c>
      <c r="T11" s="506"/>
      <c r="U11" s="180"/>
      <c r="V11" s="166"/>
      <c r="W11" s="166"/>
      <c r="X11" s="166" t="e">
        <f t="shared" si="3"/>
        <v>#N/A</v>
      </c>
      <c r="Y11" s="486"/>
      <c r="Z11" s="180"/>
      <c r="AA11" s="166"/>
      <c r="AB11" s="166"/>
      <c r="AC11" s="166" t="e">
        <f t="shared" si="4"/>
        <v>#N/A</v>
      </c>
      <c r="AD11" s="486"/>
      <c r="AE11" s="180"/>
      <c r="AF11" s="166"/>
      <c r="AG11" s="166"/>
      <c r="AH11" s="166" t="e">
        <f t="shared" si="5"/>
        <v>#N/A</v>
      </c>
      <c r="AI11" s="486"/>
      <c r="AJ11" s="180"/>
      <c r="AK11" s="166"/>
      <c r="AL11" s="166"/>
      <c r="AM11" s="166" t="e">
        <f t="shared" si="6"/>
        <v>#N/A</v>
      </c>
      <c r="AN11" s="486"/>
      <c r="AO11" s="166">
        <v>18</v>
      </c>
      <c r="AP11" s="166">
        <v>1367.5471698113215</v>
      </c>
      <c r="AQ11" s="166">
        <v>75.974842767295641</v>
      </c>
      <c r="AR11" s="166">
        <f t="shared" si="7"/>
        <v>3</v>
      </c>
      <c r="AS11" s="506"/>
      <c r="AT11" s="166">
        <v>18</v>
      </c>
      <c r="AU11" s="166">
        <v>1402.8571428571424</v>
      </c>
      <c r="AV11" s="166">
        <v>77.936507936507908</v>
      </c>
      <c r="AW11" s="166">
        <f t="shared" si="8"/>
        <v>3</v>
      </c>
      <c r="AX11" s="525"/>
      <c r="AZ11" s="272" t="e">
        <f>RANK(AX11, $K$7:AX$21)</f>
        <v>#N/A</v>
      </c>
      <c r="BB11" s="180" t="e">
        <f t="shared" si="9"/>
        <v>#N/A</v>
      </c>
    </row>
    <row r="12" spans="1:54" ht="14.25">
      <c r="A12" s="79"/>
      <c r="B12" s="479"/>
      <c r="C12" s="180">
        <v>6</v>
      </c>
      <c r="D12" s="201" t="s">
        <v>675</v>
      </c>
      <c r="E12" s="166">
        <v>19</v>
      </c>
      <c r="F12" s="180">
        <v>1385</v>
      </c>
      <c r="G12" s="265">
        <v>72.89473684210526</v>
      </c>
      <c r="H12" s="460"/>
      <c r="I12" s="166">
        <f t="shared" si="1"/>
        <v>20</v>
      </c>
      <c r="J12" s="166">
        <f t="shared" si="1"/>
        <v>1088.8615384615373</v>
      </c>
      <c r="K12" s="265">
        <f t="shared" si="1"/>
        <v>54.443076923076866</v>
      </c>
      <c r="L12" s="460"/>
      <c r="M12" s="272">
        <f>RANK(K12, K$7:$K$21)</f>
        <v>6</v>
      </c>
      <c r="N12" s="462"/>
      <c r="O12" s="462"/>
      <c r="P12" s="180"/>
      <c r="Q12" s="166"/>
      <c r="R12" s="166"/>
      <c r="S12" s="166" t="e">
        <f t="shared" si="2"/>
        <v>#N/A</v>
      </c>
      <c r="T12" s="506"/>
      <c r="U12" s="180"/>
      <c r="V12" s="166"/>
      <c r="W12" s="166"/>
      <c r="X12" s="166" t="e">
        <f t="shared" si="3"/>
        <v>#N/A</v>
      </c>
      <c r="Y12" s="486"/>
      <c r="Z12" s="180"/>
      <c r="AA12" s="166"/>
      <c r="AB12" s="166"/>
      <c r="AC12" s="166" t="e">
        <f t="shared" si="4"/>
        <v>#N/A</v>
      </c>
      <c r="AD12" s="486"/>
      <c r="AE12" s="180"/>
      <c r="AF12" s="166"/>
      <c r="AG12" s="166"/>
      <c r="AH12" s="166" t="e">
        <f t="shared" si="5"/>
        <v>#N/A</v>
      </c>
      <c r="AI12" s="486"/>
      <c r="AJ12" s="180"/>
      <c r="AK12" s="166"/>
      <c r="AL12" s="166"/>
      <c r="AM12" s="166" t="e">
        <f t="shared" si="6"/>
        <v>#N/A</v>
      </c>
      <c r="AN12" s="486"/>
      <c r="AO12" s="166">
        <v>20</v>
      </c>
      <c r="AP12" s="166">
        <v>1086.9230769230758</v>
      </c>
      <c r="AQ12" s="166">
        <v>54.34615384615379</v>
      </c>
      <c r="AR12" s="166">
        <f t="shared" si="7"/>
        <v>6</v>
      </c>
      <c r="AS12" s="506"/>
      <c r="AT12" s="166">
        <v>20</v>
      </c>
      <c r="AU12" s="166">
        <v>1090.7999999999988</v>
      </c>
      <c r="AV12" s="166">
        <v>54.539999999999942</v>
      </c>
      <c r="AW12" s="166">
        <f t="shared" si="8"/>
        <v>6</v>
      </c>
      <c r="AX12" s="525"/>
      <c r="AZ12" s="272" t="e">
        <f>RANK(AX12, $K$7:AX$21)</f>
        <v>#N/A</v>
      </c>
      <c r="BB12" s="180" t="e">
        <f t="shared" si="9"/>
        <v>#N/A</v>
      </c>
    </row>
    <row r="13" spans="1:54" ht="14.25">
      <c r="A13" s="79"/>
      <c r="B13" s="479"/>
      <c r="C13" s="180">
        <v>7</v>
      </c>
      <c r="D13" s="201"/>
      <c r="E13" s="166"/>
      <c r="F13" s="166"/>
      <c r="G13" s="166"/>
      <c r="H13" s="460"/>
      <c r="I13" s="166"/>
      <c r="J13" s="166"/>
      <c r="K13" s="265"/>
      <c r="L13" s="460"/>
      <c r="M13" s="272" t="e">
        <f>RANK(K13, K$7:$K$21)</f>
        <v>#N/A</v>
      </c>
      <c r="N13" s="462"/>
      <c r="O13" s="462"/>
      <c r="P13" s="180"/>
      <c r="Q13" s="166"/>
      <c r="R13" s="166"/>
      <c r="S13" s="166" t="e">
        <f t="shared" si="2"/>
        <v>#N/A</v>
      </c>
      <c r="T13" s="506"/>
      <c r="U13" s="180"/>
      <c r="V13" s="166"/>
      <c r="W13" s="166"/>
      <c r="X13" s="166" t="e">
        <f t="shared" si="3"/>
        <v>#N/A</v>
      </c>
      <c r="Y13" s="486"/>
      <c r="Z13" s="180"/>
      <c r="AA13" s="166"/>
      <c r="AB13" s="166"/>
      <c r="AC13" s="166" t="e">
        <f t="shared" si="4"/>
        <v>#N/A</v>
      </c>
      <c r="AD13" s="486"/>
      <c r="AE13" s="180"/>
      <c r="AF13" s="166"/>
      <c r="AG13" s="166"/>
      <c r="AH13" s="166" t="e">
        <f t="shared" si="5"/>
        <v>#N/A</v>
      </c>
      <c r="AI13" s="486"/>
      <c r="AJ13" s="180"/>
      <c r="AK13" s="166"/>
      <c r="AL13" s="166"/>
      <c r="AM13" s="166" t="e">
        <f t="shared" si="6"/>
        <v>#N/A</v>
      </c>
      <c r="AN13" s="486"/>
      <c r="AO13" s="180"/>
      <c r="AP13" s="166"/>
      <c r="AQ13" s="166"/>
      <c r="AR13" s="166" t="e">
        <f t="shared" si="7"/>
        <v>#N/A</v>
      </c>
      <c r="AS13" s="506"/>
      <c r="AT13" s="180"/>
      <c r="AU13" s="166"/>
      <c r="AV13" s="166"/>
      <c r="AW13" s="166" t="e">
        <f t="shared" si="8"/>
        <v>#N/A</v>
      </c>
      <c r="AX13" s="525"/>
      <c r="AZ13" s="272" t="e">
        <f>RANK(AX13, $K$7:AX$21)</f>
        <v>#N/A</v>
      </c>
      <c r="BB13" s="180" t="e">
        <f t="shared" si="9"/>
        <v>#N/A</v>
      </c>
    </row>
    <row r="14" spans="1:54" ht="14.25">
      <c r="A14" s="79"/>
      <c r="B14" s="479"/>
      <c r="C14" s="180">
        <v>8</v>
      </c>
      <c r="D14" s="201"/>
      <c r="E14" s="166"/>
      <c r="F14" s="166"/>
      <c r="G14" s="166"/>
      <c r="H14" s="460"/>
      <c r="I14" s="166"/>
      <c r="J14" s="166"/>
      <c r="K14" s="265"/>
      <c r="L14" s="460"/>
      <c r="M14" s="272" t="e">
        <f>RANK(K14, K$7:$K$21)</f>
        <v>#N/A</v>
      </c>
      <c r="N14" s="462"/>
      <c r="O14" s="462"/>
      <c r="P14" s="180"/>
      <c r="Q14" s="166"/>
      <c r="R14" s="166"/>
      <c r="S14" s="166" t="e">
        <f t="shared" si="2"/>
        <v>#N/A</v>
      </c>
      <c r="T14" s="506"/>
      <c r="U14" s="180"/>
      <c r="V14" s="166"/>
      <c r="W14" s="166"/>
      <c r="X14" s="166" t="e">
        <f t="shared" si="3"/>
        <v>#N/A</v>
      </c>
      <c r="Y14" s="486"/>
      <c r="Z14" s="180"/>
      <c r="AA14" s="166"/>
      <c r="AB14" s="166"/>
      <c r="AC14" s="166" t="e">
        <f t="shared" si="4"/>
        <v>#N/A</v>
      </c>
      <c r="AD14" s="486"/>
      <c r="AE14" s="180"/>
      <c r="AF14" s="166"/>
      <c r="AG14" s="166"/>
      <c r="AH14" s="166" t="e">
        <f t="shared" si="5"/>
        <v>#N/A</v>
      </c>
      <c r="AI14" s="486"/>
      <c r="AJ14" s="180"/>
      <c r="AK14" s="166"/>
      <c r="AL14" s="166"/>
      <c r="AM14" s="166" t="e">
        <f t="shared" si="6"/>
        <v>#N/A</v>
      </c>
      <c r="AN14" s="486"/>
      <c r="AO14" s="180"/>
      <c r="AP14" s="166"/>
      <c r="AQ14" s="166"/>
      <c r="AR14" s="166" t="e">
        <f t="shared" si="7"/>
        <v>#N/A</v>
      </c>
      <c r="AS14" s="506"/>
      <c r="AT14" s="180"/>
      <c r="AU14" s="166"/>
      <c r="AV14" s="166"/>
      <c r="AW14" s="166" t="e">
        <f t="shared" si="8"/>
        <v>#N/A</v>
      </c>
      <c r="AX14" s="525"/>
      <c r="AZ14" s="272" t="e">
        <f>RANK(AX14, $K$7:AX$21)</f>
        <v>#N/A</v>
      </c>
      <c r="BB14" s="180" t="e">
        <f t="shared" si="9"/>
        <v>#N/A</v>
      </c>
    </row>
    <row r="15" spans="1:54" ht="14.25">
      <c r="A15" s="79"/>
      <c r="B15" s="479"/>
      <c r="C15" s="180">
        <v>9</v>
      </c>
      <c r="D15" s="201"/>
      <c r="E15" s="166"/>
      <c r="F15" s="166"/>
      <c r="G15" s="166"/>
      <c r="H15" s="460"/>
      <c r="I15" s="166"/>
      <c r="J15" s="166"/>
      <c r="K15" s="265"/>
      <c r="L15" s="460"/>
      <c r="M15" s="272" t="e">
        <f>RANK(K15, K$7:$K$21)</f>
        <v>#N/A</v>
      </c>
      <c r="N15" s="462"/>
      <c r="O15" s="462"/>
      <c r="P15" s="180"/>
      <c r="Q15" s="166"/>
      <c r="R15" s="166"/>
      <c r="S15" s="166" t="e">
        <f t="shared" si="2"/>
        <v>#N/A</v>
      </c>
      <c r="T15" s="506"/>
      <c r="U15" s="180"/>
      <c r="V15" s="166"/>
      <c r="W15" s="166"/>
      <c r="X15" s="166" t="e">
        <f t="shared" si="3"/>
        <v>#N/A</v>
      </c>
      <c r="Y15" s="486"/>
      <c r="Z15" s="180"/>
      <c r="AA15" s="166"/>
      <c r="AB15" s="166"/>
      <c r="AC15" s="166" t="e">
        <f t="shared" si="4"/>
        <v>#N/A</v>
      </c>
      <c r="AD15" s="486"/>
      <c r="AE15" s="180"/>
      <c r="AF15" s="166"/>
      <c r="AG15" s="166"/>
      <c r="AH15" s="166" t="e">
        <f t="shared" si="5"/>
        <v>#N/A</v>
      </c>
      <c r="AI15" s="486"/>
      <c r="AJ15" s="180"/>
      <c r="AK15" s="166"/>
      <c r="AL15" s="166"/>
      <c r="AM15" s="166" t="e">
        <f t="shared" si="6"/>
        <v>#N/A</v>
      </c>
      <c r="AN15" s="486"/>
      <c r="AO15" s="180"/>
      <c r="AP15" s="166"/>
      <c r="AQ15" s="166"/>
      <c r="AR15" s="166" t="e">
        <f t="shared" si="7"/>
        <v>#N/A</v>
      </c>
      <c r="AS15" s="506"/>
      <c r="AT15" s="180"/>
      <c r="AU15" s="166"/>
      <c r="AV15" s="166"/>
      <c r="AW15" s="166" t="e">
        <f t="shared" si="8"/>
        <v>#N/A</v>
      </c>
      <c r="AX15" s="525"/>
      <c r="AZ15" s="272" t="e">
        <f>RANK(AX15, $K$7:AX$21)</f>
        <v>#N/A</v>
      </c>
      <c r="BB15" s="180" t="e">
        <f t="shared" si="9"/>
        <v>#N/A</v>
      </c>
    </row>
    <row r="16" spans="1:54" ht="14.25">
      <c r="A16" s="79"/>
      <c r="B16" s="479"/>
      <c r="C16" s="180">
        <v>10</v>
      </c>
      <c r="D16" s="201"/>
      <c r="E16" s="166" t="s">
        <v>522</v>
      </c>
      <c r="F16" s="166" t="s">
        <v>522</v>
      </c>
      <c r="G16" s="166" t="s">
        <v>522</v>
      </c>
      <c r="H16" s="460"/>
      <c r="I16" s="166"/>
      <c r="J16" s="166"/>
      <c r="K16" s="265"/>
      <c r="L16" s="460"/>
      <c r="M16" s="272" t="e">
        <f>RANK(K16, K$7:$K$21)</f>
        <v>#N/A</v>
      </c>
      <c r="N16" s="462"/>
      <c r="O16" s="462"/>
      <c r="P16" s="180"/>
      <c r="Q16" s="166"/>
      <c r="R16" s="166"/>
      <c r="S16" s="166" t="e">
        <f t="shared" si="2"/>
        <v>#N/A</v>
      </c>
      <c r="T16" s="506"/>
      <c r="U16" s="180"/>
      <c r="V16" s="166"/>
      <c r="W16" s="166"/>
      <c r="X16" s="166" t="e">
        <f t="shared" si="3"/>
        <v>#N/A</v>
      </c>
      <c r="Y16" s="486"/>
      <c r="Z16" s="180"/>
      <c r="AA16" s="166"/>
      <c r="AB16" s="166"/>
      <c r="AC16" s="166" t="e">
        <f t="shared" si="4"/>
        <v>#N/A</v>
      </c>
      <c r="AD16" s="486"/>
      <c r="AE16" s="180"/>
      <c r="AF16" s="166"/>
      <c r="AG16" s="166"/>
      <c r="AH16" s="166" t="e">
        <f t="shared" si="5"/>
        <v>#N/A</v>
      </c>
      <c r="AI16" s="486"/>
      <c r="AJ16" s="180"/>
      <c r="AK16" s="166"/>
      <c r="AL16" s="166"/>
      <c r="AM16" s="166" t="e">
        <f t="shared" si="6"/>
        <v>#N/A</v>
      </c>
      <c r="AN16" s="486"/>
      <c r="AO16" s="180"/>
      <c r="AP16" s="166"/>
      <c r="AQ16" s="166"/>
      <c r="AR16" s="166" t="e">
        <f t="shared" si="7"/>
        <v>#N/A</v>
      </c>
      <c r="AS16" s="506"/>
      <c r="AT16" s="180"/>
      <c r="AU16" s="166"/>
      <c r="AV16" s="166"/>
      <c r="AW16" s="166" t="e">
        <f t="shared" si="8"/>
        <v>#N/A</v>
      </c>
      <c r="AX16" s="525"/>
      <c r="AZ16" s="272" t="e">
        <f>RANK(AX16, $K$7:AX$21)</f>
        <v>#N/A</v>
      </c>
      <c r="BB16" s="180" t="e">
        <f t="shared" si="9"/>
        <v>#N/A</v>
      </c>
    </row>
    <row r="17" spans="2:54">
      <c r="B17" s="479"/>
      <c r="C17" s="180">
        <v>11</v>
      </c>
      <c r="D17" s="201"/>
      <c r="E17" s="166" t="s">
        <v>522</v>
      </c>
      <c r="F17" s="166" t="s">
        <v>522</v>
      </c>
      <c r="G17" s="166" t="s">
        <v>522</v>
      </c>
      <c r="H17" s="460"/>
      <c r="I17" s="166"/>
      <c r="J17" s="166"/>
      <c r="K17" s="265"/>
      <c r="L17" s="460"/>
      <c r="M17" s="272" t="e">
        <f>RANK(K17, K$7:$K$21)</f>
        <v>#N/A</v>
      </c>
      <c r="N17" s="462"/>
      <c r="O17" s="462"/>
      <c r="P17" s="180"/>
      <c r="Q17" s="166"/>
      <c r="R17" s="166"/>
      <c r="S17" s="166" t="e">
        <f t="shared" si="2"/>
        <v>#N/A</v>
      </c>
      <c r="T17" s="506"/>
      <c r="U17" s="180"/>
      <c r="V17" s="166"/>
      <c r="W17" s="166"/>
      <c r="X17" s="166" t="e">
        <f t="shared" si="3"/>
        <v>#N/A</v>
      </c>
      <c r="Y17" s="486"/>
      <c r="Z17" s="180"/>
      <c r="AA17" s="166"/>
      <c r="AB17" s="166"/>
      <c r="AC17" s="166" t="e">
        <f t="shared" si="4"/>
        <v>#N/A</v>
      </c>
      <c r="AD17" s="486"/>
      <c r="AE17" s="180"/>
      <c r="AF17" s="166"/>
      <c r="AG17" s="166"/>
      <c r="AH17" s="166" t="e">
        <f t="shared" si="5"/>
        <v>#N/A</v>
      </c>
      <c r="AI17" s="486"/>
      <c r="AJ17" s="180"/>
      <c r="AK17" s="166"/>
      <c r="AL17" s="166"/>
      <c r="AM17" s="166" t="e">
        <f t="shared" si="6"/>
        <v>#N/A</v>
      </c>
      <c r="AN17" s="486"/>
      <c r="AO17" s="180"/>
      <c r="AP17" s="166"/>
      <c r="AQ17" s="166"/>
      <c r="AR17" s="166" t="e">
        <f t="shared" si="7"/>
        <v>#N/A</v>
      </c>
      <c r="AS17" s="506"/>
      <c r="AT17" s="180"/>
      <c r="AU17" s="166"/>
      <c r="AV17" s="166"/>
      <c r="AW17" s="166" t="e">
        <f t="shared" si="8"/>
        <v>#N/A</v>
      </c>
      <c r="AX17" s="525"/>
      <c r="AZ17" s="272" t="e">
        <f>RANK(AX17, $K$7:AX$21)</f>
        <v>#N/A</v>
      </c>
      <c r="BB17" s="180" t="e">
        <f t="shared" si="9"/>
        <v>#N/A</v>
      </c>
    </row>
    <row r="18" spans="2:54">
      <c r="B18" s="479"/>
      <c r="C18" s="180">
        <v>12</v>
      </c>
      <c r="D18" s="201"/>
      <c r="E18" s="166" t="s">
        <v>522</v>
      </c>
      <c r="F18" s="166" t="s">
        <v>522</v>
      </c>
      <c r="G18" s="166" t="s">
        <v>522</v>
      </c>
      <c r="H18" s="460"/>
      <c r="I18" s="166"/>
      <c r="J18" s="166"/>
      <c r="K18" s="265"/>
      <c r="L18" s="460"/>
      <c r="M18" s="272" t="e">
        <f>RANK(K18, K$7:$K$21)</f>
        <v>#N/A</v>
      </c>
      <c r="N18" s="462"/>
      <c r="O18" s="462"/>
      <c r="P18" s="180"/>
      <c r="Q18" s="166"/>
      <c r="R18" s="166"/>
      <c r="S18" s="166" t="e">
        <f t="shared" si="2"/>
        <v>#N/A</v>
      </c>
      <c r="T18" s="506"/>
      <c r="U18" s="180"/>
      <c r="V18" s="166"/>
      <c r="W18" s="166"/>
      <c r="X18" s="166" t="e">
        <f t="shared" si="3"/>
        <v>#N/A</v>
      </c>
      <c r="Y18" s="486"/>
      <c r="Z18" s="180"/>
      <c r="AA18" s="166"/>
      <c r="AB18" s="166"/>
      <c r="AC18" s="166" t="e">
        <f t="shared" si="4"/>
        <v>#N/A</v>
      </c>
      <c r="AD18" s="486"/>
      <c r="AE18" s="180"/>
      <c r="AF18" s="166"/>
      <c r="AG18" s="166"/>
      <c r="AH18" s="166" t="e">
        <f t="shared" si="5"/>
        <v>#N/A</v>
      </c>
      <c r="AI18" s="486"/>
      <c r="AJ18" s="180"/>
      <c r="AK18" s="166"/>
      <c r="AL18" s="166"/>
      <c r="AM18" s="166" t="e">
        <f t="shared" si="6"/>
        <v>#N/A</v>
      </c>
      <c r="AN18" s="486"/>
      <c r="AO18" s="180"/>
      <c r="AP18" s="166"/>
      <c r="AQ18" s="166"/>
      <c r="AR18" s="166" t="e">
        <f t="shared" si="7"/>
        <v>#N/A</v>
      </c>
      <c r="AS18" s="506"/>
      <c r="AT18" s="180"/>
      <c r="AU18" s="166"/>
      <c r="AV18" s="166"/>
      <c r="AW18" s="166" t="e">
        <f t="shared" si="8"/>
        <v>#N/A</v>
      </c>
      <c r="AX18" s="525"/>
      <c r="AZ18" s="272" t="e">
        <f>RANK(AX18, $K$7:AX$21)</f>
        <v>#N/A</v>
      </c>
      <c r="BB18" s="180" t="e">
        <f t="shared" si="9"/>
        <v>#N/A</v>
      </c>
    </row>
    <row r="19" spans="2:54">
      <c r="B19" s="479"/>
      <c r="C19" s="180">
        <v>13</v>
      </c>
      <c r="D19" s="201"/>
      <c r="E19" s="166" t="s">
        <v>522</v>
      </c>
      <c r="F19" s="166" t="s">
        <v>522</v>
      </c>
      <c r="G19" s="166" t="s">
        <v>522</v>
      </c>
      <c r="H19" s="460"/>
      <c r="I19" s="180"/>
      <c r="J19" s="180"/>
      <c r="K19" s="180"/>
      <c r="L19" s="460"/>
      <c r="M19" s="272" t="e">
        <f>RANK(K19, K$7:$K$21)</f>
        <v>#N/A</v>
      </c>
      <c r="N19" s="462"/>
      <c r="O19" s="462"/>
      <c r="P19" s="180"/>
      <c r="Q19" s="166"/>
      <c r="R19" s="166"/>
      <c r="S19" s="166" t="e">
        <f t="shared" si="2"/>
        <v>#N/A</v>
      </c>
      <c r="T19" s="506"/>
      <c r="U19" s="180"/>
      <c r="V19" s="166"/>
      <c r="W19" s="166"/>
      <c r="X19" s="166" t="e">
        <f t="shared" si="3"/>
        <v>#N/A</v>
      </c>
      <c r="Y19" s="486"/>
      <c r="Z19" s="180"/>
      <c r="AA19" s="166"/>
      <c r="AB19" s="166"/>
      <c r="AC19" s="166" t="e">
        <f t="shared" si="4"/>
        <v>#N/A</v>
      </c>
      <c r="AD19" s="486"/>
      <c r="AE19" s="180"/>
      <c r="AF19" s="166"/>
      <c r="AG19" s="166"/>
      <c r="AH19" s="166" t="e">
        <f t="shared" si="5"/>
        <v>#N/A</v>
      </c>
      <c r="AI19" s="486"/>
      <c r="AJ19" s="180"/>
      <c r="AK19" s="166"/>
      <c r="AL19" s="166"/>
      <c r="AM19" s="166" t="e">
        <f t="shared" si="6"/>
        <v>#N/A</v>
      </c>
      <c r="AN19" s="486"/>
      <c r="AO19" s="180"/>
      <c r="AP19" s="166"/>
      <c r="AQ19" s="166"/>
      <c r="AR19" s="166" t="e">
        <f t="shared" si="7"/>
        <v>#N/A</v>
      </c>
      <c r="AS19" s="506"/>
      <c r="AT19" s="180"/>
      <c r="AU19" s="166"/>
      <c r="AV19" s="166"/>
      <c r="AW19" s="166" t="e">
        <f t="shared" si="8"/>
        <v>#N/A</v>
      </c>
      <c r="AX19" s="525"/>
      <c r="AZ19" s="272" t="e">
        <f>RANK(AX19, $K$7:AX$21)</f>
        <v>#N/A</v>
      </c>
      <c r="BB19" s="180" t="e">
        <f t="shared" si="9"/>
        <v>#N/A</v>
      </c>
    </row>
    <row r="20" spans="2:54">
      <c r="B20" s="479"/>
      <c r="C20" s="180">
        <v>14</v>
      </c>
      <c r="D20" s="201"/>
      <c r="E20" s="166" t="s">
        <v>522</v>
      </c>
      <c r="F20" s="166" t="s">
        <v>522</v>
      </c>
      <c r="G20" s="166" t="s">
        <v>522</v>
      </c>
      <c r="H20" s="460"/>
      <c r="I20" s="180"/>
      <c r="J20" s="180"/>
      <c r="K20" s="180"/>
      <c r="L20" s="460"/>
      <c r="M20" s="272" t="e">
        <f>RANK(K20, K$7:$K$21)</f>
        <v>#N/A</v>
      </c>
      <c r="N20" s="462"/>
      <c r="O20" s="462"/>
      <c r="P20" s="180"/>
      <c r="Q20" s="166"/>
      <c r="R20" s="166"/>
      <c r="S20" s="166" t="e">
        <f t="shared" si="2"/>
        <v>#N/A</v>
      </c>
      <c r="T20" s="506"/>
      <c r="U20" s="180"/>
      <c r="V20" s="166"/>
      <c r="W20" s="166"/>
      <c r="X20" s="166" t="e">
        <f t="shared" si="3"/>
        <v>#N/A</v>
      </c>
      <c r="Y20" s="486"/>
      <c r="Z20" s="180"/>
      <c r="AA20" s="166"/>
      <c r="AB20" s="166"/>
      <c r="AC20" s="166" t="e">
        <f t="shared" si="4"/>
        <v>#N/A</v>
      </c>
      <c r="AD20" s="486"/>
      <c r="AE20" s="180"/>
      <c r="AF20" s="166"/>
      <c r="AG20" s="166"/>
      <c r="AH20" s="166" t="e">
        <f t="shared" si="5"/>
        <v>#N/A</v>
      </c>
      <c r="AI20" s="486"/>
      <c r="AJ20" s="180"/>
      <c r="AK20" s="166"/>
      <c r="AL20" s="166"/>
      <c r="AM20" s="166" t="e">
        <f t="shared" si="6"/>
        <v>#N/A</v>
      </c>
      <c r="AN20" s="486"/>
      <c r="AO20" s="180"/>
      <c r="AP20" s="166"/>
      <c r="AQ20" s="166"/>
      <c r="AR20" s="166" t="e">
        <f t="shared" si="7"/>
        <v>#N/A</v>
      </c>
      <c r="AS20" s="506"/>
      <c r="AT20" s="180"/>
      <c r="AU20" s="166"/>
      <c r="AV20" s="166"/>
      <c r="AW20" s="166" t="e">
        <f t="shared" si="8"/>
        <v>#N/A</v>
      </c>
      <c r="AX20" s="525"/>
      <c r="AZ20" s="272" t="e">
        <f>RANK(AX20, $K$7:AX$21)</f>
        <v>#N/A</v>
      </c>
      <c r="BB20" s="180" t="e">
        <f t="shared" si="9"/>
        <v>#N/A</v>
      </c>
    </row>
    <row r="21" spans="2:54">
      <c r="B21" s="479"/>
      <c r="C21" s="180">
        <v>15</v>
      </c>
      <c r="D21" s="201"/>
      <c r="E21" s="166" t="s">
        <v>522</v>
      </c>
      <c r="F21" s="166" t="s">
        <v>522</v>
      </c>
      <c r="G21" s="166" t="s">
        <v>522</v>
      </c>
      <c r="H21" s="461"/>
      <c r="I21" s="180"/>
      <c r="J21" s="180"/>
      <c r="K21" s="180"/>
      <c r="L21" s="461"/>
      <c r="M21" s="272" t="e">
        <f>RANK(K21, K$7:$K$21)</f>
        <v>#N/A</v>
      </c>
      <c r="N21" s="462"/>
      <c r="O21" s="462"/>
      <c r="P21" s="180"/>
      <c r="Q21" s="166"/>
      <c r="R21" s="166"/>
      <c r="S21" s="166" t="e">
        <f t="shared" si="2"/>
        <v>#N/A</v>
      </c>
      <c r="T21" s="506"/>
      <c r="U21" s="180"/>
      <c r="V21" s="166"/>
      <c r="W21" s="166"/>
      <c r="X21" s="166" t="e">
        <f t="shared" si="3"/>
        <v>#N/A</v>
      </c>
      <c r="Y21" s="486"/>
      <c r="Z21" s="180"/>
      <c r="AA21" s="166"/>
      <c r="AB21" s="166"/>
      <c r="AC21" s="166" t="e">
        <f t="shared" si="4"/>
        <v>#N/A</v>
      </c>
      <c r="AD21" s="486"/>
      <c r="AE21" s="180"/>
      <c r="AF21" s="166"/>
      <c r="AG21" s="166"/>
      <c r="AH21" s="166" t="e">
        <f t="shared" si="5"/>
        <v>#N/A</v>
      </c>
      <c r="AI21" s="486"/>
      <c r="AJ21" s="180"/>
      <c r="AK21" s="166"/>
      <c r="AL21" s="166"/>
      <c r="AM21" s="166" t="e">
        <f t="shared" si="6"/>
        <v>#N/A</v>
      </c>
      <c r="AN21" s="486"/>
      <c r="AO21" s="180"/>
      <c r="AP21" s="166"/>
      <c r="AQ21" s="166"/>
      <c r="AR21" s="166" t="e">
        <f t="shared" si="7"/>
        <v>#N/A</v>
      </c>
      <c r="AS21" s="506"/>
      <c r="AT21" s="180"/>
      <c r="AU21" s="166"/>
      <c r="AV21" s="166"/>
      <c r="AW21" s="166" t="e">
        <f t="shared" si="8"/>
        <v>#N/A</v>
      </c>
      <c r="AX21" s="525"/>
      <c r="AZ21" s="166" t="e">
        <f>RANK(AX21, $K$7:AX$21)</f>
        <v>#N/A</v>
      </c>
      <c r="BB21" s="180" t="e">
        <f t="shared" si="9"/>
        <v>#N/A</v>
      </c>
    </row>
    <row r="22" spans="2:54" ht="15.75">
      <c r="B22" s="490" t="s">
        <v>721</v>
      </c>
      <c r="C22" s="491"/>
      <c r="D22" s="491"/>
      <c r="E22" s="491"/>
      <c r="F22" s="491"/>
      <c r="G22" s="491"/>
      <c r="H22" s="491"/>
      <c r="I22" s="181"/>
      <c r="J22" s="181"/>
      <c r="K22" s="181"/>
      <c r="L22" s="181"/>
      <c r="M22" s="178"/>
      <c r="N22" s="469" t="s">
        <v>722</v>
      </c>
      <c r="O22" s="469" t="s">
        <v>723</v>
      </c>
      <c r="P22" s="478">
        <f>AT2+1</f>
        <v>46056</v>
      </c>
      <c r="Q22" s="479"/>
      <c r="R22" s="479"/>
      <c r="S22" s="479"/>
      <c r="T22" s="479"/>
      <c r="U22" s="478">
        <f>P22+1</f>
        <v>46057</v>
      </c>
      <c r="V22" s="479"/>
      <c r="W22" s="479"/>
      <c r="X22" s="479"/>
      <c r="Y22" s="479"/>
      <c r="Z22" s="478">
        <f>U22+1</f>
        <v>46058</v>
      </c>
      <c r="AA22" s="479"/>
      <c r="AB22" s="479"/>
      <c r="AC22" s="479"/>
      <c r="AD22" s="479"/>
      <c r="AE22" s="478">
        <f>Z22+1</f>
        <v>46059</v>
      </c>
      <c r="AF22" s="479"/>
      <c r="AG22" s="479"/>
      <c r="AH22" s="479"/>
      <c r="AI22" s="479"/>
      <c r="AJ22" s="478">
        <f>AE22+1</f>
        <v>46060</v>
      </c>
      <c r="AK22" s="479"/>
      <c r="AL22" s="479"/>
      <c r="AM22" s="479"/>
      <c r="AN22" s="479"/>
      <c r="AO22" s="478">
        <f>AJ22+1</f>
        <v>46061</v>
      </c>
      <c r="AP22" s="479"/>
      <c r="AQ22" s="479"/>
      <c r="AR22" s="479"/>
      <c r="AS22" s="479"/>
      <c r="AT22" s="478">
        <f>AO22+1</f>
        <v>46062</v>
      </c>
      <c r="AU22" s="479"/>
      <c r="AV22" s="479"/>
      <c r="AW22" s="479"/>
      <c r="AX22" s="479"/>
    </row>
    <row r="23" spans="2:54" ht="15.75">
      <c r="B23" s="482"/>
      <c r="C23" s="482"/>
      <c r="D23" s="482"/>
      <c r="E23" s="482"/>
      <c r="F23" s="482"/>
      <c r="G23" s="482"/>
      <c r="H23" s="482"/>
      <c r="I23" s="182"/>
      <c r="J23" s="182"/>
      <c r="K23" s="182"/>
      <c r="L23" s="182"/>
      <c r="M23" s="179"/>
      <c r="N23" s="471"/>
      <c r="O23" s="471"/>
      <c r="P23" s="478" t="s">
        <v>724</v>
      </c>
      <c r="Q23" s="479"/>
      <c r="R23" s="479"/>
      <c r="S23" s="479"/>
      <c r="T23" s="479"/>
      <c r="U23" s="478" t="s">
        <v>725</v>
      </c>
      <c r="V23" s="479"/>
      <c r="W23" s="479"/>
      <c r="X23" s="479"/>
      <c r="Y23" s="479"/>
      <c r="Z23" s="478" t="s">
        <v>726</v>
      </c>
      <c r="AA23" s="479"/>
      <c r="AB23" s="479"/>
      <c r="AC23" s="479"/>
      <c r="AD23" s="479"/>
      <c r="AE23" s="478" t="s">
        <v>727</v>
      </c>
      <c r="AF23" s="479"/>
      <c r="AG23" s="479"/>
      <c r="AH23" s="479"/>
      <c r="AI23" s="479"/>
      <c r="AJ23" s="478" t="s">
        <v>728</v>
      </c>
      <c r="AK23" s="479"/>
      <c r="AL23" s="479"/>
      <c r="AM23" s="479"/>
      <c r="AN23" s="479"/>
      <c r="AO23" s="478" t="s">
        <v>729</v>
      </c>
      <c r="AP23" s="479"/>
      <c r="AQ23" s="479"/>
      <c r="AR23" s="479"/>
      <c r="AS23" s="479"/>
      <c r="AT23" s="478" t="s">
        <v>730</v>
      </c>
      <c r="AU23" s="479"/>
      <c r="AV23" s="479"/>
      <c r="AW23" s="479"/>
      <c r="AX23" s="479"/>
    </row>
    <row r="24" spans="2:54">
      <c r="B24" s="462" t="s">
        <v>731</v>
      </c>
      <c r="C24" s="462" t="s">
        <v>732</v>
      </c>
      <c r="D24" s="462"/>
      <c r="E24" s="462" t="s">
        <v>733</v>
      </c>
      <c r="F24" s="462"/>
      <c r="G24" s="462"/>
      <c r="H24" s="463" t="s">
        <v>734</v>
      </c>
      <c r="I24" s="462" t="s">
        <v>735</v>
      </c>
      <c r="J24" s="462"/>
      <c r="K24" s="462"/>
      <c r="L24" s="463" t="s">
        <v>734</v>
      </c>
      <c r="M24" s="469" t="s">
        <v>736</v>
      </c>
      <c r="N24" s="462"/>
      <c r="O24" s="462" t="s">
        <v>737</v>
      </c>
      <c r="P24" s="466" t="s">
        <v>738</v>
      </c>
      <c r="Q24" s="467"/>
      <c r="R24" s="467"/>
      <c r="S24" s="468"/>
      <c r="T24" s="462" t="s">
        <v>734</v>
      </c>
      <c r="U24" s="466" t="s">
        <v>738</v>
      </c>
      <c r="V24" s="467"/>
      <c r="W24" s="467"/>
      <c r="X24" s="468"/>
      <c r="Y24" s="462" t="s">
        <v>734</v>
      </c>
      <c r="Z24" s="466" t="s">
        <v>738</v>
      </c>
      <c r="AA24" s="467"/>
      <c r="AB24" s="467"/>
      <c r="AC24" s="468"/>
      <c r="AD24" s="462" t="s">
        <v>734</v>
      </c>
      <c r="AE24" s="466" t="s">
        <v>738</v>
      </c>
      <c r="AF24" s="467"/>
      <c r="AG24" s="467"/>
      <c r="AH24" s="468"/>
      <c r="AI24" s="462" t="s">
        <v>734</v>
      </c>
      <c r="AJ24" s="466" t="s">
        <v>738</v>
      </c>
      <c r="AK24" s="467"/>
      <c r="AL24" s="467"/>
      <c r="AM24" s="468"/>
      <c r="AN24" s="462" t="s">
        <v>734</v>
      </c>
      <c r="AO24" s="466" t="s">
        <v>738</v>
      </c>
      <c r="AP24" s="467"/>
      <c r="AQ24" s="467"/>
      <c r="AR24" s="468"/>
      <c r="AS24" s="462" t="s">
        <v>734</v>
      </c>
      <c r="AT24" s="466" t="s">
        <v>738</v>
      </c>
      <c r="AU24" s="467"/>
      <c r="AV24" s="467"/>
      <c r="AW24" s="468"/>
      <c r="AX24" s="462" t="s">
        <v>734</v>
      </c>
    </row>
    <row r="25" spans="2:54">
      <c r="B25" s="462"/>
      <c r="C25" s="462"/>
      <c r="D25" s="462"/>
      <c r="E25" s="462" t="s">
        <v>739</v>
      </c>
      <c r="F25" s="462"/>
      <c r="G25" s="462"/>
      <c r="H25" s="464"/>
      <c r="I25" s="462" t="s">
        <v>739</v>
      </c>
      <c r="J25" s="462"/>
      <c r="K25" s="462"/>
      <c r="L25" s="464"/>
      <c r="M25" s="470"/>
      <c r="N25" s="462"/>
      <c r="O25" s="462"/>
      <c r="P25" s="466" t="s">
        <v>740</v>
      </c>
      <c r="Q25" s="467"/>
      <c r="R25" s="467"/>
      <c r="S25" s="468"/>
      <c r="T25" s="462"/>
      <c r="U25" s="466" t="s">
        <v>740</v>
      </c>
      <c r="V25" s="467"/>
      <c r="W25" s="467"/>
      <c r="X25" s="468"/>
      <c r="Y25" s="462"/>
      <c r="Z25" s="466" t="s">
        <v>740</v>
      </c>
      <c r="AA25" s="467"/>
      <c r="AB25" s="467"/>
      <c r="AC25" s="468"/>
      <c r="AD25" s="462"/>
      <c r="AE25" s="466" t="s">
        <v>740</v>
      </c>
      <c r="AF25" s="467"/>
      <c r="AG25" s="467"/>
      <c r="AH25" s="468"/>
      <c r="AI25" s="462"/>
      <c r="AJ25" s="466" t="s">
        <v>740</v>
      </c>
      <c r="AK25" s="467"/>
      <c r="AL25" s="467"/>
      <c r="AM25" s="468"/>
      <c r="AN25" s="462"/>
      <c r="AO25" s="466" t="s">
        <v>740</v>
      </c>
      <c r="AP25" s="467"/>
      <c r="AQ25" s="467"/>
      <c r="AR25" s="468"/>
      <c r="AS25" s="462"/>
      <c r="AT25" s="466" t="s">
        <v>740</v>
      </c>
      <c r="AU25" s="467"/>
      <c r="AV25" s="467"/>
      <c r="AW25" s="468"/>
      <c r="AX25" s="462"/>
    </row>
    <row r="26" spans="2:54">
      <c r="B26" s="462"/>
      <c r="C26" s="462"/>
      <c r="D26" s="462"/>
      <c r="E26" s="264" t="s">
        <v>741</v>
      </c>
      <c r="F26" s="264" t="s">
        <v>742</v>
      </c>
      <c r="G26" s="264" t="s">
        <v>743</v>
      </c>
      <c r="H26" s="465"/>
      <c r="I26" s="264" t="s">
        <v>741</v>
      </c>
      <c r="J26" s="264" t="s">
        <v>742</v>
      </c>
      <c r="K26" s="264" t="s">
        <v>743</v>
      </c>
      <c r="L26" s="465"/>
      <c r="M26" s="471"/>
      <c r="N26" s="462"/>
      <c r="O26" s="462"/>
      <c r="P26" s="264" t="s">
        <v>741</v>
      </c>
      <c r="Q26" s="264" t="s">
        <v>742</v>
      </c>
      <c r="R26" s="264" t="s">
        <v>743</v>
      </c>
      <c r="S26" s="264" t="s">
        <v>736</v>
      </c>
      <c r="T26" s="462"/>
      <c r="U26" s="264" t="s">
        <v>741</v>
      </c>
      <c r="V26" s="264" t="s">
        <v>742</v>
      </c>
      <c r="W26" s="264" t="s">
        <v>743</v>
      </c>
      <c r="X26" s="264" t="s">
        <v>736</v>
      </c>
      <c r="Y26" s="462"/>
      <c r="Z26" s="264" t="s">
        <v>741</v>
      </c>
      <c r="AA26" s="264" t="s">
        <v>742</v>
      </c>
      <c r="AB26" s="264" t="s">
        <v>743</v>
      </c>
      <c r="AC26" s="264" t="s">
        <v>736</v>
      </c>
      <c r="AD26" s="462"/>
      <c r="AE26" s="264" t="s">
        <v>741</v>
      </c>
      <c r="AF26" s="264" t="s">
        <v>742</v>
      </c>
      <c r="AG26" s="264" t="s">
        <v>743</v>
      </c>
      <c r="AH26" s="264" t="s">
        <v>736</v>
      </c>
      <c r="AI26" s="462"/>
      <c r="AJ26" s="264" t="s">
        <v>741</v>
      </c>
      <c r="AK26" s="264" t="s">
        <v>742</v>
      </c>
      <c r="AL26" s="264" t="s">
        <v>743</v>
      </c>
      <c r="AM26" s="264" t="s">
        <v>736</v>
      </c>
      <c r="AN26" s="462"/>
      <c r="AO26" s="264" t="s">
        <v>741</v>
      </c>
      <c r="AP26" s="264" t="s">
        <v>742</v>
      </c>
      <c r="AQ26" s="264" t="s">
        <v>743</v>
      </c>
      <c r="AR26" s="264" t="s">
        <v>736</v>
      </c>
      <c r="AS26" s="462"/>
      <c r="AT26" s="264" t="s">
        <v>741</v>
      </c>
      <c r="AU26" s="264" t="s">
        <v>742</v>
      </c>
      <c r="AV26" s="264" t="s">
        <v>743</v>
      </c>
      <c r="AW26" s="264" t="s">
        <v>736</v>
      </c>
      <c r="AX26" s="462"/>
    </row>
    <row r="27" spans="2:54">
      <c r="B27" s="462" t="s">
        <v>756</v>
      </c>
      <c r="C27" s="180">
        <v>1</v>
      </c>
      <c r="D27" s="201" t="s">
        <v>518</v>
      </c>
      <c r="E27" s="166">
        <v>14</v>
      </c>
      <c r="F27" s="180">
        <v>1500</v>
      </c>
      <c r="G27" s="265">
        <v>107.14285714285714</v>
      </c>
      <c r="H27" s="459">
        <f>AVERAGE(G27:G41)</f>
        <v>90.605394204465412</v>
      </c>
      <c r="I27" s="166">
        <f>AVERAGE(P27,U27,Z27,AE27,AJ27,AO27,AT27)</f>
        <v>13</v>
      </c>
      <c r="J27" s="166">
        <f>AVERAGE(Q27,V27,AA27,AF27,AK27,AP27,AU27)</f>
        <v>1119.0009070294789</v>
      </c>
      <c r="K27" s="265">
        <f>AVERAGE(R27,W27,AB27,AG27,AL27,AQ27,AV27)</f>
        <v>86.076992848421455</v>
      </c>
      <c r="L27" s="459">
        <f>IFERROR(AVERAGE(K27:K41),"-")</f>
        <v>73.989565548759813</v>
      </c>
      <c r="M27" s="272">
        <f>RANK(K27, K$27:$K$41)</f>
        <v>1</v>
      </c>
      <c r="N27" s="462"/>
      <c r="O27" s="462"/>
      <c r="P27" s="166">
        <v>13</v>
      </c>
      <c r="Q27" s="166">
        <v>1101.4285714285722</v>
      </c>
      <c r="R27" s="166">
        <v>84.725274725274787</v>
      </c>
      <c r="S27" s="180">
        <f t="shared" ref="S27:S41" si="10">RANK(R27, R$27:R$41)</f>
        <v>1</v>
      </c>
      <c r="T27" s="486">
        <f>AVERAGE(R27:R41)</f>
        <v>75.105434816878486</v>
      </c>
      <c r="U27" s="166">
        <v>13</v>
      </c>
      <c r="V27" s="166">
        <v>1130.4000000000003</v>
      </c>
      <c r="W27" s="166">
        <v>86.953846153846172</v>
      </c>
      <c r="X27" s="180">
        <f t="shared" ref="X27:X41" si="11">RANK(W27, W$27:W$41)</f>
        <v>1</v>
      </c>
      <c r="Y27" s="486">
        <f t="shared" ref="Y27" si="12">AVERAGE(W27:W41)</f>
        <v>74.349677153126052</v>
      </c>
      <c r="Z27" s="166">
        <v>13</v>
      </c>
      <c r="AA27" s="166">
        <v>1117.7777777777785</v>
      </c>
      <c r="AB27" s="166">
        <v>85.982905982906033</v>
      </c>
      <c r="AC27" s="180">
        <f t="shared" ref="AC27:AC41" si="13">RANK(AB27, AB$27:AB$41)</f>
        <v>1</v>
      </c>
      <c r="AD27" s="486">
        <f t="shared" ref="AD27" si="14">AVERAGE(AB27:AB41)</f>
        <v>74.000543514647191</v>
      </c>
      <c r="AE27" s="166">
        <v>13</v>
      </c>
      <c r="AF27" s="166">
        <v>1094.9999999999995</v>
      </c>
      <c r="AG27" s="166">
        <v>84.230769230769198</v>
      </c>
      <c r="AH27" s="180">
        <f t="shared" ref="AH27:AH41" si="15">RANK(AG27, AG$27:AG$41)</f>
        <v>1</v>
      </c>
      <c r="AI27" s="486">
        <f t="shared" ref="AI27" si="16">AVERAGE(AG27:AG41)</f>
        <v>73.250921682601245</v>
      </c>
      <c r="AJ27" s="166">
        <v>13</v>
      </c>
      <c r="AK27" s="166">
        <v>1128.0000000000002</v>
      </c>
      <c r="AL27" s="166">
        <v>86.769230769230788</v>
      </c>
      <c r="AM27" s="180">
        <f t="shared" ref="AM27:AM41" si="17">RANK(AL27, AL$27:AL$41)</f>
        <v>1</v>
      </c>
      <c r="AN27" s="486">
        <f t="shared" ref="AN27" si="18">AVERAGE(AL27:AL41)</f>
        <v>73.836690832234382</v>
      </c>
      <c r="AO27" s="166">
        <v>13</v>
      </c>
      <c r="AP27" s="166">
        <v>1118.4000000000003</v>
      </c>
      <c r="AQ27" s="166">
        <v>86.030769230769252</v>
      </c>
      <c r="AR27" s="180">
        <f t="shared" ref="AR27:AR41" si="19">RANK(AQ27, AQ$27:AQ$41)</f>
        <v>1</v>
      </c>
      <c r="AS27" s="486">
        <f t="shared" ref="AS27" si="20">AVERAGE(AQ27:AQ41)</f>
        <v>73.685605020148543</v>
      </c>
      <c r="AT27" s="166">
        <v>13</v>
      </c>
      <c r="AU27" s="166">
        <v>1142.0000000000011</v>
      </c>
      <c r="AV27" s="166">
        <v>87.846153846153939</v>
      </c>
      <c r="AW27" s="180">
        <f t="shared" ref="AW27:AW41" si="21">RANK(AV27, AV$27:AV$41)</f>
        <v>1</v>
      </c>
      <c r="AX27" s="486">
        <f t="shared" ref="AX27" si="22">AVERAGE(AV27:AV41)</f>
        <v>73.698085821682795</v>
      </c>
    </row>
    <row r="28" spans="2:54">
      <c r="B28" s="479"/>
      <c r="C28" s="180">
        <v>2</v>
      </c>
      <c r="D28" s="201" t="s">
        <v>599</v>
      </c>
      <c r="E28" s="166">
        <v>17</v>
      </c>
      <c r="F28" s="180">
        <v>1636</v>
      </c>
      <c r="G28" s="265">
        <v>96.235294117647058</v>
      </c>
      <c r="H28" s="460"/>
      <c r="I28" s="166">
        <f t="shared" ref="I28:K32" si="23">AVERAGE(P28,U28,Z28,AE28,AJ28,AO28,AT28)</f>
        <v>18</v>
      </c>
      <c r="J28" s="166">
        <f t="shared" si="23"/>
        <v>1317.1369586674077</v>
      </c>
      <c r="K28" s="265">
        <f t="shared" si="23"/>
        <v>73.174275481522642</v>
      </c>
      <c r="L28" s="460"/>
      <c r="M28" s="272">
        <f>RANK(K28, K$27:$K$41)</f>
        <v>4</v>
      </c>
      <c r="N28" s="462"/>
      <c r="O28" s="462"/>
      <c r="P28" s="166">
        <v>18</v>
      </c>
      <c r="Q28" s="166">
        <v>1328.0281690140846</v>
      </c>
      <c r="R28" s="166">
        <v>73.779342723004703</v>
      </c>
      <c r="S28" s="180">
        <f t="shared" si="10"/>
        <v>4</v>
      </c>
      <c r="T28" s="486"/>
      <c r="U28" s="166">
        <v>18</v>
      </c>
      <c r="V28" s="166">
        <v>1345.1470588235286</v>
      </c>
      <c r="W28" s="166">
        <v>74.730392156862706</v>
      </c>
      <c r="X28" s="180">
        <f t="shared" si="11"/>
        <v>4</v>
      </c>
      <c r="Y28" s="486"/>
      <c r="Z28" s="166">
        <v>18</v>
      </c>
      <c r="AA28" s="166">
        <v>1302.3255813953494</v>
      </c>
      <c r="AB28" s="166">
        <v>72.351421188630525</v>
      </c>
      <c r="AC28" s="180">
        <f t="shared" si="13"/>
        <v>5</v>
      </c>
      <c r="AD28" s="486"/>
      <c r="AE28" s="166">
        <v>18</v>
      </c>
      <c r="AF28" s="166">
        <v>1306.5517241379307</v>
      </c>
      <c r="AG28" s="166">
        <v>72.586206896551701</v>
      </c>
      <c r="AH28" s="180">
        <f t="shared" si="15"/>
        <v>4</v>
      </c>
      <c r="AI28" s="486"/>
      <c r="AJ28" s="166">
        <v>18</v>
      </c>
      <c r="AK28" s="166">
        <v>1299.8399999999997</v>
      </c>
      <c r="AL28" s="166">
        <v>72.21333333333331</v>
      </c>
      <c r="AM28" s="180">
        <f t="shared" si="17"/>
        <v>5</v>
      </c>
      <c r="AN28" s="486"/>
      <c r="AO28" s="166">
        <v>18</v>
      </c>
      <c r="AP28" s="166">
        <v>1320.7792207792206</v>
      </c>
      <c r="AQ28" s="166">
        <v>73.376623376623371</v>
      </c>
      <c r="AR28" s="180">
        <f t="shared" si="19"/>
        <v>4</v>
      </c>
      <c r="AS28" s="486"/>
      <c r="AT28" s="166">
        <v>18</v>
      </c>
      <c r="AU28" s="166">
        <v>1317.2869565217393</v>
      </c>
      <c r="AV28" s="166">
        <v>73.182608695652178</v>
      </c>
      <c r="AW28" s="180">
        <f t="shared" si="21"/>
        <v>4</v>
      </c>
      <c r="AX28" s="486"/>
    </row>
    <row r="29" spans="2:54">
      <c r="B29" s="479"/>
      <c r="C29" s="180">
        <v>3</v>
      </c>
      <c r="D29" s="201" t="s">
        <v>555</v>
      </c>
      <c r="E29" s="166">
        <v>17</v>
      </c>
      <c r="F29" s="180">
        <v>1500</v>
      </c>
      <c r="G29" s="265">
        <v>88.235294117647058</v>
      </c>
      <c r="H29" s="460"/>
      <c r="I29" s="166">
        <f t="shared" si="23"/>
        <v>16.857142857142858</v>
      </c>
      <c r="J29" s="166">
        <f t="shared" si="23"/>
        <v>1307.2810562281593</v>
      </c>
      <c r="K29" s="265">
        <f t="shared" si="23"/>
        <v>77.595799041216878</v>
      </c>
      <c r="L29" s="460"/>
      <c r="M29" s="272">
        <f>RANK(K29, K$27:$K$41)</f>
        <v>2</v>
      </c>
      <c r="N29" s="462"/>
      <c r="O29" s="462"/>
      <c r="P29" s="166">
        <v>16</v>
      </c>
      <c r="Q29" s="166">
        <v>1326.9230769230767</v>
      </c>
      <c r="R29" s="166">
        <v>82.932692307692292</v>
      </c>
      <c r="S29" s="180">
        <f t="shared" si="10"/>
        <v>2</v>
      </c>
      <c r="T29" s="486"/>
      <c r="U29" s="166">
        <v>17</v>
      </c>
      <c r="V29" s="166">
        <v>1302.1052631578957</v>
      </c>
      <c r="W29" s="166">
        <v>76.594427244582107</v>
      </c>
      <c r="X29" s="180">
        <f t="shared" si="11"/>
        <v>2</v>
      </c>
      <c r="Y29" s="486"/>
      <c r="Z29" s="166">
        <v>17</v>
      </c>
      <c r="AA29" s="166">
        <v>1327.2000000000003</v>
      </c>
      <c r="AB29" s="166">
        <v>78.070588235294139</v>
      </c>
      <c r="AC29" s="180">
        <f t="shared" si="13"/>
        <v>2</v>
      </c>
      <c r="AD29" s="486"/>
      <c r="AE29" s="166">
        <v>17</v>
      </c>
      <c r="AF29" s="166">
        <v>1275.7894736842095</v>
      </c>
      <c r="AG29" s="166">
        <v>75.046439628482915</v>
      </c>
      <c r="AH29" s="180">
        <f t="shared" si="15"/>
        <v>3</v>
      </c>
      <c r="AI29" s="486"/>
      <c r="AJ29" s="166">
        <v>17</v>
      </c>
      <c r="AK29" s="166">
        <v>1324.9999999999993</v>
      </c>
      <c r="AL29" s="166">
        <v>77.941176470588189</v>
      </c>
      <c r="AM29" s="180">
        <f t="shared" si="17"/>
        <v>2</v>
      </c>
      <c r="AN29" s="486"/>
      <c r="AO29" s="166">
        <v>17</v>
      </c>
      <c r="AP29" s="166">
        <v>1308.2352941176475</v>
      </c>
      <c r="AQ29" s="166">
        <v>76.955017301038083</v>
      </c>
      <c r="AR29" s="180">
        <f t="shared" si="19"/>
        <v>2</v>
      </c>
      <c r="AS29" s="486"/>
      <c r="AT29" s="166">
        <v>17</v>
      </c>
      <c r="AU29" s="166">
        <v>1285.7142857142867</v>
      </c>
      <c r="AV29" s="166">
        <v>75.630252100840394</v>
      </c>
      <c r="AW29" s="180">
        <f t="shared" si="21"/>
        <v>3</v>
      </c>
      <c r="AX29" s="486"/>
    </row>
    <row r="30" spans="2:54">
      <c r="B30" s="479"/>
      <c r="C30" s="180">
        <v>4</v>
      </c>
      <c r="D30" s="201" t="s">
        <v>566</v>
      </c>
      <c r="E30" s="166">
        <v>17</v>
      </c>
      <c r="F30" s="180">
        <v>1500</v>
      </c>
      <c r="G30" s="265">
        <v>88.235294117647058</v>
      </c>
      <c r="H30" s="460"/>
      <c r="I30" s="166">
        <f t="shared" si="23"/>
        <v>18</v>
      </c>
      <c r="J30" s="166">
        <f t="shared" si="23"/>
        <v>1312.2330915093669</v>
      </c>
      <c r="K30" s="265">
        <f t="shared" si="23"/>
        <v>72.901838417187065</v>
      </c>
      <c r="L30" s="460"/>
      <c r="M30" s="272">
        <f>RANK(K30, K$27:$K$41)</f>
        <v>5</v>
      </c>
      <c r="N30" s="462"/>
      <c r="O30" s="462"/>
      <c r="P30" s="166">
        <v>18</v>
      </c>
      <c r="Q30" s="166">
        <v>1324.5000000000005</v>
      </c>
      <c r="R30" s="166">
        <v>73.583333333333357</v>
      </c>
      <c r="S30" s="180">
        <f t="shared" si="10"/>
        <v>5</v>
      </c>
      <c r="T30" s="486"/>
      <c r="U30" s="166">
        <v>18</v>
      </c>
      <c r="V30" s="166">
        <v>1288.8000000000004</v>
      </c>
      <c r="W30" s="166">
        <v>71.600000000000023</v>
      </c>
      <c r="X30" s="180">
        <f t="shared" si="11"/>
        <v>5</v>
      </c>
      <c r="Y30" s="486"/>
      <c r="Z30" s="166">
        <v>18</v>
      </c>
      <c r="AA30" s="166">
        <v>1305.3846153846162</v>
      </c>
      <c r="AB30" s="166">
        <v>72.521367521367566</v>
      </c>
      <c r="AC30" s="180">
        <f t="shared" si="13"/>
        <v>4</v>
      </c>
      <c r="AD30" s="486"/>
      <c r="AE30" s="166">
        <v>18</v>
      </c>
      <c r="AF30" s="166">
        <v>1305.2631578947369</v>
      </c>
      <c r="AG30" s="166">
        <v>72.514619883040936</v>
      </c>
      <c r="AH30" s="180">
        <f t="shared" si="15"/>
        <v>5</v>
      </c>
      <c r="AI30" s="486"/>
      <c r="AJ30" s="166">
        <v>18</v>
      </c>
      <c r="AK30" s="166">
        <v>1330.5957446808511</v>
      </c>
      <c r="AL30" s="166">
        <v>73.921985815602838</v>
      </c>
      <c r="AM30" s="180">
        <f t="shared" si="17"/>
        <v>4</v>
      </c>
      <c r="AN30" s="486"/>
      <c r="AO30" s="166">
        <v>18</v>
      </c>
      <c r="AP30" s="166">
        <v>1316.7777777777776</v>
      </c>
      <c r="AQ30" s="166">
        <v>73.154320987654316</v>
      </c>
      <c r="AR30" s="180">
        <f t="shared" si="19"/>
        <v>5</v>
      </c>
      <c r="AS30" s="486"/>
      <c r="AT30" s="166">
        <v>18</v>
      </c>
      <c r="AU30" s="166">
        <v>1314.3103448275865</v>
      </c>
      <c r="AV30" s="166">
        <v>73.017241379310363</v>
      </c>
      <c r="AW30" s="180">
        <f t="shared" si="21"/>
        <v>5</v>
      </c>
      <c r="AX30" s="486"/>
    </row>
    <row r="31" spans="2:54">
      <c r="B31" s="479"/>
      <c r="C31" s="180">
        <v>5</v>
      </c>
      <c r="D31" s="201" t="s">
        <v>674</v>
      </c>
      <c r="E31" s="166">
        <v>18</v>
      </c>
      <c r="F31" s="180">
        <v>1636</v>
      </c>
      <c r="G31" s="265">
        <v>90.888888888888886</v>
      </c>
      <c r="H31" s="460"/>
      <c r="I31" s="166">
        <f t="shared" si="23"/>
        <v>18</v>
      </c>
      <c r="J31" s="166">
        <f t="shared" si="23"/>
        <v>1361.4842181393719</v>
      </c>
      <c r="K31" s="265">
        <f t="shared" si="23"/>
        <v>75.638012118853993</v>
      </c>
      <c r="L31" s="460"/>
      <c r="M31" s="272">
        <f>RANK(K31, K$27:$K$41)</f>
        <v>3</v>
      </c>
      <c r="N31" s="462"/>
      <c r="O31" s="462"/>
      <c r="P31" s="166">
        <v>18</v>
      </c>
      <c r="Q31" s="166">
        <v>1364.6153846153838</v>
      </c>
      <c r="R31" s="166">
        <v>75.811965811965763</v>
      </c>
      <c r="S31" s="180">
        <f t="shared" si="10"/>
        <v>3</v>
      </c>
      <c r="T31" s="486"/>
      <c r="U31" s="166">
        <v>18</v>
      </c>
      <c r="V31" s="166">
        <v>1375.0000000000002</v>
      </c>
      <c r="W31" s="166">
        <v>76.3888888888889</v>
      </c>
      <c r="X31" s="180">
        <f t="shared" si="11"/>
        <v>3</v>
      </c>
      <c r="Y31" s="486"/>
      <c r="Z31" s="166">
        <v>18</v>
      </c>
      <c r="AA31" s="166">
        <v>1345.263157894736</v>
      </c>
      <c r="AB31" s="166">
        <v>74.736842105263108</v>
      </c>
      <c r="AC31" s="180">
        <f t="shared" si="13"/>
        <v>3</v>
      </c>
      <c r="AD31" s="486"/>
      <c r="AE31" s="166">
        <v>18</v>
      </c>
      <c r="AF31" s="166">
        <v>1378.6363636363635</v>
      </c>
      <c r="AG31" s="166">
        <v>76.590909090909079</v>
      </c>
      <c r="AH31" s="180">
        <f t="shared" si="15"/>
        <v>2</v>
      </c>
      <c r="AI31" s="486"/>
      <c r="AJ31" s="166">
        <v>18</v>
      </c>
      <c r="AK31" s="166">
        <v>1340.9999999999995</v>
      </c>
      <c r="AL31" s="166">
        <v>74.499999999999972</v>
      </c>
      <c r="AM31" s="180">
        <f t="shared" si="17"/>
        <v>3</v>
      </c>
      <c r="AN31" s="486"/>
      <c r="AO31" s="166">
        <v>18</v>
      </c>
      <c r="AP31" s="166">
        <v>1336.7441860465115</v>
      </c>
      <c r="AQ31" s="166">
        <v>74.263565891472865</v>
      </c>
      <c r="AR31" s="180">
        <f t="shared" si="19"/>
        <v>3</v>
      </c>
      <c r="AS31" s="486"/>
      <c r="AT31" s="166">
        <v>18</v>
      </c>
      <c r="AU31" s="166">
        <v>1389.1304347826085</v>
      </c>
      <c r="AV31" s="166">
        <v>77.173913043478251</v>
      </c>
      <c r="AW31" s="180">
        <f t="shared" si="21"/>
        <v>2</v>
      </c>
      <c r="AX31" s="486"/>
    </row>
    <row r="32" spans="2:54">
      <c r="B32" s="479"/>
      <c r="C32" s="180">
        <v>6</v>
      </c>
      <c r="D32" s="201" t="s">
        <v>675</v>
      </c>
      <c r="E32" s="166">
        <v>19</v>
      </c>
      <c r="F32" s="180">
        <v>1385</v>
      </c>
      <c r="G32" s="265">
        <v>72.89473684210526</v>
      </c>
      <c r="H32" s="460"/>
      <c r="I32" s="166">
        <f t="shared" si="23"/>
        <v>18.142857142857142</v>
      </c>
      <c r="J32" s="166">
        <f t="shared" si="23"/>
        <v>1061.8140349170892</v>
      </c>
      <c r="K32" s="265">
        <f t="shared" si="23"/>
        <v>58.55047538535684</v>
      </c>
      <c r="L32" s="460"/>
      <c r="M32" s="272">
        <f>RANK(K32, K$27:$K$41)</f>
        <v>6</v>
      </c>
      <c r="N32" s="462"/>
      <c r="O32" s="462"/>
      <c r="P32" s="166">
        <v>18</v>
      </c>
      <c r="Q32" s="166">
        <v>1076.4000000000003</v>
      </c>
      <c r="R32" s="166">
        <v>59.800000000000018</v>
      </c>
      <c r="S32" s="180">
        <f t="shared" si="10"/>
        <v>6</v>
      </c>
      <c r="T32" s="486"/>
      <c r="U32" s="166">
        <v>18</v>
      </c>
      <c r="V32" s="166">
        <v>1076.9491525423739</v>
      </c>
      <c r="W32" s="166">
        <v>59.830508474576327</v>
      </c>
      <c r="X32" s="180">
        <f t="shared" si="11"/>
        <v>6</v>
      </c>
      <c r="Y32" s="486"/>
      <c r="Z32" s="166">
        <v>18</v>
      </c>
      <c r="AA32" s="166">
        <v>1086.1224489795923</v>
      </c>
      <c r="AB32" s="166">
        <v>60.340136054421791</v>
      </c>
      <c r="AC32" s="180">
        <f t="shared" si="13"/>
        <v>6</v>
      </c>
      <c r="AD32" s="486"/>
      <c r="AE32" s="166">
        <v>18</v>
      </c>
      <c r="AF32" s="166">
        <v>1053.6585365853655</v>
      </c>
      <c r="AG32" s="166">
        <v>58.536585365853639</v>
      </c>
      <c r="AH32" s="180">
        <f t="shared" si="15"/>
        <v>6</v>
      </c>
      <c r="AI32" s="486"/>
      <c r="AJ32" s="166">
        <v>18</v>
      </c>
      <c r="AK32" s="166">
        <v>1038.1395348837209</v>
      </c>
      <c r="AL32" s="166">
        <v>57.674418604651159</v>
      </c>
      <c r="AM32" s="180">
        <f t="shared" si="17"/>
        <v>6</v>
      </c>
      <c r="AN32" s="486"/>
      <c r="AO32" s="166">
        <v>18</v>
      </c>
      <c r="AP32" s="166">
        <v>1049.9999999999995</v>
      </c>
      <c r="AQ32" s="166">
        <v>58.333333333333307</v>
      </c>
      <c r="AR32" s="180">
        <f t="shared" si="19"/>
        <v>6</v>
      </c>
      <c r="AS32" s="486"/>
      <c r="AT32" s="166">
        <v>19</v>
      </c>
      <c r="AU32" s="166">
        <v>1051.4285714285711</v>
      </c>
      <c r="AV32" s="166">
        <v>55.33834586466164</v>
      </c>
      <c r="AW32" s="180">
        <f t="shared" si="21"/>
        <v>6</v>
      </c>
      <c r="AX32" s="486"/>
    </row>
    <row r="33" spans="2:50">
      <c r="B33" s="479"/>
      <c r="C33" s="180">
        <v>7</v>
      </c>
      <c r="D33" s="201"/>
      <c r="E33" s="166"/>
      <c r="F33" s="180"/>
      <c r="G33" s="265"/>
      <c r="H33" s="460"/>
      <c r="I33" s="166"/>
      <c r="J33" s="166"/>
      <c r="K33" s="265"/>
      <c r="L33" s="460"/>
      <c r="M33" s="272" t="e">
        <f>RANK(K33, K$27:$K$41)</f>
        <v>#N/A</v>
      </c>
      <c r="N33" s="462"/>
      <c r="O33" s="462"/>
      <c r="P33" s="166"/>
      <c r="Q33" s="166"/>
      <c r="R33" s="166"/>
      <c r="S33" s="180" t="e">
        <f t="shared" si="10"/>
        <v>#N/A</v>
      </c>
      <c r="T33" s="486"/>
      <c r="U33" s="166"/>
      <c r="V33" s="166"/>
      <c r="W33" s="166"/>
      <c r="X33" s="180" t="e">
        <f t="shared" si="11"/>
        <v>#N/A</v>
      </c>
      <c r="Y33" s="486"/>
      <c r="Z33" s="166"/>
      <c r="AA33" s="166"/>
      <c r="AB33" s="166"/>
      <c r="AC33" s="180" t="e">
        <f t="shared" si="13"/>
        <v>#N/A</v>
      </c>
      <c r="AD33" s="486"/>
      <c r="AE33" s="166"/>
      <c r="AF33" s="166"/>
      <c r="AG33" s="166"/>
      <c r="AH33" s="180" t="e">
        <f t="shared" si="15"/>
        <v>#N/A</v>
      </c>
      <c r="AI33" s="486"/>
      <c r="AJ33" s="166"/>
      <c r="AK33" s="166"/>
      <c r="AL33" s="166"/>
      <c r="AM33" s="180" t="e">
        <f t="shared" si="17"/>
        <v>#N/A</v>
      </c>
      <c r="AN33" s="486"/>
      <c r="AO33" s="166"/>
      <c r="AP33" s="166"/>
      <c r="AQ33" s="166"/>
      <c r="AR33" s="180" t="e">
        <f t="shared" si="19"/>
        <v>#N/A</v>
      </c>
      <c r="AS33" s="486"/>
      <c r="AT33" s="166"/>
      <c r="AU33" s="166"/>
      <c r="AV33" s="166"/>
      <c r="AW33" s="180" t="e">
        <f t="shared" si="21"/>
        <v>#N/A</v>
      </c>
      <c r="AX33" s="486"/>
    </row>
    <row r="34" spans="2:50">
      <c r="B34" s="479"/>
      <c r="C34" s="180">
        <v>8</v>
      </c>
      <c r="D34" s="201"/>
      <c r="E34" s="166"/>
      <c r="F34" s="180"/>
      <c r="G34" s="265"/>
      <c r="H34" s="460"/>
      <c r="I34" s="166"/>
      <c r="J34" s="166"/>
      <c r="K34" s="265"/>
      <c r="L34" s="460"/>
      <c r="M34" s="272" t="e">
        <f>RANK(K34, K$27:$K$41)</f>
        <v>#N/A</v>
      </c>
      <c r="N34" s="462"/>
      <c r="O34" s="462"/>
      <c r="P34" s="166"/>
      <c r="Q34" s="166"/>
      <c r="R34" s="166"/>
      <c r="S34" s="180" t="e">
        <f t="shared" si="10"/>
        <v>#N/A</v>
      </c>
      <c r="T34" s="486"/>
      <c r="U34" s="166"/>
      <c r="V34" s="166"/>
      <c r="W34" s="166"/>
      <c r="X34" s="180" t="e">
        <f t="shared" si="11"/>
        <v>#N/A</v>
      </c>
      <c r="Y34" s="486"/>
      <c r="Z34" s="166"/>
      <c r="AA34" s="166"/>
      <c r="AB34" s="166"/>
      <c r="AC34" s="180" t="e">
        <f t="shared" si="13"/>
        <v>#N/A</v>
      </c>
      <c r="AD34" s="486"/>
      <c r="AE34" s="166"/>
      <c r="AF34" s="166"/>
      <c r="AG34" s="166"/>
      <c r="AH34" s="180" t="e">
        <f t="shared" si="15"/>
        <v>#N/A</v>
      </c>
      <c r="AI34" s="486"/>
      <c r="AJ34" s="166"/>
      <c r="AK34" s="166"/>
      <c r="AL34" s="166"/>
      <c r="AM34" s="180" t="e">
        <f t="shared" si="17"/>
        <v>#N/A</v>
      </c>
      <c r="AN34" s="486"/>
      <c r="AO34" s="166"/>
      <c r="AP34" s="166"/>
      <c r="AQ34" s="166"/>
      <c r="AR34" s="180" t="e">
        <f t="shared" si="19"/>
        <v>#N/A</v>
      </c>
      <c r="AS34" s="486"/>
      <c r="AT34" s="166"/>
      <c r="AU34" s="166"/>
      <c r="AV34" s="166"/>
      <c r="AW34" s="180" t="e">
        <f t="shared" si="21"/>
        <v>#N/A</v>
      </c>
      <c r="AX34" s="486"/>
    </row>
    <row r="35" spans="2:50">
      <c r="B35" s="479"/>
      <c r="C35" s="180">
        <v>9</v>
      </c>
      <c r="D35" s="201"/>
      <c r="E35" s="166"/>
      <c r="F35" s="180"/>
      <c r="G35" s="265"/>
      <c r="H35" s="460"/>
      <c r="I35" s="166"/>
      <c r="J35" s="166"/>
      <c r="K35" s="265"/>
      <c r="L35" s="460"/>
      <c r="M35" s="272" t="e">
        <f>RANK(K35, K$27:$K$41)</f>
        <v>#N/A</v>
      </c>
      <c r="N35" s="462"/>
      <c r="O35" s="462"/>
      <c r="P35" s="166"/>
      <c r="Q35" s="166"/>
      <c r="R35" s="166"/>
      <c r="S35" s="180" t="e">
        <f t="shared" si="10"/>
        <v>#N/A</v>
      </c>
      <c r="T35" s="486"/>
      <c r="U35" s="166"/>
      <c r="V35" s="166"/>
      <c r="W35" s="166"/>
      <c r="X35" s="180" t="e">
        <f t="shared" si="11"/>
        <v>#N/A</v>
      </c>
      <c r="Y35" s="486"/>
      <c r="Z35" s="166"/>
      <c r="AA35" s="166"/>
      <c r="AB35" s="166"/>
      <c r="AC35" s="180" t="e">
        <f t="shared" si="13"/>
        <v>#N/A</v>
      </c>
      <c r="AD35" s="486"/>
      <c r="AE35" s="166"/>
      <c r="AF35" s="166"/>
      <c r="AG35" s="166"/>
      <c r="AH35" s="180" t="e">
        <f t="shared" si="15"/>
        <v>#N/A</v>
      </c>
      <c r="AI35" s="486"/>
      <c r="AJ35" s="166"/>
      <c r="AK35" s="166"/>
      <c r="AL35" s="166"/>
      <c r="AM35" s="180" t="e">
        <f t="shared" si="17"/>
        <v>#N/A</v>
      </c>
      <c r="AN35" s="486"/>
      <c r="AO35" s="166"/>
      <c r="AP35" s="166"/>
      <c r="AQ35" s="166"/>
      <c r="AR35" s="180" t="e">
        <f t="shared" si="19"/>
        <v>#N/A</v>
      </c>
      <c r="AS35" s="486"/>
      <c r="AT35" s="166"/>
      <c r="AU35" s="166"/>
      <c r="AV35" s="166"/>
      <c r="AW35" s="180" t="e">
        <f t="shared" si="21"/>
        <v>#N/A</v>
      </c>
      <c r="AX35" s="486"/>
    </row>
    <row r="36" spans="2:50">
      <c r="B36" s="479"/>
      <c r="C36" s="180">
        <v>10</v>
      </c>
      <c r="D36" s="201"/>
      <c r="E36" s="166"/>
      <c r="F36" s="180"/>
      <c r="G36" s="265"/>
      <c r="H36" s="460"/>
      <c r="I36" s="166"/>
      <c r="J36" s="166"/>
      <c r="K36" s="265"/>
      <c r="L36" s="460"/>
      <c r="M36" s="272" t="e">
        <f>RANK(K36, K$27:$K$41)</f>
        <v>#N/A</v>
      </c>
      <c r="N36" s="462"/>
      <c r="O36" s="462"/>
      <c r="P36" s="166"/>
      <c r="Q36" s="166"/>
      <c r="R36" s="166"/>
      <c r="S36" s="180" t="e">
        <f t="shared" si="10"/>
        <v>#N/A</v>
      </c>
      <c r="T36" s="486"/>
      <c r="U36" s="166"/>
      <c r="V36" s="166"/>
      <c r="W36" s="166"/>
      <c r="X36" s="180" t="e">
        <f t="shared" si="11"/>
        <v>#N/A</v>
      </c>
      <c r="Y36" s="486"/>
      <c r="Z36" s="166"/>
      <c r="AA36" s="166"/>
      <c r="AB36" s="166"/>
      <c r="AC36" s="180" t="e">
        <f t="shared" si="13"/>
        <v>#N/A</v>
      </c>
      <c r="AD36" s="486"/>
      <c r="AE36" s="166"/>
      <c r="AF36" s="166"/>
      <c r="AG36" s="166"/>
      <c r="AH36" s="180" t="e">
        <f t="shared" si="15"/>
        <v>#N/A</v>
      </c>
      <c r="AI36" s="486"/>
      <c r="AJ36" s="166"/>
      <c r="AK36" s="166"/>
      <c r="AL36" s="166"/>
      <c r="AM36" s="180" t="e">
        <f t="shared" si="17"/>
        <v>#N/A</v>
      </c>
      <c r="AN36" s="486"/>
      <c r="AO36" s="166"/>
      <c r="AP36" s="166"/>
      <c r="AQ36" s="166"/>
      <c r="AR36" s="180" t="e">
        <f t="shared" si="19"/>
        <v>#N/A</v>
      </c>
      <c r="AS36" s="486"/>
      <c r="AT36" s="166"/>
      <c r="AU36" s="166"/>
      <c r="AV36" s="166"/>
      <c r="AW36" s="180" t="e">
        <f t="shared" si="21"/>
        <v>#N/A</v>
      </c>
      <c r="AX36" s="486"/>
    </row>
    <row r="37" spans="2:50">
      <c r="B37" s="479"/>
      <c r="C37" s="180">
        <v>11</v>
      </c>
      <c r="D37" s="201"/>
      <c r="E37" s="166"/>
      <c r="F37" s="180"/>
      <c r="G37" s="265"/>
      <c r="H37" s="460"/>
      <c r="I37" s="166"/>
      <c r="J37" s="166"/>
      <c r="K37" s="265"/>
      <c r="L37" s="460"/>
      <c r="M37" s="272" t="e">
        <f>RANK(K37, K$27:$K$41)</f>
        <v>#N/A</v>
      </c>
      <c r="N37" s="462"/>
      <c r="O37" s="462"/>
      <c r="P37" s="166"/>
      <c r="Q37" s="166"/>
      <c r="R37" s="166"/>
      <c r="S37" s="180" t="e">
        <f t="shared" si="10"/>
        <v>#N/A</v>
      </c>
      <c r="T37" s="486"/>
      <c r="U37" s="166"/>
      <c r="V37" s="166"/>
      <c r="W37" s="166"/>
      <c r="X37" s="180" t="e">
        <f t="shared" si="11"/>
        <v>#N/A</v>
      </c>
      <c r="Y37" s="486"/>
      <c r="Z37" s="166"/>
      <c r="AA37" s="166"/>
      <c r="AB37" s="166"/>
      <c r="AC37" s="180" t="e">
        <f t="shared" si="13"/>
        <v>#N/A</v>
      </c>
      <c r="AD37" s="486"/>
      <c r="AE37" s="166"/>
      <c r="AF37" s="166"/>
      <c r="AG37" s="166"/>
      <c r="AH37" s="180" t="e">
        <f t="shared" si="15"/>
        <v>#N/A</v>
      </c>
      <c r="AI37" s="486"/>
      <c r="AJ37" s="166"/>
      <c r="AK37" s="166"/>
      <c r="AL37" s="166"/>
      <c r="AM37" s="180" t="e">
        <f t="shared" si="17"/>
        <v>#N/A</v>
      </c>
      <c r="AN37" s="486"/>
      <c r="AO37" s="166"/>
      <c r="AP37" s="166"/>
      <c r="AQ37" s="166"/>
      <c r="AR37" s="180" t="e">
        <f t="shared" si="19"/>
        <v>#N/A</v>
      </c>
      <c r="AS37" s="486"/>
      <c r="AT37" s="166"/>
      <c r="AU37" s="166"/>
      <c r="AV37" s="166"/>
      <c r="AW37" s="180" t="e">
        <f t="shared" si="21"/>
        <v>#N/A</v>
      </c>
      <c r="AX37" s="486"/>
    </row>
    <row r="38" spans="2:50">
      <c r="B38" s="479"/>
      <c r="C38" s="180">
        <v>12</v>
      </c>
      <c r="D38" s="201"/>
      <c r="E38" s="166"/>
      <c r="F38" s="180"/>
      <c r="G38" s="265"/>
      <c r="H38" s="460"/>
      <c r="I38" s="166"/>
      <c r="J38" s="166"/>
      <c r="K38" s="265"/>
      <c r="L38" s="460"/>
      <c r="M38" s="272" t="e">
        <f>RANK(K38, K$27:$K$41)</f>
        <v>#N/A</v>
      </c>
      <c r="N38" s="462"/>
      <c r="O38" s="462"/>
      <c r="P38" s="166"/>
      <c r="Q38" s="166"/>
      <c r="R38" s="166"/>
      <c r="S38" s="180" t="e">
        <f t="shared" si="10"/>
        <v>#N/A</v>
      </c>
      <c r="T38" s="486"/>
      <c r="U38" s="166"/>
      <c r="V38" s="166"/>
      <c r="W38" s="166"/>
      <c r="X38" s="180" t="e">
        <f t="shared" si="11"/>
        <v>#N/A</v>
      </c>
      <c r="Y38" s="486"/>
      <c r="Z38" s="166"/>
      <c r="AA38" s="166"/>
      <c r="AB38" s="166"/>
      <c r="AC38" s="180" t="e">
        <f t="shared" si="13"/>
        <v>#N/A</v>
      </c>
      <c r="AD38" s="486"/>
      <c r="AE38" s="166"/>
      <c r="AF38" s="166"/>
      <c r="AG38" s="166"/>
      <c r="AH38" s="180" t="e">
        <f t="shared" si="15"/>
        <v>#N/A</v>
      </c>
      <c r="AI38" s="486"/>
      <c r="AJ38" s="166"/>
      <c r="AK38" s="166"/>
      <c r="AL38" s="166"/>
      <c r="AM38" s="180" t="e">
        <f t="shared" si="17"/>
        <v>#N/A</v>
      </c>
      <c r="AN38" s="486"/>
      <c r="AO38" s="166"/>
      <c r="AP38" s="166"/>
      <c r="AQ38" s="166"/>
      <c r="AR38" s="180" t="e">
        <f t="shared" si="19"/>
        <v>#N/A</v>
      </c>
      <c r="AS38" s="486"/>
      <c r="AT38" s="166"/>
      <c r="AU38" s="166"/>
      <c r="AV38" s="166"/>
      <c r="AW38" s="180" t="e">
        <f t="shared" si="21"/>
        <v>#N/A</v>
      </c>
      <c r="AX38" s="486"/>
    </row>
    <row r="39" spans="2:50">
      <c r="B39" s="479"/>
      <c r="C39" s="180">
        <v>13</v>
      </c>
      <c r="D39" s="201"/>
      <c r="E39" s="166"/>
      <c r="F39" s="180"/>
      <c r="G39" s="265"/>
      <c r="H39" s="460"/>
      <c r="I39" s="180"/>
      <c r="J39" s="180"/>
      <c r="K39" s="180"/>
      <c r="L39" s="460"/>
      <c r="M39" s="272" t="e">
        <f>RANK(K39, K$27:$K$41)</f>
        <v>#N/A</v>
      </c>
      <c r="N39" s="462"/>
      <c r="O39" s="462"/>
      <c r="P39" s="166"/>
      <c r="Q39" s="166"/>
      <c r="R39" s="166"/>
      <c r="S39" s="180" t="e">
        <f t="shared" si="10"/>
        <v>#N/A</v>
      </c>
      <c r="T39" s="486"/>
      <c r="U39" s="166"/>
      <c r="V39" s="166"/>
      <c r="W39" s="166"/>
      <c r="X39" s="180" t="e">
        <f t="shared" si="11"/>
        <v>#N/A</v>
      </c>
      <c r="Y39" s="486"/>
      <c r="Z39" s="166"/>
      <c r="AA39" s="166"/>
      <c r="AB39" s="166"/>
      <c r="AC39" s="180" t="e">
        <f t="shared" si="13"/>
        <v>#N/A</v>
      </c>
      <c r="AD39" s="486"/>
      <c r="AE39" s="166"/>
      <c r="AF39" s="166"/>
      <c r="AG39" s="166"/>
      <c r="AH39" s="180" t="e">
        <f t="shared" si="15"/>
        <v>#N/A</v>
      </c>
      <c r="AI39" s="486"/>
      <c r="AJ39" s="166"/>
      <c r="AK39" s="166"/>
      <c r="AL39" s="166"/>
      <c r="AM39" s="180" t="e">
        <f t="shared" si="17"/>
        <v>#N/A</v>
      </c>
      <c r="AN39" s="486"/>
      <c r="AO39" s="166"/>
      <c r="AP39" s="166"/>
      <c r="AQ39" s="166"/>
      <c r="AR39" s="180" t="e">
        <f t="shared" si="19"/>
        <v>#N/A</v>
      </c>
      <c r="AS39" s="486"/>
      <c r="AT39" s="166"/>
      <c r="AU39" s="166"/>
      <c r="AV39" s="166"/>
      <c r="AW39" s="180" t="e">
        <f t="shared" si="21"/>
        <v>#N/A</v>
      </c>
      <c r="AX39" s="486"/>
    </row>
    <row r="40" spans="2:50">
      <c r="B40" s="479"/>
      <c r="C40" s="180">
        <v>14</v>
      </c>
      <c r="D40" s="201"/>
      <c r="E40" s="166"/>
      <c r="F40" s="180"/>
      <c r="G40" s="265"/>
      <c r="H40" s="460"/>
      <c r="I40" s="180"/>
      <c r="J40" s="180"/>
      <c r="K40" s="180"/>
      <c r="L40" s="460"/>
      <c r="M40" s="272" t="e">
        <f>RANK(K40, K$27:$K$41)</f>
        <v>#N/A</v>
      </c>
      <c r="N40" s="462"/>
      <c r="O40" s="462"/>
      <c r="P40" s="166"/>
      <c r="Q40" s="166"/>
      <c r="R40" s="166"/>
      <c r="S40" s="180" t="e">
        <f t="shared" si="10"/>
        <v>#N/A</v>
      </c>
      <c r="T40" s="486"/>
      <c r="U40" s="166"/>
      <c r="V40" s="166"/>
      <c r="W40" s="166"/>
      <c r="X40" s="180" t="e">
        <f t="shared" si="11"/>
        <v>#N/A</v>
      </c>
      <c r="Y40" s="486"/>
      <c r="Z40" s="166"/>
      <c r="AA40" s="166"/>
      <c r="AB40" s="166"/>
      <c r="AC40" s="180" t="e">
        <f t="shared" si="13"/>
        <v>#N/A</v>
      </c>
      <c r="AD40" s="486"/>
      <c r="AE40" s="166"/>
      <c r="AF40" s="166"/>
      <c r="AG40" s="166"/>
      <c r="AH40" s="180" t="e">
        <f t="shared" si="15"/>
        <v>#N/A</v>
      </c>
      <c r="AI40" s="486"/>
      <c r="AJ40" s="166"/>
      <c r="AK40" s="166"/>
      <c r="AL40" s="166"/>
      <c r="AM40" s="180" t="e">
        <f t="shared" si="17"/>
        <v>#N/A</v>
      </c>
      <c r="AN40" s="486"/>
      <c r="AO40" s="166"/>
      <c r="AP40" s="166"/>
      <c r="AQ40" s="166"/>
      <c r="AR40" s="180" t="e">
        <f t="shared" si="19"/>
        <v>#N/A</v>
      </c>
      <c r="AS40" s="486"/>
      <c r="AT40" s="166"/>
      <c r="AU40" s="166"/>
      <c r="AV40" s="166"/>
      <c r="AW40" s="180" t="e">
        <f t="shared" si="21"/>
        <v>#N/A</v>
      </c>
      <c r="AX40" s="486"/>
    </row>
    <row r="41" spans="2:50">
      <c r="B41" s="479"/>
      <c r="C41" s="180">
        <v>15</v>
      </c>
      <c r="D41" s="201"/>
      <c r="E41" s="166"/>
      <c r="F41" s="180"/>
      <c r="G41" s="265"/>
      <c r="H41" s="461"/>
      <c r="I41" s="180"/>
      <c r="J41" s="180"/>
      <c r="K41" s="180"/>
      <c r="L41" s="461"/>
      <c r="M41" s="166" t="e">
        <f>RANK(K41, K$27:$K$41)</f>
        <v>#N/A</v>
      </c>
      <c r="N41" s="462"/>
      <c r="O41" s="462"/>
      <c r="P41" s="166"/>
      <c r="Q41" s="166"/>
      <c r="R41" s="166"/>
      <c r="S41" s="180" t="e">
        <f t="shared" si="10"/>
        <v>#N/A</v>
      </c>
      <c r="T41" s="486"/>
      <c r="U41" s="166"/>
      <c r="V41" s="166"/>
      <c r="W41" s="166"/>
      <c r="X41" s="180" t="e">
        <f t="shared" si="11"/>
        <v>#N/A</v>
      </c>
      <c r="Y41" s="486"/>
      <c r="Z41" s="166"/>
      <c r="AA41" s="166"/>
      <c r="AB41" s="166"/>
      <c r="AC41" s="180" t="e">
        <f t="shared" si="13"/>
        <v>#N/A</v>
      </c>
      <c r="AD41" s="486"/>
      <c r="AE41" s="166"/>
      <c r="AF41" s="166"/>
      <c r="AG41" s="166"/>
      <c r="AH41" s="180" t="e">
        <f t="shared" si="15"/>
        <v>#N/A</v>
      </c>
      <c r="AI41" s="486"/>
      <c r="AJ41" s="166"/>
      <c r="AK41" s="166"/>
      <c r="AL41" s="166"/>
      <c r="AM41" s="180" t="e">
        <f t="shared" si="17"/>
        <v>#N/A</v>
      </c>
      <c r="AN41" s="486"/>
      <c r="AO41" s="166"/>
      <c r="AP41" s="166"/>
      <c r="AQ41" s="166"/>
      <c r="AR41" s="180" t="e">
        <f t="shared" si="19"/>
        <v>#N/A</v>
      </c>
      <c r="AS41" s="486"/>
      <c r="AT41" s="166"/>
      <c r="AU41" s="166"/>
      <c r="AV41" s="166"/>
      <c r="AW41" s="180" t="e">
        <f t="shared" si="21"/>
        <v>#N/A</v>
      </c>
      <c r="AX41" s="486"/>
    </row>
    <row r="42" spans="2:50" ht="15.75">
      <c r="B42" s="490" t="s">
        <v>721</v>
      </c>
      <c r="C42" s="491"/>
      <c r="D42" s="491"/>
      <c r="E42" s="491"/>
      <c r="F42" s="491"/>
      <c r="G42" s="491"/>
      <c r="H42" s="491"/>
      <c r="I42" s="184"/>
      <c r="J42" s="181"/>
      <c r="K42" s="184"/>
      <c r="L42" s="184"/>
      <c r="M42" s="178"/>
      <c r="N42" s="469" t="s">
        <v>722</v>
      </c>
      <c r="O42" s="469" t="s">
        <v>723</v>
      </c>
      <c r="P42" s="478">
        <f>P22+7</f>
        <v>46063</v>
      </c>
      <c r="Q42" s="479"/>
      <c r="R42" s="479"/>
      <c r="S42" s="479"/>
      <c r="T42" s="479"/>
      <c r="U42" s="475">
        <f>P42+1</f>
        <v>46064</v>
      </c>
      <c r="V42" s="476"/>
      <c r="W42" s="476"/>
      <c r="X42" s="476"/>
      <c r="Y42" s="477"/>
      <c r="Z42" s="475">
        <f>U42+1</f>
        <v>46065</v>
      </c>
      <c r="AA42" s="476"/>
      <c r="AB42" s="476"/>
      <c r="AC42" s="476"/>
      <c r="AD42" s="477"/>
      <c r="AE42" s="475">
        <f>Z42+1</f>
        <v>46066</v>
      </c>
      <c r="AF42" s="476"/>
      <c r="AG42" s="476"/>
      <c r="AH42" s="476"/>
      <c r="AI42" s="477"/>
      <c r="AJ42" s="475">
        <f>AE42+1</f>
        <v>46067</v>
      </c>
      <c r="AK42" s="476"/>
      <c r="AL42" s="476"/>
      <c r="AM42" s="476"/>
      <c r="AN42" s="477"/>
      <c r="AO42" s="475">
        <f>AJ42+1</f>
        <v>46068</v>
      </c>
      <c r="AP42" s="476"/>
      <c r="AQ42" s="476"/>
      <c r="AR42" s="476"/>
      <c r="AS42" s="477"/>
      <c r="AT42" s="475">
        <f>AO42+1</f>
        <v>46069</v>
      </c>
      <c r="AU42" s="476"/>
      <c r="AV42" s="476"/>
      <c r="AW42" s="476"/>
      <c r="AX42" s="477"/>
    </row>
    <row r="43" spans="2:50" ht="15.75">
      <c r="B43" s="482"/>
      <c r="C43" s="482"/>
      <c r="D43" s="482"/>
      <c r="E43" s="482"/>
      <c r="F43" s="482"/>
      <c r="G43" s="482"/>
      <c r="H43" s="482"/>
      <c r="I43" s="182"/>
      <c r="J43" s="182"/>
      <c r="K43" s="182"/>
      <c r="L43" s="182"/>
      <c r="M43" s="179"/>
      <c r="N43" s="471"/>
      <c r="O43" s="471"/>
      <c r="P43" s="478" t="s">
        <v>724</v>
      </c>
      <c r="Q43" s="479"/>
      <c r="R43" s="479"/>
      <c r="S43" s="479"/>
      <c r="T43" s="479"/>
      <c r="U43" s="478" t="s">
        <v>725</v>
      </c>
      <c r="V43" s="479"/>
      <c r="W43" s="479"/>
      <c r="X43" s="479"/>
      <c r="Y43" s="479"/>
      <c r="Z43" s="478" t="s">
        <v>726</v>
      </c>
      <c r="AA43" s="479"/>
      <c r="AB43" s="479"/>
      <c r="AC43" s="479"/>
      <c r="AD43" s="479"/>
      <c r="AE43" s="478" t="s">
        <v>727</v>
      </c>
      <c r="AF43" s="479"/>
      <c r="AG43" s="479"/>
      <c r="AH43" s="479"/>
      <c r="AI43" s="479"/>
      <c r="AJ43" s="478" t="s">
        <v>728</v>
      </c>
      <c r="AK43" s="479"/>
      <c r="AL43" s="479"/>
      <c r="AM43" s="479"/>
      <c r="AN43" s="479"/>
      <c r="AO43" s="478" t="s">
        <v>729</v>
      </c>
      <c r="AP43" s="479"/>
      <c r="AQ43" s="479"/>
      <c r="AR43" s="479"/>
      <c r="AS43" s="479"/>
      <c r="AT43" s="478" t="s">
        <v>730</v>
      </c>
      <c r="AU43" s="479"/>
      <c r="AV43" s="479"/>
      <c r="AW43" s="479"/>
      <c r="AX43" s="479"/>
    </row>
    <row r="44" spans="2:50">
      <c r="B44" s="462" t="s">
        <v>731</v>
      </c>
      <c r="C44" s="462" t="s">
        <v>732</v>
      </c>
      <c r="D44" s="462"/>
      <c r="E44" s="462" t="s">
        <v>733</v>
      </c>
      <c r="F44" s="462"/>
      <c r="G44" s="462"/>
      <c r="H44" s="463" t="s">
        <v>734</v>
      </c>
      <c r="I44" s="462" t="s">
        <v>735</v>
      </c>
      <c r="J44" s="462"/>
      <c r="K44" s="462"/>
      <c r="L44" s="463" t="s">
        <v>734</v>
      </c>
      <c r="M44" s="469" t="s">
        <v>736</v>
      </c>
      <c r="N44" s="462"/>
      <c r="O44" s="462" t="s">
        <v>737</v>
      </c>
      <c r="P44" s="466" t="s">
        <v>738</v>
      </c>
      <c r="Q44" s="467"/>
      <c r="R44" s="467"/>
      <c r="S44" s="468"/>
      <c r="T44" s="462" t="s">
        <v>734</v>
      </c>
      <c r="U44" s="466" t="s">
        <v>738</v>
      </c>
      <c r="V44" s="467"/>
      <c r="W44" s="467"/>
      <c r="X44" s="468"/>
      <c r="Y44" s="462" t="s">
        <v>734</v>
      </c>
      <c r="Z44" s="466" t="s">
        <v>738</v>
      </c>
      <c r="AA44" s="467"/>
      <c r="AB44" s="467"/>
      <c r="AC44" s="468"/>
      <c r="AD44" s="462" t="s">
        <v>734</v>
      </c>
      <c r="AE44" s="466" t="s">
        <v>738</v>
      </c>
      <c r="AF44" s="467"/>
      <c r="AG44" s="467"/>
      <c r="AH44" s="468"/>
      <c r="AI44" s="462" t="s">
        <v>734</v>
      </c>
      <c r="AJ44" s="466" t="s">
        <v>738</v>
      </c>
      <c r="AK44" s="467"/>
      <c r="AL44" s="467"/>
      <c r="AM44" s="468"/>
      <c r="AN44" s="462" t="s">
        <v>734</v>
      </c>
      <c r="AO44" s="466" t="s">
        <v>738</v>
      </c>
      <c r="AP44" s="467"/>
      <c r="AQ44" s="467"/>
      <c r="AR44" s="468"/>
      <c r="AS44" s="462" t="s">
        <v>734</v>
      </c>
      <c r="AT44" s="466" t="s">
        <v>738</v>
      </c>
      <c r="AU44" s="467"/>
      <c r="AV44" s="467"/>
      <c r="AW44" s="468"/>
      <c r="AX44" s="462" t="s">
        <v>734</v>
      </c>
    </row>
    <row r="45" spans="2:50">
      <c r="B45" s="462"/>
      <c r="C45" s="462"/>
      <c r="D45" s="462"/>
      <c r="E45" s="462" t="s">
        <v>739</v>
      </c>
      <c r="F45" s="462"/>
      <c r="G45" s="462"/>
      <c r="H45" s="464"/>
      <c r="I45" s="462" t="s">
        <v>739</v>
      </c>
      <c r="J45" s="462"/>
      <c r="K45" s="462"/>
      <c r="L45" s="464"/>
      <c r="M45" s="470"/>
      <c r="N45" s="462"/>
      <c r="O45" s="462"/>
      <c r="P45" s="466" t="s">
        <v>740</v>
      </c>
      <c r="Q45" s="467"/>
      <c r="R45" s="467"/>
      <c r="S45" s="468"/>
      <c r="T45" s="462"/>
      <c r="U45" s="466" t="s">
        <v>740</v>
      </c>
      <c r="V45" s="467"/>
      <c r="W45" s="467"/>
      <c r="X45" s="468"/>
      <c r="Y45" s="462"/>
      <c r="Z45" s="466" t="s">
        <v>740</v>
      </c>
      <c r="AA45" s="467"/>
      <c r="AB45" s="467"/>
      <c r="AC45" s="468"/>
      <c r="AD45" s="462"/>
      <c r="AE45" s="466" t="s">
        <v>740</v>
      </c>
      <c r="AF45" s="467"/>
      <c r="AG45" s="467"/>
      <c r="AH45" s="468"/>
      <c r="AI45" s="462"/>
      <c r="AJ45" s="466" t="s">
        <v>740</v>
      </c>
      <c r="AK45" s="467"/>
      <c r="AL45" s="467"/>
      <c r="AM45" s="468"/>
      <c r="AN45" s="462"/>
      <c r="AO45" s="466" t="s">
        <v>740</v>
      </c>
      <c r="AP45" s="467"/>
      <c r="AQ45" s="467"/>
      <c r="AR45" s="468"/>
      <c r="AS45" s="462"/>
      <c r="AT45" s="466" t="s">
        <v>740</v>
      </c>
      <c r="AU45" s="467"/>
      <c r="AV45" s="467"/>
      <c r="AW45" s="468"/>
      <c r="AX45" s="462"/>
    </row>
    <row r="46" spans="2:50">
      <c r="B46" s="462"/>
      <c r="C46" s="462"/>
      <c r="D46" s="462"/>
      <c r="E46" s="264" t="s">
        <v>741</v>
      </c>
      <c r="F46" s="264" t="s">
        <v>742</v>
      </c>
      <c r="G46" s="264" t="s">
        <v>743</v>
      </c>
      <c r="H46" s="465"/>
      <c r="I46" s="264" t="s">
        <v>741</v>
      </c>
      <c r="J46" s="264" t="s">
        <v>742</v>
      </c>
      <c r="K46" s="264" t="s">
        <v>743</v>
      </c>
      <c r="L46" s="465"/>
      <c r="M46" s="471"/>
      <c r="N46" s="462"/>
      <c r="O46" s="462"/>
      <c r="P46" s="264" t="s">
        <v>741</v>
      </c>
      <c r="Q46" s="264" t="s">
        <v>742</v>
      </c>
      <c r="R46" s="264" t="s">
        <v>743</v>
      </c>
      <c r="S46" s="264" t="s">
        <v>736</v>
      </c>
      <c r="T46" s="462"/>
      <c r="U46" s="264" t="s">
        <v>741</v>
      </c>
      <c r="V46" s="264" t="s">
        <v>742</v>
      </c>
      <c r="W46" s="264" t="s">
        <v>743</v>
      </c>
      <c r="X46" s="264" t="s">
        <v>736</v>
      </c>
      <c r="Y46" s="462"/>
      <c r="Z46" s="264" t="s">
        <v>741</v>
      </c>
      <c r="AA46" s="264" t="s">
        <v>742</v>
      </c>
      <c r="AB46" s="264" t="s">
        <v>743</v>
      </c>
      <c r="AC46" s="264" t="s">
        <v>736</v>
      </c>
      <c r="AD46" s="462"/>
      <c r="AE46" s="264" t="s">
        <v>741</v>
      </c>
      <c r="AF46" s="264" t="s">
        <v>742</v>
      </c>
      <c r="AG46" s="264" t="s">
        <v>743</v>
      </c>
      <c r="AH46" s="264" t="s">
        <v>736</v>
      </c>
      <c r="AI46" s="462"/>
      <c r="AJ46" s="264" t="s">
        <v>741</v>
      </c>
      <c r="AK46" s="264" t="s">
        <v>742</v>
      </c>
      <c r="AL46" s="264" t="s">
        <v>743</v>
      </c>
      <c r="AM46" s="264" t="s">
        <v>736</v>
      </c>
      <c r="AN46" s="462"/>
      <c r="AO46" s="264" t="s">
        <v>741</v>
      </c>
      <c r="AP46" s="264" t="s">
        <v>742</v>
      </c>
      <c r="AQ46" s="264" t="s">
        <v>743</v>
      </c>
      <c r="AR46" s="264" t="s">
        <v>736</v>
      </c>
      <c r="AS46" s="462"/>
      <c r="AT46" s="264" t="s">
        <v>741</v>
      </c>
      <c r="AU46" s="264" t="s">
        <v>742</v>
      </c>
      <c r="AV46" s="264" t="s">
        <v>743</v>
      </c>
      <c r="AW46" s="264" t="s">
        <v>736</v>
      </c>
      <c r="AX46" s="462"/>
    </row>
    <row r="47" spans="2:50">
      <c r="B47" s="462" t="s">
        <v>756</v>
      </c>
      <c r="C47" s="180">
        <v>1</v>
      </c>
      <c r="D47" s="201" t="s">
        <v>518</v>
      </c>
      <c r="E47" s="166">
        <v>14</v>
      </c>
      <c r="F47" s="180">
        <v>1500</v>
      </c>
      <c r="G47" s="265">
        <v>107.14285714285714</v>
      </c>
      <c r="H47" s="459">
        <f>AVERAGE(G47:G61)</f>
        <v>90.605394204465412</v>
      </c>
      <c r="I47" s="166">
        <f>AVERAGE(P47,U47,Z47,AE47,AJ47,AO47,AT47)</f>
        <v>12.428571428571429</v>
      </c>
      <c r="J47" s="166">
        <f>AVERAGE(Q47,V47,AA47,AF47,AK47,AP47,AU47)</f>
        <v>1108.8475419317524</v>
      </c>
      <c r="K47" s="265">
        <f>AVERAGE(R47,W47,AB47,AG47,AL47,AQ47,AV47)</f>
        <v>89.306606753570307</v>
      </c>
      <c r="L47" s="459">
        <f>IFERROR(AVERAGE(K47:K61),"-")</f>
        <v>73.15300705306052</v>
      </c>
      <c r="M47" s="272">
        <f>RANK(K47, K$47:$K$61)</f>
        <v>1</v>
      </c>
      <c r="N47" s="462"/>
      <c r="O47" s="462"/>
      <c r="P47" s="166">
        <v>13</v>
      </c>
      <c r="Q47" s="166">
        <v>1126.1538461538469</v>
      </c>
      <c r="R47" s="166">
        <v>86.627218934911298</v>
      </c>
      <c r="S47" s="180">
        <f>RANK(R47, R$47:R$61)</f>
        <v>1</v>
      </c>
      <c r="T47" s="479">
        <f>AVERAGE(R47:R61)</f>
        <v>72.865582450952289</v>
      </c>
      <c r="U47" s="166">
        <v>12</v>
      </c>
      <c r="V47" s="166">
        <v>1077.6000000000004</v>
      </c>
      <c r="W47" s="166">
        <v>89.800000000000026</v>
      </c>
      <c r="X47" s="180">
        <f>RANK(W47, W$47:W$61)</f>
        <v>1</v>
      </c>
      <c r="Y47" s="479">
        <f>AVERAGE(W47:W61)</f>
        <v>73.469811250205666</v>
      </c>
      <c r="Z47" s="166">
        <v>12</v>
      </c>
      <c r="AA47" s="166">
        <v>1084.8000000000004</v>
      </c>
      <c r="AB47" s="166">
        <v>90.400000000000034</v>
      </c>
      <c r="AC47" s="180">
        <f>RANK(AB47, AB$47:AB$61)</f>
        <v>1</v>
      </c>
      <c r="AD47" s="479">
        <f>AVERAGE(AB47:AB61)</f>
        <v>74.735244802217878</v>
      </c>
      <c r="AE47" s="166">
        <v>13</v>
      </c>
      <c r="AF47" s="166">
        <v>1112.9999999999995</v>
      </c>
      <c r="AG47" s="166">
        <v>85.615384615384585</v>
      </c>
      <c r="AH47" s="180">
        <f>RANK(AG47, AG$47:AG$61)</f>
        <v>1</v>
      </c>
      <c r="AI47" s="479">
        <f>AVERAGE(AG47:AG61)</f>
        <v>74.026616647424362</v>
      </c>
      <c r="AJ47" s="166">
        <v>12</v>
      </c>
      <c r="AK47" s="166">
        <v>1108.8000000000002</v>
      </c>
      <c r="AL47" s="166">
        <v>92.40000000000002</v>
      </c>
      <c r="AM47" s="180">
        <f>RANK(AL47, AL$47:AL$61)</f>
        <v>1</v>
      </c>
      <c r="AN47" s="479">
        <f>AVERAGE(AL47:AL61)</f>
        <v>77.648901686548754</v>
      </c>
      <c r="AO47" s="166">
        <v>12</v>
      </c>
      <c r="AP47" s="166">
        <v>1108.421052631578</v>
      </c>
      <c r="AQ47" s="166">
        <v>92.368421052631504</v>
      </c>
      <c r="AR47" s="180">
        <f>RANK(AQ47, AQ$47:AQ$61)</f>
        <v>1</v>
      </c>
      <c r="AS47" s="479">
        <f>AVERAGE(AQ47:AQ61)</f>
        <v>77.61891400890012</v>
      </c>
      <c r="AT47" s="166">
        <v>13</v>
      </c>
      <c r="AU47" s="166">
        <v>1143.1578947368414</v>
      </c>
      <c r="AV47" s="166">
        <v>87.935222672064725</v>
      </c>
      <c r="AW47" s="180">
        <f>RANK(AV47, AV$47:AV$61)</f>
        <v>1</v>
      </c>
      <c r="AX47" s="479">
        <f>AVERAGE(AV47:AV61)</f>
        <v>75.493659963207477</v>
      </c>
    </row>
    <row r="48" spans="2:50">
      <c r="B48" s="479"/>
      <c r="C48" s="180">
        <v>2</v>
      </c>
      <c r="D48" s="201" t="s">
        <v>599</v>
      </c>
      <c r="E48" s="166">
        <v>17</v>
      </c>
      <c r="F48" s="180">
        <v>1636</v>
      </c>
      <c r="G48" s="265">
        <v>96.235294117647058</v>
      </c>
      <c r="H48" s="460"/>
      <c r="I48" s="166">
        <f t="shared" ref="I48:K52" si="24">AVERAGE(P48,U48,Z48,AE48,AJ48,AO48,AT48)</f>
        <v>17.857142857142858</v>
      </c>
      <c r="J48" s="166">
        <f t="shared" si="24"/>
        <v>1309.3650107679221</v>
      </c>
      <c r="K48" s="265">
        <f t="shared" si="24"/>
        <v>73.363914212207177</v>
      </c>
      <c r="L48" s="460"/>
      <c r="M48" s="272">
        <f>RANK(K48, K$47:$K$61)</f>
        <v>3</v>
      </c>
      <c r="N48" s="462"/>
      <c r="O48" s="462"/>
      <c r="P48" s="166">
        <v>18</v>
      </c>
      <c r="Q48" s="166">
        <v>1296.880733944954</v>
      </c>
      <c r="R48" s="166">
        <v>72.048929663608561</v>
      </c>
      <c r="S48" s="180">
        <f t="shared" ref="S48:S61" si="25">RANK(R48, R$47:R$61)</f>
        <v>5</v>
      </c>
      <c r="T48" s="479"/>
      <c r="U48" s="166">
        <v>18</v>
      </c>
      <c r="V48" s="166">
        <v>1309.9999999999998</v>
      </c>
      <c r="W48" s="166">
        <v>72.777777777777771</v>
      </c>
      <c r="X48" s="180">
        <f t="shared" ref="X48:X61" si="26">RANK(W48, W$47:W$61)</f>
        <v>5</v>
      </c>
      <c r="Y48" s="479"/>
      <c r="Z48" s="166">
        <v>18</v>
      </c>
      <c r="AA48" s="166">
        <v>1312.6315789473683</v>
      </c>
      <c r="AB48" s="166">
        <v>72.923976608187132</v>
      </c>
      <c r="AC48" s="180">
        <f t="shared" ref="AC48:AC61" si="27">RANK(AB48, AB$47:AB$61)</f>
        <v>5</v>
      </c>
      <c r="AD48" s="479"/>
      <c r="AE48" s="166">
        <v>18</v>
      </c>
      <c r="AF48" s="166">
        <v>1299.8059701492537</v>
      </c>
      <c r="AG48" s="166">
        <v>72.211442786069654</v>
      </c>
      <c r="AH48" s="180">
        <f t="shared" ref="AH48:AH61" si="28">RANK(AG48, AG$47:AG$61)</f>
        <v>3</v>
      </c>
      <c r="AI48" s="479"/>
      <c r="AJ48" s="166">
        <v>18</v>
      </c>
      <c r="AK48" s="166">
        <v>1289.4545454545453</v>
      </c>
      <c r="AL48" s="166">
        <v>71.636363636363626</v>
      </c>
      <c r="AM48" s="180">
        <f t="shared" ref="AM48:AM61" si="29">RANK(AL48, AL$47:AL$61)</f>
        <v>5</v>
      </c>
      <c r="AN48" s="479"/>
      <c r="AO48" s="166">
        <v>18</v>
      </c>
      <c r="AP48" s="166">
        <v>1325.7142857142853</v>
      </c>
      <c r="AQ48" s="166">
        <v>73.650793650793631</v>
      </c>
      <c r="AR48" s="180">
        <f t="shared" ref="AR48:AR61" si="30">RANK(AQ48, AQ$47:AQ$61)</f>
        <v>4</v>
      </c>
      <c r="AS48" s="479"/>
      <c r="AT48" s="166">
        <v>17</v>
      </c>
      <c r="AU48" s="166">
        <v>1331.0679611650482</v>
      </c>
      <c r="AV48" s="166">
        <v>78.298115362649895</v>
      </c>
      <c r="AW48" s="180">
        <f t="shared" ref="AW48:AW61" si="31">RANK(AV48, AV$47:AV$61)</f>
        <v>2</v>
      </c>
      <c r="AX48" s="479"/>
    </row>
    <row r="49" spans="2:50">
      <c r="B49" s="479"/>
      <c r="C49" s="180">
        <v>3</v>
      </c>
      <c r="D49" s="201" t="s">
        <v>555</v>
      </c>
      <c r="E49" s="166">
        <v>17</v>
      </c>
      <c r="F49" s="180">
        <v>1500</v>
      </c>
      <c r="G49" s="265">
        <v>88.235294117647058</v>
      </c>
      <c r="H49" s="460"/>
      <c r="I49" s="166">
        <f t="shared" si="24"/>
        <v>17</v>
      </c>
      <c r="J49" s="166">
        <f t="shared" si="24"/>
        <v>1303.1277058345379</v>
      </c>
      <c r="K49" s="265">
        <f t="shared" si="24"/>
        <v>76.654570931443388</v>
      </c>
      <c r="L49" s="460"/>
      <c r="M49" s="272">
        <f>RANK(K49, K$47:$K$61)</f>
        <v>2</v>
      </c>
      <c r="N49" s="462"/>
      <c r="O49" s="462"/>
      <c r="P49" s="166">
        <v>17</v>
      </c>
      <c r="Q49" s="166">
        <v>1292.4000000000003</v>
      </c>
      <c r="R49" s="166">
        <v>76.023529411764727</v>
      </c>
      <c r="S49" s="180">
        <f t="shared" si="25"/>
        <v>2</v>
      </c>
      <c r="T49" s="479"/>
      <c r="U49" s="166">
        <v>17</v>
      </c>
      <c r="V49" s="166">
        <v>1304.3478260869565</v>
      </c>
      <c r="W49" s="166">
        <v>76.726342710997443</v>
      </c>
      <c r="X49" s="180">
        <f t="shared" si="26"/>
        <v>2</v>
      </c>
      <c r="Y49" s="479"/>
      <c r="Z49" s="166">
        <v>17</v>
      </c>
      <c r="AA49" s="166">
        <v>1296.5217391304348</v>
      </c>
      <c r="AB49" s="166">
        <v>76.265984654731454</v>
      </c>
      <c r="AC49" s="180">
        <f t="shared" si="27"/>
        <v>3</v>
      </c>
      <c r="AD49" s="479"/>
      <c r="AE49" s="166">
        <v>17</v>
      </c>
      <c r="AF49" s="166">
        <v>1311.4285714285702</v>
      </c>
      <c r="AG49" s="166">
        <v>77.142857142857068</v>
      </c>
      <c r="AH49" s="180">
        <f t="shared" si="28"/>
        <v>2</v>
      </c>
      <c r="AI49" s="479"/>
      <c r="AJ49" s="166">
        <v>17</v>
      </c>
      <c r="AK49" s="166">
        <v>1332.2727272727273</v>
      </c>
      <c r="AL49" s="166">
        <v>78.368983957219257</v>
      </c>
      <c r="AM49" s="180">
        <f t="shared" si="29"/>
        <v>2</v>
      </c>
      <c r="AN49" s="479"/>
      <c r="AO49" s="166">
        <v>17</v>
      </c>
      <c r="AP49" s="166">
        <v>1276.9230769230762</v>
      </c>
      <c r="AQ49" s="166">
        <v>75.113122171945662</v>
      </c>
      <c r="AR49" s="180">
        <f t="shared" si="30"/>
        <v>3</v>
      </c>
      <c r="AS49" s="479"/>
      <c r="AT49" s="166">
        <v>17</v>
      </c>
      <c r="AU49" s="166">
        <v>1307.9999999999995</v>
      </c>
      <c r="AV49" s="166">
        <v>76.941176470588204</v>
      </c>
      <c r="AW49" s="180">
        <f t="shared" si="31"/>
        <v>3</v>
      </c>
      <c r="AX49" s="479"/>
    </row>
    <row r="50" spans="2:50">
      <c r="B50" s="479"/>
      <c r="C50" s="180">
        <v>4</v>
      </c>
      <c r="D50" s="201" t="s">
        <v>566</v>
      </c>
      <c r="E50" s="166">
        <v>17</v>
      </c>
      <c r="F50" s="180">
        <v>1500</v>
      </c>
      <c r="G50" s="265">
        <v>88.235294117647058</v>
      </c>
      <c r="H50" s="460"/>
      <c r="I50" s="166">
        <f t="shared" si="24"/>
        <v>17.857142857142858</v>
      </c>
      <c r="J50" s="166">
        <f t="shared" si="24"/>
        <v>1300.5427309490667</v>
      </c>
      <c r="K50" s="265">
        <f t="shared" si="24"/>
        <v>72.862903867871026</v>
      </c>
      <c r="L50" s="460"/>
      <c r="M50" s="272">
        <f>RANK(K50, K$47:$K$61)</f>
        <v>4</v>
      </c>
      <c r="N50" s="462"/>
      <c r="O50" s="462"/>
      <c r="P50" s="166">
        <v>18</v>
      </c>
      <c r="Q50" s="166">
        <v>1317.8571428571429</v>
      </c>
      <c r="R50" s="166">
        <v>73.214285714285722</v>
      </c>
      <c r="S50" s="180">
        <f t="shared" si="25"/>
        <v>4</v>
      </c>
      <c r="T50" s="479"/>
      <c r="U50" s="166">
        <v>18</v>
      </c>
      <c r="V50" s="166">
        <v>1320.0000000000002</v>
      </c>
      <c r="W50" s="166">
        <v>73.333333333333343</v>
      </c>
      <c r="X50" s="180">
        <f t="shared" si="26"/>
        <v>3</v>
      </c>
      <c r="Y50" s="479"/>
      <c r="Z50" s="166">
        <v>17</v>
      </c>
      <c r="AA50" s="166">
        <v>1307.7551020408168</v>
      </c>
      <c r="AB50" s="166">
        <v>76.926770708283343</v>
      </c>
      <c r="AC50" s="180">
        <f t="shared" si="27"/>
        <v>2</v>
      </c>
      <c r="AD50" s="479"/>
      <c r="AE50" s="166">
        <v>18</v>
      </c>
      <c r="AF50" s="166">
        <v>1292.9411764705887</v>
      </c>
      <c r="AG50" s="166">
        <v>71.830065359477146</v>
      </c>
      <c r="AH50" s="180">
        <f t="shared" si="28"/>
        <v>4</v>
      </c>
      <c r="AI50" s="479"/>
      <c r="AJ50" s="166">
        <v>18</v>
      </c>
      <c r="AK50" s="166">
        <v>1296.9230769230767</v>
      </c>
      <c r="AL50" s="166">
        <v>72.051282051282044</v>
      </c>
      <c r="AM50" s="180">
        <f t="shared" si="29"/>
        <v>4</v>
      </c>
      <c r="AN50" s="479"/>
      <c r="AO50" s="166">
        <v>18</v>
      </c>
      <c r="AP50" s="166">
        <v>1291.0344827586209</v>
      </c>
      <c r="AQ50" s="166">
        <v>71.724137931034491</v>
      </c>
      <c r="AR50" s="180">
        <f t="shared" si="30"/>
        <v>5</v>
      </c>
      <c r="AS50" s="479"/>
      <c r="AT50" s="166">
        <v>18</v>
      </c>
      <c r="AU50" s="166">
        <v>1277.2881355932207</v>
      </c>
      <c r="AV50" s="166">
        <v>70.960451977401149</v>
      </c>
      <c r="AW50" s="180">
        <f t="shared" si="31"/>
        <v>4</v>
      </c>
      <c r="AX50" s="479"/>
    </row>
    <row r="51" spans="2:50">
      <c r="B51" s="479"/>
      <c r="C51" s="180">
        <v>5</v>
      </c>
      <c r="D51" s="201" t="s">
        <v>674</v>
      </c>
      <c r="E51" s="166">
        <v>18</v>
      </c>
      <c r="F51" s="180">
        <v>1636</v>
      </c>
      <c r="G51" s="265">
        <v>90.888888888888886</v>
      </c>
      <c r="H51" s="460"/>
      <c r="I51" s="166">
        <f t="shared" si="24"/>
        <v>18</v>
      </c>
      <c r="J51" s="166">
        <f t="shared" si="24"/>
        <v>1281.8618214084056</v>
      </c>
      <c r="K51" s="265">
        <f t="shared" si="24"/>
        <v>71.214545633800313</v>
      </c>
      <c r="L51" s="460"/>
      <c r="M51" s="272">
        <f>RANK(K51, K$47:$K$61)</f>
        <v>5</v>
      </c>
      <c r="N51" s="462"/>
      <c r="O51" s="462"/>
      <c r="P51" s="166">
        <v>18</v>
      </c>
      <c r="Q51" s="166">
        <v>1339.5652173913043</v>
      </c>
      <c r="R51" s="166">
        <v>74.420289855072454</v>
      </c>
      <c r="S51" s="180">
        <f t="shared" si="25"/>
        <v>3</v>
      </c>
      <c r="T51" s="479"/>
      <c r="U51" s="166">
        <v>18</v>
      </c>
      <c r="V51" s="166">
        <v>1314.9999999999991</v>
      </c>
      <c r="W51" s="166">
        <v>73.0555555555555</v>
      </c>
      <c r="X51" s="180">
        <f t="shared" si="26"/>
        <v>4</v>
      </c>
      <c r="Y51" s="479"/>
      <c r="Z51" s="166">
        <v>18</v>
      </c>
      <c r="AA51" s="166">
        <v>1356.0000000000014</v>
      </c>
      <c r="AB51" s="166">
        <v>75.333333333333414</v>
      </c>
      <c r="AC51" s="180">
        <f t="shared" si="27"/>
        <v>4</v>
      </c>
      <c r="AD51" s="479"/>
      <c r="AE51" s="166">
        <v>18</v>
      </c>
      <c r="AF51" s="166">
        <v>1140.0000000000005</v>
      </c>
      <c r="AG51" s="166">
        <v>63.333333333333357</v>
      </c>
      <c r="AH51" s="180">
        <f t="shared" si="28"/>
        <v>5</v>
      </c>
      <c r="AI51" s="479"/>
      <c r="AJ51" s="166">
        <v>18</v>
      </c>
      <c r="AK51" s="166">
        <v>1328.1818181818182</v>
      </c>
      <c r="AL51" s="166">
        <v>73.787878787878796</v>
      </c>
      <c r="AM51" s="180">
        <f t="shared" si="29"/>
        <v>3</v>
      </c>
      <c r="AN51" s="479"/>
      <c r="AO51" s="166">
        <v>18</v>
      </c>
      <c r="AP51" s="166">
        <v>1354.2857142857151</v>
      </c>
      <c r="AQ51" s="166">
        <v>75.238095238095283</v>
      </c>
      <c r="AR51" s="180">
        <f t="shared" si="30"/>
        <v>2</v>
      </c>
      <c r="AS51" s="479"/>
      <c r="AT51" s="166">
        <v>18</v>
      </c>
      <c r="AU51" s="166">
        <v>1140.0000000000011</v>
      </c>
      <c r="AV51" s="166">
        <v>63.3333333333334</v>
      </c>
      <c r="AW51" s="180">
        <f t="shared" si="31"/>
        <v>5</v>
      </c>
      <c r="AX51" s="479"/>
    </row>
    <row r="52" spans="2:50">
      <c r="B52" s="479"/>
      <c r="C52" s="180">
        <v>6</v>
      </c>
      <c r="D52" s="201" t="s">
        <v>675</v>
      </c>
      <c r="E52" s="166">
        <v>19</v>
      </c>
      <c r="F52" s="180">
        <v>1385</v>
      </c>
      <c r="G52" s="265">
        <v>72.89473684210526</v>
      </c>
      <c r="H52" s="460"/>
      <c r="I52" s="166">
        <f t="shared" si="24"/>
        <v>19</v>
      </c>
      <c r="J52" s="166">
        <f t="shared" si="24"/>
        <v>1054.7945174699471</v>
      </c>
      <c r="K52" s="265">
        <f t="shared" si="24"/>
        <v>55.515500919470902</v>
      </c>
      <c r="L52" s="460"/>
      <c r="M52" s="272">
        <f>RANK(K52, K$47:$K$61)</f>
        <v>6</v>
      </c>
      <c r="N52" s="462"/>
      <c r="O52" s="462"/>
      <c r="P52" s="166">
        <v>19</v>
      </c>
      <c r="Q52" s="166">
        <v>1042.3255813953488</v>
      </c>
      <c r="R52" s="166">
        <v>54.859241126070991</v>
      </c>
      <c r="S52" s="180">
        <f t="shared" si="25"/>
        <v>6</v>
      </c>
      <c r="T52" s="479"/>
      <c r="U52" s="166">
        <v>19</v>
      </c>
      <c r="V52" s="166">
        <v>1047.3913043478278</v>
      </c>
      <c r="W52" s="166">
        <v>55.125858123569884</v>
      </c>
      <c r="X52" s="180">
        <f t="shared" si="26"/>
        <v>6</v>
      </c>
      <c r="Y52" s="479"/>
      <c r="Z52" s="166">
        <v>19</v>
      </c>
      <c r="AA52" s="166">
        <v>1074.6666666666647</v>
      </c>
      <c r="AB52" s="166">
        <v>56.561403508771825</v>
      </c>
      <c r="AC52" s="180">
        <f t="shared" si="27"/>
        <v>6</v>
      </c>
      <c r="AD52" s="479"/>
      <c r="AE52" s="166"/>
      <c r="AF52" s="166"/>
      <c r="AG52" s="166"/>
      <c r="AH52" s="180" t="e">
        <f t="shared" si="28"/>
        <v>#N/A</v>
      </c>
      <c r="AI52" s="479"/>
      <c r="AJ52" s="166"/>
      <c r="AK52" s="166"/>
      <c r="AL52" s="166"/>
      <c r="AM52" s="180" t="e">
        <f t="shared" si="29"/>
        <v>#N/A</v>
      </c>
      <c r="AN52" s="479"/>
      <c r="AO52" s="166"/>
      <c r="AP52" s="166"/>
      <c r="AQ52" s="166"/>
      <c r="AR52" s="180" t="e">
        <f t="shared" si="30"/>
        <v>#N/A</v>
      </c>
      <c r="AS52" s="479"/>
      <c r="AT52" s="166"/>
      <c r="AU52" s="166"/>
      <c r="AV52" s="166"/>
      <c r="AW52" s="180" t="e">
        <f t="shared" si="31"/>
        <v>#N/A</v>
      </c>
      <c r="AX52" s="479"/>
    </row>
    <row r="53" spans="2:50">
      <c r="B53" s="479"/>
      <c r="C53" s="180">
        <v>7</v>
      </c>
      <c r="D53" s="201"/>
      <c r="E53" s="166"/>
      <c r="F53" s="180"/>
      <c r="G53" s="265"/>
      <c r="H53" s="460"/>
      <c r="I53" s="166"/>
      <c r="J53" s="166"/>
      <c r="K53" s="265"/>
      <c r="L53" s="460"/>
      <c r="M53" s="272" t="e">
        <f>RANK(K53, K$47:$K$61)</f>
        <v>#N/A</v>
      </c>
      <c r="N53" s="462"/>
      <c r="O53" s="462"/>
      <c r="P53" s="166"/>
      <c r="Q53" s="166"/>
      <c r="R53" s="166"/>
      <c r="S53" s="180" t="e">
        <f t="shared" si="25"/>
        <v>#N/A</v>
      </c>
      <c r="T53" s="479"/>
      <c r="U53" s="166"/>
      <c r="V53" s="166"/>
      <c r="W53" s="166"/>
      <c r="X53" s="180" t="e">
        <f t="shared" si="26"/>
        <v>#N/A</v>
      </c>
      <c r="Y53" s="479"/>
      <c r="Z53" s="166"/>
      <c r="AA53" s="166"/>
      <c r="AB53" s="166"/>
      <c r="AC53" s="180" t="e">
        <f t="shared" si="27"/>
        <v>#N/A</v>
      </c>
      <c r="AD53" s="479"/>
      <c r="AE53" s="166"/>
      <c r="AF53" s="166"/>
      <c r="AG53" s="166"/>
      <c r="AH53" s="180" t="e">
        <f t="shared" si="28"/>
        <v>#N/A</v>
      </c>
      <c r="AI53" s="479"/>
      <c r="AJ53" s="166"/>
      <c r="AK53" s="166"/>
      <c r="AL53" s="166"/>
      <c r="AM53" s="180" t="e">
        <f t="shared" si="29"/>
        <v>#N/A</v>
      </c>
      <c r="AN53" s="479"/>
      <c r="AO53" s="166"/>
      <c r="AP53" s="166"/>
      <c r="AQ53" s="166"/>
      <c r="AR53" s="180" t="e">
        <f t="shared" si="30"/>
        <v>#N/A</v>
      </c>
      <c r="AS53" s="479"/>
      <c r="AT53" s="166"/>
      <c r="AU53" s="166"/>
      <c r="AV53" s="166"/>
      <c r="AW53" s="180" t="e">
        <f t="shared" si="31"/>
        <v>#N/A</v>
      </c>
      <c r="AX53" s="479"/>
    </row>
    <row r="54" spans="2:50">
      <c r="B54" s="479"/>
      <c r="C54" s="180">
        <v>8</v>
      </c>
      <c r="D54" s="201"/>
      <c r="E54" s="166"/>
      <c r="F54" s="180"/>
      <c r="G54" s="265"/>
      <c r="H54" s="460"/>
      <c r="I54" s="166"/>
      <c r="J54" s="166"/>
      <c r="K54" s="265"/>
      <c r="L54" s="460"/>
      <c r="M54" s="272" t="e">
        <f>RANK(K54, K$47:$K$61)</f>
        <v>#N/A</v>
      </c>
      <c r="N54" s="462"/>
      <c r="O54" s="462"/>
      <c r="P54" s="166"/>
      <c r="Q54" s="166"/>
      <c r="R54" s="166"/>
      <c r="S54" s="180" t="e">
        <f t="shared" si="25"/>
        <v>#N/A</v>
      </c>
      <c r="T54" s="479"/>
      <c r="U54" s="166"/>
      <c r="V54" s="166"/>
      <c r="W54" s="166"/>
      <c r="X54" s="180" t="e">
        <f t="shared" si="26"/>
        <v>#N/A</v>
      </c>
      <c r="Y54" s="479"/>
      <c r="Z54" s="166"/>
      <c r="AA54" s="166"/>
      <c r="AB54" s="166"/>
      <c r="AC54" s="180" t="e">
        <f t="shared" si="27"/>
        <v>#N/A</v>
      </c>
      <c r="AD54" s="479"/>
      <c r="AE54" s="166"/>
      <c r="AF54" s="166"/>
      <c r="AG54" s="166"/>
      <c r="AH54" s="180" t="e">
        <f t="shared" si="28"/>
        <v>#N/A</v>
      </c>
      <c r="AI54" s="479"/>
      <c r="AJ54" s="166"/>
      <c r="AK54" s="166"/>
      <c r="AL54" s="166"/>
      <c r="AM54" s="180" t="e">
        <f t="shared" si="29"/>
        <v>#N/A</v>
      </c>
      <c r="AN54" s="479"/>
      <c r="AO54" s="166"/>
      <c r="AP54" s="166"/>
      <c r="AQ54" s="166"/>
      <c r="AR54" s="180" t="e">
        <f t="shared" si="30"/>
        <v>#N/A</v>
      </c>
      <c r="AS54" s="479"/>
      <c r="AT54" s="166"/>
      <c r="AU54" s="166"/>
      <c r="AV54" s="166"/>
      <c r="AW54" s="180" t="e">
        <f t="shared" si="31"/>
        <v>#N/A</v>
      </c>
      <c r="AX54" s="479"/>
    </row>
    <row r="55" spans="2:50">
      <c r="B55" s="479"/>
      <c r="C55" s="180">
        <v>9</v>
      </c>
      <c r="D55" s="201"/>
      <c r="E55" s="166"/>
      <c r="F55" s="180"/>
      <c r="G55" s="265"/>
      <c r="H55" s="460"/>
      <c r="I55" s="166"/>
      <c r="J55" s="166"/>
      <c r="K55" s="265"/>
      <c r="L55" s="460"/>
      <c r="M55" s="272" t="e">
        <f>RANK(K55, K$47:$K$61)</f>
        <v>#N/A</v>
      </c>
      <c r="N55" s="462"/>
      <c r="O55" s="462"/>
      <c r="P55" s="166"/>
      <c r="Q55" s="166"/>
      <c r="R55" s="166"/>
      <c r="S55" s="180" t="e">
        <f t="shared" si="25"/>
        <v>#N/A</v>
      </c>
      <c r="T55" s="479"/>
      <c r="U55" s="166"/>
      <c r="V55" s="166"/>
      <c r="W55" s="166"/>
      <c r="X55" s="180" t="e">
        <f t="shared" si="26"/>
        <v>#N/A</v>
      </c>
      <c r="Y55" s="479"/>
      <c r="Z55" s="166"/>
      <c r="AA55" s="166"/>
      <c r="AB55" s="166"/>
      <c r="AC55" s="180" t="e">
        <f t="shared" si="27"/>
        <v>#N/A</v>
      </c>
      <c r="AD55" s="479"/>
      <c r="AE55" s="166"/>
      <c r="AF55" s="166"/>
      <c r="AG55" s="166"/>
      <c r="AH55" s="180" t="e">
        <f t="shared" si="28"/>
        <v>#N/A</v>
      </c>
      <c r="AI55" s="479"/>
      <c r="AJ55" s="166"/>
      <c r="AK55" s="166"/>
      <c r="AL55" s="166"/>
      <c r="AM55" s="180" t="e">
        <f t="shared" si="29"/>
        <v>#N/A</v>
      </c>
      <c r="AN55" s="479"/>
      <c r="AO55" s="166"/>
      <c r="AP55" s="166"/>
      <c r="AQ55" s="166"/>
      <c r="AR55" s="180" t="e">
        <f t="shared" si="30"/>
        <v>#N/A</v>
      </c>
      <c r="AS55" s="479"/>
      <c r="AT55" s="166"/>
      <c r="AU55" s="166"/>
      <c r="AV55" s="166"/>
      <c r="AW55" s="180" t="e">
        <f t="shared" si="31"/>
        <v>#N/A</v>
      </c>
      <c r="AX55" s="479"/>
    </row>
    <row r="56" spans="2:50">
      <c r="B56" s="479"/>
      <c r="C56" s="180">
        <v>10</v>
      </c>
      <c r="D56" s="201"/>
      <c r="E56" s="166"/>
      <c r="F56" s="180"/>
      <c r="G56" s="265"/>
      <c r="H56" s="460"/>
      <c r="I56" s="166"/>
      <c r="J56" s="166"/>
      <c r="K56" s="265"/>
      <c r="L56" s="460"/>
      <c r="M56" s="272" t="e">
        <f>RANK(K56, K$47:$K$61)</f>
        <v>#N/A</v>
      </c>
      <c r="N56" s="462"/>
      <c r="O56" s="462"/>
      <c r="P56" s="166"/>
      <c r="Q56" s="166"/>
      <c r="R56" s="166"/>
      <c r="S56" s="180" t="e">
        <f t="shared" si="25"/>
        <v>#N/A</v>
      </c>
      <c r="T56" s="479"/>
      <c r="U56" s="166"/>
      <c r="V56" s="166"/>
      <c r="W56" s="166"/>
      <c r="X56" s="180" t="e">
        <f t="shared" si="26"/>
        <v>#N/A</v>
      </c>
      <c r="Y56" s="479"/>
      <c r="Z56" s="166"/>
      <c r="AA56" s="166"/>
      <c r="AB56" s="166"/>
      <c r="AC56" s="180" t="e">
        <f t="shared" si="27"/>
        <v>#N/A</v>
      </c>
      <c r="AD56" s="479"/>
      <c r="AE56" s="166"/>
      <c r="AF56" s="166"/>
      <c r="AG56" s="166"/>
      <c r="AH56" s="180" t="e">
        <f t="shared" si="28"/>
        <v>#N/A</v>
      </c>
      <c r="AI56" s="479"/>
      <c r="AJ56" s="166"/>
      <c r="AK56" s="166"/>
      <c r="AL56" s="166"/>
      <c r="AM56" s="180" t="e">
        <f t="shared" si="29"/>
        <v>#N/A</v>
      </c>
      <c r="AN56" s="479"/>
      <c r="AO56" s="166"/>
      <c r="AP56" s="166"/>
      <c r="AQ56" s="166"/>
      <c r="AR56" s="180" t="e">
        <f t="shared" si="30"/>
        <v>#N/A</v>
      </c>
      <c r="AS56" s="479"/>
      <c r="AT56" s="166"/>
      <c r="AU56" s="166"/>
      <c r="AV56" s="166"/>
      <c r="AW56" s="180" t="e">
        <f t="shared" si="31"/>
        <v>#N/A</v>
      </c>
      <c r="AX56" s="479"/>
    </row>
    <row r="57" spans="2:50">
      <c r="B57" s="479"/>
      <c r="C57" s="180">
        <v>11</v>
      </c>
      <c r="D57" s="201"/>
      <c r="E57" s="166"/>
      <c r="F57" s="180"/>
      <c r="G57" s="265"/>
      <c r="H57" s="460"/>
      <c r="I57" s="166"/>
      <c r="J57" s="166"/>
      <c r="K57" s="265"/>
      <c r="L57" s="460"/>
      <c r="M57" s="272" t="e">
        <f>RANK(K57, K$47:$K$61)</f>
        <v>#N/A</v>
      </c>
      <c r="N57" s="462"/>
      <c r="O57" s="462"/>
      <c r="P57" s="166"/>
      <c r="Q57" s="166"/>
      <c r="R57" s="166"/>
      <c r="S57" s="180" t="e">
        <f t="shared" si="25"/>
        <v>#N/A</v>
      </c>
      <c r="T57" s="479"/>
      <c r="U57" s="166"/>
      <c r="V57" s="166"/>
      <c r="W57" s="166"/>
      <c r="X57" s="180" t="e">
        <f t="shared" si="26"/>
        <v>#N/A</v>
      </c>
      <c r="Y57" s="479"/>
      <c r="Z57" s="166"/>
      <c r="AA57" s="166"/>
      <c r="AB57" s="166"/>
      <c r="AC57" s="180" t="e">
        <f t="shared" si="27"/>
        <v>#N/A</v>
      </c>
      <c r="AD57" s="479"/>
      <c r="AE57" s="166"/>
      <c r="AF57" s="166"/>
      <c r="AG57" s="166"/>
      <c r="AH57" s="180" t="e">
        <f t="shared" si="28"/>
        <v>#N/A</v>
      </c>
      <c r="AI57" s="479"/>
      <c r="AJ57" s="166"/>
      <c r="AK57" s="166"/>
      <c r="AL57" s="166"/>
      <c r="AM57" s="180" t="e">
        <f t="shared" si="29"/>
        <v>#N/A</v>
      </c>
      <c r="AN57" s="479"/>
      <c r="AO57" s="166"/>
      <c r="AP57" s="166"/>
      <c r="AQ57" s="166"/>
      <c r="AR57" s="180" t="e">
        <f t="shared" si="30"/>
        <v>#N/A</v>
      </c>
      <c r="AS57" s="479"/>
      <c r="AT57" s="166"/>
      <c r="AU57" s="166"/>
      <c r="AV57" s="166"/>
      <c r="AW57" s="180" t="e">
        <f t="shared" si="31"/>
        <v>#N/A</v>
      </c>
      <c r="AX57" s="479"/>
    </row>
    <row r="58" spans="2:50">
      <c r="B58" s="479"/>
      <c r="C58" s="180">
        <v>12</v>
      </c>
      <c r="D58" s="201"/>
      <c r="E58" s="166"/>
      <c r="F58" s="180"/>
      <c r="G58" s="265"/>
      <c r="H58" s="460"/>
      <c r="I58" s="166"/>
      <c r="J58" s="166"/>
      <c r="K58" s="265"/>
      <c r="L58" s="460"/>
      <c r="M58" s="272" t="e">
        <f>RANK(K58, K$47:$K$61)</f>
        <v>#N/A</v>
      </c>
      <c r="N58" s="462"/>
      <c r="O58" s="462"/>
      <c r="P58" s="166"/>
      <c r="Q58" s="166"/>
      <c r="R58" s="166"/>
      <c r="S58" s="180" t="e">
        <f t="shared" si="25"/>
        <v>#N/A</v>
      </c>
      <c r="T58" s="479"/>
      <c r="U58" s="166"/>
      <c r="V58" s="166"/>
      <c r="W58" s="166"/>
      <c r="X58" s="180" t="e">
        <f t="shared" si="26"/>
        <v>#N/A</v>
      </c>
      <c r="Y58" s="479"/>
      <c r="Z58" s="166"/>
      <c r="AA58" s="166"/>
      <c r="AB58" s="166"/>
      <c r="AC58" s="180" t="e">
        <f t="shared" si="27"/>
        <v>#N/A</v>
      </c>
      <c r="AD58" s="479"/>
      <c r="AE58" s="166"/>
      <c r="AF58" s="166"/>
      <c r="AG58" s="166"/>
      <c r="AH58" s="180" t="e">
        <f t="shared" si="28"/>
        <v>#N/A</v>
      </c>
      <c r="AI58" s="479"/>
      <c r="AJ58" s="166"/>
      <c r="AK58" s="166"/>
      <c r="AL58" s="166"/>
      <c r="AM58" s="180" t="e">
        <f t="shared" si="29"/>
        <v>#N/A</v>
      </c>
      <c r="AN58" s="479"/>
      <c r="AO58" s="166"/>
      <c r="AP58" s="166"/>
      <c r="AQ58" s="166"/>
      <c r="AR58" s="180" t="e">
        <f t="shared" si="30"/>
        <v>#N/A</v>
      </c>
      <c r="AS58" s="479"/>
      <c r="AT58" s="166"/>
      <c r="AU58" s="166"/>
      <c r="AV58" s="166"/>
      <c r="AW58" s="180" t="e">
        <f t="shared" si="31"/>
        <v>#N/A</v>
      </c>
      <c r="AX58" s="479"/>
    </row>
    <row r="59" spans="2:50">
      <c r="B59" s="479"/>
      <c r="C59" s="180">
        <v>13</v>
      </c>
      <c r="D59" s="201"/>
      <c r="E59" s="166"/>
      <c r="F59" s="180"/>
      <c r="G59" s="265"/>
      <c r="H59" s="460"/>
      <c r="I59" s="180"/>
      <c r="J59" s="180"/>
      <c r="K59" s="180"/>
      <c r="L59" s="460"/>
      <c r="M59" s="272" t="e">
        <f>RANK(K59, K$47:$K$61)</f>
        <v>#N/A</v>
      </c>
      <c r="N59" s="462"/>
      <c r="O59" s="462"/>
      <c r="P59" s="166"/>
      <c r="Q59" s="166"/>
      <c r="R59" s="166"/>
      <c r="S59" s="180" t="e">
        <f t="shared" si="25"/>
        <v>#N/A</v>
      </c>
      <c r="T59" s="479"/>
      <c r="U59" s="166"/>
      <c r="V59" s="166"/>
      <c r="W59" s="166"/>
      <c r="X59" s="180" t="e">
        <f t="shared" si="26"/>
        <v>#N/A</v>
      </c>
      <c r="Y59" s="479"/>
      <c r="Z59" s="166"/>
      <c r="AA59" s="166"/>
      <c r="AB59" s="166"/>
      <c r="AC59" s="180" t="e">
        <f t="shared" si="27"/>
        <v>#N/A</v>
      </c>
      <c r="AD59" s="479"/>
      <c r="AE59" s="166"/>
      <c r="AF59" s="166"/>
      <c r="AG59" s="166"/>
      <c r="AH59" s="180" t="e">
        <f t="shared" si="28"/>
        <v>#N/A</v>
      </c>
      <c r="AI59" s="479"/>
      <c r="AJ59" s="166"/>
      <c r="AK59" s="166"/>
      <c r="AL59" s="166"/>
      <c r="AM59" s="180" t="e">
        <f t="shared" si="29"/>
        <v>#N/A</v>
      </c>
      <c r="AN59" s="479"/>
      <c r="AO59" s="166"/>
      <c r="AP59" s="166"/>
      <c r="AQ59" s="166"/>
      <c r="AR59" s="180" t="e">
        <f t="shared" si="30"/>
        <v>#N/A</v>
      </c>
      <c r="AS59" s="479"/>
      <c r="AT59" s="166"/>
      <c r="AU59" s="166"/>
      <c r="AV59" s="166"/>
      <c r="AW59" s="180" t="e">
        <f t="shared" si="31"/>
        <v>#N/A</v>
      </c>
      <c r="AX59" s="479"/>
    </row>
    <row r="60" spans="2:50">
      <c r="B60" s="479"/>
      <c r="C60" s="180">
        <v>14</v>
      </c>
      <c r="D60" s="201"/>
      <c r="E60" s="166"/>
      <c r="F60" s="180"/>
      <c r="G60" s="265"/>
      <c r="H60" s="460"/>
      <c r="I60" s="180"/>
      <c r="J60" s="180"/>
      <c r="K60" s="180"/>
      <c r="L60" s="460"/>
      <c r="M60" s="272" t="e">
        <f>RANK(K60, K$47:$K$61)</f>
        <v>#N/A</v>
      </c>
      <c r="N60" s="462"/>
      <c r="O60" s="462"/>
      <c r="P60" s="166"/>
      <c r="Q60" s="166"/>
      <c r="R60" s="166"/>
      <c r="S60" s="180" t="e">
        <f t="shared" si="25"/>
        <v>#N/A</v>
      </c>
      <c r="T60" s="479"/>
      <c r="U60" s="166"/>
      <c r="V60" s="166"/>
      <c r="W60" s="166"/>
      <c r="X60" s="180" t="e">
        <f t="shared" si="26"/>
        <v>#N/A</v>
      </c>
      <c r="Y60" s="479"/>
      <c r="Z60" s="166"/>
      <c r="AA60" s="166"/>
      <c r="AB60" s="166"/>
      <c r="AC60" s="180" t="e">
        <f t="shared" si="27"/>
        <v>#N/A</v>
      </c>
      <c r="AD60" s="479"/>
      <c r="AE60" s="166"/>
      <c r="AF60" s="166"/>
      <c r="AG60" s="166"/>
      <c r="AH60" s="180" t="e">
        <f t="shared" si="28"/>
        <v>#N/A</v>
      </c>
      <c r="AI60" s="479"/>
      <c r="AJ60" s="166"/>
      <c r="AK60" s="166"/>
      <c r="AL60" s="166"/>
      <c r="AM60" s="180" t="e">
        <f t="shared" si="29"/>
        <v>#N/A</v>
      </c>
      <c r="AN60" s="479"/>
      <c r="AO60" s="166"/>
      <c r="AP60" s="166"/>
      <c r="AQ60" s="166"/>
      <c r="AR60" s="180" t="e">
        <f t="shared" si="30"/>
        <v>#N/A</v>
      </c>
      <c r="AS60" s="479"/>
      <c r="AT60" s="166"/>
      <c r="AU60" s="166"/>
      <c r="AV60" s="166"/>
      <c r="AW60" s="180" t="e">
        <f t="shared" si="31"/>
        <v>#N/A</v>
      </c>
      <c r="AX60" s="479"/>
    </row>
    <row r="61" spans="2:50">
      <c r="B61" s="479"/>
      <c r="C61" s="180">
        <v>15</v>
      </c>
      <c r="D61" s="201"/>
      <c r="E61" s="166"/>
      <c r="F61" s="180"/>
      <c r="G61" s="265"/>
      <c r="H61" s="461"/>
      <c r="I61" s="180"/>
      <c r="J61" s="180"/>
      <c r="K61" s="180"/>
      <c r="L61" s="461"/>
      <c r="M61" s="272" t="e">
        <f>RANK(K61, K$47:$K$61)</f>
        <v>#N/A</v>
      </c>
      <c r="N61" s="462"/>
      <c r="O61" s="462"/>
      <c r="P61" s="166"/>
      <c r="Q61" s="166"/>
      <c r="R61" s="166"/>
      <c r="S61" s="180" t="e">
        <f t="shared" si="25"/>
        <v>#N/A</v>
      </c>
      <c r="T61" s="479"/>
      <c r="U61" s="166"/>
      <c r="V61" s="166"/>
      <c r="W61" s="166"/>
      <c r="X61" s="180" t="e">
        <f t="shared" si="26"/>
        <v>#N/A</v>
      </c>
      <c r="Y61" s="479"/>
      <c r="Z61" s="166"/>
      <c r="AA61" s="166"/>
      <c r="AB61" s="166"/>
      <c r="AC61" s="180" t="e">
        <f t="shared" si="27"/>
        <v>#N/A</v>
      </c>
      <c r="AD61" s="479"/>
      <c r="AE61" s="166"/>
      <c r="AF61" s="166"/>
      <c r="AG61" s="166"/>
      <c r="AH61" s="180" t="e">
        <f t="shared" si="28"/>
        <v>#N/A</v>
      </c>
      <c r="AI61" s="479"/>
      <c r="AJ61" s="166"/>
      <c r="AK61" s="166"/>
      <c r="AL61" s="166"/>
      <c r="AM61" s="180" t="e">
        <f t="shared" si="29"/>
        <v>#N/A</v>
      </c>
      <c r="AN61" s="479"/>
      <c r="AO61" s="166"/>
      <c r="AP61" s="166"/>
      <c r="AQ61" s="166"/>
      <c r="AR61" s="180" t="e">
        <f t="shared" si="30"/>
        <v>#N/A</v>
      </c>
      <c r="AS61" s="479"/>
      <c r="AT61" s="166"/>
      <c r="AU61" s="166"/>
      <c r="AV61" s="166"/>
      <c r="AW61" s="180" t="e">
        <f t="shared" si="31"/>
        <v>#N/A</v>
      </c>
      <c r="AX61" s="479"/>
    </row>
    <row r="62" spans="2:50" ht="15.75">
      <c r="B62" s="480" t="s">
        <v>721</v>
      </c>
      <c r="C62" s="481"/>
      <c r="D62" s="481"/>
      <c r="E62" s="481"/>
      <c r="F62" s="481"/>
      <c r="G62" s="481"/>
      <c r="H62" s="481"/>
      <c r="I62" s="184"/>
      <c r="J62" s="184"/>
      <c r="K62" s="184"/>
      <c r="L62" s="184"/>
      <c r="M62" s="183"/>
      <c r="N62" s="469" t="s">
        <v>722</v>
      </c>
      <c r="O62" s="469" t="s">
        <v>723</v>
      </c>
      <c r="P62" s="478">
        <f>P42+7</f>
        <v>46070</v>
      </c>
      <c r="Q62" s="479"/>
      <c r="R62" s="479"/>
      <c r="S62" s="479"/>
      <c r="T62" s="479"/>
      <c r="U62" s="475">
        <f>P62+1</f>
        <v>46071</v>
      </c>
      <c r="V62" s="476"/>
      <c r="W62" s="476"/>
      <c r="X62" s="476"/>
      <c r="Y62" s="477"/>
      <c r="Z62" s="475">
        <f>U62+1</f>
        <v>46072</v>
      </c>
      <c r="AA62" s="476"/>
      <c r="AB62" s="476"/>
      <c r="AC62" s="476"/>
      <c r="AD62" s="477"/>
      <c r="AE62" s="475">
        <f>Z62+1</f>
        <v>46073</v>
      </c>
      <c r="AF62" s="476"/>
      <c r="AG62" s="476"/>
      <c r="AH62" s="476"/>
      <c r="AI62" s="477"/>
      <c r="AJ62" s="475">
        <f>AE62+1</f>
        <v>46074</v>
      </c>
      <c r="AK62" s="476"/>
      <c r="AL62" s="476"/>
      <c r="AM62" s="476"/>
      <c r="AN62" s="477"/>
      <c r="AO62" s="475">
        <f>AJ62+1</f>
        <v>46075</v>
      </c>
      <c r="AP62" s="476"/>
      <c r="AQ62" s="476"/>
      <c r="AR62" s="476"/>
      <c r="AS62" s="477"/>
      <c r="AT62" s="475">
        <f>AO62+1</f>
        <v>46076</v>
      </c>
      <c r="AU62" s="476"/>
      <c r="AV62" s="476"/>
      <c r="AW62" s="476"/>
      <c r="AX62" s="477"/>
    </row>
    <row r="63" spans="2:50" ht="15.75">
      <c r="B63" s="482"/>
      <c r="C63" s="482"/>
      <c r="D63" s="482"/>
      <c r="E63" s="482"/>
      <c r="F63" s="482"/>
      <c r="G63" s="482"/>
      <c r="H63" s="482"/>
      <c r="I63" s="182"/>
      <c r="J63" s="182"/>
      <c r="K63" s="182"/>
      <c r="L63" s="182"/>
      <c r="M63" s="179"/>
      <c r="N63" s="471"/>
      <c r="O63" s="471"/>
      <c r="P63" s="478" t="s">
        <v>724</v>
      </c>
      <c r="Q63" s="479"/>
      <c r="R63" s="479"/>
      <c r="S63" s="479"/>
      <c r="T63" s="479"/>
      <c r="U63" s="478" t="s">
        <v>725</v>
      </c>
      <c r="V63" s="479"/>
      <c r="W63" s="479"/>
      <c r="X63" s="479"/>
      <c r="Y63" s="479"/>
      <c r="Z63" s="478" t="s">
        <v>726</v>
      </c>
      <c r="AA63" s="479"/>
      <c r="AB63" s="479"/>
      <c r="AC63" s="479"/>
      <c r="AD63" s="479"/>
      <c r="AE63" s="478" t="s">
        <v>727</v>
      </c>
      <c r="AF63" s="479"/>
      <c r="AG63" s="479"/>
      <c r="AH63" s="479"/>
      <c r="AI63" s="479"/>
      <c r="AJ63" s="478" t="s">
        <v>728</v>
      </c>
      <c r="AK63" s="479"/>
      <c r="AL63" s="479"/>
      <c r="AM63" s="479"/>
      <c r="AN63" s="479"/>
      <c r="AO63" s="478" t="s">
        <v>729</v>
      </c>
      <c r="AP63" s="479"/>
      <c r="AQ63" s="479"/>
      <c r="AR63" s="479"/>
      <c r="AS63" s="479"/>
      <c r="AT63" s="478" t="s">
        <v>730</v>
      </c>
      <c r="AU63" s="479"/>
      <c r="AV63" s="479"/>
      <c r="AW63" s="479"/>
      <c r="AX63" s="479"/>
    </row>
    <row r="64" spans="2:50">
      <c r="B64" s="462" t="s">
        <v>731</v>
      </c>
      <c r="C64" s="462" t="s">
        <v>732</v>
      </c>
      <c r="D64" s="462"/>
      <c r="E64" s="462" t="s">
        <v>733</v>
      </c>
      <c r="F64" s="462"/>
      <c r="G64" s="462"/>
      <c r="H64" s="463" t="s">
        <v>734</v>
      </c>
      <c r="I64" s="462" t="s">
        <v>735</v>
      </c>
      <c r="J64" s="462"/>
      <c r="K64" s="462"/>
      <c r="L64" s="463" t="s">
        <v>734</v>
      </c>
      <c r="M64" s="469" t="s">
        <v>736</v>
      </c>
      <c r="N64" s="462"/>
      <c r="O64" s="462" t="s">
        <v>737</v>
      </c>
      <c r="P64" s="466" t="s">
        <v>738</v>
      </c>
      <c r="Q64" s="467"/>
      <c r="R64" s="467"/>
      <c r="S64" s="468"/>
      <c r="T64" s="462" t="s">
        <v>734</v>
      </c>
      <c r="U64" s="466" t="s">
        <v>738</v>
      </c>
      <c r="V64" s="467"/>
      <c r="W64" s="467"/>
      <c r="X64" s="468"/>
      <c r="Y64" s="462" t="s">
        <v>734</v>
      </c>
      <c r="Z64" s="466" t="s">
        <v>738</v>
      </c>
      <c r="AA64" s="467"/>
      <c r="AB64" s="467"/>
      <c r="AC64" s="468"/>
      <c r="AD64" s="462" t="s">
        <v>734</v>
      </c>
      <c r="AE64" s="466" t="s">
        <v>738</v>
      </c>
      <c r="AF64" s="467"/>
      <c r="AG64" s="467"/>
      <c r="AH64" s="468"/>
      <c r="AI64" s="462" t="s">
        <v>734</v>
      </c>
      <c r="AJ64" s="466" t="s">
        <v>738</v>
      </c>
      <c r="AK64" s="467"/>
      <c r="AL64" s="467"/>
      <c r="AM64" s="468"/>
      <c r="AN64" s="462" t="s">
        <v>734</v>
      </c>
      <c r="AO64" s="466" t="s">
        <v>738</v>
      </c>
      <c r="AP64" s="467"/>
      <c r="AQ64" s="467"/>
      <c r="AR64" s="468"/>
      <c r="AS64" s="462" t="s">
        <v>734</v>
      </c>
      <c r="AT64" s="466" t="s">
        <v>738</v>
      </c>
      <c r="AU64" s="467"/>
      <c r="AV64" s="467"/>
      <c r="AW64" s="468"/>
      <c r="AX64" s="462" t="s">
        <v>734</v>
      </c>
    </row>
    <row r="65" spans="2:50">
      <c r="B65" s="462"/>
      <c r="C65" s="462"/>
      <c r="D65" s="462"/>
      <c r="E65" s="462" t="s">
        <v>739</v>
      </c>
      <c r="F65" s="462"/>
      <c r="G65" s="462"/>
      <c r="H65" s="464"/>
      <c r="I65" s="462" t="s">
        <v>739</v>
      </c>
      <c r="J65" s="462"/>
      <c r="K65" s="462"/>
      <c r="L65" s="464"/>
      <c r="M65" s="470"/>
      <c r="N65" s="462"/>
      <c r="O65" s="462"/>
      <c r="P65" s="466" t="s">
        <v>740</v>
      </c>
      <c r="Q65" s="467"/>
      <c r="R65" s="467"/>
      <c r="S65" s="468"/>
      <c r="T65" s="462"/>
      <c r="U65" s="466" t="s">
        <v>740</v>
      </c>
      <c r="V65" s="467"/>
      <c r="W65" s="467"/>
      <c r="X65" s="468"/>
      <c r="Y65" s="462"/>
      <c r="Z65" s="466" t="s">
        <v>740</v>
      </c>
      <c r="AA65" s="467"/>
      <c r="AB65" s="467"/>
      <c r="AC65" s="468"/>
      <c r="AD65" s="462"/>
      <c r="AE65" s="466" t="s">
        <v>740</v>
      </c>
      <c r="AF65" s="467"/>
      <c r="AG65" s="467"/>
      <c r="AH65" s="468"/>
      <c r="AI65" s="462"/>
      <c r="AJ65" s="466" t="s">
        <v>740</v>
      </c>
      <c r="AK65" s="467"/>
      <c r="AL65" s="467"/>
      <c r="AM65" s="468"/>
      <c r="AN65" s="462"/>
      <c r="AO65" s="466" t="s">
        <v>740</v>
      </c>
      <c r="AP65" s="467"/>
      <c r="AQ65" s="467"/>
      <c r="AR65" s="468"/>
      <c r="AS65" s="462"/>
      <c r="AT65" s="466" t="s">
        <v>740</v>
      </c>
      <c r="AU65" s="467"/>
      <c r="AV65" s="467"/>
      <c r="AW65" s="468"/>
      <c r="AX65" s="462"/>
    </row>
    <row r="66" spans="2:50">
      <c r="B66" s="462"/>
      <c r="C66" s="462"/>
      <c r="D66" s="462"/>
      <c r="E66" s="264" t="s">
        <v>741</v>
      </c>
      <c r="F66" s="264" t="s">
        <v>742</v>
      </c>
      <c r="G66" s="264" t="s">
        <v>743</v>
      </c>
      <c r="H66" s="465"/>
      <c r="I66" s="264" t="s">
        <v>741</v>
      </c>
      <c r="J66" s="264" t="s">
        <v>742</v>
      </c>
      <c r="K66" s="264" t="s">
        <v>743</v>
      </c>
      <c r="L66" s="465"/>
      <c r="M66" s="471"/>
      <c r="N66" s="462"/>
      <c r="O66" s="462"/>
      <c r="P66" s="264" t="s">
        <v>741</v>
      </c>
      <c r="Q66" s="264" t="s">
        <v>742</v>
      </c>
      <c r="R66" s="264" t="s">
        <v>743</v>
      </c>
      <c r="S66" s="264" t="s">
        <v>736</v>
      </c>
      <c r="T66" s="462"/>
      <c r="U66" s="264" t="s">
        <v>741</v>
      </c>
      <c r="V66" s="264" t="s">
        <v>742</v>
      </c>
      <c r="W66" s="264" t="s">
        <v>743</v>
      </c>
      <c r="X66" s="264" t="s">
        <v>736</v>
      </c>
      <c r="Y66" s="462"/>
      <c r="Z66" s="264" t="s">
        <v>741</v>
      </c>
      <c r="AA66" s="264" t="s">
        <v>742</v>
      </c>
      <c r="AB66" s="264" t="s">
        <v>743</v>
      </c>
      <c r="AC66" s="264" t="s">
        <v>736</v>
      </c>
      <c r="AD66" s="462"/>
      <c r="AE66" s="264" t="s">
        <v>741</v>
      </c>
      <c r="AF66" s="264" t="s">
        <v>742</v>
      </c>
      <c r="AG66" s="264" t="s">
        <v>743</v>
      </c>
      <c r="AH66" s="264" t="s">
        <v>736</v>
      </c>
      <c r="AI66" s="462"/>
      <c r="AJ66" s="264" t="s">
        <v>741</v>
      </c>
      <c r="AK66" s="264" t="s">
        <v>742</v>
      </c>
      <c r="AL66" s="264" t="s">
        <v>743</v>
      </c>
      <c r="AM66" s="264" t="s">
        <v>736</v>
      </c>
      <c r="AN66" s="462"/>
      <c r="AO66" s="264" t="s">
        <v>741</v>
      </c>
      <c r="AP66" s="264" t="s">
        <v>742</v>
      </c>
      <c r="AQ66" s="264" t="s">
        <v>743</v>
      </c>
      <c r="AR66" s="264" t="s">
        <v>736</v>
      </c>
      <c r="AS66" s="462"/>
      <c r="AT66" s="264" t="s">
        <v>741</v>
      </c>
      <c r="AU66" s="264" t="s">
        <v>742</v>
      </c>
      <c r="AV66" s="264" t="s">
        <v>743</v>
      </c>
      <c r="AW66" s="264" t="s">
        <v>736</v>
      </c>
      <c r="AX66" s="462"/>
    </row>
    <row r="67" spans="2:50">
      <c r="B67" s="462" t="s">
        <v>756</v>
      </c>
      <c r="C67" s="180">
        <v>1</v>
      </c>
      <c r="D67" s="201" t="s">
        <v>518</v>
      </c>
      <c r="E67" s="166">
        <v>14</v>
      </c>
      <c r="F67" s="180">
        <v>1500</v>
      </c>
      <c r="G67" s="265">
        <v>107.14285714285714</v>
      </c>
      <c r="H67" s="459">
        <f>AVERAGE(G67:G81)</f>
        <v>94.147525676937448</v>
      </c>
      <c r="I67" s="166">
        <f>AVERAGE(P67,U67,Z67,AE67,AJ67,AO67,AT67)</f>
        <v>13.285714285714286</v>
      </c>
      <c r="J67" s="166">
        <f>AVERAGE(Q67,V67,AA67,AF67,AK67,AP67,AU67)</f>
        <v>1143.4148486981007</v>
      </c>
      <c r="K67" s="265">
        <f>AVERAGE(R67,W67,AB67,AG67,AL67,AQ67,AV67)</f>
        <v>86.184197722287152</v>
      </c>
      <c r="L67" s="459">
        <f>IFERROR(AVERAGE(K67:K81),"-")</f>
        <v>76.769841340247027</v>
      </c>
      <c r="M67" s="272">
        <f>RANK(K67, K$67:$K$81)</f>
        <v>1</v>
      </c>
      <c r="N67" s="462"/>
      <c r="O67" s="462"/>
      <c r="P67" s="166">
        <v>13</v>
      </c>
      <c r="Q67" s="166">
        <v>1085.0000000000005</v>
      </c>
      <c r="R67" s="166">
        <v>83.461538461538495</v>
      </c>
      <c r="S67" s="180">
        <f>RANK(R67, R$67:R$81)</f>
        <v>1</v>
      </c>
      <c r="T67" s="486">
        <f>AVERAGE(R67:R81)</f>
        <v>74.35761491611467</v>
      </c>
      <c r="U67" s="166">
        <v>12</v>
      </c>
      <c r="V67" s="166">
        <v>1127.5000000000002</v>
      </c>
      <c r="W67" s="166">
        <v>93.958333333333357</v>
      </c>
      <c r="X67" s="180">
        <f t="shared" ref="X67:X81" si="32">RANK(W67, W$67:W$81)</f>
        <v>1</v>
      </c>
      <c r="Y67" s="486">
        <f t="shared" ref="Y67" si="33">AVERAGE(W67:W81)</f>
        <v>76.103727993593566</v>
      </c>
      <c r="Z67" s="166">
        <v>13</v>
      </c>
      <c r="AA67" s="166">
        <v>1115.0000000000005</v>
      </c>
      <c r="AB67" s="166">
        <v>85.769230769230802</v>
      </c>
      <c r="AC67" s="180">
        <f t="shared" ref="AC67:AC81" si="34">RANK(AB67, AB$67:AB$81)</f>
        <v>1</v>
      </c>
      <c r="AD67" s="486">
        <f t="shared" ref="AD67" si="35">AVERAGE(AB67:AB81)</f>
        <v>78.956934376229228</v>
      </c>
      <c r="AE67" s="166">
        <v>13</v>
      </c>
      <c r="AF67" s="166">
        <v>1105.0000000000002</v>
      </c>
      <c r="AG67" s="166">
        <v>85.000000000000014</v>
      </c>
      <c r="AH67" s="180">
        <f t="shared" ref="AH67:AH81" si="36">RANK(AG67, AG$67:AG$81)</f>
        <v>1</v>
      </c>
      <c r="AI67" s="486">
        <f t="shared" ref="AI67" si="37">AVERAGE(AG67:AG81)</f>
        <v>76.896816705487964</v>
      </c>
      <c r="AJ67" s="166">
        <v>14</v>
      </c>
      <c r="AK67" s="166">
        <v>1133.7931034482767</v>
      </c>
      <c r="AL67" s="166">
        <v>80.985221674876911</v>
      </c>
      <c r="AM67" s="180">
        <f t="shared" ref="AM67:AM81" si="38">RANK(AL67, AL$67:AL$81)</f>
        <v>1</v>
      </c>
      <c r="AN67" s="486">
        <f t="shared" ref="AN67" si="39">AVERAGE(AL67:AL81)</f>
        <v>76.982689017090664</v>
      </c>
      <c r="AO67" s="166">
        <v>14</v>
      </c>
      <c r="AP67" s="166">
        <v>1106.8965517241388</v>
      </c>
      <c r="AQ67" s="166">
        <v>79.06403940886706</v>
      </c>
      <c r="AR67" s="180">
        <f t="shared" ref="AR67:AR81" si="40">RANK(AQ67, AQ$67:AQ$81)</f>
        <v>2</v>
      </c>
      <c r="AS67" s="486">
        <f t="shared" ref="AS67" si="41">AVERAGE(AQ67:AQ81)</f>
        <v>75.531497755572403</v>
      </c>
      <c r="AT67" s="166">
        <v>14</v>
      </c>
      <c r="AU67" s="166">
        <v>1330.7142857142867</v>
      </c>
      <c r="AV67" s="166">
        <v>95.051020408163339</v>
      </c>
      <c r="AW67" s="180">
        <f t="shared" ref="AW67:AW81" si="42">RANK(AV67, AV$67:AV$81)</f>
        <v>1</v>
      </c>
      <c r="AX67" s="486">
        <f t="shared" ref="AX67" si="43">AVERAGE(AV67:AV81)</f>
        <v>78.559608617640635</v>
      </c>
    </row>
    <row r="68" spans="2:50">
      <c r="B68" s="479"/>
      <c r="C68" s="180">
        <v>2</v>
      </c>
      <c r="D68" s="201" t="s">
        <v>599</v>
      </c>
      <c r="E68" s="166">
        <v>17</v>
      </c>
      <c r="F68" s="180">
        <v>1636</v>
      </c>
      <c r="G68" s="265">
        <v>96.235294117647058</v>
      </c>
      <c r="H68" s="460"/>
      <c r="I68" s="166">
        <f t="shared" ref="I68:K71" si="44">AVERAGE(P68,U68,Z68,AE68,AJ68,AO68,AT68)</f>
        <v>17.857142857142858</v>
      </c>
      <c r="J68" s="166">
        <f t="shared" si="44"/>
        <v>1316.5108622682189</v>
      </c>
      <c r="K68" s="265">
        <f t="shared" si="44"/>
        <v>73.754510285233749</v>
      </c>
      <c r="L68" s="460"/>
      <c r="M68" s="272">
        <f>RANK(K68, K$67:$K$81)</f>
        <v>3</v>
      </c>
      <c r="N68" s="462"/>
      <c r="O68" s="462"/>
      <c r="P68" s="166">
        <v>18</v>
      </c>
      <c r="Q68" s="166">
        <v>1312.8440366972477</v>
      </c>
      <c r="R68" s="166">
        <v>72.935779816513758</v>
      </c>
      <c r="S68" s="180">
        <f t="shared" ref="S68:S81" si="45">RANK(R68, R$67:R$81)</f>
        <v>4</v>
      </c>
      <c r="T68" s="486"/>
      <c r="U68" s="166">
        <v>18</v>
      </c>
      <c r="V68" s="166">
        <v>1335.272727272727</v>
      </c>
      <c r="W68" s="166">
        <v>74.181818181818173</v>
      </c>
      <c r="X68" s="180">
        <f t="shared" si="32"/>
        <v>3</v>
      </c>
      <c r="Y68" s="486"/>
      <c r="Z68" s="166">
        <v>17</v>
      </c>
      <c r="AA68" s="166">
        <v>1317.3684210526308</v>
      </c>
      <c r="AB68" s="166">
        <v>77.492260061919453</v>
      </c>
      <c r="AC68" s="180">
        <f t="shared" si="34"/>
        <v>3</v>
      </c>
      <c r="AD68" s="486"/>
      <c r="AE68" s="166">
        <v>18</v>
      </c>
      <c r="AF68" s="166">
        <v>1311.0526315789473</v>
      </c>
      <c r="AG68" s="166">
        <v>72.836257309941516</v>
      </c>
      <c r="AH68" s="180">
        <f t="shared" si="36"/>
        <v>4</v>
      </c>
      <c r="AI68" s="486"/>
      <c r="AJ68" s="166">
        <v>18</v>
      </c>
      <c r="AK68" s="166">
        <v>1295.272727272727</v>
      </c>
      <c r="AL68" s="166">
        <v>71.959595959595944</v>
      </c>
      <c r="AM68" s="180">
        <f t="shared" si="38"/>
        <v>5</v>
      </c>
      <c r="AN68" s="486"/>
      <c r="AO68" s="166">
        <v>18</v>
      </c>
      <c r="AP68" s="166">
        <v>1316.0612903225801</v>
      </c>
      <c r="AQ68" s="166">
        <v>73.114516129032225</v>
      </c>
      <c r="AR68" s="180">
        <f t="shared" si="40"/>
        <v>4</v>
      </c>
      <c r="AS68" s="486"/>
      <c r="AT68" s="166">
        <v>18</v>
      </c>
      <c r="AU68" s="166">
        <v>1327.7042016806727</v>
      </c>
      <c r="AV68" s="166">
        <v>73.761344537815148</v>
      </c>
      <c r="AW68" s="180">
        <f t="shared" si="42"/>
        <v>4</v>
      </c>
      <c r="AX68" s="486"/>
    </row>
    <row r="69" spans="2:50">
      <c r="B69" s="479"/>
      <c r="C69" s="180">
        <v>3</v>
      </c>
      <c r="D69" s="201" t="s">
        <v>555</v>
      </c>
      <c r="E69" s="166">
        <v>17</v>
      </c>
      <c r="F69" s="180">
        <v>1500</v>
      </c>
      <c r="G69" s="265">
        <v>88.235294117647058</v>
      </c>
      <c r="H69" s="460"/>
      <c r="I69" s="166">
        <f t="shared" si="44"/>
        <v>16.714285714285715</v>
      </c>
      <c r="J69" s="166">
        <f t="shared" si="44"/>
        <v>1313.3688220073182</v>
      </c>
      <c r="K69" s="265">
        <f t="shared" si="44"/>
        <v>78.70425633186953</v>
      </c>
      <c r="L69" s="460"/>
      <c r="M69" s="272">
        <f>RANK(K69, K$67:$K$81)</f>
        <v>2</v>
      </c>
      <c r="N69" s="462"/>
      <c r="O69" s="462"/>
      <c r="P69" s="166">
        <v>17</v>
      </c>
      <c r="Q69" s="166">
        <v>1307.1428571428567</v>
      </c>
      <c r="R69" s="166">
        <v>76.890756302520984</v>
      </c>
      <c r="S69" s="180">
        <f t="shared" si="45"/>
        <v>2</v>
      </c>
      <c r="T69" s="486"/>
      <c r="U69" s="166">
        <v>17</v>
      </c>
      <c r="V69" s="166">
        <v>1325.853658536585</v>
      </c>
      <c r="W69" s="166">
        <v>77.991391678622648</v>
      </c>
      <c r="X69" s="180">
        <f t="shared" si="32"/>
        <v>2</v>
      </c>
      <c r="Y69" s="486"/>
      <c r="Z69" s="166">
        <v>16</v>
      </c>
      <c r="AA69" s="166">
        <v>1305.9574468085109</v>
      </c>
      <c r="AB69" s="166">
        <v>81.622340425531931</v>
      </c>
      <c r="AC69" s="180">
        <f t="shared" si="34"/>
        <v>2</v>
      </c>
      <c r="AD69" s="486"/>
      <c r="AE69" s="166">
        <v>16</v>
      </c>
      <c r="AF69" s="166">
        <v>1287.6923076923069</v>
      </c>
      <c r="AG69" s="166">
        <v>80.480769230769184</v>
      </c>
      <c r="AH69" s="180">
        <f t="shared" si="36"/>
        <v>2</v>
      </c>
      <c r="AI69" s="486"/>
      <c r="AJ69" s="166">
        <v>17</v>
      </c>
      <c r="AK69" s="166">
        <v>1308.0000000000009</v>
      </c>
      <c r="AL69" s="166">
        <v>76.941176470588289</v>
      </c>
      <c r="AM69" s="180">
        <f t="shared" si="38"/>
        <v>4</v>
      </c>
      <c r="AN69" s="486"/>
      <c r="AO69" s="166">
        <v>16</v>
      </c>
      <c r="AP69" s="166">
        <v>1336.9999999999995</v>
      </c>
      <c r="AQ69" s="166">
        <v>83.562499999999972</v>
      </c>
      <c r="AR69" s="180">
        <f t="shared" si="40"/>
        <v>1</v>
      </c>
      <c r="AS69" s="486"/>
      <c r="AT69" s="166">
        <v>18</v>
      </c>
      <c r="AU69" s="166">
        <v>1321.9354838709673</v>
      </c>
      <c r="AV69" s="166">
        <v>73.440860215053746</v>
      </c>
      <c r="AW69" s="180">
        <f t="shared" si="42"/>
        <v>5</v>
      </c>
      <c r="AX69" s="486"/>
    </row>
    <row r="70" spans="2:50">
      <c r="B70" s="479"/>
      <c r="C70" s="180">
        <v>4</v>
      </c>
      <c r="D70" s="201" t="s">
        <v>566</v>
      </c>
      <c r="E70" s="166">
        <v>17</v>
      </c>
      <c r="F70" s="180">
        <v>1500</v>
      </c>
      <c r="G70" s="265">
        <v>88.235294117647058</v>
      </c>
      <c r="H70" s="460"/>
      <c r="I70" s="166">
        <f t="shared" si="44"/>
        <v>17.857142857142858</v>
      </c>
      <c r="J70" s="166">
        <f t="shared" si="44"/>
        <v>1314.2636975299683</v>
      </c>
      <c r="K70" s="265">
        <f t="shared" si="44"/>
        <v>73.63126984410188</v>
      </c>
      <c r="L70" s="460"/>
      <c r="M70" s="272">
        <f>RANK(K70, K$67:$K$81)</f>
        <v>4</v>
      </c>
      <c r="N70" s="462"/>
      <c r="O70" s="462"/>
      <c r="P70" s="166">
        <v>18</v>
      </c>
      <c r="Q70" s="166">
        <v>1333.0000000000002</v>
      </c>
      <c r="R70" s="166">
        <v>74.055555555555571</v>
      </c>
      <c r="S70" s="180">
        <f t="shared" si="45"/>
        <v>3</v>
      </c>
      <c r="T70" s="486"/>
      <c r="U70" s="166">
        <v>18</v>
      </c>
      <c r="V70" s="166">
        <v>1290.9677419354844</v>
      </c>
      <c r="W70" s="166">
        <v>71.720430107526909</v>
      </c>
      <c r="X70" s="180">
        <f t="shared" si="32"/>
        <v>4</v>
      </c>
      <c r="Y70" s="486"/>
      <c r="Z70" s="166">
        <v>18</v>
      </c>
      <c r="AA70" s="166">
        <v>1312.8358208955224</v>
      </c>
      <c r="AB70" s="166">
        <v>72.93532338308458</v>
      </c>
      <c r="AC70" s="180">
        <f t="shared" si="34"/>
        <v>5</v>
      </c>
      <c r="AD70" s="486"/>
      <c r="AE70" s="166">
        <v>18</v>
      </c>
      <c r="AF70" s="166">
        <v>1276.7213114754102</v>
      </c>
      <c r="AG70" s="166">
        <v>70.928961748633895</v>
      </c>
      <c r="AH70" s="180">
        <f t="shared" si="36"/>
        <v>5</v>
      </c>
      <c r="AI70" s="486"/>
      <c r="AJ70" s="166">
        <v>17</v>
      </c>
      <c r="AK70" s="166">
        <v>1320.7999999999997</v>
      </c>
      <c r="AL70" s="166">
        <v>77.694117647058803</v>
      </c>
      <c r="AM70" s="180">
        <f t="shared" si="38"/>
        <v>2</v>
      </c>
      <c r="AN70" s="486"/>
      <c r="AO70" s="166">
        <v>18</v>
      </c>
      <c r="AP70" s="166">
        <v>1329.2857142857144</v>
      </c>
      <c r="AQ70" s="166">
        <v>73.849206349206355</v>
      </c>
      <c r="AR70" s="180">
        <f t="shared" si="40"/>
        <v>3</v>
      </c>
      <c r="AS70" s="486"/>
      <c r="AT70" s="166">
        <v>18</v>
      </c>
      <c r="AU70" s="166">
        <v>1336.2352941176468</v>
      </c>
      <c r="AV70" s="166">
        <v>74.235294117647044</v>
      </c>
      <c r="AW70" s="180">
        <f t="shared" si="42"/>
        <v>3</v>
      </c>
      <c r="AX70" s="486"/>
    </row>
    <row r="71" spans="2:50">
      <c r="B71" s="479"/>
      <c r="C71" s="180">
        <v>5</v>
      </c>
      <c r="D71" s="201" t="s">
        <v>674</v>
      </c>
      <c r="E71" s="166">
        <v>18</v>
      </c>
      <c r="F71" s="180">
        <v>1636</v>
      </c>
      <c r="G71" s="265">
        <v>90.888888888888886</v>
      </c>
      <c r="H71" s="460"/>
      <c r="I71" s="166">
        <f t="shared" si="44"/>
        <v>17</v>
      </c>
      <c r="J71" s="166">
        <f t="shared" si="44"/>
        <v>1213.3954961294871</v>
      </c>
      <c r="K71" s="265">
        <f t="shared" si="44"/>
        <v>71.574972517742779</v>
      </c>
      <c r="L71" s="460"/>
      <c r="M71" s="272">
        <f>RANK(K71, K$67:$K$81)</f>
        <v>5</v>
      </c>
      <c r="N71" s="462"/>
      <c r="O71" s="462"/>
      <c r="P71" s="166">
        <v>18</v>
      </c>
      <c r="Q71" s="166">
        <v>1160.0000000000009</v>
      </c>
      <c r="R71" s="166">
        <v>64.4444444444445</v>
      </c>
      <c r="S71" s="180">
        <f t="shared" si="45"/>
        <v>5</v>
      </c>
      <c r="T71" s="486"/>
      <c r="U71" s="166">
        <v>18</v>
      </c>
      <c r="V71" s="166">
        <v>1128.0000000000011</v>
      </c>
      <c r="W71" s="166">
        <v>62.666666666666728</v>
      </c>
      <c r="X71" s="180">
        <f t="shared" si="32"/>
        <v>5</v>
      </c>
      <c r="Y71" s="486"/>
      <c r="Z71" s="166">
        <v>15</v>
      </c>
      <c r="AA71" s="166">
        <v>1154.4827586206907</v>
      </c>
      <c r="AB71" s="166">
        <v>76.965517241379374</v>
      </c>
      <c r="AC71" s="180">
        <f t="shared" si="34"/>
        <v>4</v>
      </c>
      <c r="AD71" s="486"/>
      <c r="AE71" s="166">
        <v>15</v>
      </c>
      <c r="AF71" s="166">
        <v>1128.5714285714282</v>
      </c>
      <c r="AG71" s="166">
        <v>75.238095238095212</v>
      </c>
      <c r="AH71" s="180">
        <f t="shared" si="36"/>
        <v>3</v>
      </c>
      <c r="AI71" s="486"/>
      <c r="AJ71" s="166">
        <v>18</v>
      </c>
      <c r="AK71" s="166">
        <v>1392.0000000000011</v>
      </c>
      <c r="AL71" s="166">
        <v>77.3333333333334</v>
      </c>
      <c r="AM71" s="180">
        <f t="shared" si="38"/>
        <v>3</v>
      </c>
      <c r="AN71" s="486"/>
      <c r="AO71" s="166">
        <v>17</v>
      </c>
      <c r="AP71" s="166">
        <v>1157.142857142858</v>
      </c>
      <c r="AQ71" s="166">
        <v>68.067226890756359</v>
      </c>
      <c r="AR71" s="180">
        <f t="shared" si="40"/>
        <v>5</v>
      </c>
      <c r="AS71" s="486"/>
      <c r="AT71" s="166">
        <v>18</v>
      </c>
      <c r="AU71" s="166">
        <v>1373.5714285714296</v>
      </c>
      <c r="AV71" s="166">
        <v>76.309523809523867</v>
      </c>
      <c r="AW71" s="180">
        <f t="shared" si="42"/>
        <v>2</v>
      </c>
      <c r="AX71" s="486"/>
    </row>
    <row r="72" spans="2:50">
      <c r="B72" s="479"/>
      <c r="C72" s="180">
        <v>6</v>
      </c>
      <c r="D72" s="201"/>
      <c r="E72" s="166"/>
      <c r="F72" s="180"/>
      <c r="G72" s="265"/>
      <c r="H72" s="460"/>
      <c r="I72" s="166"/>
      <c r="J72" s="166"/>
      <c r="K72" s="265"/>
      <c r="L72" s="460"/>
      <c r="M72" s="272" t="e">
        <f>RANK(K72, K$67:$K$81)</f>
        <v>#N/A</v>
      </c>
      <c r="N72" s="462"/>
      <c r="O72" s="462"/>
      <c r="P72" s="166"/>
      <c r="Q72" s="166"/>
      <c r="R72" s="166"/>
      <c r="S72" s="180" t="e">
        <f t="shared" si="45"/>
        <v>#N/A</v>
      </c>
      <c r="T72" s="486"/>
      <c r="U72" s="166"/>
      <c r="V72" s="166"/>
      <c r="W72" s="166"/>
      <c r="X72" s="180" t="e">
        <f t="shared" si="32"/>
        <v>#N/A</v>
      </c>
      <c r="Y72" s="486"/>
      <c r="Z72" s="166"/>
      <c r="AA72" s="166"/>
      <c r="AB72" s="166"/>
      <c r="AC72" s="180" t="e">
        <f t="shared" si="34"/>
        <v>#N/A</v>
      </c>
      <c r="AD72" s="486"/>
      <c r="AE72" s="166"/>
      <c r="AF72" s="166"/>
      <c r="AG72" s="166"/>
      <c r="AH72" s="180" t="e">
        <f t="shared" si="36"/>
        <v>#N/A</v>
      </c>
      <c r="AI72" s="486"/>
      <c r="AJ72" s="166"/>
      <c r="AK72" s="166"/>
      <c r="AL72" s="166"/>
      <c r="AM72" s="180" t="e">
        <f t="shared" si="38"/>
        <v>#N/A</v>
      </c>
      <c r="AN72" s="486"/>
      <c r="AO72" s="166"/>
      <c r="AP72" s="166"/>
      <c r="AQ72" s="166"/>
      <c r="AR72" s="180" t="e">
        <f t="shared" si="40"/>
        <v>#N/A</v>
      </c>
      <c r="AS72" s="486"/>
      <c r="AT72" s="166"/>
      <c r="AU72" s="166"/>
      <c r="AV72" s="166"/>
      <c r="AW72" s="180" t="e">
        <f t="shared" si="42"/>
        <v>#N/A</v>
      </c>
      <c r="AX72" s="486"/>
    </row>
    <row r="73" spans="2:50">
      <c r="B73" s="479"/>
      <c r="C73" s="180">
        <v>7</v>
      </c>
      <c r="D73" s="201"/>
      <c r="E73" s="166"/>
      <c r="F73" s="180"/>
      <c r="G73" s="265"/>
      <c r="H73" s="460"/>
      <c r="I73" s="166"/>
      <c r="J73" s="166"/>
      <c r="K73" s="265"/>
      <c r="L73" s="460"/>
      <c r="M73" s="272" t="e">
        <f>RANK(K73, K$67:$K$81)</f>
        <v>#N/A</v>
      </c>
      <c r="N73" s="462"/>
      <c r="O73" s="462"/>
      <c r="P73" s="166"/>
      <c r="Q73" s="166"/>
      <c r="R73" s="166"/>
      <c r="S73" s="180" t="e">
        <f t="shared" si="45"/>
        <v>#N/A</v>
      </c>
      <c r="T73" s="486"/>
      <c r="U73" s="166"/>
      <c r="V73" s="166"/>
      <c r="W73" s="166"/>
      <c r="X73" s="180" t="e">
        <f t="shared" si="32"/>
        <v>#N/A</v>
      </c>
      <c r="Y73" s="486"/>
      <c r="Z73" s="166"/>
      <c r="AA73" s="166"/>
      <c r="AB73" s="166"/>
      <c r="AC73" s="180" t="e">
        <f t="shared" si="34"/>
        <v>#N/A</v>
      </c>
      <c r="AD73" s="486"/>
      <c r="AE73" s="166"/>
      <c r="AF73" s="166"/>
      <c r="AG73" s="166"/>
      <c r="AH73" s="180" t="e">
        <f t="shared" si="36"/>
        <v>#N/A</v>
      </c>
      <c r="AI73" s="486"/>
      <c r="AJ73" s="166"/>
      <c r="AK73" s="166"/>
      <c r="AL73" s="166"/>
      <c r="AM73" s="180" t="e">
        <f t="shared" si="38"/>
        <v>#N/A</v>
      </c>
      <c r="AN73" s="486"/>
      <c r="AO73" s="166"/>
      <c r="AP73" s="166"/>
      <c r="AQ73" s="166"/>
      <c r="AR73" s="180" t="e">
        <f t="shared" si="40"/>
        <v>#N/A</v>
      </c>
      <c r="AS73" s="486"/>
      <c r="AT73" s="166"/>
      <c r="AU73" s="166"/>
      <c r="AV73" s="166"/>
      <c r="AW73" s="180" t="e">
        <f t="shared" si="42"/>
        <v>#N/A</v>
      </c>
      <c r="AX73" s="486"/>
    </row>
    <row r="74" spans="2:50">
      <c r="B74" s="479"/>
      <c r="C74" s="180">
        <v>8</v>
      </c>
      <c r="D74" s="201"/>
      <c r="E74" s="166"/>
      <c r="F74" s="180"/>
      <c r="G74" s="265"/>
      <c r="H74" s="460"/>
      <c r="I74" s="166"/>
      <c r="J74" s="166"/>
      <c r="K74" s="265"/>
      <c r="L74" s="460"/>
      <c r="M74" s="272" t="e">
        <f>RANK(K74, K$67:$K$81)</f>
        <v>#N/A</v>
      </c>
      <c r="N74" s="462"/>
      <c r="O74" s="462"/>
      <c r="P74" s="166"/>
      <c r="Q74" s="166"/>
      <c r="R74" s="166"/>
      <c r="S74" s="180" t="e">
        <f t="shared" si="45"/>
        <v>#N/A</v>
      </c>
      <c r="T74" s="486"/>
      <c r="U74" s="166"/>
      <c r="V74" s="166"/>
      <c r="W74" s="166"/>
      <c r="X74" s="180" t="e">
        <f t="shared" si="32"/>
        <v>#N/A</v>
      </c>
      <c r="Y74" s="486"/>
      <c r="Z74" s="166"/>
      <c r="AA74" s="166"/>
      <c r="AB74" s="166"/>
      <c r="AC74" s="180" t="e">
        <f t="shared" si="34"/>
        <v>#N/A</v>
      </c>
      <c r="AD74" s="486"/>
      <c r="AE74" s="166"/>
      <c r="AF74" s="166"/>
      <c r="AG74" s="166"/>
      <c r="AH74" s="180" t="e">
        <f t="shared" si="36"/>
        <v>#N/A</v>
      </c>
      <c r="AI74" s="486"/>
      <c r="AJ74" s="166"/>
      <c r="AK74" s="166"/>
      <c r="AL74" s="166"/>
      <c r="AM74" s="180" t="e">
        <f t="shared" si="38"/>
        <v>#N/A</v>
      </c>
      <c r="AN74" s="486"/>
      <c r="AO74" s="166"/>
      <c r="AP74" s="166"/>
      <c r="AQ74" s="166"/>
      <c r="AR74" s="180" t="e">
        <f t="shared" si="40"/>
        <v>#N/A</v>
      </c>
      <c r="AS74" s="486"/>
      <c r="AT74" s="166"/>
      <c r="AU74" s="166"/>
      <c r="AV74" s="166"/>
      <c r="AW74" s="180" t="e">
        <f t="shared" si="42"/>
        <v>#N/A</v>
      </c>
      <c r="AX74" s="486"/>
    </row>
    <row r="75" spans="2:50">
      <c r="B75" s="479"/>
      <c r="C75" s="180">
        <v>9</v>
      </c>
      <c r="D75" s="201"/>
      <c r="E75" s="166"/>
      <c r="F75" s="180"/>
      <c r="G75" s="265"/>
      <c r="H75" s="460"/>
      <c r="I75" s="166"/>
      <c r="J75" s="166"/>
      <c r="K75" s="265"/>
      <c r="L75" s="460"/>
      <c r="M75" s="272" t="e">
        <f>RANK(K75, K$67:$K$81)</f>
        <v>#N/A</v>
      </c>
      <c r="N75" s="462"/>
      <c r="O75" s="462"/>
      <c r="P75" s="166"/>
      <c r="Q75" s="166"/>
      <c r="R75" s="166"/>
      <c r="S75" s="180" t="e">
        <f t="shared" si="45"/>
        <v>#N/A</v>
      </c>
      <c r="T75" s="486"/>
      <c r="U75" s="166"/>
      <c r="V75" s="166"/>
      <c r="W75" s="166"/>
      <c r="X75" s="180" t="e">
        <f t="shared" si="32"/>
        <v>#N/A</v>
      </c>
      <c r="Y75" s="486"/>
      <c r="Z75" s="166"/>
      <c r="AA75" s="166"/>
      <c r="AB75" s="166"/>
      <c r="AC75" s="180" t="e">
        <f t="shared" si="34"/>
        <v>#N/A</v>
      </c>
      <c r="AD75" s="486"/>
      <c r="AE75" s="166"/>
      <c r="AF75" s="166"/>
      <c r="AG75" s="166"/>
      <c r="AH75" s="180" t="e">
        <f t="shared" si="36"/>
        <v>#N/A</v>
      </c>
      <c r="AI75" s="486"/>
      <c r="AJ75" s="166"/>
      <c r="AK75" s="166"/>
      <c r="AL75" s="166"/>
      <c r="AM75" s="180" t="e">
        <f t="shared" si="38"/>
        <v>#N/A</v>
      </c>
      <c r="AN75" s="486"/>
      <c r="AO75" s="166"/>
      <c r="AP75" s="166"/>
      <c r="AQ75" s="166"/>
      <c r="AR75" s="180" t="e">
        <f t="shared" si="40"/>
        <v>#N/A</v>
      </c>
      <c r="AS75" s="486"/>
      <c r="AT75" s="166"/>
      <c r="AU75" s="166"/>
      <c r="AV75" s="166"/>
      <c r="AW75" s="180" t="e">
        <f t="shared" si="42"/>
        <v>#N/A</v>
      </c>
      <c r="AX75" s="486"/>
    </row>
    <row r="76" spans="2:50">
      <c r="B76" s="479"/>
      <c r="C76" s="180">
        <v>10</v>
      </c>
      <c r="D76" s="201"/>
      <c r="E76" s="166"/>
      <c r="F76" s="180"/>
      <c r="G76" s="265"/>
      <c r="H76" s="460"/>
      <c r="I76" s="166"/>
      <c r="J76" s="166"/>
      <c r="K76" s="265"/>
      <c r="L76" s="460"/>
      <c r="M76" s="272" t="e">
        <f>RANK(K76, K$67:$K$81)</f>
        <v>#N/A</v>
      </c>
      <c r="N76" s="462"/>
      <c r="O76" s="462"/>
      <c r="P76" s="166"/>
      <c r="Q76" s="166"/>
      <c r="R76" s="166"/>
      <c r="S76" s="180" t="e">
        <f t="shared" si="45"/>
        <v>#N/A</v>
      </c>
      <c r="T76" s="486"/>
      <c r="U76" s="166"/>
      <c r="V76" s="166"/>
      <c r="W76" s="166"/>
      <c r="X76" s="180" t="e">
        <f t="shared" si="32"/>
        <v>#N/A</v>
      </c>
      <c r="Y76" s="486"/>
      <c r="Z76" s="166"/>
      <c r="AA76" s="166"/>
      <c r="AB76" s="166"/>
      <c r="AC76" s="180" t="e">
        <f t="shared" si="34"/>
        <v>#N/A</v>
      </c>
      <c r="AD76" s="486"/>
      <c r="AE76" s="166"/>
      <c r="AF76" s="166"/>
      <c r="AG76" s="166"/>
      <c r="AH76" s="180" t="e">
        <f t="shared" si="36"/>
        <v>#N/A</v>
      </c>
      <c r="AI76" s="486"/>
      <c r="AJ76" s="166"/>
      <c r="AK76" s="166"/>
      <c r="AL76" s="166"/>
      <c r="AM76" s="180" t="e">
        <f t="shared" si="38"/>
        <v>#N/A</v>
      </c>
      <c r="AN76" s="486"/>
      <c r="AO76" s="166"/>
      <c r="AP76" s="166"/>
      <c r="AQ76" s="166"/>
      <c r="AR76" s="180" t="e">
        <f t="shared" si="40"/>
        <v>#N/A</v>
      </c>
      <c r="AS76" s="486"/>
      <c r="AT76" s="166"/>
      <c r="AU76" s="166"/>
      <c r="AV76" s="166"/>
      <c r="AW76" s="180" t="e">
        <f t="shared" si="42"/>
        <v>#N/A</v>
      </c>
      <c r="AX76" s="486"/>
    </row>
    <row r="77" spans="2:50">
      <c r="B77" s="479"/>
      <c r="C77" s="180">
        <v>11</v>
      </c>
      <c r="D77" s="201"/>
      <c r="E77" s="166"/>
      <c r="F77" s="180"/>
      <c r="G77" s="265"/>
      <c r="H77" s="460"/>
      <c r="I77" s="180"/>
      <c r="J77" s="180"/>
      <c r="K77" s="180"/>
      <c r="L77" s="460"/>
      <c r="M77" s="272" t="e">
        <f>RANK(K77, K$67:$K$81)</f>
        <v>#N/A</v>
      </c>
      <c r="N77" s="462"/>
      <c r="O77" s="462"/>
      <c r="P77" s="166"/>
      <c r="Q77" s="166"/>
      <c r="R77" s="166"/>
      <c r="S77" s="180" t="e">
        <f t="shared" si="45"/>
        <v>#N/A</v>
      </c>
      <c r="T77" s="486"/>
      <c r="U77" s="166"/>
      <c r="V77" s="166"/>
      <c r="W77" s="166"/>
      <c r="X77" s="180" t="e">
        <f t="shared" si="32"/>
        <v>#N/A</v>
      </c>
      <c r="Y77" s="486"/>
      <c r="Z77" s="166"/>
      <c r="AA77" s="166"/>
      <c r="AB77" s="166"/>
      <c r="AC77" s="180" t="e">
        <f t="shared" si="34"/>
        <v>#N/A</v>
      </c>
      <c r="AD77" s="486"/>
      <c r="AE77" s="166"/>
      <c r="AF77" s="166"/>
      <c r="AG77" s="166"/>
      <c r="AH77" s="180" t="e">
        <f t="shared" si="36"/>
        <v>#N/A</v>
      </c>
      <c r="AI77" s="486"/>
      <c r="AJ77" s="166"/>
      <c r="AK77" s="166"/>
      <c r="AL77" s="166"/>
      <c r="AM77" s="180" t="e">
        <f t="shared" si="38"/>
        <v>#N/A</v>
      </c>
      <c r="AN77" s="486"/>
      <c r="AO77" s="166"/>
      <c r="AP77" s="166"/>
      <c r="AQ77" s="166"/>
      <c r="AR77" s="180" t="e">
        <f t="shared" si="40"/>
        <v>#N/A</v>
      </c>
      <c r="AS77" s="486"/>
      <c r="AT77" s="166"/>
      <c r="AU77" s="166"/>
      <c r="AV77" s="166"/>
      <c r="AW77" s="180" t="e">
        <f t="shared" si="42"/>
        <v>#N/A</v>
      </c>
      <c r="AX77" s="486"/>
    </row>
    <row r="78" spans="2:50">
      <c r="B78" s="479"/>
      <c r="C78" s="180">
        <v>12</v>
      </c>
      <c r="D78" s="201"/>
      <c r="E78" s="166"/>
      <c r="F78" s="180"/>
      <c r="G78" s="265"/>
      <c r="H78" s="460"/>
      <c r="I78" s="180"/>
      <c r="J78" s="180"/>
      <c r="K78" s="180"/>
      <c r="L78" s="460"/>
      <c r="M78" s="272" t="e">
        <f>RANK(K78, K$67:$K$81)</f>
        <v>#N/A</v>
      </c>
      <c r="N78" s="462"/>
      <c r="O78" s="462"/>
      <c r="P78" s="166"/>
      <c r="Q78" s="166"/>
      <c r="R78" s="166"/>
      <c r="S78" s="180" t="e">
        <f t="shared" si="45"/>
        <v>#N/A</v>
      </c>
      <c r="T78" s="486"/>
      <c r="U78" s="166"/>
      <c r="V78" s="166"/>
      <c r="W78" s="166"/>
      <c r="X78" s="180" t="e">
        <f t="shared" si="32"/>
        <v>#N/A</v>
      </c>
      <c r="Y78" s="486"/>
      <c r="Z78" s="166"/>
      <c r="AA78" s="166"/>
      <c r="AB78" s="166"/>
      <c r="AC78" s="180" t="e">
        <f t="shared" si="34"/>
        <v>#N/A</v>
      </c>
      <c r="AD78" s="486"/>
      <c r="AE78" s="166"/>
      <c r="AF78" s="166"/>
      <c r="AG78" s="166"/>
      <c r="AH78" s="180" t="e">
        <f t="shared" si="36"/>
        <v>#N/A</v>
      </c>
      <c r="AI78" s="486"/>
      <c r="AJ78" s="166"/>
      <c r="AK78" s="166"/>
      <c r="AL78" s="166"/>
      <c r="AM78" s="180" t="e">
        <f t="shared" si="38"/>
        <v>#N/A</v>
      </c>
      <c r="AN78" s="486"/>
      <c r="AO78" s="166"/>
      <c r="AP78" s="166"/>
      <c r="AQ78" s="166"/>
      <c r="AR78" s="180" t="e">
        <f t="shared" si="40"/>
        <v>#N/A</v>
      </c>
      <c r="AS78" s="486"/>
      <c r="AT78" s="166"/>
      <c r="AU78" s="166"/>
      <c r="AV78" s="166"/>
      <c r="AW78" s="180" t="e">
        <f t="shared" si="42"/>
        <v>#N/A</v>
      </c>
      <c r="AX78" s="486"/>
    </row>
    <row r="79" spans="2:50">
      <c r="B79" s="479"/>
      <c r="C79" s="180">
        <v>13</v>
      </c>
      <c r="D79" s="201"/>
      <c r="E79" s="166"/>
      <c r="F79" s="180"/>
      <c r="G79" s="265"/>
      <c r="H79" s="460"/>
      <c r="I79" s="180"/>
      <c r="J79" s="180"/>
      <c r="K79" s="180"/>
      <c r="L79" s="460"/>
      <c r="M79" s="272" t="e">
        <f>RANK(K79, K$67:$K$81)</f>
        <v>#N/A</v>
      </c>
      <c r="N79" s="462"/>
      <c r="O79" s="462"/>
      <c r="P79" s="166"/>
      <c r="Q79" s="166"/>
      <c r="R79" s="166"/>
      <c r="S79" s="180" t="e">
        <f t="shared" si="45"/>
        <v>#N/A</v>
      </c>
      <c r="T79" s="486"/>
      <c r="U79" s="166"/>
      <c r="V79" s="166"/>
      <c r="W79" s="166"/>
      <c r="X79" s="180" t="e">
        <f t="shared" si="32"/>
        <v>#N/A</v>
      </c>
      <c r="Y79" s="486"/>
      <c r="Z79" s="166"/>
      <c r="AA79" s="166"/>
      <c r="AB79" s="166"/>
      <c r="AC79" s="180" t="e">
        <f t="shared" si="34"/>
        <v>#N/A</v>
      </c>
      <c r="AD79" s="486"/>
      <c r="AE79" s="166"/>
      <c r="AF79" s="166"/>
      <c r="AG79" s="166"/>
      <c r="AH79" s="180" t="e">
        <f t="shared" si="36"/>
        <v>#N/A</v>
      </c>
      <c r="AI79" s="486"/>
      <c r="AJ79" s="166"/>
      <c r="AK79" s="166"/>
      <c r="AL79" s="166"/>
      <c r="AM79" s="180" t="e">
        <f t="shared" si="38"/>
        <v>#N/A</v>
      </c>
      <c r="AN79" s="486"/>
      <c r="AO79" s="166"/>
      <c r="AP79" s="166"/>
      <c r="AQ79" s="166"/>
      <c r="AR79" s="180" t="e">
        <f t="shared" si="40"/>
        <v>#N/A</v>
      </c>
      <c r="AS79" s="486"/>
      <c r="AT79" s="166"/>
      <c r="AU79" s="166"/>
      <c r="AV79" s="166"/>
      <c r="AW79" s="180" t="e">
        <f t="shared" si="42"/>
        <v>#N/A</v>
      </c>
      <c r="AX79" s="486"/>
    </row>
    <row r="80" spans="2:50">
      <c r="B80" s="479"/>
      <c r="C80" s="180">
        <v>14</v>
      </c>
      <c r="D80" s="201"/>
      <c r="E80" s="166"/>
      <c r="F80" s="180"/>
      <c r="G80" s="265"/>
      <c r="H80" s="460"/>
      <c r="I80" s="180"/>
      <c r="J80" s="180"/>
      <c r="K80" s="180"/>
      <c r="L80" s="460"/>
      <c r="M80" s="272" t="e">
        <f>RANK(K80, K$67:$K$81)</f>
        <v>#N/A</v>
      </c>
      <c r="N80" s="462"/>
      <c r="O80" s="462"/>
      <c r="P80" s="166"/>
      <c r="Q80" s="166"/>
      <c r="R80" s="166"/>
      <c r="S80" s="180" t="e">
        <f t="shared" si="45"/>
        <v>#N/A</v>
      </c>
      <c r="T80" s="486"/>
      <c r="U80" s="166"/>
      <c r="V80" s="166"/>
      <c r="W80" s="166"/>
      <c r="X80" s="180" t="e">
        <f t="shared" si="32"/>
        <v>#N/A</v>
      </c>
      <c r="Y80" s="486"/>
      <c r="Z80" s="166"/>
      <c r="AA80" s="166"/>
      <c r="AB80" s="166"/>
      <c r="AC80" s="180" t="e">
        <f t="shared" si="34"/>
        <v>#N/A</v>
      </c>
      <c r="AD80" s="486"/>
      <c r="AE80" s="166"/>
      <c r="AF80" s="166"/>
      <c r="AG80" s="166"/>
      <c r="AH80" s="180" t="e">
        <f t="shared" si="36"/>
        <v>#N/A</v>
      </c>
      <c r="AI80" s="486"/>
      <c r="AJ80" s="166"/>
      <c r="AK80" s="166"/>
      <c r="AL80" s="166"/>
      <c r="AM80" s="180" t="e">
        <f t="shared" si="38"/>
        <v>#N/A</v>
      </c>
      <c r="AN80" s="486"/>
      <c r="AO80" s="166"/>
      <c r="AP80" s="166"/>
      <c r="AQ80" s="166"/>
      <c r="AR80" s="180" t="e">
        <f t="shared" si="40"/>
        <v>#N/A</v>
      </c>
      <c r="AS80" s="486"/>
      <c r="AT80" s="166"/>
      <c r="AU80" s="166"/>
      <c r="AV80" s="166"/>
      <c r="AW80" s="180" t="e">
        <f t="shared" si="42"/>
        <v>#N/A</v>
      </c>
      <c r="AX80" s="486"/>
    </row>
    <row r="81" spans="2:50">
      <c r="B81" s="479"/>
      <c r="C81" s="180">
        <v>15</v>
      </c>
      <c r="D81" s="201"/>
      <c r="E81" s="166"/>
      <c r="F81" s="180"/>
      <c r="G81" s="265"/>
      <c r="H81" s="461"/>
      <c r="I81" s="180"/>
      <c r="J81" s="180"/>
      <c r="K81" s="180"/>
      <c r="L81" s="461"/>
      <c r="M81" s="272" t="e">
        <f>RANK(K81, K$67:$K$81)</f>
        <v>#N/A</v>
      </c>
      <c r="N81" s="462"/>
      <c r="O81" s="462"/>
      <c r="P81" s="166"/>
      <c r="Q81" s="166"/>
      <c r="R81" s="166"/>
      <c r="S81" s="180" t="e">
        <f t="shared" si="45"/>
        <v>#N/A</v>
      </c>
      <c r="T81" s="486"/>
      <c r="U81" s="166"/>
      <c r="V81" s="166"/>
      <c r="W81" s="166"/>
      <c r="X81" s="180" t="e">
        <f t="shared" si="32"/>
        <v>#N/A</v>
      </c>
      <c r="Y81" s="486"/>
      <c r="Z81" s="166"/>
      <c r="AA81" s="166"/>
      <c r="AB81" s="166"/>
      <c r="AC81" s="180" t="e">
        <f t="shared" si="34"/>
        <v>#N/A</v>
      </c>
      <c r="AD81" s="486"/>
      <c r="AE81" s="166"/>
      <c r="AF81" s="166"/>
      <c r="AG81" s="166"/>
      <c r="AH81" s="180" t="e">
        <f t="shared" si="36"/>
        <v>#N/A</v>
      </c>
      <c r="AI81" s="486"/>
      <c r="AJ81" s="166"/>
      <c r="AK81" s="166"/>
      <c r="AL81" s="166"/>
      <c r="AM81" s="180" t="e">
        <f t="shared" si="38"/>
        <v>#N/A</v>
      </c>
      <c r="AN81" s="486"/>
      <c r="AO81" s="166"/>
      <c r="AP81" s="166"/>
      <c r="AQ81" s="166"/>
      <c r="AR81" s="180" t="e">
        <f t="shared" si="40"/>
        <v>#N/A</v>
      </c>
      <c r="AS81" s="486"/>
      <c r="AT81" s="166"/>
      <c r="AU81" s="166"/>
      <c r="AV81" s="166"/>
      <c r="AW81" s="180" t="e">
        <f t="shared" si="42"/>
        <v>#N/A</v>
      </c>
      <c r="AX81" s="486"/>
    </row>
    <row r="82" spans="2:50" ht="15.75">
      <c r="B82" s="480" t="s">
        <v>721</v>
      </c>
      <c r="C82" s="481"/>
      <c r="D82" s="481"/>
      <c r="E82" s="481"/>
      <c r="F82" s="481"/>
      <c r="G82" s="481"/>
      <c r="H82" s="481"/>
      <c r="I82" s="184"/>
      <c r="J82" s="184"/>
      <c r="K82" s="184"/>
      <c r="L82" s="184"/>
      <c r="M82" s="183"/>
      <c r="N82" s="469" t="s">
        <v>722</v>
      </c>
      <c r="O82" s="469" t="s">
        <v>723</v>
      </c>
      <c r="P82" s="478">
        <f>P62+7</f>
        <v>46077</v>
      </c>
      <c r="Q82" s="479"/>
      <c r="R82" s="479"/>
      <c r="S82" s="479"/>
      <c r="T82" s="479"/>
      <c r="U82" s="475">
        <f>P82+1</f>
        <v>46078</v>
      </c>
      <c r="V82" s="476"/>
      <c r="W82" s="476"/>
      <c r="X82" s="476"/>
      <c r="Y82" s="477"/>
      <c r="Z82" s="475">
        <f>U82+1</f>
        <v>46079</v>
      </c>
      <c r="AA82" s="476"/>
      <c r="AB82" s="476"/>
      <c r="AC82" s="476"/>
      <c r="AD82" s="477"/>
      <c r="AE82" s="475">
        <f>Z82+1</f>
        <v>46080</v>
      </c>
      <c r="AF82" s="476"/>
      <c r="AG82" s="476"/>
      <c r="AH82" s="476"/>
      <c r="AI82" s="477"/>
      <c r="AJ82" s="475">
        <f>AE82+1</f>
        <v>46081</v>
      </c>
      <c r="AK82" s="476"/>
      <c r="AL82" s="476"/>
      <c r="AM82" s="476"/>
      <c r="AN82" s="477"/>
      <c r="AO82" s="475">
        <f>AJ82+1</f>
        <v>46082</v>
      </c>
      <c r="AP82" s="476"/>
      <c r="AQ82" s="476"/>
      <c r="AR82" s="476"/>
      <c r="AS82" s="477"/>
      <c r="AT82" s="475">
        <f>AO82+1</f>
        <v>46083</v>
      </c>
      <c r="AU82" s="476"/>
      <c r="AV82" s="476"/>
      <c r="AW82" s="476"/>
      <c r="AX82" s="477"/>
    </row>
    <row r="83" spans="2:50" ht="15.75">
      <c r="B83" s="482"/>
      <c r="C83" s="482"/>
      <c r="D83" s="482"/>
      <c r="E83" s="482"/>
      <c r="F83" s="482"/>
      <c r="G83" s="482"/>
      <c r="H83" s="482"/>
      <c r="I83" s="182"/>
      <c r="J83" s="182"/>
      <c r="K83" s="182"/>
      <c r="L83" s="182"/>
      <c r="M83" s="179"/>
      <c r="N83" s="471"/>
      <c r="O83" s="471"/>
      <c r="P83" s="478" t="s">
        <v>724</v>
      </c>
      <c r="Q83" s="479"/>
      <c r="R83" s="479"/>
      <c r="S83" s="479"/>
      <c r="T83" s="479"/>
      <c r="U83" s="478" t="s">
        <v>725</v>
      </c>
      <c r="V83" s="479"/>
      <c r="W83" s="479"/>
      <c r="X83" s="479"/>
      <c r="Y83" s="479"/>
      <c r="Z83" s="478" t="s">
        <v>726</v>
      </c>
      <c r="AA83" s="479"/>
      <c r="AB83" s="479"/>
      <c r="AC83" s="479"/>
      <c r="AD83" s="479"/>
      <c r="AE83" s="478" t="s">
        <v>727</v>
      </c>
      <c r="AF83" s="479"/>
      <c r="AG83" s="479"/>
      <c r="AH83" s="479"/>
      <c r="AI83" s="479"/>
      <c r="AJ83" s="478" t="s">
        <v>728</v>
      </c>
      <c r="AK83" s="479"/>
      <c r="AL83" s="479"/>
      <c r="AM83" s="479"/>
      <c r="AN83" s="479"/>
      <c r="AO83" s="478" t="s">
        <v>729</v>
      </c>
      <c r="AP83" s="479"/>
      <c r="AQ83" s="479"/>
      <c r="AR83" s="479"/>
      <c r="AS83" s="479"/>
      <c r="AT83" s="478" t="s">
        <v>730</v>
      </c>
      <c r="AU83" s="479"/>
      <c r="AV83" s="479"/>
      <c r="AW83" s="479"/>
      <c r="AX83" s="479"/>
    </row>
    <row r="84" spans="2:50">
      <c r="B84" s="462" t="s">
        <v>731</v>
      </c>
      <c r="C84" s="462" t="s">
        <v>732</v>
      </c>
      <c r="D84" s="462"/>
      <c r="E84" s="462" t="s">
        <v>733</v>
      </c>
      <c r="F84" s="462"/>
      <c r="G84" s="462"/>
      <c r="H84" s="463" t="s">
        <v>734</v>
      </c>
      <c r="I84" s="462" t="s">
        <v>735</v>
      </c>
      <c r="J84" s="462"/>
      <c r="K84" s="462"/>
      <c r="L84" s="463" t="s">
        <v>734</v>
      </c>
      <c r="M84" s="469" t="s">
        <v>736</v>
      </c>
      <c r="N84" s="462"/>
      <c r="O84" s="462" t="s">
        <v>737</v>
      </c>
      <c r="P84" s="466" t="s">
        <v>738</v>
      </c>
      <c r="Q84" s="467"/>
      <c r="R84" s="467"/>
      <c r="S84" s="468"/>
      <c r="T84" s="462" t="s">
        <v>734</v>
      </c>
      <c r="U84" s="466" t="s">
        <v>738</v>
      </c>
      <c r="V84" s="467"/>
      <c r="W84" s="467"/>
      <c r="X84" s="468"/>
      <c r="Y84" s="462" t="s">
        <v>734</v>
      </c>
      <c r="Z84" s="466" t="s">
        <v>738</v>
      </c>
      <c r="AA84" s="467"/>
      <c r="AB84" s="467"/>
      <c r="AC84" s="468"/>
      <c r="AD84" s="462" t="s">
        <v>734</v>
      </c>
      <c r="AE84" s="466" t="s">
        <v>738</v>
      </c>
      <c r="AF84" s="467"/>
      <c r="AG84" s="467"/>
      <c r="AH84" s="468"/>
      <c r="AI84" s="462" t="s">
        <v>734</v>
      </c>
      <c r="AJ84" s="466" t="s">
        <v>738</v>
      </c>
      <c r="AK84" s="467"/>
      <c r="AL84" s="467"/>
      <c r="AM84" s="468"/>
      <c r="AN84" s="462" t="s">
        <v>734</v>
      </c>
      <c r="AO84" s="466" t="s">
        <v>738</v>
      </c>
      <c r="AP84" s="467"/>
      <c r="AQ84" s="467"/>
      <c r="AR84" s="468"/>
      <c r="AS84" s="462" t="s">
        <v>734</v>
      </c>
      <c r="AT84" s="466" t="s">
        <v>738</v>
      </c>
      <c r="AU84" s="467"/>
      <c r="AV84" s="467"/>
      <c r="AW84" s="468"/>
      <c r="AX84" s="462" t="s">
        <v>734</v>
      </c>
    </row>
    <row r="85" spans="2:50">
      <c r="B85" s="462"/>
      <c r="C85" s="462"/>
      <c r="D85" s="462"/>
      <c r="E85" s="462" t="s">
        <v>739</v>
      </c>
      <c r="F85" s="462"/>
      <c r="G85" s="462"/>
      <c r="H85" s="464"/>
      <c r="I85" s="462" t="s">
        <v>739</v>
      </c>
      <c r="J85" s="462"/>
      <c r="K85" s="462"/>
      <c r="L85" s="464"/>
      <c r="M85" s="470"/>
      <c r="N85" s="462"/>
      <c r="O85" s="462"/>
      <c r="P85" s="466" t="s">
        <v>740</v>
      </c>
      <c r="Q85" s="467"/>
      <c r="R85" s="467"/>
      <c r="S85" s="468"/>
      <c r="T85" s="462"/>
      <c r="U85" s="466" t="s">
        <v>740</v>
      </c>
      <c r="V85" s="467"/>
      <c r="W85" s="467"/>
      <c r="X85" s="468"/>
      <c r="Y85" s="462"/>
      <c r="Z85" s="466" t="s">
        <v>740</v>
      </c>
      <c r="AA85" s="467"/>
      <c r="AB85" s="467"/>
      <c r="AC85" s="468"/>
      <c r="AD85" s="462"/>
      <c r="AE85" s="466" t="s">
        <v>740</v>
      </c>
      <c r="AF85" s="467"/>
      <c r="AG85" s="467"/>
      <c r="AH85" s="468"/>
      <c r="AI85" s="462"/>
      <c r="AJ85" s="466" t="s">
        <v>740</v>
      </c>
      <c r="AK85" s="467"/>
      <c r="AL85" s="467"/>
      <c r="AM85" s="468"/>
      <c r="AN85" s="462"/>
      <c r="AO85" s="466" t="s">
        <v>740</v>
      </c>
      <c r="AP85" s="467"/>
      <c r="AQ85" s="467"/>
      <c r="AR85" s="468"/>
      <c r="AS85" s="462"/>
      <c r="AT85" s="466" t="s">
        <v>740</v>
      </c>
      <c r="AU85" s="467"/>
      <c r="AV85" s="467"/>
      <c r="AW85" s="468"/>
      <c r="AX85" s="462"/>
    </row>
    <row r="86" spans="2:50">
      <c r="B86" s="462"/>
      <c r="C86" s="462"/>
      <c r="D86" s="462"/>
      <c r="E86" s="264" t="s">
        <v>741</v>
      </c>
      <c r="F86" s="264" t="s">
        <v>742</v>
      </c>
      <c r="G86" s="264" t="s">
        <v>743</v>
      </c>
      <c r="H86" s="465"/>
      <c r="I86" s="264" t="s">
        <v>741</v>
      </c>
      <c r="J86" s="264" t="s">
        <v>742</v>
      </c>
      <c r="K86" s="264" t="s">
        <v>743</v>
      </c>
      <c r="L86" s="465"/>
      <c r="M86" s="471"/>
      <c r="N86" s="462"/>
      <c r="O86" s="462"/>
      <c r="P86" s="264" t="s">
        <v>741</v>
      </c>
      <c r="Q86" s="264" t="s">
        <v>742</v>
      </c>
      <c r="R86" s="264" t="s">
        <v>743</v>
      </c>
      <c r="S86" s="264" t="s">
        <v>736</v>
      </c>
      <c r="T86" s="462"/>
      <c r="U86" s="264" t="s">
        <v>741</v>
      </c>
      <c r="V86" s="264" t="s">
        <v>742</v>
      </c>
      <c r="W86" s="264" t="s">
        <v>743</v>
      </c>
      <c r="X86" s="264" t="s">
        <v>736</v>
      </c>
      <c r="Y86" s="462"/>
      <c r="Z86" s="264" t="s">
        <v>741</v>
      </c>
      <c r="AA86" s="264" t="s">
        <v>742</v>
      </c>
      <c r="AB86" s="264" t="s">
        <v>743</v>
      </c>
      <c r="AC86" s="264" t="s">
        <v>736</v>
      </c>
      <c r="AD86" s="462"/>
      <c r="AE86" s="264" t="s">
        <v>741</v>
      </c>
      <c r="AF86" s="264" t="s">
        <v>742</v>
      </c>
      <c r="AG86" s="264" t="s">
        <v>743</v>
      </c>
      <c r="AH86" s="264" t="s">
        <v>736</v>
      </c>
      <c r="AI86" s="462"/>
      <c r="AJ86" s="264" t="s">
        <v>741</v>
      </c>
      <c r="AK86" s="264" t="s">
        <v>742</v>
      </c>
      <c r="AL86" s="264" t="s">
        <v>743</v>
      </c>
      <c r="AM86" s="264" t="s">
        <v>736</v>
      </c>
      <c r="AN86" s="462"/>
      <c r="AO86" s="264" t="s">
        <v>741</v>
      </c>
      <c r="AP86" s="264" t="s">
        <v>742</v>
      </c>
      <c r="AQ86" s="264" t="s">
        <v>743</v>
      </c>
      <c r="AR86" s="264" t="s">
        <v>736</v>
      </c>
      <c r="AS86" s="462"/>
      <c r="AT86" s="264" t="s">
        <v>741</v>
      </c>
      <c r="AU86" s="264" t="s">
        <v>742</v>
      </c>
      <c r="AV86" s="264" t="s">
        <v>743</v>
      </c>
      <c r="AW86" s="264" t="s">
        <v>736</v>
      </c>
      <c r="AX86" s="462"/>
    </row>
    <row r="87" spans="2:50">
      <c r="B87" s="462" t="s">
        <v>756</v>
      </c>
      <c r="C87" s="180">
        <v>1</v>
      </c>
      <c r="D87" s="201" t="s">
        <v>518</v>
      </c>
      <c r="E87" s="166">
        <v>14</v>
      </c>
      <c r="F87" s="180">
        <v>1500</v>
      </c>
      <c r="G87" s="265">
        <v>107.14285714285714</v>
      </c>
      <c r="H87" s="459">
        <f>AVERAGE(G87:G101)</f>
        <v>94.147525676937448</v>
      </c>
      <c r="I87" s="166">
        <f>AVERAGE(P87,U87,Z87,AE87,AJ87,AO87,AT87)</f>
        <v>12</v>
      </c>
      <c r="J87" s="166">
        <f>AVERAGE(Q87,V87,AA87,AF87,AK87,AP87,AU87)</f>
        <v>1082.2167566766072</v>
      </c>
      <c r="K87" s="265">
        <f>AVERAGE(R87,W87,AB87,AG87,AL87,AQ87,AV87)</f>
        <v>90.184729723050623</v>
      </c>
      <c r="L87" s="459">
        <f>IFERROR(AVERAGE(K87:K101),"-")</f>
        <v>75.769229482232333</v>
      </c>
      <c r="M87" s="272">
        <f>RANK(K87, K$87:$K$101)</f>
        <v>1</v>
      </c>
      <c r="N87" s="462"/>
      <c r="O87" s="462"/>
      <c r="P87" s="166">
        <v>12</v>
      </c>
      <c r="Q87" s="166">
        <v>1096.5517241379318</v>
      </c>
      <c r="R87" s="166">
        <v>91.379310344827658</v>
      </c>
      <c r="S87" s="180">
        <f>RANK(R87, R$87:R$101)</f>
        <v>1</v>
      </c>
      <c r="T87" s="486">
        <f>AVERAGE(R87:R101)</f>
        <v>75.914156096253862</v>
      </c>
      <c r="U87" s="166">
        <v>12</v>
      </c>
      <c r="V87" s="166">
        <v>1099.2000000000003</v>
      </c>
      <c r="W87" s="166">
        <v>91.600000000000023</v>
      </c>
      <c r="X87" s="180">
        <f t="shared" ref="X87:X101" si="46">RANK(W87, W$87:W$101)</f>
        <v>1</v>
      </c>
      <c r="Y87" s="486">
        <f t="shared" ref="Y87" si="47">AVERAGE(W87:W101)</f>
        <v>74.86096735878634</v>
      </c>
      <c r="Z87" s="166">
        <v>12</v>
      </c>
      <c r="AA87" s="166">
        <v>1047.6923076923083</v>
      </c>
      <c r="AB87" s="166">
        <v>87.307692307692363</v>
      </c>
      <c r="AC87" s="180">
        <f t="shared" ref="AC87:AC101" si="48">RANK(AB87, AB$87:AB$101)</f>
        <v>1</v>
      </c>
      <c r="AD87" s="486">
        <f t="shared" ref="AD87" si="49">AVERAGE(AB87:AB101)</f>
        <v>76.256219096251272</v>
      </c>
      <c r="AE87" s="166">
        <v>12</v>
      </c>
      <c r="AF87" s="166">
        <v>1074.7826086956522</v>
      </c>
      <c r="AG87" s="166">
        <v>89.565217391304358</v>
      </c>
      <c r="AH87" s="180">
        <f t="shared" ref="AH87:AH101" si="50">RANK(AG87, AG$87:AG$101)</f>
        <v>1</v>
      </c>
      <c r="AI87" s="486">
        <f t="shared" ref="AI87" si="51">AVERAGE(AG87:AG101)</f>
        <v>76.019020730992935</v>
      </c>
      <c r="AJ87" s="166">
        <v>12</v>
      </c>
      <c r="AK87" s="166">
        <v>1092.8571428571438</v>
      </c>
      <c r="AL87" s="166">
        <v>91.071428571428655</v>
      </c>
      <c r="AM87" s="180">
        <f t="shared" ref="AM87:AM101" si="52">RANK(AL87, AL$87:AL$101)</f>
        <v>1</v>
      </c>
      <c r="AN87" s="486">
        <f t="shared" ref="AN87" si="53">AVERAGE(AL87:AL101)</f>
        <v>78.120137389205226</v>
      </c>
      <c r="AO87" s="166"/>
      <c r="AP87" s="166"/>
      <c r="AQ87" s="166"/>
      <c r="AR87" s="180" t="e">
        <f t="shared" ref="AR87:AR101" si="54">RANK(AQ87, AQ$87:AQ$101)</f>
        <v>#N/A</v>
      </c>
      <c r="AS87" s="486" t="e">
        <f t="shared" ref="AS87" si="55">AVERAGE(AQ87:AQ101)</f>
        <v>#DIV/0!</v>
      </c>
      <c r="AT87" s="166"/>
      <c r="AU87" s="166"/>
      <c r="AV87" s="166"/>
      <c r="AW87" s="180" t="e">
        <f t="shared" ref="AW87:AW101" si="56">RANK(AV87, AV$87:AV$101)</f>
        <v>#N/A</v>
      </c>
      <c r="AX87" s="486" t="e">
        <f t="shared" ref="AX87" si="57">AVERAGE(AV87:AV101)</f>
        <v>#DIV/0!</v>
      </c>
    </row>
    <row r="88" spans="2:50">
      <c r="B88" s="479"/>
      <c r="C88" s="180">
        <v>2</v>
      </c>
      <c r="D88" s="201" t="s">
        <v>599</v>
      </c>
      <c r="E88" s="166">
        <v>17</v>
      </c>
      <c r="F88" s="180">
        <v>1636</v>
      </c>
      <c r="G88" s="265">
        <v>96.235294117647058</v>
      </c>
      <c r="H88" s="460"/>
      <c r="I88" s="166">
        <f t="shared" ref="I88:K91" si="58">AVERAGE(P88,U88,Z88,AE88,AJ88,AO88,AT88)</f>
        <v>17.600000000000001</v>
      </c>
      <c r="J88" s="166">
        <f t="shared" si="58"/>
        <v>1292.3395799765926</v>
      </c>
      <c r="K88" s="265">
        <f t="shared" si="58"/>
        <v>73.473944761079096</v>
      </c>
      <c r="L88" s="460"/>
      <c r="M88" s="272">
        <f>RANK(K88, K$87:$K$101)</f>
        <v>3</v>
      </c>
      <c r="N88" s="462"/>
      <c r="O88" s="462"/>
      <c r="P88" s="166">
        <v>18</v>
      </c>
      <c r="Q88" s="166">
        <v>1284.7741935483864</v>
      </c>
      <c r="R88" s="166">
        <v>71.376344086021462</v>
      </c>
      <c r="S88" s="180">
        <f t="shared" ref="S88:S101" si="59">RANK(R88, R$87:R$101)</f>
        <v>3</v>
      </c>
      <c r="T88" s="486"/>
      <c r="U88" s="166">
        <v>18</v>
      </c>
      <c r="V88" s="166">
        <v>1258.3448275862063</v>
      </c>
      <c r="W88" s="166">
        <v>69.908045977011454</v>
      </c>
      <c r="X88" s="180">
        <f t="shared" si="46"/>
        <v>4</v>
      </c>
      <c r="Y88" s="486"/>
      <c r="Z88" s="166">
        <v>17</v>
      </c>
      <c r="AA88" s="166">
        <v>1277.7966101694917</v>
      </c>
      <c r="AB88" s="166">
        <v>75.16450648055833</v>
      </c>
      <c r="AC88" s="180">
        <f t="shared" si="48"/>
        <v>3</v>
      </c>
      <c r="AD88" s="486"/>
      <c r="AE88" s="166">
        <v>18</v>
      </c>
      <c r="AF88" s="166">
        <v>1352.3076923076919</v>
      </c>
      <c r="AG88" s="166">
        <v>75.12820512820511</v>
      </c>
      <c r="AH88" s="180">
        <f t="shared" si="50"/>
        <v>2</v>
      </c>
      <c r="AI88" s="486"/>
      <c r="AJ88" s="166">
        <v>17</v>
      </c>
      <c r="AK88" s="166">
        <v>1288.4745762711866</v>
      </c>
      <c r="AL88" s="166">
        <v>75.79262213359921</v>
      </c>
      <c r="AM88" s="180">
        <f t="shared" si="52"/>
        <v>2</v>
      </c>
      <c r="AN88" s="486"/>
      <c r="AO88" s="166"/>
      <c r="AP88" s="166"/>
      <c r="AQ88" s="166"/>
      <c r="AR88" s="180" t="e">
        <f t="shared" si="54"/>
        <v>#N/A</v>
      </c>
      <c r="AS88" s="486"/>
      <c r="AT88" s="166"/>
      <c r="AU88" s="166"/>
      <c r="AV88" s="166"/>
      <c r="AW88" s="180" t="e">
        <f t="shared" si="56"/>
        <v>#N/A</v>
      </c>
      <c r="AX88" s="486"/>
    </row>
    <row r="89" spans="2:50">
      <c r="B89" s="479"/>
      <c r="C89" s="180">
        <v>3</v>
      </c>
      <c r="D89" s="201" t="s">
        <v>555</v>
      </c>
      <c r="E89" s="166">
        <v>17</v>
      </c>
      <c r="F89" s="180">
        <v>1500</v>
      </c>
      <c r="G89" s="265">
        <v>88.235294117647058</v>
      </c>
      <c r="H89" s="460"/>
      <c r="I89" s="166">
        <f t="shared" si="58"/>
        <v>16.399999999999999</v>
      </c>
      <c r="J89" s="166">
        <f t="shared" si="58"/>
        <v>1273.3801427495584</v>
      </c>
      <c r="K89" s="265">
        <f t="shared" si="58"/>
        <v>77.727957471185832</v>
      </c>
      <c r="L89" s="460"/>
      <c r="M89" s="272">
        <f>RANK(K89, K$87:$K$101)</f>
        <v>2</v>
      </c>
      <c r="N89" s="462"/>
      <c r="O89" s="462"/>
      <c r="P89" s="166">
        <v>16</v>
      </c>
      <c r="Q89" s="166">
        <v>1283.8095238095234</v>
      </c>
      <c r="R89" s="166">
        <v>80.238095238095212</v>
      </c>
      <c r="S89" s="180">
        <f t="shared" si="59"/>
        <v>2</v>
      </c>
      <c r="T89" s="486"/>
      <c r="U89" s="166">
        <v>16</v>
      </c>
      <c r="V89" s="166">
        <v>1273.4482758620682</v>
      </c>
      <c r="W89" s="166">
        <v>79.59051724137926</v>
      </c>
      <c r="X89" s="180">
        <f t="shared" si="46"/>
        <v>2</v>
      </c>
      <c r="Y89" s="486"/>
      <c r="Z89" s="166">
        <v>16</v>
      </c>
      <c r="AA89" s="166">
        <v>1282.3529411764712</v>
      </c>
      <c r="AB89" s="166">
        <v>80.147058823529449</v>
      </c>
      <c r="AC89" s="180">
        <f t="shared" si="48"/>
        <v>2</v>
      </c>
      <c r="AD89" s="486"/>
      <c r="AE89" s="166">
        <v>17</v>
      </c>
      <c r="AF89" s="166">
        <v>1239.512195121951</v>
      </c>
      <c r="AG89" s="166">
        <v>72.912482065997111</v>
      </c>
      <c r="AH89" s="180">
        <f t="shared" si="50"/>
        <v>4</v>
      </c>
      <c r="AI89" s="486"/>
      <c r="AJ89" s="166">
        <v>17</v>
      </c>
      <c r="AK89" s="166">
        <v>1287.7777777777783</v>
      </c>
      <c r="AL89" s="166">
        <v>75.751633986928141</v>
      </c>
      <c r="AM89" s="180">
        <f t="shared" si="52"/>
        <v>3</v>
      </c>
      <c r="AN89" s="486"/>
      <c r="AO89" s="166"/>
      <c r="AP89" s="166"/>
      <c r="AQ89" s="166"/>
      <c r="AR89" s="180" t="e">
        <f t="shared" si="54"/>
        <v>#N/A</v>
      </c>
      <c r="AS89" s="486"/>
      <c r="AT89" s="166"/>
      <c r="AU89" s="166"/>
      <c r="AV89" s="166"/>
      <c r="AW89" s="180" t="e">
        <f t="shared" si="56"/>
        <v>#N/A</v>
      </c>
      <c r="AX89" s="486"/>
    </row>
    <row r="90" spans="2:50">
      <c r="B90" s="479"/>
      <c r="C90" s="180">
        <v>4</v>
      </c>
      <c r="D90" s="201" t="s">
        <v>566</v>
      </c>
      <c r="E90" s="166">
        <v>17</v>
      </c>
      <c r="F90" s="180">
        <v>1500</v>
      </c>
      <c r="G90" s="265">
        <v>88.235294117647058</v>
      </c>
      <c r="H90" s="460"/>
      <c r="I90" s="166">
        <f t="shared" si="58"/>
        <v>18</v>
      </c>
      <c r="J90" s="166">
        <f t="shared" si="58"/>
        <v>1277.3005986290525</v>
      </c>
      <c r="K90" s="265">
        <f t="shared" si="58"/>
        <v>70.961144368280685</v>
      </c>
      <c r="L90" s="460"/>
      <c r="M90" s="272">
        <f>RANK(K90, K$87:$K$101)</f>
        <v>4</v>
      </c>
      <c r="N90" s="462"/>
      <c r="O90" s="462"/>
      <c r="P90" s="166">
        <v>18</v>
      </c>
      <c r="Q90" s="166">
        <v>1275.5294117647056</v>
      </c>
      <c r="R90" s="166">
        <v>70.862745098039198</v>
      </c>
      <c r="S90" s="180">
        <f t="shared" si="59"/>
        <v>4</v>
      </c>
      <c r="T90" s="486"/>
      <c r="U90" s="166">
        <v>18</v>
      </c>
      <c r="V90" s="166">
        <v>1299.4520547945208</v>
      </c>
      <c r="W90" s="166">
        <v>72.191780821917817</v>
      </c>
      <c r="X90" s="180">
        <f t="shared" si="46"/>
        <v>3</v>
      </c>
      <c r="Y90" s="486"/>
      <c r="Z90" s="166">
        <v>18</v>
      </c>
      <c r="AA90" s="166">
        <v>1302.0895522388059</v>
      </c>
      <c r="AB90" s="166">
        <v>72.338308457711435</v>
      </c>
      <c r="AC90" s="180">
        <f t="shared" si="48"/>
        <v>4</v>
      </c>
      <c r="AD90" s="486"/>
      <c r="AE90" s="166">
        <v>18</v>
      </c>
      <c r="AF90" s="166">
        <v>1251.8644067796613</v>
      </c>
      <c r="AG90" s="166">
        <v>69.548022598870077</v>
      </c>
      <c r="AH90" s="180">
        <f t="shared" si="50"/>
        <v>5</v>
      </c>
      <c r="AI90" s="486"/>
      <c r="AJ90" s="166">
        <v>18</v>
      </c>
      <c r="AK90" s="166">
        <v>1257.5675675675679</v>
      </c>
      <c r="AL90" s="166">
        <v>69.864864864864884</v>
      </c>
      <c r="AM90" s="180">
        <f t="shared" si="52"/>
        <v>4</v>
      </c>
      <c r="AN90" s="486"/>
      <c r="AO90" s="166"/>
      <c r="AP90" s="166"/>
      <c r="AQ90" s="166"/>
      <c r="AR90" s="180" t="e">
        <f t="shared" si="54"/>
        <v>#N/A</v>
      </c>
      <c r="AS90" s="486"/>
      <c r="AT90" s="166"/>
      <c r="AU90" s="166"/>
      <c r="AV90" s="166"/>
      <c r="AW90" s="180" t="e">
        <f t="shared" si="56"/>
        <v>#N/A</v>
      </c>
      <c r="AX90" s="486"/>
    </row>
    <row r="91" spans="2:50">
      <c r="B91" s="479"/>
      <c r="C91" s="180">
        <v>5</v>
      </c>
      <c r="D91" s="201" t="s">
        <v>674</v>
      </c>
      <c r="E91" s="166">
        <v>18</v>
      </c>
      <c r="F91" s="180">
        <v>1636</v>
      </c>
      <c r="G91" s="265">
        <v>90.888888888888886</v>
      </c>
      <c r="H91" s="460"/>
      <c r="I91" s="166">
        <f t="shared" si="58"/>
        <v>17.5</v>
      </c>
      <c r="J91" s="166">
        <f t="shared" si="58"/>
        <v>1162.1545031055894</v>
      </c>
      <c r="K91" s="265">
        <f t="shared" si="58"/>
        <v>66.498371087565431</v>
      </c>
      <c r="L91" s="460"/>
      <c r="M91" s="272">
        <f>RANK(K91, K$87:$K$101)</f>
        <v>5</v>
      </c>
      <c r="N91" s="462"/>
      <c r="O91" s="462"/>
      <c r="P91" s="166">
        <v>18</v>
      </c>
      <c r="Q91" s="166">
        <v>1182.8571428571438</v>
      </c>
      <c r="R91" s="166">
        <v>65.714285714285765</v>
      </c>
      <c r="S91" s="180">
        <f t="shared" si="59"/>
        <v>5</v>
      </c>
      <c r="T91" s="486"/>
      <c r="U91" s="166">
        <v>18</v>
      </c>
      <c r="V91" s="166">
        <v>1098.2608695652175</v>
      </c>
      <c r="W91" s="166">
        <v>61.014492753623195</v>
      </c>
      <c r="X91" s="180">
        <f t="shared" si="46"/>
        <v>5</v>
      </c>
      <c r="Y91" s="486"/>
      <c r="Z91" s="166">
        <v>17</v>
      </c>
      <c r="AA91" s="166">
        <v>1127.5000000000002</v>
      </c>
      <c r="AB91" s="166">
        <v>66.323529411764724</v>
      </c>
      <c r="AC91" s="180">
        <f t="shared" si="48"/>
        <v>5</v>
      </c>
      <c r="AD91" s="486"/>
      <c r="AE91" s="166">
        <v>17</v>
      </c>
      <c r="AF91" s="166">
        <v>1239.9999999999961</v>
      </c>
      <c r="AG91" s="166">
        <v>72.941176470588005</v>
      </c>
      <c r="AH91" s="180">
        <f t="shared" si="50"/>
        <v>3</v>
      </c>
      <c r="AI91" s="486"/>
      <c r="AJ91" s="166"/>
      <c r="AK91" s="166"/>
      <c r="AL91" s="166"/>
      <c r="AM91" s="180" t="e">
        <f t="shared" si="52"/>
        <v>#N/A</v>
      </c>
      <c r="AN91" s="486"/>
      <c r="AO91" s="166"/>
      <c r="AP91" s="166"/>
      <c r="AQ91" s="166"/>
      <c r="AR91" s="180" t="e">
        <f t="shared" si="54"/>
        <v>#N/A</v>
      </c>
      <c r="AS91" s="486"/>
      <c r="AT91" s="166"/>
      <c r="AU91" s="166"/>
      <c r="AV91" s="166"/>
      <c r="AW91" s="180" t="e">
        <f t="shared" si="56"/>
        <v>#N/A</v>
      </c>
      <c r="AX91" s="486"/>
    </row>
    <row r="92" spans="2:50">
      <c r="B92" s="479"/>
      <c r="C92" s="180">
        <v>6</v>
      </c>
      <c r="D92" s="201"/>
      <c r="E92" s="166"/>
      <c r="F92" s="180"/>
      <c r="G92" s="265"/>
      <c r="H92" s="460"/>
      <c r="I92" s="166"/>
      <c r="J92" s="166"/>
      <c r="K92" s="265"/>
      <c r="L92" s="460"/>
      <c r="M92" s="272" t="e">
        <f>RANK(K92, K$87:$K$101)</f>
        <v>#N/A</v>
      </c>
      <c r="N92" s="462"/>
      <c r="O92" s="462"/>
      <c r="P92" s="166"/>
      <c r="Q92" s="166"/>
      <c r="R92" s="166"/>
      <c r="S92" s="180" t="e">
        <f t="shared" si="59"/>
        <v>#N/A</v>
      </c>
      <c r="T92" s="486"/>
      <c r="U92" s="166"/>
      <c r="V92" s="166"/>
      <c r="W92" s="166"/>
      <c r="X92" s="180" t="e">
        <f t="shared" si="46"/>
        <v>#N/A</v>
      </c>
      <c r="Y92" s="486"/>
      <c r="Z92" s="166"/>
      <c r="AA92" s="166"/>
      <c r="AB92" s="166"/>
      <c r="AC92" s="180" t="e">
        <f t="shared" si="48"/>
        <v>#N/A</v>
      </c>
      <c r="AD92" s="486"/>
      <c r="AE92" s="166"/>
      <c r="AF92" s="166"/>
      <c r="AG92" s="166"/>
      <c r="AH92" s="180" t="e">
        <f t="shared" si="50"/>
        <v>#N/A</v>
      </c>
      <c r="AI92" s="486"/>
      <c r="AJ92" s="166"/>
      <c r="AK92" s="166"/>
      <c r="AL92" s="166"/>
      <c r="AM92" s="180" t="e">
        <f t="shared" si="52"/>
        <v>#N/A</v>
      </c>
      <c r="AN92" s="486"/>
      <c r="AO92" s="166"/>
      <c r="AP92" s="166"/>
      <c r="AQ92" s="166"/>
      <c r="AR92" s="180" t="e">
        <f t="shared" si="54"/>
        <v>#N/A</v>
      </c>
      <c r="AS92" s="486"/>
      <c r="AT92" s="166"/>
      <c r="AU92" s="166"/>
      <c r="AV92" s="166"/>
      <c r="AW92" s="180" t="e">
        <f t="shared" si="56"/>
        <v>#N/A</v>
      </c>
      <c r="AX92" s="486"/>
    </row>
    <row r="93" spans="2:50">
      <c r="B93" s="479"/>
      <c r="C93" s="180">
        <v>7</v>
      </c>
      <c r="D93" s="201"/>
      <c r="E93" s="166"/>
      <c r="F93" s="180"/>
      <c r="G93" s="265"/>
      <c r="H93" s="460"/>
      <c r="I93" s="166"/>
      <c r="J93" s="166"/>
      <c r="K93" s="265"/>
      <c r="L93" s="460"/>
      <c r="M93" s="272" t="e">
        <f>RANK(K93, K$87:$K$101)</f>
        <v>#N/A</v>
      </c>
      <c r="N93" s="462"/>
      <c r="O93" s="462"/>
      <c r="P93" s="166"/>
      <c r="Q93" s="166"/>
      <c r="R93" s="166"/>
      <c r="S93" s="180" t="e">
        <f t="shared" si="59"/>
        <v>#N/A</v>
      </c>
      <c r="T93" s="486"/>
      <c r="U93" s="166"/>
      <c r="V93" s="166"/>
      <c r="W93" s="166"/>
      <c r="X93" s="180" t="e">
        <f t="shared" si="46"/>
        <v>#N/A</v>
      </c>
      <c r="Y93" s="486"/>
      <c r="Z93" s="166"/>
      <c r="AA93" s="166"/>
      <c r="AB93" s="166"/>
      <c r="AC93" s="180" t="e">
        <f t="shared" si="48"/>
        <v>#N/A</v>
      </c>
      <c r="AD93" s="486"/>
      <c r="AE93" s="166"/>
      <c r="AF93" s="166"/>
      <c r="AG93" s="166"/>
      <c r="AH93" s="180" t="e">
        <f t="shared" si="50"/>
        <v>#N/A</v>
      </c>
      <c r="AI93" s="486"/>
      <c r="AJ93" s="166"/>
      <c r="AK93" s="166"/>
      <c r="AL93" s="166"/>
      <c r="AM93" s="180" t="e">
        <f t="shared" si="52"/>
        <v>#N/A</v>
      </c>
      <c r="AN93" s="486"/>
      <c r="AO93" s="166"/>
      <c r="AP93" s="166"/>
      <c r="AQ93" s="166"/>
      <c r="AR93" s="180" t="e">
        <f t="shared" si="54"/>
        <v>#N/A</v>
      </c>
      <c r="AS93" s="486"/>
      <c r="AT93" s="166"/>
      <c r="AU93" s="166"/>
      <c r="AV93" s="166"/>
      <c r="AW93" s="180" t="e">
        <f t="shared" si="56"/>
        <v>#N/A</v>
      </c>
      <c r="AX93" s="486"/>
    </row>
    <row r="94" spans="2:50">
      <c r="B94" s="479"/>
      <c r="C94" s="180">
        <v>8</v>
      </c>
      <c r="D94" s="201"/>
      <c r="E94" s="166"/>
      <c r="F94" s="180"/>
      <c r="G94" s="265"/>
      <c r="H94" s="460"/>
      <c r="I94" s="166"/>
      <c r="J94" s="166"/>
      <c r="K94" s="265"/>
      <c r="L94" s="460"/>
      <c r="M94" s="272" t="e">
        <f>RANK(K94, K$87:$K$101)</f>
        <v>#N/A</v>
      </c>
      <c r="N94" s="462"/>
      <c r="O94" s="462"/>
      <c r="P94" s="166"/>
      <c r="Q94" s="166"/>
      <c r="R94" s="166"/>
      <c r="S94" s="180" t="e">
        <f t="shared" si="59"/>
        <v>#N/A</v>
      </c>
      <c r="T94" s="486"/>
      <c r="U94" s="166"/>
      <c r="V94" s="166"/>
      <c r="W94" s="166"/>
      <c r="X94" s="180" t="e">
        <f t="shared" si="46"/>
        <v>#N/A</v>
      </c>
      <c r="Y94" s="486"/>
      <c r="Z94" s="166"/>
      <c r="AA94" s="166"/>
      <c r="AB94" s="166"/>
      <c r="AC94" s="180" t="e">
        <f t="shared" si="48"/>
        <v>#N/A</v>
      </c>
      <c r="AD94" s="486"/>
      <c r="AE94" s="166"/>
      <c r="AF94" s="166"/>
      <c r="AG94" s="166"/>
      <c r="AH94" s="180" t="e">
        <f t="shared" si="50"/>
        <v>#N/A</v>
      </c>
      <c r="AI94" s="486"/>
      <c r="AJ94" s="166"/>
      <c r="AK94" s="166"/>
      <c r="AL94" s="166"/>
      <c r="AM94" s="180" t="e">
        <f t="shared" si="52"/>
        <v>#N/A</v>
      </c>
      <c r="AN94" s="486"/>
      <c r="AO94" s="166"/>
      <c r="AP94" s="166"/>
      <c r="AQ94" s="166"/>
      <c r="AR94" s="180" t="e">
        <f t="shared" si="54"/>
        <v>#N/A</v>
      </c>
      <c r="AS94" s="486"/>
      <c r="AT94" s="166"/>
      <c r="AU94" s="166"/>
      <c r="AV94" s="166"/>
      <c r="AW94" s="180" t="e">
        <f t="shared" si="56"/>
        <v>#N/A</v>
      </c>
      <c r="AX94" s="486"/>
    </row>
    <row r="95" spans="2:50">
      <c r="B95" s="479"/>
      <c r="C95" s="180">
        <v>9</v>
      </c>
      <c r="D95" s="201"/>
      <c r="E95" s="166"/>
      <c r="F95" s="180"/>
      <c r="G95" s="265"/>
      <c r="H95" s="460"/>
      <c r="I95" s="166"/>
      <c r="J95" s="166"/>
      <c r="K95" s="265"/>
      <c r="L95" s="460"/>
      <c r="M95" s="272" t="e">
        <f>RANK(K95, K$87:$K$101)</f>
        <v>#N/A</v>
      </c>
      <c r="N95" s="462"/>
      <c r="O95" s="462"/>
      <c r="P95" s="166"/>
      <c r="Q95" s="166"/>
      <c r="R95" s="166"/>
      <c r="S95" s="180" t="e">
        <f t="shared" si="59"/>
        <v>#N/A</v>
      </c>
      <c r="T95" s="486"/>
      <c r="U95" s="166"/>
      <c r="V95" s="166"/>
      <c r="W95" s="166"/>
      <c r="X95" s="180" t="e">
        <f t="shared" si="46"/>
        <v>#N/A</v>
      </c>
      <c r="Y95" s="486"/>
      <c r="Z95" s="166"/>
      <c r="AA95" s="166"/>
      <c r="AB95" s="166"/>
      <c r="AC95" s="180" t="e">
        <f t="shared" si="48"/>
        <v>#N/A</v>
      </c>
      <c r="AD95" s="486"/>
      <c r="AE95" s="166"/>
      <c r="AF95" s="166"/>
      <c r="AG95" s="166"/>
      <c r="AH95" s="180" t="e">
        <f t="shared" si="50"/>
        <v>#N/A</v>
      </c>
      <c r="AI95" s="486"/>
      <c r="AJ95" s="166"/>
      <c r="AK95" s="166"/>
      <c r="AL95" s="166"/>
      <c r="AM95" s="180" t="e">
        <f t="shared" si="52"/>
        <v>#N/A</v>
      </c>
      <c r="AN95" s="486"/>
      <c r="AO95" s="166"/>
      <c r="AP95" s="166"/>
      <c r="AQ95" s="166"/>
      <c r="AR95" s="180" t="e">
        <f t="shared" si="54"/>
        <v>#N/A</v>
      </c>
      <c r="AS95" s="486"/>
      <c r="AT95" s="166"/>
      <c r="AU95" s="166"/>
      <c r="AV95" s="166"/>
      <c r="AW95" s="180" t="e">
        <f t="shared" si="56"/>
        <v>#N/A</v>
      </c>
      <c r="AX95" s="486"/>
    </row>
    <row r="96" spans="2:50">
      <c r="B96" s="479"/>
      <c r="C96" s="180">
        <v>10</v>
      </c>
      <c r="D96" s="201"/>
      <c r="E96" s="166"/>
      <c r="F96" s="180"/>
      <c r="G96" s="265"/>
      <c r="H96" s="460"/>
      <c r="I96" s="166"/>
      <c r="J96" s="166"/>
      <c r="K96" s="265"/>
      <c r="L96" s="460"/>
      <c r="M96" s="272" t="e">
        <f>RANK(K96, K$87:$K$101)</f>
        <v>#N/A</v>
      </c>
      <c r="N96" s="462"/>
      <c r="O96" s="462"/>
      <c r="P96" s="166"/>
      <c r="Q96" s="166"/>
      <c r="R96" s="166"/>
      <c r="S96" s="180" t="e">
        <f t="shared" si="59"/>
        <v>#N/A</v>
      </c>
      <c r="T96" s="486"/>
      <c r="U96" s="166"/>
      <c r="V96" s="166"/>
      <c r="W96" s="166"/>
      <c r="X96" s="180" t="e">
        <f t="shared" si="46"/>
        <v>#N/A</v>
      </c>
      <c r="Y96" s="486"/>
      <c r="Z96" s="166"/>
      <c r="AA96" s="166"/>
      <c r="AB96" s="166"/>
      <c r="AC96" s="180" t="e">
        <f t="shared" si="48"/>
        <v>#N/A</v>
      </c>
      <c r="AD96" s="486"/>
      <c r="AE96" s="166"/>
      <c r="AF96" s="166"/>
      <c r="AG96" s="166"/>
      <c r="AH96" s="180" t="e">
        <f t="shared" si="50"/>
        <v>#N/A</v>
      </c>
      <c r="AI96" s="486"/>
      <c r="AJ96" s="166"/>
      <c r="AK96" s="166"/>
      <c r="AL96" s="166"/>
      <c r="AM96" s="180" t="e">
        <f t="shared" si="52"/>
        <v>#N/A</v>
      </c>
      <c r="AN96" s="486"/>
      <c r="AO96" s="166"/>
      <c r="AP96" s="166"/>
      <c r="AQ96" s="166"/>
      <c r="AR96" s="180" t="e">
        <f t="shared" si="54"/>
        <v>#N/A</v>
      </c>
      <c r="AS96" s="486"/>
      <c r="AT96" s="166"/>
      <c r="AU96" s="166"/>
      <c r="AV96" s="166"/>
      <c r="AW96" s="180" t="e">
        <f t="shared" si="56"/>
        <v>#N/A</v>
      </c>
      <c r="AX96" s="486"/>
    </row>
    <row r="97" spans="2:50">
      <c r="B97" s="479"/>
      <c r="C97" s="180">
        <v>11</v>
      </c>
      <c r="D97" s="201"/>
      <c r="E97" s="166"/>
      <c r="F97" s="180"/>
      <c r="G97" s="265"/>
      <c r="H97" s="460"/>
      <c r="I97" s="166"/>
      <c r="J97" s="166"/>
      <c r="K97" s="265"/>
      <c r="L97" s="460"/>
      <c r="M97" s="272" t="e">
        <f>RANK(K97, K$87:$K$101)</f>
        <v>#N/A</v>
      </c>
      <c r="N97" s="462"/>
      <c r="O97" s="462"/>
      <c r="P97" s="166"/>
      <c r="Q97" s="166"/>
      <c r="R97" s="166"/>
      <c r="S97" s="180" t="e">
        <f t="shared" si="59"/>
        <v>#N/A</v>
      </c>
      <c r="T97" s="486"/>
      <c r="U97" s="166"/>
      <c r="V97" s="166"/>
      <c r="W97" s="166"/>
      <c r="X97" s="180" t="e">
        <f t="shared" si="46"/>
        <v>#N/A</v>
      </c>
      <c r="Y97" s="486"/>
      <c r="Z97" s="166"/>
      <c r="AA97" s="166"/>
      <c r="AB97" s="166"/>
      <c r="AC97" s="180" t="e">
        <f t="shared" si="48"/>
        <v>#N/A</v>
      </c>
      <c r="AD97" s="486"/>
      <c r="AE97" s="166"/>
      <c r="AF97" s="166"/>
      <c r="AG97" s="166"/>
      <c r="AH97" s="180" t="e">
        <f t="shared" si="50"/>
        <v>#N/A</v>
      </c>
      <c r="AI97" s="486"/>
      <c r="AJ97" s="166"/>
      <c r="AK97" s="166"/>
      <c r="AL97" s="166"/>
      <c r="AM97" s="180" t="e">
        <f t="shared" si="52"/>
        <v>#N/A</v>
      </c>
      <c r="AN97" s="486"/>
      <c r="AO97" s="166"/>
      <c r="AP97" s="166"/>
      <c r="AQ97" s="166"/>
      <c r="AR97" s="180" t="e">
        <f t="shared" si="54"/>
        <v>#N/A</v>
      </c>
      <c r="AS97" s="486"/>
      <c r="AT97" s="166"/>
      <c r="AU97" s="166"/>
      <c r="AV97" s="166"/>
      <c r="AW97" s="180" t="e">
        <f t="shared" si="56"/>
        <v>#N/A</v>
      </c>
      <c r="AX97" s="486"/>
    </row>
    <row r="98" spans="2:50">
      <c r="B98" s="479"/>
      <c r="C98" s="180">
        <v>12</v>
      </c>
      <c r="D98" s="201"/>
      <c r="E98" s="166"/>
      <c r="F98" s="180"/>
      <c r="G98" s="265"/>
      <c r="H98" s="460"/>
      <c r="I98" s="180"/>
      <c r="J98" s="180"/>
      <c r="K98" s="180"/>
      <c r="L98" s="460"/>
      <c r="M98" s="272" t="e">
        <f>RANK(K98, K$87:$K$101)</f>
        <v>#N/A</v>
      </c>
      <c r="N98" s="462"/>
      <c r="O98" s="462"/>
      <c r="P98" s="166"/>
      <c r="Q98" s="166"/>
      <c r="R98" s="166"/>
      <c r="S98" s="180" t="e">
        <f t="shared" si="59"/>
        <v>#N/A</v>
      </c>
      <c r="T98" s="486"/>
      <c r="U98" s="166"/>
      <c r="V98" s="166"/>
      <c r="W98" s="166"/>
      <c r="X98" s="180" t="e">
        <f t="shared" si="46"/>
        <v>#N/A</v>
      </c>
      <c r="Y98" s="486"/>
      <c r="Z98" s="166"/>
      <c r="AA98" s="166"/>
      <c r="AB98" s="166"/>
      <c r="AC98" s="180" t="e">
        <f t="shared" si="48"/>
        <v>#N/A</v>
      </c>
      <c r="AD98" s="486"/>
      <c r="AE98" s="166"/>
      <c r="AF98" s="166"/>
      <c r="AG98" s="166"/>
      <c r="AH98" s="180" t="e">
        <f t="shared" si="50"/>
        <v>#N/A</v>
      </c>
      <c r="AI98" s="486"/>
      <c r="AJ98" s="166"/>
      <c r="AK98" s="166"/>
      <c r="AL98" s="166"/>
      <c r="AM98" s="180" t="e">
        <f t="shared" si="52"/>
        <v>#N/A</v>
      </c>
      <c r="AN98" s="486"/>
      <c r="AO98" s="166"/>
      <c r="AP98" s="166"/>
      <c r="AQ98" s="166"/>
      <c r="AR98" s="180" t="e">
        <f t="shared" si="54"/>
        <v>#N/A</v>
      </c>
      <c r="AS98" s="486"/>
      <c r="AT98" s="166"/>
      <c r="AU98" s="166"/>
      <c r="AV98" s="166"/>
      <c r="AW98" s="180" t="e">
        <f t="shared" si="56"/>
        <v>#N/A</v>
      </c>
      <c r="AX98" s="486"/>
    </row>
    <row r="99" spans="2:50">
      <c r="B99" s="479"/>
      <c r="C99" s="180">
        <v>13</v>
      </c>
      <c r="D99" s="201"/>
      <c r="E99" s="166"/>
      <c r="F99" s="180"/>
      <c r="G99" s="265"/>
      <c r="H99" s="460"/>
      <c r="I99" s="180"/>
      <c r="J99" s="180"/>
      <c r="K99" s="180"/>
      <c r="L99" s="460"/>
      <c r="M99" s="272" t="e">
        <f>RANK(K99, K$87:$K$101)</f>
        <v>#N/A</v>
      </c>
      <c r="N99" s="462"/>
      <c r="O99" s="462"/>
      <c r="P99" s="166"/>
      <c r="Q99" s="166"/>
      <c r="R99" s="166"/>
      <c r="S99" s="180" t="e">
        <f t="shared" si="59"/>
        <v>#N/A</v>
      </c>
      <c r="T99" s="486"/>
      <c r="U99" s="166"/>
      <c r="V99" s="166"/>
      <c r="W99" s="166"/>
      <c r="X99" s="180" t="e">
        <f t="shared" si="46"/>
        <v>#N/A</v>
      </c>
      <c r="Y99" s="486"/>
      <c r="Z99" s="166"/>
      <c r="AA99" s="166"/>
      <c r="AB99" s="166"/>
      <c r="AC99" s="180" t="e">
        <f t="shared" si="48"/>
        <v>#N/A</v>
      </c>
      <c r="AD99" s="486"/>
      <c r="AE99" s="166"/>
      <c r="AF99" s="166"/>
      <c r="AG99" s="166"/>
      <c r="AH99" s="180" t="e">
        <f t="shared" si="50"/>
        <v>#N/A</v>
      </c>
      <c r="AI99" s="486"/>
      <c r="AJ99" s="166"/>
      <c r="AK99" s="166"/>
      <c r="AL99" s="166"/>
      <c r="AM99" s="180" t="e">
        <f t="shared" si="52"/>
        <v>#N/A</v>
      </c>
      <c r="AN99" s="486"/>
      <c r="AO99" s="166"/>
      <c r="AP99" s="166"/>
      <c r="AQ99" s="166"/>
      <c r="AR99" s="180" t="e">
        <f t="shared" si="54"/>
        <v>#N/A</v>
      </c>
      <c r="AS99" s="486"/>
      <c r="AT99" s="166"/>
      <c r="AU99" s="166"/>
      <c r="AV99" s="166"/>
      <c r="AW99" s="180" t="e">
        <f t="shared" si="56"/>
        <v>#N/A</v>
      </c>
      <c r="AX99" s="486"/>
    </row>
    <row r="100" spans="2:50">
      <c r="B100" s="479"/>
      <c r="C100" s="180">
        <v>14</v>
      </c>
      <c r="D100" s="201"/>
      <c r="E100" s="166"/>
      <c r="F100" s="180"/>
      <c r="G100" s="265"/>
      <c r="H100" s="460"/>
      <c r="I100" s="180"/>
      <c r="J100" s="180"/>
      <c r="K100" s="180"/>
      <c r="L100" s="460"/>
      <c r="M100" s="272" t="e">
        <f>RANK(K100, K$87:$K$101)</f>
        <v>#N/A</v>
      </c>
      <c r="N100" s="462"/>
      <c r="O100" s="462"/>
      <c r="P100" s="166"/>
      <c r="Q100" s="166"/>
      <c r="R100" s="166"/>
      <c r="S100" s="180" t="e">
        <f t="shared" si="59"/>
        <v>#N/A</v>
      </c>
      <c r="T100" s="486"/>
      <c r="U100" s="166"/>
      <c r="V100" s="166"/>
      <c r="W100" s="166"/>
      <c r="X100" s="180" t="e">
        <f t="shared" si="46"/>
        <v>#N/A</v>
      </c>
      <c r="Y100" s="486"/>
      <c r="Z100" s="166"/>
      <c r="AA100" s="166"/>
      <c r="AB100" s="166"/>
      <c r="AC100" s="180" t="e">
        <f t="shared" si="48"/>
        <v>#N/A</v>
      </c>
      <c r="AD100" s="486"/>
      <c r="AE100" s="166"/>
      <c r="AF100" s="166"/>
      <c r="AG100" s="166"/>
      <c r="AH100" s="180" t="e">
        <f t="shared" si="50"/>
        <v>#N/A</v>
      </c>
      <c r="AI100" s="486"/>
      <c r="AJ100" s="166"/>
      <c r="AK100" s="166"/>
      <c r="AL100" s="166"/>
      <c r="AM100" s="180" t="e">
        <f t="shared" si="52"/>
        <v>#N/A</v>
      </c>
      <c r="AN100" s="486"/>
      <c r="AO100" s="166"/>
      <c r="AP100" s="166"/>
      <c r="AQ100" s="166"/>
      <c r="AR100" s="180" t="e">
        <f t="shared" si="54"/>
        <v>#N/A</v>
      </c>
      <c r="AS100" s="486"/>
      <c r="AT100" s="166"/>
      <c r="AU100" s="166"/>
      <c r="AV100" s="166"/>
      <c r="AW100" s="180" t="e">
        <f t="shared" si="56"/>
        <v>#N/A</v>
      </c>
      <c r="AX100" s="486"/>
    </row>
    <row r="101" spans="2:50">
      <c r="B101" s="479"/>
      <c r="C101" s="180">
        <v>15</v>
      </c>
      <c r="D101" s="201"/>
      <c r="E101" s="166"/>
      <c r="F101" s="180"/>
      <c r="G101" s="265"/>
      <c r="H101" s="461"/>
      <c r="I101" s="180"/>
      <c r="J101" s="180"/>
      <c r="K101" s="180"/>
      <c r="L101" s="461"/>
      <c r="M101" s="166" t="e">
        <f>RANK(K101, K$87:$K$101)</f>
        <v>#N/A</v>
      </c>
      <c r="N101" s="462"/>
      <c r="O101" s="462"/>
      <c r="P101" s="166"/>
      <c r="Q101" s="166"/>
      <c r="R101" s="166"/>
      <c r="S101" s="180" t="e">
        <f t="shared" si="59"/>
        <v>#N/A</v>
      </c>
      <c r="T101" s="486"/>
      <c r="U101" s="166"/>
      <c r="V101" s="166"/>
      <c r="W101" s="166"/>
      <c r="X101" s="180" t="e">
        <f t="shared" si="46"/>
        <v>#N/A</v>
      </c>
      <c r="Y101" s="486"/>
      <c r="Z101" s="166"/>
      <c r="AA101" s="166"/>
      <c r="AB101" s="166"/>
      <c r="AC101" s="180" t="e">
        <f t="shared" si="48"/>
        <v>#N/A</v>
      </c>
      <c r="AD101" s="486"/>
      <c r="AE101" s="166"/>
      <c r="AF101" s="166"/>
      <c r="AG101" s="166"/>
      <c r="AH101" s="180" t="e">
        <f t="shared" si="50"/>
        <v>#N/A</v>
      </c>
      <c r="AI101" s="486"/>
      <c r="AJ101" s="166"/>
      <c r="AK101" s="166"/>
      <c r="AL101" s="166"/>
      <c r="AM101" s="180" t="e">
        <f t="shared" si="52"/>
        <v>#N/A</v>
      </c>
      <c r="AN101" s="486"/>
      <c r="AO101" s="166"/>
      <c r="AP101" s="166"/>
      <c r="AQ101" s="166"/>
      <c r="AR101" s="180" t="e">
        <f t="shared" si="54"/>
        <v>#N/A</v>
      </c>
      <c r="AS101" s="486"/>
      <c r="AT101" s="166"/>
      <c r="AU101" s="166"/>
      <c r="AV101" s="166"/>
      <c r="AW101" s="180" t="e">
        <f t="shared" si="56"/>
        <v>#N/A</v>
      </c>
      <c r="AX101" s="486"/>
    </row>
    <row r="102" spans="2:50" ht="15.75">
      <c r="B102" s="480" t="s">
        <v>721</v>
      </c>
      <c r="C102" s="481"/>
      <c r="D102" s="481"/>
      <c r="E102" s="481"/>
      <c r="F102" s="481"/>
      <c r="G102" s="481"/>
      <c r="H102" s="481"/>
      <c r="I102" s="184"/>
      <c r="J102" s="184"/>
      <c r="K102" s="184"/>
      <c r="L102" s="184"/>
      <c r="M102" s="183"/>
      <c r="N102" s="469" t="s">
        <v>722</v>
      </c>
      <c r="O102" s="469" t="s">
        <v>723</v>
      </c>
      <c r="P102" s="478">
        <f>P82+7</f>
        <v>46084</v>
      </c>
      <c r="Q102" s="479"/>
      <c r="R102" s="479"/>
      <c r="S102" s="479"/>
      <c r="T102" s="479"/>
      <c r="U102" s="475">
        <f>P102+1</f>
        <v>46085</v>
      </c>
      <c r="V102" s="476"/>
      <c r="W102" s="476"/>
      <c r="X102" s="476"/>
      <c r="Y102" s="477"/>
      <c r="Z102" s="475">
        <f>U102+1</f>
        <v>46086</v>
      </c>
      <c r="AA102" s="476"/>
      <c r="AB102" s="476"/>
      <c r="AC102" s="476"/>
      <c r="AD102" s="477"/>
      <c r="AE102" s="475">
        <f>Z102+1</f>
        <v>46087</v>
      </c>
      <c r="AF102" s="476"/>
      <c r="AG102" s="476"/>
      <c r="AH102" s="476"/>
      <c r="AI102" s="477"/>
      <c r="AJ102" s="475">
        <f>AE102+1</f>
        <v>46088</v>
      </c>
      <c r="AK102" s="476"/>
      <c r="AL102" s="476"/>
      <c r="AM102" s="476"/>
      <c r="AN102" s="477"/>
      <c r="AO102" s="475">
        <f>AJ102+1</f>
        <v>46089</v>
      </c>
      <c r="AP102" s="476"/>
      <c r="AQ102" s="476"/>
      <c r="AR102" s="476"/>
      <c r="AS102" s="477"/>
      <c r="AT102" s="475">
        <f>AO102+1</f>
        <v>46090</v>
      </c>
      <c r="AU102" s="476"/>
      <c r="AV102" s="476"/>
      <c r="AW102" s="476"/>
      <c r="AX102" s="477"/>
    </row>
    <row r="103" spans="2:50" ht="15.75">
      <c r="B103" s="482"/>
      <c r="C103" s="482"/>
      <c r="D103" s="482"/>
      <c r="E103" s="482"/>
      <c r="F103" s="482"/>
      <c r="G103" s="482"/>
      <c r="H103" s="482"/>
      <c r="I103" s="182"/>
      <c r="J103" s="182"/>
      <c r="K103" s="182"/>
      <c r="L103" s="182"/>
      <c r="M103" s="179"/>
      <c r="N103" s="471"/>
      <c r="O103" s="471"/>
      <c r="P103" s="478" t="s">
        <v>724</v>
      </c>
      <c r="Q103" s="479"/>
      <c r="R103" s="479"/>
      <c r="S103" s="479"/>
      <c r="T103" s="479"/>
      <c r="U103" s="478" t="s">
        <v>725</v>
      </c>
      <c r="V103" s="479"/>
      <c r="W103" s="479"/>
      <c r="X103" s="479"/>
      <c r="Y103" s="479"/>
      <c r="Z103" s="478" t="s">
        <v>726</v>
      </c>
      <c r="AA103" s="479"/>
      <c r="AB103" s="479"/>
      <c r="AC103" s="479"/>
      <c r="AD103" s="479"/>
      <c r="AE103" s="478" t="s">
        <v>727</v>
      </c>
      <c r="AF103" s="479"/>
      <c r="AG103" s="479"/>
      <c r="AH103" s="479"/>
      <c r="AI103" s="479"/>
      <c r="AJ103" s="478" t="s">
        <v>728</v>
      </c>
      <c r="AK103" s="479"/>
      <c r="AL103" s="479"/>
      <c r="AM103" s="479"/>
      <c r="AN103" s="479"/>
      <c r="AO103" s="478" t="s">
        <v>729</v>
      </c>
      <c r="AP103" s="479"/>
      <c r="AQ103" s="479"/>
      <c r="AR103" s="479"/>
      <c r="AS103" s="479"/>
      <c r="AT103" s="478" t="s">
        <v>730</v>
      </c>
      <c r="AU103" s="479"/>
      <c r="AV103" s="479"/>
      <c r="AW103" s="479"/>
      <c r="AX103" s="479"/>
    </row>
    <row r="104" spans="2:50">
      <c r="B104" s="462" t="s">
        <v>628</v>
      </c>
      <c r="C104" s="462" t="s">
        <v>629</v>
      </c>
      <c r="D104" s="462"/>
      <c r="E104" s="462" t="s">
        <v>630</v>
      </c>
      <c r="F104" s="462"/>
      <c r="G104" s="462"/>
      <c r="H104" s="463" t="s">
        <v>631</v>
      </c>
      <c r="I104" s="462" t="s">
        <v>632</v>
      </c>
      <c r="J104" s="462"/>
      <c r="K104" s="462"/>
      <c r="L104" s="463" t="s">
        <v>631</v>
      </c>
      <c r="M104" s="469" t="s">
        <v>633</v>
      </c>
      <c r="N104" s="462"/>
      <c r="O104" s="462" t="s">
        <v>634</v>
      </c>
      <c r="P104" s="466" t="s">
        <v>738</v>
      </c>
      <c r="Q104" s="467"/>
      <c r="R104" s="467"/>
      <c r="S104" s="468"/>
      <c r="T104" s="462" t="s">
        <v>734</v>
      </c>
      <c r="U104" s="466" t="s">
        <v>738</v>
      </c>
      <c r="V104" s="467"/>
      <c r="W104" s="467"/>
      <c r="X104" s="468"/>
      <c r="Y104" s="462" t="s">
        <v>734</v>
      </c>
      <c r="Z104" s="466" t="s">
        <v>738</v>
      </c>
      <c r="AA104" s="467"/>
      <c r="AB104" s="467"/>
      <c r="AC104" s="468"/>
      <c r="AD104" s="462" t="s">
        <v>734</v>
      </c>
      <c r="AE104" s="466" t="s">
        <v>738</v>
      </c>
      <c r="AF104" s="467"/>
      <c r="AG104" s="467"/>
      <c r="AH104" s="468"/>
      <c r="AI104" s="462" t="s">
        <v>734</v>
      </c>
      <c r="AJ104" s="466" t="s">
        <v>738</v>
      </c>
      <c r="AK104" s="467"/>
      <c r="AL104" s="467"/>
      <c r="AM104" s="468"/>
      <c r="AN104" s="462" t="s">
        <v>734</v>
      </c>
      <c r="AO104" s="466" t="s">
        <v>738</v>
      </c>
      <c r="AP104" s="467"/>
      <c r="AQ104" s="467"/>
      <c r="AR104" s="468"/>
      <c r="AS104" s="462" t="s">
        <v>734</v>
      </c>
      <c r="AT104" s="466" t="s">
        <v>738</v>
      </c>
      <c r="AU104" s="467"/>
      <c r="AV104" s="467"/>
      <c r="AW104" s="468"/>
      <c r="AX104" s="462" t="s">
        <v>734</v>
      </c>
    </row>
    <row r="105" spans="2:50">
      <c r="B105" s="462"/>
      <c r="C105" s="462"/>
      <c r="D105" s="462"/>
      <c r="E105" s="462" t="s">
        <v>635</v>
      </c>
      <c r="F105" s="462"/>
      <c r="G105" s="462"/>
      <c r="H105" s="464"/>
      <c r="I105" s="462" t="s">
        <v>635</v>
      </c>
      <c r="J105" s="462"/>
      <c r="K105" s="462"/>
      <c r="L105" s="464"/>
      <c r="M105" s="470"/>
      <c r="N105" s="462"/>
      <c r="O105" s="462"/>
      <c r="P105" s="466" t="s">
        <v>740</v>
      </c>
      <c r="Q105" s="467"/>
      <c r="R105" s="467"/>
      <c r="S105" s="468"/>
      <c r="T105" s="462"/>
      <c r="U105" s="466" t="s">
        <v>740</v>
      </c>
      <c r="V105" s="467"/>
      <c r="W105" s="467"/>
      <c r="X105" s="468"/>
      <c r="Y105" s="462"/>
      <c r="Z105" s="466" t="s">
        <v>740</v>
      </c>
      <c r="AA105" s="467"/>
      <c r="AB105" s="467"/>
      <c r="AC105" s="468"/>
      <c r="AD105" s="462"/>
      <c r="AE105" s="466" t="s">
        <v>740</v>
      </c>
      <c r="AF105" s="467"/>
      <c r="AG105" s="467"/>
      <c r="AH105" s="468"/>
      <c r="AI105" s="462"/>
      <c r="AJ105" s="466" t="s">
        <v>740</v>
      </c>
      <c r="AK105" s="467"/>
      <c r="AL105" s="467"/>
      <c r="AM105" s="468"/>
      <c r="AN105" s="462"/>
      <c r="AO105" s="466" t="s">
        <v>740</v>
      </c>
      <c r="AP105" s="467"/>
      <c r="AQ105" s="467"/>
      <c r="AR105" s="468"/>
      <c r="AS105" s="462"/>
      <c r="AT105" s="466" t="s">
        <v>740</v>
      </c>
      <c r="AU105" s="467"/>
      <c r="AV105" s="467"/>
      <c r="AW105" s="468"/>
      <c r="AX105" s="462"/>
    </row>
    <row r="106" spans="2:50">
      <c r="B106" s="462"/>
      <c r="C106" s="462"/>
      <c r="D106" s="462"/>
      <c r="E106" s="264" t="s">
        <v>636</v>
      </c>
      <c r="F106" s="264" t="s">
        <v>637</v>
      </c>
      <c r="G106" s="264" t="s">
        <v>638</v>
      </c>
      <c r="H106" s="465"/>
      <c r="I106" s="264" t="s">
        <v>636</v>
      </c>
      <c r="J106" s="264" t="s">
        <v>637</v>
      </c>
      <c r="K106" s="264" t="s">
        <v>638</v>
      </c>
      <c r="L106" s="465"/>
      <c r="M106" s="471"/>
      <c r="N106" s="462"/>
      <c r="O106" s="462"/>
      <c r="P106" s="264" t="s">
        <v>741</v>
      </c>
      <c r="Q106" s="264" t="s">
        <v>742</v>
      </c>
      <c r="R106" s="264" t="s">
        <v>743</v>
      </c>
      <c r="S106" s="264" t="s">
        <v>736</v>
      </c>
      <c r="T106" s="462"/>
      <c r="U106" s="264" t="s">
        <v>741</v>
      </c>
      <c r="V106" s="264" t="s">
        <v>742</v>
      </c>
      <c r="W106" s="264" t="s">
        <v>743</v>
      </c>
      <c r="X106" s="264" t="s">
        <v>736</v>
      </c>
      <c r="Y106" s="462"/>
      <c r="Z106" s="264" t="s">
        <v>741</v>
      </c>
      <c r="AA106" s="264" t="s">
        <v>742</v>
      </c>
      <c r="AB106" s="264" t="s">
        <v>743</v>
      </c>
      <c r="AC106" s="264" t="s">
        <v>736</v>
      </c>
      <c r="AD106" s="462"/>
      <c r="AE106" s="264" t="s">
        <v>741</v>
      </c>
      <c r="AF106" s="264" t="s">
        <v>742</v>
      </c>
      <c r="AG106" s="264" t="s">
        <v>743</v>
      </c>
      <c r="AH106" s="264" t="s">
        <v>736</v>
      </c>
      <c r="AI106" s="462"/>
      <c r="AJ106" s="264" t="s">
        <v>741</v>
      </c>
      <c r="AK106" s="264" t="s">
        <v>742</v>
      </c>
      <c r="AL106" s="264" t="s">
        <v>743</v>
      </c>
      <c r="AM106" s="264" t="s">
        <v>736</v>
      </c>
      <c r="AN106" s="462"/>
      <c r="AO106" s="264" t="s">
        <v>741</v>
      </c>
      <c r="AP106" s="264" t="s">
        <v>742</v>
      </c>
      <c r="AQ106" s="264" t="s">
        <v>743</v>
      </c>
      <c r="AR106" s="264" t="s">
        <v>736</v>
      </c>
      <c r="AS106" s="462"/>
      <c r="AT106" s="264" t="s">
        <v>741</v>
      </c>
      <c r="AU106" s="264" t="s">
        <v>742</v>
      </c>
      <c r="AV106" s="264" t="s">
        <v>743</v>
      </c>
      <c r="AW106" s="264" t="s">
        <v>736</v>
      </c>
      <c r="AX106" s="462"/>
    </row>
    <row r="107" spans="2:50">
      <c r="B107" s="462" t="s">
        <v>135</v>
      </c>
      <c r="C107" s="180">
        <v>1</v>
      </c>
      <c r="D107" s="201"/>
      <c r="E107" s="166"/>
      <c r="F107" s="180"/>
      <c r="G107" s="265"/>
      <c r="H107" s="459" t="e">
        <f>AVERAGE(G107:G121)</f>
        <v>#DIV/0!</v>
      </c>
      <c r="I107" s="166" t="e">
        <f>AVERAGE(P107,U107,Z107,AE107,AJ107,AO107,AT107)</f>
        <v>#DIV/0!</v>
      </c>
      <c r="J107" s="166" t="e">
        <f>AVERAGE(Q107,V107,AA107,AF107,AK107,AP107,AU107)</f>
        <v>#DIV/0!</v>
      </c>
      <c r="K107" s="265" t="e">
        <f>AVERAGE(R107,W107,AB107,AG107,AL107,AQ107,AV107)</f>
        <v>#DIV/0!</v>
      </c>
      <c r="L107" s="459" t="str">
        <f>IFERROR(AVERAGE(K107:K121),"-")</f>
        <v>-</v>
      </c>
      <c r="M107" s="166" t="e">
        <f>RANK(K107, K$67:$K$81)</f>
        <v>#DIV/0!</v>
      </c>
      <c r="N107" s="462"/>
      <c r="O107" s="462"/>
      <c r="P107" s="180"/>
      <c r="Q107" s="166"/>
      <c r="R107" s="166"/>
      <c r="S107" s="166" t="e">
        <f>RANK(R107, R$67:R$81)</f>
        <v>#N/A</v>
      </c>
      <c r="T107" s="506" t="e">
        <f>AVERAGE(R107:R121)</f>
        <v>#DIV/0!</v>
      </c>
      <c r="U107" s="180"/>
      <c r="V107" s="166"/>
      <c r="W107" s="166"/>
      <c r="X107" s="166" t="e">
        <f>RANK(W107, W$67:W$81)</f>
        <v>#N/A</v>
      </c>
      <c r="Y107" s="486" t="e">
        <f>AVERAGE(W107:W121)</f>
        <v>#DIV/0!</v>
      </c>
      <c r="Z107" s="180"/>
      <c r="AA107" s="166"/>
      <c r="AB107" s="166"/>
      <c r="AC107" s="166" t="e">
        <f>RANK(AB107, AB$67:AB$81)</f>
        <v>#N/A</v>
      </c>
      <c r="AD107" s="486" t="e">
        <f>AVERAGE(AB107:AB121)</f>
        <v>#DIV/0!</v>
      </c>
      <c r="AE107" s="180"/>
      <c r="AF107" s="166"/>
      <c r="AG107" s="166"/>
      <c r="AH107" s="166" t="e">
        <f>RANK(AG107, AG$67:AG$81)</f>
        <v>#N/A</v>
      </c>
      <c r="AI107" s="486" t="e">
        <f>AVERAGE(AG107:AG121)</f>
        <v>#DIV/0!</v>
      </c>
      <c r="AJ107" s="180"/>
      <c r="AK107" s="166"/>
      <c r="AL107" s="166"/>
      <c r="AM107" s="166" t="e">
        <f>RANK(AL107, AL$67:AL$81)</f>
        <v>#N/A</v>
      </c>
      <c r="AN107" s="486" t="e">
        <f>AVERAGE(AL107:AL121)</f>
        <v>#DIV/0!</v>
      </c>
      <c r="AO107" s="180"/>
      <c r="AP107" s="166"/>
      <c r="AQ107" s="166"/>
      <c r="AR107" s="166" t="e">
        <f>RANK(AQ107, AQ$67:AQ$81)</f>
        <v>#N/A</v>
      </c>
      <c r="AS107" s="506" t="e">
        <f>AVERAGE(AQ107:AQ121)</f>
        <v>#DIV/0!</v>
      </c>
      <c r="AT107" s="166"/>
      <c r="AU107" s="166"/>
      <c r="AV107" s="166"/>
      <c r="AW107" s="180" t="e">
        <f>RANK(AV107, AV$67:AV$81)</f>
        <v>#N/A</v>
      </c>
      <c r="AX107" s="525" t="e">
        <f>AVERAGE(AV107:AV121)</f>
        <v>#DIV/0!</v>
      </c>
    </row>
    <row r="108" spans="2:50">
      <c r="B108" s="479"/>
      <c r="C108" s="180">
        <v>2</v>
      </c>
      <c r="D108" s="201"/>
      <c r="E108" s="166"/>
      <c r="F108" s="180"/>
      <c r="G108" s="265"/>
      <c r="H108" s="460"/>
      <c r="I108" s="166" t="e">
        <f t="shared" ref="I108:K115" si="60">AVERAGE(P108,U108,Z108,AE108,AJ108,AO108,AT108)</f>
        <v>#DIV/0!</v>
      </c>
      <c r="J108" s="166" t="e">
        <f t="shared" si="60"/>
        <v>#DIV/0!</v>
      </c>
      <c r="K108" s="265" t="e">
        <f t="shared" si="60"/>
        <v>#DIV/0!</v>
      </c>
      <c r="L108" s="460"/>
      <c r="M108" s="166" t="e">
        <f>RANK(K108, K$67:$K$81)</f>
        <v>#DIV/0!</v>
      </c>
      <c r="N108" s="462"/>
      <c r="O108" s="462"/>
      <c r="P108" s="180"/>
      <c r="Q108" s="166"/>
      <c r="R108" s="166"/>
      <c r="S108" s="166" t="e">
        <f t="shared" ref="S108:S121" si="61">RANK(R108, R$67:R$81)</f>
        <v>#N/A</v>
      </c>
      <c r="T108" s="506"/>
      <c r="U108" s="180"/>
      <c r="V108" s="166"/>
      <c r="W108" s="166"/>
      <c r="X108" s="166" t="e">
        <f t="shared" ref="X108:X121" si="62">RANK(W108, W$67:W$81)</f>
        <v>#N/A</v>
      </c>
      <c r="Y108" s="486"/>
      <c r="Z108" s="180"/>
      <c r="AA108" s="166"/>
      <c r="AB108" s="166"/>
      <c r="AC108" s="166" t="e">
        <f t="shared" ref="AC108:AC121" si="63">RANK(AB108, AB$67:AB$81)</f>
        <v>#N/A</v>
      </c>
      <c r="AD108" s="486"/>
      <c r="AE108" s="180"/>
      <c r="AF108" s="166"/>
      <c r="AG108" s="166"/>
      <c r="AH108" s="166" t="e">
        <f t="shared" ref="AH108:AH121" si="64">RANK(AG108, AG$67:AG$81)</f>
        <v>#N/A</v>
      </c>
      <c r="AI108" s="486"/>
      <c r="AJ108" s="180"/>
      <c r="AK108" s="166"/>
      <c r="AL108" s="166"/>
      <c r="AM108" s="166" t="e">
        <f t="shared" ref="AM108:AM121" si="65">RANK(AL108, AL$67:AL$81)</f>
        <v>#N/A</v>
      </c>
      <c r="AN108" s="486"/>
      <c r="AO108" s="180"/>
      <c r="AP108" s="166"/>
      <c r="AQ108" s="166"/>
      <c r="AR108" s="166" t="e">
        <f t="shared" ref="AR108:AR121" si="66">RANK(AQ108, AQ$67:AQ$81)</f>
        <v>#N/A</v>
      </c>
      <c r="AS108" s="506"/>
      <c r="AT108" s="166"/>
      <c r="AU108" s="166"/>
      <c r="AV108" s="166"/>
      <c r="AW108" s="180" t="e">
        <f t="shared" ref="AW108:AW121" si="67">RANK(AV108, AV$67:AV$81)</f>
        <v>#N/A</v>
      </c>
      <c r="AX108" s="525"/>
    </row>
    <row r="109" spans="2:50">
      <c r="B109" s="479"/>
      <c r="C109" s="180">
        <v>3</v>
      </c>
      <c r="D109" s="201"/>
      <c r="E109" s="166"/>
      <c r="F109" s="180"/>
      <c r="G109" s="265"/>
      <c r="H109" s="460"/>
      <c r="I109" s="166" t="e">
        <f t="shared" si="60"/>
        <v>#DIV/0!</v>
      </c>
      <c r="J109" s="166" t="e">
        <f t="shared" si="60"/>
        <v>#DIV/0!</v>
      </c>
      <c r="K109" s="265" t="e">
        <f t="shared" si="60"/>
        <v>#DIV/0!</v>
      </c>
      <c r="L109" s="460"/>
      <c r="M109" s="166" t="e">
        <f>RANK(K109, K$67:$K$81)</f>
        <v>#DIV/0!</v>
      </c>
      <c r="N109" s="462"/>
      <c r="O109" s="462"/>
      <c r="P109" s="180"/>
      <c r="Q109" s="166"/>
      <c r="R109" s="166"/>
      <c r="S109" s="166" t="e">
        <f t="shared" si="61"/>
        <v>#N/A</v>
      </c>
      <c r="T109" s="506"/>
      <c r="U109" s="180"/>
      <c r="V109" s="166"/>
      <c r="W109" s="166"/>
      <c r="X109" s="166" t="e">
        <f t="shared" si="62"/>
        <v>#N/A</v>
      </c>
      <c r="Y109" s="486"/>
      <c r="Z109" s="180"/>
      <c r="AA109" s="166"/>
      <c r="AB109" s="166"/>
      <c r="AC109" s="166" t="e">
        <f t="shared" si="63"/>
        <v>#N/A</v>
      </c>
      <c r="AD109" s="486"/>
      <c r="AE109" s="180"/>
      <c r="AF109" s="166"/>
      <c r="AG109" s="166"/>
      <c r="AH109" s="166" t="e">
        <f t="shared" si="64"/>
        <v>#N/A</v>
      </c>
      <c r="AI109" s="486"/>
      <c r="AJ109" s="180"/>
      <c r="AK109" s="166"/>
      <c r="AL109" s="166"/>
      <c r="AM109" s="166" t="e">
        <f t="shared" si="65"/>
        <v>#N/A</v>
      </c>
      <c r="AN109" s="486"/>
      <c r="AO109" s="180"/>
      <c r="AP109" s="166"/>
      <c r="AQ109" s="166"/>
      <c r="AR109" s="166" t="e">
        <f t="shared" si="66"/>
        <v>#N/A</v>
      </c>
      <c r="AS109" s="506"/>
      <c r="AT109" s="166"/>
      <c r="AU109" s="166"/>
      <c r="AV109" s="166"/>
      <c r="AW109" s="180" t="e">
        <f t="shared" si="67"/>
        <v>#N/A</v>
      </c>
      <c r="AX109" s="525"/>
    </row>
    <row r="110" spans="2:50">
      <c r="B110" s="479"/>
      <c r="C110" s="180">
        <v>4</v>
      </c>
      <c r="D110" s="201"/>
      <c r="E110" s="166"/>
      <c r="F110" s="180"/>
      <c r="G110" s="265"/>
      <c r="H110" s="460"/>
      <c r="I110" s="166" t="e">
        <f t="shared" si="60"/>
        <v>#DIV/0!</v>
      </c>
      <c r="J110" s="166" t="e">
        <f t="shared" si="60"/>
        <v>#DIV/0!</v>
      </c>
      <c r="K110" s="265" t="e">
        <f t="shared" si="60"/>
        <v>#DIV/0!</v>
      </c>
      <c r="L110" s="460"/>
      <c r="M110" s="166" t="e">
        <f>RANK(K110, K$67:$K$81)</f>
        <v>#DIV/0!</v>
      </c>
      <c r="N110" s="462"/>
      <c r="O110" s="462"/>
      <c r="P110" s="180"/>
      <c r="Q110" s="166"/>
      <c r="R110" s="166"/>
      <c r="S110" s="166" t="e">
        <f t="shared" si="61"/>
        <v>#N/A</v>
      </c>
      <c r="T110" s="506"/>
      <c r="U110" s="180"/>
      <c r="V110" s="166"/>
      <c r="W110" s="166"/>
      <c r="X110" s="166" t="e">
        <f t="shared" si="62"/>
        <v>#N/A</v>
      </c>
      <c r="Y110" s="486"/>
      <c r="Z110" s="180"/>
      <c r="AA110" s="166"/>
      <c r="AB110" s="166"/>
      <c r="AC110" s="166" t="e">
        <f t="shared" si="63"/>
        <v>#N/A</v>
      </c>
      <c r="AD110" s="486"/>
      <c r="AE110" s="180"/>
      <c r="AF110" s="166"/>
      <c r="AG110" s="166"/>
      <c r="AH110" s="166" t="e">
        <f t="shared" si="64"/>
        <v>#N/A</v>
      </c>
      <c r="AI110" s="486"/>
      <c r="AJ110" s="180"/>
      <c r="AK110" s="166"/>
      <c r="AL110" s="166"/>
      <c r="AM110" s="166" t="e">
        <f t="shared" si="65"/>
        <v>#N/A</v>
      </c>
      <c r="AN110" s="486"/>
      <c r="AO110" s="180"/>
      <c r="AP110" s="166"/>
      <c r="AQ110" s="166"/>
      <c r="AR110" s="166" t="e">
        <f t="shared" si="66"/>
        <v>#N/A</v>
      </c>
      <c r="AS110" s="506"/>
      <c r="AT110" s="166"/>
      <c r="AU110" s="166"/>
      <c r="AV110" s="166"/>
      <c r="AW110" s="180" t="e">
        <f t="shared" si="67"/>
        <v>#N/A</v>
      </c>
      <c r="AX110" s="525"/>
    </row>
    <row r="111" spans="2:50">
      <c r="B111" s="479"/>
      <c r="C111" s="180">
        <v>5</v>
      </c>
      <c r="D111" s="201"/>
      <c r="E111" s="166"/>
      <c r="F111" s="180"/>
      <c r="G111" s="265"/>
      <c r="H111" s="460"/>
      <c r="I111" s="166" t="e">
        <f t="shared" si="60"/>
        <v>#DIV/0!</v>
      </c>
      <c r="J111" s="166" t="e">
        <f t="shared" si="60"/>
        <v>#DIV/0!</v>
      </c>
      <c r="K111" s="265" t="e">
        <f t="shared" si="60"/>
        <v>#DIV/0!</v>
      </c>
      <c r="L111" s="460"/>
      <c r="M111" s="166" t="e">
        <f>RANK(K111, K$67:$K$81)</f>
        <v>#DIV/0!</v>
      </c>
      <c r="N111" s="462"/>
      <c r="O111" s="462"/>
      <c r="P111" s="180"/>
      <c r="Q111" s="166"/>
      <c r="R111" s="166"/>
      <c r="S111" s="166" t="e">
        <f t="shared" si="61"/>
        <v>#N/A</v>
      </c>
      <c r="T111" s="506"/>
      <c r="U111" s="180"/>
      <c r="V111" s="166"/>
      <c r="W111" s="166"/>
      <c r="X111" s="166" t="e">
        <f t="shared" si="62"/>
        <v>#N/A</v>
      </c>
      <c r="Y111" s="486"/>
      <c r="Z111" s="180"/>
      <c r="AA111" s="166"/>
      <c r="AB111" s="166"/>
      <c r="AC111" s="166" t="e">
        <f t="shared" si="63"/>
        <v>#N/A</v>
      </c>
      <c r="AD111" s="486"/>
      <c r="AE111" s="180"/>
      <c r="AF111" s="166"/>
      <c r="AG111" s="166"/>
      <c r="AH111" s="166" t="e">
        <f t="shared" si="64"/>
        <v>#N/A</v>
      </c>
      <c r="AI111" s="486"/>
      <c r="AJ111" s="180"/>
      <c r="AK111" s="166"/>
      <c r="AL111" s="166"/>
      <c r="AM111" s="166" t="e">
        <f t="shared" si="65"/>
        <v>#N/A</v>
      </c>
      <c r="AN111" s="486"/>
      <c r="AO111" s="180"/>
      <c r="AP111" s="166"/>
      <c r="AQ111" s="166"/>
      <c r="AR111" s="166" t="e">
        <f t="shared" si="66"/>
        <v>#N/A</v>
      </c>
      <c r="AS111" s="506"/>
      <c r="AT111" s="166"/>
      <c r="AU111" s="166"/>
      <c r="AV111" s="166"/>
      <c r="AW111" s="180" t="e">
        <f t="shared" si="67"/>
        <v>#N/A</v>
      </c>
      <c r="AX111" s="525"/>
    </row>
    <row r="112" spans="2:50">
      <c r="B112" s="479"/>
      <c r="C112" s="180">
        <v>6</v>
      </c>
      <c r="D112" s="201"/>
      <c r="E112" s="166"/>
      <c r="F112" s="180"/>
      <c r="G112" s="265"/>
      <c r="H112" s="460"/>
      <c r="I112" s="166" t="e">
        <f t="shared" si="60"/>
        <v>#DIV/0!</v>
      </c>
      <c r="J112" s="166" t="e">
        <f t="shared" si="60"/>
        <v>#DIV/0!</v>
      </c>
      <c r="K112" s="265" t="e">
        <f t="shared" si="60"/>
        <v>#DIV/0!</v>
      </c>
      <c r="L112" s="460"/>
      <c r="M112" s="166" t="e">
        <f>RANK(K112, K$67:$K$81)</f>
        <v>#DIV/0!</v>
      </c>
      <c r="N112" s="462"/>
      <c r="O112" s="462"/>
      <c r="P112" s="180"/>
      <c r="Q112" s="166"/>
      <c r="R112" s="166"/>
      <c r="S112" s="166" t="e">
        <f t="shared" si="61"/>
        <v>#N/A</v>
      </c>
      <c r="T112" s="506"/>
      <c r="U112" s="180"/>
      <c r="V112" s="166"/>
      <c r="W112" s="166"/>
      <c r="X112" s="166" t="e">
        <f t="shared" si="62"/>
        <v>#N/A</v>
      </c>
      <c r="Y112" s="486"/>
      <c r="Z112" s="180"/>
      <c r="AA112" s="166"/>
      <c r="AB112" s="166"/>
      <c r="AC112" s="166" t="e">
        <f t="shared" si="63"/>
        <v>#N/A</v>
      </c>
      <c r="AD112" s="486"/>
      <c r="AE112" s="180"/>
      <c r="AF112" s="166"/>
      <c r="AG112" s="166"/>
      <c r="AH112" s="166" t="e">
        <f t="shared" si="64"/>
        <v>#N/A</v>
      </c>
      <c r="AI112" s="486"/>
      <c r="AJ112" s="180"/>
      <c r="AK112" s="166"/>
      <c r="AL112" s="166"/>
      <c r="AM112" s="166" t="e">
        <f t="shared" si="65"/>
        <v>#N/A</v>
      </c>
      <c r="AN112" s="486"/>
      <c r="AO112" s="180"/>
      <c r="AP112" s="166"/>
      <c r="AQ112" s="166"/>
      <c r="AR112" s="166" t="e">
        <f t="shared" si="66"/>
        <v>#N/A</v>
      </c>
      <c r="AS112" s="506"/>
      <c r="AT112" s="166"/>
      <c r="AU112" s="166"/>
      <c r="AV112" s="166"/>
      <c r="AW112" s="180" t="e">
        <f t="shared" si="67"/>
        <v>#N/A</v>
      </c>
      <c r="AX112" s="525"/>
    </row>
    <row r="113" spans="2:50">
      <c r="B113" s="479"/>
      <c r="C113" s="180">
        <v>7</v>
      </c>
      <c r="D113" s="201"/>
      <c r="E113" s="166"/>
      <c r="F113" s="180"/>
      <c r="G113" s="265"/>
      <c r="H113" s="460"/>
      <c r="I113" s="166" t="e">
        <f t="shared" si="60"/>
        <v>#DIV/0!</v>
      </c>
      <c r="J113" s="166" t="e">
        <f t="shared" si="60"/>
        <v>#DIV/0!</v>
      </c>
      <c r="K113" s="265" t="e">
        <f t="shared" si="60"/>
        <v>#DIV/0!</v>
      </c>
      <c r="L113" s="460"/>
      <c r="M113" s="166" t="e">
        <f>RANK(K113, K$67:$K$81)</f>
        <v>#DIV/0!</v>
      </c>
      <c r="N113" s="462"/>
      <c r="O113" s="462"/>
      <c r="P113" s="180"/>
      <c r="Q113" s="166"/>
      <c r="R113" s="166"/>
      <c r="S113" s="166" t="e">
        <f t="shared" si="61"/>
        <v>#N/A</v>
      </c>
      <c r="T113" s="506"/>
      <c r="U113" s="180"/>
      <c r="V113" s="166"/>
      <c r="W113" s="166"/>
      <c r="X113" s="166" t="e">
        <f t="shared" si="62"/>
        <v>#N/A</v>
      </c>
      <c r="Y113" s="486"/>
      <c r="Z113" s="180"/>
      <c r="AA113" s="166"/>
      <c r="AB113" s="166"/>
      <c r="AC113" s="166" t="e">
        <f t="shared" si="63"/>
        <v>#N/A</v>
      </c>
      <c r="AD113" s="486"/>
      <c r="AE113" s="180"/>
      <c r="AF113" s="166"/>
      <c r="AG113" s="166"/>
      <c r="AH113" s="166" t="e">
        <f t="shared" si="64"/>
        <v>#N/A</v>
      </c>
      <c r="AI113" s="486"/>
      <c r="AJ113" s="180"/>
      <c r="AK113" s="166"/>
      <c r="AL113" s="166"/>
      <c r="AM113" s="166" t="e">
        <f t="shared" si="65"/>
        <v>#N/A</v>
      </c>
      <c r="AN113" s="486"/>
      <c r="AO113" s="180"/>
      <c r="AP113" s="166"/>
      <c r="AQ113" s="166"/>
      <c r="AR113" s="166" t="e">
        <f t="shared" si="66"/>
        <v>#N/A</v>
      </c>
      <c r="AS113" s="506"/>
      <c r="AT113" s="166"/>
      <c r="AU113" s="166"/>
      <c r="AV113" s="166"/>
      <c r="AW113" s="180" t="e">
        <f t="shared" si="67"/>
        <v>#N/A</v>
      </c>
      <c r="AX113" s="525"/>
    </row>
    <row r="114" spans="2:50">
      <c r="B114" s="479"/>
      <c r="C114" s="180">
        <v>8</v>
      </c>
      <c r="D114" s="201"/>
      <c r="E114" s="166"/>
      <c r="F114" s="180"/>
      <c r="G114" s="265"/>
      <c r="H114" s="460"/>
      <c r="I114" s="166" t="e">
        <f t="shared" si="60"/>
        <v>#DIV/0!</v>
      </c>
      <c r="J114" s="166" t="e">
        <f t="shared" si="60"/>
        <v>#DIV/0!</v>
      </c>
      <c r="K114" s="265" t="e">
        <f t="shared" si="60"/>
        <v>#DIV/0!</v>
      </c>
      <c r="L114" s="460"/>
      <c r="M114" s="166" t="e">
        <f>RANK(K114, K$67:$K$81)</f>
        <v>#DIV/0!</v>
      </c>
      <c r="N114" s="462"/>
      <c r="O114" s="462"/>
      <c r="P114" s="180"/>
      <c r="Q114" s="166"/>
      <c r="R114" s="166"/>
      <c r="S114" s="166" t="e">
        <f t="shared" si="61"/>
        <v>#N/A</v>
      </c>
      <c r="T114" s="506"/>
      <c r="U114" s="180"/>
      <c r="V114" s="166"/>
      <c r="W114" s="166"/>
      <c r="X114" s="166" t="e">
        <f t="shared" si="62"/>
        <v>#N/A</v>
      </c>
      <c r="Y114" s="486"/>
      <c r="Z114" s="180"/>
      <c r="AA114" s="166"/>
      <c r="AB114" s="166"/>
      <c r="AC114" s="166" t="e">
        <f t="shared" si="63"/>
        <v>#N/A</v>
      </c>
      <c r="AD114" s="486"/>
      <c r="AE114" s="180"/>
      <c r="AF114" s="166"/>
      <c r="AG114" s="166"/>
      <c r="AH114" s="166" t="e">
        <f t="shared" si="64"/>
        <v>#N/A</v>
      </c>
      <c r="AI114" s="486"/>
      <c r="AJ114" s="180"/>
      <c r="AK114" s="166"/>
      <c r="AL114" s="166"/>
      <c r="AM114" s="166" t="e">
        <f t="shared" si="65"/>
        <v>#N/A</v>
      </c>
      <c r="AN114" s="486"/>
      <c r="AO114" s="180"/>
      <c r="AP114" s="166"/>
      <c r="AQ114" s="166"/>
      <c r="AR114" s="166" t="e">
        <f t="shared" si="66"/>
        <v>#N/A</v>
      </c>
      <c r="AS114" s="506"/>
      <c r="AT114" s="166"/>
      <c r="AU114" s="166"/>
      <c r="AV114" s="166"/>
      <c r="AW114" s="180" t="e">
        <f t="shared" si="67"/>
        <v>#N/A</v>
      </c>
      <c r="AX114" s="525"/>
    </row>
    <row r="115" spans="2:50">
      <c r="B115" s="479"/>
      <c r="C115" s="180">
        <v>9</v>
      </c>
      <c r="D115" s="201"/>
      <c r="E115" s="166"/>
      <c r="F115" s="180"/>
      <c r="G115" s="265"/>
      <c r="H115" s="460"/>
      <c r="I115" s="166" t="e">
        <f t="shared" si="60"/>
        <v>#DIV/0!</v>
      </c>
      <c r="J115" s="166" t="e">
        <f t="shared" si="60"/>
        <v>#DIV/0!</v>
      </c>
      <c r="K115" s="265" t="e">
        <f t="shared" si="60"/>
        <v>#DIV/0!</v>
      </c>
      <c r="L115" s="460"/>
      <c r="M115" s="166" t="e">
        <f>RANK(K115, K$67:$K$81)</f>
        <v>#DIV/0!</v>
      </c>
      <c r="N115" s="462"/>
      <c r="O115" s="462"/>
      <c r="P115" s="180"/>
      <c r="Q115" s="166"/>
      <c r="R115" s="166"/>
      <c r="S115" s="166" t="e">
        <f t="shared" si="61"/>
        <v>#N/A</v>
      </c>
      <c r="T115" s="506"/>
      <c r="U115" s="180"/>
      <c r="V115" s="166"/>
      <c r="W115" s="166"/>
      <c r="X115" s="166" t="e">
        <f t="shared" si="62"/>
        <v>#N/A</v>
      </c>
      <c r="Y115" s="486"/>
      <c r="Z115" s="180"/>
      <c r="AA115" s="166"/>
      <c r="AB115" s="166"/>
      <c r="AC115" s="166" t="e">
        <f t="shared" si="63"/>
        <v>#N/A</v>
      </c>
      <c r="AD115" s="486"/>
      <c r="AE115" s="180"/>
      <c r="AF115" s="166"/>
      <c r="AG115" s="166"/>
      <c r="AH115" s="166" t="e">
        <f t="shared" si="64"/>
        <v>#N/A</v>
      </c>
      <c r="AI115" s="486"/>
      <c r="AJ115" s="180"/>
      <c r="AK115" s="166"/>
      <c r="AL115" s="166"/>
      <c r="AM115" s="166" t="e">
        <f t="shared" si="65"/>
        <v>#N/A</v>
      </c>
      <c r="AN115" s="486"/>
      <c r="AO115" s="180"/>
      <c r="AP115" s="166"/>
      <c r="AQ115" s="166"/>
      <c r="AR115" s="166" t="e">
        <f t="shared" si="66"/>
        <v>#N/A</v>
      </c>
      <c r="AS115" s="506"/>
      <c r="AT115" s="166"/>
      <c r="AU115" s="166"/>
      <c r="AV115" s="166"/>
      <c r="AW115" s="180" t="e">
        <f t="shared" si="67"/>
        <v>#N/A</v>
      </c>
      <c r="AX115" s="525"/>
    </row>
    <row r="116" spans="2:50">
      <c r="B116" s="479"/>
      <c r="C116" s="180">
        <v>10</v>
      </c>
      <c r="D116" s="201"/>
      <c r="E116" s="166"/>
      <c r="F116" s="180"/>
      <c r="G116" s="265"/>
      <c r="H116" s="460"/>
      <c r="I116" s="166"/>
      <c r="J116" s="166"/>
      <c r="K116" s="265"/>
      <c r="L116" s="460"/>
      <c r="M116" s="166" t="e">
        <f>RANK(K116, K$67:$K$81)</f>
        <v>#N/A</v>
      </c>
      <c r="N116" s="462"/>
      <c r="O116" s="462"/>
      <c r="P116" s="180"/>
      <c r="Q116" s="166"/>
      <c r="R116" s="166"/>
      <c r="S116" s="166" t="e">
        <f t="shared" si="61"/>
        <v>#N/A</v>
      </c>
      <c r="T116" s="506"/>
      <c r="U116" s="180"/>
      <c r="V116" s="166"/>
      <c r="W116" s="166"/>
      <c r="X116" s="166" t="e">
        <f t="shared" si="62"/>
        <v>#N/A</v>
      </c>
      <c r="Y116" s="486"/>
      <c r="Z116" s="180"/>
      <c r="AA116" s="166"/>
      <c r="AB116" s="166"/>
      <c r="AC116" s="166" t="e">
        <f t="shared" si="63"/>
        <v>#N/A</v>
      </c>
      <c r="AD116" s="486"/>
      <c r="AE116" s="180"/>
      <c r="AF116" s="166"/>
      <c r="AG116" s="166"/>
      <c r="AH116" s="166" t="e">
        <f t="shared" si="64"/>
        <v>#N/A</v>
      </c>
      <c r="AI116" s="486"/>
      <c r="AJ116" s="180"/>
      <c r="AK116" s="166"/>
      <c r="AL116" s="166"/>
      <c r="AM116" s="166" t="e">
        <f t="shared" si="65"/>
        <v>#N/A</v>
      </c>
      <c r="AN116" s="486"/>
      <c r="AO116" s="180"/>
      <c r="AP116" s="166"/>
      <c r="AQ116" s="166"/>
      <c r="AR116" s="166" t="e">
        <f t="shared" si="66"/>
        <v>#N/A</v>
      </c>
      <c r="AS116" s="506"/>
      <c r="AT116" s="166"/>
      <c r="AU116" s="166"/>
      <c r="AV116" s="166"/>
      <c r="AW116" s="180" t="e">
        <f t="shared" si="67"/>
        <v>#N/A</v>
      </c>
      <c r="AX116" s="525"/>
    </row>
    <row r="117" spans="2:50">
      <c r="B117" s="479"/>
      <c r="C117" s="180">
        <v>11</v>
      </c>
      <c r="D117" s="201"/>
      <c r="E117" s="166"/>
      <c r="F117" s="180"/>
      <c r="G117" s="265"/>
      <c r="H117" s="460"/>
      <c r="I117" s="166"/>
      <c r="J117" s="166"/>
      <c r="K117" s="265"/>
      <c r="L117" s="460"/>
      <c r="M117" s="166" t="e">
        <f>RANK(K117, K$67:$K$81)</f>
        <v>#N/A</v>
      </c>
      <c r="N117" s="462"/>
      <c r="O117" s="462"/>
      <c r="P117" s="180"/>
      <c r="Q117" s="166"/>
      <c r="R117" s="166"/>
      <c r="S117" s="166" t="e">
        <f t="shared" si="61"/>
        <v>#N/A</v>
      </c>
      <c r="T117" s="506"/>
      <c r="U117" s="180"/>
      <c r="V117" s="166"/>
      <c r="W117" s="166"/>
      <c r="X117" s="166" t="e">
        <f t="shared" si="62"/>
        <v>#N/A</v>
      </c>
      <c r="Y117" s="486"/>
      <c r="Z117" s="180"/>
      <c r="AA117" s="166"/>
      <c r="AB117" s="166"/>
      <c r="AC117" s="166" t="e">
        <f t="shared" si="63"/>
        <v>#N/A</v>
      </c>
      <c r="AD117" s="486"/>
      <c r="AE117" s="180"/>
      <c r="AF117" s="166"/>
      <c r="AG117" s="166"/>
      <c r="AH117" s="166" t="e">
        <f t="shared" si="64"/>
        <v>#N/A</v>
      </c>
      <c r="AI117" s="486"/>
      <c r="AJ117" s="180"/>
      <c r="AK117" s="166"/>
      <c r="AL117" s="166"/>
      <c r="AM117" s="166" t="e">
        <f t="shared" si="65"/>
        <v>#N/A</v>
      </c>
      <c r="AN117" s="486"/>
      <c r="AO117" s="180"/>
      <c r="AP117" s="166"/>
      <c r="AQ117" s="166"/>
      <c r="AR117" s="166" t="e">
        <f t="shared" si="66"/>
        <v>#N/A</v>
      </c>
      <c r="AS117" s="506"/>
      <c r="AT117" s="166"/>
      <c r="AU117" s="166"/>
      <c r="AV117" s="166"/>
      <c r="AW117" s="180" t="e">
        <f t="shared" si="67"/>
        <v>#N/A</v>
      </c>
      <c r="AX117" s="525"/>
    </row>
    <row r="118" spans="2:50">
      <c r="B118" s="479"/>
      <c r="C118" s="180">
        <v>12</v>
      </c>
      <c r="D118" s="201"/>
      <c r="E118" s="166"/>
      <c r="F118" s="180"/>
      <c r="G118" s="265"/>
      <c r="H118" s="460"/>
      <c r="I118" s="166"/>
      <c r="J118" s="166"/>
      <c r="K118" s="265"/>
      <c r="L118" s="460"/>
      <c r="M118" s="166" t="e">
        <f>RANK(K118, K$67:$K$81)</f>
        <v>#N/A</v>
      </c>
      <c r="N118" s="462"/>
      <c r="O118" s="462"/>
      <c r="P118" s="180"/>
      <c r="Q118" s="166"/>
      <c r="R118" s="166"/>
      <c r="S118" s="166" t="e">
        <f t="shared" si="61"/>
        <v>#N/A</v>
      </c>
      <c r="T118" s="506"/>
      <c r="U118" s="180"/>
      <c r="V118" s="166"/>
      <c r="W118" s="166"/>
      <c r="X118" s="166" t="e">
        <f t="shared" si="62"/>
        <v>#N/A</v>
      </c>
      <c r="Y118" s="486"/>
      <c r="Z118" s="180"/>
      <c r="AA118" s="166"/>
      <c r="AB118" s="166"/>
      <c r="AC118" s="166" t="e">
        <f t="shared" si="63"/>
        <v>#N/A</v>
      </c>
      <c r="AD118" s="486"/>
      <c r="AE118" s="180"/>
      <c r="AF118" s="166"/>
      <c r="AG118" s="166"/>
      <c r="AH118" s="166" t="e">
        <f t="shared" si="64"/>
        <v>#N/A</v>
      </c>
      <c r="AI118" s="486"/>
      <c r="AJ118" s="180"/>
      <c r="AK118" s="166"/>
      <c r="AL118" s="166"/>
      <c r="AM118" s="166" t="e">
        <f t="shared" si="65"/>
        <v>#N/A</v>
      </c>
      <c r="AN118" s="486"/>
      <c r="AO118" s="180"/>
      <c r="AP118" s="166"/>
      <c r="AQ118" s="166"/>
      <c r="AR118" s="166" t="e">
        <f t="shared" si="66"/>
        <v>#N/A</v>
      </c>
      <c r="AS118" s="506"/>
      <c r="AT118" s="166"/>
      <c r="AU118" s="166"/>
      <c r="AV118" s="166"/>
      <c r="AW118" s="180" t="e">
        <f t="shared" si="67"/>
        <v>#N/A</v>
      </c>
      <c r="AX118" s="525"/>
    </row>
    <row r="119" spans="2:50">
      <c r="B119" s="479"/>
      <c r="C119" s="180">
        <v>13</v>
      </c>
      <c r="D119" s="201"/>
      <c r="E119" s="166"/>
      <c r="F119" s="180"/>
      <c r="G119" s="265"/>
      <c r="H119" s="460"/>
      <c r="I119" s="180"/>
      <c r="J119" s="180"/>
      <c r="K119" s="180"/>
      <c r="L119" s="460"/>
      <c r="M119" s="166" t="e">
        <f>RANK(K119, K$67:$K$81)</f>
        <v>#N/A</v>
      </c>
      <c r="N119" s="462"/>
      <c r="O119" s="462"/>
      <c r="P119" s="180"/>
      <c r="Q119" s="166"/>
      <c r="R119" s="166"/>
      <c r="S119" s="166" t="e">
        <f t="shared" si="61"/>
        <v>#N/A</v>
      </c>
      <c r="T119" s="506"/>
      <c r="U119" s="180"/>
      <c r="V119" s="166"/>
      <c r="W119" s="166"/>
      <c r="X119" s="166" t="e">
        <f t="shared" si="62"/>
        <v>#N/A</v>
      </c>
      <c r="Y119" s="486"/>
      <c r="Z119" s="180"/>
      <c r="AA119" s="166"/>
      <c r="AB119" s="166"/>
      <c r="AC119" s="265" t="e">
        <f t="shared" si="63"/>
        <v>#N/A</v>
      </c>
      <c r="AD119" s="486"/>
      <c r="AE119" s="180"/>
      <c r="AF119" s="166"/>
      <c r="AG119" s="166"/>
      <c r="AH119" s="166" t="e">
        <f t="shared" si="64"/>
        <v>#N/A</v>
      </c>
      <c r="AI119" s="486"/>
      <c r="AJ119" s="180"/>
      <c r="AK119" s="166"/>
      <c r="AL119" s="166"/>
      <c r="AM119" s="166" t="e">
        <f t="shared" si="65"/>
        <v>#N/A</v>
      </c>
      <c r="AN119" s="486"/>
      <c r="AO119" s="180"/>
      <c r="AP119" s="166"/>
      <c r="AQ119" s="166"/>
      <c r="AR119" s="265" t="e">
        <f t="shared" si="66"/>
        <v>#N/A</v>
      </c>
      <c r="AS119" s="506"/>
      <c r="AT119" s="166"/>
      <c r="AU119" s="166"/>
      <c r="AV119" s="166"/>
      <c r="AW119" s="180" t="e">
        <f t="shared" si="67"/>
        <v>#N/A</v>
      </c>
      <c r="AX119" s="525"/>
    </row>
    <row r="120" spans="2:50">
      <c r="B120" s="479"/>
      <c r="C120" s="180">
        <v>14</v>
      </c>
      <c r="D120" s="201"/>
      <c r="E120" s="166"/>
      <c r="F120" s="180"/>
      <c r="G120" s="265"/>
      <c r="H120" s="460"/>
      <c r="I120" s="180"/>
      <c r="J120" s="180"/>
      <c r="K120" s="180"/>
      <c r="L120" s="460"/>
      <c r="M120" s="166" t="e">
        <f>RANK(K120, K$67:$K$81)</f>
        <v>#N/A</v>
      </c>
      <c r="N120" s="462"/>
      <c r="O120" s="462"/>
      <c r="P120" s="180"/>
      <c r="Q120" s="166"/>
      <c r="R120" s="166"/>
      <c r="S120" s="166" t="e">
        <f t="shared" si="61"/>
        <v>#N/A</v>
      </c>
      <c r="T120" s="506"/>
      <c r="U120" s="180"/>
      <c r="V120" s="166"/>
      <c r="W120" s="166"/>
      <c r="X120" s="166" t="e">
        <f t="shared" si="62"/>
        <v>#N/A</v>
      </c>
      <c r="Y120" s="486"/>
      <c r="Z120" s="180"/>
      <c r="AA120" s="166"/>
      <c r="AB120" s="166"/>
      <c r="AC120" s="265" t="e">
        <f t="shared" si="63"/>
        <v>#N/A</v>
      </c>
      <c r="AD120" s="486"/>
      <c r="AE120" s="180"/>
      <c r="AF120" s="166"/>
      <c r="AG120" s="166"/>
      <c r="AH120" s="265" t="e">
        <f t="shared" si="64"/>
        <v>#N/A</v>
      </c>
      <c r="AI120" s="486"/>
      <c r="AJ120" s="180"/>
      <c r="AK120" s="166"/>
      <c r="AL120" s="166"/>
      <c r="AM120" s="265" t="e">
        <f t="shared" si="65"/>
        <v>#N/A</v>
      </c>
      <c r="AN120" s="486"/>
      <c r="AO120" s="180"/>
      <c r="AP120" s="166"/>
      <c r="AQ120" s="166"/>
      <c r="AR120" s="265" t="e">
        <f t="shared" si="66"/>
        <v>#N/A</v>
      </c>
      <c r="AS120" s="506"/>
      <c r="AT120" s="166"/>
      <c r="AU120" s="166"/>
      <c r="AV120" s="166"/>
      <c r="AW120" s="180" t="e">
        <f t="shared" si="67"/>
        <v>#N/A</v>
      </c>
      <c r="AX120" s="525"/>
    </row>
    <row r="121" spans="2:50">
      <c r="B121" s="479"/>
      <c r="C121" s="180">
        <v>15</v>
      </c>
      <c r="D121" s="201"/>
      <c r="E121" s="166"/>
      <c r="F121" s="180"/>
      <c r="G121" s="265"/>
      <c r="H121" s="461"/>
      <c r="I121" s="180"/>
      <c r="J121" s="180"/>
      <c r="K121" s="180"/>
      <c r="L121" s="461"/>
      <c r="M121" s="166" t="e">
        <f>RANK(K121, K$67:$K$81)</f>
        <v>#N/A</v>
      </c>
      <c r="N121" s="462"/>
      <c r="O121" s="462"/>
      <c r="P121" s="180"/>
      <c r="Q121" s="166"/>
      <c r="R121" s="166"/>
      <c r="S121" s="166" t="e">
        <f t="shared" si="61"/>
        <v>#N/A</v>
      </c>
      <c r="T121" s="506"/>
      <c r="U121" s="180"/>
      <c r="V121" s="166"/>
      <c r="W121" s="166"/>
      <c r="X121" s="265" t="e">
        <f t="shared" si="62"/>
        <v>#N/A</v>
      </c>
      <c r="Y121" s="486"/>
      <c r="Z121" s="180"/>
      <c r="AA121" s="166"/>
      <c r="AB121" s="166"/>
      <c r="AC121" s="265" t="e">
        <f t="shared" si="63"/>
        <v>#N/A</v>
      </c>
      <c r="AD121" s="486"/>
      <c r="AE121" s="180"/>
      <c r="AF121" s="166"/>
      <c r="AG121" s="166"/>
      <c r="AH121" s="265" t="e">
        <f t="shared" si="64"/>
        <v>#N/A</v>
      </c>
      <c r="AI121" s="486"/>
      <c r="AJ121" s="180"/>
      <c r="AK121" s="166"/>
      <c r="AL121" s="166"/>
      <c r="AM121" s="265" t="e">
        <f t="shared" si="65"/>
        <v>#N/A</v>
      </c>
      <c r="AN121" s="486"/>
      <c r="AO121" s="180"/>
      <c r="AP121" s="166"/>
      <c r="AQ121" s="166"/>
      <c r="AR121" s="265" t="e">
        <f t="shared" si="66"/>
        <v>#N/A</v>
      </c>
      <c r="AS121" s="506"/>
      <c r="AT121" s="166"/>
      <c r="AU121" s="166"/>
      <c r="AV121" s="166"/>
      <c r="AW121" s="180" t="e">
        <f t="shared" si="67"/>
        <v>#N/A</v>
      </c>
      <c r="AX121" s="525"/>
    </row>
    <row r="123" spans="2:50" ht="15.75">
      <c r="B123" s="502" t="s">
        <v>746</v>
      </c>
      <c r="C123" s="503"/>
      <c r="D123" s="503"/>
      <c r="E123" s="503"/>
      <c r="F123" s="503"/>
      <c r="G123" s="503"/>
      <c r="H123" s="503"/>
      <c r="I123" s="266"/>
      <c r="J123" s="266"/>
      <c r="K123" s="266"/>
      <c r="L123" s="266"/>
      <c r="M123" s="267"/>
    </row>
    <row r="124" spans="2:50" ht="15.75">
      <c r="B124" s="504"/>
      <c r="C124" s="504"/>
      <c r="D124" s="504"/>
      <c r="E124" s="504"/>
      <c r="F124" s="504"/>
      <c r="G124" s="504"/>
      <c r="H124" s="504"/>
      <c r="I124" s="268"/>
      <c r="J124" s="268"/>
      <c r="K124" s="268"/>
      <c r="L124" s="268"/>
      <c r="M124" s="269"/>
    </row>
    <row r="125" spans="2:50">
      <c r="B125" s="462" t="s">
        <v>731</v>
      </c>
      <c r="C125" s="462" t="s">
        <v>732</v>
      </c>
      <c r="D125" s="462"/>
      <c r="E125" s="462" t="s">
        <v>733</v>
      </c>
      <c r="F125" s="462"/>
      <c r="G125" s="462"/>
      <c r="H125" s="463" t="s">
        <v>734</v>
      </c>
      <c r="I125" s="505" t="s">
        <v>735</v>
      </c>
      <c r="J125" s="505"/>
      <c r="K125" s="505"/>
      <c r="L125" s="519" t="s">
        <v>734</v>
      </c>
      <c r="M125" s="522" t="s">
        <v>736</v>
      </c>
    </row>
    <row r="126" spans="2:50">
      <c r="B126" s="462"/>
      <c r="C126" s="462"/>
      <c r="D126" s="462"/>
      <c r="E126" s="462" t="s">
        <v>739</v>
      </c>
      <c r="F126" s="462"/>
      <c r="G126" s="462"/>
      <c r="H126" s="464"/>
      <c r="I126" s="505" t="s">
        <v>739</v>
      </c>
      <c r="J126" s="505"/>
      <c r="K126" s="505"/>
      <c r="L126" s="520"/>
      <c r="M126" s="523"/>
    </row>
    <row r="127" spans="2:50">
      <c r="B127" s="462"/>
      <c r="C127" s="462"/>
      <c r="D127" s="462"/>
      <c r="E127" s="264" t="s">
        <v>741</v>
      </c>
      <c r="F127" s="264" t="s">
        <v>742</v>
      </c>
      <c r="G127" s="264" t="s">
        <v>743</v>
      </c>
      <c r="H127" s="465"/>
      <c r="I127" s="270" t="s">
        <v>741</v>
      </c>
      <c r="J127" s="270" t="s">
        <v>742</v>
      </c>
      <c r="K127" s="270" t="s">
        <v>743</v>
      </c>
      <c r="L127" s="521"/>
      <c r="M127" s="524"/>
    </row>
    <row r="128" spans="2:50">
      <c r="B128" s="462" t="s">
        <v>756</v>
      </c>
      <c r="C128" s="180">
        <v>1</v>
      </c>
      <c r="D128" s="201"/>
      <c r="E128" s="166"/>
      <c r="F128" s="180"/>
      <c r="G128" s="265"/>
      <c r="H128" s="459" t="e">
        <f>AVERAGE(G128:G142)</f>
        <v>#DIV/0!</v>
      </c>
      <c r="I128" s="166" t="e">
        <f t="shared" ref="I128:K137" si="68">AVERAGEIF($D$7:$D$121,$D128,I$7:I$121)</f>
        <v>#DIV/0!</v>
      </c>
      <c r="J128" s="166" t="e">
        <f t="shared" si="68"/>
        <v>#DIV/0!</v>
      </c>
      <c r="K128" s="166" t="e">
        <f t="shared" si="68"/>
        <v>#DIV/0!</v>
      </c>
      <c r="L128" s="516" t="e">
        <f>AVERAGE(K128:K142)</f>
        <v>#DIV/0!</v>
      </c>
      <c r="M128" s="166" t="e">
        <f>RANK(K128, K$128:$K$142)</f>
        <v>#DIV/0!</v>
      </c>
    </row>
    <row r="129" spans="2:13" s="103" customFormat="1">
      <c r="B129" s="479"/>
      <c r="C129" s="180">
        <v>2</v>
      </c>
      <c r="D129" s="201"/>
      <c r="E129" s="166"/>
      <c r="F129" s="180"/>
      <c r="G129" s="265"/>
      <c r="H129" s="460"/>
      <c r="I129" s="166" t="e">
        <f t="shared" si="68"/>
        <v>#DIV/0!</v>
      </c>
      <c r="J129" s="166" t="e">
        <f t="shared" si="68"/>
        <v>#DIV/0!</v>
      </c>
      <c r="K129" s="166" t="e">
        <f t="shared" si="68"/>
        <v>#DIV/0!</v>
      </c>
      <c r="L129" s="517"/>
      <c r="M129" s="166" t="e">
        <f>RANK(K129, K$128:$K$142)</f>
        <v>#DIV/0!</v>
      </c>
    </row>
    <row r="130" spans="2:13" s="103" customFormat="1">
      <c r="B130" s="479"/>
      <c r="C130" s="180">
        <v>3</v>
      </c>
      <c r="D130" s="201"/>
      <c r="E130" s="166"/>
      <c r="F130" s="180"/>
      <c r="G130" s="265"/>
      <c r="H130" s="460"/>
      <c r="I130" s="166" t="e">
        <f t="shared" si="68"/>
        <v>#DIV/0!</v>
      </c>
      <c r="J130" s="166" t="e">
        <f t="shared" si="68"/>
        <v>#DIV/0!</v>
      </c>
      <c r="K130" s="166" t="e">
        <f t="shared" si="68"/>
        <v>#DIV/0!</v>
      </c>
      <c r="L130" s="517"/>
      <c r="M130" s="166" t="e">
        <f>RANK(K130, K$128:$K$142)</f>
        <v>#DIV/0!</v>
      </c>
    </row>
    <row r="131" spans="2:13" s="103" customFormat="1">
      <c r="B131" s="479"/>
      <c r="C131" s="180">
        <v>4</v>
      </c>
      <c r="D131" s="201"/>
      <c r="E131" s="166"/>
      <c r="F131" s="180"/>
      <c r="G131" s="265"/>
      <c r="H131" s="460"/>
      <c r="I131" s="166" t="e">
        <f t="shared" si="68"/>
        <v>#DIV/0!</v>
      </c>
      <c r="J131" s="166" t="e">
        <f t="shared" si="68"/>
        <v>#DIV/0!</v>
      </c>
      <c r="K131" s="166" t="e">
        <f t="shared" si="68"/>
        <v>#DIV/0!</v>
      </c>
      <c r="L131" s="517"/>
      <c r="M131" s="166" t="e">
        <f>RANK(K131, K$128:$K$142)</f>
        <v>#DIV/0!</v>
      </c>
    </row>
    <row r="132" spans="2:13" s="103" customFormat="1">
      <c r="B132" s="479"/>
      <c r="C132" s="180">
        <v>5</v>
      </c>
      <c r="D132" s="201"/>
      <c r="E132" s="166"/>
      <c r="F132" s="180"/>
      <c r="G132" s="265"/>
      <c r="H132" s="460"/>
      <c r="I132" s="166" t="e">
        <f t="shared" si="68"/>
        <v>#DIV/0!</v>
      </c>
      <c r="J132" s="166" t="e">
        <f t="shared" si="68"/>
        <v>#DIV/0!</v>
      </c>
      <c r="K132" s="166" t="e">
        <f t="shared" si="68"/>
        <v>#DIV/0!</v>
      </c>
      <c r="L132" s="517"/>
      <c r="M132" s="166" t="e">
        <f>RANK(K132, K$128:$K$142)</f>
        <v>#DIV/0!</v>
      </c>
    </row>
    <row r="133" spans="2:13" s="103" customFormat="1">
      <c r="B133" s="479"/>
      <c r="C133" s="180">
        <v>6</v>
      </c>
      <c r="D133" s="271"/>
      <c r="E133" s="166"/>
      <c r="F133" s="180"/>
      <c r="G133" s="265"/>
      <c r="H133" s="460"/>
      <c r="I133" s="166" t="e">
        <f t="shared" si="68"/>
        <v>#DIV/0!</v>
      </c>
      <c r="J133" s="166" t="e">
        <f t="shared" si="68"/>
        <v>#DIV/0!</v>
      </c>
      <c r="K133" s="166" t="e">
        <f t="shared" si="68"/>
        <v>#DIV/0!</v>
      </c>
      <c r="L133" s="517"/>
      <c r="M133" s="166" t="e">
        <f>RANK(K133, K$128:$K$142)</f>
        <v>#DIV/0!</v>
      </c>
    </row>
    <row r="134" spans="2:13" s="103" customFormat="1">
      <c r="B134" s="479"/>
      <c r="C134" s="180">
        <v>7</v>
      </c>
      <c r="D134" s="201"/>
      <c r="E134" s="166"/>
      <c r="F134" s="180"/>
      <c r="G134" s="265"/>
      <c r="H134" s="460"/>
      <c r="I134" s="166" t="e">
        <f t="shared" si="68"/>
        <v>#DIV/0!</v>
      </c>
      <c r="J134" s="166" t="e">
        <f t="shared" si="68"/>
        <v>#DIV/0!</v>
      </c>
      <c r="K134" s="166" t="e">
        <f t="shared" si="68"/>
        <v>#DIV/0!</v>
      </c>
      <c r="L134" s="517"/>
      <c r="M134" s="166" t="e">
        <f>RANK(K134, K$128:$K$142)</f>
        <v>#DIV/0!</v>
      </c>
    </row>
    <row r="135" spans="2:13" s="103" customFormat="1">
      <c r="B135" s="479"/>
      <c r="C135" s="180">
        <v>8</v>
      </c>
      <c r="D135" s="201"/>
      <c r="E135" s="166"/>
      <c r="F135" s="180"/>
      <c r="G135" s="265"/>
      <c r="H135" s="460"/>
      <c r="I135" s="166" t="e">
        <f t="shared" si="68"/>
        <v>#DIV/0!</v>
      </c>
      <c r="J135" s="166" t="e">
        <f t="shared" si="68"/>
        <v>#DIV/0!</v>
      </c>
      <c r="K135" s="166" t="e">
        <f t="shared" si="68"/>
        <v>#DIV/0!</v>
      </c>
      <c r="L135" s="517"/>
      <c r="M135" s="166" t="e">
        <f>RANK(K135, K$128:$K$142)</f>
        <v>#DIV/0!</v>
      </c>
    </row>
    <row r="136" spans="2:13" s="103" customFormat="1">
      <c r="B136" s="479"/>
      <c r="C136" s="180">
        <v>9</v>
      </c>
      <c r="D136" s="201"/>
      <c r="E136" s="180"/>
      <c r="F136" s="180"/>
      <c r="G136" s="180"/>
      <c r="H136" s="460"/>
      <c r="I136" s="166" t="e">
        <f t="shared" si="68"/>
        <v>#DIV/0!</v>
      </c>
      <c r="J136" s="166" t="e">
        <f t="shared" si="68"/>
        <v>#DIV/0!</v>
      </c>
      <c r="K136" s="166" t="e">
        <f t="shared" si="68"/>
        <v>#DIV/0!</v>
      </c>
      <c r="L136" s="517"/>
      <c r="M136" s="166" t="e">
        <f>RANK(K136, K$128:$K$142)</f>
        <v>#DIV/0!</v>
      </c>
    </row>
    <row r="137" spans="2:13" s="103" customFormat="1">
      <c r="B137" s="479"/>
      <c r="C137" s="180">
        <v>10</v>
      </c>
      <c r="D137" s="201"/>
      <c r="E137" s="180"/>
      <c r="F137" s="180"/>
      <c r="G137" s="180"/>
      <c r="H137" s="460"/>
      <c r="I137" s="166" t="e">
        <f t="shared" si="68"/>
        <v>#DIV/0!</v>
      </c>
      <c r="J137" s="166" t="e">
        <f t="shared" si="68"/>
        <v>#DIV/0!</v>
      </c>
      <c r="K137" s="166" t="e">
        <f t="shared" si="68"/>
        <v>#DIV/0!</v>
      </c>
      <c r="L137" s="517"/>
      <c r="M137" s="166" t="e">
        <f>RANK(K137, K$128:$K$142)</f>
        <v>#DIV/0!</v>
      </c>
    </row>
    <row r="138" spans="2:13" s="103" customFormat="1">
      <c r="B138" s="479"/>
      <c r="C138" s="180">
        <v>11</v>
      </c>
      <c r="D138" s="201"/>
      <c r="E138" s="180"/>
      <c r="F138" s="180"/>
      <c r="G138" s="180"/>
      <c r="H138" s="460"/>
      <c r="I138" s="166"/>
      <c r="J138" s="166"/>
      <c r="K138" s="166"/>
      <c r="L138" s="517"/>
      <c r="M138" s="166" t="e">
        <f>RANK(K138, K$128:$K$142)</f>
        <v>#DIV/0!</v>
      </c>
    </row>
    <row r="139" spans="2:13" s="103" customFormat="1">
      <c r="B139" s="479"/>
      <c r="C139" s="180">
        <v>12</v>
      </c>
      <c r="D139" s="201"/>
      <c r="E139" s="180"/>
      <c r="F139" s="180"/>
      <c r="G139" s="180"/>
      <c r="H139" s="460"/>
      <c r="I139" s="166"/>
      <c r="J139" s="166"/>
      <c r="K139" s="166"/>
      <c r="L139" s="517"/>
      <c r="M139" s="166" t="e">
        <f>RANK(K139, K$128:$K$142)</f>
        <v>#DIV/0!</v>
      </c>
    </row>
    <row r="140" spans="2:13" s="103" customFormat="1">
      <c r="B140" s="479"/>
      <c r="C140" s="180">
        <v>13</v>
      </c>
      <c r="D140" s="201"/>
      <c r="E140" s="180"/>
      <c r="F140" s="180"/>
      <c r="G140" s="180"/>
      <c r="H140" s="460"/>
      <c r="I140" s="166"/>
      <c r="J140" s="166"/>
      <c r="K140" s="166"/>
      <c r="L140" s="517"/>
      <c r="M140" s="166" t="e">
        <f>RANK(K140, K$128:$K$142)</f>
        <v>#DIV/0!</v>
      </c>
    </row>
    <row r="141" spans="2:13" s="103" customFormat="1">
      <c r="B141" s="479"/>
      <c r="C141" s="180">
        <v>14</v>
      </c>
      <c r="D141" s="201"/>
      <c r="E141" s="180"/>
      <c r="F141" s="180"/>
      <c r="G141" s="180"/>
      <c r="H141" s="460"/>
      <c r="I141" s="166"/>
      <c r="J141" s="166"/>
      <c r="K141" s="166"/>
      <c r="L141" s="517"/>
      <c r="M141" s="166" t="e">
        <f>RANK(K141, K$128:$K$142)</f>
        <v>#DIV/0!</v>
      </c>
    </row>
    <row r="142" spans="2:13" s="103" customFormat="1">
      <c r="B142" s="479"/>
      <c r="C142" s="180">
        <v>15</v>
      </c>
      <c r="D142" s="201"/>
      <c r="E142" s="180"/>
      <c r="F142" s="180"/>
      <c r="G142" s="180"/>
      <c r="H142" s="461"/>
      <c r="I142" s="166"/>
      <c r="J142" s="166"/>
      <c r="K142" s="166"/>
      <c r="L142" s="518"/>
      <c r="M142" s="166" t="e">
        <f>RANK(K142, K$128:$K$142)</f>
        <v>#DIV/0!</v>
      </c>
    </row>
  </sheetData>
  <mergeCells count="367">
    <mergeCell ref="B128:B142"/>
    <mergeCell ref="H128:H142"/>
    <mergeCell ref="L128:L142"/>
    <mergeCell ref="AX107:AX121"/>
    <mergeCell ref="B123:H124"/>
    <mergeCell ref="B125:B127"/>
    <mergeCell ref="C125:D127"/>
    <mergeCell ref="E125:G125"/>
    <mergeCell ref="H125:H127"/>
    <mergeCell ref="I125:K125"/>
    <mergeCell ref="L125:L127"/>
    <mergeCell ref="M125:M127"/>
    <mergeCell ref="E126:G126"/>
    <mergeCell ref="I126:K126"/>
    <mergeCell ref="B107:B121"/>
    <mergeCell ref="H107:H121"/>
    <mergeCell ref="L107:L121"/>
    <mergeCell ref="T107:T121"/>
    <mergeCell ref="Y107:Y121"/>
    <mergeCell ref="AD107:AD121"/>
    <mergeCell ref="AI107:AI121"/>
    <mergeCell ref="AN107:AN121"/>
    <mergeCell ref="AS107:AS121"/>
    <mergeCell ref="AI104:AI106"/>
    <mergeCell ref="AJ104:AM104"/>
    <mergeCell ref="AN104:AN106"/>
    <mergeCell ref="AO104:AR104"/>
    <mergeCell ref="AS104:AS106"/>
    <mergeCell ref="AT104:AW104"/>
    <mergeCell ref="AX104:AX106"/>
    <mergeCell ref="E105:G105"/>
    <mergeCell ref="I105:K105"/>
    <mergeCell ref="P105:S105"/>
    <mergeCell ref="U105:X105"/>
    <mergeCell ref="Z105:AC105"/>
    <mergeCell ref="AE105:AH105"/>
    <mergeCell ref="AJ105:AM105"/>
    <mergeCell ref="AO105:AR105"/>
    <mergeCell ref="AT105:AW105"/>
    <mergeCell ref="AT102:AX102"/>
    <mergeCell ref="P103:T103"/>
    <mergeCell ref="U103:Y103"/>
    <mergeCell ref="Z103:AD103"/>
    <mergeCell ref="AE103:AI103"/>
    <mergeCell ref="AJ103:AN103"/>
    <mergeCell ref="AO103:AS103"/>
    <mergeCell ref="AT103:AX103"/>
    <mergeCell ref="B104:B106"/>
    <mergeCell ref="C104:D106"/>
    <mergeCell ref="E104:G104"/>
    <mergeCell ref="H104:H106"/>
    <mergeCell ref="I104:K104"/>
    <mergeCell ref="L104:L106"/>
    <mergeCell ref="M104:M106"/>
    <mergeCell ref="N104:N121"/>
    <mergeCell ref="O104:O121"/>
    <mergeCell ref="P104:S104"/>
    <mergeCell ref="T104:T106"/>
    <mergeCell ref="U104:X104"/>
    <mergeCell ref="Y104:Y106"/>
    <mergeCell ref="Z104:AC104"/>
    <mergeCell ref="AD104:AD106"/>
    <mergeCell ref="AE104:AH104"/>
    <mergeCell ref="B102:H103"/>
    <mergeCell ref="N102:N103"/>
    <mergeCell ref="O102:O103"/>
    <mergeCell ref="P102:T102"/>
    <mergeCell ref="U102:Y102"/>
    <mergeCell ref="Z102:AD102"/>
    <mergeCell ref="AE102:AI102"/>
    <mergeCell ref="AJ102:AN102"/>
    <mergeCell ref="AO102:AS102"/>
    <mergeCell ref="AE2:AI2"/>
    <mergeCell ref="AJ2:AN2"/>
    <mergeCell ref="AO2:AS2"/>
    <mergeCell ref="AT2:AX2"/>
    <mergeCell ref="P3:T3"/>
    <mergeCell ref="U3:Y3"/>
    <mergeCell ref="Z3:AD3"/>
    <mergeCell ref="AE3:AI3"/>
    <mergeCell ref="AJ3:AN3"/>
    <mergeCell ref="AO3:AS3"/>
    <mergeCell ref="P2:T2"/>
    <mergeCell ref="U2:Y2"/>
    <mergeCell ref="Z2:AD2"/>
    <mergeCell ref="AT3:AX3"/>
    <mergeCell ref="B2:H3"/>
    <mergeCell ref="N2:N3"/>
    <mergeCell ref="O2:O3"/>
    <mergeCell ref="AT4:AW4"/>
    <mergeCell ref="AX4:AX6"/>
    <mergeCell ref="E5:G5"/>
    <mergeCell ref="I5:K5"/>
    <mergeCell ref="P5:S5"/>
    <mergeCell ref="U5:X5"/>
    <mergeCell ref="Z5:AC5"/>
    <mergeCell ref="AE5:AH5"/>
    <mergeCell ref="AJ5:AM5"/>
    <mergeCell ref="AO5:AR5"/>
    <mergeCell ref="AE4:AH4"/>
    <mergeCell ref="AI4:AI6"/>
    <mergeCell ref="AJ4:AM4"/>
    <mergeCell ref="AN4:AN6"/>
    <mergeCell ref="AO4:AR4"/>
    <mergeCell ref="AS4:AS6"/>
    <mergeCell ref="P4:S4"/>
    <mergeCell ref="T4:T6"/>
    <mergeCell ref="U4:X4"/>
    <mergeCell ref="Y4:Y6"/>
    <mergeCell ref="Z4:AC4"/>
    <mergeCell ref="AD4:AD6"/>
    <mergeCell ref="AT5:AW5"/>
    <mergeCell ref="B7:B21"/>
    <mergeCell ref="H7:H21"/>
    <mergeCell ref="L7:L21"/>
    <mergeCell ref="T7:T21"/>
    <mergeCell ref="Y7:Y21"/>
    <mergeCell ref="AD7:AD21"/>
    <mergeCell ref="AI7:AI21"/>
    <mergeCell ref="AN7:AN21"/>
    <mergeCell ref="AS7:AS21"/>
    <mergeCell ref="B4:B6"/>
    <mergeCell ref="C4:D6"/>
    <mergeCell ref="E4:G4"/>
    <mergeCell ref="H4:H6"/>
    <mergeCell ref="I4:K4"/>
    <mergeCell ref="L4:L6"/>
    <mergeCell ref="M4:M6"/>
    <mergeCell ref="N4:N21"/>
    <mergeCell ref="O4:O21"/>
    <mergeCell ref="B22:H23"/>
    <mergeCell ref="N22:N23"/>
    <mergeCell ref="O22:O23"/>
    <mergeCell ref="P22:T22"/>
    <mergeCell ref="U22:Y22"/>
    <mergeCell ref="Z22:AD22"/>
    <mergeCell ref="AE22:AI22"/>
    <mergeCell ref="AJ22:AN22"/>
    <mergeCell ref="AO22:AS22"/>
    <mergeCell ref="AT22:AX22"/>
    <mergeCell ref="P23:T23"/>
    <mergeCell ref="U23:Y23"/>
    <mergeCell ref="Z23:AD23"/>
    <mergeCell ref="AE23:AI23"/>
    <mergeCell ref="AJ23:AN23"/>
    <mergeCell ref="AO23:AS23"/>
    <mergeCell ref="AT23:AX23"/>
    <mergeCell ref="AX7:AX21"/>
    <mergeCell ref="AX24:AX26"/>
    <mergeCell ref="E25:G25"/>
    <mergeCell ref="I25:K25"/>
    <mergeCell ref="P25:S25"/>
    <mergeCell ref="U25:X25"/>
    <mergeCell ref="Z25:AC25"/>
    <mergeCell ref="Y24:Y26"/>
    <mergeCell ref="Z24:AC24"/>
    <mergeCell ref="AD24:AD26"/>
    <mergeCell ref="AE24:AH24"/>
    <mergeCell ref="AI24:AI26"/>
    <mergeCell ref="AJ24:AM24"/>
    <mergeCell ref="AE25:AH25"/>
    <mergeCell ref="AJ25:AM25"/>
    <mergeCell ref="M24:M26"/>
    <mergeCell ref="N24:N41"/>
    <mergeCell ref="O24:O41"/>
    <mergeCell ref="P24:S24"/>
    <mergeCell ref="T24:T26"/>
    <mergeCell ref="U24:X24"/>
    <mergeCell ref="E24:G24"/>
    <mergeCell ref="H24:H26"/>
    <mergeCell ref="I24:K24"/>
    <mergeCell ref="L24:L26"/>
    <mergeCell ref="AO25:AR25"/>
    <mergeCell ref="AT25:AW25"/>
    <mergeCell ref="B27:B41"/>
    <mergeCell ref="H27:H41"/>
    <mergeCell ref="L27:L41"/>
    <mergeCell ref="T27:T41"/>
    <mergeCell ref="Y27:Y41"/>
    <mergeCell ref="AD27:AD41"/>
    <mergeCell ref="AI27:AI41"/>
    <mergeCell ref="AN27:AN41"/>
    <mergeCell ref="AN24:AN26"/>
    <mergeCell ref="AO24:AR24"/>
    <mergeCell ref="AS24:AS26"/>
    <mergeCell ref="AT24:AW24"/>
    <mergeCell ref="B24:B26"/>
    <mergeCell ref="C24:D26"/>
    <mergeCell ref="AS27:AS41"/>
    <mergeCell ref="AX27:AX41"/>
    <mergeCell ref="B42:H43"/>
    <mergeCell ref="N42:N43"/>
    <mergeCell ref="O42:O43"/>
    <mergeCell ref="P42:T42"/>
    <mergeCell ref="U42:Y42"/>
    <mergeCell ref="Z42:AD42"/>
    <mergeCell ref="AE42:AI42"/>
    <mergeCell ref="AJ42:AN42"/>
    <mergeCell ref="AO42:AS42"/>
    <mergeCell ref="AT42:AX42"/>
    <mergeCell ref="P43:T43"/>
    <mergeCell ref="U43:Y43"/>
    <mergeCell ref="Z43:AD43"/>
    <mergeCell ref="AE43:AI43"/>
    <mergeCell ref="AJ43:AN43"/>
    <mergeCell ref="AO43:AS43"/>
    <mergeCell ref="AT43:AX43"/>
    <mergeCell ref="AX44:AX46"/>
    <mergeCell ref="E45:G45"/>
    <mergeCell ref="I45:K45"/>
    <mergeCell ref="P45:S45"/>
    <mergeCell ref="U45:X45"/>
    <mergeCell ref="Z45:AC45"/>
    <mergeCell ref="Y44:Y46"/>
    <mergeCell ref="Z44:AC44"/>
    <mergeCell ref="AD44:AD46"/>
    <mergeCell ref="AE44:AH44"/>
    <mergeCell ref="AI44:AI46"/>
    <mergeCell ref="AJ44:AM44"/>
    <mergeCell ref="AE45:AH45"/>
    <mergeCell ref="AJ45:AM45"/>
    <mergeCell ref="M44:M46"/>
    <mergeCell ref="N44:N61"/>
    <mergeCell ref="O44:O61"/>
    <mergeCell ref="P44:S44"/>
    <mergeCell ref="T44:T46"/>
    <mergeCell ref="U44:X44"/>
    <mergeCell ref="E44:G44"/>
    <mergeCell ref="H44:H46"/>
    <mergeCell ref="I44:K44"/>
    <mergeCell ref="L44:L46"/>
    <mergeCell ref="AO45:AR45"/>
    <mergeCell ref="AT45:AW45"/>
    <mergeCell ref="B47:B61"/>
    <mergeCell ref="H47:H61"/>
    <mergeCell ref="L47:L61"/>
    <mergeCell ref="T47:T61"/>
    <mergeCell ref="Y47:Y61"/>
    <mergeCell ref="AD47:AD61"/>
    <mergeCell ref="AI47:AI61"/>
    <mergeCell ref="AN47:AN61"/>
    <mergeCell ref="AN44:AN46"/>
    <mergeCell ref="AO44:AR44"/>
    <mergeCell ref="AS44:AS46"/>
    <mergeCell ref="AT44:AW44"/>
    <mergeCell ref="B44:B46"/>
    <mergeCell ref="C44:D46"/>
    <mergeCell ref="AS47:AS61"/>
    <mergeCell ref="AX47:AX61"/>
    <mergeCell ref="B62:H63"/>
    <mergeCell ref="N62:N63"/>
    <mergeCell ref="O62:O63"/>
    <mergeCell ref="P62:T62"/>
    <mergeCell ref="U62:Y62"/>
    <mergeCell ref="Z62:AD62"/>
    <mergeCell ref="AE62:AI62"/>
    <mergeCell ref="AJ62:AN62"/>
    <mergeCell ref="AO62:AS62"/>
    <mergeCell ref="AT62:AX62"/>
    <mergeCell ref="P63:T63"/>
    <mergeCell ref="U63:Y63"/>
    <mergeCell ref="Z63:AD63"/>
    <mergeCell ref="AE63:AI63"/>
    <mergeCell ref="AJ63:AN63"/>
    <mergeCell ref="AO63:AS63"/>
    <mergeCell ref="AT63:AX63"/>
    <mergeCell ref="AD87:AD101"/>
    <mergeCell ref="AI87:AI101"/>
    <mergeCell ref="B84:B86"/>
    <mergeCell ref="AX64:AX66"/>
    <mergeCell ref="E65:G65"/>
    <mergeCell ref="I65:K65"/>
    <mergeCell ref="P65:S65"/>
    <mergeCell ref="U65:X65"/>
    <mergeCell ref="Z65:AC65"/>
    <mergeCell ref="Y64:Y66"/>
    <mergeCell ref="Z64:AC64"/>
    <mergeCell ref="AD64:AD66"/>
    <mergeCell ref="AE64:AH64"/>
    <mergeCell ref="AI64:AI66"/>
    <mergeCell ref="AJ64:AM64"/>
    <mergeCell ref="AE65:AH65"/>
    <mergeCell ref="AJ65:AM65"/>
    <mergeCell ref="M64:M66"/>
    <mergeCell ref="N64:N81"/>
    <mergeCell ref="O64:O81"/>
    <mergeCell ref="P64:S64"/>
    <mergeCell ref="T64:T66"/>
    <mergeCell ref="U64:X64"/>
    <mergeCell ref="E64:G64"/>
    <mergeCell ref="AO65:AR65"/>
    <mergeCell ref="AT65:AW65"/>
    <mergeCell ref="B67:B81"/>
    <mergeCell ref="H67:H81"/>
    <mergeCell ref="L67:L81"/>
    <mergeCell ref="T67:T81"/>
    <mergeCell ref="Y67:Y81"/>
    <mergeCell ref="AD67:AD81"/>
    <mergeCell ref="AI67:AI81"/>
    <mergeCell ref="AN67:AN81"/>
    <mergeCell ref="AN64:AN66"/>
    <mergeCell ref="AO64:AR64"/>
    <mergeCell ref="AS64:AS66"/>
    <mergeCell ref="AT64:AW64"/>
    <mergeCell ref="B64:B66"/>
    <mergeCell ref="C64:D66"/>
    <mergeCell ref="AS67:AS81"/>
    <mergeCell ref="H64:H66"/>
    <mergeCell ref="I64:K64"/>
    <mergeCell ref="L64:L66"/>
    <mergeCell ref="AX67:AX81"/>
    <mergeCell ref="B82:H83"/>
    <mergeCell ref="N82:N83"/>
    <mergeCell ref="O82:O83"/>
    <mergeCell ref="P82:T82"/>
    <mergeCell ref="U82:Y82"/>
    <mergeCell ref="Z82:AD82"/>
    <mergeCell ref="AE82:AI82"/>
    <mergeCell ref="AJ82:AN82"/>
    <mergeCell ref="AO82:AS82"/>
    <mergeCell ref="AT82:AX82"/>
    <mergeCell ref="P83:T83"/>
    <mergeCell ref="U83:Y83"/>
    <mergeCell ref="Z83:AD83"/>
    <mergeCell ref="AE83:AI83"/>
    <mergeCell ref="AJ83:AN83"/>
    <mergeCell ref="AO83:AS83"/>
    <mergeCell ref="AT83:AX83"/>
    <mergeCell ref="Z84:AC84"/>
    <mergeCell ref="P84:S84"/>
    <mergeCell ref="T84:T86"/>
    <mergeCell ref="U84:X84"/>
    <mergeCell ref="E85:G85"/>
    <mergeCell ref="I85:K85"/>
    <mergeCell ref="P85:S85"/>
    <mergeCell ref="U85:X85"/>
    <mergeCell ref="M84:M86"/>
    <mergeCell ref="N84:N101"/>
    <mergeCell ref="O84:O101"/>
    <mergeCell ref="H87:H101"/>
    <mergeCell ref="L87:L101"/>
    <mergeCell ref="T87:T101"/>
    <mergeCell ref="Y87:Y101"/>
    <mergeCell ref="B87:B101"/>
    <mergeCell ref="AS87:AS101"/>
    <mergeCell ref="AX87:AX101"/>
    <mergeCell ref="AO85:AR85"/>
    <mergeCell ref="AT85:AW85"/>
    <mergeCell ref="AO84:AR84"/>
    <mergeCell ref="AS84:AS86"/>
    <mergeCell ref="AT84:AW84"/>
    <mergeCell ref="AX84:AX86"/>
    <mergeCell ref="AJ85:AM85"/>
    <mergeCell ref="AN87:AN101"/>
    <mergeCell ref="AN84:AN86"/>
    <mergeCell ref="AJ84:AM84"/>
    <mergeCell ref="C84:D86"/>
    <mergeCell ref="E84:G84"/>
    <mergeCell ref="H84:H86"/>
    <mergeCell ref="I84:K84"/>
    <mergeCell ref="L84:L86"/>
    <mergeCell ref="AD84:AD86"/>
    <mergeCell ref="AE84:AH84"/>
    <mergeCell ref="AI84:AI86"/>
    <mergeCell ref="AE85:AH85"/>
    <mergeCell ref="Z85:AC85"/>
    <mergeCell ref="Y84:Y86"/>
  </mergeCells>
  <phoneticPr fontId="11" type="noConversion"/>
  <pageMargins left="0.7" right="0.7" top="0.75" bottom="0.75" header="0.3" footer="0.3"/>
  <pageSetup paperSize="9" orientation="portrait" horizontalDpi="300" verticalDpi="3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FFFFCC"/>
  </sheetPr>
  <dimension ref="A1:BB142"/>
  <sheetViews>
    <sheetView zoomScale="55" zoomScaleNormal="55" workbookViewId="0">
      <pane xSplit="15" topLeftCell="Z1" activePane="topRight" state="frozen"/>
      <selection activeCell="B144" sqref="B144:AX176"/>
      <selection pane="topRight" activeCell="AT87" sqref="AT87:AV92"/>
    </sheetView>
  </sheetViews>
  <sheetFormatPr defaultColWidth="8.85546875" defaultRowHeight="12.75"/>
  <cols>
    <col min="1" max="1" width="5.5703125" style="103" customWidth="1"/>
    <col min="2" max="2" width="12.42578125" style="103" customWidth="1"/>
    <col min="3" max="3" width="8.85546875" style="102"/>
    <col min="4" max="4" width="26.42578125" style="102" customWidth="1"/>
    <col min="5" max="7" width="8.42578125" style="102" customWidth="1"/>
    <col min="8" max="8" width="11.140625" style="102" bestFit="1" customWidth="1"/>
    <col min="9" max="12" width="11.140625" style="102" customWidth="1"/>
    <col min="13" max="13" width="13.5703125" style="102" customWidth="1"/>
    <col min="14" max="14" width="9.85546875" style="102" customWidth="1"/>
    <col min="15" max="15" width="7.140625" style="102" customWidth="1"/>
    <col min="16" max="18" width="12.85546875" style="102" customWidth="1"/>
    <col min="19" max="19" width="5.42578125" style="102" customWidth="1"/>
    <col min="20" max="20" width="12.85546875" style="102" customWidth="1"/>
    <col min="21" max="23" width="12.85546875" style="103" customWidth="1"/>
    <col min="24" max="24" width="5.42578125" style="102" customWidth="1"/>
    <col min="25" max="28" width="12.85546875" style="103" customWidth="1"/>
    <col min="29" max="29" width="5.42578125" style="102" customWidth="1"/>
    <col min="30" max="30" width="12.85546875" style="103" customWidth="1"/>
    <col min="31" max="33" width="12.5703125" style="103" customWidth="1"/>
    <col min="34" max="34" width="5.42578125" style="102" customWidth="1"/>
    <col min="35" max="35" width="13" style="103" customWidth="1"/>
    <col min="36" max="38" width="12.5703125" style="103" customWidth="1"/>
    <col min="39" max="39" width="5.42578125" style="102" customWidth="1"/>
    <col min="40" max="40" width="13" style="103" customWidth="1"/>
    <col min="41" max="43" width="13.140625" style="103" customWidth="1"/>
    <col min="44" max="44" width="5.42578125" style="103" customWidth="1"/>
    <col min="45" max="48" width="13.140625" style="103" customWidth="1"/>
    <col min="49" max="49" width="5.42578125" style="103" customWidth="1"/>
    <col min="50" max="50" width="13.140625" style="103" customWidth="1"/>
    <col min="51" max="16384" width="8.85546875" style="103"/>
  </cols>
  <sheetData>
    <row r="1" spans="1:54" ht="24">
      <c r="A1" s="74"/>
      <c r="B1" s="196" t="s">
        <v>328</v>
      </c>
      <c r="C1" s="195">
        <f>AVERAGE(L7,L27,L47,L67,L87,L107)</f>
        <v>120.92495988708211</v>
      </c>
    </row>
    <row r="2" spans="1:54" ht="15.75">
      <c r="A2" s="79"/>
      <c r="B2" s="480" t="s">
        <v>721</v>
      </c>
      <c r="C2" s="480"/>
      <c r="D2" s="480"/>
      <c r="E2" s="480"/>
      <c r="F2" s="480"/>
      <c r="G2" s="480"/>
      <c r="H2" s="480"/>
      <c r="I2" s="181"/>
      <c r="J2" s="181"/>
      <c r="K2" s="181"/>
      <c r="L2" s="181"/>
      <c r="M2" s="178"/>
      <c r="N2" s="469" t="s">
        <v>722</v>
      </c>
      <c r="O2" s="469" t="s">
        <v>723</v>
      </c>
      <c r="P2" s="513"/>
      <c r="Q2" s="514"/>
      <c r="R2" s="514"/>
      <c r="S2" s="514"/>
      <c r="T2" s="515"/>
      <c r="U2" s="478"/>
      <c r="V2" s="479"/>
      <c r="W2" s="479"/>
      <c r="X2" s="479"/>
      <c r="Y2" s="479"/>
      <c r="Z2" s="478"/>
      <c r="AA2" s="479"/>
      <c r="AB2" s="479"/>
      <c r="AC2" s="479"/>
      <c r="AD2" s="479"/>
      <c r="AE2" s="478"/>
      <c r="AF2" s="479"/>
      <c r="AG2" s="479"/>
      <c r="AH2" s="479"/>
      <c r="AI2" s="479"/>
      <c r="AJ2" s="478"/>
      <c r="AK2" s="479"/>
      <c r="AL2" s="479"/>
      <c r="AM2" s="479"/>
      <c r="AN2" s="479"/>
      <c r="AO2" s="478">
        <v>46054</v>
      </c>
      <c r="AP2" s="479"/>
      <c r="AQ2" s="479"/>
      <c r="AR2" s="479"/>
      <c r="AS2" s="479"/>
      <c r="AT2" s="478">
        <f t="shared" ref="AT2" si="0">AO2+1</f>
        <v>46055</v>
      </c>
      <c r="AU2" s="479"/>
      <c r="AV2" s="479"/>
      <c r="AW2" s="479"/>
      <c r="AX2" s="479"/>
    </row>
    <row r="3" spans="1:54" ht="15.75">
      <c r="A3" s="79"/>
      <c r="B3" s="495"/>
      <c r="C3" s="495"/>
      <c r="D3" s="495"/>
      <c r="E3" s="495"/>
      <c r="F3" s="495"/>
      <c r="G3" s="495"/>
      <c r="H3" s="495"/>
      <c r="I3" s="182"/>
      <c r="J3" s="182"/>
      <c r="K3" s="182"/>
      <c r="L3" s="182"/>
      <c r="M3" s="179"/>
      <c r="N3" s="471"/>
      <c r="O3" s="471"/>
      <c r="P3" s="475" t="s">
        <v>724</v>
      </c>
      <c r="Q3" s="476"/>
      <c r="R3" s="476"/>
      <c r="S3" s="476"/>
      <c r="T3" s="477"/>
      <c r="U3" s="475" t="s">
        <v>725</v>
      </c>
      <c r="V3" s="476"/>
      <c r="W3" s="476"/>
      <c r="X3" s="476"/>
      <c r="Y3" s="477"/>
      <c r="Z3" s="475" t="s">
        <v>726</v>
      </c>
      <c r="AA3" s="476"/>
      <c r="AB3" s="476"/>
      <c r="AC3" s="476"/>
      <c r="AD3" s="477"/>
      <c r="AE3" s="475" t="s">
        <v>727</v>
      </c>
      <c r="AF3" s="476"/>
      <c r="AG3" s="476"/>
      <c r="AH3" s="476"/>
      <c r="AI3" s="477"/>
      <c r="AJ3" s="475" t="s">
        <v>728</v>
      </c>
      <c r="AK3" s="476"/>
      <c r="AL3" s="476"/>
      <c r="AM3" s="476"/>
      <c r="AN3" s="477"/>
      <c r="AO3" s="475" t="s">
        <v>729</v>
      </c>
      <c r="AP3" s="476"/>
      <c r="AQ3" s="476"/>
      <c r="AR3" s="476"/>
      <c r="AS3" s="477"/>
      <c r="AT3" s="475" t="s">
        <v>730</v>
      </c>
      <c r="AU3" s="476"/>
      <c r="AV3" s="476"/>
      <c r="AW3" s="476"/>
      <c r="AX3" s="477"/>
    </row>
    <row r="4" spans="1:54" ht="14.25">
      <c r="A4" s="79"/>
      <c r="B4" s="462" t="s">
        <v>628</v>
      </c>
      <c r="C4" s="462" t="s">
        <v>629</v>
      </c>
      <c r="D4" s="462"/>
      <c r="E4" s="462" t="s">
        <v>630</v>
      </c>
      <c r="F4" s="462"/>
      <c r="G4" s="462"/>
      <c r="H4" s="463" t="s">
        <v>631</v>
      </c>
      <c r="I4" s="462" t="s">
        <v>632</v>
      </c>
      <c r="J4" s="462"/>
      <c r="K4" s="462"/>
      <c r="L4" s="463" t="s">
        <v>631</v>
      </c>
      <c r="M4" s="469" t="s">
        <v>633</v>
      </c>
      <c r="N4" s="462"/>
      <c r="O4" s="462" t="s">
        <v>737</v>
      </c>
      <c r="P4" s="466" t="s">
        <v>738</v>
      </c>
      <c r="Q4" s="467"/>
      <c r="R4" s="467"/>
      <c r="S4" s="468"/>
      <c r="T4" s="462" t="s">
        <v>734</v>
      </c>
      <c r="U4" s="466" t="s">
        <v>738</v>
      </c>
      <c r="V4" s="467"/>
      <c r="W4" s="467"/>
      <c r="X4" s="468"/>
      <c r="Y4" s="462" t="s">
        <v>734</v>
      </c>
      <c r="Z4" s="466" t="s">
        <v>738</v>
      </c>
      <c r="AA4" s="467"/>
      <c r="AB4" s="467"/>
      <c r="AC4" s="468"/>
      <c r="AD4" s="462" t="s">
        <v>734</v>
      </c>
      <c r="AE4" s="466" t="s">
        <v>738</v>
      </c>
      <c r="AF4" s="467"/>
      <c r="AG4" s="467"/>
      <c r="AH4" s="468"/>
      <c r="AI4" s="462" t="s">
        <v>734</v>
      </c>
      <c r="AJ4" s="466" t="s">
        <v>738</v>
      </c>
      <c r="AK4" s="467"/>
      <c r="AL4" s="467"/>
      <c r="AM4" s="468"/>
      <c r="AN4" s="462" t="s">
        <v>734</v>
      </c>
      <c r="AO4" s="466" t="s">
        <v>738</v>
      </c>
      <c r="AP4" s="467"/>
      <c r="AQ4" s="467"/>
      <c r="AR4" s="468"/>
      <c r="AS4" s="462" t="s">
        <v>734</v>
      </c>
      <c r="AT4" s="466" t="s">
        <v>738</v>
      </c>
      <c r="AU4" s="467"/>
      <c r="AV4" s="467"/>
      <c r="AW4" s="468"/>
      <c r="AX4" s="462" t="s">
        <v>734</v>
      </c>
    </row>
    <row r="5" spans="1:54" ht="14.25">
      <c r="A5" s="79"/>
      <c r="B5" s="462"/>
      <c r="C5" s="462"/>
      <c r="D5" s="462"/>
      <c r="E5" s="462" t="s">
        <v>635</v>
      </c>
      <c r="F5" s="462"/>
      <c r="G5" s="462"/>
      <c r="H5" s="464"/>
      <c r="I5" s="462" t="s">
        <v>635</v>
      </c>
      <c r="J5" s="462"/>
      <c r="K5" s="462"/>
      <c r="L5" s="464"/>
      <c r="M5" s="470"/>
      <c r="N5" s="462"/>
      <c r="O5" s="462"/>
      <c r="P5" s="466" t="s">
        <v>740</v>
      </c>
      <c r="Q5" s="467"/>
      <c r="R5" s="467"/>
      <c r="S5" s="468"/>
      <c r="T5" s="462"/>
      <c r="U5" s="466" t="s">
        <v>740</v>
      </c>
      <c r="V5" s="467"/>
      <c r="W5" s="467"/>
      <c r="X5" s="468"/>
      <c r="Y5" s="462"/>
      <c r="Z5" s="466" t="s">
        <v>740</v>
      </c>
      <c r="AA5" s="467"/>
      <c r="AB5" s="467"/>
      <c r="AC5" s="468"/>
      <c r="AD5" s="462"/>
      <c r="AE5" s="466" t="s">
        <v>740</v>
      </c>
      <c r="AF5" s="467"/>
      <c r="AG5" s="467"/>
      <c r="AH5" s="468"/>
      <c r="AI5" s="462"/>
      <c r="AJ5" s="466" t="s">
        <v>740</v>
      </c>
      <c r="AK5" s="467"/>
      <c r="AL5" s="467"/>
      <c r="AM5" s="468"/>
      <c r="AN5" s="462"/>
      <c r="AO5" s="466" t="s">
        <v>740</v>
      </c>
      <c r="AP5" s="467"/>
      <c r="AQ5" s="467"/>
      <c r="AR5" s="468"/>
      <c r="AS5" s="462"/>
      <c r="AT5" s="466" t="s">
        <v>740</v>
      </c>
      <c r="AU5" s="467"/>
      <c r="AV5" s="467"/>
      <c r="AW5" s="468"/>
      <c r="AX5" s="462"/>
    </row>
    <row r="6" spans="1:54" ht="14.25">
      <c r="A6" s="77"/>
      <c r="B6" s="462"/>
      <c r="C6" s="462"/>
      <c r="D6" s="462"/>
      <c r="E6" s="264" t="s">
        <v>636</v>
      </c>
      <c r="F6" s="264" t="s">
        <v>637</v>
      </c>
      <c r="G6" s="264" t="s">
        <v>638</v>
      </c>
      <c r="H6" s="465"/>
      <c r="I6" s="264" t="s">
        <v>636</v>
      </c>
      <c r="J6" s="264" t="s">
        <v>637</v>
      </c>
      <c r="K6" s="264" t="s">
        <v>638</v>
      </c>
      <c r="L6" s="465"/>
      <c r="M6" s="471"/>
      <c r="N6" s="462"/>
      <c r="O6" s="462"/>
      <c r="P6" s="264" t="s">
        <v>741</v>
      </c>
      <c r="Q6" s="264" t="s">
        <v>742</v>
      </c>
      <c r="R6" s="264" t="s">
        <v>743</v>
      </c>
      <c r="S6" s="264" t="s">
        <v>736</v>
      </c>
      <c r="T6" s="462"/>
      <c r="U6" s="264" t="s">
        <v>741</v>
      </c>
      <c r="V6" s="264" t="s">
        <v>742</v>
      </c>
      <c r="W6" s="264" t="s">
        <v>743</v>
      </c>
      <c r="X6" s="264" t="s">
        <v>736</v>
      </c>
      <c r="Y6" s="462"/>
      <c r="Z6" s="264" t="s">
        <v>741</v>
      </c>
      <c r="AA6" s="264" t="s">
        <v>742</v>
      </c>
      <c r="AB6" s="264" t="s">
        <v>743</v>
      </c>
      <c r="AC6" s="264" t="s">
        <v>736</v>
      </c>
      <c r="AD6" s="462"/>
      <c r="AE6" s="264" t="s">
        <v>741</v>
      </c>
      <c r="AF6" s="264" t="s">
        <v>742</v>
      </c>
      <c r="AG6" s="264" t="s">
        <v>743</v>
      </c>
      <c r="AH6" s="264" t="s">
        <v>736</v>
      </c>
      <c r="AI6" s="462"/>
      <c r="AJ6" s="264" t="s">
        <v>741</v>
      </c>
      <c r="AK6" s="264" t="s">
        <v>742</v>
      </c>
      <c r="AL6" s="264" t="s">
        <v>743</v>
      </c>
      <c r="AM6" s="264" t="s">
        <v>736</v>
      </c>
      <c r="AN6" s="462"/>
      <c r="AO6" s="264" t="s">
        <v>741</v>
      </c>
      <c r="AP6" s="264" t="s">
        <v>742</v>
      </c>
      <c r="AQ6" s="264" t="s">
        <v>743</v>
      </c>
      <c r="AR6" s="264" t="s">
        <v>736</v>
      </c>
      <c r="AS6" s="462"/>
      <c r="AT6" s="264" t="s">
        <v>741</v>
      </c>
      <c r="AU6" s="264" t="s">
        <v>742</v>
      </c>
      <c r="AV6" s="264" t="s">
        <v>743</v>
      </c>
      <c r="AW6" s="264" t="s">
        <v>736</v>
      </c>
      <c r="AX6" s="462"/>
    </row>
    <row r="7" spans="1:54" ht="14.25">
      <c r="A7" s="79"/>
      <c r="B7" s="462" t="s">
        <v>136</v>
      </c>
      <c r="C7" s="180">
        <v>1</v>
      </c>
      <c r="D7" s="201" t="s">
        <v>378</v>
      </c>
      <c r="E7" s="166">
        <v>20</v>
      </c>
      <c r="F7" s="166">
        <v>2200</v>
      </c>
      <c r="G7" s="166">
        <v>110</v>
      </c>
      <c r="H7" s="508">
        <f>AVERAGE(G7:G21)</f>
        <v>137.58479532163742</v>
      </c>
      <c r="I7" s="166">
        <f>AVERAGE(P7,U7,Z7,AE7,AJ7,AO7,AT7)</f>
        <v>20</v>
      </c>
      <c r="J7" s="166">
        <f>AVERAGE(Q7,V7,AA7,AF7,AK7,AP7,AU7)</f>
        <v>2131.8062317429417</v>
      </c>
      <c r="K7" s="265">
        <f>AVERAGE(R7,W7,AB7,AG7,AL7,AQ7,AV7)</f>
        <v>106.59031158714708</v>
      </c>
      <c r="L7" s="459">
        <f>AVERAGE(K7:K21)</f>
        <v>120.54472074559889</v>
      </c>
      <c r="M7" s="272">
        <f>RANK(K7, K$7:$K$21)</f>
        <v>4</v>
      </c>
      <c r="N7" s="462"/>
      <c r="O7" s="462"/>
      <c r="P7" s="180"/>
      <c r="Q7" s="166"/>
      <c r="R7" s="166"/>
      <c r="S7" s="180" t="e">
        <f>RANK(R7, R$7:R$21)</f>
        <v>#N/A</v>
      </c>
      <c r="T7" s="486" t="e">
        <f>AVERAGE(R7:R21)</f>
        <v>#DIV/0!</v>
      </c>
      <c r="U7" s="180"/>
      <c r="V7" s="166"/>
      <c r="W7" s="166"/>
      <c r="X7" s="180" t="e">
        <f>RANK(W7, W$7:W$21)</f>
        <v>#N/A</v>
      </c>
      <c r="Y7" s="486" t="e">
        <f>AVERAGE(W7:W21)</f>
        <v>#DIV/0!</v>
      </c>
      <c r="Z7" s="180"/>
      <c r="AA7" s="166"/>
      <c r="AB7" s="166"/>
      <c r="AC7" s="180" t="e">
        <f>RANK(AB7, AB$7:AB$21)</f>
        <v>#N/A</v>
      </c>
      <c r="AD7" s="486" t="e">
        <f>AVERAGE(AB7:AB21)</f>
        <v>#DIV/0!</v>
      </c>
      <c r="AE7" s="180"/>
      <c r="AF7" s="166"/>
      <c r="AG7" s="166"/>
      <c r="AH7" s="180" t="e">
        <f>RANK(AG7, AG$7:AG$21)</f>
        <v>#N/A</v>
      </c>
      <c r="AI7" s="486" t="e">
        <f>AVERAGE(AG7:AG21)</f>
        <v>#DIV/0!</v>
      </c>
      <c r="AJ7" s="180"/>
      <c r="AK7" s="166"/>
      <c r="AL7" s="166"/>
      <c r="AM7" s="180" t="e">
        <f>RANK(AL7, AL$7:AL$21)</f>
        <v>#N/A</v>
      </c>
      <c r="AN7" s="486" t="e">
        <f>AVERAGE(AL7:AL21)</f>
        <v>#DIV/0!</v>
      </c>
      <c r="AO7" s="166">
        <v>20</v>
      </c>
      <c r="AP7" s="166">
        <v>2118.2278481012668</v>
      </c>
      <c r="AQ7" s="166">
        <v>105.91139240506334</v>
      </c>
      <c r="AR7" s="180">
        <f>RANK(AQ7, AQ$7:AQ$21)</f>
        <v>4</v>
      </c>
      <c r="AS7" s="486">
        <f>AVERAGE(AQ7:AQ21)</f>
        <v>120.91071303457454</v>
      </c>
      <c r="AT7" s="166">
        <v>20</v>
      </c>
      <c r="AU7" s="166">
        <v>2145.3846153846166</v>
      </c>
      <c r="AV7" s="166">
        <v>107.26923076923083</v>
      </c>
      <c r="AW7" s="180">
        <f>RANK(AV7, AV$7:AV$21)</f>
        <v>4</v>
      </c>
      <c r="AX7" s="486">
        <f>AVERAGE(AV7:AV21)</f>
        <v>120.1787284566232</v>
      </c>
      <c r="AZ7" s="272" t="e">
        <f>RANK(AX7, $K$7:AX$21)</f>
        <v>#N/A</v>
      </c>
      <c r="BB7" s="180" t="e">
        <f>RANK(BA7, BA$7:BA$21)</f>
        <v>#N/A</v>
      </c>
    </row>
    <row r="8" spans="1:54" ht="15" customHeight="1">
      <c r="A8" s="79"/>
      <c r="B8" s="479"/>
      <c r="C8" s="180">
        <v>2</v>
      </c>
      <c r="D8" s="201" t="s">
        <v>379</v>
      </c>
      <c r="E8" s="166">
        <v>18</v>
      </c>
      <c r="F8" s="166">
        <v>2700</v>
      </c>
      <c r="G8" s="166">
        <v>150</v>
      </c>
      <c r="H8" s="509"/>
      <c r="I8" s="166">
        <f t="shared" ref="I8:K11" si="1">AVERAGE(P8,U8,Z8,AE8,AJ8,AO8,AT8)</f>
        <v>19</v>
      </c>
      <c r="J8" s="166">
        <f t="shared" si="1"/>
        <v>2469.6221198156682</v>
      </c>
      <c r="K8" s="265">
        <f t="shared" si="1"/>
        <v>129.98011156924568</v>
      </c>
      <c r="L8" s="460"/>
      <c r="M8" s="272">
        <f>RANK(K8, K$7:$K$21)</f>
        <v>3</v>
      </c>
      <c r="N8" s="462"/>
      <c r="O8" s="462"/>
      <c r="P8" s="180"/>
      <c r="Q8" s="166"/>
      <c r="R8" s="166"/>
      <c r="S8" s="180" t="e">
        <f t="shared" ref="S8:S21" si="2">RANK(R8, R$7:R$21)</f>
        <v>#N/A</v>
      </c>
      <c r="T8" s="486"/>
      <c r="U8" s="180"/>
      <c r="V8" s="166"/>
      <c r="W8" s="166"/>
      <c r="X8" s="180" t="e">
        <f t="shared" ref="X8:X21" si="3">RANK(W8, W$7:W$21)</f>
        <v>#N/A</v>
      </c>
      <c r="Y8" s="486"/>
      <c r="Z8" s="180"/>
      <c r="AA8" s="166"/>
      <c r="AB8" s="166"/>
      <c r="AC8" s="180" t="e">
        <f t="shared" ref="AC8:AC21" si="4">RANK(AB8, AB$7:AB$21)</f>
        <v>#N/A</v>
      </c>
      <c r="AD8" s="486"/>
      <c r="AE8" s="180"/>
      <c r="AF8" s="166"/>
      <c r="AG8" s="166"/>
      <c r="AH8" s="180" t="e">
        <f t="shared" ref="AH8:AH21" si="5">RANK(AG8, AG$7:AG$21)</f>
        <v>#N/A</v>
      </c>
      <c r="AI8" s="486"/>
      <c r="AJ8" s="180"/>
      <c r="AK8" s="166"/>
      <c r="AL8" s="166"/>
      <c r="AM8" s="180" t="e">
        <f t="shared" ref="AM8:AM21" si="6">RANK(AL8, AL$7:AL$21)</f>
        <v>#N/A</v>
      </c>
      <c r="AN8" s="486"/>
      <c r="AO8" s="166">
        <v>19</v>
      </c>
      <c r="AP8" s="166">
        <v>2508.3870967741959</v>
      </c>
      <c r="AQ8" s="166">
        <v>132.02037351443136</v>
      </c>
      <c r="AR8" s="180">
        <f t="shared" ref="AR8:AR21" si="7">RANK(AQ8, AQ$7:AQ$21)</f>
        <v>2</v>
      </c>
      <c r="AS8" s="486"/>
      <c r="AT8" s="166">
        <v>19</v>
      </c>
      <c r="AU8" s="166">
        <v>2430.8571428571404</v>
      </c>
      <c r="AV8" s="166">
        <v>127.93984962406002</v>
      </c>
      <c r="AW8" s="180">
        <f t="shared" ref="AW8:AW21" si="8">RANK(AV8, AV$7:AV$21)</f>
        <v>3</v>
      </c>
      <c r="AX8" s="486"/>
      <c r="AZ8" s="272" t="e">
        <f>RANK(AX8, $K$7:AX$21)</f>
        <v>#N/A</v>
      </c>
      <c r="BB8" s="180" t="e">
        <f t="shared" ref="BB8:BB21" si="9">RANK(BA8, BA$7:BA$21)</f>
        <v>#N/A</v>
      </c>
    </row>
    <row r="9" spans="1:54" ht="14.25">
      <c r="A9" s="79"/>
      <c r="B9" s="479"/>
      <c r="C9" s="180">
        <v>3</v>
      </c>
      <c r="D9" s="201" t="s">
        <v>380</v>
      </c>
      <c r="E9" s="166">
        <v>18</v>
      </c>
      <c r="F9" s="166">
        <v>2800</v>
      </c>
      <c r="G9" s="166">
        <v>155.55555555555554</v>
      </c>
      <c r="H9" s="509"/>
      <c r="I9" s="166">
        <f t="shared" si="1"/>
        <v>19</v>
      </c>
      <c r="J9" s="166">
        <f t="shared" si="1"/>
        <v>2470.0707070707067</v>
      </c>
      <c r="K9" s="265">
        <f t="shared" si="1"/>
        <v>130.00372142477403</v>
      </c>
      <c r="L9" s="460"/>
      <c r="M9" s="272">
        <f>RANK(K9, K$7:$K$21)</f>
        <v>2</v>
      </c>
      <c r="N9" s="462"/>
      <c r="O9" s="462"/>
      <c r="P9" s="180"/>
      <c r="Q9" s="166"/>
      <c r="R9" s="166"/>
      <c r="S9" s="180" t="e">
        <f t="shared" si="2"/>
        <v>#N/A</v>
      </c>
      <c r="T9" s="486"/>
      <c r="U9" s="180"/>
      <c r="V9" s="166"/>
      <c r="W9" s="166"/>
      <c r="X9" s="180" t="e">
        <f t="shared" si="3"/>
        <v>#N/A</v>
      </c>
      <c r="Y9" s="486"/>
      <c r="Z9" s="180"/>
      <c r="AA9" s="166"/>
      <c r="AB9" s="166"/>
      <c r="AC9" s="180" t="e">
        <f t="shared" si="4"/>
        <v>#N/A</v>
      </c>
      <c r="AD9" s="486"/>
      <c r="AE9" s="180"/>
      <c r="AF9" s="166"/>
      <c r="AG9" s="166"/>
      <c r="AH9" s="180" t="e">
        <f t="shared" si="5"/>
        <v>#N/A</v>
      </c>
      <c r="AI9" s="486"/>
      <c r="AJ9" s="180"/>
      <c r="AK9" s="166"/>
      <c r="AL9" s="166"/>
      <c r="AM9" s="180" t="e">
        <f t="shared" si="6"/>
        <v>#N/A</v>
      </c>
      <c r="AN9" s="486"/>
      <c r="AO9" s="166">
        <v>19</v>
      </c>
      <c r="AP9" s="166">
        <v>2452.3636363636342</v>
      </c>
      <c r="AQ9" s="166">
        <v>129.07177033492812</v>
      </c>
      <c r="AR9" s="180">
        <f t="shared" si="7"/>
        <v>3</v>
      </c>
      <c r="AS9" s="486"/>
      <c r="AT9" s="166">
        <v>19</v>
      </c>
      <c r="AU9" s="166">
        <v>2487.7777777777792</v>
      </c>
      <c r="AV9" s="166">
        <v>130.93567251461997</v>
      </c>
      <c r="AW9" s="180">
        <f t="shared" si="8"/>
        <v>1</v>
      </c>
      <c r="AX9" s="486"/>
      <c r="AZ9" s="272" t="e">
        <f>RANK(AX9, $K$7:AX$21)</f>
        <v>#N/A</v>
      </c>
      <c r="BB9" s="180" t="e">
        <f t="shared" si="9"/>
        <v>#N/A</v>
      </c>
    </row>
    <row r="10" spans="1:54" ht="14.25">
      <c r="A10" s="79"/>
      <c r="B10" s="479"/>
      <c r="C10" s="180">
        <v>4</v>
      </c>
      <c r="D10" s="201" t="s">
        <v>381</v>
      </c>
      <c r="E10" s="166">
        <v>19</v>
      </c>
      <c r="F10" s="166">
        <v>2800</v>
      </c>
      <c r="G10" s="166">
        <v>147.36842105263159</v>
      </c>
      <c r="H10" s="509"/>
      <c r="I10" s="166">
        <f t="shared" si="1"/>
        <v>19</v>
      </c>
      <c r="J10" s="166">
        <f t="shared" si="1"/>
        <v>2486.8177457677461</v>
      </c>
      <c r="K10" s="265">
        <f t="shared" si="1"/>
        <v>130.88514451409191</v>
      </c>
      <c r="L10" s="460"/>
      <c r="M10" s="272">
        <f>RANK(K10, K$7:$K$21)</f>
        <v>1</v>
      </c>
      <c r="N10" s="462"/>
      <c r="O10" s="462"/>
      <c r="P10" s="180"/>
      <c r="Q10" s="166"/>
      <c r="R10" s="166"/>
      <c r="S10" s="180" t="e">
        <f t="shared" si="2"/>
        <v>#N/A</v>
      </c>
      <c r="T10" s="486"/>
      <c r="U10" s="180"/>
      <c r="V10" s="166"/>
      <c r="W10" s="166"/>
      <c r="X10" s="180" t="e">
        <f t="shared" si="3"/>
        <v>#N/A</v>
      </c>
      <c r="Y10" s="486"/>
      <c r="Z10" s="180"/>
      <c r="AA10" s="166"/>
      <c r="AB10" s="166"/>
      <c r="AC10" s="180" t="e">
        <f t="shared" si="4"/>
        <v>#N/A</v>
      </c>
      <c r="AD10" s="486"/>
      <c r="AE10" s="180"/>
      <c r="AF10" s="166"/>
      <c r="AG10" s="166"/>
      <c r="AH10" s="180" t="e">
        <f t="shared" si="5"/>
        <v>#N/A</v>
      </c>
      <c r="AI10" s="486"/>
      <c r="AJ10" s="180"/>
      <c r="AK10" s="166"/>
      <c r="AL10" s="166"/>
      <c r="AM10" s="180" t="e">
        <f t="shared" si="6"/>
        <v>#N/A</v>
      </c>
      <c r="AN10" s="486"/>
      <c r="AO10" s="166">
        <v>19</v>
      </c>
      <c r="AP10" s="166">
        <v>2518.0219780219777</v>
      </c>
      <c r="AQ10" s="166">
        <v>132.5274725274725</v>
      </c>
      <c r="AR10" s="180">
        <f t="shared" si="7"/>
        <v>1</v>
      </c>
      <c r="AS10" s="486"/>
      <c r="AT10" s="166">
        <v>19</v>
      </c>
      <c r="AU10" s="166">
        <v>2455.6135135135146</v>
      </c>
      <c r="AV10" s="166">
        <v>129.24281650071129</v>
      </c>
      <c r="AW10" s="180">
        <f t="shared" si="8"/>
        <v>2</v>
      </c>
      <c r="AX10" s="486"/>
      <c r="AZ10" s="272" t="e">
        <f>RANK(AX10, $K$7:AX$21)</f>
        <v>#N/A</v>
      </c>
      <c r="BB10" s="180" t="e">
        <f t="shared" si="9"/>
        <v>#N/A</v>
      </c>
    </row>
    <row r="11" spans="1:54" ht="14.25">
      <c r="A11" s="79"/>
      <c r="B11" s="479"/>
      <c r="C11" s="180">
        <v>5</v>
      </c>
      <c r="D11" s="201" t="s">
        <v>525</v>
      </c>
      <c r="E11" s="166">
        <v>18</v>
      </c>
      <c r="F11" s="166">
        <v>2250</v>
      </c>
      <c r="G11" s="166">
        <v>125</v>
      </c>
      <c r="H11" s="509"/>
      <c r="I11" s="166">
        <f t="shared" si="1"/>
        <v>19</v>
      </c>
      <c r="J11" s="166">
        <f t="shared" si="1"/>
        <v>2000.0219780219791</v>
      </c>
      <c r="K11" s="265">
        <f t="shared" si="1"/>
        <v>105.26431463273573</v>
      </c>
      <c r="L11" s="460"/>
      <c r="M11" s="272">
        <f>RANK(K11, K$7:$K$21)</f>
        <v>5</v>
      </c>
      <c r="N11" s="462"/>
      <c r="O11" s="462"/>
      <c r="P11" s="180"/>
      <c r="Q11" s="166"/>
      <c r="R11" s="166"/>
      <c r="S11" s="180" t="e">
        <f t="shared" si="2"/>
        <v>#N/A</v>
      </c>
      <c r="T11" s="486"/>
      <c r="U11" s="180"/>
      <c r="V11" s="166"/>
      <c r="W11" s="166"/>
      <c r="X11" s="180" t="e">
        <f t="shared" si="3"/>
        <v>#N/A</v>
      </c>
      <c r="Y11" s="486"/>
      <c r="Z11" s="180"/>
      <c r="AA11" s="166"/>
      <c r="AB11" s="166"/>
      <c r="AC11" s="180" t="e">
        <f t="shared" si="4"/>
        <v>#N/A</v>
      </c>
      <c r="AD11" s="486"/>
      <c r="AE11" s="180"/>
      <c r="AF11" s="166"/>
      <c r="AG11" s="166"/>
      <c r="AH11" s="180" t="e">
        <f t="shared" si="5"/>
        <v>#N/A</v>
      </c>
      <c r="AI11" s="486"/>
      <c r="AJ11" s="180"/>
      <c r="AK11" s="166"/>
      <c r="AL11" s="166"/>
      <c r="AM11" s="180" t="e">
        <f t="shared" si="6"/>
        <v>#N/A</v>
      </c>
      <c r="AN11" s="486"/>
      <c r="AO11" s="166">
        <v>19</v>
      </c>
      <c r="AP11" s="166">
        <v>1995.428571428572</v>
      </c>
      <c r="AQ11" s="166">
        <v>105.02255639097747</v>
      </c>
      <c r="AR11" s="180">
        <f t="shared" si="7"/>
        <v>5</v>
      </c>
      <c r="AS11" s="486"/>
      <c r="AT11" s="166">
        <v>19</v>
      </c>
      <c r="AU11" s="166">
        <v>2004.6153846153859</v>
      </c>
      <c r="AV11" s="166">
        <v>105.506072874494</v>
      </c>
      <c r="AW11" s="180">
        <f t="shared" si="8"/>
        <v>5</v>
      </c>
      <c r="AX11" s="486"/>
      <c r="AZ11" s="272" t="e">
        <f>RANK(AX11, $K$7:AX$21)</f>
        <v>#N/A</v>
      </c>
      <c r="BB11" s="180" t="e">
        <f t="shared" si="9"/>
        <v>#N/A</v>
      </c>
    </row>
    <row r="12" spans="1:54" ht="14.25">
      <c r="A12" s="79"/>
      <c r="B12" s="479"/>
      <c r="C12" s="180">
        <v>6</v>
      </c>
      <c r="D12" s="201"/>
      <c r="E12" s="166" t="s">
        <v>522</v>
      </c>
      <c r="F12" s="166" t="s">
        <v>522</v>
      </c>
      <c r="G12" s="166" t="s">
        <v>522</v>
      </c>
      <c r="H12" s="509"/>
      <c r="I12" s="166"/>
      <c r="J12" s="166"/>
      <c r="K12" s="265"/>
      <c r="L12" s="460"/>
      <c r="M12" s="272" t="e">
        <f>RANK(K12, K$7:$K$21)</f>
        <v>#N/A</v>
      </c>
      <c r="N12" s="462"/>
      <c r="O12" s="462"/>
      <c r="P12" s="180"/>
      <c r="Q12" s="166"/>
      <c r="R12" s="166"/>
      <c r="S12" s="180" t="e">
        <f t="shared" si="2"/>
        <v>#N/A</v>
      </c>
      <c r="T12" s="486"/>
      <c r="U12" s="180"/>
      <c r="V12" s="166"/>
      <c r="W12" s="166"/>
      <c r="X12" s="180" t="e">
        <f t="shared" si="3"/>
        <v>#N/A</v>
      </c>
      <c r="Y12" s="486"/>
      <c r="Z12" s="180"/>
      <c r="AA12" s="166"/>
      <c r="AB12" s="166"/>
      <c r="AC12" s="180" t="e">
        <f t="shared" si="4"/>
        <v>#N/A</v>
      </c>
      <c r="AD12" s="486"/>
      <c r="AE12" s="180"/>
      <c r="AF12" s="166"/>
      <c r="AG12" s="166"/>
      <c r="AH12" s="180" t="e">
        <f t="shared" si="5"/>
        <v>#N/A</v>
      </c>
      <c r="AI12" s="486"/>
      <c r="AJ12" s="180"/>
      <c r="AK12" s="166"/>
      <c r="AL12" s="166"/>
      <c r="AM12" s="180" t="e">
        <f t="shared" si="6"/>
        <v>#N/A</v>
      </c>
      <c r="AN12" s="486"/>
      <c r="AO12" s="180"/>
      <c r="AP12" s="166"/>
      <c r="AQ12" s="166"/>
      <c r="AR12" s="180" t="e">
        <f t="shared" si="7"/>
        <v>#N/A</v>
      </c>
      <c r="AS12" s="486"/>
      <c r="AT12" s="180"/>
      <c r="AU12" s="166"/>
      <c r="AV12" s="166"/>
      <c r="AW12" s="180" t="e">
        <f t="shared" si="8"/>
        <v>#N/A</v>
      </c>
      <c r="AX12" s="486"/>
      <c r="AZ12" s="272" t="e">
        <f>RANK(AX12, $K$7:AX$21)</f>
        <v>#N/A</v>
      </c>
      <c r="BB12" s="180" t="e">
        <f t="shared" si="9"/>
        <v>#N/A</v>
      </c>
    </row>
    <row r="13" spans="1:54" ht="14.25">
      <c r="A13" s="79"/>
      <c r="B13" s="479"/>
      <c r="C13" s="180">
        <v>7</v>
      </c>
      <c r="D13" s="201"/>
      <c r="E13" s="166" t="s">
        <v>522</v>
      </c>
      <c r="F13" s="166" t="s">
        <v>522</v>
      </c>
      <c r="G13" s="166" t="s">
        <v>522</v>
      </c>
      <c r="H13" s="509"/>
      <c r="I13" s="166"/>
      <c r="J13" s="166"/>
      <c r="K13" s="265"/>
      <c r="L13" s="460"/>
      <c r="M13" s="272" t="e">
        <f>RANK(K13, K$7:$K$21)</f>
        <v>#N/A</v>
      </c>
      <c r="N13" s="462"/>
      <c r="O13" s="462"/>
      <c r="P13" s="180"/>
      <c r="Q13" s="166"/>
      <c r="R13" s="166"/>
      <c r="S13" s="180" t="e">
        <f t="shared" si="2"/>
        <v>#N/A</v>
      </c>
      <c r="T13" s="486"/>
      <c r="U13" s="180"/>
      <c r="V13" s="166"/>
      <c r="W13" s="166"/>
      <c r="X13" s="180" t="e">
        <f t="shared" si="3"/>
        <v>#N/A</v>
      </c>
      <c r="Y13" s="486"/>
      <c r="Z13" s="180"/>
      <c r="AA13" s="166"/>
      <c r="AB13" s="166"/>
      <c r="AC13" s="180" t="e">
        <f t="shared" si="4"/>
        <v>#N/A</v>
      </c>
      <c r="AD13" s="486"/>
      <c r="AE13" s="180"/>
      <c r="AF13" s="166"/>
      <c r="AG13" s="166"/>
      <c r="AH13" s="180" t="e">
        <f t="shared" si="5"/>
        <v>#N/A</v>
      </c>
      <c r="AI13" s="486"/>
      <c r="AJ13" s="180"/>
      <c r="AK13" s="166"/>
      <c r="AL13" s="166"/>
      <c r="AM13" s="180" t="e">
        <f t="shared" si="6"/>
        <v>#N/A</v>
      </c>
      <c r="AN13" s="486"/>
      <c r="AO13" s="180"/>
      <c r="AP13" s="166"/>
      <c r="AQ13" s="166"/>
      <c r="AR13" s="180" t="e">
        <f t="shared" si="7"/>
        <v>#N/A</v>
      </c>
      <c r="AS13" s="486"/>
      <c r="AT13" s="180"/>
      <c r="AU13" s="166"/>
      <c r="AV13" s="166"/>
      <c r="AW13" s="180" t="e">
        <f t="shared" si="8"/>
        <v>#N/A</v>
      </c>
      <c r="AX13" s="486"/>
      <c r="AZ13" s="272" t="e">
        <f>RANK(AX13, $K$7:AX$21)</f>
        <v>#N/A</v>
      </c>
      <c r="BB13" s="180" t="e">
        <f t="shared" si="9"/>
        <v>#N/A</v>
      </c>
    </row>
    <row r="14" spans="1:54" ht="14.25">
      <c r="A14" s="79"/>
      <c r="B14" s="479"/>
      <c r="C14" s="180">
        <v>8</v>
      </c>
      <c r="D14" s="201"/>
      <c r="E14" s="166" t="s">
        <v>522</v>
      </c>
      <c r="F14" s="166" t="s">
        <v>522</v>
      </c>
      <c r="G14" s="166" t="s">
        <v>522</v>
      </c>
      <c r="H14" s="509"/>
      <c r="I14" s="166"/>
      <c r="J14" s="166"/>
      <c r="K14" s="265"/>
      <c r="L14" s="460"/>
      <c r="M14" s="272" t="e">
        <f>RANK(K14, K$7:$K$21)</f>
        <v>#N/A</v>
      </c>
      <c r="N14" s="462"/>
      <c r="O14" s="462"/>
      <c r="P14" s="180"/>
      <c r="Q14" s="166"/>
      <c r="R14" s="166"/>
      <c r="S14" s="180" t="e">
        <f t="shared" si="2"/>
        <v>#N/A</v>
      </c>
      <c r="T14" s="486"/>
      <c r="U14" s="180"/>
      <c r="V14" s="166"/>
      <c r="W14" s="166"/>
      <c r="X14" s="180" t="e">
        <f t="shared" si="3"/>
        <v>#N/A</v>
      </c>
      <c r="Y14" s="486"/>
      <c r="Z14" s="180"/>
      <c r="AA14" s="166"/>
      <c r="AB14" s="166"/>
      <c r="AC14" s="180" t="e">
        <f t="shared" si="4"/>
        <v>#N/A</v>
      </c>
      <c r="AD14" s="486"/>
      <c r="AE14" s="180"/>
      <c r="AF14" s="166"/>
      <c r="AG14" s="166"/>
      <c r="AH14" s="180" t="e">
        <f t="shared" si="5"/>
        <v>#N/A</v>
      </c>
      <c r="AI14" s="486"/>
      <c r="AJ14" s="180"/>
      <c r="AK14" s="166"/>
      <c r="AL14" s="166"/>
      <c r="AM14" s="180" t="e">
        <f t="shared" si="6"/>
        <v>#N/A</v>
      </c>
      <c r="AN14" s="486"/>
      <c r="AO14" s="180"/>
      <c r="AP14" s="166"/>
      <c r="AQ14" s="166"/>
      <c r="AR14" s="180" t="e">
        <f t="shared" si="7"/>
        <v>#N/A</v>
      </c>
      <c r="AS14" s="486"/>
      <c r="AT14" s="180"/>
      <c r="AU14" s="166"/>
      <c r="AV14" s="166"/>
      <c r="AW14" s="180" t="e">
        <f t="shared" si="8"/>
        <v>#N/A</v>
      </c>
      <c r="AX14" s="486"/>
      <c r="AZ14" s="272" t="e">
        <f>RANK(AX14, $K$7:AX$21)</f>
        <v>#N/A</v>
      </c>
      <c r="BB14" s="180" t="e">
        <f t="shared" si="9"/>
        <v>#N/A</v>
      </c>
    </row>
    <row r="15" spans="1:54" ht="14.25">
      <c r="A15" s="79"/>
      <c r="B15" s="479"/>
      <c r="C15" s="180">
        <v>9</v>
      </c>
      <c r="D15" s="201"/>
      <c r="E15" s="166" t="s">
        <v>522</v>
      </c>
      <c r="F15" s="166" t="s">
        <v>522</v>
      </c>
      <c r="G15" s="166" t="s">
        <v>522</v>
      </c>
      <c r="H15" s="509"/>
      <c r="I15" s="166"/>
      <c r="J15" s="166"/>
      <c r="K15" s="265"/>
      <c r="L15" s="460"/>
      <c r="M15" s="272" t="e">
        <f>RANK(K15, K$7:$K$21)</f>
        <v>#N/A</v>
      </c>
      <c r="N15" s="462"/>
      <c r="O15" s="462"/>
      <c r="P15" s="180"/>
      <c r="Q15" s="166"/>
      <c r="R15" s="166"/>
      <c r="S15" s="180" t="e">
        <f t="shared" si="2"/>
        <v>#N/A</v>
      </c>
      <c r="T15" s="486"/>
      <c r="U15" s="180"/>
      <c r="V15" s="166"/>
      <c r="W15" s="166"/>
      <c r="X15" s="180" t="e">
        <f t="shared" si="3"/>
        <v>#N/A</v>
      </c>
      <c r="Y15" s="486"/>
      <c r="Z15" s="180"/>
      <c r="AA15" s="166"/>
      <c r="AB15" s="166"/>
      <c r="AC15" s="180" t="e">
        <f t="shared" si="4"/>
        <v>#N/A</v>
      </c>
      <c r="AD15" s="486"/>
      <c r="AE15" s="180"/>
      <c r="AF15" s="166"/>
      <c r="AG15" s="166"/>
      <c r="AH15" s="180" t="e">
        <f t="shared" si="5"/>
        <v>#N/A</v>
      </c>
      <c r="AI15" s="486"/>
      <c r="AJ15" s="180"/>
      <c r="AK15" s="166"/>
      <c r="AL15" s="166"/>
      <c r="AM15" s="180" t="e">
        <f t="shared" si="6"/>
        <v>#N/A</v>
      </c>
      <c r="AN15" s="486"/>
      <c r="AO15" s="180"/>
      <c r="AP15" s="166"/>
      <c r="AQ15" s="166"/>
      <c r="AR15" s="180" t="e">
        <f t="shared" si="7"/>
        <v>#N/A</v>
      </c>
      <c r="AS15" s="486"/>
      <c r="AT15" s="180"/>
      <c r="AU15" s="166"/>
      <c r="AV15" s="166"/>
      <c r="AW15" s="180" t="e">
        <f t="shared" si="8"/>
        <v>#N/A</v>
      </c>
      <c r="AX15" s="486"/>
      <c r="AZ15" s="272" t="e">
        <f>RANK(AX15, $K$7:AX$21)</f>
        <v>#N/A</v>
      </c>
      <c r="BB15" s="180" t="e">
        <f t="shared" si="9"/>
        <v>#N/A</v>
      </c>
    </row>
    <row r="16" spans="1:54" ht="14.25">
      <c r="A16" s="79"/>
      <c r="B16" s="479"/>
      <c r="C16" s="180">
        <v>10</v>
      </c>
      <c r="D16" s="201"/>
      <c r="E16" s="166" t="s">
        <v>522</v>
      </c>
      <c r="F16" s="166" t="s">
        <v>522</v>
      </c>
      <c r="G16" s="166" t="s">
        <v>522</v>
      </c>
      <c r="H16" s="509"/>
      <c r="I16" s="166"/>
      <c r="J16" s="166"/>
      <c r="K16" s="265"/>
      <c r="L16" s="460"/>
      <c r="M16" s="272" t="e">
        <f>RANK(K16, K$7:$K$21)</f>
        <v>#N/A</v>
      </c>
      <c r="N16" s="462"/>
      <c r="O16" s="462"/>
      <c r="P16" s="180"/>
      <c r="Q16" s="166"/>
      <c r="R16" s="166"/>
      <c r="S16" s="180" t="e">
        <f t="shared" si="2"/>
        <v>#N/A</v>
      </c>
      <c r="T16" s="486"/>
      <c r="U16" s="180"/>
      <c r="V16" s="166"/>
      <c r="W16" s="166"/>
      <c r="X16" s="180" t="e">
        <f t="shared" si="3"/>
        <v>#N/A</v>
      </c>
      <c r="Y16" s="486"/>
      <c r="Z16" s="180"/>
      <c r="AA16" s="166"/>
      <c r="AB16" s="166"/>
      <c r="AC16" s="180" t="e">
        <f t="shared" si="4"/>
        <v>#N/A</v>
      </c>
      <c r="AD16" s="486"/>
      <c r="AE16" s="180"/>
      <c r="AF16" s="166"/>
      <c r="AG16" s="166"/>
      <c r="AH16" s="180" t="e">
        <f t="shared" si="5"/>
        <v>#N/A</v>
      </c>
      <c r="AI16" s="486"/>
      <c r="AJ16" s="180"/>
      <c r="AK16" s="166"/>
      <c r="AL16" s="166"/>
      <c r="AM16" s="180" t="e">
        <f t="shared" si="6"/>
        <v>#N/A</v>
      </c>
      <c r="AN16" s="486"/>
      <c r="AO16" s="180"/>
      <c r="AP16" s="166"/>
      <c r="AQ16" s="166"/>
      <c r="AR16" s="180" t="e">
        <f t="shared" si="7"/>
        <v>#N/A</v>
      </c>
      <c r="AS16" s="486"/>
      <c r="AT16" s="180"/>
      <c r="AU16" s="166"/>
      <c r="AV16" s="166"/>
      <c r="AW16" s="180" t="e">
        <f t="shared" si="8"/>
        <v>#N/A</v>
      </c>
      <c r="AX16" s="486"/>
      <c r="AZ16" s="272" t="e">
        <f>RANK(AX16, $K$7:AX$21)</f>
        <v>#N/A</v>
      </c>
      <c r="BB16" s="180" t="e">
        <f t="shared" si="9"/>
        <v>#N/A</v>
      </c>
    </row>
    <row r="17" spans="2:54">
      <c r="B17" s="479"/>
      <c r="C17" s="180">
        <v>11</v>
      </c>
      <c r="D17" s="201"/>
      <c r="E17" s="166" t="s">
        <v>522</v>
      </c>
      <c r="F17" s="166" t="s">
        <v>522</v>
      </c>
      <c r="G17" s="166" t="s">
        <v>522</v>
      </c>
      <c r="H17" s="509"/>
      <c r="I17" s="180"/>
      <c r="J17" s="180"/>
      <c r="K17" s="180"/>
      <c r="L17" s="460"/>
      <c r="M17" s="272" t="e">
        <f>RANK(K17, K$7:$K$21)</f>
        <v>#N/A</v>
      </c>
      <c r="N17" s="462"/>
      <c r="O17" s="462"/>
      <c r="P17" s="180"/>
      <c r="Q17" s="166"/>
      <c r="R17" s="166"/>
      <c r="S17" s="180" t="e">
        <f t="shared" si="2"/>
        <v>#N/A</v>
      </c>
      <c r="T17" s="486"/>
      <c r="U17" s="180"/>
      <c r="V17" s="166"/>
      <c r="W17" s="166"/>
      <c r="X17" s="180" t="e">
        <f t="shared" si="3"/>
        <v>#N/A</v>
      </c>
      <c r="Y17" s="486"/>
      <c r="Z17" s="180"/>
      <c r="AA17" s="166"/>
      <c r="AB17" s="166"/>
      <c r="AC17" s="180" t="e">
        <f t="shared" si="4"/>
        <v>#N/A</v>
      </c>
      <c r="AD17" s="486"/>
      <c r="AE17" s="180"/>
      <c r="AF17" s="166"/>
      <c r="AG17" s="166"/>
      <c r="AH17" s="180" t="e">
        <f t="shared" si="5"/>
        <v>#N/A</v>
      </c>
      <c r="AI17" s="486"/>
      <c r="AJ17" s="180"/>
      <c r="AK17" s="166"/>
      <c r="AL17" s="166"/>
      <c r="AM17" s="180" t="e">
        <f t="shared" si="6"/>
        <v>#N/A</v>
      </c>
      <c r="AN17" s="486"/>
      <c r="AO17" s="180"/>
      <c r="AP17" s="166"/>
      <c r="AQ17" s="166"/>
      <c r="AR17" s="180" t="e">
        <f t="shared" si="7"/>
        <v>#N/A</v>
      </c>
      <c r="AS17" s="486"/>
      <c r="AT17" s="180"/>
      <c r="AU17" s="166"/>
      <c r="AV17" s="166"/>
      <c r="AW17" s="180" t="e">
        <f t="shared" si="8"/>
        <v>#N/A</v>
      </c>
      <c r="AX17" s="486"/>
      <c r="AZ17" s="272" t="e">
        <f>RANK(AX17, $K$7:AX$21)</f>
        <v>#N/A</v>
      </c>
      <c r="BB17" s="180" t="e">
        <f t="shared" si="9"/>
        <v>#N/A</v>
      </c>
    </row>
    <row r="18" spans="2:54">
      <c r="B18" s="479"/>
      <c r="C18" s="180">
        <v>12</v>
      </c>
      <c r="D18" s="201"/>
      <c r="E18" s="166" t="s">
        <v>522</v>
      </c>
      <c r="F18" s="166" t="s">
        <v>522</v>
      </c>
      <c r="G18" s="166" t="s">
        <v>522</v>
      </c>
      <c r="H18" s="509"/>
      <c r="I18" s="180"/>
      <c r="J18" s="180"/>
      <c r="K18" s="180"/>
      <c r="L18" s="460"/>
      <c r="M18" s="272" t="e">
        <f>RANK(K18, K$7:$K$21)</f>
        <v>#N/A</v>
      </c>
      <c r="N18" s="462"/>
      <c r="O18" s="462"/>
      <c r="P18" s="180"/>
      <c r="Q18" s="166"/>
      <c r="R18" s="166"/>
      <c r="S18" s="180" t="e">
        <f t="shared" si="2"/>
        <v>#N/A</v>
      </c>
      <c r="T18" s="486"/>
      <c r="U18" s="180"/>
      <c r="V18" s="166"/>
      <c r="W18" s="166"/>
      <c r="X18" s="180" t="e">
        <f t="shared" si="3"/>
        <v>#N/A</v>
      </c>
      <c r="Y18" s="486"/>
      <c r="Z18" s="180"/>
      <c r="AA18" s="166"/>
      <c r="AB18" s="166"/>
      <c r="AC18" s="180" t="e">
        <f t="shared" si="4"/>
        <v>#N/A</v>
      </c>
      <c r="AD18" s="486"/>
      <c r="AE18" s="180"/>
      <c r="AF18" s="166"/>
      <c r="AG18" s="166"/>
      <c r="AH18" s="180" t="e">
        <f t="shared" si="5"/>
        <v>#N/A</v>
      </c>
      <c r="AI18" s="486"/>
      <c r="AJ18" s="180"/>
      <c r="AK18" s="166"/>
      <c r="AL18" s="166"/>
      <c r="AM18" s="180" t="e">
        <f t="shared" si="6"/>
        <v>#N/A</v>
      </c>
      <c r="AN18" s="486"/>
      <c r="AO18" s="180"/>
      <c r="AP18" s="166"/>
      <c r="AQ18" s="166"/>
      <c r="AR18" s="180" t="e">
        <f t="shared" si="7"/>
        <v>#N/A</v>
      </c>
      <c r="AS18" s="486"/>
      <c r="AT18" s="180"/>
      <c r="AU18" s="166"/>
      <c r="AV18" s="166"/>
      <c r="AW18" s="180" t="e">
        <f t="shared" si="8"/>
        <v>#N/A</v>
      </c>
      <c r="AX18" s="486"/>
      <c r="AZ18" s="272" t="e">
        <f>RANK(AX18, $K$7:AX$21)</f>
        <v>#N/A</v>
      </c>
      <c r="BB18" s="180" t="e">
        <f t="shared" si="9"/>
        <v>#N/A</v>
      </c>
    </row>
    <row r="19" spans="2:54">
      <c r="B19" s="479"/>
      <c r="C19" s="180">
        <v>13</v>
      </c>
      <c r="D19" s="201"/>
      <c r="E19" s="166" t="s">
        <v>522</v>
      </c>
      <c r="F19" s="166" t="s">
        <v>522</v>
      </c>
      <c r="G19" s="166" t="s">
        <v>522</v>
      </c>
      <c r="H19" s="509"/>
      <c r="I19" s="180"/>
      <c r="J19" s="180"/>
      <c r="K19" s="180"/>
      <c r="L19" s="460"/>
      <c r="M19" s="272" t="e">
        <f>RANK(K19, K$7:$K$21)</f>
        <v>#N/A</v>
      </c>
      <c r="N19" s="462"/>
      <c r="O19" s="462"/>
      <c r="P19" s="180"/>
      <c r="Q19" s="166"/>
      <c r="R19" s="166"/>
      <c r="S19" s="180" t="e">
        <f t="shared" si="2"/>
        <v>#N/A</v>
      </c>
      <c r="T19" s="486"/>
      <c r="U19" s="180"/>
      <c r="V19" s="166"/>
      <c r="W19" s="166"/>
      <c r="X19" s="180" t="e">
        <f t="shared" si="3"/>
        <v>#N/A</v>
      </c>
      <c r="Y19" s="486"/>
      <c r="Z19" s="180"/>
      <c r="AA19" s="166"/>
      <c r="AB19" s="166"/>
      <c r="AC19" s="180" t="e">
        <f t="shared" si="4"/>
        <v>#N/A</v>
      </c>
      <c r="AD19" s="486"/>
      <c r="AE19" s="180"/>
      <c r="AF19" s="166"/>
      <c r="AG19" s="166"/>
      <c r="AH19" s="180" t="e">
        <f t="shared" si="5"/>
        <v>#N/A</v>
      </c>
      <c r="AI19" s="486"/>
      <c r="AJ19" s="180"/>
      <c r="AK19" s="166"/>
      <c r="AL19" s="166"/>
      <c r="AM19" s="180" t="e">
        <f t="shared" si="6"/>
        <v>#N/A</v>
      </c>
      <c r="AN19" s="486"/>
      <c r="AO19" s="180"/>
      <c r="AP19" s="166"/>
      <c r="AQ19" s="166"/>
      <c r="AR19" s="180" t="e">
        <f t="shared" si="7"/>
        <v>#N/A</v>
      </c>
      <c r="AS19" s="486"/>
      <c r="AT19" s="180"/>
      <c r="AU19" s="166"/>
      <c r="AV19" s="166"/>
      <c r="AW19" s="180" t="e">
        <f t="shared" si="8"/>
        <v>#N/A</v>
      </c>
      <c r="AX19" s="486"/>
      <c r="AZ19" s="272" t="e">
        <f>RANK(AX19, $K$7:AX$21)</f>
        <v>#N/A</v>
      </c>
      <c r="BB19" s="180" t="e">
        <f t="shared" si="9"/>
        <v>#N/A</v>
      </c>
    </row>
    <row r="20" spans="2:54">
      <c r="B20" s="479"/>
      <c r="C20" s="180">
        <v>14</v>
      </c>
      <c r="D20" s="201"/>
      <c r="E20" s="166" t="s">
        <v>522</v>
      </c>
      <c r="F20" s="166" t="s">
        <v>522</v>
      </c>
      <c r="G20" s="166" t="s">
        <v>522</v>
      </c>
      <c r="H20" s="509"/>
      <c r="I20" s="180"/>
      <c r="J20" s="180"/>
      <c r="K20" s="180"/>
      <c r="L20" s="460"/>
      <c r="M20" s="272" t="e">
        <f>RANK(K20, K$7:$K$21)</f>
        <v>#N/A</v>
      </c>
      <c r="N20" s="462"/>
      <c r="O20" s="462"/>
      <c r="P20" s="180"/>
      <c r="Q20" s="166"/>
      <c r="R20" s="166"/>
      <c r="S20" s="180" t="e">
        <f t="shared" si="2"/>
        <v>#N/A</v>
      </c>
      <c r="T20" s="486"/>
      <c r="U20" s="180"/>
      <c r="V20" s="166"/>
      <c r="W20" s="166"/>
      <c r="X20" s="180" t="e">
        <f t="shared" si="3"/>
        <v>#N/A</v>
      </c>
      <c r="Y20" s="486"/>
      <c r="Z20" s="180"/>
      <c r="AA20" s="166"/>
      <c r="AB20" s="166"/>
      <c r="AC20" s="180" t="e">
        <f t="shared" si="4"/>
        <v>#N/A</v>
      </c>
      <c r="AD20" s="486"/>
      <c r="AE20" s="180"/>
      <c r="AF20" s="166"/>
      <c r="AG20" s="166"/>
      <c r="AH20" s="180" t="e">
        <f t="shared" si="5"/>
        <v>#N/A</v>
      </c>
      <c r="AI20" s="486"/>
      <c r="AJ20" s="180"/>
      <c r="AK20" s="166"/>
      <c r="AL20" s="166"/>
      <c r="AM20" s="180" t="e">
        <f t="shared" si="6"/>
        <v>#N/A</v>
      </c>
      <c r="AN20" s="486"/>
      <c r="AO20" s="180"/>
      <c r="AP20" s="166"/>
      <c r="AQ20" s="166"/>
      <c r="AR20" s="180" t="e">
        <f t="shared" si="7"/>
        <v>#N/A</v>
      </c>
      <c r="AS20" s="486"/>
      <c r="AT20" s="180"/>
      <c r="AU20" s="166"/>
      <c r="AV20" s="166"/>
      <c r="AW20" s="180" t="e">
        <f t="shared" si="8"/>
        <v>#N/A</v>
      </c>
      <c r="AX20" s="486"/>
      <c r="AZ20" s="272" t="e">
        <f>RANK(AX20, $K$7:AX$21)</f>
        <v>#N/A</v>
      </c>
      <c r="BB20" s="180" t="e">
        <f t="shared" si="9"/>
        <v>#N/A</v>
      </c>
    </row>
    <row r="21" spans="2:54">
      <c r="B21" s="479"/>
      <c r="C21" s="180">
        <v>15</v>
      </c>
      <c r="D21" s="201"/>
      <c r="E21" s="166" t="s">
        <v>522</v>
      </c>
      <c r="F21" s="166" t="s">
        <v>522</v>
      </c>
      <c r="G21" s="166" t="s">
        <v>522</v>
      </c>
      <c r="H21" s="510"/>
      <c r="I21" s="180"/>
      <c r="J21" s="180"/>
      <c r="K21" s="180"/>
      <c r="L21" s="461"/>
      <c r="M21" s="272" t="e">
        <f>RANK(K21, K$7:$K$21)</f>
        <v>#N/A</v>
      </c>
      <c r="N21" s="462"/>
      <c r="O21" s="462"/>
      <c r="P21" s="180"/>
      <c r="Q21" s="166"/>
      <c r="R21" s="166"/>
      <c r="S21" s="180" t="e">
        <f t="shared" si="2"/>
        <v>#N/A</v>
      </c>
      <c r="T21" s="486"/>
      <c r="U21" s="180"/>
      <c r="V21" s="166"/>
      <c r="W21" s="166"/>
      <c r="X21" s="180" t="e">
        <f t="shared" si="3"/>
        <v>#N/A</v>
      </c>
      <c r="Y21" s="486"/>
      <c r="Z21" s="180"/>
      <c r="AA21" s="166"/>
      <c r="AB21" s="166"/>
      <c r="AC21" s="180" t="e">
        <f t="shared" si="4"/>
        <v>#N/A</v>
      </c>
      <c r="AD21" s="486"/>
      <c r="AE21" s="180"/>
      <c r="AF21" s="166"/>
      <c r="AG21" s="166"/>
      <c r="AH21" s="180" t="e">
        <f t="shared" si="5"/>
        <v>#N/A</v>
      </c>
      <c r="AI21" s="486"/>
      <c r="AJ21" s="180"/>
      <c r="AK21" s="166"/>
      <c r="AL21" s="166"/>
      <c r="AM21" s="180" t="e">
        <f t="shared" si="6"/>
        <v>#N/A</v>
      </c>
      <c r="AN21" s="486"/>
      <c r="AO21" s="180"/>
      <c r="AP21" s="166"/>
      <c r="AQ21" s="166"/>
      <c r="AR21" s="180" t="e">
        <f t="shared" si="7"/>
        <v>#N/A</v>
      </c>
      <c r="AS21" s="486"/>
      <c r="AT21" s="180"/>
      <c r="AU21" s="166"/>
      <c r="AV21" s="166"/>
      <c r="AW21" s="180" t="e">
        <f t="shared" si="8"/>
        <v>#N/A</v>
      </c>
      <c r="AX21" s="486"/>
      <c r="AZ21" s="166" t="e">
        <f>RANK(AX21, $K$7:AX$21)</f>
        <v>#N/A</v>
      </c>
      <c r="BB21" s="180" t="e">
        <f t="shared" si="9"/>
        <v>#N/A</v>
      </c>
    </row>
    <row r="22" spans="2:54" ht="15.75">
      <c r="B22" s="490" t="s">
        <v>721</v>
      </c>
      <c r="C22" s="491"/>
      <c r="D22" s="491"/>
      <c r="E22" s="491"/>
      <c r="F22" s="491"/>
      <c r="G22" s="491"/>
      <c r="H22" s="491"/>
      <c r="I22" s="181"/>
      <c r="J22" s="181"/>
      <c r="K22" s="181"/>
      <c r="L22" s="181"/>
      <c r="M22" s="178"/>
      <c r="N22" s="469" t="s">
        <v>722</v>
      </c>
      <c r="O22" s="469" t="s">
        <v>723</v>
      </c>
      <c r="P22" s="478">
        <f>AT2+1</f>
        <v>46056</v>
      </c>
      <c r="Q22" s="479"/>
      <c r="R22" s="479"/>
      <c r="S22" s="479"/>
      <c r="T22" s="479"/>
      <c r="U22" s="478">
        <f>P22+1</f>
        <v>46057</v>
      </c>
      <c r="V22" s="479"/>
      <c r="W22" s="479"/>
      <c r="X22" s="479"/>
      <c r="Y22" s="479"/>
      <c r="Z22" s="478">
        <f>U22+1</f>
        <v>46058</v>
      </c>
      <c r="AA22" s="479"/>
      <c r="AB22" s="479"/>
      <c r="AC22" s="479"/>
      <c r="AD22" s="479"/>
      <c r="AE22" s="478">
        <f>Z22+1</f>
        <v>46059</v>
      </c>
      <c r="AF22" s="479"/>
      <c r="AG22" s="479"/>
      <c r="AH22" s="479"/>
      <c r="AI22" s="479"/>
      <c r="AJ22" s="478">
        <f>AE22+1</f>
        <v>46060</v>
      </c>
      <c r="AK22" s="479"/>
      <c r="AL22" s="479"/>
      <c r="AM22" s="479"/>
      <c r="AN22" s="479"/>
      <c r="AO22" s="478">
        <f>AJ22+1</f>
        <v>46061</v>
      </c>
      <c r="AP22" s="479"/>
      <c r="AQ22" s="479"/>
      <c r="AR22" s="479"/>
      <c r="AS22" s="479"/>
      <c r="AT22" s="478">
        <f>AO22+1</f>
        <v>46062</v>
      </c>
      <c r="AU22" s="479"/>
      <c r="AV22" s="479"/>
      <c r="AW22" s="479"/>
      <c r="AX22" s="479"/>
    </row>
    <row r="23" spans="2:54" ht="15.75">
      <c r="B23" s="482"/>
      <c r="C23" s="482"/>
      <c r="D23" s="482"/>
      <c r="E23" s="482"/>
      <c r="F23" s="482"/>
      <c r="G23" s="482"/>
      <c r="H23" s="482"/>
      <c r="I23" s="182"/>
      <c r="J23" s="182"/>
      <c r="K23" s="182"/>
      <c r="L23" s="182"/>
      <c r="M23" s="179"/>
      <c r="N23" s="471"/>
      <c r="O23" s="471"/>
      <c r="P23" s="478" t="s">
        <v>724</v>
      </c>
      <c r="Q23" s="479"/>
      <c r="R23" s="479"/>
      <c r="S23" s="479"/>
      <c r="T23" s="479"/>
      <c r="U23" s="478" t="s">
        <v>725</v>
      </c>
      <c r="V23" s="479"/>
      <c r="W23" s="479"/>
      <c r="X23" s="479"/>
      <c r="Y23" s="479"/>
      <c r="Z23" s="478" t="s">
        <v>726</v>
      </c>
      <c r="AA23" s="479"/>
      <c r="AB23" s="479"/>
      <c r="AC23" s="479"/>
      <c r="AD23" s="479"/>
      <c r="AE23" s="478" t="s">
        <v>727</v>
      </c>
      <c r="AF23" s="479"/>
      <c r="AG23" s="479"/>
      <c r="AH23" s="479"/>
      <c r="AI23" s="479"/>
      <c r="AJ23" s="478" t="s">
        <v>728</v>
      </c>
      <c r="AK23" s="479"/>
      <c r="AL23" s="479"/>
      <c r="AM23" s="479"/>
      <c r="AN23" s="479"/>
      <c r="AO23" s="478" t="s">
        <v>729</v>
      </c>
      <c r="AP23" s="479"/>
      <c r="AQ23" s="479"/>
      <c r="AR23" s="479"/>
      <c r="AS23" s="479"/>
      <c r="AT23" s="478" t="s">
        <v>730</v>
      </c>
      <c r="AU23" s="479"/>
      <c r="AV23" s="479"/>
      <c r="AW23" s="479"/>
      <c r="AX23" s="479"/>
    </row>
    <row r="24" spans="2:54">
      <c r="B24" s="462" t="s">
        <v>731</v>
      </c>
      <c r="C24" s="462" t="s">
        <v>732</v>
      </c>
      <c r="D24" s="462"/>
      <c r="E24" s="462" t="s">
        <v>733</v>
      </c>
      <c r="F24" s="462"/>
      <c r="G24" s="462"/>
      <c r="H24" s="463" t="s">
        <v>734</v>
      </c>
      <c r="I24" s="462" t="s">
        <v>735</v>
      </c>
      <c r="J24" s="462"/>
      <c r="K24" s="462"/>
      <c r="L24" s="463" t="s">
        <v>734</v>
      </c>
      <c r="M24" s="469" t="s">
        <v>736</v>
      </c>
      <c r="N24" s="462"/>
      <c r="O24" s="462" t="s">
        <v>737</v>
      </c>
      <c r="P24" s="466" t="s">
        <v>738</v>
      </c>
      <c r="Q24" s="467"/>
      <c r="R24" s="467"/>
      <c r="S24" s="468"/>
      <c r="T24" s="462" t="s">
        <v>734</v>
      </c>
      <c r="U24" s="466" t="s">
        <v>738</v>
      </c>
      <c r="V24" s="467"/>
      <c r="W24" s="467"/>
      <c r="X24" s="468"/>
      <c r="Y24" s="462" t="s">
        <v>734</v>
      </c>
      <c r="Z24" s="466" t="s">
        <v>738</v>
      </c>
      <c r="AA24" s="467"/>
      <c r="AB24" s="467"/>
      <c r="AC24" s="468"/>
      <c r="AD24" s="462" t="s">
        <v>734</v>
      </c>
      <c r="AE24" s="466" t="s">
        <v>738</v>
      </c>
      <c r="AF24" s="467"/>
      <c r="AG24" s="467"/>
      <c r="AH24" s="468"/>
      <c r="AI24" s="462" t="s">
        <v>734</v>
      </c>
      <c r="AJ24" s="466" t="s">
        <v>738</v>
      </c>
      <c r="AK24" s="467"/>
      <c r="AL24" s="467"/>
      <c r="AM24" s="468"/>
      <c r="AN24" s="462" t="s">
        <v>734</v>
      </c>
      <c r="AO24" s="466" t="s">
        <v>738</v>
      </c>
      <c r="AP24" s="467"/>
      <c r="AQ24" s="467"/>
      <c r="AR24" s="468"/>
      <c r="AS24" s="462" t="s">
        <v>734</v>
      </c>
      <c r="AT24" s="466" t="s">
        <v>738</v>
      </c>
      <c r="AU24" s="467"/>
      <c r="AV24" s="467"/>
      <c r="AW24" s="468"/>
      <c r="AX24" s="462" t="s">
        <v>734</v>
      </c>
    </row>
    <row r="25" spans="2:54">
      <c r="B25" s="462"/>
      <c r="C25" s="462"/>
      <c r="D25" s="462"/>
      <c r="E25" s="462" t="s">
        <v>739</v>
      </c>
      <c r="F25" s="462"/>
      <c r="G25" s="462"/>
      <c r="H25" s="464"/>
      <c r="I25" s="462" t="s">
        <v>739</v>
      </c>
      <c r="J25" s="462"/>
      <c r="K25" s="462"/>
      <c r="L25" s="464"/>
      <c r="M25" s="470"/>
      <c r="N25" s="462"/>
      <c r="O25" s="462"/>
      <c r="P25" s="466" t="s">
        <v>740</v>
      </c>
      <c r="Q25" s="467"/>
      <c r="R25" s="467"/>
      <c r="S25" s="468"/>
      <c r="T25" s="462"/>
      <c r="U25" s="466" t="s">
        <v>740</v>
      </c>
      <c r="V25" s="467"/>
      <c r="W25" s="467"/>
      <c r="X25" s="468"/>
      <c r="Y25" s="462"/>
      <c r="Z25" s="466" t="s">
        <v>740</v>
      </c>
      <c r="AA25" s="467"/>
      <c r="AB25" s="467"/>
      <c r="AC25" s="468"/>
      <c r="AD25" s="462"/>
      <c r="AE25" s="466" t="s">
        <v>740</v>
      </c>
      <c r="AF25" s="467"/>
      <c r="AG25" s="467"/>
      <c r="AH25" s="468"/>
      <c r="AI25" s="462"/>
      <c r="AJ25" s="466" t="s">
        <v>740</v>
      </c>
      <c r="AK25" s="467"/>
      <c r="AL25" s="467"/>
      <c r="AM25" s="468"/>
      <c r="AN25" s="462"/>
      <c r="AO25" s="466" t="s">
        <v>740</v>
      </c>
      <c r="AP25" s="467"/>
      <c r="AQ25" s="467"/>
      <c r="AR25" s="468"/>
      <c r="AS25" s="462"/>
      <c r="AT25" s="466" t="s">
        <v>740</v>
      </c>
      <c r="AU25" s="467"/>
      <c r="AV25" s="467"/>
      <c r="AW25" s="468"/>
      <c r="AX25" s="462"/>
    </row>
    <row r="26" spans="2:54">
      <c r="B26" s="462"/>
      <c r="C26" s="462"/>
      <c r="D26" s="462"/>
      <c r="E26" s="264" t="s">
        <v>741</v>
      </c>
      <c r="F26" s="264" t="s">
        <v>742</v>
      </c>
      <c r="G26" s="264" t="s">
        <v>743</v>
      </c>
      <c r="H26" s="465"/>
      <c r="I26" s="264" t="s">
        <v>741</v>
      </c>
      <c r="J26" s="264" t="s">
        <v>742</v>
      </c>
      <c r="K26" s="264" t="s">
        <v>743</v>
      </c>
      <c r="L26" s="465"/>
      <c r="M26" s="471"/>
      <c r="N26" s="462"/>
      <c r="O26" s="462"/>
      <c r="P26" s="264" t="s">
        <v>741</v>
      </c>
      <c r="Q26" s="264" t="s">
        <v>742</v>
      </c>
      <c r="R26" s="264" t="s">
        <v>743</v>
      </c>
      <c r="S26" s="264" t="s">
        <v>736</v>
      </c>
      <c r="T26" s="462"/>
      <c r="U26" s="264" t="s">
        <v>741</v>
      </c>
      <c r="V26" s="264" t="s">
        <v>742</v>
      </c>
      <c r="W26" s="264" t="s">
        <v>743</v>
      </c>
      <c r="X26" s="264" t="s">
        <v>736</v>
      </c>
      <c r="Y26" s="462"/>
      <c r="Z26" s="264" t="s">
        <v>741</v>
      </c>
      <c r="AA26" s="264" t="s">
        <v>742</v>
      </c>
      <c r="AB26" s="264" t="s">
        <v>743</v>
      </c>
      <c r="AC26" s="264" t="s">
        <v>736</v>
      </c>
      <c r="AD26" s="462"/>
      <c r="AE26" s="264" t="s">
        <v>741</v>
      </c>
      <c r="AF26" s="264" t="s">
        <v>742</v>
      </c>
      <c r="AG26" s="264" t="s">
        <v>743</v>
      </c>
      <c r="AH26" s="264" t="s">
        <v>736</v>
      </c>
      <c r="AI26" s="462"/>
      <c r="AJ26" s="264" t="s">
        <v>741</v>
      </c>
      <c r="AK26" s="264" t="s">
        <v>742</v>
      </c>
      <c r="AL26" s="264" t="s">
        <v>743</v>
      </c>
      <c r="AM26" s="264" t="s">
        <v>736</v>
      </c>
      <c r="AN26" s="462"/>
      <c r="AO26" s="264" t="s">
        <v>741</v>
      </c>
      <c r="AP26" s="264" t="s">
        <v>742</v>
      </c>
      <c r="AQ26" s="264" t="s">
        <v>743</v>
      </c>
      <c r="AR26" s="264" t="s">
        <v>736</v>
      </c>
      <c r="AS26" s="462"/>
      <c r="AT26" s="264" t="s">
        <v>741</v>
      </c>
      <c r="AU26" s="264" t="s">
        <v>742</v>
      </c>
      <c r="AV26" s="264" t="s">
        <v>743</v>
      </c>
      <c r="AW26" s="264" t="s">
        <v>736</v>
      </c>
      <c r="AX26" s="462"/>
    </row>
    <row r="27" spans="2:54">
      <c r="B27" s="462" t="s">
        <v>757</v>
      </c>
      <c r="C27" s="180">
        <v>1</v>
      </c>
      <c r="D27" s="201" t="s">
        <v>378</v>
      </c>
      <c r="E27" s="166">
        <v>20</v>
      </c>
      <c r="F27" s="180">
        <v>2200</v>
      </c>
      <c r="G27" s="265">
        <v>110</v>
      </c>
      <c r="H27" s="459">
        <f>AVERAGE(G27:G41)</f>
        <v>137.58479532163742</v>
      </c>
      <c r="I27" s="166">
        <f t="shared" ref="I27:K31" si="10">AVERAGE(P27,U27,Z27,AE27,AJ27,AO27,AT27)</f>
        <v>20</v>
      </c>
      <c r="J27" s="166">
        <f t="shared" si="10"/>
        <v>2104.4411946047062</v>
      </c>
      <c r="K27" s="265">
        <f t="shared" si="10"/>
        <v>105.2220597302353</v>
      </c>
      <c r="L27" s="459">
        <f>IFERROR(AVERAGE(K27:K41),"-")</f>
        <v>123.88484312944816</v>
      </c>
      <c r="M27" s="272">
        <f>RANK(K27, K$27:$K$41)</f>
        <v>5</v>
      </c>
      <c r="N27" s="462"/>
      <c r="O27" s="462"/>
      <c r="P27" s="166">
        <v>20</v>
      </c>
      <c r="Q27" s="265">
        <v>2096.1038961038971</v>
      </c>
      <c r="R27" s="265">
        <v>104.80519480519486</v>
      </c>
      <c r="S27" s="180">
        <f t="shared" ref="S27:S41" si="11">RANK(R27, R$27:R$41)</f>
        <v>4</v>
      </c>
      <c r="T27" s="459">
        <f>AVERAGE(R27:R41)</f>
        <v>120.53522150466799</v>
      </c>
      <c r="U27" s="166">
        <v>20</v>
      </c>
      <c r="V27" s="265">
        <v>2103.5714285714275</v>
      </c>
      <c r="W27" s="265">
        <v>105.17857142857137</v>
      </c>
      <c r="X27" s="180">
        <f t="shared" ref="X27:X41" si="12">RANK(W27, W$27:W$41)</f>
        <v>5</v>
      </c>
      <c r="Y27" s="459">
        <f t="shared" ref="Y27" si="13">AVERAGE(W27:W41)</f>
        <v>124.1715891635246</v>
      </c>
      <c r="Z27" s="166">
        <v>20</v>
      </c>
      <c r="AA27" s="265">
        <v>2084.4444444444434</v>
      </c>
      <c r="AB27" s="265">
        <v>104.22222222222217</v>
      </c>
      <c r="AC27" s="180">
        <f t="shared" ref="AC27:AC41" si="14">RANK(AB27, AB$27:AB$41)</f>
        <v>5</v>
      </c>
      <c r="AD27" s="459">
        <f t="shared" ref="AD27" si="15">AVERAGE(AB27:AB41)</f>
        <v>124.49212113772987</v>
      </c>
      <c r="AE27" s="166">
        <v>20</v>
      </c>
      <c r="AF27" s="265">
        <v>2108.5714285714294</v>
      </c>
      <c r="AG27" s="265">
        <v>105.42857142857147</v>
      </c>
      <c r="AH27" s="180">
        <f t="shared" ref="AH27:AH41" si="16">RANK(AG27, AG$27:AG$41)</f>
        <v>5</v>
      </c>
      <c r="AI27" s="459">
        <f t="shared" ref="AI27" si="17">AVERAGE(AG27:AG41)</f>
        <v>125.53705180887732</v>
      </c>
      <c r="AJ27" s="166">
        <v>20</v>
      </c>
      <c r="AK27" s="265">
        <v>2096.7567567567576</v>
      </c>
      <c r="AL27" s="265">
        <v>104.83783783783788</v>
      </c>
      <c r="AM27" s="180">
        <f t="shared" ref="AM27:AM41" si="18">RANK(AL27, AL$27:AL$41)</f>
        <v>5</v>
      </c>
      <c r="AN27" s="459">
        <f t="shared" ref="AN27" si="19">AVERAGE(AL27:AL41)</f>
        <v>124.02240399618088</v>
      </c>
      <c r="AO27" s="166">
        <v>20</v>
      </c>
      <c r="AP27" s="265">
        <v>2122.4096385542161</v>
      </c>
      <c r="AQ27" s="265">
        <v>106.12048192771081</v>
      </c>
      <c r="AR27" s="180">
        <f t="shared" ref="AR27:AR41" si="20">RANK(AQ27, AQ$27:AQ$41)</f>
        <v>5</v>
      </c>
      <c r="AS27" s="459">
        <f t="shared" ref="AS27" si="21">AVERAGE(AQ27:AQ41)</f>
        <v>123.45420462316915</v>
      </c>
      <c r="AT27" s="166">
        <v>20</v>
      </c>
      <c r="AU27" s="265">
        <v>2119.2307692307704</v>
      </c>
      <c r="AV27" s="265">
        <v>105.96153846153852</v>
      </c>
      <c r="AW27" s="180">
        <f t="shared" ref="AW27:AW41" si="22">RANK(AV27, AV$27:AV$41)</f>
        <v>5</v>
      </c>
      <c r="AX27" s="486">
        <f t="shared" ref="AX27" si="23">AVERAGE(AV27:AV41)</f>
        <v>124.98130967198736</v>
      </c>
    </row>
    <row r="28" spans="2:54">
      <c r="B28" s="479"/>
      <c r="C28" s="180">
        <v>2</v>
      </c>
      <c r="D28" s="201" t="s">
        <v>379</v>
      </c>
      <c r="E28" s="166">
        <v>18</v>
      </c>
      <c r="F28" s="180">
        <v>2700</v>
      </c>
      <c r="G28" s="265">
        <v>150</v>
      </c>
      <c r="H28" s="460"/>
      <c r="I28" s="166">
        <f t="shared" si="10"/>
        <v>18.142857142857142</v>
      </c>
      <c r="J28" s="166">
        <f t="shared" si="10"/>
        <v>2454.8794682558932</v>
      </c>
      <c r="K28" s="265">
        <f t="shared" si="10"/>
        <v>135.35994007968296</v>
      </c>
      <c r="L28" s="460"/>
      <c r="M28" s="272">
        <f>RANK(K28, K$27:$K$41)</f>
        <v>3</v>
      </c>
      <c r="N28" s="462"/>
      <c r="O28" s="462"/>
      <c r="P28" s="180">
        <v>19</v>
      </c>
      <c r="Q28" s="265">
        <v>2447.2727272727298</v>
      </c>
      <c r="R28" s="265">
        <v>128.80382775119631</v>
      </c>
      <c r="S28" s="180">
        <f t="shared" si="11"/>
        <v>3</v>
      </c>
      <c r="T28" s="460"/>
      <c r="U28" s="180">
        <v>18</v>
      </c>
      <c r="V28" s="265">
        <v>2448.9473684210507</v>
      </c>
      <c r="W28" s="265">
        <v>136.05263157894726</v>
      </c>
      <c r="X28" s="180">
        <f t="shared" si="12"/>
        <v>2</v>
      </c>
      <c r="Y28" s="460"/>
      <c r="Z28" s="180">
        <v>18</v>
      </c>
      <c r="AA28" s="265">
        <v>2508.3333333333312</v>
      </c>
      <c r="AB28" s="265">
        <v>139.35185185185173</v>
      </c>
      <c r="AC28" s="180">
        <f t="shared" si="14"/>
        <v>1</v>
      </c>
      <c r="AD28" s="460"/>
      <c r="AE28" s="180">
        <v>18</v>
      </c>
      <c r="AF28" s="265">
        <v>2485.1612903225828</v>
      </c>
      <c r="AG28" s="265">
        <v>138.06451612903237</v>
      </c>
      <c r="AH28" s="180">
        <f t="shared" si="16"/>
        <v>1</v>
      </c>
      <c r="AI28" s="460"/>
      <c r="AJ28" s="180">
        <v>18</v>
      </c>
      <c r="AK28" s="265">
        <v>2432.7272727272752</v>
      </c>
      <c r="AL28" s="265">
        <v>135.1515151515153</v>
      </c>
      <c r="AM28" s="180">
        <f t="shared" si="18"/>
        <v>2</v>
      </c>
      <c r="AN28" s="460"/>
      <c r="AO28" s="180">
        <v>18</v>
      </c>
      <c r="AP28" s="265">
        <v>2391.4285714285693</v>
      </c>
      <c r="AQ28" s="265">
        <v>132.85714285714275</v>
      </c>
      <c r="AR28" s="180">
        <f t="shared" si="20"/>
        <v>3</v>
      </c>
      <c r="AS28" s="460"/>
      <c r="AT28" s="180">
        <v>18</v>
      </c>
      <c r="AU28" s="265">
        <v>2470.2857142857115</v>
      </c>
      <c r="AV28" s="265">
        <v>137.23809523809507</v>
      </c>
      <c r="AW28" s="180">
        <f t="shared" si="22"/>
        <v>1</v>
      </c>
      <c r="AX28" s="486"/>
    </row>
    <row r="29" spans="2:54">
      <c r="B29" s="479"/>
      <c r="C29" s="180">
        <v>3</v>
      </c>
      <c r="D29" s="201" t="s">
        <v>380</v>
      </c>
      <c r="E29" s="166">
        <v>18</v>
      </c>
      <c r="F29" s="180">
        <v>2800</v>
      </c>
      <c r="G29" s="265">
        <v>155.55555555555554</v>
      </c>
      <c r="H29" s="460"/>
      <c r="I29" s="166">
        <f t="shared" si="10"/>
        <v>18.142857142857142</v>
      </c>
      <c r="J29" s="166">
        <f t="shared" si="10"/>
        <v>2462.4494988108645</v>
      </c>
      <c r="K29" s="265">
        <f t="shared" si="10"/>
        <v>135.75153699593153</v>
      </c>
      <c r="L29" s="460"/>
      <c r="M29" s="272">
        <f>RANK(K29, K$27:$K$41)</f>
        <v>2</v>
      </c>
      <c r="N29" s="462"/>
      <c r="O29" s="462"/>
      <c r="P29" s="180">
        <v>19</v>
      </c>
      <c r="Q29" s="265">
        <v>2516.6037735849072</v>
      </c>
      <c r="R29" s="265">
        <v>132.45283018867931</v>
      </c>
      <c r="S29" s="180">
        <f t="shared" si="11"/>
        <v>2</v>
      </c>
      <c r="T29" s="460"/>
      <c r="U29" s="180">
        <v>18</v>
      </c>
      <c r="V29" s="265">
        <v>2436.7741935483859</v>
      </c>
      <c r="W29" s="265">
        <v>135.37634408602145</v>
      </c>
      <c r="X29" s="180">
        <f t="shared" si="12"/>
        <v>3</v>
      </c>
      <c r="Y29" s="460"/>
      <c r="Z29" s="180">
        <v>18</v>
      </c>
      <c r="AA29" s="265">
        <v>2464.137931034481</v>
      </c>
      <c r="AB29" s="265">
        <v>136.89655172413782</v>
      </c>
      <c r="AC29" s="180">
        <f t="shared" si="14"/>
        <v>2</v>
      </c>
      <c r="AD29" s="460"/>
      <c r="AE29" s="180">
        <v>18</v>
      </c>
      <c r="AF29" s="265">
        <v>2468.8888888888901</v>
      </c>
      <c r="AG29" s="265">
        <v>137.16049382716056</v>
      </c>
      <c r="AH29" s="180">
        <f t="shared" si="16"/>
        <v>3</v>
      </c>
      <c r="AI29" s="460"/>
      <c r="AJ29" s="180">
        <v>18</v>
      </c>
      <c r="AK29" s="265">
        <v>2456.6037735849072</v>
      </c>
      <c r="AL29" s="265">
        <v>136.47798742138374</v>
      </c>
      <c r="AM29" s="180">
        <f t="shared" si="18"/>
        <v>1</v>
      </c>
      <c r="AN29" s="460"/>
      <c r="AO29" s="180">
        <v>18</v>
      </c>
      <c r="AP29" s="265">
        <v>2429.9999999999986</v>
      </c>
      <c r="AQ29" s="265">
        <v>134.99999999999991</v>
      </c>
      <c r="AR29" s="180">
        <f t="shared" si="20"/>
        <v>2</v>
      </c>
      <c r="AS29" s="460"/>
      <c r="AT29" s="180">
        <v>18</v>
      </c>
      <c r="AU29" s="265">
        <v>2464.137931034481</v>
      </c>
      <c r="AV29" s="265">
        <v>136.89655172413782</v>
      </c>
      <c r="AW29" s="180">
        <f t="shared" si="22"/>
        <v>2</v>
      </c>
      <c r="AX29" s="486"/>
    </row>
    <row r="30" spans="2:54">
      <c r="B30" s="479"/>
      <c r="C30" s="180">
        <v>4</v>
      </c>
      <c r="D30" s="201" t="s">
        <v>381</v>
      </c>
      <c r="E30" s="166">
        <v>19</v>
      </c>
      <c r="F30" s="180">
        <v>2800</v>
      </c>
      <c r="G30" s="265">
        <v>147.36842105263159</v>
      </c>
      <c r="H30" s="460"/>
      <c r="I30" s="166">
        <f t="shared" si="10"/>
        <v>18.142857142857142</v>
      </c>
      <c r="J30" s="166">
        <f t="shared" si="10"/>
        <v>2469.4962253237559</v>
      </c>
      <c r="K30" s="265">
        <f t="shared" si="10"/>
        <v>136.14276886622136</v>
      </c>
      <c r="L30" s="460"/>
      <c r="M30" s="272">
        <f>RANK(K30, K$27:$K$41)</f>
        <v>1</v>
      </c>
      <c r="N30" s="462"/>
      <c r="O30" s="462"/>
      <c r="P30" s="180">
        <v>19</v>
      </c>
      <c r="Q30" s="265">
        <v>2517.2093023255811</v>
      </c>
      <c r="R30" s="265">
        <v>132.484700122399</v>
      </c>
      <c r="S30" s="180">
        <f t="shared" si="11"/>
        <v>1</v>
      </c>
      <c r="T30" s="460"/>
      <c r="U30" s="180">
        <v>18</v>
      </c>
      <c r="V30" s="265">
        <v>2488.4210526315778</v>
      </c>
      <c r="W30" s="265">
        <v>138.24561403508767</v>
      </c>
      <c r="X30" s="180">
        <f t="shared" si="12"/>
        <v>1</v>
      </c>
      <c r="Y30" s="460"/>
      <c r="Z30" s="180">
        <v>18</v>
      </c>
      <c r="AA30" s="265">
        <v>2460.6521739130458</v>
      </c>
      <c r="AB30" s="265">
        <v>136.70289855072477</v>
      </c>
      <c r="AC30" s="180">
        <f t="shared" si="14"/>
        <v>3</v>
      </c>
      <c r="AD30" s="460"/>
      <c r="AE30" s="180">
        <v>18</v>
      </c>
      <c r="AF30" s="265">
        <v>2482.1739130434785</v>
      </c>
      <c r="AG30" s="265">
        <v>137.89855072463769</v>
      </c>
      <c r="AH30" s="180">
        <f t="shared" si="16"/>
        <v>2</v>
      </c>
      <c r="AI30" s="460"/>
      <c r="AJ30" s="180">
        <v>18</v>
      </c>
      <c r="AK30" s="265">
        <v>2422.2471910112358</v>
      </c>
      <c r="AL30" s="265">
        <v>134.5692883895131</v>
      </c>
      <c r="AM30" s="180">
        <f t="shared" si="18"/>
        <v>3</v>
      </c>
      <c r="AN30" s="460"/>
      <c r="AO30" s="180">
        <v>18</v>
      </c>
      <c r="AP30" s="265">
        <v>2461.2244897959167</v>
      </c>
      <c r="AQ30" s="265">
        <v>136.73469387755094</v>
      </c>
      <c r="AR30" s="180">
        <f t="shared" si="20"/>
        <v>1</v>
      </c>
      <c r="AS30" s="460"/>
      <c r="AT30" s="180">
        <v>18</v>
      </c>
      <c r="AU30" s="265">
        <v>2454.5454545454559</v>
      </c>
      <c r="AV30" s="265">
        <v>136.36363636363643</v>
      </c>
      <c r="AW30" s="180">
        <f t="shared" si="22"/>
        <v>3</v>
      </c>
      <c r="AX30" s="486"/>
    </row>
    <row r="31" spans="2:54">
      <c r="B31" s="479"/>
      <c r="C31" s="180">
        <v>5</v>
      </c>
      <c r="D31" s="201" t="s">
        <v>525</v>
      </c>
      <c r="E31" s="166">
        <v>18</v>
      </c>
      <c r="F31" s="180">
        <v>2250</v>
      </c>
      <c r="G31" s="265">
        <v>125</v>
      </c>
      <c r="H31" s="460"/>
      <c r="I31" s="166">
        <f t="shared" si="10"/>
        <v>19</v>
      </c>
      <c r="J31" s="166">
        <f t="shared" si="10"/>
        <v>2032.0102895282239</v>
      </c>
      <c r="K31" s="265">
        <f t="shared" si="10"/>
        <v>106.94790997516968</v>
      </c>
      <c r="L31" s="460"/>
      <c r="M31" s="272">
        <f>RANK(K31, K$27:$K$41)</f>
        <v>4</v>
      </c>
      <c r="N31" s="462"/>
      <c r="O31" s="462"/>
      <c r="P31" s="180">
        <v>19</v>
      </c>
      <c r="Q31" s="265">
        <v>1978.4615384615395</v>
      </c>
      <c r="R31" s="265">
        <v>104.12955465587049</v>
      </c>
      <c r="S31" s="180">
        <f t="shared" si="11"/>
        <v>5</v>
      </c>
      <c r="T31" s="460"/>
      <c r="U31" s="180">
        <v>19</v>
      </c>
      <c r="V31" s="265">
        <v>2014.0909090909092</v>
      </c>
      <c r="W31" s="265">
        <v>106.00478468899523</v>
      </c>
      <c r="X31" s="180">
        <f t="shared" si="12"/>
        <v>4</v>
      </c>
      <c r="Y31" s="460"/>
      <c r="Z31" s="180">
        <v>19</v>
      </c>
      <c r="AA31" s="265">
        <v>2000.4545454545455</v>
      </c>
      <c r="AB31" s="265">
        <v>105.28708133971293</v>
      </c>
      <c r="AC31" s="180">
        <f t="shared" si="14"/>
        <v>4</v>
      </c>
      <c r="AD31" s="460"/>
      <c r="AE31" s="180">
        <v>19</v>
      </c>
      <c r="AF31" s="265">
        <v>2073.5294117647063</v>
      </c>
      <c r="AG31" s="265">
        <v>109.13312693498455</v>
      </c>
      <c r="AH31" s="180">
        <f t="shared" si="16"/>
        <v>4</v>
      </c>
      <c r="AI31" s="460"/>
      <c r="AJ31" s="180">
        <v>19</v>
      </c>
      <c r="AK31" s="265">
        <v>2072.4324324324334</v>
      </c>
      <c r="AL31" s="265">
        <v>109.07539118065439</v>
      </c>
      <c r="AM31" s="180">
        <f t="shared" si="18"/>
        <v>4</v>
      </c>
      <c r="AN31" s="460"/>
      <c r="AO31" s="180">
        <v>19</v>
      </c>
      <c r="AP31" s="265">
        <v>2024.6153846153854</v>
      </c>
      <c r="AQ31" s="265">
        <v>106.55870445344134</v>
      </c>
      <c r="AR31" s="180">
        <f t="shared" si="20"/>
        <v>4</v>
      </c>
      <c r="AS31" s="460"/>
      <c r="AT31" s="180">
        <v>19</v>
      </c>
      <c r="AU31" s="265">
        <v>2060.4878048780479</v>
      </c>
      <c r="AV31" s="265">
        <v>108.44672657252883</v>
      </c>
      <c r="AW31" s="180">
        <f t="shared" si="22"/>
        <v>4</v>
      </c>
      <c r="AX31" s="486"/>
    </row>
    <row r="32" spans="2:54">
      <c r="B32" s="479"/>
      <c r="C32" s="180">
        <v>6</v>
      </c>
      <c r="D32" s="201"/>
      <c r="E32" s="166"/>
      <c r="F32" s="180"/>
      <c r="G32" s="265"/>
      <c r="H32" s="460"/>
      <c r="I32" s="166"/>
      <c r="J32" s="166"/>
      <c r="K32" s="265"/>
      <c r="L32" s="460"/>
      <c r="M32" s="272" t="e">
        <f>RANK(K32, K$27:$K$41)</f>
        <v>#N/A</v>
      </c>
      <c r="N32" s="462"/>
      <c r="O32" s="462"/>
      <c r="P32" s="180"/>
      <c r="Q32" s="265"/>
      <c r="R32" s="265"/>
      <c r="S32" s="180" t="e">
        <f t="shared" si="11"/>
        <v>#N/A</v>
      </c>
      <c r="T32" s="460"/>
      <c r="U32" s="180"/>
      <c r="V32" s="265"/>
      <c r="W32" s="265"/>
      <c r="X32" s="180" t="e">
        <f t="shared" si="12"/>
        <v>#N/A</v>
      </c>
      <c r="Y32" s="460"/>
      <c r="Z32" s="180"/>
      <c r="AA32" s="265"/>
      <c r="AB32" s="265"/>
      <c r="AC32" s="180" t="e">
        <f t="shared" si="14"/>
        <v>#N/A</v>
      </c>
      <c r="AD32" s="460"/>
      <c r="AE32" s="180"/>
      <c r="AF32" s="265"/>
      <c r="AG32" s="265"/>
      <c r="AH32" s="180" t="e">
        <f t="shared" si="16"/>
        <v>#N/A</v>
      </c>
      <c r="AI32" s="460"/>
      <c r="AJ32" s="180"/>
      <c r="AK32" s="265"/>
      <c r="AL32" s="265"/>
      <c r="AM32" s="180" t="e">
        <f t="shared" si="18"/>
        <v>#N/A</v>
      </c>
      <c r="AN32" s="460"/>
      <c r="AO32" s="180"/>
      <c r="AP32" s="265"/>
      <c r="AQ32" s="265"/>
      <c r="AR32" s="180" t="e">
        <f t="shared" si="20"/>
        <v>#N/A</v>
      </c>
      <c r="AS32" s="460"/>
      <c r="AT32" s="180"/>
      <c r="AU32" s="265"/>
      <c r="AV32" s="265"/>
      <c r="AW32" s="180" t="e">
        <f t="shared" si="22"/>
        <v>#N/A</v>
      </c>
      <c r="AX32" s="486"/>
    </row>
    <row r="33" spans="2:50">
      <c r="B33" s="479"/>
      <c r="C33" s="180">
        <v>7</v>
      </c>
      <c r="D33" s="201"/>
      <c r="E33" s="166"/>
      <c r="F33" s="180"/>
      <c r="G33" s="265"/>
      <c r="H33" s="460"/>
      <c r="I33" s="166"/>
      <c r="J33" s="166"/>
      <c r="K33" s="265"/>
      <c r="L33" s="460"/>
      <c r="M33" s="272" t="e">
        <f>RANK(K33, K$27:$K$41)</f>
        <v>#N/A</v>
      </c>
      <c r="N33" s="462"/>
      <c r="O33" s="462"/>
      <c r="P33" s="180"/>
      <c r="Q33" s="265"/>
      <c r="R33" s="265"/>
      <c r="S33" s="180" t="e">
        <f t="shared" si="11"/>
        <v>#N/A</v>
      </c>
      <c r="T33" s="460"/>
      <c r="U33" s="180"/>
      <c r="V33" s="265"/>
      <c r="W33" s="265"/>
      <c r="X33" s="180" t="e">
        <f t="shared" si="12"/>
        <v>#N/A</v>
      </c>
      <c r="Y33" s="460"/>
      <c r="Z33" s="180"/>
      <c r="AA33" s="265"/>
      <c r="AB33" s="265"/>
      <c r="AC33" s="180" t="e">
        <f t="shared" si="14"/>
        <v>#N/A</v>
      </c>
      <c r="AD33" s="460"/>
      <c r="AE33" s="180"/>
      <c r="AF33" s="265"/>
      <c r="AG33" s="265"/>
      <c r="AH33" s="180" t="e">
        <f t="shared" si="16"/>
        <v>#N/A</v>
      </c>
      <c r="AI33" s="460"/>
      <c r="AJ33" s="180"/>
      <c r="AK33" s="265"/>
      <c r="AL33" s="265"/>
      <c r="AM33" s="180" t="e">
        <f t="shared" si="18"/>
        <v>#N/A</v>
      </c>
      <c r="AN33" s="460"/>
      <c r="AO33" s="180"/>
      <c r="AP33" s="265"/>
      <c r="AQ33" s="265"/>
      <c r="AR33" s="180" t="e">
        <f t="shared" si="20"/>
        <v>#N/A</v>
      </c>
      <c r="AS33" s="460"/>
      <c r="AT33" s="180"/>
      <c r="AU33" s="265"/>
      <c r="AV33" s="265"/>
      <c r="AW33" s="180" t="e">
        <f t="shared" si="22"/>
        <v>#N/A</v>
      </c>
      <c r="AX33" s="486"/>
    </row>
    <row r="34" spans="2:50">
      <c r="B34" s="479"/>
      <c r="C34" s="180">
        <v>8</v>
      </c>
      <c r="D34" s="201"/>
      <c r="E34" s="166"/>
      <c r="F34" s="180"/>
      <c r="G34" s="265"/>
      <c r="H34" s="460"/>
      <c r="I34" s="166"/>
      <c r="J34" s="166"/>
      <c r="K34" s="265"/>
      <c r="L34" s="460"/>
      <c r="M34" s="272" t="e">
        <f>RANK(K34, K$27:$K$41)</f>
        <v>#N/A</v>
      </c>
      <c r="N34" s="462"/>
      <c r="O34" s="462"/>
      <c r="P34" s="180"/>
      <c r="Q34" s="265"/>
      <c r="R34" s="265"/>
      <c r="S34" s="180" t="e">
        <f t="shared" si="11"/>
        <v>#N/A</v>
      </c>
      <c r="T34" s="460"/>
      <c r="U34" s="180"/>
      <c r="V34" s="265"/>
      <c r="W34" s="265"/>
      <c r="X34" s="180" t="e">
        <f t="shared" si="12"/>
        <v>#N/A</v>
      </c>
      <c r="Y34" s="460"/>
      <c r="Z34" s="180"/>
      <c r="AA34" s="265"/>
      <c r="AB34" s="265"/>
      <c r="AC34" s="180" t="e">
        <f t="shared" si="14"/>
        <v>#N/A</v>
      </c>
      <c r="AD34" s="460"/>
      <c r="AE34" s="180"/>
      <c r="AF34" s="265"/>
      <c r="AG34" s="265"/>
      <c r="AH34" s="180" t="e">
        <f t="shared" si="16"/>
        <v>#N/A</v>
      </c>
      <c r="AI34" s="460"/>
      <c r="AJ34" s="180"/>
      <c r="AK34" s="265"/>
      <c r="AL34" s="265"/>
      <c r="AM34" s="180" t="e">
        <f t="shared" si="18"/>
        <v>#N/A</v>
      </c>
      <c r="AN34" s="460"/>
      <c r="AO34" s="180"/>
      <c r="AP34" s="265"/>
      <c r="AQ34" s="265"/>
      <c r="AR34" s="180" t="e">
        <f t="shared" si="20"/>
        <v>#N/A</v>
      </c>
      <c r="AS34" s="460"/>
      <c r="AT34" s="180"/>
      <c r="AU34" s="265"/>
      <c r="AV34" s="265"/>
      <c r="AW34" s="180" t="e">
        <f t="shared" si="22"/>
        <v>#N/A</v>
      </c>
      <c r="AX34" s="486"/>
    </row>
    <row r="35" spans="2:50">
      <c r="B35" s="479"/>
      <c r="C35" s="180">
        <v>9</v>
      </c>
      <c r="D35" s="201"/>
      <c r="E35" s="166"/>
      <c r="F35" s="180"/>
      <c r="G35" s="265"/>
      <c r="H35" s="460"/>
      <c r="I35" s="166"/>
      <c r="J35" s="166"/>
      <c r="K35" s="265"/>
      <c r="L35" s="460"/>
      <c r="M35" s="272" t="e">
        <f>RANK(K35, K$27:$K$41)</f>
        <v>#N/A</v>
      </c>
      <c r="N35" s="462"/>
      <c r="O35" s="462"/>
      <c r="P35" s="180"/>
      <c r="Q35" s="265"/>
      <c r="R35" s="265"/>
      <c r="S35" s="180" t="e">
        <f t="shared" si="11"/>
        <v>#N/A</v>
      </c>
      <c r="T35" s="460"/>
      <c r="U35" s="180"/>
      <c r="V35" s="265"/>
      <c r="W35" s="265"/>
      <c r="X35" s="180" t="e">
        <f t="shared" si="12"/>
        <v>#N/A</v>
      </c>
      <c r="Y35" s="460"/>
      <c r="Z35" s="180"/>
      <c r="AA35" s="265"/>
      <c r="AB35" s="265"/>
      <c r="AC35" s="180" t="e">
        <f t="shared" si="14"/>
        <v>#N/A</v>
      </c>
      <c r="AD35" s="460"/>
      <c r="AE35" s="180"/>
      <c r="AF35" s="265"/>
      <c r="AG35" s="265"/>
      <c r="AH35" s="180" t="e">
        <f t="shared" si="16"/>
        <v>#N/A</v>
      </c>
      <c r="AI35" s="460"/>
      <c r="AJ35" s="180"/>
      <c r="AK35" s="265"/>
      <c r="AL35" s="265"/>
      <c r="AM35" s="180" t="e">
        <f t="shared" si="18"/>
        <v>#N/A</v>
      </c>
      <c r="AN35" s="460"/>
      <c r="AO35" s="180"/>
      <c r="AP35" s="265"/>
      <c r="AQ35" s="265"/>
      <c r="AR35" s="180" t="e">
        <f t="shared" si="20"/>
        <v>#N/A</v>
      </c>
      <c r="AS35" s="460"/>
      <c r="AT35" s="180"/>
      <c r="AU35" s="265"/>
      <c r="AV35" s="265"/>
      <c r="AW35" s="180" t="e">
        <f t="shared" si="22"/>
        <v>#N/A</v>
      </c>
      <c r="AX35" s="486"/>
    </row>
    <row r="36" spans="2:50">
      <c r="B36" s="479"/>
      <c r="C36" s="180">
        <v>10</v>
      </c>
      <c r="D36" s="201"/>
      <c r="E36" s="166"/>
      <c r="F36" s="180"/>
      <c r="G36" s="265"/>
      <c r="H36" s="460"/>
      <c r="I36" s="166"/>
      <c r="J36" s="166"/>
      <c r="K36" s="265"/>
      <c r="L36" s="460"/>
      <c r="M36" s="272" t="e">
        <f>RANK(K36, K$27:$K$41)</f>
        <v>#N/A</v>
      </c>
      <c r="N36" s="462"/>
      <c r="O36" s="462"/>
      <c r="P36" s="180"/>
      <c r="Q36" s="180"/>
      <c r="R36" s="265"/>
      <c r="S36" s="180" t="e">
        <f t="shared" si="11"/>
        <v>#N/A</v>
      </c>
      <c r="T36" s="460"/>
      <c r="U36" s="180"/>
      <c r="V36" s="180"/>
      <c r="W36" s="265"/>
      <c r="X36" s="180" t="e">
        <f t="shared" si="12"/>
        <v>#N/A</v>
      </c>
      <c r="Y36" s="460"/>
      <c r="Z36" s="180"/>
      <c r="AA36" s="180"/>
      <c r="AB36" s="265"/>
      <c r="AC36" s="180" t="e">
        <f t="shared" si="14"/>
        <v>#N/A</v>
      </c>
      <c r="AD36" s="460"/>
      <c r="AE36" s="180"/>
      <c r="AF36" s="180"/>
      <c r="AG36" s="265"/>
      <c r="AH36" s="180" t="e">
        <f t="shared" si="16"/>
        <v>#N/A</v>
      </c>
      <c r="AI36" s="460"/>
      <c r="AJ36" s="180"/>
      <c r="AK36" s="180"/>
      <c r="AL36" s="265"/>
      <c r="AM36" s="180" t="e">
        <f t="shared" si="18"/>
        <v>#N/A</v>
      </c>
      <c r="AN36" s="460"/>
      <c r="AO36" s="180"/>
      <c r="AP36" s="180"/>
      <c r="AQ36" s="265"/>
      <c r="AR36" s="180" t="e">
        <f t="shared" si="20"/>
        <v>#N/A</v>
      </c>
      <c r="AS36" s="460"/>
      <c r="AT36" s="180"/>
      <c r="AU36" s="180"/>
      <c r="AV36" s="265"/>
      <c r="AW36" s="180" t="e">
        <f t="shared" si="22"/>
        <v>#N/A</v>
      </c>
      <c r="AX36" s="486"/>
    </row>
    <row r="37" spans="2:50">
      <c r="B37" s="479"/>
      <c r="C37" s="180">
        <v>11</v>
      </c>
      <c r="D37" s="201"/>
      <c r="E37" s="166"/>
      <c r="F37" s="180"/>
      <c r="G37" s="265"/>
      <c r="H37" s="460"/>
      <c r="I37" s="180"/>
      <c r="J37" s="180"/>
      <c r="K37" s="180"/>
      <c r="L37" s="460"/>
      <c r="M37" s="272" t="e">
        <f>RANK(K37, K$27:$K$41)</f>
        <v>#N/A</v>
      </c>
      <c r="N37" s="462"/>
      <c r="O37" s="462"/>
      <c r="P37" s="180"/>
      <c r="Q37" s="180"/>
      <c r="R37" s="180"/>
      <c r="S37" s="180" t="e">
        <f t="shared" si="11"/>
        <v>#N/A</v>
      </c>
      <c r="T37" s="460"/>
      <c r="U37" s="180"/>
      <c r="V37" s="180"/>
      <c r="W37" s="180"/>
      <c r="X37" s="180" t="e">
        <f t="shared" si="12"/>
        <v>#N/A</v>
      </c>
      <c r="Y37" s="460"/>
      <c r="Z37" s="180"/>
      <c r="AA37" s="180"/>
      <c r="AB37" s="180"/>
      <c r="AC37" s="180" t="e">
        <f t="shared" si="14"/>
        <v>#N/A</v>
      </c>
      <c r="AD37" s="460"/>
      <c r="AE37" s="180"/>
      <c r="AF37" s="180"/>
      <c r="AG37" s="180"/>
      <c r="AH37" s="180" t="e">
        <f t="shared" si="16"/>
        <v>#N/A</v>
      </c>
      <c r="AI37" s="460"/>
      <c r="AJ37" s="180"/>
      <c r="AK37" s="180"/>
      <c r="AL37" s="180"/>
      <c r="AM37" s="180" t="e">
        <f t="shared" si="18"/>
        <v>#N/A</v>
      </c>
      <c r="AN37" s="460"/>
      <c r="AO37" s="180"/>
      <c r="AP37" s="180"/>
      <c r="AQ37" s="180"/>
      <c r="AR37" s="180" t="e">
        <f t="shared" si="20"/>
        <v>#N/A</v>
      </c>
      <c r="AS37" s="460"/>
      <c r="AT37" s="180"/>
      <c r="AU37" s="180"/>
      <c r="AV37" s="180"/>
      <c r="AW37" s="180" t="e">
        <f t="shared" si="22"/>
        <v>#N/A</v>
      </c>
      <c r="AX37" s="486"/>
    </row>
    <row r="38" spans="2:50">
      <c r="B38" s="479"/>
      <c r="C38" s="180">
        <v>12</v>
      </c>
      <c r="D38" s="201"/>
      <c r="E38" s="166"/>
      <c r="F38" s="180"/>
      <c r="G38" s="265"/>
      <c r="H38" s="460"/>
      <c r="I38" s="180"/>
      <c r="J38" s="180"/>
      <c r="K38" s="180"/>
      <c r="L38" s="460"/>
      <c r="M38" s="272" t="e">
        <f>RANK(K38, K$27:$K$41)</f>
        <v>#N/A</v>
      </c>
      <c r="N38" s="462"/>
      <c r="O38" s="462"/>
      <c r="P38" s="180"/>
      <c r="Q38" s="180"/>
      <c r="R38" s="180"/>
      <c r="S38" s="180" t="e">
        <f t="shared" si="11"/>
        <v>#N/A</v>
      </c>
      <c r="T38" s="460"/>
      <c r="U38" s="180"/>
      <c r="V38" s="180"/>
      <c r="W38" s="180"/>
      <c r="X38" s="180" t="e">
        <f t="shared" si="12"/>
        <v>#N/A</v>
      </c>
      <c r="Y38" s="460"/>
      <c r="Z38" s="180"/>
      <c r="AA38" s="180"/>
      <c r="AB38" s="180"/>
      <c r="AC38" s="180" t="e">
        <f t="shared" si="14"/>
        <v>#N/A</v>
      </c>
      <c r="AD38" s="460"/>
      <c r="AE38" s="180"/>
      <c r="AF38" s="180"/>
      <c r="AG38" s="180"/>
      <c r="AH38" s="180" t="e">
        <f t="shared" si="16"/>
        <v>#N/A</v>
      </c>
      <c r="AI38" s="460"/>
      <c r="AJ38" s="180"/>
      <c r="AK38" s="180"/>
      <c r="AL38" s="180"/>
      <c r="AM38" s="180" t="e">
        <f t="shared" si="18"/>
        <v>#N/A</v>
      </c>
      <c r="AN38" s="460"/>
      <c r="AO38" s="180"/>
      <c r="AP38" s="180"/>
      <c r="AQ38" s="180"/>
      <c r="AR38" s="180" t="e">
        <f t="shared" si="20"/>
        <v>#N/A</v>
      </c>
      <c r="AS38" s="460"/>
      <c r="AT38" s="180"/>
      <c r="AU38" s="180"/>
      <c r="AV38" s="180"/>
      <c r="AW38" s="180" t="e">
        <f t="shared" si="22"/>
        <v>#N/A</v>
      </c>
      <c r="AX38" s="486"/>
    </row>
    <row r="39" spans="2:50">
      <c r="B39" s="479"/>
      <c r="C39" s="180">
        <v>13</v>
      </c>
      <c r="D39" s="201"/>
      <c r="E39" s="166"/>
      <c r="F39" s="180"/>
      <c r="G39" s="265"/>
      <c r="H39" s="460"/>
      <c r="I39" s="180"/>
      <c r="J39" s="180"/>
      <c r="K39" s="180"/>
      <c r="L39" s="460"/>
      <c r="M39" s="272" t="e">
        <f>RANK(K39, K$27:$K$41)</f>
        <v>#N/A</v>
      </c>
      <c r="N39" s="462"/>
      <c r="O39" s="462"/>
      <c r="P39" s="180"/>
      <c r="Q39" s="180"/>
      <c r="R39" s="180"/>
      <c r="S39" s="180" t="e">
        <f t="shared" si="11"/>
        <v>#N/A</v>
      </c>
      <c r="T39" s="460"/>
      <c r="U39" s="180"/>
      <c r="V39" s="180"/>
      <c r="W39" s="180"/>
      <c r="X39" s="180" t="e">
        <f t="shared" si="12"/>
        <v>#N/A</v>
      </c>
      <c r="Y39" s="460"/>
      <c r="Z39" s="180"/>
      <c r="AA39" s="180"/>
      <c r="AB39" s="180"/>
      <c r="AC39" s="180" t="e">
        <f t="shared" si="14"/>
        <v>#N/A</v>
      </c>
      <c r="AD39" s="460"/>
      <c r="AE39" s="180"/>
      <c r="AF39" s="180"/>
      <c r="AG39" s="180"/>
      <c r="AH39" s="180" t="e">
        <f t="shared" si="16"/>
        <v>#N/A</v>
      </c>
      <c r="AI39" s="460"/>
      <c r="AJ39" s="180"/>
      <c r="AK39" s="180"/>
      <c r="AL39" s="180"/>
      <c r="AM39" s="180" t="e">
        <f t="shared" si="18"/>
        <v>#N/A</v>
      </c>
      <c r="AN39" s="460"/>
      <c r="AO39" s="180"/>
      <c r="AP39" s="180"/>
      <c r="AQ39" s="180"/>
      <c r="AR39" s="180" t="e">
        <f t="shared" si="20"/>
        <v>#N/A</v>
      </c>
      <c r="AS39" s="460"/>
      <c r="AT39" s="180"/>
      <c r="AU39" s="180"/>
      <c r="AV39" s="180"/>
      <c r="AW39" s="180" t="e">
        <f t="shared" si="22"/>
        <v>#N/A</v>
      </c>
      <c r="AX39" s="486"/>
    </row>
    <row r="40" spans="2:50">
      <c r="B40" s="479"/>
      <c r="C40" s="180">
        <v>14</v>
      </c>
      <c r="D40" s="201"/>
      <c r="E40" s="166"/>
      <c r="F40" s="180"/>
      <c r="G40" s="265"/>
      <c r="H40" s="460"/>
      <c r="I40" s="180"/>
      <c r="J40" s="180"/>
      <c r="K40" s="180"/>
      <c r="L40" s="460"/>
      <c r="M40" s="272" t="e">
        <f>RANK(K40, K$27:$K$41)</f>
        <v>#N/A</v>
      </c>
      <c r="N40" s="462"/>
      <c r="O40" s="462"/>
      <c r="P40" s="180"/>
      <c r="Q40" s="180"/>
      <c r="R40" s="180"/>
      <c r="S40" s="180" t="e">
        <f t="shared" si="11"/>
        <v>#N/A</v>
      </c>
      <c r="T40" s="460"/>
      <c r="U40" s="180"/>
      <c r="V40" s="180"/>
      <c r="W40" s="180"/>
      <c r="X40" s="180" t="e">
        <f t="shared" si="12"/>
        <v>#N/A</v>
      </c>
      <c r="Y40" s="460"/>
      <c r="Z40" s="180"/>
      <c r="AA40" s="180"/>
      <c r="AB40" s="180"/>
      <c r="AC40" s="180" t="e">
        <f t="shared" si="14"/>
        <v>#N/A</v>
      </c>
      <c r="AD40" s="460"/>
      <c r="AE40" s="180"/>
      <c r="AF40" s="180"/>
      <c r="AG40" s="180"/>
      <c r="AH40" s="180" t="e">
        <f t="shared" si="16"/>
        <v>#N/A</v>
      </c>
      <c r="AI40" s="460"/>
      <c r="AJ40" s="180"/>
      <c r="AK40" s="180"/>
      <c r="AL40" s="180"/>
      <c r="AM40" s="180" t="e">
        <f t="shared" si="18"/>
        <v>#N/A</v>
      </c>
      <c r="AN40" s="460"/>
      <c r="AO40" s="180"/>
      <c r="AP40" s="180"/>
      <c r="AQ40" s="180"/>
      <c r="AR40" s="180" t="e">
        <f t="shared" si="20"/>
        <v>#N/A</v>
      </c>
      <c r="AS40" s="460"/>
      <c r="AT40" s="180"/>
      <c r="AU40" s="180"/>
      <c r="AV40" s="180"/>
      <c r="AW40" s="180" t="e">
        <f t="shared" si="22"/>
        <v>#N/A</v>
      </c>
      <c r="AX40" s="486"/>
    </row>
    <row r="41" spans="2:50">
      <c r="B41" s="479"/>
      <c r="C41" s="180">
        <v>15</v>
      </c>
      <c r="D41" s="201"/>
      <c r="E41" s="166"/>
      <c r="F41" s="180"/>
      <c r="G41" s="265"/>
      <c r="H41" s="461"/>
      <c r="I41" s="180"/>
      <c r="J41" s="180"/>
      <c r="K41" s="180"/>
      <c r="L41" s="461"/>
      <c r="M41" s="166" t="e">
        <f>RANK(K41, K$27:$K$41)</f>
        <v>#N/A</v>
      </c>
      <c r="N41" s="462"/>
      <c r="O41" s="462"/>
      <c r="P41" s="180"/>
      <c r="Q41" s="180"/>
      <c r="R41" s="180"/>
      <c r="S41" s="180" t="e">
        <f t="shared" si="11"/>
        <v>#N/A</v>
      </c>
      <c r="T41" s="461"/>
      <c r="U41" s="180"/>
      <c r="V41" s="180"/>
      <c r="W41" s="180"/>
      <c r="X41" s="180" t="e">
        <f t="shared" si="12"/>
        <v>#N/A</v>
      </c>
      <c r="Y41" s="461"/>
      <c r="Z41" s="180"/>
      <c r="AA41" s="180"/>
      <c r="AB41" s="180"/>
      <c r="AC41" s="180" t="e">
        <f t="shared" si="14"/>
        <v>#N/A</v>
      </c>
      <c r="AD41" s="461"/>
      <c r="AE41" s="180"/>
      <c r="AF41" s="180"/>
      <c r="AG41" s="180"/>
      <c r="AH41" s="180" t="e">
        <f t="shared" si="16"/>
        <v>#N/A</v>
      </c>
      <c r="AI41" s="461"/>
      <c r="AJ41" s="180"/>
      <c r="AK41" s="180"/>
      <c r="AL41" s="180"/>
      <c r="AM41" s="180" t="e">
        <f t="shared" si="18"/>
        <v>#N/A</v>
      </c>
      <c r="AN41" s="461"/>
      <c r="AO41" s="180"/>
      <c r="AP41" s="180"/>
      <c r="AQ41" s="180"/>
      <c r="AR41" s="180" t="e">
        <f t="shared" si="20"/>
        <v>#N/A</v>
      </c>
      <c r="AS41" s="461"/>
      <c r="AT41" s="180"/>
      <c r="AU41" s="180"/>
      <c r="AV41" s="180"/>
      <c r="AW41" s="180" t="e">
        <f t="shared" si="22"/>
        <v>#N/A</v>
      </c>
      <c r="AX41" s="486"/>
    </row>
    <row r="42" spans="2:50" ht="15.75">
      <c r="B42" s="490" t="s">
        <v>721</v>
      </c>
      <c r="C42" s="491"/>
      <c r="D42" s="491"/>
      <c r="E42" s="491"/>
      <c r="F42" s="491"/>
      <c r="G42" s="491"/>
      <c r="H42" s="491"/>
      <c r="I42" s="184"/>
      <c r="J42" s="181"/>
      <c r="K42" s="184"/>
      <c r="L42" s="184"/>
      <c r="M42" s="178"/>
      <c r="N42" s="469" t="s">
        <v>722</v>
      </c>
      <c r="O42" s="469" t="s">
        <v>723</v>
      </c>
      <c r="P42" s="478">
        <f>P22+7</f>
        <v>46063</v>
      </c>
      <c r="Q42" s="479"/>
      <c r="R42" s="479"/>
      <c r="S42" s="479"/>
      <c r="T42" s="479"/>
      <c r="U42" s="475">
        <f>P42+1</f>
        <v>46064</v>
      </c>
      <c r="V42" s="476"/>
      <c r="W42" s="476"/>
      <c r="X42" s="476"/>
      <c r="Y42" s="477"/>
      <c r="Z42" s="475">
        <f>U42+1</f>
        <v>46065</v>
      </c>
      <c r="AA42" s="476"/>
      <c r="AB42" s="476"/>
      <c r="AC42" s="476"/>
      <c r="AD42" s="477"/>
      <c r="AE42" s="475">
        <f>Z42+1</f>
        <v>46066</v>
      </c>
      <c r="AF42" s="476"/>
      <c r="AG42" s="476"/>
      <c r="AH42" s="476"/>
      <c r="AI42" s="477"/>
      <c r="AJ42" s="475">
        <f>AE42+1</f>
        <v>46067</v>
      </c>
      <c r="AK42" s="476"/>
      <c r="AL42" s="476"/>
      <c r="AM42" s="476"/>
      <c r="AN42" s="477"/>
      <c r="AO42" s="475">
        <f>AJ42+1</f>
        <v>46068</v>
      </c>
      <c r="AP42" s="476"/>
      <c r="AQ42" s="476"/>
      <c r="AR42" s="476"/>
      <c r="AS42" s="477"/>
      <c r="AT42" s="475">
        <f>AO42+1</f>
        <v>46069</v>
      </c>
      <c r="AU42" s="476"/>
      <c r="AV42" s="476"/>
      <c r="AW42" s="476"/>
      <c r="AX42" s="477"/>
    </row>
    <row r="43" spans="2:50" ht="15.75">
      <c r="B43" s="482"/>
      <c r="C43" s="482"/>
      <c r="D43" s="482"/>
      <c r="E43" s="482"/>
      <c r="F43" s="482"/>
      <c r="G43" s="482"/>
      <c r="H43" s="482"/>
      <c r="I43" s="182"/>
      <c r="J43" s="182"/>
      <c r="K43" s="182"/>
      <c r="L43" s="182"/>
      <c r="M43" s="179"/>
      <c r="N43" s="471"/>
      <c r="O43" s="471"/>
      <c r="P43" s="478" t="s">
        <v>724</v>
      </c>
      <c r="Q43" s="479"/>
      <c r="R43" s="479"/>
      <c r="S43" s="479"/>
      <c r="T43" s="479"/>
      <c r="U43" s="478" t="s">
        <v>725</v>
      </c>
      <c r="V43" s="479"/>
      <c r="W43" s="479"/>
      <c r="X43" s="479"/>
      <c r="Y43" s="479"/>
      <c r="Z43" s="478" t="s">
        <v>726</v>
      </c>
      <c r="AA43" s="479"/>
      <c r="AB43" s="479"/>
      <c r="AC43" s="479"/>
      <c r="AD43" s="479"/>
      <c r="AE43" s="478" t="s">
        <v>727</v>
      </c>
      <c r="AF43" s="479"/>
      <c r="AG43" s="479"/>
      <c r="AH43" s="479"/>
      <c r="AI43" s="479"/>
      <c r="AJ43" s="478" t="s">
        <v>728</v>
      </c>
      <c r="AK43" s="479"/>
      <c r="AL43" s="479"/>
      <c r="AM43" s="479"/>
      <c r="AN43" s="479"/>
      <c r="AO43" s="478" t="s">
        <v>729</v>
      </c>
      <c r="AP43" s="479"/>
      <c r="AQ43" s="479"/>
      <c r="AR43" s="479"/>
      <c r="AS43" s="479"/>
      <c r="AT43" s="478" t="s">
        <v>730</v>
      </c>
      <c r="AU43" s="479"/>
      <c r="AV43" s="479"/>
      <c r="AW43" s="479"/>
      <c r="AX43" s="479"/>
    </row>
    <row r="44" spans="2:50">
      <c r="B44" s="462" t="s">
        <v>731</v>
      </c>
      <c r="C44" s="462" t="s">
        <v>732</v>
      </c>
      <c r="D44" s="462"/>
      <c r="E44" s="462" t="s">
        <v>733</v>
      </c>
      <c r="F44" s="462"/>
      <c r="G44" s="462"/>
      <c r="H44" s="463" t="s">
        <v>734</v>
      </c>
      <c r="I44" s="462" t="s">
        <v>735</v>
      </c>
      <c r="J44" s="462"/>
      <c r="K44" s="462"/>
      <c r="L44" s="463" t="s">
        <v>734</v>
      </c>
      <c r="M44" s="469" t="s">
        <v>736</v>
      </c>
      <c r="N44" s="462"/>
      <c r="O44" s="462" t="s">
        <v>737</v>
      </c>
      <c r="P44" s="466" t="s">
        <v>738</v>
      </c>
      <c r="Q44" s="467"/>
      <c r="R44" s="467"/>
      <c r="S44" s="468"/>
      <c r="T44" s="462" t="s">
        <v>734</v>
      </c>
      <c r="U44" s="466" t="s">
        <v>738</v>
      </c>
      <c r="V44" s="467"/>
      <c r="W44" s="467"/>
      <c r="X44" s="468"/>
      <c r="Y44" s="462" t="s">
        <v>734</v>
      </c>
      <c r="Z44" s="466" t="s">
        <v>738</v>
      </c>
      <c r="AA44" s="467"/>
      <c r="AB44" s="467"/>
      <c r="AC44" s="468"/>
      <c r="AD44" s="462" t="s">
        <v>734</v>
      </c>
      <c r="AE44" s="466" t="s">
        <v>738</v>
      </c>
      <c r="AF44" s="467"/>
      <c r="AG44" s="467"/>
      <c r="AH44" s="468"/>
      <c r="AI44" s="462" t="s">
        <v>734</v>
      </c>
      <c r="AJ44" s="466" t="s">
        <v>738</v>
      </c>
      <c r="AK44" s="467"/>
      <c r="AL44" s="467"/>
      <c r="AM44" s="468"/>
      <c r="AN44" s="462" t="s">
        <v>734</v>
      </c>
      <c r="AO44" s="466" t="s">
        <v>738</v>
      </c>
      <c r="AP44" s="467"/>
      <c r="AQ44" s="467"/>
      <c r="AR44" s="468"/>
      <c r="AS44" s="462" t="s">
        <v>734</v>
      </c>
      <c r="AT44" s="466" t="s">
        <v>738</v>
      </c>
      <c r="AU44" s="467"/>
      <c r="AV44" s="467"/>
      <c r="AW44" s="468"/>
      <c r="AX44" s="462" t="s">
        <v>734</v>
      </c>
    </row>
    <row r="45" spans="2:50">
      <c r="B45" s="462"/>
      <c r="C45" s="462"/>
      <c r="D45" s="462"/>
      <c r="E45" s="462" t="s">
        <v>739</v>
      </c>
      <c r="F45" s="462"/>
      <c r="G45" s="462"/>
      <c r="H45" s="464"/>
      <c r="I45" s="462" t="s">
        <v>739</v>
      </c>
      <c r="J45" s="462"/>
      <c r="K45" s="462"/>
      <c r="L45" s="464"/>
      <c r="M45" s="470"/>
      <c r="N45" s="462"/>
      <c r="O45" s="462"/>
      <c r="P45" s="466" t="s">
        <v>740</v>
      </c>
      <c r="Q45" s="467"/>
      <c r="R45" s="467"/>
      <c r="S45" s="468"/>
      <c r="T45" s="462"/>
      <c r="U45" s="466" t="s">
        <v>740</v>
      </c>
      <c r="V45" s="467"/>
      <c r="W45" s="467"/>
      <c r="X45" s="468"/>
      <c r="Y45" s="462"/>
      <c r="Z45" s="466" t="s">
        <v>740</v>
      </c>
      <c r="AA45" s="467"/>
      <c r="AB45" s="467"/>
      <c r="AC45" s="468"/>
      <c r="AD45" s="462"/>
      <c r="AE45" s="466" t="s">
        <v>740</v>
      </c>
      <c r="AF45" s="467"/>
      <c r="AG45" s="467"/>
      <c r="AH45" s="468"/>
      <c r="AI45" s="462"/>
      <c r="AJ45" s="466" t="s">
        <v>740</v>
      </c>
      <c r="AK45" s="467"/>
      <c r="AL45" s="467"/>
      <c r="AM45" s="468"/>
      <c r="AN45" s="462"/>
      <c r="AO45" s="466" t="s">
        <v>740</v>
      </c>
      <c r="AP45" s="467"/>
      <c r="AQ45" s="467"/>
      <c r="AR45" s="468"/>
      <c r="AS45" s="462"/>
      <c r="AT45" s="466" t="s">
        <v>740</v>
      </c>
      <c r="AU45" s="467"/>
      <c r="AV45" s="467"/>
      <c r="AW45" s="468"/>
      <c r="AX45" s="462"/>
    </row>
    <row r="46" spans="2:50">
      <c r="B46" s="462"/>
      <c r="C46" s="462"/>
      <c r="D46" s="462"/>
      <c r="E46" s="264" t="s">
        <v>741</v>
      </c>
      <c r="F46" s="264" t="s">
        <v>742</v>
      </c>
      <c r="G46" s="264" t="s">
        <v>743</v>
      </c>
      <c r="H46" s="465"/>
      <c r="I46" s="264" t="s">
        <v>741</v>
      </c>
      <c r="J46" s="264" t="s">
        <v>742</v>
      </c>
      <c r="K46" s="264" t="s">
        <v>743</v>
      </c>
      <c r="L46" s="465"/>
      <c r="M46" s="471"/>
      <c r="N46" s="462"/>
      <c r="O46" s="462"/>
      <c r="P46" s="264" t="s">
        <v>741</v>
      </c>
      <c r="Q46" s="264" t="s">
        <v>742</v>
      </c>
      <c r="R46" s="264" t="s">
        <v>743</v>
      </c>
      <c r="S46" s="264" t="s">
        <v>736</v>
      </c>
      <c r="T46" s="462"/>
      <c r="U46" s="264" t="s">
        <v>741</v>
      </c>
      <c r="V46" s="264" t="s">
        <v>742</v>
      </c>
      <c r="W46" s="264" t="s">
        <v>743</v>
      </c>
      <c r="X46" s="264" t="s">
        <v>736</v>
      </c>
      <c r="Y46" s="462"/>
      <c r="Z46" s="264" t="s">
        <v>741</v>
      </c>
      <c r="AA46" s="264" t="s">
        <v>742</v>
      </c>
      <c r="AB46" s="264" t="s">
        <v>743</v>
      </c>
      <c r="AC46" s="264" t="s">
        <v>736</v>
      </c>
      <c r="AD46" s="462"/>
      <c r="AE46" s="264" t="s">
        <v>741</v>
      </c>
      <c r="AF46" s="264" t="s">
        <v>742</v>
      </c>
      <c r="AG46" s="264" t="s">
        <v>743</v>
      </c>
      <c r="AH46" s="264" t="s">
        <v>736</v>
      </c>
      <c r="AI46" s="462"/>
      <c r="AJ46" s="264" t="s">
        <v>741</v>
      </c>
      <c r="AK46" s="264" t="s">
        <v>742</v>
      </c>
      <c r="AL46" s="264" t="s">
        <v>743</v>
      </c>
      <c r="AM46" s="264" t="s">
        <v>736</v>
      </c>
      <c r="AN46" s="462"/>
      <c r="AO46" s="264" t="s">
        <v>741</v>
      </c>
      <c r="AP46" s="264" t="s">
        <v>742</v>
      </c>
      <c r="AQ46" s="264" t="s">
        <v>743</v>
      </c>
      <c r="AR46" s="264" t="s">
        <v>736</v>
      </c>
      <c r="AS46" s="462"/>
      <c r="AT46" s="264" t="s">
        <v>741</v>
      </c>
      <c r="AU46" s="264" t="s">
        <v>742</v>
      </c>
      <c r="AV46" s="264" t="s">
        <v>743</v>
      </c>
      <c r="AW46" s="264" t="s">
        <v>736</v>
      </c>
      <c r="AX46" s="462"/>
    </row>
    <row r="47" spans="2:50">
      <c r="B47" s="462" t="s">
        <v>757</v>
      </c>
      <c r="C47" s="180">
        <v>1</v>
      </c>
      <c r="D47" s="201" t="s">
        <v>378</v>
      </c>
      <c r="E47" s="166">
        <v>20</v>
      </c>
      <c r="F47" s="180">
        <v>2200</v>
      </c>
      <c r="G47" s="265">
        <v>110</v>
      </c>
      <c r="H47" s="459">
        <f>AVERAGE(G47:G61)</f>
        <v>137.58479532163742</v>
      </c>
      <c r="I47" s="166">
        <f t="shared" ref="I47:K51" si="24">AVERAGE(P47,U47,Z47,AE47,AJ47,AO47,AT47)</f>
        <v>20</v>
      </c>
      <c r="J47" s="166">
        <f t="shared" si="24"/>
        <v>2098.385448566808</v>
      </c>
      <c r="K47" s="265">
        <f t="shared" si="24"/>
        <v>104.91927242834039</v>
      </c>
      <c r="L47" s="459">
        <f>IFERROR(AVERAGE(K47:K61),"-")</f>
        <v>120.60107916068269</v>
      </c>
      <c r="M47" s="272">
        <f>RANK(K47, K$47:$K$61)</f>
        <v>5</v>
      </c>
      <c r="N47" s="462"/>
      <c r="O47" s="462"/>
      <c r="P47" s="166">
        <v>20</v>
      </c>
      <c r="Q47" s="265">
        <v>2108.0597014925374</v>
      </c>
      <c r="R47" s="265">
        <v>105.40298507462687</v>
      </c>
      <c r="S47" s="180">
        <f t="shared" ref="S47:S51" si="25">RANK(R47, R$47:R$61)</f>
        <v>5</v>
      </c>
      <c r="T47" s="486">
        <f>AVERAGE(R47:R61)</f>
        <v>120.0874630890291</v>
      </c>
      <c r="U47" s="166">
        <v>20</v>
      </c>
      <c r="V47" s="265">
        <v>2062.2580645161283</v>
      </c>
      <c r="W47" s="265">
        <v>103.11290322580642</v>
      </c>
      <c r="X47" s="180">
        <f t="shared" ref="X47:X51" si="26">RANK(W47, W$47:W$61)</f>
        <v>5</v>
      </c>
      <c r="Y47" s="486">
        <f>AVERAGE(W47:W61)</f>
        <v>119.88774613620853</v>
      </c>
      <c r="Z47" s="166">
        <v>20</v>
      </c>
      <c r="AA47" s="265">
        <v>2065.1851851851843</v>
      </c>
      <c r="AB47" s="265">
        <v>103.25925925925921</v>
      </c>
      <c r="AC47" s="180">
        <f t="shared" ref="AC47:AC51" si="27">RANK(AB47, AB$47:AB$61)</f>
        <v>5</v>
      </c>
      <c r="AD47" s="486">
        <f>AVERAGE(AB47:AB61)</f>
        <v>120.41688408132704</v>
      </c>
      <c r="AE47" s="166">
        <v>20</v>
      </c>
      <c r="AF47" s="265">
        <v>2112.439024390243</v>
      </c>
      <c r="AG47" s="265">
        <v>105.62195121951216</v>
      </c>
      <c r="AH47" s="180">
        <f t="shared" ref="AH47:AH51" si="28">RANK(AG47, AG$47:AG$61)</f>
        <v>5</v>
      </c>
      <c r="AI47" s="486">
        <f>AVERAGE(AG47:AG61)</f>
        <v>121.56710053825122</v>
      </c>
      <c r="AJ47" s="166">
        <v>20</v>
      </c>
      <c r="AK47" s="265">
        <v>2080.0000000000009</v>
      </c>
      <c r="AL47" s="265">
        <v>104.00000000000004</v>
      </c>
      <c r="AM47" s="180">
        <f t="shared" ref="AM47:AM51" si="29">RANK(AL47, AL$47:AL$61)</f>
        <v>5</v>
      </c>
      <c r="AN47" s="486">
        <f>AVERAGE(AL47:AL61)</f>
        <v>119.65949331743286</v>
      </c>
      <c r="AO47" s="166">
        <v>20</v>
      </c>
      <c r="AP47" s="265">
        <v>2127.1561643835621</v>
      </c>
      <c r="AQ47" s="265">
        <v>106.35780821917811</v>
      </c>
      <c r="AR47" s="180">
        <f t="shared" ref="AR47:AR51" si="30">RANK(AQ47, AQ$47:AQ$61)</f>
        <v>5</v>
      </c>
      <c r="AS47" s="486">
        <f>AVERAGE(AQ47:AQ61)</f>
        <v>121.74572521076516</v>
      </c>
      <c r="AT47" s="166">
        <v>20</v>
      </c>
      <c r="AU47" s="265">
        <v>2133.5999999999995</v>
      </c>
      <c r="AV47" s="265">
        <v>106.67999999999998</v>
      </c>
      <c r="AW47" s="180">
        <f t="shared" ref="AW47:AW51" si="31">RANK(AV47, AV$47:AV$61)</f>
        <v>5</v>
      </c>
      <c r="AX47" s="486">
        <f>AVERAGE(AV47:AV61)</f>
        <v>120.84314175176493</v>
      </c>
    </row>
    <row r="48" spans="2:50">
      <c r="B48" s="479"/>
      <c r="C48" s="180">
        <v>2</v>
      </c>
      <c r="D48" s="201" t="s">
        <v>379</v>
      </c>
      <c r="E48" s="166">
        <v>18</v>
      </c>
      <c r="F48" s="180">
        <v>2700</v>
      </c>
      <c r="G48" s="265">
        <v>150</v>
      </c>
      <c r="H48" s="460"/>
      <c r="I48" s="166">
        <f t="shared" si="24"/>
        <v>19</v>
      </c>
      <c r="J48" s="166">
        <f t="shared" si="24"/>
        <v>2459.6463754277988</v>
      </c>
      <c r="K48" s="265">
        <f t="shared" si="24"/>
        <v>129.45507239093681</v>
      </c>
      <c r="L48" s="460"/>
      <c r="M48" s="272">
        <f>RANK(K48, K$47:$K$61)</f>
        <v>3</v>
      </c>
      <c r="N48" s="462"/>
      <c r="O48" s="462"/>
      <c r="P48" s="180">
        <v>19</v>
      </c>
      <c r="Q48" s="265">
        <v>2423.2258064516154</v>
      </c>
      <c r="R48" s="265">
        <v>127.53820033955871</v>
      </c>
      <c r="S48" s="180">
        <f t="shared" si="25"/>
        <v>3</v>
      </c>
      <c r="T48" s="486"/>
      <c r="U48" s="180">
        <v>19</v>
      </c>
      <c r="V48" s="265">
        <v>2478.0000000000023</v>
      </c>
      <c r="W48" s="265">
        <v>130.42105263157907</v>
      </c>
      <c r="X48" s="180">
        <f t="shared" si="26"/>
        <v>2</v>
      </c>
      <c r="Y48" s="486"/>
      <c r="Z48" s="180">
        <v>19</v>
      </c>
      <c r="AA48" s="265">
        <v>2439.4736842105244</v>
      </c>
      <c r="AB48" s="265">
        <v>128.39335180055392</v>
      </c>
      <c r="AC48" s="180">
        <f t="shared" si="27"/>
        <v>3</v>
      </c>
      <c r="AD48" s="486"/>
      <c r="AE48" s="180">
        <v>19</v>
      </c>
      <c r="AF48" s="265">
        <v>2484.3243243243223</v>
      </c>
      <c r="AG48" s="265">
        <v>130.75391180654327</v>
      </c>
      <c r="AH48" s="180">
        <f t="shared" si="28"/>
        <v>2</v>
      </c>
      <c r="AI48" s="486"/>
      <c r="AJ48" s="180">
        <v>19</v>
      </c>
      <c r="AK48" s="265">
        <v>2443.2000000000007</v>
      </c>
      <c r="AL48" s="265">
        <v>128.58947368421056</v>
      </c>
      <c r="AM48" s="180">
        <f t="shared" si="29"/>
        <v>2</v>
      </c>
      <c r="AN48" s="486"/>
      <c r="AO48" s="180">
        <v>19</v>
      </c>
      <c r="AP48" s="265">
        <v>2534.666666666667</v>
      </c>
      <c r="AQ48" s="265">
        <v>133.40350877192984</v>
      </c>
      <c r="AR48" s="180">
        <f t="shared" si="30"/>
        <v>1</v>
      </c>
      <c r="AS48" s="486"/>
      <c r="AT48" s="180">
        <v>19</v>
      </c>
      <c r="AU48" s="265">
        <v>2414.6341463414624</v>
      </c>
      <c r="AV48" s="265">
        <v>127.08600770218223</v>
      </c>
      <c r="AW48" s="180">
        <f t="shared" si="31"/>
        <v>3</v>
      </c>
      <c r="AX48" s="486"/>
    </row>
    <row r="49" spans="2:50">
      <c r="B49" s="479"/>
      <c r="C49" s="180">
        <v>3</v>
      </c>
      <c r="D49" s="201" t="s">
        <v>380</v>
      </c>
      <c r="E49" s="166">
        <v>18</v>
      </c>
      <c r="F49" s="180">
        <v>2800</v>
      </c>
      <c r="G49" s="265">
        <v>155.55555555555554</v>
      </c>
      <c r="H49" s="460"/>
      <c r="I49" s="166">
        <f t="shared" si="24"/>
        <v>19</v>
      </c>
      <c r="J49" s="166">
        <f t="shared" si="24"/>
        <v>2463.9459976005455</v>
      </c>
      <c r="K49" s="265">
        <f t="shared" si="24"/>
        <v>129.68136829476558</v>
      </c>
      <c r="L49" s="460"/>
      <c r="M49" s="272">
        <f>RANK(K49, K$47:$K$61)</f>
        <v>2</v>
      </c>
      <c r="N49" s="462"/>
      <c r="O49" s="462"/>
      <c r="P49" s="180">
        <v>19</v>
      </c>
      <c r="Q49" s="265">
        <v>2451.7647058823541</v>
      </c>
      <c r="R49" s="265">
        <v>129.04024767801863</v>
      </c>
      <c r="S49" s="180">
        <f t="shared" si="25"/>
        <v>2</v>
      </c>
      <c r="T49" s="486"/>
      <c r="U49" s="180">
        <v>19</v>
      </c>
      <c r="V49" s="265">
        <v>2482.5000000000009</v>
      </c>
      <c r="W49" s="265">
        <v>130.65789473684217</v>
      </c>
      <c r="X49" s="180">
        <f t="shared" si="26"/>
        <v>1</v>
      </c>
      <c r="Y49" s="486"/>
      <c r="Z49" s="180">
        <v>19</v>
      </c>
      <c r="AA49" s="265">
        <v>2471.8032786885237</v>
      </c>
      <c r="AB49" s="265">
        <v>130.09490940465915</v>
      </c>
      <c r="AC49" s="180">
        <f t="shared" si="27"/>
        <v>2</v>
      </c>
      <c r="AD49" s="486"/>
      <c r="AE49" s="180">
        <v>19</v>
      </c>
      <c r="AF49" s="265">
        <v>2445.7142857142853</v>
      </c>
      <c r="AG49" s="265">
        <v>128.72180451127818</v>
      </c>
      <c r="AH49" s="180">
        <f t="shared" si="28"/>
        <v>3</v>
      </c>
      <c r="AI49" s="486"/>
      <c r="AJ49" s="180">
        <v>19</v>
      </c>
      <c r="AK49" s="265">
        <v>2431.5000000000005</v>
      </c>
      <c r="AL49" s="265">
        <v>127.97368421052634</v>
      </c>
      <c r="AM49" s="180">
        <f t="shared" si="29"/>
        <v>3</v>
      </c>
      <c r="AN49" s="486"/>
      <c r="AO49" s="180">
        <v>19</v>
      </c>
      <c r="AP49" s="265">
        <v>2483.181818181818</v>
      </c>
      <c r="AQ49" s="265">
        <v>130.69377990430621</v>
      </c>
      <c r="AR49" s="180">
        <f t="shared" si="30"/>
        <v>2</v>
      </c>
      <c r="AS49" s="486"/>
      <c r="AT49" s="180">
        <v>19</v>
      </c>
      <c r="AU49" s="265">
        <v>2481.1578947368398</v>
      </c>
      <c r="AV49" s="265">
        <v>130.5872576177284</v>
      </c>
      <c r="AW49" s="180">
        <f t="shared" si="31"/>
        <v>2</v>
      </c>
      <c r="AX49" s="486"/>
    </row>
    <row r="50" spans="2:50">
      <c r="B50" s="479"/>
      <c r="C50" s="180">
        <v>4</v>
      </c>
      <c r="D50" s="201" t="s">
        <v>381</v>
      </c>
      <c r="E50" s="166">
        <v>19</v>
      </c>
      <c r="F50" s="180">
        <v>2800</v>
      </c>
      <c r="G50" s="265">
        <v>147.36842105263159</v>
      </c>
      <c r="H50" s="460"/>
      <c r="I50" s="166">
        <f t="shared" si="24"/>
        <v>19</v>
      </c>
      <c r="J50" s="166">
        <f t="shared" si="24"/>
        <v>2499.3426945808892</v>
      </c>
      <c r="K50" s="265">
        <f t="shared" si="24"/>
        <v>131.54435234636259</v>
      </c>
      <c r="L50" s="460"/>
      <c r="M50" s="272">
        <f>RANK(K50, K$47:$K$61)</f>
        <v>1</v>
      </c>
      <c r="N50" s="462"/>
      <c r="O50" s="462"/>
      <c r="P50" s="180">
        <v>19</v>
      </c>
      <c r="Q50" s="265">
        <v>2501.2500000000009</v>
      </c>
      <c r="R50" s="265">
        <v>131.64473684210532</v>
      </c>
      <c r="S50" s="180">
        <f t="shared" si="25"/>
        <v>1</v>
      </c>
      <c r="T50" s="486"/>
      <c r="U50" s="180">
        <v>19</v>
      </c>
      <c r="V50" s="265">
        <v>2429.6907216494851</v>
      </c>
      <c r="W50" s="265">
        <v>127.87845903418342</v>
      </c>
      <c r="X50" s="180">
        <f t="shared" si="26"/>
        <v>3</v>
      </c>
      <c r="Y50" s="486"/>
      <c r="Z50" s="180">
        <v>19</v>
      </c>
      <c r="AA50" s="265">
        <v>2532.1153846153838</v>
      </c>
      <c r="AB50" s="265">
        <v>133.26923076923072</v>
      </c>
      <c r="AC50" s="180">
        <f t="shared" si="27"/>
        <v>1</v>
      </c>
      <c r="AD50" s="486"/>
      <c r="AE50" s="180">
        <v>19</v>
      </c>
      <c r="AF50" s="265">
        <v>2533.0188679245275</v>
      </c>
      <c r="AG50" s="265">
        <v>133.31678252234354</v>
      </c>
      <c r="AH50" s="180">
        <f t="shared" si="28"/>
        <v>1</v>
      </c>
      <c r="AI50" s="486"/>
      <c r="AJ50" s="180">
        <v>19</v>
      </c>
      <c r="AK50" s="265">
        <v>2513.9220779220764</v>
      </c>
      <c r="AL50" s="265">
        <v>132.31168831168824</v>
      </c>
      <c r="AM50" s="180">
        <f t="shared" si="29"/>
        <v>1</v>
      </c>
      <c r="AN50" s="486"/>
      <c r="AO50" s="180">
        <v>19</v>
      </c>
      <c r="AP50" s="265">
        <v>2475.7076923076934</v>
      </c>
      <c r="AQ50" s="265">
        <v>130.30040485829966</v>
      </c>
      <c r="AR50" s="180">
        <f t="shared" si="30"/>
        <v>3</v>
      </c>
      <c r="AS50" s="486"/>
      <c r="AT50" s="180">
        <v>19</v>
      </c>
      <c r="AU50" s="265">
        <v>2509.6941176470582</v>
      </c>
      <c r="AV50" s="265">
        <v>132.08916408668728</v>
      </c>
      <c r="AW50" s="180">
        <f t="shared" si="31"/>
        <v>1</v>
      </c>
      <c r="AX50" s="486"/>
    </row>
    <row r="51" spans="2:50">
      <c r="B51" s="479"/>
      <c r="C51" s="180">
        <v>5</v>
      </c>
      <c r="D51" s="201" t="s">
        <v>525</v>
      </c>
      <c r="E51" s="166">
        <v>18</v>
      </c>
      <c r="F51" s="180">
        <v>2250</v>
      </c>
      <c r="G51" s="265">
        <v>125</v>
      </c>
      <c r="H51" s="460"/>
      <c r="I51" s="166">
        <f t="shared" si="24"/>
        <v>19</v>
      </c>
      <c r="J51" s="166">
        <f t="shared" si="24"/>
        <v>2040.7012765171537</v>
      </c>
      <c r="K51" s="265">
        <f t="shared" si="24"/>
        <v>107.40533034300809</v>
      </c>
      <c r="L51" s="460"/>
      <c r="M51" s="272">
        <f>RANK(K51, K$47:$K$61)</f>
        <v>4</v>
      </c>
      <c r="N51" s="462"/>
      <c r="O51" s="462"/>
      <c r="P51" s="180">
        <v>19</v>
      </c>
      <c r="Q51" s="265">
        <v>2029.4117647058822</v>
      </c>
      <c r="R51" s="265">
        <v>106.8111455108359</v>
      </c>
      <c r="S51" s="180">
        <f t="shared" si="25"/>
        <v>4</v>
      </c>
      <c r="T51" s="486"/>
      <c r="U51" s="180">
        <v>19</v>
      </c>
      <c r="V51" s="265">
        <v>2040</v>
      </c>
      <c r="W51" s="265">
        <v>107.36842105263158</v>
      </c>
      <c r="X51" s="180">
        <f t="shared" si="26"/>
        <v>4</v>
      </c>
      <c r="Y51" s="486"/>
      <c r="Z51" s="180">
        <v>19</v>
      </c>
      <c r="AA51" s="265">
        <v>2034.2857142857135</v>
      </c>
      <c r="AB51" s="265">
        <v>107.0676691729323</v>
      </c>
      <c r="AC51" s="180">
        <f t="shared" si="27"/>
        <v>4</v>
      </c>
      <c r="AD51" s="486"/>
      <c r="AE51" s="180">
        <v>19</v>
      </c>
      <c r="AF51" s="265">
        <v>2079.0000000000014</v>
      </c>
      <c r="AG51" s="265">
        <v>109.42105263157902</v>
      </c>
      <c r="AH51" s="180">
        <f t="shared" si="28"/>
        <v>4</v>
      </c>
      <c r="AI51" s="486"/>
      <c r="AJ51" s="180">
        <v>19</v>
      </c>
      <c r="AK51" s="265">
        <v>2003.0297872340429</v>
      </c>
      <c r="AL51" s="265">
        <v>105.4226203807391</v>
      </c>
      <c r="AM51" s="180">
        <f t="shared" si="29"/>
        <v>4</v>
      </c>
      <c r="AN51" s="486"/>
      <c r="AO51" s="180">
        <v>19</v>
      </c>
      <c r="AP51" s="265">
        <v>2051.489361702128</v>
      </c>
      <c r="AQ51" s="265">
        <v>107.973124300112</v>
      </c>
      <c r="AR51" s="180">
        <f t="shared" si="30"/>
        <v>4</v>
      </c>
      <c r="AS51" s="486"/>
      <c r="AT51" s="180">
        <v>19</v>
      </c>
      <c r="AU51" s="265">
        <v>2047.6923076923088</v>
      </c>
      <c r="AV51" s="265">
        <v>107.77327935222678</v>
      </c>
      <c r="AW51" s="180">
        <f t="shared" si="31"/>
        <v>4</v>
      </c>
      <c r="AX51" s="486"/>
    </row>
    <row r="52" spans="2:50">
      <c r="B52" s="479"/>
      <c r="C52" s="180">
        <v>6</v>
      </c>
      <c r="D52" s="201"/>
      <c r="E52" s="166"/>
      <c r="F52" s="180"/>
      <c r="G52" s="265"/>
      <c r="H52" s="460"/>
      <c r="I52" s="166"/>
      <c r="J52" s="166"/>
      <c r="K52" s="265"/>
      <c r="L52" s="460"/>
      <c r="M52" s="272" t="e">
        <f>RANK(K52, K$47:$K$61)</f>
        <v>#N/A</v>
      </c>
      <c r="N52" s="462"/>
      <c r="O52" s="462"/>
      <c r="P52" s="180"/>
      <c r="Q52" s="265"/>
      <c r="R52" s="265"/>
      <c r="S52" s="180"/>
      <c r="T52" s="486"/>
      <c r="U52" s="180"/>
      <c r="V52" s="265"/>
      <c r="W52" s="265"/>
      <c r="X52" s="180"/>
      <c r="Y52" s="486"/>
      <c r="Z52" s="180"/>
      <c r="AA52" s="265"/>
      <c r="AB52" s="265"/>
      <c r="AC52" s="180"/>
      <c r="AD52" s="486"/>
      <c r="AE52" s="180"/>
      <c r="AF52" s="265"/>
      <c r="AG52" s="265"/>
      <c r="AH52" s="180"/>
      <c r="AI52" s="486"/>
      <c r="AJ52" s="180"/>
      <c r="AK52" s="265"/>
      <c r="AL52" s="265"/>
      <c r="AM52" s="180"/>
      <c r="AN52" s="486"/>
      <c r="AO52" s="180"/>
      <c r="AP52" s="265"/>
      <c r="AQ52" s="265"/>
      <c r="AR52" s="180"/>
      <c r="AS52" s="486"/>
      <c r="AT52" s="180"/>
      <c r="AU52" s="265"/>
      <c r="AV52" s="265"/>
      <c r="AW52" s="180"/>
      <c r="AX52" s="486"/>
    </row>
    <row r="53" spans="2:50">
      <c r="B53" s="479"/>
      <c r="C53" s="180">
        <v>7</v>
      </c>
      <c r="D53" s="201"/>
      <c r="E53" s="166"/>
      <c r="F53" s="180"/>
      <c r="G53" s="265"/>
      <c r="H53" s="460"/>
      <c r="I53" s="166"/>
      <c r="J53" s="166"/>
      <c r="K53" s="265"/>
      <c r="L53" s="460"/>
      <c r="M53" s="272" t="e">
        <f>RANK(K53, K$47:$K$61)</f>
        <v>#N/A</v>
      </c>
      <c r="N53" s="462"/>
      <c r="O53" s="462"/>
      <c r="P53" s="180"/>
      <c r="Q53" s="265"/>
      <c r="R53" s="265"/>
      <c r="S53" s="180"/>
      <c r="T53" s="486"/>
      <c r="U53" s="180"/>
      <c r="V53" s="265"/>
      <c r="W53" s="265"/>
      <c r="X53" s="180"/>
      <c r="Y53" s="486"/>
      <c r="Z53" s="180"/>
      <c r="AA53" s="265"/>
      <c r="AB53" s="265"/>
      <c r="AC53" s="180"/>
      <c r="AD53" s="486"/>
      <c r="AE53" s="180"/>
      <c r="AF53" s="265"/>
      <c r="AG53" s="265"/>
      <c r="AH53" s="180"/>
      <c r="AI53" s="486"/>
      <c r="AJ53" s="180"/>
      <c r="AK53" s="265"/>
      <c r="AL53" s="265"/>
      <c r="AM53" s="180"/>
      <c r="AN53" s="486"/>
      <c r="AO53" s="180"/>
      <c r="AP53" s="265"/>
      <c r="AQ53" s="265"/>
      <c r="AR53" s="180"/>
      <c r="AS53" s="486"/>
      <c r="AT53" s="180"/>
      <c r="AU53" s="265"/>
      <c r="AV53" s="265"/>
      <c r="AW53" s="180"/>
      <c r="AX53" s="486"/>
    </row>
    <row r="54" spans="2:50">
      <c r="B54" s="479"/>
      <c r="C54" s="180">
        <v>8</v>
      </c>
      <c r="D54" s="201"/>
      <c r="E54" s="166"/>
      <c r="F54" s="180"/>
      <c r="G54" s="265"/>
      <c r="H54" s="460"/>
      <c r="I54" s="166"/>
      <c r="J54" s="166"/>
      <c r="K54" s="265"/>
      <c r="L54" s="460"/>
      <c r="M54" s="272" t="e">
        <f>RANK(K54, K$47:$K$61)</f>
        <v>#N/A</v>
      </c>
      <c r="N54" s="462"/>
      <c r="O54" s="462"/>
      <c r="P54" s="180"/>
      <c r="Q54" s="265"/>
      <c r="R54" s="265"/>
      <c r="S54" s="180"/>
      <c r="T54" s="486"/>
      <c r="U54" s="180"/>
      <c r="V54" s="265"/>
      <c r="W54" s="265"/>
      <c r="X54" s="180"/>
      <c r="Y54" s="486"/>
      <c r="Z54" s="180"/>
      <c r="AA54" s="265"/>
      <c r="AB54" s="265"/>
      <c r="AC54" s="180"/>
      <c r="AD54" s="486"/>
      <c r="AE54" s="180"/>
      <c r="AF54" s="265"/>
      <c r="AG54" s="265"/>
      <c r="AH54" s="180"/>
      <c r="AI54" s="486"/>
      <c r="AJ54" s="180"/>
      <c r="AK54" s="265"/>
      <c r="AL54" s="265"/>
      <c r="AM54" s="180"/>
      <c r="AN54" s="486"/>
      <c r="AO54" s="180"/>
      <c r="AP54" s="265"/>
      <c r="AQ54" s="265"/>
      <c r="AR54" s="180"/>
      <c r="AS54" s="486"/>
      <c r="AT54" s="180"/>
      <c r="AU54" s="265"/>
      <c r="AV54" s="265"/>
      <c r="AW54" s="180"/>
      <c r="AX54" s="486"/>
    </row>
    <row r="55" spans="2:50">
      <c r="B55" s="479"/>
      <c r="C55" s="180">
        <v>9</v>
      </c>
      <c r="D55" s="201"/>
      <c r="E55" s="166"/>
      <c r="F55" s="180"/>
      <c r="G55" s="265"/>
      <c r="H55" s="460"/>
      <c r="I55" s="166"/>
      <c r="J55" s="166"/>
      <c r="K55" s="265"/>
      <c r="L55" s="460"/>
      <c r="M55" s="272" t="e">
        <f>RANK(K55, K$47:$K$61)</f>
        <v>#N/A</v>
      </c>
      <c r="N55" s="462"/>
      <c r="O55" s="462"/>
      <c r="P55" s="180"/>
      <c r="Q55" s="265"/>
      <c r="R55" s="265"/>
      <c r="S55" s="180"/>
      <c r="T55" s="486"/>
      <c r="U55" s="180"/>
      <c r="V55" s="265"/>
      <c r="W55" s="265"/>
      <c r="X55" s="180"/>
      <c r="Y55" s="486"/>
      <c r="Z55" s="180"/>
      <c r="AA55" s="265"/>
      <c r="AB55" s="265"/>
      <c r="AC55" s="180"/>
      <c r="AD55" s="486"/>
      <c r="AE55" s="180"/>
      <c r="AF55" s="265"/>
      <c r="AG55" s="265"/>
      <c r="AH55" s="180"/>
      <c r="AI55" s="486"/>
      <c r="AJ55" s="180"/>
      <c r="AK55" s="265"/>
      <c r="AL55" s="265"/>
      <c r="AM55" s="180"/>
      <c r="AN55" s="486"/>
      <c r="AO55" s="180"/>
      <c r="AP55" s="265"/>
      <c r="AQ55" s="265"/>
      <c r="AR55" s="180"/>
      <c r="AS55" s="486"/>
      <c r="AT55" s="180"/>
      <c r="AU55" s="265"/>
      <c r="AV55" s="265"/>
      <c r="AW55" s="180"/>
      <c r="AX55" s="486"/>
    </row>
    <row r="56" spans="2:50">
      <c r="B56" s="479"/>
      <c r="C56" s="180">
        <v>10</v>
      </c>
      <c r="D56" s="201"/>
      <c r="E56" s="166"/>
      <c r="F56" s="180"/>
      <c r="G56" s="265"/>
      <c r="H56" s="460"/>
      <c r="I56" s="166"/>
      <c r="J56" s="166"/>
      <c r="K56" s="265"/>
      <c r="L56" s="460"/>
      <c r="M56" s="272" t="e">
        <f>RANK(K56, K$47:$K$61)</f>
        <v>#N/A</v>
      </c>
      <c r="N56" s="462"/>
      <c r="O56" s="462"/>
      <c r="P56" s="180"/>
      <c r="Q56" s="180"/>
      <c r="R56" s="265"/>
      <c r="S56" s="180"/>
      <c r="T56" s="486"/>
      <c r="U56" s="180"/>
      <c r="V56" s="180"/>
      <c r="W56" s="265"/>
      <c r="X56" s="180"/>
      <c r="Y56" s="486"/>
      <c r="Z56" s="180"/>
      <c r="AA56" s="180"/>
      <c r="AB56" s="265"/>
      <c r="AC56" s="180"/>
      <c r="AD56" s="486"/>
      <c r="AE56" s="180"/>
      <c r="AF56" s="180"/>
      <c r="AG56" s="265"/>
      <c r="AH56" s="180"/>
      <c r="AI56" s="486"/>
      <c r="AJ56" s="180"/>
      <c r="AK56" s="180"/>
      <c r="AL56" s="265"/>
      <c r="AM56" s="180"/>
      <c r="AN56" s="486"/>
      <c r="AO56" s="180"/>
      <c r="AP56" s="180"/>
      <c r="AQ56" s="265"/>
      <c r="AR56" s="180"/>
      <c r="AS56" s="486"/>
      <c r="AT56" s="180"/>
      <c r="AU56" s="180"/>
      <c r="AV56" s="265"/>
      <c r="AW56" s="180"/>
      <c r="AX56" s="486"/>
    </row>
    <row r="57" spans="2:50">
      <c r="B57" s="479"/>
      <c r="C57" s="180">
        <v>11</v>
      </c>
      <c r="D57" s="201"/>
      <c r="E57" s="166"/>
      <c r="F57" s="180"/>
      <c r="G57" s="265"/>
      <c r="H57" s="460"/>
      <c r="I57" s="180"/>
      <c r="J57" s="180"/>
      <c r="K57" s="180"/>
      <c r="L57" s="460"/>
      <c r="M57" s="272" t="e">
        <f>RANK(K57, K$47:$K$61)</f>
        <v>#N/A</v>
      </c>
      <c r="N57" s="462"/>
      <c r="O57" s="462"/>
      <c r="P57" s="180"/>
      <c r="Q57" s="180"/>
      <c r="R57" s="180"/>
      <c r="S57" s="180"/>
      <c r="T57" s="486"/>
      <c r="U57" s="180"/>
      <c r="V57" s="180"/>
      <c r="W57" s="180"/>
      <c r="X57" s="265"/>
      <c r="Y57" s="486"/>
      <c r="Z57" s="180"/>
      <c r="AA57" s="180"/>
      <c r="AB57" s="180"/>
      <c r="AC57" s="180"/>
      <c r="AD57" s="486"/>
      <c r="AE57" s="180"/>
      <c r="AF57" s="180"/>
      <c r="AG57" s="180"/>
      <c r="AH57" s="180"/>
      <c r="AI57" s="486"/>
      <c r="AJ57" s="180"/>
      <c r="AK57" s="180"/>
      <c r="AL57" s="180"/>
      <c r="AM57" s="180"/>
      <c r="AN57" s="486"/>
      <c r="AO57" s="180"/>
      <c r="AP57" s="180"/>
      <c r="AQ57" s="180"/>
      <c r="AR57" s="180"/>
      <c r="AS57" s="486"/>
      <c r="AT57" s="180"/>
      <c r="AU57" s="180"/>
      <c r="AV57" s="180"/>
      <c r="AW57" s="180"/>
      <c r="AX57" s="486"/>
    </row>
    <row r="58" spans="2:50">
      <c r="B58" s="479"/>
      <c r="C58" s="180">
        <v>12</v>
      </c>
      <c r="D58" s="201"/>
      <c r="E58" s="166"/>
      <c r="F58" s="180"/>
      <c r="G58" s="265"/>
      <c r="H58" s="460"/>
      <c r="I58" s="180"/>
      <c r="J58" s="180"/>
      <c r="K58" s="180"/>
      <c r="L58" s="460"/>
      <c r="M58" s="272" t="e">
        <f>RANK(K58, K$47:$K$61)</f>
        <v>#N/A</v>
      </c>
      <c r="N58" s="462"/>
      <c r="O58" s="462"/>
      <c r="P58" s="180"/>
      <c r="Q58" s="180"/>
      <c r="R58" s="180"/>
      <c r="S58" s="180"/>
      <c r="T58" s="486"/>
      <c r="U58" s="180"/>
      <c r="V58" s="180"/>
      <c r="W58" s="180"/>
      <c r="X58" s="180"/>
      <c r="Y58" s="486"/>
      <c r="Z58" s="180"/>
      <c r="AA58" s="180"/>
      <c r="AB58" s="180"/>
      <c r="AC58" s="180"/>
      <c r="AD58" s="486"/>
      <c r="AE58" s="180"/>
      <c r="AF58" s="180"/>
      <c r="AG58" s="180"/>
      <c r="AH58" s="180"/>
      <c r="AI58" s="486"/>
      <c r="AJ58" s="180"/>
      <c r="AK58" s="180"/>
      <c r="AL58" s="180"/>
      <c r="AM58" s="180"/>
      <c r="AN58" s="486"/>
      <c r="AO58" s="180"/>
      <c r="AP58" s="180"/>
      <c r="AQ58" s="180"/>
      <c r="AR58" s="180"/>
      <c r="AS58" s="486"/>
      <c r="AT58" s="180"/>
      <c r="AU58" s="180"/>
      <c r="AV58" s="180"/>
      <c r="AW58" s="180"/>
      <c r="AX58" s="486"/>
    </row>
    <row r="59" spans="2:50">
      <c r="B59" s="479"/>
      <c r="C59" s="180">
        <v>13</v>
      </c>
      <c r="D59" s="201"/>
      <c r="E59" s="166"/>
      <c r="F59" s="180"/>
      <c r="G59" s="265"/>
      <c r="H59" s="460"/>
      <c r="I59" s="180"/>
      <c r="J59" s="180"/>
      <c r="K59" s="180"/>
      <c r="L59" s="460"/>
      <c r="M59" s="272" t="e">
        <f>RANK(K59, K$47:$K$61)</f>
        <v>#N/A</v>
      </c>
      <c r="N59" s="462"/>
      <c r="O59" s="462"/>
      <c r="P59" s="180"/>
      <c r="Q59" s="180"/>
      <c r="R59" s="180"/>
      <c r="S59" s="180"/>
      <c r="T59" s="486"/>
      <c r="U59" s="180"/>
      <c r="V59" s="180"/>
      <c r="W59" s="180"/>
      <c r="X59" s="180"/>
      <c r="Y59" s="486"/>
      <c r="Z59" s="180"/>
      <c r="AA59" s="180"/>
      <c r="AB59" s="180"/>
      <c r="AC59" s="180"/>
      <c r="AD59" s="486"/>
      <c r="AE59" s="180"/>
      <c r="AF59" s="180"/>
      <c r="AG59" s="180"/>
      <c r="AH59" s="180"/>
      <c r="AI59" s="486"/>
      <c r="AJ59" s="180"/>
      <c r="AK59" s="180"/>
      <c r="AL59" s="180"/>
      <c r="AM59" s="180"/>
      <c r="AN59" s="486"/>
      <c r="AO59" s="180"/>
      <c r="AP59" s="180"/>
      <c r="AQ59" s="180"/>
      <c r="AR59" s="180"/>
      <c r="AS59" s="486"/>
      <c r="AT59" s="180"/>
      <c r="AU59" s="180"/>
      <c r="AV59" s="180"/>
      <c r="AW59" s="180"/>
      <c r="AX59" s="486"/>
    </row>
    <row r="60" spans="2:50">
      <c r="B60" s="479"/>
      <c r="C60" s="180">
        <v>14</v>
      </c>
      <c r="D60" s="201"/>
      <c r="E60" s="166"/>
      <c r="F60" s="180"/>
      <c r="G60" s="265"/>
      <c r="H60" s="460"/>
      <c r="I60" s="180"/>
      <c r="J60" s="180"/>
      <c r="K60" s="180"/>
      <c r="L60" s="460"/>
      <c r="M60" s="272" t="e">
        <f>RANK(K60, K$47:$K$61)</f>
        <v>#N/A</v>
      </c>
      <c r="N60" s="462"/>
      <c r="O60" s="462"/>
      <c r="P60" s="180"/>
      <c r="Q60" s="180"/>
      <c r="R60" s="180"/>
      <c r="S60" s="180"/>
      <c r="T60" s="486"/>
      <c r="U60" s="180"/>
      <c r="V60" s="180"/>
      <c r="W60" s="180"/>
      <c r="X60" s="180"/>
      <c r="Y60" s="486"/>
      <c r="Z60" s="180"/>
      <c r="AA60" s="180"/>
      <c r="AB60" s="180"/>
      <c r="AC60" s="180"/>
      <c r="AD60" s="486"/>
      <c r="AE60" s="180"/>
      <c r="AF60" s="180"/>
      <c r="AG60" s="180"/>
      <c r="AH60" s="180"/>
      <c r="AI60" s="486"/>
      <c r="AJ60" s="180"/>
      <c r="AK60" s="180"/>
      <c r="AL60" s="180"/>
      <c r="AM60" s="180"/>
      <c r="AN60" s="486"/>
      <c r="AO60" s="180"/>
      <c r="AP60" s="180"/>
      <c r="AQ60" s="180"/>
      <c r="AR60" s="180"/>
      <c r="AS60" s="486"/>
      <c r="AT60" s="180"/>
      <c r="AU60" s="180"/>
      <c r="AV60" s="180"/>
      <c r="AW60" s="180"/>
      <c r="AX60" s="486"/>
    </row>
    <row r="61" spans="2:50">
      <c r="B61" s="479"/>
      <c r="C61" s="180">
        <v>15</v>
      </c>
      <c r="D61" s="201"/>
      <c r="E61" s="166"/>
      <c r="F61" s="180"/>
      <c r="G61" s="265"/>
      <c r="H61" s="461"/>
      <c r="I61" s="180"/>
      <c r="J61" s="180"/>
      <c r="K61" s="180"/>
      <c r="L61" s="461"/>
      <c r="M61" s="272" t="e">
        <f>RANK(K61, K$47:$K$61)</f>
        <v>#N/A</v>
      </c>
      <c r="N61" s="462"/>
      <c r="O61" s="462"/>
      <c r="P61" s="180"/>
      <c r="Q61" s="180"/>
      <c r="R61" s="180"/>
      <c r="S61" s="180"/>
      <c r="T61" s="486"/>
      <c r="U61" s="180"/>
      <c r="V61" s="180"/>
      <c r="W61" s="180"/>
      <c r="X61" s="180"/>
      <c r="Y61" s="486"/>
      <c r="Z61" s="180"/>
      <c r="AA61" s="180"/>
      <c r="AB61" s="180"/>
      <c r="AC61" s="180"/>
      <c r="AD61" s="486"/>
      <c r="AE61" s="180"/>
      <c r="AF61" s="180"/>
      <c r="AG61" s="180"/>
      <c r="AH61" s="180"/>
      <c r="AI61" s="486"/>
      <c r="AJ61" s="180"/>
      <c r="AK61" s="180"/>
      <c r="AL61" s="180"/>
      <c r="AM61" s="180"/>
      <c r="AN61" s="486"/>
      <c r="AO61" s="180"/>
      <c r="AP61" s="180"/>
      <c r="AQ61" s="180"/>
      <c r="AR61" s="180"/>
      <c r="AS61" s="486"/>
      <c r="AT61" s="180"/>
      <c r="AU61" s="180"/>
      <c r="AV61" s="180"/>
      <c r="AW61" s="180"/>
      <c r="AX61" s="486"/>
    </row>
    <row r="62" spans="2:50" ht="15.75">
      <c r="B62" s="480" t="s">
        <v>721</v>
      </c>
      <c r="C62" s="481"/>
      <c r="D62" s="481"/>
      <c r="E62" s="481"/>
      <c r="F62" s="481"/>
      <c r="G62" s="481"/>
      <c r="H62" s="481"/>
      <c r="I62" s="184"/>
      <c r="J62" s="184"/>
      <c r="K62" s="184"/>
      <c r="L62" s="184"/>
      <c r="M62" s="183"/>
      <c r="N62" s="469" t="s">
        <v>722</v>
      </c>
      <c r="O62" s="469" t="s">
        <v>723</v>
      </c>
      <c r="P62" s="478">
        <f>P42+7</f>
        <v>46070</v>
      </c>
      <c r="Q62" s="479"/>
      <c r="R62" s="479"/>
      <c r="S62" s="479"/>
      <c r="T62" s="479"/>
      <c r="U62" s="475">
        <f>P62+1</f>
        <v>46071</v>
      </c>
      <c r="V62" s="476"/>
      <c r="W62" s="476"/>
      <c r="X62" s="476"/>
      <c r="Y62" s="477"/>
      <c r="Z62" s="475">
        <f>U62+1</f>
        <v>46072</v>
      </c>
      <c r="AA62" s="476"/>
      <c r="AB62" s="476"/>
      <c r="AC62" s="476"/>
      <c r="AD62" s="477"/>
      <c r="AE62" s="475">
        <f>Z62+1</f>
        <v>46073</v>
      </c>
      <c r="AF62" s="476"/>
      <c r="AG62" s="476"/>
      <c r="AH62" s="476"/>
      <c r="AI62" s="477"/>
      <c r="AJ62" s="475">
        <f>AE62+1</f>
        <v>46074</v>
      </c>
      <c r="AK62" s="476"/>
      <c r="AL62" s="476"/>
      <c r="AM62" s="476"/>
      <c r="AN62" s="477"/>
      <c r="AO62" s="475">
        <f>AJ62+1</f>
        <v>46075</v>
      </c>
      <c r="AP62" s="476"/>
      <c r="AQ62" s="476"/>
      <c r="AR62" s="476"/>
      <c r="AS62" s="477"/>
      <c r="AT62" s="475">
        <f>AO62+1</f>
        <v>46076</v>
      </c>
      <c r="AU62" s="476"/>
      <c r="AV62" s="476"/>
      <c r="AW62" s="476"/>
      <c r="AX62" s="477"/>
    </row>
    <row r="63" spans="2:50" ht="15.75">
      <c r="B63" s="482"/>
      <c r="C63" s="482"/>
      <c r="D63" s="482"/>
      <c r="E63" s="482"/>
      <c r="F63" s="482"/>
      <c r="G63" s="482"/>
      <c r="H63" s="482"/>
      <c r="I63" s="182"/>
      <c r="J63" s="182"/>
      <c r="K63" s="182"/>
      <c r="L63" s="182"/>
      <c r="M63" s="179"/>
      <c r="N63" s="471"/>
      <c r="O63" s="471"/>
      <c r="P63" s="478" t="s">
        <v>724</v>
      </c>
      <c r="Q63" s="479"/>
      <c r="R63" s="479"/>
      <c r="S63" s="479"/>
      <c r="T63" s="479"/>
      <c r="U63" s="478" t="s">
        <v>725</v>
      </c>
      <c r="V63" s="479"/>
      <c r="W63" s="479"/>
      <c r="X63" s="479"/>
      <c r="Y63" s="479"/>
      <c r="Z63" s="478" t="s">
        <v>726</v>
      </c>
      <c r="AA63" s="479"/>
      <c r="AB63" s="479"/>
      <c r="AC63" s="479"/>
      <c r="AD63" s="479"/>
      <c r="AE63" s="478" t="s">
        <v>727</v>
      </c>
      <c r="AF63" s="479"/>
      <c r="AG63" s="479"/>
      <c r="AH63" s="479"/>
      <c r="AI63" s="479"/>
      <c r="AJ63" s="478" t="s">
        <v>728</v>
      </c>
      <c r="AK63" s="479"/>
      <c r="AL63" s="479"/>
      <c r="AM63" s="479"/>
      <c r="AN63" s="479"/>
      <c r="AO63" s="478" t="s">
        <v>729</v>
      </c>
      <c r="AP63" s="479"/>
      <c r="AQ63" s="479"/>
      <c r="AR63" s="479"/>
      <c r="AS63" s="479"/>
      <c r="AT63" s="478" t="s">
        <v>730</v>
      </c>
      <c r="AU63" s="479"/>
      <c r="AV63" s="479"/>
      <c r="AW63" s="479"/>
      <c r="AX63" s="479"/>
    </row>
    <row r="64" spans="2:50">
      <c r="B64" s="462" t="s">
        <v>731</v>
      </c>
      <c r="C64" s="462" t="s">
        <v>732</v>
      </c>
      <c r="D64" s="462"/>
      <c r="E64" s="462" t="s">
        <v>733</v>
      </c>
      <c r="F64" s="462"/>
      <c r="G64" s="462"/>
      <c r="H64" s="463" t="s">
        <v>734</v>
      </c>
      <c r="I64" s="462" t="s">
        <v>735</v>
      </c>
      <c r="J64" s="462"/>
      <c r="K64" s="462"/>
      <c r="L64" s="463" t="s">
        <v>734</v>
      </c>
      <c r="M64" s="469" t="s">
        <v>736</v>
      </c>
      <c r="N64" s="462"/>
      <c r="O64" s="462" t="s">
        <v>737</v>
      </c>
      <c r="P64" s="466" t="s">
        <v>738</v>
      </c>
      <c r="Q64" s="467"/>
      <c r="R64" s="467"/>
      <c r="S64" s="468"/>
      <c r="T64" s="462" t="s">
        <v>734</v>
      </c>
      <c r="U64" s="466" t="s">
        <v>738</v>
      </c>
      <c r="V64" s="467"/>
      <c r="W64" s="467"/>
      <c r="X64" s="468"/>
      <c r="Y64" s="462" t="s">
        <v>734</v>
      </c>
      <c r="Z64" s="466" t="s">
        <v>738</v>
      </c>
      <c r="AA64" s="467"/>
      <c r="AB64" s="467"/>
      <c r="AC64" s="468"/>
      <c r="AD64" s="462" t="s">
        <v>734</v>
      </c>
      <c r="AE64" s="466" t="s">
        <v>738</v>
      </c>
      <c r="AF64" s="467"/>
      <c r="AG64" s="467"/>
      <c r="AH64" s="468"/>
      <c r="AI64" s="462" t="s">
        <v>734</v>
      </c>
      <c r="AJ64" s="466" t="s">
        <v>738</v>
      </c>
      <c r="AK64" s="467"/>
      <c r="AL64" s="467"/>
      <c r="AM64" s="468"/>
      <c r="AN64" s="462" t="s">
        <v>734</v>
      </c>
      <c r="AO64" s="466" t="s">
        <v>738</v>
      </c>
      <c r="AP64" s="467"/>
      <c r="AQ64" s="467"/>
      <c r="AR64" s="468"/>
      <c r="AS64" s="462" t="s">
        <v>734</v>
      </c>
      <c r="AT64" s="466" t="s">
        <v>738</v>
      </c>
      <c r="AU64" s="467"/>
      <c r="AV64" s="467"/>
      <c r="AW64" s="468"/>
      <c r="AX64" s="462" t="s">
        <v>734</v>
      </c>
    </row>
    <row r="65" spans="2:50">
      <c r="B65" s="462"/>
      <c r="C65" s="462"/>
      <c r="D65" s="462"/>
      <c r="E65" s="462" t="s">
        <v>739</v>
      </c>
      <c r="F65" s="462"/>
      <c r="G65" s="462"/>
      <c r="H65" s="464"/>
      <c r="I65" s="462" t="s">
        <v>739</v>
      </c>
      <c r="J65" s="462"/>
      <c r="K65" s="462"/>
      <c r="L65" s="464"/>
      <c r="M65" s="470"/>
      <c r="N65" s="462"/>
      <c r="O65" s="462"/>
      <c r="P65" s="466" t="s">
        <v>740</v>
      </c>
      <c r="Q65" s="467"/>
      <c r="R65" s="467"/>
      <c r="S65" s="468"/>
      <c r="T65" s="462"/>
      <c r="U65" s="466" t="s">
        <v>740</v>
      </c>
      <c r="V65" s="467"/>
      <c r="W65" s="467"/>
      <c r="X65" s="468"/>
      <c r="Y65" s="462"/>
      <c r="Z65" s="466" t="s">
        <v>740</v>
      </c>
      <c r="AA65" s="467"/>
      <c r="AB65" s="467"/>
      <c r="AC65" s="468"/>
      <c r="AD65" s="462"/>
      <c r="AE65" s="466" t="s">
        <v>740</v>
      </c>
      <c r="AF65" s="467"/>
      <c r="AG65" s="467"/>
      <c r="AH65" s="468"/>
      <c r="AI65" s="462"/>
      <c r="AJ65" s="466" t="s">
        <v>740</v>
      </c>
      <c r="AK65" s="467"/>
      <c r="AL65" s="467"/>
      <c r="AM65" s="468"/>
      <c r="AN65" s="462"/>
      <c r="AO65" s="466" t="s">
        <v>740</v>
      </c>
      <c r="AP65" s="467"/>
      <c r="AQ65" s="467"/>
      <c r="AR65" s="468"/>
      <c r="AS65" s="462"/>
      <c r="AT65" s="466" t="s">
        <v>740</v>
      </c>
      <c r="AU65" s="467"/>
      <c r="AV65" s="467"/>
      <c r="AW65" s="468"/>
      <c r="AX65" s="462"/>
    </row>
    <row r="66" spans="2:50">
      <c r="B66" s="462"/>
      <c r="C66" s="462"/>
      <c r="D66" s="462"/>
      <c r="E66" s="264" t="s">
        <v>741</v>
      </c>
      <c r="F66" s="264" t="s">
        <v>742</v>
      </c>
      <c r="G66" s="264" t="s">
        <v>743</v>
      </c>
      <c r="H66" s="465"/>
      <c r="I66" s="264" t="s">
        <v>741</v>
      </c>
      <c r="J66" s="264" t="s">
        <v>742</v>
      </c>
      <c r="K66" s="264" t="s">
        <v>743</v>
      </c>
      <c r="L66" s="465"/>
      <c r="M66" s="471"/>
      <c r="N66" s="462"/>
      <c r="O66" s="462"/>
      <c r="P66" s="264" t="s">
        <v>741</v>
      </c>
      <c r="Q66" s="264" t="s">
        <v>742</v>
      </c>
      <c r="R66" s="264" t="s">
        <v>743</v>
      </c>
      <c r="S66" s="264" t="s">
        <v>736</v>
      </c>
      <c r="T66" s="462"/>
      <c r="U66" s="264" t="s">
        <v>741</v>
      </c>
      <c r="V66" s="264" t="s">
        <v>742</v>
      </c>
      <c r="W66" s="264" t="s">
        <v>743</v>
      </c>
      <c r="X66" s="264" t="s">
        <v>736</v>
      </c>
      <c r="Y66" s="462"/>
      <c r="Z66" s="264" t="s">
        <v>741</v>
      </c>
      <c r="AA66" s="264" t="s">
        <v>742</v>
      </c>
      <c r="AB66" s="264" t="s">
        <v>743</v>
      </c>
      <c r="AC66" s="264" t="s">
        <v>736</v>
      </c>
      <c r="AD66" s="462"/>
      <c r="AE66" s="264" t="s">
        <v>741</v>
      </c>
      <c r="AF66" s="264" t="s">
        <v>742</v>
      </c>
      <c r="AG66" s="264" t="s">
        <v>743</v>
      </c>
      <c r="AH66" s="264" t="s">
        <v>736</v>
      </c>
      <c r="AI66" s="462"/>
      <c r="AJ66" s="264" t="s">
        <v>741</v>
      </c>
      <c r="AK66" s="264" t="s">
        <v>742</v>
      </c>
      <c r="AL66" s="264" t="s">
        <v>743</v>
      </c>
      <c r="AM66" s="264" t="s">
        <v>736</v>
      </c>
      <c r="AN66" s="462"/>
      <c r="AO66" s="264" t="s">
        <v>741</v>
      </c>
      <c r="AP66" s="264" t="s">
        <v>742</v>
      </c>
      <c r="AQ66" s="264" t="s">
        <v>743</v>
      </c>
      <c r="AR66" s="264" t="s">
        <v>736</v>
      </c>
      <c r="AS66" s="462"/>
      <c r="AT66" s="264" t="s">
        <v>741</v>
      </c>
      <c r="AU66" s="264" t="s">
        <v>742</v>
      </c>
      <c r="AV66" s="264" t="s">
        <v>743</v>
      </c>
      <c r="AW66" s="264" t="s">
        <v>736</v>
      </c>
      <c r="AX66" s="462"/>
    </row>
    <row r="67" spans="2:50">
      <c r="B67" s="462" t="s">
        <v>757</v>
      </c>
      <c r="C67" s="180">
        <v>1</v>
      </c>
      <c r="D67" s="201" t="s">
        <v>378</v>
      </c>
      <c r="E67" s="166">
        <v>20</v>
      </c>
      <c r="F67" s="180">
        <v>2200</v>
      </c>
      <c r="G67" s="265">
        <v>110</v>
      </c>
      <c r="H67" s="459">
        <f>AVERAGE(G67:G81)</f>
        <v>137.58479532163742</v>
      </c>
      <c r="I67" s="166">
        <f t="shared" ref="I67:K71" si="32">AVERAGE(P67,U67,Z67,AE67,AJ67,AO67,AT67)</f>
        <v>20</v>
      </c>
      <c r="J67" s="166">
        <f t="shared" si="32"/>
        <v>2112.888545854225</v>
      </c>
      <c r="K67" s="265">
        <f t="shared" si="32"/>
        <v>105.64442729271126</v>
      </c>
      <c r="L67" s="459">
        <f>IFERROR(AVERAGE(K67:K81),"-")</f>
        <v>120.6793032048884</v>
      </c>
      <c r="M67" s="272">
        <f>RANK(K67, K$67:$K$81)</f>
        <v>5</v>
      </c>
      <c r="N67" s="462"/>
      <c r="O67" s="462"/>
      <c r="P67" s="166">
        <v>20</v>
      </c>
      <c r="Q67" s="265">
        <v>2064.0374999999995</v>
      </c>
      <c r="R67" s="265">
        <v>103.20187499999997</v>
      </c>
      <c r="S67" s="180">
        <f>RANK(R67, R$67:R$81)</f>
        <v>5</v>
      </c>
      <c r="T67" s="459">
        <f>AVERAGE(R67:R81)</f>
        <v>119.86922680595569</v>
      </c>
      <c r="U67" s="166">
        <v>20</v>
      </c>
      <c r="V67" s="265">
        <v>2059.5661016949143</v>
      </c>
      <c r="W67" s="265">
        <v>102.97830508474571</v>
      </c>
      <c r="X67" s="180">
        <f t="shared" ref="X67:X81" si="33">RANK(W67, W$67:W$81)</f>
        <v>5</v>
      </c>
      <c r="Y67" s="459">
        <f t="shared" ref="Y67" si="34">AVERAGE(W67:W81)</f>
        <v>118.89964993661673</v>
      </c>
      <c r="Z67" s="166">
        <v>20</v>
      </c>
      <c r="AA67" s="265">
        <v>2126.7692307692305</v>
      </c>
      <c r="AB67" s="265">
        <v>106.33846153846153</v>
      </c>
      <c r="AC67" s="180">
        <f t="shared" ref="AC67:AC81" si="35">RANK(AB67, AB$67:AB$81)</f>
        <v>5</v>
      </c>
      <c r="AD67" s="459">
        <f t="shared" ref="AD67" si="36">AVERAGE(AB67:AB81)</f>
        <v>121.02103847119329</v>
      </c>
      <c r="AE67" s="166">
        <v>20</v>
      </c>
      <c r="AF67" s="265">
        <v>2065.0952380952376</v>
      </c>
      <c r="AG67" s="265">
        <v>103.25476190476188</v>
      </c>
      <c r="AH67" s="180">
        <f t="shared" ref="AH67:AH81" si="37">RANK(AG67, AG$67:AG$81)</f>
        <v>5</v>
      </c>
      <c r="AI67" s="459">
        <f t="shared" ref="AI67" si="38">AVERAGE(AG67:AG81)</f>
        <v>119.82175305284485</v>
      </c>
      <c r="AJ67" s="166">
        <v>20</v>
      </c>
      <c r="AK67" s="265">
        <v>2132.3513513513522</v>
      </c>
      <c r="AL67" s="265">
        <v>106.6175675675676</v>
      </c>
      <c r="AM67" s="180">
        <f t="shared" ref="AM67:AM81" si="39">RANK(AL67, AL$67:AL$81)</f>
        <v>5</v>
      </c>
      <c r="AN67" s="459">
        <f t="shared" ref="AN67" si="40">AVERAGE(AL67:AL81)</f>
        <v>120.57637423485774</v>
      </c>
      <c r="AO67" s="166">
        <v>20</v>
      </c>
      <c r="AP67" s="265">
        <v>2155.7096774193551</v>
      </c>
      <c r="AQ67" s="265">
        <v>107.78548387096775</v>
      </c>
      <c r="AR67" s="180">
        <f t="shared" ref="AR67:AR81" si="41">RANK(AQ67, AQ$67:AQ$81)</f>
        <v>4</v>
      </c>
      <c r="AS67" s="459">
        <f t="shared" ref="AS67" si="42">AVERAGE(AQ67:AQ81)</f>
        <v>122.61320799839839</v>
      </c>
      <c r="AT67" s="166">
        <v>20</v>
      </c>
      <c r="AU67" s="265">
        <v>2186.6907216494851</v>
      </c>
      <c r="AV67" s="265">
        <v>109.33453608247426</v>
      </c>
      <c r="AW67" s="180">
        <f t="shared" ref="AW67:AW81" si="43">RANK(AV67, AV$67:AV$81)</f>
        <v>4</v>
      </c>
      <c r="AX67" s="486">
        <f t="shared" ref="AX67" si="44">AVERAGE(AV67:AV81)</f>
        <v>121.95387193435208</v>
      </c>
    </row>
    <row r="68" spans="2:50">
      <c r="B68" s="479"/>
      <c r="C68" s="180">
        <v>2</v>
      </c>
      <c r="D68" s="201" t="s">
        <v>379</v>
      </c>
      <c r="E68" s="166">
        <v>18</v>
      </c>
      <c r="F68" s="180">
        <v>2700</v>
      </c>
      <c r="G68" s="265">
        <v>150</v>
      </c>
      <c r="H68" s="460"/>
      <c r="I68" s="166">
        <f t="shared" si="32"/>
        <v>19</v>
      </c>
      <c r="J68" s="166">
        <f t="shared" si="32"/>
        <v>2470.3124057541572</v>
      </c>
      <c r="K68" s="265">
        <f t="shared" si="32"/>
        <v>130.01644240811356</v>
      </c>
      <c r="L68" s="460"/>
      <c r="M68" s="272">
        <f>RANK(K68, K$67:$K$81)</f>
        <v>3</v>
      </c>
      <c r="N68" s="462"/>
      <c r="O68" s="462"/>
      <c r="P68" s="180">
        <v>19</v>
      </c>
      <c r="Q68" s="265">
        <v>2446.0465116279065</v>
      </c>
      <c r="R68" s="265">
        <v>128.7392900856793</v>
      </c>
      <c r="S68" s="180">
        <f t="shared" ref="S68:S81" si="45">RANK(R68, R$67:R$81)</f>
        <v>2</v>
      </c>
      <c r="T68" s="460"/>
      <c r="U68" s="180">
        <v>19</v>
      </c>
      <c r="V68" s="265">
        <v>2485.4999999999991</v>
      </c>
      <c r="W68" s="265">
        <v>130.81578947368416</v>
      </c>
      <c r="X68" s="180">
        <f t="shared" si="33"/>
        <v>1</v>
      </c>
      <c r="Y68" s="460"/>
      <c r="Z68" s="180">
        <v>19</v>
      </c>
      <c r="AA68" s="265">
        <v>2399.9999999999986</v>
      </c>
      <c r="AB68" s="265">
        <v>126.31578947368413</v>
      </c>
      <c r="AC68" s="180">
        <f t="shared" si="35"/>
        <v>3</v>
      </c>
      <c r="AD68" s="460"/>
      <c r="AE68" s="180">
        <v>19</v>
      </c>
      <c r="AF68" s="265">
        <v>2479.9999999999986</v>
      </c>
      <c r="AG68" s="265">
        <v>130.52631578947361</v>
      </c>
      <c r="AH68" s="180">
        <f t="shared" si="37"/>
        <v>1</v>
      </c>
      <c r="AI68" s="460"/>
      <c r="AJ68" s="180">
        <v>19</v>
      </c>
      <c r="AK68" s="265">
        <v>2434.6153846153861</v>
      </c>
      <c r="AL68" s="265">
        <v>128.13765182186242</v>
      </c>
      <c r="AM68" s="180">
        <f t="shared" si="39"/>
        <v>3</v>
      </c>
      <c r="AN68" s="460"/>
      <c r="AO68" s="180">
        <v>19</v>
      </c>
      <c r="AP68" s="265">
        <v>2599.2452830188654</v>
      </c>
      <c r="AQ68" s="265">
        <v>136.8023833167824</v>
      </c>
      <c r="AR68" s="180">
        <f t="shared" si="41"/>
        <v>1</v>
      </c>
      <c r="AS68" s="460"/>
      <c r="AT68" s="180">
        <v>19</v>
      </c>
      <c r="AU68" s="265">
        <v>2446.779661016948</v>
      </c>
      <c r="AV68" s="265">
        <v>128.77787689562885</v>
      </c>
      <c r="AW68" s="180">
        <f t="shared" si="43"/>
        <v>3</v>
      </c>
      <c r="AX68" s="486"/>
    </row>
    <row r="69" spans="2:50">
      <c r="B69" s="479"/>
      <c r="C69" s="180">
        <v>3</v>
      </c>
      <c r="D69" s="201" t="s">
        <v>380</v>
      </c>
      <c r="E69" s="166">
        <v>18</v>
      </c>
      <c r="F69" s="180">
        <v>2800</v>
      </c>
      <c r="G69" s="265">
        <v>155.55555555555554</v>
      </c>
      <c r="H69" s="460"/>
      <c r="I69" s="166">
        <f t="shared" si="32"/>
        <v>19</v>
      </c>
      <c r="J69" s="166">
        <f t="shared" si="32"/>
        <v>2471.0600890221453</v>
      </c>
      <c r="K69" s="265">
        <f t="shared" si="32"/>
        <v>130.05579415906027</v>
      </c>
      <c r="L69" s="460"/>
      <c r="M69" s="272">
        <f>RANK(K69, K$67:$K$81)</f>
        <v>2</v>
      </c>
      <c r="N69" s="462"/>
      <c r="O69" s="462"/>
      <c r="P69" s="180">
        <v>19</v>
      </c>
      <c r="Q69" s="265">
        <v>2428.1999999999989</v>
      </c>
      <c r="R69" s="265">
        <v>127.79999999999994</v>
      </c>
      <c r="S69" s="180">
        <f t="shared" si="45"/>
        <v>3</v>
      </c>
      <c r="T69" s="460"/>
      <c r="U69" s="180">
        <v>19</v>
      </c>
      <c r="V69" s="265">
        <v>2437.578947368419</v>
      </c>
      <c r="W69" s="265">
        <v>128.29362880886416</v>
      </c>
      <c r="X69" s="180">
        <f t="shared" si="33"/>
        <v>3</v>
      </c>
      <c r="Y69" s="460"/>
      <c r="Z69" s="180">
        <v>19</v>
      </c>
      <c r="AA69" s="265">
        <v>2528.4705882352969</v>
      </c>
      <c r="AB69" s="265">
        <v>133.0773993808051</v>
      </c>
      <c r="AC69" s="180">
        <f t="shared" si="35"/>
        <v>1</v>
      </c>
      <c r="AD69" s="460"/>
      <c r="AE69" s="180">
        <v>19</v>
      </c>
      <c r="AF69" s="265">
        <v>2469.3749999999995</v>
      </c>
      <c r="AG69" s="265">
        <v>129.96710526315786</v>
      </c>
      <c r="AH69" s="180">
        <f t="shared" si="37"/>
        <v>2</v>
      </c>
      <c r="AI69" s="460"/>
      <c r="AJ69" s="180">
        <v>19</v>
      </c>
      <c r="AK69" s="265">
        <v>2474.2325581395344</v>
      </c>
      <c r="AL69" s="265">
        <v>130.22276621787023</v>
      </c>
      <c r="AM69" s="180">
        <f t="shared" si="39"/>
        <v>2</v>
      </c>
      <c r="AN69" s="460"/>
      <c r="AO69" s="180">
        <v>19</v>
      </c>
      <c r="AP69" s="265">
        <v>2458.8235294117658</v>
      </c>
      <c r="AQ69" s="265">
        <v>129.4117647058824</v>
      </c>
      <c r="AR69" s="180">
        <f t="shared" si="41"/>
        <v>3</v>
      </c>
      <c r="AS69" s="460"/>
      <c r="AT69" s="180">
        <v>19</v>
      </c>
      <c r="AU69" s="265">
        <v>2500.7400000000011</v>
      </c>
      <c r="AV69" s="265">
        <v>131.61789473684217</v>
      </c>
      <c r="AW69" s="180">
        <f t="shared" si="43"/>
        <v>1</v>
      </c>
      <c r="AX69" s="486"/>
    </row>
    <row r="70" spans="2:50">
      <c r="B70" s="479"/>
      <c r="C70" s="180">
        <v>4</v>
      </c>
      <c r="D70" s="201" t="s">
        <v>381</v>
      </c>
      <c r="E70" s="166">
        <v>19</v>
      </c>
      <c r="F70" s="180">
        <v>2800</v>
      </c>
      <c r="G70" s="265">
        <v>147.36842105263159</v>
      </c>
      <c r="H70" s="460"/>
      <c r="I70" s="166">
        <f t="shared" si="32"/>
        <v>19</v>
      </c>
      <c r="J70" s="166">
        <f t="shared" si="32"/>
        <v>2479.9767180707054</v>
      </c>
      <c r="K70" s="265">
        <f t="shared" si="32"/>
        <v>130.52509042477396</v>
      </c>
      <c r="L70" s="460"/>
      <c r="M70" s="272">
        <f>RANK(K70, K$67:$K$81)</f>
        <v>1</v>
      </c>
      <c r="N70" s="462"/>
      <c r="O70" s="462"/>
      <c r="P70" s="180">
        <v>19</v>
      </c>
      <c r="Q70" s="265">
        <v>2518.2086956521734</v>
      </c>
      <c r="R70" s="265">
        <v>132.53729977116703</v>
      </c>
      <c r="S70" s="180">
        <f t="shared" si="45"/>
        <v>1</v>
      </c>
      <c r="T70" s="460"/>
      <c r="U70" s="180">
        <v>19</v>
      </c>
      <c r="V70" s="265">
        <v>2441.7999999999997</v>
      </c>
      <c r="W70" s="265">
        <v>128.51578947368421</v>
      </c>
      <c r="X70" s="180">
        <f t="shared" si="33"/>
        <v>2</v>
      </c>
      <c r="Y70" s="460"/>
      <c r="Z70" s="180">
        <v>19</v>
      </c>
      <c r="AA70" s="265">
        <v>2470.8000000000002</v>
      </c>
      <c r="AB70" s="265">
        <v>130.04210526315791</v>
      </c>
      <c r="AC70" s="180">
        <f t="shared" si="35"/>
        <v>2</v>
      </c>
      <c r="AD70" s="460"/>
      <c r="AE70" s="180">
        <v>19</v>
      </c>
      <c r="AF70" s="265">
        <v>2440.8510638297876</v>
      </c>
      <c r="AG70" s="265">
        <v>128.46584546472567</v>
      </c>
      <c r="AH70" s="180">
        <f t="shared" si="37"/>
        <v>3</v>
      </c>
      <c r="AI70" s="460"/>
      <c r="AJ70" s="180">
        <v>19</v>
      </c>
      <c r="AK70" s="265">
        <v>2484.7021276595747</v>
      </c>
      <c r="AL70" s="265">
        <v>130.77379619260918</v>
      </c>
      <c r="AM70" s="180">
        <f t="shared" si="39"/>
        <v>1</v>
      </c>
      <c r="AN70" s="460"/>
      <c r="AO70" s="180">
        <v>19</v>
      </c>
      <c r="AP70" s="265">
        <v>2504.2956521739129</v>
      </c>
      <c r="AQ70" s="265">
        <v>131.8050343249428</v>
      </c>
      <c r="AR70" s="180">
        <f t="shared" si="41"/>
        <v>2</v>
      </c>
      <c r="AS70" s="460"/>
      <c r="AT70" s="180">
        <v>19</v>
      </c>
      <c r="AU70" s="265">
        <v>2499.1794871794873</v>
      </c>
      <c r="AV70" s="265">
        <v>131.53576248313092</v>
      </c>
      <c r="AW70" s="180">
        <f t="shared" si="43"/>
        <v>2</v>
      </c>
      <c r="AX70" s="486"/>
    </row>
    <row r="71" spans="2:50">
      <c r="B71" s="479"/>
      <c r="C71" s="180">
        <v>5</v>
      </c>
      <c r="D71" s="201" t="s">
        <v>525</v>
      </c>
      <c r="E71" s="166">
        <v>18</v>
      </c>
      <c r="F71" s="180">
        <v>2250</v>
      </c>
      <c r="G71" s="265">
        <v>125</v>
      </c>
      <c r="H71" s="460"/>
      <c r="I71" s="166">
        <f t="shared" si="32"/>
        <v>19</v>
      </c>
      <c r="J71" s="166">
        <f t="shared" si="32"/>
        <v>2035.9404730558765</v>
      </c>
      <c r="K71" s="265">
        <f t="shared" si="32"/>
        <v>107.15476173978297</v>
      </c>
      <c r="L71" s="460"/>
      <c r="M71" s="272">
        <f>RANK(K71, K$67:$K$81)</f>
        <v>4</v>
      </c>
      <c r="N71" s="462"/>
      <c r="O71" s="462"/>
      <c r="P71" s="180">
        <v>19</v>
      </c>
      <c r="Q71" s="265">
        <v>2034.2857142857135</v>
      </c>
      <c r="R71" s="265">
        <v>107.0676691729323</v>
      </c>
      <c r="S71" s="180">
        <f t="shared" si="45"/>
        <v>4</v>
      </c>
      <c r="T71" s="460"/>
      <c r="U71" s="180">
        <v>19</v>
      </c>
      <c r="V71" s="265">
        <v>1974.0000000000011</v>
      </c>
      <c r="W71" s="265">
        <v>103.89473684210532</v>
      </c>
      <c r="X71" s="180">
        <f t="shared" si="33"/>
        <v>4</v>
      </c>
      <c r="Y71" s="460"/>
      <c r="Z71" s="180">
        <v>19</v>
      </c>
      <c r="AA71" s="265">
        <v>2077.297297297298</v>
      </c>
      <c r="AB71" s="265">
        <v>109.33143669985779</v>
      </c>
      <c r="AC71" s="180">
        <f t="shared" si="35"/>
        <v>4</v>
      </c>
      <c r="AD71" s="460"/>
      <c r="AE71" s="180">
        <v>19</v>
      </c>
      <c r="AF71" s="265">
        <v>2031.0000000000009</v>
      </c>
      <c r="AG71" s="265">
        <v>106.89473684210532</v>
      </c>
      <c r="AH71" s="180">
        <f t="shared" si="37"/>
        <v>4</v>
      </c>
      <c r="AI71" s="460"/>
      <c r="AJ71" s="180">
        <v>19</v>
      </c>
      <c r="AK71" s="265">
        <v>2035.4716981132069</v>
      </c>
      <c r="AL71" s="265">
        <v>107.13008937437931</v>
      </c>
      <c r="AM71" s="180">
        <f t="shared" si="39"/>
        <v>4</v>
      </c>
      <c r="AN71" s="460"/>
      <c r="AO71" s="180">
        <v>19</v>
      </c>
      <c r="AP71" s="265">
        <v>2037.9661016949156</v>
      </c>
      <c r="AQ71" s="265">
        <v>107.26137377341661</v>
      </c>
      <c r="AR71" s="180">
        <f t="shared" si="41"/>
        <v>5</v>
      </c>
      <c r="AS71" s="460"/>
      <c r="AT71" s="180">
        <v>19</v>
      </c>
      <c r="AU71" s="265">
        <v>2061.5624999999995</v>
      </c>
      <c r="AV71" s="265">
        <v>108.50328947368419</v>
      </c>
      <c r="AW71" s="180">
        <f t="shared" si="43"/>
        <v>5</v>
      </c>
      <c r="AX71" s="486"/>
    </row>
    <row r="72" spans="2:50">
      <c r="B72" s="479"/>
      <c r="C72" s="180">
        <v>6</v>
      </c>
      <c r="D72" s="201"/>
      <c r="E72" s="166"/>
      <c r="F72" s="180"/>
      <c r="G72" s="265"/>
      <c r="H72" s="460"/>
      <c r="I72" s="166"/>
      <c r="J72" s="166"/>
      <c r="K72" s="265"/>
      <c r="L72" s="460"/>
      <c r="M72" s="272" t="e">
        <f>RANK(K72, K$67:$K$81)</f>
        <v>#N/A</v>
      </c>
      <c r="N72" s="462"/>
      <c r="O72" s="462"/>
      <c r="P72" s="180"/>
      <c r="Q72" s="265"/>
      <c r="R72" s="265"/>
      <c r="S72" s="180" t="e">
        <f t="shared" si="45"/>
        <v>#N/A</v>
      </c>
      <c r="T72" s="460"/>
      <c r="U72" s="180"/>
      <c r="V72" s="265"/>
      <c r="W72" s="265"/>
      <c r="X72" s="180" t="e">
        <f t="shared" si="33"/>
        <v>#N/A</v>
      </c>
      <c r="Y72" s="460"/>
      <c r="Z72" s="180"/>
      <c r="AA72" s="265"/>
      <c r="AB72" s="265"/>
      <c r="AC72" s="180" t="e">
        <f t="shared" si="35"/>
        <v>#N/A</v>
      </c>
      <c r="AD72" s="460"/>
      <c r="AE72" s="180"/>
      <c r="AF72" s="265"/>
      <c r="AG72" s="265"/>
      <c r="AH72" s="180" t="e">
        <f t="shared" si="37"/>
        <v>#N/A</v>
      </c>
      <c r="AI72" s="460"/>
      <c r="AJ72" s="180"/>
      <c r="AK72" s="265"/>
      <c r="AL72" s="265"/>
      <c r="AM72" s="180" t="e">
        <f t="shared" si="39"/>
        <v>#N/A</v>
      </c>
      <c r="AN72" s="460"/>
      <c r="AO72" s="180"/>
      <c r="AP72" s="265"/>
      <c r="AQ72" s="265"/>
      <c r="AR72" s="180" t="e">
        <f t="shared" si="41"/>
        <v>#N/A</v>
      </c>
      <c r="AS72" s="460"/>
      <c r="AT72" s="180"/>
      <c r="AU72" s="265"/>
      <c r="AV72" s="265"/>
      <c r="AW72" s="180" t="e">
        <f t="shared" si="43"/>
        <v>#N/A</v>
      </c>
      <c r="AX72" s="486"/>
    </row>
    <row r="73" spans="2:50">
      <c r="B73" s="479"/>
      <c r="C73" s="180">
        <v>7</v>
      </c>
      <c r="D73" s="201"/>
      <c r="E73" s="166"/>
      <c r="F73" s="180"/>
      <c r="G73" s="265"/>
      <c r="H73" s="460"/>
      <c r="I73" s="166"/>
      <c r="J73" s="166"/>
      <c r="K73" s="265"/>
      <c r="L73" s="460"/>
      <c r="M73" s="272" t="e">
        <f>RANK(K73, K$67:$K$81)</f>
        <v>#N/A</v>
      </c>
      <c r="N73" s="462"/>
      <c r="O73" s="462"/>
      <c r="P73" s="180"/>
      <c r="Q73" s="265"/>
      <c r="R73" s="265"/>
      <c r="S73" s="180" t="e">
        <f t="shared" si="45"/>
        <v>#N/A</v>
      </c>
      <c r="T73" s="460"/>
      <c r="U73" s="180"/>
      <c r="V73" s="265"/>
      <c r="W73" s="265"/>
      <c r="X73" s="180" t="e">
        <f t="shared" si="33"/>
        <v>#N/A</v>
      </c>
      <c r="Y73" s="460"/>
      <c r="Z73" s="180"/>
      <c r="AA73" s="265"/>
      <c r="AB73" s="265"/>
      <c r="AC73" s="180" t="e">
        <f t="shared" si="35"/>
        <v>#N/A</v>
      </c>
      <c r="AD73" s="460"/>
      <c r="AE73" s="180"/>
      <c r="AF73" s="265"/>
      <c r="AG73" s="265"/>
      <c r="AH73" s="180" t="e">
        <f t="shared" si="37"/>
        <v>#N/A</v>
      </c>
      <c r="AI73" s="460"/>
      <c r="AJ73" s="180"/>
      <c r="AK73" s="265"/>
      <c r="AL73" s="265"/>
      <c r="AM73" s="180" t="e">
        <f t="shared" si="39"/>
        <v>#N/A</v>
      </c>
      <c r="AN73" s="460"/>
      <c r="AO73" s="180"/>
      <c r="AP73" s="265"/>
      <c r="AQ73" s="265"/>
      <c r="AR73" s="180" t="e">
        <f t="shared" si="41"/>
        <v>#N/A</v>
      </c>
      <c r="AS73" s="460"/>
      <c r="AT73" s="180"/>
      <c r="AU73" s="265"/>
      <c r="AV73" s="265"/>
      <c r="AW73" s="180" t="e">
        <f t="shared" si="43"/>
        <v>#N/A</v>
      </c>
      <c r="AX73" s="486"/>
    </row>
    <row r="74" spans="2:50">
      <c r="B74" s="479"/>
      <c r="C74" s="180">
        <v>8</v>
      </c>
      <c r="D74" s="201"/>
      <c r="E74" s="166"/>
      <c r="F74" s="180"/>
      <c r="G74" s="265"/>
      <c r="H74" s="460"/>
      <c r="I74" s="166"/>
      <c r="J74" s="166"/>
      <c r="K74" s="265"/>
      <c r="L74" s="460"/>
      <c r="M74" s="272" t="e">
        <f>RANK(K74, K$67:$K$81)</f>
        <v>#N/A</v>
      </c>
      <c r="N74" s="462"/>
      <c r="O74" s="462"/>
      <c r="P74" s="180"/>
      <c r="Q74" s="265"/>
      <c r="R74" s="265"/>
      <c r="S74" s="180" t="e">
        <f t="shared" si="45"/>
        <v>#N/A</v>
      </c>
      <c r="T74" s="460"/>
      <c r="U74" s="180"/>
      <c r="V74" s="265"/>
      <c r="W74" s="265"/>
      <c r="X74" s="180" t="e">
        <f t="shared" si="33"/>
        <v>#N/A</v>
      </c>
      <c r="Y74" s="460"/>
      <c r="Z74" s="180"/>
      <c r="AA74" s="265"/>
      <c r="AB74" s="265"/>
      <c r="AC74" s="180" t="e">
        <f t="shared" si="35"/>
        <v>#N/A</v>
      </c>
      <c r="AD74" s="460"/>
      <c r="AE74" s="180"/>
      <c r="AF74" s="265"/>
      <c r="AG74" s="265"/>
      <c r="AH74" s="180" t="e">
        <f t="shared" si="37"/>
        <v>#N/A</v>
      </c>
      <c r="AI74" s="460"/>
      <c r="AJ74" s="180"/>
      <c r="AK74" s="265"/>
      <c r="AL74" s="265"/>
      <c r="AM74" s="180" t="e">
        <f t="shared" si="39"/>
        <v>#N/A</v>
      </c>
      <c r="AN74" s="460"/>
      <c r="AO74" s="180"/>
      <c r="AP74" s="265"/>
      <c r="AQ74" s="265"/>
      <c r="AR74" s="180" t="e">
        <f t="shared" si="41"/>
        <v>#N/A</v>
      </c>
      <c r="AS74" s="460"/>
      <c r="AT74" s="180"/>
      <c r="AU74" s="265"/>
      <c r="AV74" s="265"/>
      <c r="AW74" s="180" t="e">
        <f t="shared" si="43"/>
        <v>#N/A</v>
      </c>
      <c r="AX74" s="486"/>
    </row>
    <row r="75" spans="2:50">
      <c r="B75" s="479"/>
      <c r="C75" s="180">
        <v>9</v>
      </c>
      <c r="D75" s="201"/>
      <c r="E75" s="166"/>
      <c r="F75" s="180"/>
      <c r="G75" s="265"/>
      <c r="H75" s="460"/>
      <c r="I75" s="166"/>
      <c r="J75" s="166"/>
      <c r="K75" s="265"/>
      <c r="L75" s="460"/>
      <c r="M75" s="272" t="e">
        <f>RANK(K75, K$67:$K$81)</f>
        <v>#N/A</v>
      </c>
      <c r="N75" s="462"/>
      <c r="O75" s="462"/>
      <c r="P75" s="180"/>
      <c r="Q75" s="265"/>
      <c r="R75" s="265"/>
      <c r="S75" s="180" t="e">
        <f t="shared" si="45"/>
        <v>#N/A</v>
      </c>
      <c r="T75" s="460"/>
      <c r="U75" s="180"/>
      <c r="V75" s="265"/>
      <c r="W75" s="265"/>
      <c r="X75" s="180" t="e">
        <f t="shared" si="33"/>
        <v>#N/A</v>
      </c>
      <c r="Y75" s="460"/>
      <c r="Z75" s="180"/>
      <c r="AA75" s="265"/>
      <c r="AB75" s="265"/>
      <c r="AC75" s="180" t="e">
        <f t="shared" si="35"/>
        <v>#N/A</v>
      </c>
      <c r="AD75" s="460"/>
      <c r="AE75" s="180"/>
      <c r="AF75" s="265"/>
      <c r="AG75" s="265"/>
      <c r="AH75" s="180" t="e">
        <f t="shared" si="37"/>
        <v>#N/A</v>
      </c>
      <c r="AI75" s="460"/>
      <c r="AJ75" s="180"/>
      <c r="AK75" s="265"/>
      <c r="AL75" s="265"/>
      <c r="AM75" s="180" t="e">
        <f t="shared" si="39"/>
        <v>#N/A</v>
      </c>
      <c r="AN75" s="460"/>
      <c r="AO75" s="180"/>
      <c r="AP75" s="265"/>
      <c r="AQ75" s="265"/>
      <c r="AR75" s="180" t="e">
        <f t="shared" si="41"/>
        <v>#N/A</v>
      </c>
      <c r="AS75" s="460"/>
      <c r="AT75" s="180"/>
      <c r="AU75" s="265"/>
      <c r="AV75" s="265"/>
      <c r="AW75" s="180" t="e">
        <f t="shared" si="43"/>
        <v>#N/A</v>
      </c>
      <c r="AX75" s="486"/>
    </row>
    <row r="76" spans="2:50">
      <c r="B76" s="479"/>
      <c r="C76" s="180">
        <v>10</v>
      </c>
      <c r="D76" s="201"/>
      <c r="E76" s="166"/>
      <c r="F76" s="180"/>
      <c r="G76" s="265"/>
      <c r="H76" s="460"/>
      <c r="I76" s="166"/>
      <c r="J76" s="166"/>
      <c r="K76" s="265"/>
      <c r="L76" s="460"/>
      <c r="M76" s="272" t="e">
        <f>RANK(K76, K$67:$K$81)</f>
        <v>#N/A</v>
      </c>
      <c r="N76" s="462"/>
      <c r="O76" s="462"/>
      <c r="P76" s="180"/>
      <c r="Q76" s="180"/>
      <c r="R76" s="265"/>
      <c r="S76" s="180" t="e">
        <f t="shared" si="45"/>
        <v>#N/A</v>
      </c>
      <c r="T76" s="460"/>
      <c r="U76" s="180"/>
      <c r="V76" s="180"/>
      <c r="W76" s="265"/>
      <c r="X76" s="180" t="e">
        <f t="shared" si="33"/>
        <v>#N/A</v>
      </c>
      <c r="Y76" s="460"/>
      <c r="Z76" s="180"/>
      <c r="AA76" s="180"/>
      <c r="AB76" s="265"/>
      <c r="AC76" s="180" t="e">
        <f t="shared" si="35"/>
        <v>#N/A</v>
      </c>
      <c r="AD76" s="460"/>
      <c r="AE76" s="180"/>
      <c r="AF76" s="180"/>
      <c r="AG76" s="265"/>
      <c r="AH76" s="180" t="e">
        <f t="shared" si="37"/>
        <v>#N/A</v>
      </c>
      <c r="AI76" s="460"/>
      <c r="AJ76" s="180"/>
      <c r="AK76" s="180"/>
      <c r="AL76" s="265"/>
      <c r="AM76" s="180" t="e">
        <f t="shared" si="39"/>
        <v>#N/A</v>
      </c>
      <c r="AN76" s="460"/>
      <c r="AO76" s="180"/>
      <c r="AP76" s="180"/>
      <c r="AQ76" s="265"/>
      <c r="AR76" s="180" t="e">
        <f t="shared" si="41"/>
        <v>#N/A</v>
      </c>
      <c r="AS76" s="460"/>
      <c r="AT76" s="180"/>
      <c r="AU76" s="180"/>
      <c r="AV76" s="265"/>
      <c r="AW76" s="180" t="e">
        <f t="shared" si="43"/>
        <v>#N/A</v>
      </c>
      <c r="AX76" s="486"/>
    </row>
    <row r="77" spans="2:50">
      <c r="B77" s="479"/>
      <c r="C77" s="180">
        <v>11</v>
      </c>
      <c r="D77" s="201"/>
      <c r="E77" s="166"/>
      <c r="F77" s="180"/>
      <c r="G77" s="265"/>
      <c r="H77" s="460"/>
      <c r="I77" s="180"/>
      <c r="J77" s="180"/>
      <c r="K77" s="180"/>
      <c r="L77" s="460"/>
      <c r="M77" s="272" t="e">
        <f>RANK(K77, K$67:$K$81)</f>
        <v>#N/A</v>
      </c>
      <c r="N77" s="462"/>
      <c r="O77" s="462"/>
      <c r="P77" s="180"/>
      <c r="Q77" s="180"/>
      <c r="R77" s="180"/>
      <c r="S77" s="180" t="e">
        <f t="shared" si="45"/>
        <v>#N/A</v>
      </c>
      <c r="T77" s="460"/>
      <c r="U77" s="180"/>
      <c r="V77" s="180"/>
      <c r="W77" s="180"/>
      <c r="X77" s="180" t="e">
        <f t="shared" si="33"/>
        <v>#N/A</v>
      </c>
      <c r="Y77" s="460"/>
      <c r="Z77" s="180"/>
      <c r="AA77" s="180"/>
      <c r="AB77" s="180"/>
      <c r="AC77" s="180" t="e">
        <f t="shared" si="35"/>
        <v>#N/A</v>
      </c>
      <c r="AD77" s="460"/>
      <c r="AE77" s="180"/>
      <c r="AF77" s="180"/>
      <c r="AG77" s="180"/>
      <c r="AH77" s="180" t="e">
        <f t="shared" si="37"/>
        <v>#N/A</v>
      </c>
      <c r="AI77" s="460"/>
      <c r="AJ77" s="180"/>
      <c r="AK77" s="180"/>
      <c r="AL77" s="180"/>
      <c r="AM77" s="180" t="e">
        <f t="shared" si="39"/>
        <v>#N/A</v>
      </c>
      <c r="AN77" s="460"/>
      <c r="AO77" s="180"/>
      <c r="AP77" s="180"/>
      <c r="AQ77" s="180"/>
      <c r="AR77" s="180" t="e">
        <f t="shared" si="41"/>
        <v>#N/A</v>
      </c>
      <c r="AS77" s="460"/>
      <c r="AT77" s="180"/>
      <c r="AU77" s="180"/>
      <c r="AV77" s="180"/>
      <c r="AW77" s="180" t="e">
        <f t="shared" si="43"/>
        <v>#N/A</v>
      </c>
      <c r="AX77" s="486"/>
    </row>
    <row r="78" spans="2:50">
      <c r="B78" s="479"/>
      <c r="C78" s="180">
        <v>12</v>
      </c>
      <c r="D78" s="201"/>
      <c r="E78" s="166"/>
      <c r="F78" s="180"/>
      <c r="G78" s="265"/>
      <c r="H78" s="460"/>
      <c r="I78" s="180"/>
      <c r="J78" s="180"/>
      <c r="K78" s="180"/>
      <c r="L78" s="460"/>
      <c r="M78" s="272" t="e">
        <f>RANK(K78, K$67:$K$81)</f>
        <v>#N/A</v>
      </c>
      <c r="N78" s="462"/>
      <c r="O78" s="462"/>
      <c r="P78" s="180"/>
      <c r="Q78" s="180"/>
      <c r="R78" s="180"/>
      <c r="S78" s="180" t="e">
        <f t="shared" si="45"/>
        <v>#N/A</v>
      </c>
      <c r="T78" s="460"/>
      <c r="U78" s="180"/>
      <c r="V78" s="180"/>
      <c r="W78" s="180"/>
      <c r="X78" s="180" t="e">
        <f t="shared" si="33"/>
        <v>#N/A</v>
      </c>
      <c r="Y78" s="460"/>
      <c r="Z78" s="180"/>
      <c r="AA78" s="180"/>
      <c r="AB78" s="180"/>
      <c r="AC78" s="180" t="e">
        <f t="shared" si="35"/>
        <v>#N/A</v>
      </c>
      <c r="AD78" s="460"/>
      <c r="AE78" s="180"/>
      <c r="AF78" s="180"/>
      <c r="AG78" s="180"/>
      <c r="AH78" s="180" t="e">
        <f t="shared" si="37"/>
        <v>#N/A</v>
      </c>
      <c r="AI78" s="460"/>
      <c r="AJ78" s="180"/>
      <c r="AK78" s="180"/>
      <c r="AL78" s="180"/>
      <c r="AM78" s="180" t="e">
        <f t="shared" si="39"/>
        <v>#N/A</v>
      </c>
      <c r="AN78" s="460"/>
      <c r="AO78" s="180"/>
      <c r="AP78" s="180"/>
      <c r="AQ78" s="180"/>
      <c r="AR78" s="180" t="e">
        <f t="shared" si="41"/>
        <v>#N/A</v>
      </c>
      <c r="AS78" s="460"/>
      <c r="AT78" s="180"/>
      <c r="AU78" s="180"/>
      <c r="AV78" s="180"/>
      <c r="AW78" s="180" t="e">
        <f t="shared" si="43"/>
        <v>#N/A</v>
      </c>
      <c r="AX78" s="486"/>
    </row>
    <row r="79" spans="2:50">
      <c r="B79" s="479"/>
      <c r="C79" s="180">
        <v>13</v>
      </c>
      <c r="D79" s="201"/>
      <c r="E79" s="166"/>
      <c r="F79" s="180"/>
      <c r="G79" s="265"/>
      <c r="H79" s="460"/>
      <c r="I79" s="180"/>
      <c r="J79" s="180"/>
      <c r="K79" s="180"/>
      <c r="L79" s="460"/>
      <c r="M79" s="272" t="e">
        <f>RANK(K79, K$67:$K$81)</f>
        <v>#N/A</v>
      </c>
      <c r="N79" s="462"/>
      <c r="O79" s="462"/>
      <c r="P79" s="180"/>
      <c r="Q79" s="180"/>
      <c r="R79" s="180"/>
      <c r="S79" s="180" t="e">
        <f t="shared" si="45"/>
        <v>#N/A</v>
      </c>
      <c r="T79" s="460"/>
      <c r="U79" s="180"/>
      <c r="V79" s="180"/>
      <c r="W79" s="180"/>
      <c r="X79" s="180" t="e">
        <f t="shared" si="33"/>
        <v>#N/A</v>
      </c>
      <c r="Y79" s="460"/>
      <c r="Z79" s="180"/>
      <c r="AA79" s="180"/>
      <c r="AB79" s="180"/>
      <c r="AC79" s="180" t="e">
        <f t="shared" si="35"/>
        <v>#N/A</v>
      </c>
      <c r="AD79" s="460"/>
      <c r="AE79" s="180"/>
      <c r="AF79" s="180"/>
      <c r="AG79" s="180"/>
      <c r="AH79" s="180" t="e">
        <f t="shared" si="37"/>
        <v>#N/A</v>
      </c>
      <c r="AI79" s="460"/>
      <c r="AJ79" s="180"/>
      <c r="AK79" s="180"/>
      <c r="AL79" s="180"/>
      <c r="AM79" s="180" t="e">
        <f t="shared" si="39"/>
        <v>#N/A</v>
      </c>
      <c r="AN79" s="460"/>
      <c r="AO79" s="180"/>
      <c r="AP79" s="180"/>
      <c r="AQ79" s="180"/>
      <c r="AR79" s="180" t="e">
        <f t="shared" si="41"/>
        <v>#N/A</v>
      </c>
      <c r="AS79" s="460"/>
      <c r="AT79" s="180"/>
      <c r="AU79" s="180"/>
      <c r="AV79" s="180"/>
      <c r="AW79" s="180" t="e">
        <f t="shared" si="43"/>
        <v>#N/A</v>
      </c>
      <c r="AX79" s="486"/>
    </row>
    <row r="80" spans="2:50">
      <c r="B80" s="479"/>
      <c r="C80" s="180">
        <v>14</v>
      </c>
      <c r="D80" s="201"/>
      <c r="E80" s="166"/>
      <c r="F80" s="180"/>
      <c r="G80" s="265"/>
      <c r="H80" s="460"/>
      <c r="I80" s="180"/>
      <c r="J80" s="180"/>
      <c r="K80" s="180"/>
      <c r="L80" s="460"/>
      <c r="M80" s="272" t="e">
        <f>RANK(K80, K$67:$K$81)</f>
        <v>#N/A</v>
      </c>
      <c r="N80" s="462"/>
      <c r="O80" s="462"/>
      <c r="P80" s="180"/>
      <c r="Q80" s="180"/>
      <c r="R80" s="180"/>
      <c r="S80" s="180" t="e">
        <f t="shared" si="45"/>
        <v>#N/A</v>
      </c>
      <c r="T80" s="460"/>
      <c r="U80" s="180"/>
      <c r="V80" s="180"/>
      <c r="W80" s="180"/>
      <c r="X80" s="180" t="e">
        <f t="shared" si="33"/>
        <v>#N/A</v>
      </c>
      <c r="Y80" s="460"/>
      <c r="Z80" s="180"/>
      <c r="AA80" s="180"/>
      <c r="AB80" s="180"/>
      <c r="AC80" s="180" t="e">
        <f t="shared" si="35"/>
        <v>#N/A</v>
      </c>
      <c r="AD80" s="460"/>
      <c r="AE80" s="180"/>
      <c r="AF80" s="180"/>
      <c r="AG80" s="180"/>
      <c r="AH80" s="180" t="e">
        <f t="shared" si="37"/>
        <v>#N/A</v>
      </c>
      <c r="AI80" s="460"/>
      <c r="AJ80" s="180"/>
      <c r="AK80" s="180"/>
      <c r="AL80" s="180"/>
      <c r="AM80" s="180" t="e">
        <f t="shared" si="39"/>
        <v>#N/A</v>
      </c>
      <c r="AN80" s="460"/>
      <c r="AO80" s="180"/>
      <c r="AP80" s="180"/>
      <c r="AQ80" s="180"/>
      <c r="AR80" s="180" t="e">
        <f t="shared" si="41"/>
        <v>#N/A</v>
      </c>
      <c r="AS80" s="460"/>
      <c r="AT80" s="180"/>
      <c r="AU80" s="180"/>
      <c r="AV80" s="180"/>
      <c r="AW80" s="180" t="e">
        <f t="shared" si="43"/>
        <v>#N/A</v>
      </c>
      <c r="AX80" s="486"/>
    </row>
    <row r="81" spans="2:50">
      <c r="B81" s="479"/>
      <c r="C81" s="180">
        <v>15</v>
      </c>
      <c r="D81" s="201"/>
      <c r="E81" s="166"/>
      <c r="F81" s="180"/>
      <c r="G81" s="265"/>
      <c r="H81" s="461"/>
      <c r="I81" s="180"/>
      <c r="J81" s="180"/>
      <c r="K81" s="180"/>
      <c r="L81" s="461"/>
      <c r="M81" s="272" t="e">
        <f>RANK(K81, K$67:$K$81)</f>
        <v>#N/A</v>
      </c>
      <c r="N81" s="462"/>
      <c r="O81" s="462"/>
      <c r="P81" s="180"/>
      <c r="Q81" s="180"/>
      <c r="R81" s="180"/>
      <c r="S81" s="180" t="e">
        <f t="shared" si="45"/>
        <v>#N/A</v>
      </c>
      <c r="T81" s="461"/>
      <c r="U81" s="180"/>
      <c r="V81" s="180"/>
      <c r="W81" s="180"/>
      <c r="X81" s="180" t="e">
        <f t="shared" si="33"/>
        <v>#N/A</v>
      </c>
      <c r="Y81" s="461"/>
      <c r="Z81" s="180"/>
      <c r="AA81" s="180"/>
      <c r="AB81" s="180"/>
      <c r="AC81" s="180" t="e">
        <f t="shared" si="35"/>
        <v>#N/A</v>
      </c>
      <c r="AD81" s="461"/>
      <c r="AE81" s="180"/>
      <c r="AF81" s="180"/>
      <c r="AG81" s="180"/>
      <c r="AH81" s="180" t="e">
        <f t="shared" si="37"/>
        <v>#N/A</v>
      </c>
      <c r="AI81" s="461"/>
      <c r="AJ81" s="180"/>
      <c r="AK81" s="180"/>
      <c r="AL81" s="180"/>
      <c r="AM81" s="180" t="e">
        <f t="shared" si="39"/>
        <v>#N/A</v>
      </c>
      <c r="AN81" s="461"/>
      <c r="AO81" s="180"/>
      <c r="AP81" s="180"/>
      <c r="AQ81" s="180"/>
      <c r="AR81" s="180" t="e">
        <f t="shared" si="41"/>
        <v>#N/A</v>
      </c>
      <c r="AS81" s="461"/>
      <c r="AT81" s="180"/>
      <c r="AU81" s="180"/>
      <c r="AV81" s="180"/>
      <c r="AW81" s="180" t="e">
        <f t="shared" si="43"/>
        <v>#N/A</v>
      </c>
      <c r="AX81" s="486"/>
    </row>
    <row r="82" spans="2:50" ht="15.75">
      <c r="B82" s="480" t="s">
        <v>721</v>
      </c>
      <c r="C82" s="481"/>
      <c r="D82" s="481"/>
      <c r="E82" s="481"/>
      <c r="F82" s="481"/>
      <c r="G82" s="481"/>
      <c r="H82" s="481"/>
      <c r="I82" s="184"/>
      <c r="J82" s="184"/>
      <c r="K82" s="184"/>
      <c r="L82" s="184"/>
      <c r="M82" s="183"/>
      <c r="N82" s="469" t="s">
        <v>722</v>
      </c>
      <c r="O82" s="469" t="s">
        <v>723</v>
      </c>
      <c r="P82" s="478">
        <f>P62+7</f>
        <v>46077</v>
      </c>
      <c r="Q82" s="479"/>
      <c r="R82" s="479"/>
      <c r="S82" s="479"/>
      <c r="T82" s="479"/>
      <c r="U82" s="475">
        <f>P82+1</f>
        <v>46078</v>
      </c>
      <c r="V82" s="476"/>
      <c r="W82" s="476"/>
      <c r="X82" s="476"/>
      <c r="Y82" s="477"/>
      <c r="Z82" s="475">
        <f>U82+1</f>
        <v>46079</v>
      </c>
      <c r="AA82" s="476"/>
      <c r="AB82" s="476"/>
      <c r="AC82" s="476"/>
      <c r="AD82" s="477"/>
      <c r="AE82" s="475">
        <f>Z82+1</f>
        <v>46080</v>
      </c>
      <c r="AF82" s="476"/>
      <c r="AG82" s="476"/>
      <c r="AH82" s="476"/>
      <c r="AI82" s="477"/>
      <c r="AJ82" s="475">
        <f>AE82+1</f>
        <v>46081</v>
      </c>
      <c r="AK82" s="476"/>
      <c r="AL82" s="476"/>
      <c r="AM82" s="476"/>
      <c r="AN82" s="477"/>
      <c r="AO82" s="475">
        <f>AJ82+1</f>
        <v>46082</v>
      </c>
      <c r="AP82" s="476"/>
      <c r="AQ82" s="476"/>
      <c r="AR82" s="476"/>
      <c r="AS82" s="477"/>
      <c r="AT82" s="475">
        <f>AO82+1</f>
        <v>46083</v>
      </c>
      <c r="AU82" s="476"/>
      <c r="AV82" s="476"/>
      <c r="AW82" s="476"/>
      <c r="AX82" s="477"/>
    </row>
    <row r="83" spans="2:50" ht="15.75">
      <c r="B83" s="482"/>
      <c r="C83" s="482"/>
      <c r="D83" s="482"/>
      <c r="E83" s="482"/>
      <c r="F83" s="482"/>
      <c r="G83" s="482"/>
      <c r="H83" s="482"/>
      <c r="I83" s="182"/>
      <c r="J83" s="182"/>
      <c r="K83" s="182"/>
      <c r="L83" s="182"/>
      <c r="M83" s="179"/>
      <c r="N83" s="471"/>
      <c r="O83" s="471"/>
      <c r="P83" s="478" t="s">
        <v>724</v>
      </c>
      <c r="Q83" s="479"/>
      <c r="R83" s="479"/>
      <c r="S83" s="479"/>
      <c r="T83" s="479"/>
      <c r="U83" s="478" t="s">
        <v>725</v>
      </c>
      <c r="V83" s="479"/>
      <c r="W83" s="479"/>
      <c r="X83" s="479"/>
      <c r="Y83" s="479"/>
      <c r="Z83" s="478" t="s">
        <v>726</v>
      </c>
      <c r="AA83" s="479"/>
      <c r="AB83" s="479"/>
      <c r="AC83" s="479"/>
      <c r="AD83" s="479"/>
      <c r="AE83" s="478" t="s">
        <v>727</v>
      </c>
      <c r="AF83" s="479"/>
      <c r="AG83" s="479"/>
      <c r="AH83" s="479"/>
      <c r="AI83" s="479"/>
      <c r="AJ83" s="478" t="s">
        <v>728</v>
      </c>
      <c r="AK83" s="479"/>
      <c r="AL83" s="479"/>
      <c r="AM83" s="479"/>
      <c r="AN83" s="479"/>
      <c r="AO83" s="478" t="s">
        <v>729</v>
      </c>
      <c r="AP83" s="479"/>
      <c r="AQ83" s="479"/>
      <c r="AR83" s="479"/>
      <c r="AS83" s="479"/>
      <c r="AT83" s="478" t="s">
        <v>730</v>
      </c>
      <c r="AU83" s="479"/>
      <c r="AV83" s="479"/>
      <c r="AW83" s="479"/>
      <c r="AX83" s="479"/>
    </row>
    <row r="84" spans="2:50">
      <c r="B84" s="462" t="s">
        <v>731</v>
      </c>
      <c r="C84" s="462" t="s">
        <v>732</v>
      </c>
      <c r="D84" s="462"/>
      <c r="E84" s="462" t="s">
        <v>733</v>
      </c>
      <c r="F84" s="462"/>
      <c r="G84" s="462"/>
      <c r="H84" s="463" t="s">
        <v>734</v>
      </c>
      <c r="I84" s="462" t="s">
        <v>735</v>
      </c>
      <c r="J84" s="462"/>
      <c r="K84" s="462"/>
      <c r="L84" s="463" t="s">
        <v>734</v>
      </c>
      <c r="M84" s="469" t="s">
        <v>736</v>
      </c>
      <c r="N84" s="462"/>
      <c r="O84" s="462" t="s">
        <v>737</v>
      </c>
      <c r="P84" s="466" t="s">
        <v>738</v>
      </c>
      <c r="Q84" s="467"/>
      <c r="R84" s="467"/>
      <c r="S84" s="468"/>
      <c r="T84" s="462" t="s">
        <v>734</v>
      </c>
      <c r="U84" s="466" t="s">
        <v>738</v>
      </c>
      <c r="V84" s="467"/>
      <c r="W84" s="467"/>
      <c r="X84" s="468"/>
      <c r="Y84" s="462" t="s">
        <v>734</v>
      </c>
      <c r="Z84" s="466" t="s">
        <v>738</v>
      </c>
      <c r="AA84" s="467"/>
      <c r="AB84" s="467"/>
      <c r="AC84" s="468"/>
      <c r="AD84" s="462" t="s">
        <v>734</v>
      </c>
      <c r="AE84" s="466" t="s">
        <v>738</v>
      </c>
      <c r="AF84" s="467"/>
      <c r="AG84" s="467"/>
      <c r="AH84" s="468"/>
      <c r="AI84" s="462" t="s">
        <v>734</v>
      </c>
      <c r="AJ84" s="466" t="s">
        <v>738</v>
      </c>
      <c r="AK84" s="467"/>
      <c r="AL84" s="467"/>
      <c r="AM84" s="468"/>
      <c r="AN84" s="462" t="s">
        <v>734</v>
      </c>
      <c r="AO84" s="466" t="s">
        <v>738</v>
      </c>
      <c r="AP84" s="467"/>
      <c r="AQ84" s="467"/>
      <c r="AR84" s="468"/>
      <c r="AS84" s="462" t="s">
        <v>734</v>
      </c>
      <c r="AT84" s="466" t="s">
        <v>738</v>
      </c>
      <c r="AU84" s="467"/>
      <c r="AV84" s="467"/>
      <c r="AW84" s="468"/>
      <c r="AX84" s="462" t="s">
        <v>734</v>
      </c>
    </row>
    <row r="85" spans="2:50">
      <c r="B85" s="462"/>
      <c r="C85" s="462"/>
      <c r="D85" s="462"/>
      <c r="E85" s="462" t="s">
        <v>739</v>
      </c>
      <c r="F85" s="462"/>
      <c r="G85" s="462"/>
      <c r="H85" s="464"/>
      <c r="I85" s="462" t="s">
        <v>739</v>
      </c>
      <c r="J85" s="462"/>
      <c r="K85" s="462"/>
      <c r="L85" s="464"/>
      <c r="M85" s="470"/>
      <c r="N85" s="462"/>
      <c r="O85" s="462"/>
      <c r="P85" s="466" t="s">
        <v>740</v>
      </c>
      <c r="Q85" s="467"/>
      <c r="R85" s="467"/>
      <c r="S85" s="468"/>
      <c r="T85" s="462"/>
      <c r="U85" s="466" t="s">
        <v>740</v>
      </c>
      <c r="V85" s="467"/>
      <c r="W85" s="467"/>
      <c r="X85" s="468"/>
      <c r="Y85" s="462"/>
      <c r="Z85" s="466" t="s">
        <v>740</v>
      </c>
      <c r="AA85" s="467"/>
      <c r="AB85" s="467"/>
      <c r="AC85" s="468"/>
      <c r="AD85" s="462"/>
      <c r="AE85" s="466" t="s">
        <v>740</v>
      </c>
      <c r="AF85" s="467"/>
      <c r="AG85" s="467"/>
      <c r="AH85" s="468"/>
      <c r="AI85" s="462"/>
      <c r="AJ85" s="466" t="s">
        <v>740</v>
      </c>
      <c r="AK85" s="467"/>
      <c r="AL85" s="467"/>
      <c r="AM85" s="468"/>
      <c r="AN85" s="462"/>
      <c r="AO85" s="466" t="s">
        <v>740</v>
      </c>
      <c r="AP85" s="467"/>
      <c r="AQ85" s="467"/>
      <c r="AR85" s="468"/>
      <c r="AS85" s="462"/>
      <c r="AT85" s="466" t="s">
        <v>740</v>
      </c>
      <c r="AU85" s="467"/>
      <c r="AV85" s="467"/>
      <c r="AW85" s="468"/>
      <c r="AX85" s="462"/>
    </row>
    <row r="86" spans="2:50">
      <c r="B86" s="462"/>
      <c r="C86" s="462"/>
      <c r="D86" s="462"/>
      <c r="E86" s="264" t="s">
        <v>741</v>
      </c>
      <c r="F86" s="264" t="s">
        <v>742</v>
      </c>
      <c r="G86" s="264" t="s">
        <v>743</v>
      </c>
      <c r="H86" s="465"/>
      <c r="I86" s="264" t="s">
        <v>741</v>
      </c>
      <c r="J86" s="264" t="s">
        <v>742</v>
      </c>
      <c r="K86" s="264" t="s">
        <v>743</v>
      </c>
      <c r="L86" s="465"/>
      <c r="M86" s="471"/>
      <c r="N86" s="462"/>
      <c r="O86" s="462"/>
      <c r="P86" s="264" t="s">
        <v>741</v>
      </c>
      <c r="Q86" s="264" t="s">
        <v>742</v>
      </c>
      <c r="R86" s="264" t="s">
        <v>743</v>
      </c>
      <c r="S86" s="264" t="s">
        <v>736</v>
      </c>
      <c r="T86" s="462"/>
      <c r="U86" s="264" t="s">
        <v>741</v>
      </c>
      <c r="V86" s="264" t="s">
        <v>742</v>
      </c>
      <c r="W86" s="264" t="s">
        <v>743</v>
      </c>
      <c r="X86" s="264" t="s">
        <v>736</v>
      </c>
      <c r="Y86" s="462"/>
      <c r="Z86" s="264" t="s">
        <v>741</v>
      </c>
      <c r="AA86" s="264" t="s">
        <v>742</v>
      </c>
      <c r="AB86" s="264" t="s">
        <v>743</v>
      </c>
      <c r="AC86" s="264" t="s">
        <v>736</v>
      </c>
      <c r="AD86" s="462"/>
      <c r="AE86" s="264" t="s">
        <v>741</v>
      </c>
      <c r="AF86" s="264" t="s">
        <v>742</v>
      </c>
      <c r="AG86" s="264" t="s">
        <v>743</v>
      </c>
      <c r="AH86" s="264" t="s">
        <v>736</v>
      </c>
      <c r="AI86" s="462"/>
      <c r="AJ86" s="264" t="s">
        <v>741</v>
      </c>
      <c r="AK86" s="264" t="s">
        <v>742</v>
      </c>
      <c r="AL86" s="264" t="s">
        <v>743</v>
      </c>
      <c r="AM86" s="264" t="s">
        <v>736</v>
      </c>
      <c r="AN86" s="462"/>
      <c r="AO86" s="264" t="s">
        <v>741</v>
      </c>
      <c r="AP86" s="264" t="s">
        <v>742</v>
      </c>
      <c r="AQ86" s="264" t="s">
        <v>743</v>
      </c>
      <c r="AR86" s="264" t="s">
        <v>736</v>
      </c>
      <c r="AS86" s="462"/>
      <c r="AT86" s="264" t="s">
        <v>741</v>
      </c>
      <c r="AU86" s="264" t="s">
        <v>742</v>
      </c>
      <c r="AV86" s="264" t="s">
        <v>743</v>
      </c>
      <c r="AW86" s="264" t="s">
        <v>736</v>
      </c>
      <c r="AX86" s="462"/>
    </row>
    <row r="87" spans="2:50">
      <c r="B87" s="462" t="s">
        <v>757</v>
      </c>
      <c r="C87" s="180">
        <v>1</v>
      </c>
      <c r="D87" s="201" t="s">
        <v>378</v>
      </c>
      <c r="E87" s="166">
        <v>20</v>
      </c>
      <c r="F87" s="180">
        <v>2200</v>
      </c>
      <c r="G87" s="265">
        <v>110</v>
      </c>
      <c r="H87" s="459">
        <f>AVERAGE(G87:G101)</f>
        <v>137.58479532163742</v>
      </c>
      <c r="I87" s="166">
        <f>AVERAGE(P87,U87,Z87,AE87,AJ87,AO87,AT87)</f>
        <v>19.600000000000001</v>
      </c>
      <c r="J87" s="166">
        <f>AVERAGE(Q87,V87,AA87,AF87,AK87,AP87,AU87)</f>
        <v>2034.1519023380242</v>
      </c>
      <c r="K87" s="265">
        <f>AVERAGE(R87,W87,AB87,AG87,AL87,AQ87,AV87)</f>
        <v>103.85540188679037</v>
      </c>
      <c r="L87" s="459">
        <f>IFERROR(AVERAGE(K87:K101),"-")</f>
        <v>118.91485319479241</v>
      </c>
      <c r="M87" s="272">
        <f>RANK(K87, K$87:$K$101)</f>
        <v>5</v>
      </c>
      <c r="N87" s="462"/>
      <c r="O87" s="462"/>
      <c r="P87" s="166">
        <v>20</v>
      </c>
      <c r="Q87" s="166">
        <v>2041.6500000000015</v>
      </c>
      <c r="R87" s="166">
        <v>102.08250000000007</v>
      </c>
      <c r="S87" s="180">
        <f>RANK(R87, R$87:R$101)</f>
        <v>5</v>
      </c>
      <c r="T87" s="459">
        <f>AVERAGE(R87:R101)</f>
        <v>119.37457050005989</v>
      </c>
      <c r="U87" s="166">
        <v>20</v>
      </c>
      <c r="V87" s="166">
        <v>2032.6184210526324</v>
      </c>
      <c r="W87" s="166">
        <v>101.63092105263162</v>
      </c>
      <c r="X87" s="180">
        <f t="shared" ref="X87:X101" si="46">RANK(W87, W$87:W$101)</f>
        <v>5</v>
      </c>
      <c r="Y87" s="459">
        <f t="shared" ref="Y87" si="47">AVERAGE(W87:W101)</f>
        <v>117.5249396057463</v>
      </c>
      <c r="Z87" s="166">
        <v>20</v>
      </c>
      <c r="AA87" s="166">
        <v>2015.6582278481026</v>
      </c>
      <c r="AB87" s="166">
        <v>100.78291139240513</v>
      </c>
      <c r="AC87" s="180">
        <f t="shared" ref="AC87:AC101" si="48">RANK(AB87, AB$87:AB$101)</f>
        <v>5</v>
      </c>
      <c r="AD87" s="459">
        <f t="shared" ref="AD87" si="49">AVERAGE(AB87:AB101)</f>
        <v>118.3298199114633</v>
      </c>
      <c r="AE87" s="166">
        <v>19</v>
      </c>
      <c r="AF87" s="166">
        <v>2057.391304347826</v>
      </c>
      <c r="AG87" s="166">
        <v>108.28375286041189</v>
      </c>
      <c r="AH87" s="180">
        <f t="shared" ref="AH87:AH101" si="50">RANK(AG87, AG$87:AG$101)</f>
        <v>4</v>
      </c>
      <c r="AI87" s="459">
        <f t="shared" ref="AI87" si="51">AVERAGE(AG87:AG101)</f>
        <v>120.08561745547642</v>
      </c>
      <c r="AJ87" s="166">
        <v>19</v>
      </c>
      <c r="AK87" s="166">
        <v>2023.441558441559</v>
      </c>
      <c r="AL87" s="166">
        <v>106.49692412850311</v>
      </c>
      <c r="AM87" s="180">
        <f t="shared" ref="AM87:AM101" si="52">RANK(AL87, AL$87:AL$101)</f>
        <v>4</v>
      </c>
      <c r="AN87" s="459">
        <f t="shared" ref="AN87" si="53">AVERAGE(AL87:AL101)</f>
        <v>119.25931850121613</v>
      </c>
      <c r="AO87" s="166"/>
      <c r="AP87" s="166"/>
      <c r="AQ87" s="166"/>
      <c r="AR87" s="180" t="e">
        <f t="shared" ref="AR87:AR101" si="54">RANK(AQ87, AQ$87:AQ$101)</f>
        <v>#N/A</v>
      </c>
      <c r="AS87" s="459" t="e">
        <f t="shared" ref="AS87" si="55">AVERAGE(AQ87:AQ101)</f>
        <v>#DIV/0!</v>
      </c>
      <c r="AT87" s="166"/>
      <c r="AU87" s="166"/>
      <c r="AV87" s="166"/>
      <c r="AW87" s="180" t="e">
        <f t="shared" ref="AW87:AW101" si="56">RANK(AV87, AV$87:AV$101)</f>
        <v>#N/A</v>
      </c>
      <c r="AX87" s="486" t="e">
        <f t="shared" ref="AX87" si="57">AVERAGE(AV87:AV101)</f>
        <v>#DIV/0!</v>
      </c>
    </row>
    <row r="88" spans="2:50">
      <c r="B88" s="479"/>
      <c r="C88" s="180">
        <v>2</v>
      </c>
      <c r="D88" s="201" t="s">
        <v>379</v>
      </c>
      <c r="E88" s="166">
        <v>18</v>
      </c>
      <c r="F88" s="180">
        <v>2700</v>
      </c>
      <c r="G88" s="265">
        <v>150</v>
      </c>
      <c r="H88" s="460"/>
      <c r="I88" s="166">
        <f t="shared" ref="I88:K91" si="58">AVERAGE(P88,U88,Z88,AE88,AJ88,AO88,AT88)</f>
        <v>19</v>
      </c>
      <c r="J88" s="166">
        <f t="shared" si="58"/>
        <v>2437.9057536320183</v>
      </c>
      <c r="K88" s="265">
        <f t="shared" si="58"/>
        <v>128.31082913852725</v>
      </c>
      <c r="L88" s="460"/>
      <c r="M88" s="272">
        <f>RANK(K88, K$87:$K$101)</f>
        <v>3</v>
      </c>
      <c r="N88" s="462"/>
      <c r="O88" s="462"/>
      <c r="P88" s="166">
        <v>19</v>
      </c>
      <c r="Q88" s="166">
        <v>2477.5263157894719</v>
      </c>
      <c r="R88" s="166">
        <v>130.39612188365641</v>
      </c>
      <c r="S88" s="180">
        <f t="shared" ref="S88:S101" si="59">RANK(R88, R$87:R$101)</f>
        <v>1</v>
      </c>
      <c r="T88" s="460"/>
      <c r="U88" s="166">
        <v>19</v>
      </c>
      <c r="V88" s="166">
        <v>2408.0232558139528</v>
      </c>
      <c r="W88" s="166">
        <v>126.7380660954712</v>
      </c>
      <c r="X88" s="180">
        <f t="shared" si="46"/>
        <v>3</v>
      </c>
      <c r="Y88" s="460"/>
      <c r="Z88" s="166">
        <v>19</v>
      </c>
      <c r="AA88" s="166">
        <v>2374.2439024390237</v>
      </c>
      <c r="AB88" s="166">
        <v>124.96020539152757</v>
      </c>
      <c r="AC88" s="180">
        <f t="shared" si="48"/>
        <v>3</v>
      </c>
      <c r="AD88" s="460"/>
      <c r="AE88" s="166">
        <v>19</v>
      </c>
      <c r="AF88" s="166">
        <v>2501.7352941176441</v>
      </c>
      <c r="AG88" s="166">
        <v>131.67027863777074</v>
      </c>
      <c r="AH88" s="180">
        <f t="shared" si="50"/>
        <v>1</v>
      </c>
      <c r="AI88" s="460"/>
      <c r="AJ88" s="166">
        <v>19</v>
      </c>
      <c r="AK88" s="166">
        <v>2427.9999999999986</v>
      </c>
      <c r="AL88" s="166">
        <v>127.78947368421045</v>
      </c>
      <c r="AM88" s="180">
        <f t="shared" si="52"/>
        <v>3</v>
      </c>
      <c r="AN88" s="460"/>
      <c r="AO88" s="166"/>
      <c r="AP88" s="166"/>
      <c r="AQ88" s="166"/>
      <c r="AR88" s="180" t="e">
        <f t="shared" si="54"/>
        <v>#N/A</v>
      </c>
      <c r="AS88" s="460"/>
      <c r="AT88" s="166"/>
      <c r="AU88" s="166"/>
      <c r="AV88" s="166"/>
      <c r="AW88" s="180" t="e">
        <f t="shared" si="56"/>
        <v>#N/A</v>
      </c>
      <c r="AX88" s="486"/>
    </row>
    <row r="89" spans="2:50">
      <c r="B89" s="479"/>
      <c r="C89" s="180">
        <v>3</v>
      </c>
      <c r="D89" s="201" t="s">
        <v>380</v>
      </c>
      <c r="E89" s="166">
        <v>18</v>
      </c>
      <c r="F89" s="180">
        <v>2800</v>
      </c>
      <c r="G89" s="265">
        <v>155.55555555555554</v>
      </c>
      <c r="H89" s="460"/>
      <c r="I89" s="166">
        <f t="shared" si="58"/>
        <v>19</v>
      </c>
      <c r="J89" s="166">
        <f t="shared" si="58"/>
        <v>2444.5891031359356</v>
      </c>
      <c r="K89" s="265">
        <f t="shared" si="58"/>
        <v>128.66258437557556</v>
      </c>
      <c r="L89" s="460"/>
      <c r="M89" s="272">
        <f>RANK(K89, K$87:$K$101)</f>
        <v>2</v>
      </c>
      <c r="N89" s="462"/>
      <c r="O89" s="462"/>
      <c r="P89" s="166">
        <v>19</v>
      </c>
      <c r="Q89" s="166">
        <v>2468.571428571428</v>
      </c>
      <c r="R89" s="166">
        <v>129.92481203007515</v>
      </c>
      <c r="S89" s="180">
        <f t="shared" si="59"/>
        <v>2</v>
      </c>
      <c r="T89" s="460"/>
      <c r="U89" s="166">
        <v>19</v>
      </c>
      <c r="V89" s="166">
        <v>2442.3157894736823</v>
      </c>
      <c r="W89" s="166">
        <v>128.54293628808855</v>
      </c>
      <c r="X89" s="180">
        <f t="shared" si="46"/>
        <v>1</v>
      </c>
      <c r="Y89" s="460"/>
      <c r="Z89" s="166">
        <v>19</v>
      </c>
      <c r="AA89" s="166">
        <v>2455.3220338983042</v>
      </c>
      <c r="AB89" s="166">
        <v>129.22747546833179</v>
      </c>
      <c r="AC89" s="180">
        <f t="shared" si="48"/>
        <v>2</v>
      </c>
      <c r="AD89" s="460"/>
      <c r="AE89" s="166">
        <v>19</v>
      </c>
      <c r="AF89" s="166">
        <v>2402.3076923076937</v>
      </c>
      <c r="AG89" s="166">
        <v>126.43724696356283</v>
      </c>
      <c r="AH89" s="180">
        <f t="shared" si="50"/>
        <v>3</v>
      </c>
      <c r="AI89" s="460"/>
      <c r="AJ89" s="166">
        <v>19</v>
      </c>
      <c r="AK89" s="166">
        <v>2454.4285714285693</v>
      </c>
      <c r="AL89" s="166">
        <v>129.18045112781942</v>
      </c>
      <c r="AM89" s="180">
        <f t="shared" si="52"/>
        <v>1</v>
      </c>
      <c r="AN89" s="460"/>
      <c r="AO89" s="166"/>
      <c r="AP89" s="166"/>
      <c r="AQ89" s="166"/>
      <c r="AR89" s="180" t="e">
        <f t="shared" si="54"/>
        <v>#N/A</v>
      </c>
      <c r="AS89" s="460"/>
      <c r="AT89" s="166"/>
      <c r="AU89" s="166"/>
      <c r="AV89" s="166"/>
      <c r="AW89" s="180" t="e">
        <f t="shared" si="56"/>
        <v>#N/A</v>
      </c>
      <c r="AX89" s="486"/>
    </row>
    <row r="90" spans="2:50">
      <c r="B90" s="479"/>
      <c r="C90" s="180">
        <v>4</v>
      </c>
      <c r="D90" s="201" t="s">
        <v>381</v>
      </c>
      <c r="E90" s="166">
        <v>19</v>
      </c>
      <c r="F90" s="180">
        <v>2800</v>
      </c>
      <c r="G90" s="265">
        <v>147.36842105263159</v>
      </c>
      <c r="H90" s="460"/>
      <c r="I90" s="166">
        <f t="shared" si="58"/>
        <v>19</v>
      </c>
      <c r="J90" s="166">
        <f t="shared" si="58"/>
        <v>2450.05772430251</v>
      </c>
      <c r="K90" s="265">
        <f t="shared" si="58"/>
        <v>128.95040654223735</v>
      </c>
      <c r="L90" s="460"/>
      <c r="M90" s="272">
        <f>RANK(K90, K$87:$K$101)</f>
        <v>1</v>
      </c>
      <c r="N90" s="462"/>
      <c r="O90" s="462"/>
      <c r="P90" s="166">
        <v>19</v>
      </c>
      <c r="Q90" s="166">
        <v>2467.2233009708748</v>
      </c>
      <c r="R90" s="166">
        <v>129.85385794583553</v>
      </c>
      <c r="S90" s="180">
        <f t="shared" si="59"/>
        <v>3</v>
      </c>
      <c r="T90" s="460"/>
      <c r="U90" s="166">
        <v>19</v>
      </c>
      <c r="V90" s="166">
        <v>2416.5473684210529</v>
      </c>
      <c r="W90" s="166">
        <v>127.18670360110805</v>
      </c>
      <c r="X90" s="180">
        <f t="shared" si="46"/>
        <v>2</v>
      </c>
      <c r="Y90" s="460"/>
      <c r="Z90" s="166">
        <v>19</v>
      </c>
      <c r="AA90" s="166">
        <v>2499.2608695652175</v>
      </c>
      <c r="AB90" s="166">
        <v>131.5400457665904</v>
      </c>
      <c r="AC90" s="180">
        <f t="shared" si="48"/>
        <v>1</v>
      </c>
      <c r="AD90" s="460"/>
      <c r="AE90" s="166">
        <v>19</v>
      </c>
      <c r="AF90" s="166">
        <v>2416.5354330708669</v>
      </c>
      <c r="AG90" s="166">
        <v>127.18607542478247</v>
      </c>
      <c r="AH90" s="180">
        <f t="shared" si="50"/>
        <v>2</v>
      </c>
      <c r="AI90" s="460"/>
      <c r="AJ90" s="166">
        <v>19</v>
      </c>
      <c r="AK90" s="166">
        <v>2450.7216494845361</v>
      </c>
      <c r="AL90" s="166">
        <v>128.98534997287032</v>
      </c>
      <c r="AM90" s="180">
        <f t="shared" si="52"/>
        <v>2</v>
      </c>
      <c r="AN90" s="460"/>
      <c r="AO90" s="166"/>
      <c r="AP90" s="166"/>
      <c r="AQ90" s="166"/>
      <c r="AR90" s="180" t="e">
        <f t="shared" si="54"/>
        <v>#N/A</v>
      </c>
      <c r="AS90" s="460"/>
      <c r="AT90" s="166"/>
      <c r="AU90" s="166"/>
      <c r="AV90" s="166"/>
      <c r="AW90" s="180" t="e">
        <f t="shared" si="56"/>
        <v>#N/A</v>
      </c>
      <c r="AX90" s="486"/>
    </row>
    <row r="91" spans="2:50">
      <c r="B91" s="479"/>
      <c r="C91" s="180">
        <v>5</v>
      </c>
      <c r="D91" s="201" t="s">
        <v>525</v>
      </c>
      <c r="E91" s="166">
        <v>18</v>
      </c>
      <c r="F91" s="180">
        <v>2250</v>
      </c>
      <c r="G91" s="265">
        <v>125</v>
      </c>
      <c r="H91" s="460"/>
      <c r="I91" s="166">
        <f t="shared" si="58"/>
        <v>19</v>
      </c>
      <c r="J91" s="166">
        <f t="shared" si="58"/>
        <v>1991.1058365857984</v>
      </c>
      <c r="K91" s="265">
        <f t="shared" si="58"/>
        <v>104.79504403083149</v>
      </c>
      <c r="L91" s="460"/>
      <c r="M91" s="272">
        <f>RANK(K91, K$87:$K$101)</f>
        <v>4</v>
      </c>
      <c r="N91" s="462"/>
      <c r="O91" s="462"/>
      <c r="P91" s="166">
        <v>19</v>
      </c>
      <c r="Q91" s="166">
        <v>1987.695652173913</v>
      </c>
      <c r="R91" s="166">
        <v>104.61556064073227</v>
      </c>
      <c r="S91" s="180">
        <f t="shared" si="59"/>
        <v>4</v>
      </c>
      <c r="T91" s="460"/>
      <c r="U91" s="166">
        <v>19</v>
      </c>
      <c r="V91" s="166">
        <v>1966.9953488372089</v>
      </c>
      <c r="W91" s="166">
        <v>103.52607099143205</v>
      </c>
      <c r="X91" s="180">
        <f t="shared" si="46"/>
        <v>4</v>
      </c>
      <c r="Y91" s="460"/>
      <c r="Z91" s="166">
        <v>19</v>
      </c>
      <c r="AA91" s="166">
        <v>1997.6307692307705</v>
      </c>
      <c r="AB91" s="166">
        <v>105.13846153846161</v>
      </c>
      <c r="AC91" s="180">
        <f t="shared" si="48"/>
        <v>4</v>
      </c>
      <c r="AD91" s="460"/>
      <c r="AE91" s="166">
        <v>19</v>
      </c>
      <c r="AF91" s="166">
        <v>2030.1639344262298</v>
      </c>
      <c r="AG91" s="166">
        <v>106.8507333908542</v>
      </c>
      <c r="AH91" s="180">
        <f t="shared" si="50"/>
        <v>5</v>
      </c>
      <c r="AI91" s="460"/>
      <c r="AJ91" s="166">
        <v>19</v>
      </c>
      <c r="AK91" s="166">
        <v>1973.0434782608695</v>
      </c>
      <c r="AL91" s="166">
        <v>103.84439359267735</v>
      </c>
      <c r="AM91" s="180">
        <f t="shared" si="52"/>
        <v>5</v>
      </c>
      <c r="AN91" s="460"/>
      <c r="AO91" s="166"/>
      <c r="AP91" s="166"/>
      <c r="AQ91" s="166"/>
      <c r="AR91" s="180" t="e">
        <f t="shared" si="54"/>
        <v>#N/A</v>
      </c>
      <c r="AS91" s="460"/>
      <c r="AT91" s="166"/>
      <c r="AU91" s="166"/>
      <c r="AV91" s="166"/>
      <c r="AW91" s="180" t="e">
        <f t="shared" si="56"/>
        <v>#N/A</v>
      </c>
      <c r="AX91" s="486"/>
    </row>
    <row r="92" spans="2:50">
      <c r="B92" s="479"/>
      <c r="C92" s="180">
        <v>6</v>
      </c>
      <c r="D92" s="201"/>
      <c r="E92" s="166"/>
      <c r="F92" s="180"/>
      <c r="G92" s="265"/>
      <c r="H92" s="460"/>
      <c r="I92" s="166"/>
      <c r="J92" s="166"/>
      <c r="K92" s="265"/>
      <c r="L92" s="460"/>
      <c r="M92" s="272" t="e">
        <f>RANK(K92, K$87:$K$101)</f>
        <v>#N/A</v>
      </c>
      <c r="N92" s="462"/>
      <c r="O92" s="462"/>
      <c r="P92" s="180"/>
      <c r="Q92" s="265"/>
      <c r="R92" s="265"/>
      <c r="S92" s="180" t="e">
        <f t="shared" si="59"/>
        <v>#N/A</v>
      </c>
      <c r="T92" s="460"/>
      <c r="U92" s="180"/>
      <c r="V92" s="265"/>
      <c r="W92" s="265"/>
      <c r="X92" s="180" t="e">
        <f t="shared" si="46"/>
        <v>#N/A</v>
      </c>
      <c r="Y92" s="460"/>
      <c r="Z92" s="180"/>
      <c r="AA92" s="265"/>
      <c r="AB92" s="265"/>
      <c r="AC92" s="180" t="e">
        <f t="shared" si="48"/>
        <v>#N/A</v>
      </c>
      <c r="AD92" s="460"/>
      <c r="AE92" s="180"/>
      <c r="AF92" s="265"/>
      <c r="AG92" s="265"/>
      <c r="AH92" s="180" t="e">
        <f t="shared" si="50"/>
        <v>#N/A</v>
      </c>
      <c r="AI92" s="460"/>
      <c r="AJ92" s="180"/>
      <c r="AK92" s="265"/>
      <c r="AL92" s="265"/>
      <c r="AM92" s="180" t="e">
        <f t="shared" si="52"/>
        <v>#N/A</v>
      </c>
      <c r="AN92" s="460"/>
      <c r="AO92" s="180"/>
      <c r="AP92" s="265"/>
      <c r="AQ92" s="265"/>
      <c r="AR92" s="180" t="e">
        <f t="shared" si="54"/>
        <v>#N/A</v>
      </c>
      <c r="AS92" s="460"/>
      <c r="AT92" s="180"/>
      <c r="AU92" s="265"/>
      <c r="AV92" s="265"/>
      <c r="AW92" s="180" t="e">
        <f t="shared" si="56"/>
        <v>#N/A</v>
      </c>
      <c r="AX92" s="486"/>
    </row>
    <row r="93" spans="2:50">
      <c r="B93" s="479"/>
      <c r="C93" s="180">
        <v>7</v>
      </c>
      <c r="D93" s="201"/>
      <c r="E93" s="166"/>
      <c r="F93" s="180"/>
      <c r="G93" s="265"/>
      <c r="H93" s="460"/>
      <c r="I93" s="166"/>
      <c r="J93" s="166"/>
      <c r="K93" s="265"/>
      <c r="L93" s="460"/>
      <c r="M93" s="272" t="e">
        <f>RANK(K93, K$87:$K$101)</f>
        <v>#N/A</v>
      </c>
      <c r="N93" s="462"/>
      <c r="O93" s="462"/>
      <c r="P93" s="180"/>
      <c r="Q93" s="265"/>
      <c r="R93" s="265"/>
      <c r="S93" s="180" t="e">
        <f t="shared" si="59"/>
        <v>#N/A</v>
      </c>
      <c r="T93" s="460"/>
      <c r="U93" s="180"/>
      <c r="V93" s="265"/>
      <c r="W93" s="265"/>
      <c r="X93" s="180" t="e">
        <f t="shared" si="46"/>
        <v>#N/A</v>
      </c>
      <c r="Y93" s="460"/>
      <c r="Z93" s="180"/>
      <c r="AA93" s="265"/>
      <c r="AB93" s="265"/>
      <c r="AC93" s="180" t="e">
        <f t="shared" si="48"/>
        <v>#N/A</v>
      </c>
      <c r="AD93" s="460"/>
      <c r="AE93" s="180"/>
      <c r="AF93" s="265"/>
      <c r="AG93" s="265"/>
      <c r="AH93" s="180" t="e">
        <f t="shared" si="50"/>
        <v>#N/A</v>
      </c>
      <c r="AI93" s="460"/>
      <c r="AJ93" s="180"/>
      <c r="AK93" s="265"/>
      <c r="AL93" s="265"/>
      <c r="AM93" s="180" t="e">
        <f t="shared" si="52"/>
        <v>#N/A</v>
      </c>
      <c r="AN93" s="460"/>
      <c r="AO93" s="180"/>
      <c r="AP93" s="265"/>
      <c r="AQ93" s="265"/>
      <c r="AR93" s="180" t="e">
        <f t="shared" si="54"/>
        <v>#N/A</v>
      </c>
      <c r="AS93" s="460"/>
      <c r="AT93" s="180"/>
      <c r="AU93" s="265"/>
      <c r="AV93" s="265"/>
      <c r="AW93" s="180" t="e">
        <f t="shared" si="56"/>
        <v>#N/A</v>
      </c>
      <c r="AX93" s="486"/>
    </row>
    <row r="94" spans="2:50">
      <c r="B94" s="479"/>
      <c r="C94" s="180">
        <v>8</v>
      </c>
      <c r="D94" s="201"/>
      <c r="E94" s="166"/>
      <c r="F94" s="180"/>
      <c r="G94" s="265"/>
      <c r="H94" s="460"/>
      <c r="I94" s="166"/>
      <c r="J94" s="166"/>
      <c r="K94" s="265"/>
      <c r="L94" s="460"/>
      <c r="M94" s="272" t="e">
        <f>RANK(K94, K$87:$K$101)</f>
        <v>#N/A</v>
      </c>
      <c r="N94" s="462"/>
      <c r="O94" s="462"/>
      <c r="P94" s="180"/>
      <c r="Q94" s="265"/>
      <c r="R94" s="265"/>
      <c r="S94" s="180" t="e">
        <f t="shared" si="59"/>
        <v>#N/A</v>
      </c>
      <c r="T94" s="460"/>
      <c r="U94" s="180"/>
      <c r="V94" s="265"/>
      <c r="W94" s="265"/>
      <c r="X94" s="180" t="e">
        <f t="shared" si="46"/>
        <v>#N/A</v>
      </c>
      <c r="Y94" s="460"/>
      <c r="Z94" s="180"/>
      <c r="AA94" s="265"/>
      <c r="AB94" s="265"/>
      <c r="AC94" s="180" t="e">
        <f t="shared" si="48"/>
        <v>#N/A</v>
      </c>
      <c r="AD94" s="460"/>
      <c r="AE94" s="180"/>
      <c r="AF94" s="265"/>
      <c r="AG94" s="265"/>
      <c r="AH94" s="180" t="e">
        <f t="shared" si="50"/>
        <v>#N/A</v>
      </c>
      <c r="AI94" s="460"/>
      <c r="AJ94" s="180"/>
      <c r="AK94" s="265"/>
      <c r="AL94" s="265"/>
      <c r="AM94" s="180" t="e">
        <f t="shared" si="52"/>
        <v>#N/A</v>
      </c>
      <c r="AN94" s="460"/>
      <c r="AO94" s="180"/>
      <c r="AP94" s="265"/>
      <c r="AQ94" s="265"/>
      <c r="AR94" s="180" t="e">
        <f t="shared" si="54"/>
        <v>#N/A</v>
      </c>
      <c r="AS94" s="460"/>
      <c r="AT94" s="180"/>
      <c r="AU94" s="265"/>
      <c r="AV94" s="265"/>
      <c r="AW94" s="180" t="e">
        <f t="shared" si="56"/>
        <v>#N/A</v>
      </c>
      <c r="AX94" s="486"/>
    </row>
    <row r="95" spans="2:50">
      <c r="B95" s="479"/>
      <c r="C95" s="180">
        <v>9</v>
      </c>
      <c r="D95" s="201"/>
      <c r="E95" s="166"/>
      <c r="F95" s="180"/>
      <c r="G95" s="265"/>
      <c r="H95" s="460"/>
      <c r="I95" s="166"/>
      <c r="J95" s="166"/>
      <c r="K95" s="265"/>
      <c r="L95" s="460"/>
      <c r="M95" s="272" t="e">
        <f>RANK(K95, K$87:$K$101)</f>
        <v>#N/A</v>
      </c>
      <c r="N95" s="462"/>
      <c r="O95" s="462"/>
      <c r="P95" s="180"/>
      <c r="Q95" s="265"/>
      <c r="R95" s="265"/>
      <c r="S95" s="180" t="e">
        <f t="shared" si="59"/>
        <v>#N/A</v>
      </c>
      <c r="T95" s="460"/>
      <c r="U95" s="180"/>
      <c r="V95" s="265"/>
      <c r="W95" s="265"/>
      <c r="X95" s="180" t="e">
        <f t="shared" si="46"/>
        <v>#N/A</v>
      </c>
      <c r="Y95" s="460"/>
      <c r="Z95" s="180"/>
      <c r="AA95" s="265"/>
      <c r="AB95" s="265"/>
      <c r="AC95" s="180" t="e">
        <f t="shared" si="48"/>
        <v>#N/A</v>
      </c>
      <c r="AD95" s="460"/>
      <c r="AE95" s="180"/>
      <c r="AF95" s="265"/>
      <c r="AG95" s="265"/>
      <c r="AH95" s="180" t="e">
        <f t="shared" si="50"/>
        <v>#N/A</v>
      </c>
      <c r="AI95" s="460"/>
      <c r="AJ95" s="180"/>
      <c r="AK95" s="265"/>
      <c r="AL95" s="265"/>
      <c r="AM95" s="180" t="e">
        <f t="shared" si="52"/>
        <v>#N/A</v>
      </c>
      <c r="AN95" s="460"/>
      <c r="AO95" s="180"/>
      <c r="AP95" s="265"/>
      <c r="AQ95" s="265"/>
      <c r="AR95" s="180" t="e">
        <f t="shared" si="54"/>
        <v>#N/A</v>
      </c>
      <c r="AS95" s="460"/>
      <c r="AT95" s="180"/>
      <c r="AU95" s="265"/>
      <c r="AV95" s="265"/>
      <c r="AW95" s="180" t="e">
        <f t="shared" si="56"/>
        <v>#N/A</v>
      </c>
      <c r="AX95" s="486"/>
    </row>
    <row r="96" spans="2:50">
      <c r="B96" s="479"/>
      <c r="C96" s="180">
        <v>10</v>
      </c>
      <c r="D96" s="201"/>
      <c r="E96" s="166"/>
      <c r="F96" s="180"/>
      <c r="G96" s="265"/>
      <c r="H96" s="460"/>
      <c r="I96" s="166"/>
      <c r="J96" s="166"/>
      <c r="K96" s="265"/>
      <c r="L96" s="460"/>
      <c r="M96" s="272" t="e">
        <f>RANK(K96, K$87:$K$101)</f>
        <v>#N/A</v>
      </c>
      <c r="N96" s="462"/>
      <c r="O96" s="462"/>
      <c r="P96" s="180"/>
      <c r="Q96" s="180"/>
      <c r="R96" s="265"/>
      <c r="S96" s="180" t="e">
        <f t="shared" si="59"/>
        <v>#N/A</v>
      </c>
      <c r="T96" s="460"/>
      <c r="U96" s="180"/>
      <c r="V96" s="180"/>
      <c r="W96" s="265"/>
      <c r="X96" s="180" t="e">
        <f t="shared" si="46"/>
        <v>#N/A</v>
      </c>
      <c r="Y96" s="460"/>
      <c r="Z96" s="180"/>
      <c r="AA96" s="180"/>
      <c r="AB96" s="265"/>
      <c r="AC96" s="180" t="e">
        <f t="shared" si="48"/>
        <v>#N/A</v>
      </c>
      <c r="AD96" s="460"/>
      <c r="AE96" s="180"/>
      <c r="AF96" s="180"/>
      <c r="AG96" s="265"/>
      <c r="AH96" s="180" t="e">
        <f t="shared" si="50"/>
        <v>#N/A</v>
      </c>
      <c r="AI96" s="460"/>
      <c r="AJ96" s="180"/>
      <c r="AK96" s="180"/>
      <c r="AL96" s="265"/>
      <c r="AM96" s="180" t="e">
        <f t="shared" si="52"/>
        <v>#N/A</v>
      </c>
      <c r="AN96" s="460"/>
      <c r="AO96" s="180"/>
      <c r="AP96" s="180"/>
      <c r="AQ96" s="265"/>
      <c r="AR96" s="180" t="e">
        <f t="shared" si="54"/>
        <v>#N/A</v>
      </c>
      <c r="AS96" s="460"/>
      <c r="AT96" s="180"/>
      <c r="AU96" s="180"/>
      <c r="AV96" s="265"/>
      <c r="AW96" s="180" t="e">
        <f t="shared" si="56"/>
        <v>#N/A</v>
      </c>
      <c r="AX96" s="486"/>
    </row>
    <row r="97" spans="2:50">
      <c r="B97" s="479"/>
      <c r="C97" s="180">
        <v>11</v>
      </c>
      <c r="D97" s="201"/>
      <c r="E97" s="166"/>
      <c r="F97" s="180"/>
      <c r="G97" s="265"/>
      <c r="H97" s="460"/>
      <c r="I97" s="180"/>
      <c r="J97" s="180"/>
      <c r="K97" s="180"/>
      <c r="L97" s="460"/>
      <c r="M97" s="272" t="e">
        <f>RANK(K97, K$87:$K$101)</f>
        <v>#N/A</v>
      </c>
      <c r="N97" s="462"/>
      <c r="O97" s="462"/>
      <c r="P97" s="180"/>
      <c r="Q97" s="180"/>
      <c r="R97" s="180"/>
      <c r="S97" s="180" t="e">
        <f t="shared" si="59"/>
        <v>#N/A</v>
      </c>
      <c r="T97" s="460"/>
      <c r="U97" s="180"/>
      <c r="V97" s="180"/>
      <c r="W97" s="180"/>
      <c r="X97" s="180" t="e">
        <f t="shared" si="46"/>
        <v>#N/A</v>
      </c>
      <c r="Y97" s="460"/>
      <c r="Z97" s="180"/>
      <c r="AA97" s="180"/>
      <c r="AB97" s="180"/>
      <c r="AC97" s="180" t="e">
        <f t="shared" si="48"/>
        <v>#N/A</v>
      </c>
      <c r="AD97" s="460"/>
      <c r="AE97" s="180"/>
      <c r="AF97" s="180"/>
      <c r="AG97" s="180"/>
      <c r="AH97" s="180" t="e">
        <f t="shared" si="50"/>
        <v>#N/A</v>
      </c>
      <c r="AI97" s="460"/>
      <c r="AJ97" s="180"/>
      <c r="AK97" s="180"/>
      <c r="AL97" s="180"/>
      <c r="AM97" s="180" t="e">
        <f t="shared" si="52"/>
        <v>#N/A</v>
      </c>
      <c r="AN97" s="460"/>
      <c r="AO97" s="180"/>
      <c r="AP97" s="180"/>
      <c r="AQ97" s="180"/>
      <c r="AR97" s="180" t="e">
        <f t="shared" si="54"/>
        <v>#N/A</v>
      </c>
      <c r="AS97" s="460"/>
      <c r="AT97" s="180"/>
      <c r="AU97" s="180"/>
      <c r="AV97" s="180"/>
      <c r="AW97" s="180" t="e">
        <f t="shared" si="56"/>
        <v>#N/A</v>
      </c>
      <c r="AX97" s="486"/>
    </row>
    <row r="98" spans="2:50">
      <c r="B98" s="479"/>
      <c r="C98" s="180">
        <v>12</v>
      </c>
      <c r="D98" s="201"/>
      <c r="E98" s="166"/>
      <c r="F98" s="180"/>
      <c r="G98" s="265"/>
      <c r="H98" s="460"/>
      <c r="I98" s="180"/>
      <c r="J98" s="180"/>
      <c r="K98" s="180"/>
      <c r="L98" s="460"/>
      <c r="M98" s="272" t="e">
        <f>RANK(K98, K$87:$K$101)</f>
        <v>#N/A</v>
      </c>
      <c r="N98" s="462"/>
      <c r="O98" s="462"/>
      <c r="P98" s="180"/>
      <c r="Q98" s="180"/>
      <c r="R98" s="180"/>
      <c r="S98" s="180" t="e">
        <f t="shared" si="59"/>
        <v>#N/A</v>
      </c>
      <c r="T98" s="460"/>
      <c r="U98" s="180"/>
      <c r="V98" s="180"/>
      <c r="W98" s="180"/>
      <c r="X98" s="180" t="e">
        <f t="shared" si="46"/>
        <v>#N/A</v>
      </c>
      <c r="Y98" s="460"/>
      <c r="Z98" s="180"/>
      <c r="AA98" s="180"/>
      <c r="AB98" s="180"/>
      <c r="AC98" s="180" t="e">
        <f t="shared" si="48"/>
        <v>#N/A</v>
      </c>
      <c r="AD98" s="460"/>
      <c r="AE98" s="180"/>
      <c r="AF98" s="180"/>
      <c r="AG98" s="180"/>
      <c r="AH98" s="180" t="e">
        <f t="shared" si="50"/>
        <v>#N/A</v>
      </c>
      <c r="AI98" s="460"/>
      <c r="AJ98" s="180"/>
      <c r="AK98" s="180"/>
      <c r="AL98" s="180"/>
      <c r="AM98" s="180" t="e">
        <f t="shared" si="52"/>
        <v>#N/A</v>
      </c>
      <c r="AN98" s="460"/>
      <c r="AO98" s="180"/>
      <c r="AP98" s="180"/>
      <c r="AQ98" s="180"/>
      <c r="AR98" s="180" t="e">
        <f t="shared" si="54"/>
        <v>#N/A</v>
      </c>
      <c r="AS98" s="460"/>
      <c r="AT98" s="180"/>
      <c r="AU98" s="180"/>
      <c r="AV98" s="180"/>
      <c r="AW98" s="180" t="e">
        <f t="shared" si="56"/>
        <v>#N/A</v>
      </c>
      <c r="AX98" s="486"/>
    </row>
    <row r="99" spans="2:50">
      <c r="B99" s="479"/>
      <c r="C99" s="180">
        <v>13</v>
      </c>
      <c r="D99" s="201"/>
      <c r="E99" s="166"/>
      <c r="F99" s="180"/>
      <c r="G99" s="265"/>
      <c r="H99" s="460"/>
      <c r="I99" s="180"/>
      <c r="J99" s="180"/>
      <c r="K99" s="180"/>
      <c r="L99" s="460"/>
      <c r="M99" s="272" t="e">
        <f>RANK(K99, K$87:$K$101)</f>
        <v>#N/A</v>
      </c>
      <c r="N99" s="462"/>
      <c r="O99" s="462"/>
      <c r="P99" s="180"/>
      <c r="Q99" s="180"/>
      <c r="R99" s="180"/>
      <c r="S99" s="180" t="e">
        <f t="shared" si="59"/>
        <v>#N/A</v>
      </c>
      <c r="T99" s="460"/>
      <c r="U99" s="180"/>
      <c r="V99" s="180"/>
      <c r="W99" s="180"/>
      <c r="X99" s="180" t="e">
        <f t="shared" si="46"/>
        <v>#N/A</v>
      </c>
      <c r="Y99" s="460"/>
      <c r="Z99" s="180"/>
      <c r="AA99" s="180"/>
      <c r="AB99" s="180"/>
      <c r="AC99" s="180" t="e">
        <f t="shared" si="48"/>
        <v>#N/A</v>
      </c>
      <c r="AD99" s="460"/>
      <c r="AE99" s="180"/>
      <c r="AF99" s="180"/>
      <c r="AG99" s="180"/>
      <c r="AH99" s="180" t="e">
        <f t="shared" si="50"/>
        <v>#N/A</v>
      </c>
      <c r="AI99" s="460"/>
      <c r="AJ99" s="180"/>
      <c r="AK99" s="180"/>
      <c r="AL99" s="180"/>
      <c r="AM99" s="180" t="e">
        <f t="shared" si="52"/>
        <v>#N/A</v>
      </c>
      <c r="AN99" s="460"/>
      <c r="AO99" s="180"/>
      <c r="AP99" s="180"/>
      <c r="AQ99" s="180"/>
      <c r="AR99" s="180" t="e">
        <f t="shared" si="54"/>
        <v>#N/A</v>
      </c>
      <c r="AS99" s="460"/>
      <c r="AT99" s="180"/>
      <c r="AU99" s="180"/>
      <c r="AV99" s="180"/>
      <c r="AW99" s="180" t="e">
        <f t="shared" si="56"/>
        <v>#N/A</v>
      </c>
      <c r="AX99" s="486"/>
    </row>
    <row r="100" spans="2:50">
      <c r="B100" s="479"/>
      <c r="C100" s="180">
        <v>14</v>
      </c>
      <c r="D100" s="201"/>
      <c r="E100" s="166"/>
      <c r="F100" s="180"/>
      <c r="G100" s="265"/>
      <c r="H100" s="460"/>
      <c r="I100" s="180"/>
      <c r="J100" s="180"/>
      <c r="K100" s="180"/>
      <c r="L100" s="460"/>
      <c r="M100" s="272" t="e">
        <f>RANK(K100, K$87:$K$101)</f>
        <v>#N/A</v>
      </c>
      <c r="N100" s="462"/>
      <c r="O100" s="462"/>
      <c r="P100" s="180"/>
      <c r="Q100" s="180"/>
      <c r="R100" s="180"/>
      <c r="S100" s="180" t="e">
        <f t="shared" si="59"/>
        <v>#N/A</v>
      </c>
      <c r="T100" s="460"/>
      <c r="U100" s="180"/>
      <c r="V100" s="180"/>
      <c r="W100" s="180"/>
      <c r="X100" s="180" t="e">
        <f t="shared" si="46"/>
        <v>#N/A</v>
      </c>
      <c r="Y100" s="460"/>
      <c r="Z100" s="180"/>
      <c r="AA100" s="180"/>
      <c r="AB100" s="180"/>
      <c r="AC100" s="180" t="e">
        <f t="shared" si="48"/>
        <v>#N/A</v>
      </c>
      <c r="AD100" s="460"/>
      <c r="AE100" s="180"/>
      <c r="AF100" s="180"/>
      <c r="AG100" s="180"/>
      <c r="AH100" s="180" t="e">
        <f t="shared" si="50"/>
        <v>#N/A</v>
      </c>
      <c r="AI100" s="460"/>
      <c r="AJ100" s="180"/>
      <c r="AK100" s="180"/>
      <c r="AL100" s="180"/>
      <c r="AM100" s="180" t="e">
        <f t="shared" si="52"/>
        <v>#N/A</v>
      </c>
      <c r="AN100" s="460"/>
      <c r="AO100" s="180"/>
      <c r="AP100" s="180"/>
      <c r="AQ100" s="180"/>
      <c r="AR100" s="180" t="e">
        <f t="shared" si="54"/>
        <v>#N/A</v>
      </c>
      <c r="AS100" s="460"/>
      <c r="AT100" s="180"/>
      <c r="AU100" s="180"/>
      <c r="AV100" s="180"/>
      <c r="AW100" s="180" t="e">
        <f t="shared" si="56"/>
        <v>#N/A</v>
      </c>
      <c r="AX100" s="486"/>
    </row>
    <row r="101" spans="2:50">
      <c r="B101" s="479"/>
      <c r="C101" s="180">
        <v>15</v>
      </c>
      <c r="D101" s="201"/>
      <c r="E101" s="166"/>
      <c r="F101" s="180"/>
      <c r="G101" s="265"/>
      <c r="H101" s="461"/>
      <c r="I101" s="180"/>
      <c r="J101" s="180"/>
      <c r="K101" s="180"/>
      <c r="L101" s="461"/>
      <c r="M101" s="166" t="e">
        <f>RANK(K101, K$87:$K$101)</f>
        <v>#N/A</v>
      </c>
      <c r="N101" s="462"/>
      <c r="O101" s="462"/>
      <c r="P101" s="180"/>
      <c r="Q101" s="180"/>
      <c r="R101" s="180"/>
      <c r="S101" s="180" t="e">
        <f t="shared" si="59"/>
        <v>#N/A</v>
      </c>
      <c r="T101" s="461"/>
      <c r="U101" s="180"/>
      <c r="V101" s="180"/>
      <c r="W101" s="180"/>
      <c r="X101" s="180" t="e">
        <f t="shared" si="46"/>
        <v>#N/A</v>
      </c>
      <c r="Y101" s="461"/>
      <c r="Z101" s="180"/>
      <c r="AA101" s="180"/>
      <c r="AB101" s="180"/>
      <c r="AC101" s="180" t="e">
        <f t="shared" si="48"/>
        <v>#N/A</v>
      </c>
      <c r="AD101" s="461"/>
      <c r="AE101" s="180"/>
      <c r="AF101" s="180"/>
      <c r="AG101" s="180"/>
      <c r="AH101" s="180" t="e">
        <f t="shared" si="50"/>
        <v>#N/A</v>
      </c>
      <c r="AI101" s="461"/>
      <c r="AJ101" s="180"/>
      <c r="AK101" s="180"/>
      <c r="AL101" s="180"/>
      <c r="AM101" s="180" t="e">
        <f t="shared" si="52"/>
        <v>#N/A</v>
      </c>
      <c r="AN101" s="461"/>
      <c r="AO101" s="180"/>
      <c r="AP101" s="180"/>
      <c r="AQ101" s="180"/>
      <c r="AR101" s="180" t="e">
        <f t="shared" si="54"/>
        <v>#N/A</v>
      </c>
      <c r="AS101" s="461"/>
      <c r="AT101" s="180"/>
      <c r="AU101" s="180"/>
      <c r="AV101" s="180"/>
      <c r="AW101" s="180" t="e">
        <f t="shared" si="56"/>
        <v>#N/A</v>
      </c>
      <c r="AX101" s="486"/>
    </row>
    <row r="102" spans="2:50" ht="15.75">
      <c r="B102" s="480" t="s">
        <v>721</v>
      </c>
      <c r="C102" s="481"/>
      <c r="D102" s="481"/>
      <c r="E102" s="481"/>
      <c r="F102" s="481"/>
      <c r="G102" s="481"/>
      <c r="H102" s="481"/>
      <c r="I102" s="184"/>
      <c r="J102" s="184"/>
      <c r="K102" s="184"/>
      <c r="L102" s="184"/>
      <c r="M102" s="183"/>
      <c r="N102" s="469" t="s">
        <v>722</v>
      </c>
      <c r="O102" s="469" t="s">
        <v>723</v>
      </c>
      <c r="P102" s="478">
        <f>P82+7</f>
        <v>46084</v>
      </c>
      <c r="Q102" s="479"/>
      <c r="R102" s="479"/>
      <c r="S102" s="479"/>
      <c r="T102" s="479"/>
      <c r="U102" s="475">
        <f>P102+1</f>
        <v>46085</v>
      </c>
      <c r="V102" s="476"/>
      <c r="W102" s="476"/>
      <c r="X102" s="476"/>
      <c r="Y102" s="477"/>
      <c r="Z102" s="475">
        <f>U102+1</f>
        <v>46086</v>
      </c>
      <c r="AA102" s="476"/>
      <c r="AB102" s="476"/>
      <c r="AC102" s="476"/>
      <c r="AD102" s="477"/>
      <c r="AE102" s="475">
        <f>Z102+1</f>
        <v>46087</v>
      </c>
      <c r="AF102" s="476"/>
      <c r="AG102" s="476"/>
      <c r="AH102" s="476"/>
      <c r="AI102" s="477"/>
      <c r="AJ102" s="475">
        <f>AE102+1</f>
        <v>46088</v>
      </c>
      <c r="AK102" s="476"/>
      <c r="AL102" s="476"/>
      <c r="AM102" s="476"/>
      <c r="AN102" s="477"/>
      <c r="AO102" s="475">
        <f>AJ102+1</f>
        <v>46089</v>
      </c>
      <c r="AP102" s="476"/>
      <c r="AQ102" s="476"/>
      <c r="AR102" s="476"/>
      <c r="AS102" s="477"/>
      <c r="AT102" s="475">
        <f>AO102+1</f>
        <v>46090</v>
      </c>
      <c r="AU102" s="476"/>
      <c r="AV102" s="476"/>
      <c r="AW102" s="476"/>
      <c r="AX102" s="477"/>
    </row>
    <row r="103" spans="2:50" ht="15.75">
      <c r="B103" s="482"/>
      <c r="C103" s="482"/>
      <c r="D103" s="482"/>
      <c r="E103" s="482"/>
      <c r="F103" s="482"/>
      <c r="G103" s="482"/>
      <c r="H103" s="482"/>
      <c r="I103" s="182"/>
      <c r="J103" s="182"/>
      <c r="K103" s="182"/>
      <c r="L103" s="182"/>
      <c r="M103" s="179"/>
      <c r="N103" s="471"/>
      <c r="O103" s="471"/>
      <c r="P103" s="478" t="s">
        <v>724</v>
      </c>
      <c r="Q103" s="479"/>
      <c r="R103" s="479"/>
      <c r="S103" s="479"/>
      <c r="T103" s="479"/>
      <c r="U103" s="478" t="s">
        <v>725</v>
      </c>
      <c r="V103" s="479"/>
      <c r="W103" s="479"/>
      <c r="X103" s="479"/>
      <c r="Y103" s="479"/>
      <c r="Z103" s="478" t="s">
        <v>726</v>
      </c>
      <c r="AA103" s="479"/>
      <c r="AB103" s="479"/>
      <c r="AC103" s="479"/>
      <c r="AD103" s="479"/>
      <c r="AE103" s="478" t="s">
        <v>727</v>
      </c>
      <c r="AF103" s="479"/>
      <c r="AG103" s="479"/>
      <c r="AH103" s="479"/>
      <c r="AI103" s="479"/>
      <c r="AJ103" s="478" t="s">
        <v>728</v>
      </c>
      <c r="AK103" s="479"/>
      <c r="AL103" s="479"/>
      <c r="AM103" s="479"/>
      <c r="AN103" s="479"/>
      <c r="AO103" s="478" t="s">
        <v>729</v>
      </c>
      <c r="AP103" s="479"/>
      <c r="AQ103" s="479"/>
      <c r="AR103" s="479"/>
      <c r="AS103" s="479"/>
      <c r="AT103" s="478" t="s">
        <v>730</v>
      </c>
      <c r="AU103" s="479"/>
      <c r="AV103" s="479"/>
      <c r="AW103" s="479"/>
      <c r="AX103" s="479"/>
    </row>
    <row r="104" spans="2:50">
      <c r="B104" s="462" t="s">
        <v>628</v>
      </c>
      <c r="C104" s="462" t="s">
        <v>629</v>
      </c>
      <c r="D104" s="462"/>
      <c r="E104" s="462" t="s">
        <v>630</v>
      </c>
      <c r="F104" s="462"/>
      <c r="G104" s="462"/>
      <c r="H104" s="463" t="s">
        <v>631</v>
      </c>
      <c r="I104" s="462" t="s">
        <v>632</v>
      </c>
      <c r="J104" s="462"/>
      <c r="K104" s="462"/>
      <c r="L104" s="463" t="s">
        <v>631</v>
      </c>
      <c r="M104" s="469" t="s">
        <v>633</v>
      </c>
      <c r="N104" s="462"/>
      <c r="O104" s="462" t="s">
        <v>737</v>
      </c>
      <c r="P104" s="466" t="s">
        <v>738</v>
      </c>
      <c r="Q104" s="467"/>
      <c r="R104" s="467"/>
      <c r="S104" s="468"/>
      <c r="T104" s="462" t="s">
        <v>734</v>
      </c>
      <c r="U104" s="466" t="s">
        <v>738</v>
      </c>
      <c r="V104" s="467"/>
      <c r="W104" s="467"/>
      <c r="X104" s="468"/>
      <c r="Y104" s="462" t="s">
        <v>734</v>
      </c>
      <c r="Z104" s="466" t="s">
        <v>738</v>
      </c>
      <c r="AA104" s="467"/>
      <c r="AB104" s="467"/>
      <c r="AC104" s="468"/>
      <c r="AD104" s="462" t="s">
        <v>734</v>
      </c>
      <c r="AE104" s="466" t="s">
        <v>738</v>
      </c>
      <c r="AF104" s="467"/>
      <c r="AG104" s="467"/>
      <c r="AH104" s="468"/>
      <c r="AI104" s="462" t="s">
        <v>734</v>
      </c>
      <c r="AJ104" s="466" t="s">
        <v>738</v>
      </c>
      <c r="AK104" s="467"/>
      <c r="AL104" s="467"/>
      <c r="AM104" s="468"/>
      <c r="AN104" s="462" t="s">
        <v>734</v>
      </c>
      <c r="AO104" s="466" t="s">
        <v>738</v>
      </c>
      <c r="AP104" s="467"/>
      <c r="AQ104" s="467"/>
      <c r="AR104" s="468"/>
      <c r="AS104" s="462" t="s">
        <v>734</v>
      </c>
      <c r="AT104" s="466" t="s">
        <v>738</v>
      </c>
      <c r="AU104" s="467"/>
      <c r="AV104" s="467"/>
      <c r="AW104" s="468"/>
      <c r="AX104" s="462" t="s">
        <v>734</v>
      </c>
    </row>
    <row r="105" spans="2:50">
      <c r="B105" s="462"/>
      <c r="C105" s="462"/>
      <c r="D105" s="462"/>
      <c r="E105" s="462" t="s">
        <v>635</v>
      </c>
      <c r="F105" s="462"/>
      <c r="G105" s="462"/>
      <c r="H105" s="464"/>
      <c r="I105" s="462" t="s">
        <v>635</v>
      </c>
      <c r="J105" s="462"/>
      <c r="K105" s="462"/>
      <c r="L105" s="464"/>
      <c r="M105" s="470"/>
      <c r="N105" s="462"/>
      <c r="O105" s="462"/>
      <c r="P105" s="466" t="s">
        <v>740</v>
      </c>
      <c r="Q105" s="467"/>
      <c r="R105" s="467"/>
      <c r="S105" s="468"/>
      <c r="T105" s="462"/>
      <c r="U105" s="466" t="s">
        <v>740</v>
      </c>
      <c r="V105" s="467"/>
      <c r="W105" s="467"/>
      <c r="X105" s="468"/>
      <c r="Y105" s="462"/>
      <c r="Z105" s="466" t="s">
        <v>740</v>
      </c>
      <c r="AA105" s="467"/>
      <c r="AB105" s="467"/>
      <c r="AC105" s="468"/>
      <c r="AD105" s="462"/>
      <c r="AE105" s="466" t="s">
        <v>740</v>
      </c>
      <c r="AF105" s="467"/>
      <c r="AG105" s="467"/>
      <c r="AH105" s="468"/>
      <c r="AI105" s="462"/>
      <c r="AJ105" s="466" t="s">
        <v>740</v>
      </c>
      <c r="AK105" s="467"/>
      <c r="AL105" s="467"/>
      <c r="AM105" s="468"/>
      <c r="AN105" s="462"/>
      <c r="AO105" s="466" t="s">
        <v>740</v>
      </c>
      <c r="AP105" s="467"/>
      <c r="AQ105" s="467"/>
      <c r="AR105" s="468"/>
      <c r="AS105" s="462"/>
      <c r="AT105" s="466" t="s">
        <v>740</v>
      </c>
      <c r="AU105" s="467"/>
      <c r="AV105" s="467"/>
      <c r="AW105" s="468"/>
      <c r="AX105" s="462"/>
    </row>
    <row r="106" spans="2:50">
      <c r="B106" s="462"/>
      <c r="C106" s="462"/>
      <c r="D106" s="462"/>
      <c r="E106" s="264" t="s">
        <v>636</v>
      </c>
      <c r="F106" s="264" t="s">
        <v>637</v>
      </c>
      <c r="G106" s="264" t="s">
        <v>638</v>
      </c>
      <c r="H106" s="465"/>
      <c r="I106" s="264" t="s">
        <v>636</v>
      </c>
      <c r="J106" s="264" t="s">
        <v>637</v>
      </c>
      <c r="K106" s="264" t="s">
        <v>638</v>
      </c>
      <c r="L106" s="465"/>
      <c r="M106" s="471"/>
      <c r="N106" s="462"/>
      <c r="O106" s="462"/>
      <c r="P106" s="264" t="s">
        <v>741</v>
      </c>
      <c r="Q106" s="264" t="s">
        <v>742</v>
      </c>
      <c r="R106" s="264" t="s">
        <v>743</v>
      </c>
      <c r="S106" s="264" t="s">
        <v>736</v>
      </c>
      <c r="T106" s="462"/>
      <c r="U106" s="264" t="s">
        <v>741</v>
      </c>
      <c r="V106" s="264" t="s">
        <v>742</v>
      </c>
      <c r="W106" s="264" t="s">
        <v>743</v>
      </c>
      <c r="X106" s="264" t="s">
        <v>736</v>
      </c>
      <c r="Y106" s="462"/>
      <c r="Z106" s="264" t="s">
        <v>741</v>
      </c>
      <c r="AA106" s="264" t="s">
        <v>742</v>
      </c>
      <c r="AB106" s="264" t="s">
        <v>743</v>
      </c>
      <c r="AC106" s="264" t="s">
        <v>736</v>
      </c>
      <c r="AD106" s="462"/>
      <c r="AE106" s="264" t="s">
        <v>741</v>
      </c>
      <c r="AF106" s="264" t="s">
        <v>742</v>
      </c>
      <c r="AG106" s="264" t="s">
        <v>743</v>
      </c>
      <c r="AH106" s="264" t="s">
        <v>736</v>
      </c>
      <c r="AI106" s="462"/>
      <c r="AJ106" s="264" t="s">
        <v>741</v>
      </c>
      <c r="AK106" s="264" t="s">
        <v>742</v>
      </c>
      <c r="AL106" s="264" t="s">
        <v>743</v>
      </c>
      <c r="AM106" s="264" t="s">
        <v>736</v>
      </c>
      <c r="AN106" s="462"/>
      <c r="AO106" s="264" t="s">
        <v>741</v>
      </c>
      <c r="AP106" s="264" t="s">
        <v>742</v>
      </c>
      <c r="AQ106" s="264" t="s">
        <v>743</v>
      </c>
      <c r="AR106" s="264" t="s">
        <v>736</v>
      </c>
      <c r="AS106" s="462"/>
      <c r="AT106" s="264" t="s">
        <v>741</v>
      </c>
      <c r="AU106" s="264" t="s">
        <v>742</v>
      </c>
      <c r="AV106" s="264" t="s">
        <v>743</v>
      </c>
      <c r="AW106" s="264" t="s">
        <v>736</v>
      </c>
      <c r="AX106" s="462"/>
    </row>
    <row r="107" spans="2:50">
      <c r="B107" s="462" t="s">
        <v>136</v>
      </c>
      <c r="C107" s="180">
        <v>1</v>
      </c>
      <c r="D107" s="201"/>
      <c r="E107" s="166"/>
      <c r="F107" s="180"/>
      <c r="G107" s="265"/>
      <c r="H107" s="508" t="e">
        <f>AVERAGE(G107:G121)</f>
        <v>#DIV/0!</v>
      </c>
      <c r="I107" s="166" t="e">
        <f>AVERAGE(P107,U107,Z107,AE107,AJ107,AO107,AT107)</f>
        <v>#DIV/0!</v>
      </c>
      <c r="J107" s="166" t="e">
        <f>AVERAGE(Q107,V107,AA107,AF107,AK107,AP107,AU107)</f>
        <v>#DIV/0!</v>
      </c>
      <c r="K107" s="265" t="e">
        <f>AVERAGE(R107,W107,AB107,AG107,AL107,AQ107,AV107)</f>
        <v>#DIV/0!</v>
      </c>
      <c r="L107" s="459" t="str">
        <f>IFERROR(AVERAGE(K107:K121),"-")</f>
        <v>-</v>
      </c>
      <c r="M107" s="166" t="e">
        <f>RANK(K107, K$67:$K$81)</f>
        <v>#DIV/0!</v>
      </c>
      <c r="N107" s="462"/>
      <c r="O107" s="462"/>
      <c r="P107" s="180"/>
      <c r="Q107" s="166"/>
      <c r="R107" s="166"/>
      <c r="S107" s="180" t="e">
        <f>RANK(R107, R$67:R$81)</f>
        <v>#N/A</v>
      </c>
      <c r="T107" s="486" t="e">
        <f>AVERAGE(R107:R121)</f>
        <v>#DIV/0!</v>
      </c>
      <c r="U107" s="180"/>
      <c r="V107" s="166"/>
      <c r="W107" s="166"/>
      <c r="X107" s="180" t="e">
        <f>RANK(W107, W$67:W$81)</f>
        <v>#N/A</v>
      </c>
      <c r="Y107" s="486" t="e">
        <f>AVERAGE(W107:W121)</f>
        <v>#DIV/0!</v>
      </c>
      <c r="Z107" s="180"/>
      <c r="AA107" s="166"/>
      <c r="AB107" s="166"/>
      <c r="AC107" s="180" t="e">
        <f>RANK(AB107, AB$67:AB$81)</f>
        <v>#N/A</v>
      </c>
      <c r="AD107" s="486" t="e">
        <f>AVERAGE(AB107:AB121)</f>
        <v>#DIV/0!</v>
      </c>
      <c r="AE107" s="180"/>
      <c r="AF107" s="166"/>
      <c r="AG107" s="166"/>
      <c r="AH107" s="180" t="e">
        <f>RANK(AG107, AG$67:AG$81)</f>
        <v>#N/A</v>
      </c>
      <c r="AI107" s="486" t="e">
        <f>AVERAGE(AG107:AG121)</f>
        <v>#DIV/0!</v>
      </c>
      <c r="AJ107" s="180"/>
      <c r="AK107" s="166"/>
      <c r="AL107" s="166"/>
      <c r="AM107" s="180" t="e">
        <f>RANK(AL107, AL$67:AL$81)</f>
        <v>#N/A</v>
      </c>
      <c r="AN107" s="486" t="e">
        <f>AVERAGE(AL107:AL121)</f>
        <v>#DIV/0!</v>
      </c>
      <c r="AO107" s="180"/>
      <c r="AP107" s="166"/>
      <c r="AQ107" s="166"/>
      <c r="AR107" s="180" t="e">
        <f>RANK(AQ107, AQ$67:AQ$81)</f>
        <v>#N/A</v>
      </c>
      <c r="AS107" s="486" t="e">
        <f>AVERAGE(AQ107:AQ121)</f>
        <v>#DIV/0!</v>
      </c>
      <c r="AT107" s="166"/>
      <c r="AU107" s="265"/>
      <c r="AV107" s="265"/>
      <c r="AW107" s="180" t="e">
        <f>RANK(AV107, AV$67:AV$81)</f>
        <v>#N/A</v>
      </c>
      <c r="AX107" s="486" t="e">
        <f>AVERAGE(AV107:AV121)</f>
        <v>#DIV/0!</v>
      </c>
    </row>
    <row r="108" spans="2:50">
      <c r="B108" s="479"/>
      <c r="C108" s="180">
        <v>2</v>
      </c>
      <c r="D108" s="201"/>
      <c r="E108" s="166"/>
      <c r="F108" s="180"/>
      <c r="G108" s="265"/>
      <c r="H108" s="509"/>
      <c r="I108" s="166" t="e">
        <f t="shared" ref="I108:K111" si="60">AVERAGE(P108,U108,Z108,AE108,AJ108,AO108,AT108)</f>
        <v>#DIV/0!</v>
      </c>
      <c r="J108" s="166" t="e">
        <f t="shared" si="60"/>
        <v>#DIV/0!</v>
      </c>
      <c r="K108" s="265" t="e">
        <f t="shared" si="60"/>
        <v>#DIV/0!</v>
      </c>
      <c r="L108" s="460"/>
      <c r="M108" s="166" t="e">
        <f>RANK(K108, K$67:$K$81)</f>
        <v>#DIV/0!</v>
      </c>
      <c r="N108" s="462"/>
      <c r="O108" s="462"/>
      <c r="P108" s="180"/>
      <c r="Q108" s="166"/>
      <c r="R108" s="166"/>
      <c r="S108" s="180" t="e">
        <f t="shared" ref="S108:S121" si="61">RANK(R108, R$67:R$81)</f>
        <v>#N/A</v>
      </c>
      <c r="T108" s="486"/>
      <c r="U108" s="180"/>
      <c r="V108" s="166"/>
      <c r="W108" s="166"/>
      <c r="X108" s="180" t="e">
        <f t="shared" ref="X108:X121" si="62">RANK(W108, W$67:W$81)</f>
        <v>#N/A</v>
      </c>
      <c r="Y108" s="486"/>
      <c r="Z108" s="180"/>
      <c r="AA108" s="166"/>
      <c r="AB108" s="166"/>
      <c r="AC108" s="180" t="e">
        <f t="shared" ref="AC108:AC121" si="63">RANK(AB108, AB$67:AB$81)</f>
        <v>#N/A</v>
      </c>
      <c r="AD108" s="486"/>
      <c r="AE108" s="180"/>
      <c r="AF108" s="166"/>
      <c r="AG108" s="166"/>
      <c r="AH108" s="180" t="e">
        <f t="shared" ref="AH108:AH121" si="64">RANK(AG108, AG$67:AG$81)</f>
        <v>#N/A</v>
      </c>
      <c r="AI108" s="486"/>
      <c r="AJ108" s="180"/>
      <c r="AK108" s="166"/>
      <c r="AL108" s="166"/>
      <c r="AM108" s="180" t="e">
        <f t="shared" ref="AM108:AM121" si="65">RANK(AL108, AL$67:AL$81)</f>
        <v>#N/A</v>
      </c>
      <c r="AN108" s="486"/>
      <c r="AO108" s="180"/>
      <c r="AP108" s="166"/>
      <c r="AQ108" s="166"/>
      <c r="AR108" s="180" t="e">
        <f t="shared" ref="AR108:AR121" si="66">RANK(AQ108, AQ$67:AQ$81)</f>
        <v>#N/A</v>
      </c>
      <c r="AS108" s="486"/>
      <c r="AT108" s="180"/>
      <c r="AU108" s="265"/>
      <c r="AV108" s="265"/>
      <c r="AW108" s="180" t="e">
        <f t="shared" ref="AW108:AW121" si="67">RANK(AV108, AV$67:AV$81)</f>
        <v>#N/A</v>
      </c>
      <c r="AX108" s="486"/>
    </row>
    <row r="109" spans="2:50">
      <c r="B109" s="479"/>
      <c r="C109" s="180">
        <v>3</v>
      </c>
      <c r="D109" s="201"/>
      <c r="E109" s="166"/>
      <c r="F109" s="180"/>
      <c r="G109" s="265"/>
      <c r="H109" s="509"/>
      <c r="I109" s="166" t="e">
        <f t="shared" si="60"/>
        <v>#DIV/0!</v>
      </c>
      <c r="J109" s="166" t="e">
        <f t="shared" si="60"/>
        <v>#DIV/0!</v>
      </c>
      <c r="K109" s="265" t="e">
        <f t="shared" si="60"/>
        <v>#DIV/0!</v>
      </c>
      <c r="L109" s="460"/>
      <c r="M109" s="166" t="e">
        <f>RANK(K109, K$67:$K$81)</f>
        <v>#DIV/0!</v>
      </c>
      <c r="N109" s="462"/>
      <c r="O109" s="462"/>
      <c r="P109" s="180"/>
      <c r="Q109" s="166"/>
      <c r="R109" s="166"/>
      <c r="S109" s="180" t="e">
        <f t="shared" si="61"/>
        <v>#N/A</v>
      </c>
      <c r="T109" s="486"/>
      <c r="U109" s="180"/>
      <c r="V109" s="166"/>
      <c r="W109" s="166"/>
      <c r="X109" s="180" t="e">
        <f t="shared" si="62"/>
        <v>#N/A</v>
      </c>
      <c r="Y109" s="486"/>
      <c r="Z109" s="180"/>
      <c r="AA109" s="166"/>
      <c r="AB109" s="166"/>
      <c r="AC109" s="180" t="e">
        <f t="shared" si="63"/>
        <v>#N/A</v>
      </c>
      <c r="AD109" s="486"/>
      <c r="AE109" s="180"/>
      <c r="AF109" s="166"/>
      <c r="AG109" s="166"/>
      <c r="AH109" s="180" t="e">
        <f t="shared" si="64"/>
        <v>#N/A</v>
      </c>
      <c r="AI109" s="486"/>
      <c r="AJ109" s="180"/>
      <c r="AK109" s="166"/>
      <c r="AL109" s="166"/>
      <c r="AM109" s="180" t="e">
        <f t="shared" si="65"/>
        <v>#N/A</v>
      </c>
      <c r="AN109" s="486"/>
      <c r="AO109" s="180"/>
      <c r="AP109" s="166"/>
      <c r="AQ109" s="166"/>
      <c r="AR109" s="180" t="e">
        <f t="shared" si="66"/>
        <v>#N/A</v>
      </c>
      <c r="AS109" s="486"/>
      <c r="AT109" s="180"/>
      <c r="AU109" s="265"/>
      <c r="AV109" s="265"/>
      <c r="AW109" s="180" t="e">
        <f t="shared" si="67"/>
        <v>#N/A</v>
      </c>
      <c r="AX109" s="486"/>
    </row>
    <row r="110" spans="2:50">
      <c r="B110" s="479"/>
      <c r="C110" s="180">
        <v>4</v>
      </c>
      <c r="D110" s="201"/>
      <c r="E110" s="166"/>
      <c r="F110" s="180"/>
      <c r="G110" s="265"/>
      <c r="H110" s="509"/>
      <c r="I110" s="166" t="e">
        <f t="shared" si="60"/>
        <v>#DIV/0!</v>
      </c>
      <c r="J110" s="166" t="e">
        <f t="shared" si="60"/>
        <v>#DIV/0!</v>
      </c>
      <c r="K110" s="265" t="e">
        <f t="shared" si="60"/>
        <v>#DIV/0!</v>
      </c>
      <c r="L110" s="460"/>
      <c r="M110" s="166" t="e">
        <f>RANK(K110, K$67:$K$81)</f>
        <v>#DIV/0!</v>
      </c>
      <c r="N110" s="462"/>
      <c r="O110" s="462"/>
      <c r="P110" s="180"/>
      <c r="Q110" s="166"/>
      <c r="R110" s="166"/>
      <c r="S110" s="180" t="e">
        <f t="shared" si="61"/>
        <v>#N/A</v>
      </c>
      <c r="T110" s="486"/>
      <c r="U110" s="180"/>
      <c r="V110" s="166"/>
      <c r="W110" s="166"/>
      <c r="X110" s="180" t="e">
        <f t="shared" si="62"/>
        <v>#N/A</v>
      </c>
      <c r="Y110" s="486"/>
      <c r="Z110" s="180"/>
      <c r="AA110" s="166"/>
      <c r="AB110" s="166"/>
      <c r="AC110" s="180" t="e">
        <f t="shared" si="63"/>
        <v>#N/A</v>
      </c>
      <c r="AD110" s="486"/>
      <c r="AE110" s="180"/>
      <c r="AF110" s="166"/>
      <c r="AG110" s="166"/>
      <c r="AH110" s="180" t="e">
        <f t="shared" si="64"/>
        <v>#N/A</v>
      </c>
      <c r="AI110" s="486"/>
      <c r="AJ110" s="180"/>
      <c r="AK110" s="166"/>
      <c r="AL110" s="166"/>
      <c r="AM110" s="180" t="e">
        <f t="shared" si="65"/>
        <v>#N/A</v>
      </c>
      <c r="AN110" s="486"/>
      <c r="AO110" s="180"/>
      <c r="AP110" s="166"/>
      <c r="AQ110" s="166"/>
      <c r="AR110" s="180" t="e">
        <f t="shared" si="66"/>
        <v>#N/A</v>
      </c>
      <c r="AS110" s="486"/>
      <c r="AT110" s="180"/>
      <c r="AU110" s="265"/>
      <c r="AV110" s="265"/>
      <c r="AW110" s="180" t="e">
        <f t="shared" si="67"/>
        <v>#N/A</v>
      </c>
      <c r="AX110" s="486"/>
    </row>
    <row r="111" spans="2:50">
      <c r="B111" s="479"/>
      <c r="C111" s="180">
        <v>5</v>
      </c>
      <c r="D111" s="201"/>
      <c r="E111" s="166"/>
      <c r="F111" s="180"/>
      <c r="G111" s="265"/>
      <c r="H111" s="509"/>
      <c r="I111" s="166" t="e">
        <f t="shared" si="60"/>
        <v>#DIV/0!</v>
      </c>
      <c r="J111" s="166" t="e">
        <f t="shared" si="60"/>
        <v>#DIV/0!</v>
      </c>
      <c r="K111" s="265" t="e">
        <f t="shared" si="60"/>
        <v>#DIV/0!</v>
      </c>
      <c r="L111" s="460"/>
      <c r="M111" s="166" t="e">
        <f>RANK(K111, K$67:$K$81)</f>
        <v>#DIV/0!</v>
      </c>
      <c r="N111" s="462"/>
      <c r="O111" s="462"/>
      <c r="P111" s="180"/>
      <c r="Q111" s="166"/>
      <c r="R111" s="166"/>
      <c r="S111" s="180" t="e">
        <f t="shared" si="61"/>
        <v>#N/A</v>
      </c>
      <c r="T111" s="486"/>
      <c r="U111" s="180"/>
      <c r="V111" s="166"/>
      <c r="W111" s="166"/>
      <c r="X111" s="180" t="e">
        <f t="shared" si="62"/>
        <v>#N/A</v>
      </c>
      <c r="Y111" s="486"/>
      <c r="Z111" s="180"/>
      <c r="AA111" s="166"/>
      <c r="AB111" s="166"/>
      <c r="AC111" s="180" t="e">
        <f t="shared" si="63"/>
        <v>#N/A</v>
      </c>
      <c r="AD111" s="486"/>
      <c r="AE111" s="180"/>
      <c r="AF111" s="166"/>
      <c r="AG111" s="166"/>
      <c r="AH111" s="180" t="e">
        <f t="shared" si="64"/>
        <v>#N/A</v>
      </c>
      <c r="AI111" s="486"/>
      <c r="AJ111" s="180"/>
      <c r="AK111" s="166"/>
      <c r="AL111" s="166"/>
      <c r="AM111" s="180" t="e">
        <f t="shared" si="65"/>
        <v>#N/A</v>
      </c>
      <c r="AN111" s="486"/>
      <c r="AO111" s="180"/>
      <c r="AP111" s="166"/>
      <c r="AQ111" s="166"/>
      <c r="AR111" s="180" t="e">
        <f t="shared" si="66"/>
        <v>#N/A</v>
      </c>
      <c r="AS111" s="486"/>
      <c r="AT111" s="180"/>
      <c r="AU111" s="265"/>
      <c r="AV111" s="265"/>
      <c r="AW111" s="180" t="e">
        <f t="shared" si="67"/>
        <v>#N/A</v>
      </c>
      <c r="AX111" s="486"/>
    </row>
    <row r="112" spans="2:50">
      <c r="B112" s="479"/>
      <c r="C112" s="180">
        <v>6</v>
      </c>
      <c r="D112" s="201"/>
      <c r="E112" s="166"/>
      <c r="F112" s="180"/>
      <c r="G112" s="265"/>
      <c r="H112" s="509"/>
      <c r="I112" s="166"/>
      <c r="J112" s="166"/>
      <c r="K112" s="265"/>
      <c r="L112" s="460"/>
      <c r="M112" s="166" t="e">
        <f>RANK(K112, K$67:$K$81)</f>
        <v>#N/A</v>
      </c>
      <c r="N112" s="462"/>
      <c r="O112" s="462"/>
      <c r="P112" s="180"/>
      <c r="Q112" s="166"/>
      <c r="R112" s="166"/>
      <c r="S112" s="180" t="e">
        <f t="shared" si="61"/>
        <v>#N/A</v>
      </c>
      <c r="T112" s="486"/>
      <c r="U112" s="180"/>
      <c r="V112" s="166"/>
      <c r="W112" s="166"/>
      <c r="X112" s="180" t="e">
        <f t="shared" si="62"/>
        <v>#N/A</v>
      </c>
      <c r="Y112" s="486"/>
      <c r="Z112" s="180"/>
      <c r="AA112" s="166"/>
      <c r="AB112" s="166"/>
      <c r="AC112" s="180" t="e">
        <f t="shared" si="63"/>
        <v>#N/A</v>
      </c>
      <c r="AD112" s="486"/>
      <c r="AE112" s="180"/>
      <c r="AF112" s="166"/>
      <c r="AG112" s="166"/>
      <c r="AH112" s="180" t="e">
        <f t="shared" si="64"/>
        <v>#N/A</v>
      </c>
      <c r="AI112" s="486"/>
      <c r="AJ112" s="180"/>
      <c r="AK112" s="166"/>
      <c r="AL112" s="166"/>
      <c r="AM112" s="180" t="e">
        <f t="shared" si="65"/>
        <v>#N/A</v>
      </c>
      <c r="AN112" s="486"/>
      <c r="AO112" s="180"/>
      <c r="AP112" s="166"/>
      <c r="AQ112" s="166"/>
      <c r="AR112" s="180" t="e">
        <f t="shared" si="66"/>
        <v>#N/A</v>
      </c>
      <c r="AS112" s="486"/>
      <c r="AT112" s="180"/>
      <c r="AU112" s="265"/>
      <c r="AV112" s="265"/>
      <c r="AW112" s="180" t="e">
        <f t="shared" si="67"/>
        <v>#N/A</v>
      </c>
      <c r="AX112" s="486"/>
    </row>
    <row r="113" spans="2:50">
      <c r="B113" s="479"/>
      <c r="C113" s="180">
        <v>7</v>
      </c>
      <c r="D113" s="201"/>
      <c r="E113" s="166"/>
      <c r="F113" s="180"/>
      <c r="G113" s="265"/>
      <c r="H113" s="509"/>
      <c r="I113" s="166"/>
      <c r="J113" s="166"/>
      <c r="K113" s="265"/>
      <c r="L113" s="460"/>
      <c r="M113" s="166" t="e">
        <f>RANK(K113, K$67:$K$81)</f>
        <v>#N/A</v>
      </c>
      <c r="N113" s="462"/>
      <c r="O113" s="462"/>
      <c r="P113" s="180"/>
      <c r="Q113" s="166"/>
      <c r="R113" s="166"/>
      <c r="S113" s="180" t="e">
        <f t="shared" si="61"/>
        <v>#N/A</v>
      </c>
      <c r="T113" s="486"/>
      <c r="U113" s="180"/>
      <c r="V113" s="166"/>
      <c r="W113" s="166"/>
      <c r="X113" s="180" t="e">
        <f t="shared" si="62"/>
        <v>#N/A</v>
      </c>
      <c r="Y113" s="486"/>
      <c r="Z113" s="180"/>
      <c r="AA113" s="166"/>
      <c r="AB113" s="166"/>
      <c r="AC113" s="180" t="e">
        <f t="shared" si="63"/>
        <v>#N/A</v>
      </c>
      <c r="AD113" s="486"/>
      <c r="AE113" s="180"/>
      <c r="AF113" s="166"/>
      <c r="AG113" s="166"/>
      <c r="AH113" s="180" t="e">
        <f t="shared" si="64"/>
        <v>#N/A</v>
      </c>
      <c r="AI113" s="486"/>
      <c r="AJ113" s="180"/>
      <c r="AK113" s="166"/>
      <c r="AL113" s="166"/>
      <c r="AM113" s="180" t="e">
        <f t="shared" si="65"/>
        <v>#N/A</v>
      </c>
      <c r="AN113" s="486"/>
      <c r="AO113" s="180"/>
      <c r="AP113" s="166"/>
      <c r="AQ113" s="166"/>
      <c r="AR113" s="180" t="e">
        <f t="shared" si="66"/>
        <v>#N/A</v>
      </c>
      <c r="AS113" s="486"/>
      <c r="AT113" s="180"/>
      <c r="AU113" s="265"/>
      <c r="AV113" s="265"/>
      <c r="AW113" s="180" t="e">
        <f t="shared" si="67"/>
        <v>#N/A</v>
      </c>
      <c r="AX113" s="486"/>
    </row>
    <row r="114" spans="2:50">
      <c r="B114" s="479"/>
      <c r="C114" s="180">
        <v>8</v>
      </c>
      <c r="D114" s="201"/>
      <c r="E114" s="166"/>
      <c r="F114" s="180"/>
      <c r="G114" s="265"/>
      <c r="H114" s="509"/>
      <c r="I114" s="166"/>
      <c r="J114" s="166"/>
      <c r="K114" s="265"/>
      <c r="L114" s="460"/>
      <c r="M114" s="166" t="e">
        <f>RANK(K114, K$67:$K$81)</f>
        <v>#N/A</v>
      </c>
      <c r="N114" s="462"/>
      <c r="O114" s="462"/>
      <c r="P114" s="180"/>
      <c r="Q114" s="166"/>
      <c r="R114" s="166"/>
      <c r="S114" s="180" t="e">
        <f t="shared" si="61"/>
        <v>#N/A</v>
      </c>
      <c r="T114" s="486"/>
      <c r="U114" s="180"/>
      <c r="V114" s="166"/>
      <c r="W114" s="166"/>
      <c r="X114" s="180" t="e">
        <f t="shared" si="62"/>
        <v>#N/A</v>
      </c>
      <c r="Y114" s="486"/>
      <c r="Z114" s="180"/>
      <c r="AA114" s="166"/>
      <c r="AB114" s="166"/>
      <c r="AC114" s="180" t="e">
        <f t="shared" si="63"/>
        <v>#N/A</v>
      </c>
      <c r="AD114" s="486"/>
      <c r="AE114" s="180"/>
      <c r="AF114" s="166"/>
      <c r="AG114" s="166"/>
      <c r="AH114" s="180" t="e">
        <f t="shared" si="64"/>
        <v>#N/A</v>
      </c>
      <c r="AI114" s="486"/>
      <c r="AJ114" s="180"/>
      <c r="AK114" s="166"/>
      <c r="AL114" s="166"/>
      <c r="AM114" s="180" t="e">
        <f t="shared" si="65"/>
        <v>#N/A</v>
      </c>
      <c r="AN114" s="486"/>
      <c r="AO114" s="180"/>
      <c r="AP114" s="166"/>
      <c r="AQ114" s="166"/>
      <c r="AR114" s="180" t="e">
        <f t="shared" si="66"/>
        <v>#N/A</v>
      </c>
      <c r="AS114" s="486"/>
      <c r="AT114" s="180"/>
      <c r="AU114" s="265"/>
      <c r="AV114" s="265"/>
      <c r="AW114" s="180" t="e">
        <f t="shared" si="67"/>
        <v>#N/A</v>
      </c>
      <c r="AX114" s="486"/>
    </row>
    <row r="115" spans="2:50">
      <c r="B115" s="479"/>
      <c r="C115" s="180">
        <v>9</v>
      </c>
      <c r="D115" s="201"/>
      <c r="E115" s="166"/>
      <c r="F115" s="180"/>
      <c r="G115" s="265"/>
      <c r="H115" s="509"/>
      <c r="I115" s="166"/>
      <c r="J115" s="166"/>
      <c r="K115" s="265"/>
      <c r="L115" s="460"/>
      <c r="M115" s="166" t="e">
        <f>RANK(K115, K$67:$K$81)</f>
        <v>#N/A</v>
      </c>
      <c r="N115" s="462"/>
      <c r="O115" s="462"/>
      <c r="P115" s="180"/>
      <c r="Q115" s="166"/>
      <c r="R115" s="166"/>
      <c r="S115" s="180" t="e">
        <f t="shared" si="61"/>
        <v>#N/A</v>
      </c>
      <c r="T115" s="486"/>
      <c r="U115" s="180"/>
      <c r="V115" s="166"/>
      <c r="W115" s="166"/>
      <c r="X115" s="180" t="e">
        <f t="shared" si="62"/>
        <v>#N/A</v>
      </c>
      <c r="Y115" s="486"/>
      <c r="Z115" s="180"/>
      <c r="AA115" s="166"/>
      <c r="AB115" s="166"/>
      <c r="AC115" s="180" t="e">
        <f t="shared" si="63"/>
        <v>#N/A</v>
      </c>
      <c r="AD115" s="486"/>
      <c r="AE115" s="180"/>
      <c r="AF115" s="166"/>
      <c r="AG115" s="166"/>
      <c r="AH115" s="180" t="e">
        <f t="shared" si="64"/>
        <v>#N/A</v>
      </c>
      <c r="AI115" s="486"/>
      <c r="AJ115" s="180"/>
      <c r="AK115" s="166"/>
      <c r="AL115" s="166"/>
      <c r="AM115" s="180" t="e">
        <f t="shared" si="65"/>
        <v>#N/A</v>
      </c>
      <c r="AN115" s="486"/>
      <c r="AO115" s="180"/>
      <c r="AP115" s="166"/>
      <c r="AQ115" s="166"/>
      <c r="AR115" s="180" t="e">
        <f t="shared" si="66"/>
        <v>#N/A</v>
      </c>
      <c r="AS115" s="486"/>
      <c r="AT115" s="180"/>
      <c r="AU115" s="265"/>
      <c r="AV115" s="265"/>
      <c r="AW115" s="180" t="e">
        <f t="shared" si="67"/>
        <v>#N/A</v>
      </c>
      <c r="AX115" s="486"/>
    </row>
    <row r="116" spans="2:50">
      <c r="B116" s="479"/>
      <c r="C116" s="180">
        <v>10</v>
      </c>
      <c r="D116" s="201"/>
      <c r="E116" s="166"/>
      <c r="F116" s="180"/>
      <c r="G116" s="265"/>
      <c r="H116" s="509"/>
      <c r="I116" s="166"/>
      <c r="J116" s="166"/>
      <c r="K116" s="265"/>
      <c r="L116" s="460"/>
      <c r="M116" s="166" t="e">
        <f>RANK(K116, K$67:$K$81)</f>
        <v>#N/A</v>
      </c>
      <c r="N116" s="462"/>
      <c r="O116" s="462"/>
      <c r="P116" s="180"/>
      <c r="Q116" s="166"/>
      <c r="R116" s="166"/>
      <c r="S116" s="180" t="e">
        <f t="shared" si="61"/>
        <v>#N/A</v>
      </c>
      <c r="T116" s="486"/>
      <c r="U116" s="180"/>
      <c r="V116" s="166"/>
      <c r="W116" s="166"/>
      <c r="X116" s="180" t="e">
        <f t="shared" si="62"/>
        <v>#N/A</v>
      </c>
      <c r="Y116" s="486"/>
      <c r="Z116" s="180"/>
      <c r="AA116" s="166"/>
      <c r="AB116" s="166"/>
      <c r="AC116" s="180" t="e">
        <f t="shared" si="63"/>
        <v>#N/A</v>
      </c>
      <c r="AD116" s="486"/>
      <c r="AE116" s="180"/>
      <c r="AF116" s="166"/>
      <c r="AG116" s="166"/>
      <c r="AH116" s="180" t="e">
        <f t="shared" si="64"/>
        <v>#N/A</v>
      </c>
      <c r="AI116" s="486"/>
      <c r="AJ116" s="180"/>
      <c r="AK116" s="166"/>
      <c r="AL116" s="166"/>
      <c r="AM116" s="180" t="e">
        <f t="shared" si="65"/>
        <v>#N/A</v>
      </c>
      <c r="AN116" s="486"/>
      <c r="AO116" s="180"/>
      <c r="AP116" s="166"/>
      <c r="AQ116" s="166"/>
      <c r="AR116" s="180" t="e">
        <f t="shared" si="66"/>
        <v>#N/A</v>
      </c>
      <c r="AS116" s="486"/>
      <c r="AT116" s="180"/>
      <c r="AU116" s="180"/>
      <c r="AV116" s="265"/>
      <c r="AW116" s="180" t="e">
        <f t="shared" si="67"/>
        <v>#N/A</v>
      </c>
      <c r="AX116" s="486"/>
    </row>
    <row r="117" spans="2:50">
      <c r="B117" s="479"/>
      <c r="C117" s="180">
        <v>11</v>
      </c>
      <c r="D117" s="201"/>
      <c r="E117" s="166"/>
      <c r="F117" s="180"/>
      <c r="G117" s="265"/>
      <c r="H117" s="509"/>
      <c r="I117" s="180"/>
      <c r="J117" s="180"/>
      <c r="K117" s="180"/>
      <c r="L117" s="460"/>
      <c r="M117" s="166" t="e">
        <f>RANK(K117, K$67:$K$81)</f>
        <v>#N/A</v>
      </c>
      <c r="N117" s="462"/>
      <c r="O117" s="462"/>
      <c r="P117" s="180"/>
      <c r="Q117" s="166"/>
      <c r="R117" s="166"/>
      <c r="S117" s="180" t="e">
        <f t="shared" si="61"/>
        <v>#N/A</v>
      </c>
      <c r="T117" s="486"/>
      <c r="U117" s="180"/>
      <c r="V117" s="166"/>
      <c r="W117" s="166"/>
      <c r="X117" s="180" t="e">
        <f t="shared" si="62"/>
        <v>#N/A</v>
      </c>
      <c r="Y117" s="486"/>
      <c r="Z117" s="180"/>
      <c r="AA117" s="166"/>
      <c r="AB117" s="166"/>
      <c r="AC117" s="180" t="e">
        <f t="shared" si="63"/>
        <v>#N/A</v>
      </c>
      <c r="AD117" s="486"/>
      <c r="AE117" s="180"/>
      <c r="AF117" s="166"/>
      <c r="AG117" s="166"/>
      <c r="AH117" s="180" t="e">
        <f t="shared" si="64"/>
        <v>#N/A</v>
      </c>
      <c r="AI117" s="486"/>
      <c r="AJ117" s="180"/>
      <c r="AK117" s="166"/>
      <c r="AL117" s="166"/>
      <c r="AM117" s="180" t="e">
        <f t="shared" si="65"/>
        <v>#N/A</v>
      </c>
      <c r="AN117" s="486"/>
      <c r="AO117" s="180"/>
      <c r="AP117" s="166"/>
      <c r="AQ117" s="166"/>
      <c r="AR117" s="180" t="e">
        <f t="shared" si="66"/>
        <v>#N/A</v>
      </c>
      <c r="AS117" s="486"/>
      <c r="AT117" s="180"/>
      <c r="AU117" s="180"/>
      <c r="AV117" s="180"/>
      <c r="AW117" s="180" t="e">
        <f t="shared" si="67"/>
        <v>#N/A</v>
      </c>
      <c r="AX117" s="486"/>
    </row>
    <row r="118" spans="2:50">
      <c r="B118" s="479"/>
      <c r="C118" s="180">
        <v>12</v>
      </c>
      <c r="D118" s="201"/>
      <c r="E118" s="166"/>
      <c r="F118" s="180"/>
      <c r="G118" s="265"/>
      <c r="H118" s="509"/>
      <c r="I118" s="180"/>
      <c r="J118" s="180"/>
      <c r="K118" s="180"/>
      <c r="L118" s="460"/>
      <c r="M118" s="166" t="e">
        <f>RANK(K118, K$67:$K$81)</f>
        <v>#N/A</v>
      </c>
      <c r="N118" s="462"/>
      <c r="O118" s="462"/>
      <c r="P118" s="180"/>
      <c r="Q118" s="166"/>
      <c r="R118" s="166"/>
      <c r="S118" s="180" t="e">
        <f t="shared" si="61"/>
        <v>#N/A</v>
      </c>
      <c r="T118" s="486"/>
      <c r="U118" s="180"/>
      <c r="V118" s="166"/>
      <c r="W118" s="166"/>
      <c r="X118" s="180" t="e">
        <f t="shared" si="62"/>
        <v>#N/A</v>
      </c>
      <c r="Y118" s="486"/>
      <c r="Z118" s="180"/>
      <c r="AA118" s="166"/>
      <c r="AB118" s="166"/>
      <c r="AC118" s="180" t="e">
        <f t="shared" si="63"/>
        <v>#N/A</v>
      </c>
      <c r="AD118" s="486"/>
      <c r="AE118" s="180"/>
      <c r="AF118" s="166"/>
      <c r="AG118" s="166"/>
      <c r="AH118" s="180" t="e">
        <f t="shared" si="64"/>
        <v>#N/A</v>
      </c>
      <c r="AI118" s="486"/>
      <c r="AJ118" s="180"/>
      <c r="AK118" s="166"/>
      <c r="AL118" s="166"/>
      <c r="AM118" s="180" t="e">
        <f t="shared" si="65"/>
        <v>#N/A</v>
      </c>
      <c r="AN118" s="486"/>
      <c r="AO118" s="180"/>
      <c r="AP118" s="166"/>
      <c r="AQ118" s="166"/>
      <c r="AR118" s="180" t="e">
        <f t="shared" si="66"/>
        <v>#N/A</v>
      </c>
      <c r="AS118" s="486"/>
      <c r="AT118" s="180"/>
      <c r="AU118" s="180"/>
      <c r="AV118" s="180"/>
      <c r="AW118" s="180" t="e">
        <f t="shared" si="67"/>
        <v>#N/A</v>
      </c>
      <c r="AX118" s="486"/>
    </row>
    <row r="119" spans="2:50">
      <c r="B119" s="479"/>
      <c r="C119" s="180">
        <v>13</v>
      </c>
      <c r="D119" s="201"/>
      <c r="E119" s="166"/>
      <c r="F119" s="180"/>
      <c r="G119" s="265"/>
      <c r="H119" s="509"/>
      <c r="I119" s="180"/>
      <c r="J119" s="180"/>
      <c r="K119" s="180"/>
      <c r="L119" s="460"/>
      <c r="M119" s="166" t="e">
        <f>RANK(K119, K$67:$K$81)</f>
        <v>#N/A</v>
      </c>
      <c r="N119" s="462"/>
      <c r="O119" s="462"/>
      <c r="P119" s="180"/>
      <c r="Q119" s="166"/>
      <c r="R119" s="166"/>
      <c r="S119" s="180" t="e">
        <f t="shared" si="61"/>
        <v>#N/A</v>
      </c>
      <c r="T119" s="486"/>
      <c r="U119" s="180"/>
      <c r="V119" s="166"/>
      <c r="W119" s="166"/>
      <c r="X119" s="180" t="e">
        <f t="shared" si="62"/>
        <v>#N/A</v>
      </c>
      <c r="Y119" s="486"/>
      <c r="Z119" s="180"/>
      <c r="AA119" s="166"/>
      <c r="AB119" s="166"/>
      <c r="AC119" s="180" t="e">
        <f t="shared" si="63"/>
        <v>#N/A</v>
      </c>
      <c r="AD119" s="486"/>
      <c r="AE119" s="180"/>
      <c r="AF119" s="166"/>
      <c r="AG119" s="166"/>
      <c r="AH119" s="180" t="e">
        <f t="shared" si="64"/>
        <v>#N/A</v>
      </c>
      <c r="AI119" s="486"/>
      <c r="AJ119" s="180"/>
      <c r="AK119" s="166"/>
      <c r="AL119" s="166"/>
      <c r="AM119" s="180" t="e">
        <f t="shared" si="65"/>
        <v>#N/A</v>
      </c>
      <c r="AN119" s="486"/>
      <c r="AO119" s="180"/>
      <c r="AP119" s="166"/>
      <c r="AQ119" s="166"/>
      <c r="AR119" s="180" t="e">
        <f t="shared" si="66"/>
        <v>#N/A</v>
      </c>
      <c r="AS119" s="486"/>
      <c r="AT119" s="180"/>
      <c r="AU119" s="180"/>
      <c r="AV119" s="180"/>
      <c r="AW119" s="180" t="e">
        <f t="shared" si="67"/>
        <v>#N/A</v>
      </c>
      <c r="AX119" s="486"/>
    </row>
    <row r="120" spans="2:50">
      <c r="B120" s="479"/>
      <c r="C120" s="180">
        <v>14</v>
      </c>
      <c r="D120" s="201"/>
      <c r="E120" s="166"/>
      <c r="F120" s="180"/>
      <c r="G120" s="265"/>
      <c r="H120" s="509"/>
      <c r="I120" s="180"/>
      <c r="J120" s="180"/>
      <c r="K120" s="180"/>
      <c r="L120" s="460"/>
      <c r="M120" s="166" t="e">
        <f>RANK(K120, K$67:$K$81)</f>
        <v>#N/A</v>
      </c>
      <c r="N120" s="462"/>
      <c r="O120" s="462"/>
      <c r="P120" s="180"/>
      <c r="Q120" s="166"/>
      <c r="R120" s="166"/>
      <c r="S120" s="180" t="e">
        <f t="shared" si="61"/>
        <v>#N/A</v>
      </c>
      <c r="T120" s="486"/>
      <c r="U120" s="180"/>
      <c r="V120" s="166"/>
      <c r="W120" s="166"/>
      <c r="X120" s="180" t="e">
        <f t="shared" si="62"/>
        <v>#N/A</v>
      </c>
      <c r="Y120" s="486"/>
      <c r="Z120" s="180"/>
      <c r="AA120" s="166"/>
      <c r="AB120" s="166"/>
      <c r="AC120" s="180" t="e">
        <f t="shared" si="63"/>
        <v>#N/A</v>
      </c>
      <c r="AD120" s="486"/>
      <c r="AE120" s="180"/>
      <c r="AF120" s="166"/>
      <c r="AG120" s="166"/>
      <c r="AH120" s="180" t="e">
        <f t="shared" si="64"/>
        <v>#N/A</v>
      </c>
      <c r="AI120" s="486"/>
      <c r="AJ120" s="180"/>
      <c r="AK120" s="166"/>
      <c r="AL120" s="166"/>
      <c r="AM120" s="180" t="e">
        <f t="shared" si="65"/>
        <v>#N/A</v>
      </c>
      <c r="AN120" s="486"/>
      <c r="AO120" s="180"/>
      <c r="AP120" s="166"/>
      <c r="AQ120" s="166"/>
      <c r="AR120" s="180" t="e">
        <f t="shared" si="66"/>
        <v>#N/A</v>
      </c>
      <c r="AS120" s="486"/>
      <c r="AT120" s="180"/>
      <c r="AU120" s="180"/>
      <c r="AV120" s="180"/>
      <c r="AW120" s="180" t="e">
        <f t="shared" si="67"/>
        <v>#N/A</v>
      </c>
      <c r="AX120" s="486"/>
    </row>
    <row r="121" spans="2:50">
      <c r="B121" s="479"/>
      <c r="C121" s="180">
        <v>15</v>
      </c>
      <c r="D121" s="201"/>
      <c r="E121" s="166"/>
      <c r="F121" s="180"/>
      <c r="G121" s="265"/>
      <c r="H121" s="510"/>
      <c r="I121" s="180"/>
      <c r="J121" s="180"/>
      <c r="K121" s="180"/>
      <c r="L121" s="461"/>
      <c r="M121" s="166" t="e">
        <f>RANK(K121, K$47:$K$61)</f>
        <v>#N/A</v>
      </c>
      <c r="N121" s="462"/>
      <c r="O121" s="462"/>
      <c r="P121" s="180"/>
      <c r="Q121" s="166"/>
      <c r="R121" s="166"/>
      <c r="S121" s="180" t="e">
        <f t="shared" si="61"/>
        <v>#N/A</v>
      </c>
      <c r="T121" s="486"/>
      <c r="U121" s="180"/>
      <c r="V121" s="166"/>
      <c r="W121" s="166"/>
      <c r="X121" s="180" t="e">
        <f t="shared" si="62"/>
        <v>#N/A</v>
      </c>
      <c r="Y121" s="486"/>
      <c r="Z121" s="180"/>
      <c r="AA121" s="166"/>
      <c r="AB121" s="166"/>
      <c r="AC121" s="180" t="e">
        <f t="shared" si="63"/>
        <v>#N/A</v>
      </c>
      <c r="AD121" s="486"/>
      <c r="AE121" s="180"/>
      <c r="AF121" s="166"/>
      <c r="AG121" s="166"/>
      <c r="AH121" s="180" t="e">
        <f t="shared" si="64"/>
        <v>#N/A</v>
      </c>
      <c r="AI121" s="486"/>
      <c r="AJ121" s="180"/>
      <c r="AK121" s="166"/>
      <c r="AL121" s="166"/>
      <c r="AM121" s="180" t="e">
        <f t="shared" si="65"/>
        <v>#N/A</v>
      </c>
      <c r="AN121" s="486"/>
      <c r="AO121" s="180"/>
      <c r="AP121" s="166"/>
      <c r="AQ121" s="166"/>
      <c r="AR121" s="180" t="e">
        <f t="shared" si="66"/>
        <v>#N/A</v>
      </c>
      <c r="AS121" s="486"/>
      <c r="AT121" s="180"/>
      <c r="AU121" s="180"/>
      <c r="AV121" s="180"/>
      <c r="AW121" s="180" t="e">
        <f t="shared" si="67"/>
        <v>#N/A</v>
      </c>
      <c r="AX121" s="486"/>
    </row>
    <row r="123" spans="2:50" ht="15.75">
      <c r="B123" s="502" t="s">
        <v>746</v>
      </c>
      <c r="C123" s="503"/>
      <c r="D123" s="503"/>
      <c r="E123" s="503"/>
      <c r="F123" s="503"/>
      <c r="G123" s="503"/>
      <c r="H123" s="503"/>
      <c r="I123" s="266"/>
      <c r="J123" s="266"/>
      <c r="K123" s="266"/>
      <c r="L123" s="266"/>
      <c r="M123" s="267"/>
    </row>
    <row r="124" spans="2:50" ht="15.75">
      <c r="B124" s="504"/>
      <c r="C124" s="504"/>
      <c r="D124" s="504"/>
      <c r="E124" s="504"/>
      <c r="F124" s="504"/>
      <c r="G124" s="504"/>
      <c r="H124" s="504"/>
      <c r="I124" s="268"/>
      <c r="J124" s="268"/>
      <c r="K124" s="268"/>
      <c r="L124" s="268"/>
      <c r="M124" s="269"/>
    </row>
    <row r="125" spans="2:50">
      <c r="B125" s="462" t="s">
        <v>731</v>
      </c>
      <c r="C125" s="462" t="s">
        <v>732</v>
      </c>
      <c r="D125" s="462"/>
      <c r="E125" s="462" t="s">
        <v>733</v>
      </c>
      <c r="F125" s="462"/>
      <c r="G125" s="462"/>
      <c r="H125" s="463" t="s">
        <v>734</v>
      </c>
      <c r="I125" s="505" t="s">
        <v>735</v>
      </c>
      <c r="J125" s="505"/>
      <c r="K125" s="505"/>
      <c r="L125" s="519" t="s">
        <v>734</v>
      </c>
      <c r="M125" s="522" t="s">
        <v>736</v>
      </c>
    </row>
    <row r="126" spans="2:50">
      <c r="B126" s="462"/>
      <c r="C126" s="462"/>
      <c r="D126" s="462"/>
      <c r="E126" s="462" t="s">
        <v>739</v>
      </c>
      <c r="F126" s="462"/>
      <c r="G126" s="462"/>
      <c r="H126" s="464"/>
      <c r="I126" s="505" t="s">
        <v>739</v>
      </c>
      <c r="J126" s="505"/>
      <c r="K126" s="505"/>
      <c r="L126" s="520"/>
      <c r="M126" s="523"/>
    </row>
    <row r="127" spans="2:50">
      <c r="B127" s="462"/>
      <c r="C127" s="462"/>
      <c r="D127" s="462"/>
      <c r="E127" s="264" t="s">
        <v>741</v>
      </c>
      <c r="F127" s="264" t="s">
        <v>742</v>
      </c>
      <c r="G127" s="264" t="s">
        <v>743</v>
      </c>
      <c r="H127" s="465"/>
      <c r="I127" s="270" t="s">
        <v>741</v>
      </c>
      <c r="J127" s="270" t="s">
        <v>742</v>
      </c>
      <c r="K127" s="270" t="s">
        <v>743</v>
      </c>
      <c r="L127" s="521"/>
      <c r="M127" s="524"/>
    </row>
    <row r="128" spans="2:50">
      <c r="B128" s="462" t="s">
        <v>757</v>
      </c>
      <c r="C128" s="180">
        <v>1</v>
      </c>
      <c r="D128" s="201"/>
      <c r="E128" s="166"/>
      <c r="F128" s="180"/>
      <c r="G128" s="265"/>
      <c r="H128" s="459" t="e">
        <f>AVERAGE(G128:G142)</f>
        <v>#DIV/0!</v>
      </c>
      <c r="I128" s="166" t="e">
        <f t="shared" ref="I128:J132" si="68">AVERAGEIF($D$7:$D$121,$D128,I$7:I$121)</f>
        <v>#DIV/0!</v>
      </c>
      <c r="J128" s="166" t="e">
        <f t="shared" si="68"/>
        <v>#DIV/0!</v>
      </c>
      <c r="K128" s="166" t="e">
        <f>AVERAGEIF($D$7:$D$121,$D128,K$7:K$121)</f>
        <v>#DIV/0!</v>
      </c>
      <c r="L128" s="516" t="e">
        <f>AVERAGE(K128:K142)</f>
        <v>#DIV/0!</v>
      </c>
      <c r="M128" s="166" t="e">
        <f>RANK(K128, K$128:$K$142)</f>
        <v>#DIV/0!</v>
      </c>
    </row>
    <row r="129" spans="2:13" s="103" customFormat="1">
      <c r="B129" s="479"/>
      <c r="C129" s="180">
        <v>2</v>
      </c>
      <c r="D129" s="201"/>
      <c r="E129" s="166"/>
      <c r="F129" s="180"/>
      <c r="G129" s="265"/>
      <c r="H129" s="460"/>
      <c r="I129" s="166" t="e">
        <f t="shared" si="68"/>
        <v>#DIV/0!</v>
      </c>
      <c r="J129" s="166" t="e">
        <f t="shared" si="68"/>
        <v>#DIV/0!</v>
      </c>
      <c r="K129" s="166" t="e">
        <f>AVERAGEIF($D$7:$D$121,$D129,K$7:K$121)</f>
        <v>#DIV/0!</v>
      </c>
      <c r="L129" s="517"/>
      <c r="M129" s="166" t="e">
        <f>RANK(K129, K$128:$K$142)</f>
        <v>#DIV/0!</v>
      </c>
    </row>
    <row r="130" spans="2:13" s="103" customFormat="1">
      <c r="B130" s="479"/>
      <c r="C130" s="180">
        <v>3</v>
      </c>
      <c r="D130" s="201"/>
      <c r="E130" s="166"/>
      <c r="F130" s="180"/>
      <c r="G130" s="265"/>
      <c r="H130" s="460"/>
      <c r="I130" s="166" t="e">
        <f t="shared" si="68"/>
        <v>#DIV/0!</v>
      </c>
      <c r="J130" s="166" t="e">
        <f t="shared" si="68"/>
        <v>#DIV/0!</v>
      </c>
      <c r="K130" s="166" t="e">
        <f>AVERAGEIF($D$7:$D$121,$D130,K$7:K$121)</f>
        <v>#DIV/0!</v>
      </c>
      <c r="L130" s="517"/>
      <c r="M130" s="166" t="e">
        <f>RANK(K130, K$128:$K$142)</f>
        <v>#DIV/0!</v>
      </c>
    </row>
    <row r="131" spans="2:13" s="103" customFormat="1">
      <c r="B131" s="479"/>
      <c r="C131" s="180">
        <v>4</v>
      </c>
      <c r="D131" s="201"/>
      <c r="E131" s="166"/>
      <c r="F131" s="180"/>
      <c r="G131" s="265"/>
      <c r="H131" s="460"/>
      <c r="I131" s="166" t="e">
        <f t="shared" si="68"/>
        <v>#DIV/0!</v>
      </c>
      <c r="J131" s="166" t="e">
        <f t="shared" si="68"/>
        <v>#DIV/0!</v>
      </c>
      <c r="K131" s="166" t="e">
        <f>AVERAGEIF($D$7:$D$121,$D131,K$7:K$121)</f>
        <v>#DIV/0!</v>
      </c>
      <c r="L131" s="517"/>
      <c r="M131" s="166" t="e">
        <f>RANK(K131, K$128:$K$142)</f>
        <v>#DIV/0!</v>
      </c>
    </row>
    <row r="132" spans="2:13" s="103" customFormat="1">
      <c r="B132" s="479"/>
      <c r="C132" s="180">
        <v>5</v>
      </c>
      <c r="D132" s="201"/>
      <c r="E132" s="166"/>
      <c r="F132" s="180"/>
      <c r="G132" s="265"/>
      <c r="H132" s="460"/>
      <c r="I132" s="166" t="e">
        <f t="shared" si="68"/>
        <v>#DIV/0!</v>
      </c>
      <c r="J132" s="166" t="e">
        <f t="shared" si="68"/>
        <v>#DIV/0!</v>
      </c>
      <c r="K132" s="166" t="e">
        <f>AVERAGEIF($D$7:$D$121,$D132,K$7:K$121)</f>
        <v>#DIV/0!</v>
      </c>
      <c r="L132" s="517"/>
      <c r="M132" s="166" t="e">
        <f>RANK(K132, K$128:$K$142)</f>
        <v>#DIV/0!</v>
      </c>
    </row>
    <row r="133" spans="2:13" s="103" customFormat="1">
      <c r="B133" s="479"/>
      <c r="C133" s="180">
        <v>6</v>
      </c>
      <c r="D133" s="271"/>
      <c r="E133" s="166"/>
      <c r="F133" s="180"/>
      <c r="G133" s="265"/>
      <c r="H133" s="460"/>
      <c r="I133" s="166"/>
      <c r="J133" s="166"/>
      <c r="K133" s="166"/>
      <c r="L133" s="517"/>
      <c r="M133" s="166" t="e">
        <f>RANK(K133, K$128:$K$142)</f>
        <v>#DIV/0!</v>
      </c>
    </row>
    <row r="134" spans="2:13" s="103" customFormat="1">
      <c r="B134" s="479"/>
      <c r="C134" s="180">
        <v>7</v>
      </c>
      <c r="D134" s="201"/>
      <c r="E134" s="166"/>
      <c r="F134" s="180"/>
      <c r="G134" s="265"/>
      <c r="H134" s="460"/>
      <c r="I134" s="166"/>
      <c r="J134" s="166"/>
      <c r="K134" s="166"/>
      <c r="L134" s="517"/>
      <c r="M134" s="166" t="e">
        <f>RANK(K134, K$128:$K$142)</f>
        <v>#DIV/0!</v>
      </c>
    </row>
    <row r="135" spans="2:13" s="103" customFormat="1">
      <c r="B135" s="479"/>
      <c r="C135" s="180">
        <v>8</v>
      </c>
      <c r="D135" s="201"/>
      <c r="E135" s="166"/>
      <c r="F135" s="180"/>
      <c r="G135" s="265"/>
      <c r="H135" s="460"/>
      <c r="I135" s="166"/>
      <c r="J135" s="166"/>
      <c r="K135" s="166"/>
      <c r="L135" s="517"/>
      <c r="M135" s="166" t="e">
        <f>RANK(K135, K$128:$K$142)</f>
        <v>#DIV/0!</v>
      </c>
    </row>
    <row r="136" spans="2:13" s="103" customFormat="1">
      <c r="B136" s="479"/>
      <c r="C136" s="180">
        <v>9</v>
      </c>
      <c r="D136" s="201"/>
      <c r="E136" s="180"/>
      <c r="F136" s="180"/>
      <c r="G136" s="180"/>
      <c r="H136" s="460"/>
      <c r="I136" s="166"/>
      <c r="J136" s="166"/>
      <c r="K136" s="166"/>
      <c r="L136" s="517"/>
      <c r="M136" s="166" t="e">
        <f>RANK(K136, K$128:$K$142)</f>
        <v>#DIV/0!</v>
      </c>
    </row>
    <row r="137" spans="2:13" s="103" customFormat="1">
      <c r="B137" s="479"/>
      <c r="C137" s="180">
        <v>10</v>
      </c>
      <c r="D137" s="201"/>
      <c r="E137" s="180"/>
      <c r="F137" s="180"/>
      <c r="G137" s="180"/>
      <c r="H137" s="460"/>
      <c r="I137" s="166"/>
      <c r="J137" s="166"/>
      <c r="K137" s="166"/>
      <c r="L137" s="517"/>
      <c r="M137" s="166" t="e">
        <f>RANK(K137, K$128:$K$142)</f>
        <v>#DIV/0!</v>
      </c>
    </row>
    <row r="138" spans="2:13" s="103" customFormat="1">
      <c r="B138" s="479"/>
      <c r="C138" s="180">
        <v>11</v>
      </c>
      <c r="D138" s="201"/>
      <c r="E138" s="180"/>
      <c r="F138" s="180"/>
      <c r="G138" s="180"/>
      <c r="H138" s="460"/>
      <c r="I138" s="166"/>
      <c r="J138" s="166"/>
      <c r="K138" s="166"/>
      <c r="L138" s="517"/>
      <c r="M138" s="166" t="e">
        <f>RANK(K138, K$128:$K$142)</f>
        <v>#DIV/0!</v>
      </c>
    </row>
    <row r="139" spans="2:13" s="103" customFormat="1">
      <c r="B139" s="479"/>
      <c r="C139" s="180">
        <v>12</v>
      </c>
      <c r="D139" s="201"/>
      <c r="E139" s="180"/>
      <c r="F139" s="180"/>
      <c r="G139" s="180"/>
      <c r="H139" s="460"/>
      <c r="I139" s="166"/>
      <c r="J139" s="166"/>
      <c r="K139" s="166"/>
      <c r="L139" s="517"/>
      <c r="M139" s="166" t="e">
        <f>RANK(K139, K$128:$K$142)</f>
        <v>#DIV/0!</v>
      </c>
    </row>
    <row r="140" spans="2:13" s="103" customFormat="1">
      <c r="B140" s="479"/>
      <c r="C140" s="180">
        <v>13</v>
      </c>
      <c r="D140" s="201"/>
      <c r="E140" s="180"/>
      <c r="F140" s="180"/>
      <c r="G140" s="180"/>
      <c r="H140" s="460"/>
      <c r="I140" s="166"/>
      <c r="J140" s="166"/>
      <c r="K140" s="166"/>
      <c r="L140" s="517"/>
      <c r="M140" s="166" t="e">
        <f>RANK(K140, K$128:$K$142)</f>
        <v>#DIV/0!</v>
      </c>
    </row>
    <row r="141" spans="2:13" s="103" customFormat="1">
      <c r="B141" s="479"/>
      <c r="C141" s="180">
        <v>14</v>
      </c>
      <c r="D141" s="201"/>
      <c r="E141" s="180"/>
      <c r="F141" s="180"/>
      <c r="G141" s="180"/>
      <c r="H141" s="460"/>
      <c r="I141" s="166"/>
      <c r="J141" s="166"/>
      <c r="K141" s="166"/>
      <c r="L141" s="517"/>
      <c r="M141" s="166" t="e">
        <f>RANK(K141, K$128:$K$142)</f>
        <v>#DIV/0!</v>
      </c>
    </row>
    <row r="142" spans="2:13" s="103" customFormat="1">
      <c r="B142" s="479"/>
      <c r="C142" s="180">
        <v>15</v>
      </c>
      <c r="D142" s="201"/>
      <c r="E142" s="180"/>
      <c r="F142" s="180"/>
      <c r="G142" s="180"/>
      <c r="H142" s="461"/>
      <c r="I142" s="166"/>
      <c r="J142" s="166"/>
      <c r="K142" s="166"/>
      <c r="L142" s="518"/>
      <c r="M142" s="166" t="e">
        <f>RANK(K142, K$128:$K$142)</f>
        <v>#DIV/0!</v>
      </c>
    </row>
  </sheetData>
  <mergeCells count="367">
    <mergeCell ref="B128:B142"/>
    <mergeCell ref="H128:H142"/>
    <mergeCell ref="L128:L142"/>
    <mergeCell ref="AX107:AX121"/>
    <mergeCell ref="E125:G125"/>
    <mergeCell ref="I125:K125"/>
    <mergeCell ref="B107:B121"/>
    <mergeCell ref="H107:H121"/>
    <mergeCell ref="L107:L121"/>
    <mergeCell ref="T107:T121"/>
    <mergeCell ref="Y107:Y121"/>
    <mergeCell ref="AD107:AD121"/>
    <mergeCell ref="AI107:AI121"/>
    <mergeCell ref="AN107:AN121"/>
    <mergeCell ref="AS107:AS121"/>
    <mergeCell ref="B123:H124"/>
    <mergeCell ref="B125:B127"/>
    <mergeCell ref="C125:D127"/>
    <mergeCell ref="H125:H127"/>
    <mergeCell ref="L125:L127"/>
    <mergeCell ref="M125:M127"/>
    <mergeCell ref="E126:G126"/>
    <mergeCell ref="I126:K126"/>
    <mergeCell ref="AI104:AI106"/>
    <mergeCell ref="AJ104:AM104"/>
    <mergeCell ref="AN104:AN106"/>
    <mergeCell ref="AO104:AR104"/>
    <mergeCell ref="AS104:AS106"/>
    <mergeCell ref="AT104:AW104"/>
    <mergeCell ref="AX104:AX106"/>
    <mergeCell ref="E105:G105"/>
    <mergeCell ref="I105:K105"/>
    <mergeCell ref="P105:S105"/>
    <mergeCell ref="U105:X105"/>
    <mergeCell ref="Z105:AC105"/>
    <mergeCell ref="AE105:AH105"/>
    <mergeCell ref="AJ105:AM105"/>
    <mergeCell ref="AO105:AR105"/>
    <mergeCell ref="AT105:AW105"/>
    <mergeCell ref="AT102:AX102"/>
    <mergeCell ref="P103:T103"/>
    <mergeCell ref="U103:Y103"/>
    <mergeCell ref="Z103:AD103"/>
    <mergeCell ref="AE103:AI103"/>
    <mergeCell ref="AJ103:AN103"/>
    <mergeCell ref="AO103:AS103"/>
    <mergeCell ref="AT103:AX103"/>
    <mergeCell ref="B104:B106"/>
    <mergeCell ref="C104:D106"/>
    <mergeCell ref="E104:G104"/>
    <mergeCell ref="H104:H106"/>
    <mergeCell ref="I104:K104"/>
    <mergeCell ref="L104:L106"/>
    <mergeCell ref="M104:M106"/>
    <mergeCell ref="N104:N121"/>
    <mergeCell ref="O104:O121"/>
    <mergeCell ref="P104:S104"/>
    <mergeCell ref="T104:T106"/>
    <mergeCell ref="U104:X104"/>
    <mergeCell ref="Y104:Y106"/>
    <mergeCell ref="Z104:AC104"/>
    <mergeCell ref="AD104:AD106"/>
    <mergeCell ref="AE104:AH104"/>
    <mergeCell ref="B102:H103"/>
    <mergeCell ref="N102:N103"/>
    <mergeCell ref="O102:O103"/>
    <mergeCell ref="P102:T102"/>
    <mergeCell ref="U102:Y102"/>
    <mergeCell ref="Z102:AD102"/>
    <mergeCell ref="AE102:AI102"/>
    <mergeCell ref="AJ102:AN102"/>
    <mergeCell ref="AO102:AS102"/>
    <mergeCell ref="AE2:AI2"/>
    <mergeCell ref="AJ2:AN2"/>
    <mergeCell ref="AO2:AS2"/>
    <mergeCell ref="AT2:AX2"/>
    <mergeCell ref="P3:T3"/>
    <mergeCell ref="U3:Y3"/>
    <mergeCell ref="Z3:AD3"/>
    <mergeCell ref="AE3:AI3"/>
    <mergeCell ref="AJ3:AN3"/>
    <mergeCell ref="AO3:AS3"/>
    <mergeCell ref="P2:T2"/>
    <mergeCell ref="U2:Y2"/>
    <mergeCell ref="Z2:AD2"/>
    <mergeCell ref="AT3:AX3"/>
    <mergeCell ref="B2:H3"/>
    <mergeCell ref="N2:N3"/>
    <mergeCell ref="O2:O3"/>
    <mergeCell ref="AT4:AW4"/>
    <mergeCell ref="AX4:AX6"/>
    <mergeCell ref="E5:G5"/>
    <mergeCell ref="I5:K5"/>
    <mergeCell ref="P5:S5"/>
    <mergeCell ref="U5:X5"/>
    <mergeCell ref="Z5:AC5"/>
    <mergeCell ref="AE5:AH5"/>
    <mergeCell ref="AJ5:AM5"/>
    <mergeCell ref="AO5:AR5"/>
    <mergeCell ref="AE4:AH4"/>
    <mergeCell ref="AI4:AI6"/>
    <mergeCell ref="AJ4:AM4"/>
    <mergeCell ref="AN4:AN6"/>
    <mergeCell ref="AO4:AR4"/>
    <mergeCell ref="AS4:AS6"/>
    <mergeCell ref="P4:S4"/>
    <mergeCell ref="T4:T6"/>
    <mergeCell ref="U4:X4"/>
    <mergeCell ref="Y4:Y6"/>
    <mergeCell ref="Z4:AC4"/>
    <mergeCell ref="AD4:AD6"/>
    <mergeCell ref="AT5:AW5"/>
    <mergeCell ref="B7:B21"/>
    <mergeCell ref="H7:H21"/>
    <mergeCell ref="L7:L21"/>
    <mergeCell ref="T7:T21"/>
    <mergeCell ref="Y7:Y21"/>
    <mergeCell ref="AD7:AD21"/>
    <mergeCell ref="AI7:AI21"/>
    <mergeCell ref="AN7:AN21"/>
    <mergeCell ref="AS7:AS21"/>
    <mergeCell ref="B4:B6"/>
    <mergeCell ref="C4:D6"/>
    <mergeCell ref="E4:G4"/>
    <mergeCell ref="H4:H6"/>
    <mergeCell ref="I4:K4"/>
    <mergeCell ref="L4:L6"/>
    <mergeCell ref="M4:M6"/>
    <mergeCell ref="N4:N21"/>
    <mergeCell ref="O4:O21"/>
    <mergeCell ref="B22:H23"/>
    <mergeCell ref="N22:N23"/>
    <mergeCell ref="O22:O23"/>
    <mergeCell ref="P22:T22"/>
    <mergeCell ref="U22:Y22"/>
    <mergeCell ref="Z22:AD22"/>
    <mergeCell ref="AE22:AI22"/>
    <mergeCell ref="AJ22:AN22"/>
    <mergeCell ref="AO22:AS22"/>
    <mergeCell ref="AT22:AX22"/>
    <mergeCell ref="P23:T23"/>
    <mergeCell ref="U23:Y23"/>
    <mergeCell ref="Z23:AD23"/>
    <mergeCell ref="AE23:AI23"/>
    <mergeCell ref="AJ23:AN23"/>
    <mergeCell ref="AO23:AS23"/>
    <mergeCell ref="AT23:AX23"/>
    <mergeCell ref="AX7:AX21"/>
    <mergeCell ref="AX24:AX26"/>
    <mergeCell ref="E25:G25"/>
    <mergeCell ref="I25:K25"/>
    <mergeCell ref="P25:S25"/>
    <mergeCell ref="U25:X25"/>
    <mergeCell ref="Z25:AC25"/>
    <mergeCell ref="Y24:Y26"/>
    <mergeCell ref="Z24:AC24"/>
    <mergeCell ref="AD24:AD26"/>
    <mergeCell ref="AE24:AH24"/>
    <mergeCell ref="AI24:AI26"/>
    <mergeCell ref="AJ24:AM24"/>
    <mergeCell ref="AE25:AH25"/>
    <mergeCell ref="AJ25:AM25"/>
    <mergeCell ref="M24:M26"/>
    <mergeCell ref="N24:N41"/>
    <mergeCell ref="O24:O41"/>
    <mergeCell ref="P24:S24"/>
    <mergeCell ref="T24:T26"/>
    <mergeCell ref="U24:X24"/>
    <mergeCell ref="E24:G24"/>
    <mergeCell ref="H24:H26"/>
    <mergeCell ref="I24:K24"/>
    <mergeCell ref="L24:L26"/>
    <mergeCell ref="AO25:AR25"/>
    <mergeCell ref="AT25:AW25"/>
    <mergeCell ref="B27:B41"/>
    <mergeCell ref="H27:H41"/>
    <mergeCell ref="L27:L41"/>
    <mergeCell ref="T27:T41"/>
    <mergeCell ref="Y27:Y41"/>
    <mergeCell ref="AD27:AD41"/>
    <mergeCell ref="AI27:AI41"/>
    <mergeCell ref="AN27:AN41"/>
    <mergeCell ref="AN24:AN26"/>
    <mergeCell ref="AO24:AR24"/>
    <mergeCell ref="AS24:AS26"/>
    <mergeCell ref="AT24:AW24"/>
    <mergeCell ref="B24:B26"/>
    <mergeCell ref="C24:D26"/>
    <mergeCell ref="AS27:AS41"/>
    <mergeCell ref="AX27:AX41"/>
    <mergeCell ref="B42:H43"/>
    <mergeCell ref="N42:N43"/>
    <mergeCell ref="O42:O43"/>
    <mergeCell ref="P42:T42"/>
    <mergeCell ref="U42:Y42"/>
    <mergeCell ref="Z42:AD42"/>
    <mergeCell ref="AE42:AI42"/>
    <mergeCell ref="AJ42:AN42"/>
    <mergeCell ref="AO42:AS42"/>
    <mergeCell ref="AT42:AX42"/>
    <mergeCell ref="P43:T43"/>
    <mergeCell ref="U43:Y43"/>
    <mergeCell ref="Z43:AD43"/>
    <mergeCell ref="AE43:AI43"/>
    <mergeCell ref="AJ43:AN43"/>
    <mergeCell ref="AO43:AS43"/>
    <mergeCell ref="AT43:AX43"/>
    <mergeCell ref="AX44:AX46"/>
    <mergeCell ref="E45:G45"/>
    <mergeCell ref="I45:K45"/>
    <mergeCell ref="P45:S45"/>
    <mergeCell ref="U45:X45"/>
    <mergeCell ref="Z45:AC45"/>
    <mergeCell ref="Y44:Y46"/>
    <mergeCell ref="Z44:AC44"/>
    <mergeCell ref="AD44:AD46"/>
    <mergeCell ref="AE44:AH44"/>
    <mergeCell ref="AI44:AI46"/>
    <mergeCell ref="AJ44:AM44"/>
    <mergeCell ref="AE45:AH45"/>
    <mergeCell ref="AJ45:AM45"/>
    <mergeCell ref="M44:M46"/>
    <mergeCell ref="N44:N61"/>
    <mergeCell ref="O44:O61"/>
    <mergeCell ref="P44:S44"/>
    <mergeCell ref="T44:T46"/>
    <mergeCell ref="U44:X44"/>
    <mergeCell ref="E44:G44"/>
    <mergeCell ref="H44:H46"/>
    <mergeCell ref="I44:K44"/>
    <mergeCell ref="L44:L46"/>
    <mergeCell ref="AO45:AR45"/>
    <mergeCell ref="AT45:AW45"/>
    <mergeCell ref="B47:B61"/>
    <mergeCell ref="H47:H61"/>
    <mergeCell ref="L47:L61"/>
    <mergeCell ref="T47:T61"/>
    <mergeCell ref="Y47:Y61"/>
    <mergeCell ref="AD47:AD61"/>
    <mergeCell ref="AI47:AI61"/>
    <mergeCell ref="AN47:AN61"/>
    <mergeCell ref="AN44:AN46"/>
    <mergeCell ref="AO44:AR44"/>
    <mergeCell ref="AS44:AS46"/>
    <mergeCell ref="AT44:AW44"/>
    <mergeCell ref="B44:B46"/>
    <mergeCell ref="C44:D46"/>
    <mergeCell ref="AS47:AS61"/>
    <mergeCell ref="AX47:AX61"/>
    <mergeCell ref="B62:H63"/>
    <mergeCell ref="N62:N63"/>
    <mergeCell ref="O62:O63"/>
    <mergeCell ref="P62:T62"/>
    <mergeCell ref="U62:Y62"/>
    <mergeCell ref="Z62:AD62"/>
    <mergeCell ref="AE62:AI62"/>
    <mergeCell ref="AJ62:AN62"/>
    <mergeCell ref="AO62:AS62"/>
    <mergeCell ref="AT62:AX62"/>
    <mergeCell ref="P63:T63"/>
    <mergeCell ref="U63:Y63"/>
    <mergeCell ref="Z63:AD63"/>
    <mergeCell ref="AE63:AI63"/>
    <mergeCell ref="AJ63:AN63"/>
    <mergeCell ref="AO63:AS63"/>
    <mergeCell ref="AT63:AX63"/>
    <mergeCell ref="AD87:AD101"/>
    <mergeCell ref="AI87:AI101"/>
    <mergeCell ref="B84:B86"/>
    <mergeCell ref="AX64:AX66"/>
    <mergeCell ref="E65:G65"/>
    <mergeCell ref="I65:K65"/>
    <mergeCell ref="P65:S65"/>
    <mergeCell ref="U65:X65"/>
    <mergeCell ref="Z65:AC65"/>
    <mergeCell ref="Y64:Y66"/>
    <mergeCell ref="Z64:AC64"/>
    <mergeCell ref="AD64:AD66"/>
    <mergeCell ref="AE64:AH64"/>
    <mergeCell ref="AI64:AI66"/>
    <mergeCell ref="AJ64:AM64"/>
    <mergeCell ref="AE65:AH65"/>
    <mergeCell ref="AJ65:AM65"/>
    <mergeCell ref="M64:M66"/>
    <mergeCell ref="N64:N81"/>
    <mergeCell ref="O64:O81"/>
    <mergeCell ref="P64:S64"/>
    <mergeCell ref="T64:T66"/>
    <mergeCell ref="U64:X64"/>
    <mergeCell ref="E64:G64"/>
    <mergeCell ref="AO65:AR65"/>
    <mergeCell ref="AT65:AW65"/>
    <mergeCell ref="B67:B81"/>
    <mergeCell ref="H67:H81"/>
    <mergeCell ref="L67:L81"/>
    <mergeCell ref="T67:T81"/>
    <mergeCell ref="Y67:Y81"/>
    <mergeCell ref="AD67:AD81"/>
    <mergeCell ref="AI67:AI81"/>
    <mergeCell ref="AN67:AN81"/>
    <mergeCell ref="AN64:AN66"/>
    <mergeCell ref="AO64:AR64"/>
    <mergeCell ref="AS64:AS66"/>
    <mergeCell ref="AT64:AW64"/>
    <mergeCell ref="B64:B66"/>
    <mergeCell ref="C64:D66"/>
    <mergeCell ref="AS67:AS81"/>
    <mergeCell ref="H64:H66"/>
    <mergeCell ref="I64:K64"/>
    <mergeCell ref="L64:L66"/>
    <mergeCell ref="AX67:AX81"/>
    <mergeCell ref="B82:H83"/>
    <mergeCell ref="N82:N83"/>
    <mergeCell ref="O82:O83"/>
    <mergeCell ref="P82:T82"/>
    <mergeCell ref="U82:Y82"/>
    <mergeCell ref="Z82:AD82"/>
    <mergeCell ref="AE82:AI82"/>
    <mergeCell ref="AJ82:AN82"/>
    <mergeCell ref="AO82:AS82"/>
    <mergeCell ref="AT82:AX82"/>
    <mergeCell ref="P83:T83"/>
    <mergeCell ref="U83:Y83"/>
    <mergeCell ref="Z83:AD83"/>
    <mergeCell ref="AE83:AI83"/>
    <mergeCell ref="AJ83:AN83"/>
    <mergeCell ref="AO83:AS83"/>
    <mergeCell ref="AT83:AX83"/>
    <mergeCell ref="Z84:AC84"/>
    <mergeCell ref="P84:S84"/>
    <mergeCell ref="T84:T86"/>
    <mergeCell ref="U84:X84"/>
    <mergeCell ref="E85:G85"/>
    <mergeCell ref="I85:K85"/>
    <mergeCell ref="P85:S85"/>
    <mergeCell ref="U85:X85"/>
    <mergeCell ref="M84:M86"/>
    <mergeCell ref="N84:N101"/>
    <mergeCell ref="O84:O101"/>
    <mergeCell ref="H87:H101"/>
    <mergeCell ref="L87:L101"/>
    <mergeCell ref="T87:T101"/>
    <mergeCell ref="Y87:Y101"/>
    <mergeCell ref="B87:B101"/>
    <mergeCell ref="AS87:AS101"/>
    <mergeCell ref="AX87:AX101"/>
    <mergeCell ref="AO85:AR85"/>
    <mergeCell ref="AT85:AW85"/>
    <mergeCell ref="AO84:AR84"/>
    <mergeCell ref="AS84:AS86"/>
    <mergeCell ref="AT84:AW84"/>
    <mergeCell ref="AX84:AX86"/>
    <mergeCell ref="AJ85:AM85"/>
    <mergeCell ref="AN87:AN101"/>
    <mergeCell ref="AN84:AN86"/>
    <mergeCell ref="AJ84:AM84"/>
    <mergeCell ref="C84:D86"/>
    <mergeCell ref="E84:G84"/>
    <mergeCell ref="H84:H86"/>
    <mergeCell ref="I84:K84"/>
    <mergeCell ref="L84:L86"/>
    <mergeCell ref="AD84:AD86"/>
    <mergeCell ref="AE84:AH84"/>
    <mergeCell ref="AI84:AI86"/>
    <mergeCell ref="AE85:AH85"/>
    <mergeCell ref="Z85:AC85"/>
    <mergeCell ref="Y84:Y86"/>
  </mergeCells>
  <phoneticPr fontId="11" type="noConversion"/>
  <pageMargins left="0.7" right="0.7" top="0.75" bottom="0.75" header="0.3" footer="0.3"/>
  <pageSetup paperSize="9" orientation="portrait" horizontalDpi="300" verticalDpi="3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FFFFCC"/>
  </sheetPr>
  <dimension ref="A1:BB142"/>
  <sheetViews>
    <sheetView topLeftCell="A55" zoomScale="55" zoomScaleNormal="55" workbookViewId="0">
      <pane xSplit="15" topLeftCell="P1" activePane="topRight" state="frozen"/>
      <selection activeCell="B144" sqref="B144:AX176"/>
      <selection pane="topRight" activeCell="L107" sqref="L107:L121"/>
    </sheetView>
  </sheetViews>
  <sheetFormatPr defaultColWidth="8.85546875" defaultRowHeight="12.75"/>
  <cols>
    <col min="1" max="1" width="5.5703125" style="103" customWidth="1"/>
    <col min="2" max="2" width="12.42578125" style="103" customWidth="1"/>
    <col min="3" max="3" width="8.85546875" style="102"/>
    <col min="4" max="4" width="26.42578125" style="102" customWidth="1"/>
    <col min="5" max="7" width="8.42578125" style="102" customWidth="1"/>
    <col min="8" max="8" width="11.140625" style="102" bestFit="1" customWidth="1"/>
    <col min="9" max="12" width="11.140625" style="102" customWidth="1"/>
    <col min="13" max="13" width="13.5703125" style="102" customWidth="1"/>
    <col min="14" max="14" width="9.85546875" style="102" customWidth="1"/>
    <col min="15" max="15" width="7.140625" style="102" customWidth="1"/>
    <col min="16" max="18" width="12.85546875" style="102" customWidth="1"/>
    <col min="19" max="19" width="5.42578125" style="102" customWidth="1"/>
    <col min="20" max="20" width="12.85546875" style="102" customWidth="1"/>
    <col min="21" max="23" width="12.85546875" style="103" customWidth="1"/>
    <col min="24" max="24" width="5.42578125" style="102" customWidth="1"/>
    <col min="25" max="28" width="12.85546875" style="103" customWidth="1"/>
    <col min="29" max="29" width="5.42578125" style="102" customWidth="1"/>
    <col min="30" max="30" width="12.85546875" style="103" customWidth="1"/>
    <col min="31" max="33" width="12.5703125" style="103" customWidth="1"/>
    <col min="34" max="34" width="5.42578125" style="102" customWidth="1"/>
    <col min="35" max="35" width="13" style="103" customWidth="1"/>
    <col min="36" max="38" width="12.5703125" style="103" customWidth="1"/>
    <col min="39" max="39" width="5.42578125" style="102" customWidth="1"/>
    <col min="40" max="40" width="13" style="103" customWidth="1"/>
    <col min="41" max="43" width="13.140625" style="103" customWidth="1"/>
    <col min="44" max="44" width="5.42578125" style="103" customWidth="1"/>
    <col min="45" max="48" width="13.140625" style="103" customWidth="1"/>
    <col min="49" max="49" width="5.42578125" style="103" customWidth="1"/>
    <col min="50" max="50" width="13.140625" style="103" customWidth="1"/>
    <col min="51" max="16384" width="8.85546875" style="103"/>
  </cols>
  <sheetData>
    <row r="1" spans="1:54" ht="24">
      <c r="A1" s="74"/>
      <c r="B1" s="196" t="s">
        <v>328</v>
      </c>
      <c r="C1" s="195">
        <f>AVERAGE(L7,L27,L47,L67,L87,L107)</f>
        <v>124.77437732057501</v>
      </c>
    </row>
    <row r="2" spans="1:54" ht="15.75">
      <c r="A2" s="79"/>
      <c r="B2" s="480" t="s">
        <v>644</v>
      </c>
      <c r="C2" s="480"/>
      <c r="D2" s="480"/>
      <c r="E2" s="480"/>
      <c r="F2" s="480"/>
      <c r="G2" s="480"/>
      <c r="H2" s="480"/>
      <c r="I2" s="181"/>
      <c r="J2" s="181"/>
      <c r="K2" s="181"/>
      <c r="L2" s="181"/>
      <c r="M2" s="178"/>
      <c r="N2" s="469" t="s">
        <v>645</v>
      </c>
      <c r="O2" s="469" t="s">
        <v>646</v>
      </c>
      <c r="P2" s="513"/>
      <c r="Q2" s="514"/>
      <c r="R2" s="514"/>
      <c r="S2" s="514"/>
      <c r="T2" s="515"/>
      <c r="U2" s="478"/>
      <c r="V2" s="479"/>
      <c r="W2" s="479"/>
      <c r="X2" s="479"/>
      <c r="Y2" s="479"/>
      <c r="Z2" s="478">
        <f t="shared" ref="Z2" si="0">U2+1</f>
        <v>1</v>
      </c>
      <c r="AA2" s="479"/>
      <c r="AB2" s="479"/>
      <c r="AC2" s="479"/>
      <c r="AD2" s="479"/>
      <c r="AE2" s="478">
        <f t="shared" ref="AE2" si="1">Z2+1</f>
        <v>2</v>
      </c>
      <c r="AF2" s="479"/>
      <c r="AG2" s="479"/>
      <c r="AH2" s="479"/>
      <c r="AI2" s="479"/>
      <c r="AJ2" s="478">
        <f t="shared" ref="AJ2" si="2">AE2+1</f>
        <v>3</v>
      </c>
      <c r="AK2" s="479"/>
      <c r="AL2" s="479"/>
      <c r="AM2" s="479"/>
      <c r="AN2" s="479"/>
      <c r="AO2" s="478">
        <f t="shared" ref="AO2" si="3">AJ2+1</f>
        <v>4</v>
      </c>
      <c r="AP2" s="479"/>
      <c r="AQ2" s="479"/>
      <c r="AR2" s="479"/>
      <c r="AS2" s="479"/>
      <c r="AT2" s="478">
        <f t="shared" ref="AT2" si="4">AO2+1</f>
        <v>5</v>
      </c>
      <c r="AU2" s="479"/>
      <c r="AV2" s="479"/>
      <c r="AW2" s="479"/>
      <c r="AX2" s="479"/>
    </row>
    <row r="3" spans="1:54" ht="15.75">
      <c r="A3" s="79"/>
      <c r="B3" s="495"/>
      <c r="C3" s="495"/>
      <c r="D3" s="495"/>
      <c r="E3" s="495"/>
      <c r="F3" s="495"/>
      <c r="G3" s="495"/>
      <c r="H3" s="495"/>
      <c r="I3" s="182"/>
      <c r="J3" s="182"/>
      <c r="K3" s="182"/>
      <c r="L3" s="182"/>
      <c r="M3" s="179"/>
      <c r="N3" s="471"/>
      <c r="O3" s="471"/>
      <c r="P3" s="475" t="s">
        <v>647</v>
      </c>
      <c r="Q3" s="476"/>
      <c r="R3" s="476"/>
      <c r="S3" s="476"/>
      <c r="T3" s="477"/>
      <c r="U3" s="475" t="s">
        <v>648</v>
      </c>
      <c r="V3" s="476"/>
      <c r="W3" s="476"/>
      <c r="X3" s="476"/>
      <c r="Y3" s="477"/>
      <c r="Z3" s="475" t="s">
        <v>649</v>
      </c>
      <c r="AA3" s="476"/>
      <c r="AB3" s="476"/>
      <c r="AC3" s="476"/>
      <c r="AD3" s="477"/>
      <c r="AE3" s="475" t="s">
        <v>650</v>
      </c>
      <c r="AF3" s="476"/>
      <c r="AG3" s="476"/>
      <c r="AH3" s="476"/>
      <c r="AI3" s="477"/>
      <c r="AJ3" s="475" t="s">
        <v>651</v>
      </c>
      <c r="AK3" s="476"/>
      <c r="AL3" s="476"/>
      <c r="AM3" s="476"/>
      <c r="AN3" s="477"/>
      <c r="AO3" s="475" t="s">
        <v>652</v>
      </c>
      <c r="AP3" s="476"/>
      <c r="AQ3" s="476"/>
      <c r="AR3" s="476"/>
      <c r="AS3" s="477"/>
      <c r="AT3" s="475" t="s">
        <v>653</v>
      </c>
      <c r="AU3" s="476"/>
      <c r="AV3" s="476"/>
      <c r="AW3" s="476"/>
      <c r="AX3" s="477"/>
    </row>
    <row r="4" spans="1:54" ht="14.25">
      <c r="A4" s="79"/>
      <c r="B4" s="462" t="s">
        <v>628</v>
      </c>
      <c r="C4" s="462" t="s">
        <v>629</v>
      </c>
      <c r="D4" s="462"/>
      <c r="E4" s="462" t="s">
        <v>630</v>
      </c>
      <c r="F4" s="462"/>
      <c r="G4" s="462"/>
      <c r="H4" s="463" t="s">
        <v>631</v>
      </c>
      <c r="I4" s="462" t="s">
        <v>632</v>
      </c>
      <c r="J4" s="462"/>
      <c r="K4" s="462"/>
      <c r="L4" s="463" t="s">
        <v>631</v>
      </c>
      <c r="M4" s="469" t="s">
        <v>633</v>
      </c>
      <c r="N4" s="462"/>
      <c r="O4" s="462" t="s">
        <v>660</v>
      </c>
      <c r="P4" s="466" t="s">
        <v>661</v>
      </c>
      <c r="Q4" s="467"/>
      <c r="R4" s="467"/>
      <c r="S4" s="468"/>
      <c r="T4" s="462" t="s">
        <v>657</v>
      </c>
      <c r="U4" s="466" t="s">
        <v>661</v>
      </c>
      <c r="V4" s="467"/>
      <c r="W4" s="467"/>
      <c r="X4" s="468"/>
      <c r="Y4" s="462" t="s">
        <v>657</v>
      </c>
      <c r="Z4" s="466" t="s">
        <v>661</v>
      </c>
      <c r="AA4" s="467"/>
      <c r="AB4" s="467"/>
      <c r="AC4" s="468"/>
      <c r="AD4" s="462" t="s">
        <v>657</v>
      </c>
      <c r="AE4" s="466" t="s">
        <v>661</v>
      </c>
      <c r="AF4" s="467"/>
      <c r="AG4" s="467"/>
      <c r="AH4" s="468"/>
      <c r="AI4" s="462" t="s">
        <v>657</v>
      </c>
      <c r="AJ4" s="466" t="s">
        <v>661</v>
      </c>
      <c r="AK4" s="467"/>
      <c r="AL4" s="467"/>
      <c r="AM4" s="468"/>
      <c r="AN4" s="462" t="s">
        <v>657</v>
      </c>
      <c r="AO4" s="466" t="s">
        <v>661</v>
      </c>
      <c r="AP4" s="467"/>
      <c r="AQ4" s="467"/>
      <c r="AR4" s="468"/>
      <c r="AS4" s="462" t="s">
        <v>657</v>
      </c>
      <c r="AT4" s="466" t="s">
        <v>661</v>
      </c>
      <c r="AU4" s="467"/>
      <c r="AV4" s="467"/>
      <c r="AW4" s="468"/>
      <c r="AX4" s="462" t="s">
        <v>657</v>
      </c>
    </row>
    <row r="5" spans="1:54" ht="14.25">
      <c r="A5" s="79"/>
      <c r="B5" s="462"/>
      <c r="C5" s="462"/>
      <c r="D5" s="462"/>
      <c r="E5" s="462" t="s">
        <v>635</v>
      </c>
      <c r="F5" s="462"/>
      <c r="G5" s="462"/>
      <c r="H5" s="464"/>
      <c r="I5" s="462" t="s">
        <v>635</v>
      </c>
      <c r="J5" s="462"/>
      <c r="K5" s="462"/>
      <c r="L5" s="464"/>
      <c r="M5" s="470"/>
      <c r="N5" s="462"/>
      <c r="O5" s="462"/>
      <c r="P5" s="466" t="s">
        <v>663</v>
      </c>
      <c r="Q5" s="467"/>
      <c r="R5" s="467"/>
      <c r="S5" s="468"/>
      <c r="T5" s="462"/>
      <c r="U5" s="466" t="s">
        <v>663</v>
      </c>
      <c r="V5" s="467"/>
      <c r="W5" s="467"/>
      <c r="X5" s="468"/>
      <c r="Y5" s="462"/>
      <c r="Z5" s="466" t="s">
        <v>663</v>
      </c>
      <c r="AA5" s="467"/>
      <c r="AB5" s="467"/>
      <c r="AC5" s="468"/>
      <c r="AD5" s="462"/>
      <c r="AE5" s="466" t="s">
        <v>663</v>
      </c>
      <c r="AF5" s="467"/>
      <c r="AG5" s="467"/>
      <c r="AH5" s="468"/>
      <c r="AI5" s="462"/>
      <c r="AJ5" s="466" t="s">
        <v>663</v>
      </c>
      <c r="AK5" s="467"/>
      <c r="AL5" s="467"/>
      <c r="AM5" s="468"/>
      <c r="AN5" s="462"/>
      <c r="AO5" s="466" t="s">
        <v>663</v>
      </c>
      <c r="AP5" s="467"/>
      <c r="AQ5" s="467"/>
      <c r="AR5" s="468"/>
      <c r="AS5" s="462"/>
      <c r="AT5" s="466" t="s">
        <v>663</v>
      </c>
      <c r="AU5" s="467"/>
      <c r="AV5" s="467"/>
      <c r="AW5" s="468"/>
      <c r="AX5" s="462"/>
    </row>
    <row r="6" spans="1:54" ht="14.25">
      <c r="A6" s="77"/>
      <c r="B6" s="462"/>
      <c r="C6" s="462"/>
      <c r="D6" s="462"/>
      <c r="E6" s="264" t="s">
        <v>636</v>
      </c>
      <c r="F6" s="264" t="s">
        <v>637</v>
      </c>
      <c r="G6" s="264" t="s">
        <v>638</v>
      </c>
      <c r="H6" s="465"/>
      <c r="I6" s="264" t="s">
        <v>636</v>
      </c>
      <c r="J6" s="264" t="s">
        <v>637</v>
      </c>
      <c r="K6" s="264" t="s">
        <v>638</v>
      </c>
      <c r="L6" s="465"/>
      <c r="M6" s="471"/>
      <c r="N6" s="462"/>
      <c r="O6" s="462"/>
      <c r="P6" s="264" t="s">
        <v>664</v>
      </c>
      <c r="Q6" s="264" t="s">
        <v>665</v>
      </c>
      <c r="R6" s="264" t="s">
        <v>666</v>
      </c>
      <c r="S6" s="264" t="s">
        <v>659</v>
      </c>
      <c r="T6" s="462"/>
      <c r="U6" s="264" t="s">
        <v>664</v>
      </c>
      <c r="V6" s="264" t="s">
        <v>665</v>
      </c>
      <c r="W6" s="264" t="s">
        <v>666</v>
      </c>
      <c r="X6" s="264" t="s">
        <v>659</v>
      </c>
      <c r="Y6" s="462"/>
      <c r="Z6" s="264" t="s">
        <v>664</v>
      </c>
      <c r="AA6" s="264" t="s">
        <v>665</v>
      </c>
      <c r="AB6" s="264" t="s">
        <v>666</v>
      </c>
      <c r="AC6" s="264" t="s">
        <v>659</v>
      </c>
      <c r="AD6" s="462"/>
      <c r="AE6" s="264" t="s">
        <v>664</v>
      </c>
      <c r="AF6" s="264" t="s">
        <v>665</v>
      </c>
      <c r="AG6" s="264" t="s">
        <v>666</v>
      </c>
      <c r="AH6" s="264" t="s">
        <v>659</v>
      </c>
      <c r="AI6" s="462"/>
      <c r="AJ6" s="264" t="s">
        <v>664</v>
      </c>
      <c r="AK6" s="264" t="s">
        <v>665</v>
      </c>
      <c r="AL6" s="264" t="s">
        <v>666</v>
      </c>
      <c r="AM6" s="264" t="s">
        <v>659</v>
      </c>
      <c r="AN6" s="462"/>
      <c r="AO6" s="264" t="s">
        <v>664</v>
      </c>
      <c r="AP6" s="264" t="s">
        <v>665</v>
      </c>
      <c r="AQ6" s="264" t="s">
        <v>666</v>
      </c>
      <c r="AR6" s="264" t="s">
        <v>659</v>
      </c>
      <c r="AS6" s="462"/>
      <c r="AT6" s="264" t="s">
        <v>664</v>
      </c>
      <c r="AU6" s="264" t="s">
        <v>665</v>
      </c>
      <c r="AV6" s="264" t="s">
        <v>666</v>
      </c>
      <c r="AW6" s="264" t="s">
        <v>659</v>
      </c>
      <c r="AX6" s="462"/>
    </row>
    <row r="7" spans="1:54" ht="14.25">
      <c r="A7" s="79"/>
      <c r="B7" s="462" t="s">
        <v>136</v>
      </c>
      <c r="C7" s="180">
        <v>1</v>
      </c>
      <c r="D7" s="201" t="s">
        <v>383</v>
      </c>
      <c r="E7" s="166">
        <v>6</v>
      </c>
      <c r="F7" s="166">
        <v>1500</v>
      </c>
      <c r="G7" s="166">
        <v>250</v>
      </c>
      <c r="H7" s="459">
        <f>AVERAGE(G7:G21)</f>
        <v>140.15</v>
      </c>
      <c r="I7" s="166">
        <f>AVERAGE(P7,U7,Z7,AE7,AJ7,AO7,AT7)</f>
        <v>6.2</v>
      </c>
      <c r="J7" s="166">
        <f>AVERAGE(Q7,V7,AA7,AF7,AK7,AP7,AU7)</f>
        <v>1327.3958403099248</v>
      </c>
      <c r="K7" s="265">
        <f>AVERAGE(R7,W7,AB7,AG7,AL7,AQ7,AV7)</f>
        <v>214.91914798816205</v>
      </c>
      <c r="L7" s="459">
        <f>AVERAGE(K7:K21)</f>
        <v>124.85420167966548</v>
      </c>
      <c r="M7" s="272">
        <f>RANK(K7, K$7:$K$21)</f>
        <v>3</v>
      </c>
      <c r="N7" s="462"/>
      <c r="O7" s="462"/>
      <c r="P7" s="180"/>
      <c r="Q7" s="166"/>
      <c r="R7" s="166"/>
      <c r="S7" s="180" t="e">
        <f>RANK(R7, R$7:R$21)</f>
        <v>#N/A</v>
      </c>
      <c r="T7" s="486" t="e">
        <f>AVERAGE(R7:R21)</f>
        <v>#DIV/0!</v>
      </c>
      <c r="U7" s="180"/>
      <c r="V7" s="166"/>
      <c r="W7" s="166"/>
      <c r="X7" s="180" t="e">
        <f>RANK(W7, W$7:W$21)</f>
        <v>#N/A</v>
      </c>
      <c r="Y7" s="486" t="e">
        <f>AVERAGE(W7:W21)</f>
        <v>#DIV/0!</v>
      </c>
      <c r="Z7" s="180">
        <v>6</v>
      </c>
      <c r="AA7" s="166">
        <v>1336.3636363636365</v>
      </c>
      <c r="AB7" s="166">
        <v>222.72727272727275</v>
      </c>
      <c r="AC7" s="180">
        <f>RANK(AB7, AB$7:AB$21)</f>
        <v>3</v>
      </c>
      <c r="AD7" s="486">
        <f>AVERAGE(AB7:AB21)</f>
        <v>127.23052732293193</v>
      </c>
      <c r="AE7" s="180">
        <v>6</v>
      </c>
      <c r="AF7" s="166">
        <v>1344.9230769230767</v>
      </c>
      <c r="AG7" s="166">
        <v>224.1538461538461</v>
      </c>
      <c r="AH7" s="180">
        <f>RANK(AG7, AG$7:AG$21)</f>
        <v>3</v>
      </c>
      <c r="AI7" s="486">
        <f>AVERAGE(AG7:AG21)</f>
        <v>126.41576280305212</v>
      </c>
      <c r="AJ7" s="180">
        <v>6</v>
      </c>
      <c r="AK7" s="166">
        <v>1303.0985915492961</v>
      </c>
      <c r="AL7" s="166">
        <v>217.18309859154934</v>
      </c>
      <c r="AM7" s="180">
        <f>RANK(AL7, AL$7:AL$21)</f>
        <v>3</v>
      </c>
      <c r="AN7" s="486">
        <f>AVERAGE(AL7:AL21)</f>
        <v>126.55912284171504</v>
      </c>
      <c r="AO7" s="180">
        <v>6</v>
      </c>
      <c r="AP7" s="166">
        <v>1326.7605633802818</v>
      </c>
      <c r="AQ7" s="166">
        <v>221.12676056338032</v>
      </c>
      <c r="AR7" s="180">
        <f>RANK(AQ7, AQ$7:AQ$21)</f>
        <v>3</v>
      </c>
      <c r="AS7" s="486">
        <f>AVERAGE(AQ7:AQ21)</f>
        <v>126.93754416387848</v>
      </c>
      <c r="AT7" s="180">
        <v>7</v>
      </c>
      <c r="AU7" s="166">
        <v>1325.8333333333328</v>
      </c>
      <c r="AV7" s="166">
        <v>189.40476190476184</v>
      </c>
      <c r="AW7" s="180">
        <f>RANK(AV7, AV$7:AV$21)</f>
        <v>3</v>
      </c>
      <c r="AX7" s="486">
        <f>AVERAGE(AV7:AV21)</f>
        <v>117.12805126674991</v>
      </c>
      <c r="AZ7" s="272" t="e">
        <f>RANK(AX7, $K$7:AX$21)</f>
        <v>#N/A</v>
      </c>
      <c r="BB7" s="180" t="e">
        <f>RANK(BA7, BA$7:BA$21)</f>
        <v>#N/A</v>
      </c>
    </row>
    <row r="8" spans="1:54" ht="15" customHeight="1">
      <c r="A8" s="79"/>
      <c r="B8" s="479"/>
      <c r="C8" s="180">
        <v>2</v>
      </c>
      <c r="D8" s="201" t="s">
        <v>384</v>
      </c>
      <c r="E8" s="166">
        <v>6</v>
      </c>
      <c r="F8" s="166">
        <v>1500</v>
      </c>
      <c r="G8" s="166">
        <v>250</v>
      </c>
      <c r="H8" s="460"/>
      <c r="I8" s="166">
        <f t="shared" ref="I8:K14" si="5">AVERAGE(P8,U8,Z8,AE8,AJ8,AO8,AT8)</f>
        <v>6.2</v>
      </c>
      <c r="J8" s="166">
        <f t="shared" si="5"/>
        <v>1465.5433484481812</v>
      </c>
      <c r="K8" s="265">
        <f t="shared" si="5"/>
        <v>237.10425381848108</v>
      </c>
      <c r="L8" s="460"/>
      <c r="M8" s="272">
        <f>RANK(K8, K$7:$K$21)</f>
        <v>2</v>
      </c>
      <c r="N8" s="462"/>
      <c r="O8" s="462"/>
      <c r="P8" s="180"/>
      <c r="Q8" s="166"/>
      <c r="R8" s="166"/>
      <c r="S8" s="180" t="e">
        <f t="shared" ref="S8:S21" si="6">RANK(R8, R$7:R$21)</f>
        <v>#N/A</v>
      </c>
      <c r="T8" s="486"/>
      <c r="U8" s="180"/>
      <c r="V8" s="166"/>
      <c r="W8" s="166"/>
      <c r="X8" s="180" t="e">
        <f t="shared" ref="X8:X21" si="7">RANK(W8, W$7:W$21)</f>
        <v>#N/A</v>
      </c>
      <c r="Y8" s="486"/>
      <c r="Z8" s="180">
        <v>6</v>
      </c>
      <c r="AA8" s="166">
        <v>1457.217391304348</v>
      </c>
      <c r="AB8" s="166">
        <v>242.86956521739134</v>
      </c>
      <c r="AC8" s="180">
        <f t="shared" ref="AC8:AC21" si="8">RANK(AB8, AB$7:AB$21)</f>
        <v>2</v>
      </c>
      <c r="AD8" s="486"/>
      <c r="AE8" s="180">
        <v>6</v>
      </c>
      <c r="AF8" s="166">
        <v>1451.9999999999995</v>
      </c>
      <c r="AG8" s="166">
        <v>241.99999999999991</v>
      </c>
      <c r="AH8" s="180">
        <f t="shared" ref="AH8:AH21" si="9">RANK(AG8, AG$7:AG$21)</f>
        <v>2</v>
      </c>
      <c r="AI8" s="486"/>
      <c r="AJ8" s="180">
        <v>6</v>
      </c>
      <c r="AK8" s="166">
        <v>1452.897196261682</v>
      </c>
      <c r="AL8" s="166">
        <v>242.14953271028034</v>
      </c>
      <c r="AM8" s="180">
        <f t="shared" ref="AM8:AM21" si="10">RANK(AL8, AL$7:AL$21)</f>
        <v>1</v>
      </c>
      <c r="AN8" s="486"/>
      <c r="AO8" s="180">
        <v>6</v>
      </c>
      <c r="AP8" s="166">
        <v>1463.4782608695655</v>
      </c>
      <c r="AQ8" s="166">
        <v>243.9130434782609</v>
      </c>
      <c r="AR8" s="180">
        <f t="shared" ref="AR8:AR21" si="11">RANK(AQ8, AQ$7:AQ$21)</f>
        <v>2</v>
      </c>
      <c r="AS8" s="486"/>
      <c r="AT8" s="180">
        <v>7</v>
      </c>
      <c r="AU8" s="166">
        <v>1502.1238938053098</v>
      </c>
      <c r="AV8" s="166">
        <v>214.58912768647284</v>
      </c>
      <c r="AW8" s="180">
        <f t="shared" ref="AW8:AW21" si="12">RANK(AV8, AV$7:AV$21)</f>
        <v>1</v>
      </c>
      <c r="AX8" s="486"/>
      <c r="AZ8" s="272" t="e">
        <f>RANK(AX8, $K$7:AX$21)</f>
        <v>#N/A</v>
      </c>
      <c r="BB8" s="180" t="e">
        <f t="shared" ref="BB8:BB21" si="13">RANK(BA8, BA$7:BA$21)</f>
        <v>#N/A</v>
      </c>
    </row>
    <row r="9" spans="1:54" ht="14.25">
      <c r="A9" s="79"/>
      <c r="B9" s="479"/>
      <c r="C9" s="180">
        <v>3</v>
      </c>
      <c r="D9" s="201" t="s">
        <v>338</v>
      </c>
      <c r="E9" s="166">
        <v>19</v>
      </c>
      <c r="F9" s="166">
        <v>1500</v>
      </c>
      <c r="G9" s="166">
        <v>78.900000000000006</v>
      </c>
      <c r="H9" s="460"/>
      <c r="I9" s="166">
        <f t="shared" si="5"/>
        <v>18.2</v>
      </c>
      <c r="J9" s="166">
        <f t="shared" si="5"/>
        <v>1247.8454219849875</v>
      </c>
      <c r="K9" s="265">
        <f t="shared" si="5"/>
        <v>68.546908345258487</v>
      </c>
      <c r="L9" s="460"/>
      <c r="M9" s="272">
        <f>RANK(K9, K$7:$K$21)</f>
        <v>6</v>
      </c>
      <c r="N9" s="462"/>
      <c r="O9" s="462"/>
      <c r="P9" s="180"/>
      <c r="Q9" s="166"/>
      <c r="R9" s="166"/>
      <c r="S9" s="180" t="e">
        <f t="shared" si="6"/>
        <v>#N/A</v>
      </c>
      <c r="T9" s="486"/>
      <c r="U9" s="180"/>
      <c r="V9" s="166"/>
      <c r="W9" s="166"/>
      <c r="X9" s="180" t="e">
        <f t="shared" si="7"/>
        <v>#N/A</v>
      </c>
      <c r="Y9" s="486"/>
      <c r="Z9" s="180">
        <v>18</v>
      </c>
      <c r="AA9" s="166">
        <v>1214.3999999999999</v>
      </c>
      <c r="AB9" s="166">
        <v>67.466666666666654</v>
      </c>
      <c r="AC9" s="180">
        <f t="shared" si="8"/>
        <v>5</v>
      </c>
      <c r="AD9" s="486"/>
      <c r="AE9" s="180">
        <v>18</v>
      </c>
      <c r="AF9" s="166">
        <v>1244.1000000000004</v>
      </c>
      <c r="AG9" s="166">
        <v>69.116666666666688</v>
      </c>
      <c r="AH9" s="180">
        <f t="shared" si="9"/>
        <v>5</v>
      </c>
      <c r="AI9" s="486"/>
      <c r="AJ9" s="180">
        <v>18</v>
      </c>
      <c r="AK9" s="166">
        <v>1226.5100917431191</v>
      </c>
      <c r="AL9" s="166">
        <v>68.139449541284392</v>
      </c>
      <c r="AM9" s="180">
        <f t="shared" si="10"/>
        <v>6</v>
      </c>
      <c r="AN9" s="486"/>
      <c r="AO9" s="180">
        <v>18</v>
      </c>
      <c r="AP9" s="166">
        <v>1224.1152000000004</v>
      </c>
      <c r="AQ9" s="166">
        <v>68.006400000000028</v>
      </c>
      <c r="AR9" s="180">
        <f t="shared" si="11"/>
        <v>5</v>
      </c>
      <c r="AS9" s="486"/>
      <c r="AT9" s="180">
        <v>19</v>
      </c>
      <c r="AU9" s="166">
        <v>1330.1018181818181</v>
      </c>
      <c r="AV9" s="166">
        <v>70.005358851674643</v>
      </c>
      <c r="AW9" s="180">
        <f t="shared" si="12"/>
        <v>5</v>
      </c>
      <c r="AX9" s="486"/>
      <c r="AZ9" s="272" t="e">
        <f>RANK(AX9, $K$7:AX$21)</f>
        <v>#N/A</v>
      </c>
      <c r="BB9" s="180" t="e">
        <f t="shared" si="13"/>
        <v>#N/A</v>
      </c>
    </row>
    <row r="10" spans="1:54" ht="14.25">
      <c r="A10" s="79"/>
      <c r="B10" s="479"/>
      <c r="C10" s="180">
        <v>4</v>
      </c>
      <c r="D10" s="271" t="s">
        <v>676</v>
      </c>
      <c r="E10" s="166">
        <v>17</v>
      </c>
      <c r="F10" s="166">
        <v>1440</v>
      </c>
      <c r="G10" s="166">
        <v>84.7</v>
      </c>
      <c r="H10" s="460"/>
      <c r="I10" s="166">
        <f t="shared" si="5"/>
        <v>16.8</v>
      </c>
      <c r="J10" s="166">
        <f t="shared" si="5"/>
        <v>1161.9363793103453</v>
      </c>
      <c r="K10" s="265">
        <f t="shared" si="5"/>
        <v>69.269787018255585</v>
      </c>
      <c r="L10" s="460"/>
      <c r="M10" s="272">
        <f>RANK(K10, K$7:$K$21)</f>
        <v>5</v>
      </c>
      <c r="N10" s="462"/>
      <c r="O10" s="462"/>
      <c r="P10" s="180"/>
      <c r="Q10" s="166"/>
      <c r="R10" s="166"/>
      <c r="S10" s="180" t="e">
        <f t="shared" si="6"/>
        <v>#N/A</v>
      </c>
      <c r="T10" s="486"/>
      <c r="U10" s="180"/>
      <c r="V10" s="166"/>
      <c r="W10" s="166"/>
      <c r="X10" s="180" t="e">
        <f t="shared" si="7"/>
        <v>#N/A</v>
      </c>
      <c r="Y10" s="486"/>
      <c r="Z10" s="180">
        <v>17</v>
      </c>
      <c r="AA10" s="166">
        <v>1111.8750000000014</v>
      </c>
      <c r="AB10" s="166">
        <v>65.404411764705969</v>
      </c>
      <c r="AC10" s="180">
        <f t="shared" si="8"/>
        <v>6</v>
      </c>
      <c r="AD10" s="486"/>
      <c r="AE10" s="180">
        <v>17</v>
      </c>
      <c r="AF10" s="166">
        <v>1101.6000000000004</v>
      </c>
      <c r="AG10" s="166">
        <v>64.800000000000026</v>
      </c>
      <c r="AH10" s="180">
        <f t="shared" si="9"/>
        <v>6</v>
      </c>
      <c r="AI10" s="486"/>
      <c r="AJ10" s="180">
        <v>17</v>
      </c>
      <c r="AK10" s="166">
        <v>1266.2068965517251</v>
      </c>
      <c r="AL10" s="166">
        <v>74.482758620689708</v>
      </c>
      <c r="AM10" s="180">
        <f t="shared" si="10"/>
        <v>4</v>
      </c>
      <c r="AN10" s="486"/>
      <c r="AO10" s="180">
        <v>17</v>
      </c>
      <c r="AP10" s="166">
        <v>1077.999999999998</v>
      </c>
      <c r="AQ10" s="166">
        <v>63.411764705882234</v>
      </c>
      <c r="AR10" s="180">
        <f t="shared" si="11"/>
        <v>6</v>
      </c>
      <c r="AS10" s="486"/>
      <c r="AT10" s="180">
        <v>16</v>
      </c>
      <c r="AU10" s="166">
        <v>1252.0000000000011</v>
      </c>
      <c r="AV10" s="166">
        <v>78.250000000000071</v>
      </c>
      <c r="AW10" s="180">
        <f t="shared" si="12"/>
        <v>4</v>
      </c>
      <c r="AX10" s="486"/>
      <c r="AZ10" s="272" t="e">
        <f>RANK(AX10, $K$7:AX$21)</f>
        <v>#N/A</v>
      </c>
      <c r="BB10" s="180" t="e">
        <f t="shared" si="13"/>
        <v>#N/A</v>
      </c>
    </row>
    <row r="11" spans="1:54" ht="14.25">
      <c r="A11" s="79"/>
      <c r="B11" s="479"/>
      <c r="C11" s="180">
        <v>5</v>
      </c>
      <c r="D11" s="201" t="s">
        <v>420</v>
      </c>
      <c r="E11" s="166">
        <v>6</v>
      </c>
      <c r="F11" s="166">
        <v>1500</v>
      </c>
      <c r="G11" s="166">
        <v>250</v>
      </c>
      <c r="H11" s="460"/>
      <c r="I11" s="166">
        <f t="shared" si="5"/>
        <v>6.2</v>
      </c>
      <c r="J11" s="166">
        <f t="shared" si="5"/>
        <v>1475.042600083571</v>
      </c>
      <c r="K11" s="265">
        <f t="shared" si="5"/>
        <v>238.87065312748163</v>
      </c>
      <c r="L11" s="460"/>
      <c r="M11" s="272">
        <f>RANK(K11, K$7:$K$21)</f>
        <v>1</v>
      </c>
      <c r="N11" s="462"/>
      <c r="O11" s="462"/>
      <c r="P11" s="180"/>
      <c r="Q11" s="166"/>
      <c r="R11" s="166"/>
      <c r="S11" s="180" t="e">
        <f t="shared" si="6"/>
        <v>#N/A</v>
      </c>
      <c r="T11" s="486"/>
      <c r="U11" s="180"/>
      <c r="V11" s="166"/>
      <c r="W11" s="166"/>
      <c r="X11" s="180" t="e">
        <f t="shared" si="7"/>
        <v>#N/A</v>
      </c>
      <c r="Y11" s="486"/>
      <c r="Z11" s="180">
        <v>6</v>
      </c>
      <c r="AA11" s="166">
        <v>1486.4705882352941</v>
      </c>
      <c r="AB11" s="166">
        <v>247.74509803921569</v>
      </c>
      <c r="AC11" s="180">
        <f t="shared" si="8"/>
        <v>1</v>
      </c>
      <c r="AD11" s="486"/>
      <c r="AE11" s="180">
        <v>6</v>
      </c>
      <c r="AF11" s="166">
        <v>1474.38202247191</v>
      </c>
      <c r="AG11" s="166">
        <v>245.73033707865167</v>
      </c>
      <c r="AH11" s="180">
        <f t="shared" si="9"/>
        <v>1</v>
      </c>
      <c r="AI11" s="486"/>
      <c r="AJ11" s="180">
        <v>6</v>
      </c>
      <c r="AK11" s="166">
        <v>1449.5744680851067</v>
      </c>
      <c r="AL11" s="166">
        <v>241.59574468085111</v>
      </c>
      <c r="AM11" s="180">
        <f t="shared" si="10"/>
        <v>2</v>
      </c>
      <c r="AN11" s="486"/>
      <c r="AO11" s="180">
        <v>6</v>
      </c>
      <c r="AP11" s="166">
        <v>1501.1320754716976</v>
      </c>
      <c r="AQ11" s="166">
        <v>250.18867924528294</v>
      </c>
      <c r="AR11" s="180">
        <f t="shared" si="11"/>
        <v>1</v>
      </c>
      <c r="AS11" s="486"/>
      <c r="AT11" s="180">
        <v>7</v>
      </c>
      <c r="AU11" s="166">
        <v>1463.6538461538464</v>
      </c>
      <c r="AV11" s="166">
        <v>209.09340659340663</v>
      </c>
      <c r="AW11" s="180">
        <f t="shared" si="12"/>
        <v>2</v>
      </c>
      <c r="AX11" s="486"/>
      <c r="AZ11" s="272" t="e">
        <f>RANK(AX11, $K$7:AX$21)</f>
        <v>#N/A</v>
      </c>
      <c r="BB11" s="180" t="e">
        <f t="shared" si="13"/>
        <v>#N/A</v>
      </c>
    </row>
    <row r="12" spans="1:54" ht="14.25">
      <c r="A12" s="79"/>
      <c r="B12" s="479"/>
      <c r="C12" s="180">
        <v>6</v>
      </c>
      <c r="D12" s="201" t="s">
        <v>440</v>
      </c>
      <c r="E12" s="166">
        <v>19</v>
      </c>
      <c r="F12" s="166">
        <v>1440</v>
      </c>
      <c r="G12" s="166">
        <v>75.8</v>
      </c>
      <c r="H12" s="460"/>
      <c r="I12" s="166">
        <f t="shared" si="5"/>
        <v>18.2</v>
      </c>
      <c r="J12" s="166">
        <f t="shared" si="5"/>
        <v>1265.7998148640113</v>
      </c>
      <c r="K12" s="265">
        <f t="shared" si="5"/>
        <v>69.594444241789688</v>
      </c>
      <c r="L12" s="460"/>
      <c r="M12" s="272">
        <f>RANK(K12, K$7:$K$21)</f>
        <v>4</v>
      </c>
      <c r="N12" s="462"/>
      <c r="O12" s="462"/>
      <c r="P12" s="180"/>
      <c r="Q12" s="166"/>
      <c r="R12" s="166"/>
      <c r="S12" s="180" t="e">
        <f t="shared" si="6"/>
        <v>#N/A</v>
      </c>
      <c r="T12" s="486"/>
      <c r="U12" s="180"/>
      <c r="V12" s="166"/>
      <c r="W12" s="166"/>
      <c r="X12" s="180" t="e">
        <f t="shared" si="7"/>
        <v>#N/A</v>
      </c>
      <c r="Y12" s="486"/>
      <c r="Z12" s="180">
        <v>18</v>
      </c>
      <c r="AA12" s="166">
        <v>1282.3728813559317</v>
      </c>
      <c r="AB12" s="166">
        <v>71.242937853107321</v>
      </c>
      <c r="AC12" s="180">
        <f t="shared" si="8"/>
        <v>4</v>
      </c>
      <c r="AD12" s="486"/>
      <c r="AE12" s="180">
        <v>18</v>
      </c>
      <c r="AF12" s="166">
        <v>1280.4545454545455</v>
      </c>
      <c r="AG12" s="166">
        <v>71.13636363636364</v>
      </c>
      <c r="AH12" s="180">
        <f t="shared" si="9"/>
        <v>4</v>
      </c>
      <c r="AI12" s="486"/>
      <c r="AJ12" s="180">
        <v>18</v>
      </c>
      <c r="AK12" s="166">
        <v>1268.8888888888896</v>
      </c>
      <c r="AL12" s="166">
        <v>70.493827160493865</v>
      </c>
      <c r="AM12" s="180">
        <f t="shared" si="10"/>
        <v>5</v>
      </c>
      <c r="AN12" s="486"/>
      <c r="AO12" s="180">
        <v>18</v>
      </c>
      <c r="AP12" s="166">
        <v>1252.8000000000004</v>
      </c>
      <c r="AQ12" s="166">
        <v>69.600000000000023</v>
      </c>
      <c r="AR12" s="180">
        <f t="shared" si="11"/>
        <v>4</v>
      </c>
      <c r="AS12" s="486"/>
      <c r="AT12" s="180">
        <v>19</v>
      </c>
      <c r="AU12" s="166">
        <v>1244.4827586206889</v>
      </c>
      <c r="AV12" s="166">
        <v>65.499092558983619</v>
      </c>
      <c r="AW12" s="180">
        <f t="shared" si="12"/>
        <v>6</v>
      </c>
      <c r="AX12" s="486"/>
      <c r="AZ12" s="272" t="e">
        <f>RANK(AX12, $K$7:AX$21)</f>
        <v>#N/A</v>
      </c>
      <c r="BB12" s="180" t="e">
        <f t="shared" si="13"/>
        <v>#N/A</v>
      </c>
    </row>
    <row r="13" spans="1:54" ht="14.25">
      <c r="A13" s="79"/>
      <c r="B13" s="479"/>
      <c r="C13" s="180">
        <v>7</v>
      </c>
      <c r="D13" s="271" t="s">
        <v>677</v>
      </c>
      <c r="E13" s="166">
        <v>21</v>
      </c>
      <c r="F13" s="166">
        <v>1385</v>
      </c>
      <c r="G13" s="166">
        <v>65.900000000000006</v>
      </c>
      <c r="H13" s="460"/>
      <c r="I13" s="166">
        <f t="shared" si="5"/>
        <v>19.8</v>
      </c>
      <c r="J13" s="166">
        <f t="shared" si="5"/>
        <v>1066.7051888125056</v>
      </c>
      <c r="K13" s="265">
        <f t="shared" si="5"/>
        <v>53.944733124835821</v>
      </c>
      <c r="L13" s="460"/>
      <c r="M13" s="272">
        <f>RANK(K13, K$7:$K$21)</f>
        <v>7</v>
      </c>
      <c r="N13" s="462"/>
      <c r="O13" s="462"/>
      <c r="P13" s="180"/>
      <c r="Q13" s="166"/>
      <c r="R13" s="166"/>
      <c r="S13" s="180" t="e">
        <f t="shared" si="6"/>
        <v>#N/A</v>
      </c>
      <c r="T13" s="486"/>
      <c r="U13" s="180"/>
      <c r="V13" s="166"/>
      <c r="W13" s="166"/>
      <c r="X13" s="180" t="e">
        <f t="shared" si="7"/>
        <v>#N/A</v>
      </c>
      <c r="Y13" s="486"/>
      <c r="Z13" s="180">
        <v>20</v>
      </c>
      <c r="AA13" s="166">
        <v>1093.1707317073187</v>
      </c>
      <c r="AB13" s="166">
        <v>54.658536585365937</v>
      </c>
      <c r="AC13" s="180">
        <f t="shared" si="8"/>
        <v>7</v>
      </c>
      <c r="AD13" s="486"/>
      <c r="AE13" s="180">
        <v>20</v>
      </c>
      <c r="AF13" s="166">
        <v>949.99999999999932</v>
      </c>
      <c r="AG13" s="166">
        <v>47.499999999999964</v>
      </c>
      <c r="AH13" s="180">
        <f t="shared" si="9"/>
        <v>7</v>
      </c>
      <c r="AI13" s="486"/>
      <c r="AJ13" s="180">
        <v>20</v>
      </c>
      <c r="AK13" s="166">
        <v>1068.5714285714282</v>
      </c>
      <c r="AL13" s="166">
        <v>53.428571428571409</v>
      </c>
      <c r="AM13" s="180">
        <f t="shared" si="10"/>
        <v>7</v>
      </c>
      <c r="AN13" s="486"/>
      <c r="AO13" s="180">
        <v>20</v>
      </c>
      <c r="AP13" s="166">
        <v>1063.7837837837828</v>
      </c>
      <c r="AQ13" s="166">
        <v>53.189189189189143</v>
      </c>
      <c r="AR13" s="180">
        <f t="shared" si="11"/>
        <v>7</v>
      </c>
      <c r="AS13" s="486"/>
      <c r="AT13" s="180">
        <v>19</v>
      </c>
      <c r="AU13" s="166">
        <v>1157.9999999999995</v>
      </c>
      <c r="AV13" s="166">
        <v>60.947368421052609</v>
      </c>
      <c r="AW13" s="180">
        <f t="shared" si="12"/>
        <v>7</v>
      </c>
      <c r="AX13" s="486"/>
      <c r="AZ13" s="272" t="e">
        <f>RANK(AX13, $K$7:AX$21)</f>
        <v>#N/A</v>
      </c>
      <c r="BB13" s="180" t="e">
        <f t="shared" si="13"/>
        <v>#N/A</v>
      </c>
    </row>
    <row r="14" spans="1:54" ht="14.25">
      <c r="A14" s="79"/>
      <c r="B14" s="479"/>
      <c r="C14" s="180">
        <v>8</v>
      </c>
      <c r="D14" s="271" t="s">
        <v>678</v>
      </c>
      <c r="E14" s="166">
        <v>21</v>
      </c>
      <c r="F14" s="166">
        <v>1385</v>
      </c>
      <c r="G14" s="166">
        <v>65.900000000000006</v>
      </c>
      <c r="H14" s="460"/>
      <c r="I14" s="166">
        <f t="shared" si="5"/>
        <v>20</v>
      </c>
      <c r="J14" s="166">
        <f t="shared" si="5"/>
        <v>931.67371546119102</v>
      </c>
      <c r="K14" s="265">
        <f t="shared" si="5"/>
        <v>46.58368577305955</v>
      </c>
      <c r="L14" s="460"/>
      <c r="M14" s="272">
        <f>RANK(K14, K$7:$K$21)</f>
        <v>8</v>
      </c>
      <c r="N14" s="462"/>
      <c r="O14" s="462"/>
      <c r="P14" s="180"/>
      <c r="Q14" s="166"/>
      <c r="R14" s="166"/>
      <c r="S14" s="180" t="e">
        <f t="shared" si="6"/>
        <v>#N/A</v>
      </c>
      <c r="T14" s="486"/>
      <c r="U14" s="180"/>
      <c r="V14" s="166"/>
      <c r="W14" s="166"/>
      <c r="X14" s="180" t="e">
        <f t="shared" si="7"/>
        <v>#N/A</v>
      </c>
      <c r="Y14" s="486"/>
      <c r="Z14" s="180">
        <v>20</v>
      </c>
      <c r="AA14" s="166">
        <v>914.5945945945939</v>
      </c>
      <c r="AB14" s="166">
        <v>45.729729729729698</v>
      </c>
      <c r="AC14" s="180">
        <f t="shared" si="8"/>
        <v>8</v>
      </c>
      <c r="AD14" s="486"/>
      <c r="AE14" s="180">
        <v>20</v>
      </c>
      <c r="AF14" s="166">
        <v>937.77777777777555</v>
      </c>
      <c r="AG14" s="166">
        <v>46.888888888888779</v>
      </c>
      <c r="AH14" s="180">
        <f t="shared" si="9"/>
        <v>8</v>
      </c>
      <c r="AI14" s="486"/>
      <c r="AJ14" s="180">
        <v>20</v>
      </c>
      <c r="AK14" s="166">
        <v>899.99999999999909</v>
      </c>
      <c r="AL14" s="166">
        <v>44.999999999999957</v>
      </c>
      <c r="AM14" s="180">
        <f t="shared" si="10"/>
        <v>8</v>
      </c>
      <c r="AN14" s="486"/>
      <c r="AO14" s="180">
        <v>20</v>
      </c>
      <c r="AP14" s="166">
        <v>921.29032258064603</v>
      </c>
      <c r="AQ14" s="166">
        <v>46.064516129032299</v>
      </c>
      <c r="AR14" s="180">
        <f t="shared" si="11"/>
        <v>8</v>
      </c>
      <c r="AS14" s="486"/>
      <c r="AT14" s="180">
        <v>20</v>
      </c>
      <c r="AU14" s="166">
        <v>984.70588235294008</v>
      </c>
      <c r="AV14" s="166">
        <v>49.235294117647001</v>
      </c>
      <c r="AW14" s="180">
        <f t="shared" si="12"/>
        <v>8</v>
      </c>
      <c r="AX14" s="486"/>
      <c r="AZ14" s="272" t="e">
        <f>RANK(AX14, $K$7:AX$21)</f>
        <v>#N/A</v>
      </c>
      <c r="BB14" s="180" t="e">
        <f t="shared" si="13"/>
        <v>#N/A</v>
      </c>
    </row>
    <row r="15" spans="1:54" ht="14.25">
      <c r="A15" s="79"/>
      <c r="B15" s="479"/>
      <c r="C15" s="180">
        <v>9</v>
      </c>
      <c r="D15" s="201"/>
      <c r="E15" s="166" t="s">
        <v>522</v>
      </c>
      <c r="F15" s="166" t="s">
        <v>522</v>
      </c>
      <c r="G15" s="166" t="s">
        <v>522</v>
      </c>
      <c r="H15" s="460"/>
      <c r="I15" s="166"/>
      <c r="J15" s="166"/>
      <c r="K15" s="265"/>
      <c r="L15" s="460"/>
      <c r="M15" s="272" t="e">
        <f>RANK(K15, K$7:$K$21)</f>
        <v>#N/A</v>
      </c>
      <c r="N15" s="462"/>
      <c r="O15" s="462"/>
      <c r="P15" s="180" t="s">
        <v>522</v>
      </c>
      <c r="Q15" s="166" t="s">
        <v>522</v>
      </c>
      <c r="R15" s="166" t="s">
        <v>522</v>
      </c>
      <c r="S15" s="180" t="e">
        <f t="shared" si="6"/>
        <v>#VALUE!</v>
      </c>
      <c r="T15" s="486"/>
      <c r="U15" s="180"/>
      <c r="V15" s="166"/>
      <c r="W15" s="166"/>
      <c r="X15" s="180" t="e">
        <f t="shared" si="7"/>
        <v>#N/A</v>
      </c>
      <c r="Y15" s="486"/>
      <c r="Z15" s="180"/>
      <c r="AA15" s="166"/>
      <c r="AB15" s="166"/>
      <c r="AC15" s="180" t="e">
        <f t="shared" si="8"/>
        <v>#N/A</v>
      </c>
      <c r="AD15" s="486"/>
      <c r="AE15" s="180"/>
      <c r="AF15" s="166"/>
      <c r="AG15" s="166"/>
      <c r="AH15" s="180" t="e">
        <f t="shared" si="9"/>
        <v>#N/A</v>
      </c>
      <c r="AI15" s="486"/>
      <c r="AJ15" s="180"/>
      <c r="AK15" s="166"/>
      <c r="AL15" s="166"/>
      <c r="AM15" s="180" t="e">
        <f t="shared" si="10"/>
        <v>#N/A</v>
      </c>
      <c r="AN15" s="486"/>
      <c r="AO15" s="180"/>
      <c r="AP15" s="166"/>
      <c r="AQ15" s="166"/>
      <c r="AR15" s="180" t="e">
        <f t="shared" si="11"/>
        <v>#N/A</v>
      </c>
      <c r="AS15" s="486"/>
      <c r="AT15" s="180"/>
      <c r="AU15" s="166"/>
      <c r="AV15" s="166"/>
      <c r="AW15" s="180" t="e">
        <f t="shared" si="12"/>
        <v>#N/A</v>
      </c>
      <c r="AX15" s="486"/>
      <c r="AZ15" s="272" t="e">
        <f>RANK(AX15, $K$7:AX$21)</f>
        <v>#N/A</v>
      </c>
      <c r="BB15" s="180" t="e">
        <f t="shared" si="13"/>
        <v>#N/A</v>
      </c>
    </row>
    <row r="16" spans="1:54" ht="14.25">
      <c r="A16" s="79"/>
      <c r="B16" s="479"/>
      <c r="C16" s="180">
        <v>10</v>
      </c>
      <c r="D16" s="201"/>
      <c r="E16" s="166" t="s">
        <v>522</v>
      </c>
      <c r="F16" s="166" t="s">
        <v>522</v>
      </c>
      <c r="G16" s="166" t="s">
        <v>522</v>
      </c>
      <c r="H16" s="460"/>
      <c r="I16" s="166"/>
      <c r="J16" s="166"/>
      <c r="K16" s="265"/>
      <c r="L16" s="460"/>
      <c r="M16" s="272" t="e">
        <f>RANK(K16, K$7:$K$21)</f>
        <v>#N/A</v>
      </c>
      <c r="N16" s="462"/>
      <c r="O16" s="462"/>
      <c r="P16" s="180" t="s">
        <v>522</v>
      </c>
      <c r="Q16" s="166" t="s">
        <v>522</v>
      </c>
      <c r="R16" s="166" t="s">
        <v>522</v>
      </c>
      <c r="S16" s="180" t="e">
        <f t="shared" si="6"/>
        <v>#VALUE!</v>
      </c>
      <c r="T16" s="486"/>
      <c r="U16" s="180"/>
      <c r="V16" s="166"/>
      <c r="W16" s="166"/>
      <c r="X16" s="180" t="e">
        <f t="shared" si="7"/>
        <v>#N/A</v>
      </c>
      <c r="Y16" s="486"/>
      <c r="Z16" s="180"/>
      <c r="AA16" s="166"/>
      <c r="AB16" s="166"/>
      <c r="AC16" s="180" t="e">
        <f t="shared" si="8"/>
        <v>#N/A</v>
      </c>
      <c r="AD16" s="486"/>
      <c r="AE16" s="180"/>
      <c r="AF16" s="166"/>
      <c r="AG16" s="166"/>
      <c r="AH16" s="180" t="e">
        <f t="shared" si="9"/>
        <v>#N/A</v>
      </c>
      <c r="AI16" s="486"/>
      <c r="AJ16" s="180"/>
      <c r="AK16" s="166"/>
      <c r="AL16" s="166"/>
      <c r="AM16" s="180" t="e">
        <f t="shared" si="10"/>
        <v>#N/A</v>
      </c>
      <c r="AN16" s="486"/>
      <c r="AO16" s="180"/>
      <c r="AP16" s="166"/>
      <c r="AQ16" s="166"/>
      <c r="AR16" s="180" t="e">
        <f t="shared" si="11"/>
        <v>#N/A</v>
      </c>
      <c r="AS16" s="486"/>
      <c r="AT16" s="180"/>
      <c r="AU16" s="166"/>
      <c r="AV16" s="166"/>
      <c r="AW16" s="180" t="e">
        <f t="shared" si="12"/>
        <v>#N/A</v>
      </c>
      <c r="AX16" s="486"/>
      <c r="AZ16" s="272" t="e">
        <f>RANK(AX16, $K$7:AX$21)</f>
        <v>#N/A</v>
      </c>
      <c r="BB16" s="180" t="e">
        <f t="shared" si="13"/>
        <v>#N/A</v>
      </c>
    </row>
    <row r="17" spans="2:54">
      <c r="B17" s="479"/>
      <c r="C17" s="180">
        <v>11</v>
      </c>
      <c r="D17" s="201"/>
      <c r="E17" s="166" t="s">
        <v>522</v>
      </c>
      <c r="F17" s="166" t="s">
        <v>522</v>
      </c>
      <c r="G17" s="166" t="s">
        <v>522</v>
      </c>
      <c r="H17" s="460"/>
      <c r="I17" s="180"/>
      <c r="J17" s="180"/>
      <c r="K17" s="180"/>
      <c r="L17" s="460"/>
      <c r="M17" s="272" t="e">
        <f>RANK(K17, K$7:$K$21)</f>
        <v>#N/A</v>
      </c>
      <c r="N17" s="462"/>
      <c r="O17" s="462"/>
      <c r="P17" s="180" t="s">
        <v>522</v>
      </c>
      <c r="Q17" s="166" t="s">
        <v>522</v>
      </c>
      <c r="R17" s="166" t="s">
        <v>522</v>
      </c>
      <c r="S17" s="180" t="e">
        <f t="shared" si="6"/>
        <v>#VALUE!</v>
      </c>
      <c r="T17" s="486"/>
      <c r="U17" s="180"/>
      <c r="V17" s="166"/>
      <c r="W17" s="166"/>
      <c r="X17" s="180" t="e">
        <f t="shared" si="7"/>
        <v>#N/A</v>
      </c>
      <c r="Y17" s="486"/>
      <c r="Z17" s="180"/>
      <c r="AA17" s="166"/>
      <c r="AB17" s="166"/>
      <c r="AC17" s="180" t="e">
        <f t="shared" si="8"/>
        <v>#N/A</v>
      </c>
      <c r="AD17" s="486"/>
      <c r="AE17" s="180"/>
      <c r="AF17" s="166"/>
      <c r="AG17" s="166"/>
      <c r="AH17" s="180" t="e">
        <f t="shared" si="9"/>
        <v>#N/A</v>
      </c>
      <c r="AI17" s="486"/>
      <c r="AJ17" s="180"/>
      <c r="AK17" s="166"/>
      <c r="AL17" s="166"/>
      <c r="AM17" s="180" t="e">
        <f t="shared" si="10"/>
        <v>#N/A</v>
      </c>
      <c r="AN17" s="486"/>
      <c r="AO17" s="180"/>
      <c r="AP17" s="166"/>
      <c r="AQ17" s="166"/>
      <c r="AR17" s="180" t="e">
        <f t="shared" si="11"/>
        <v>#N/A</v>
      </c>
      <c r="AS17" s="486"/>
      <c r="AT17" s="180"/>
      <c r="AU17" s="166"/>
      <c r="AV17" s="166"/>
      <c r="AW17" s="180" t="e">
        <f t="shared" si="12"/>
        <v>#N/A</v>
      </c>
      <c r="AX17" s="486"/>
      <c r="AZ17" s="272" t="e">
        <f>RANK(AX17, $K$7:AX$21)</f>
        <v>#N/A</v>
      </c>
      <c r="BB17" s="180" t="e">
        <f t="shared" si="13"/>
        <v>#N/A</v>
      </c>
    </row>
    <row r="18" spans="2:54">
      <c r="B18" s="479"/>
      <c r="C18" s="180">
        <v>12</v>
      </c>
      <c r="D18" s="201"/>
      <c r="E18" s="166" t="s">
        <v>522</v>
      </c>
      <c r="F18" s="166" t="s">
        <v>522</v>
      </c>
      <c r="G18" s="166" t="s">
        <v>522</v>
      </c>
      <c r="H18" s="460"/>
      <c r="I18" s="180"/>
      <c r="J18" s="180"/>
      <c r="K18" s="180"/>
      <c r="L18" s="460"/>
      <c r="M18" s="272" t="e">
        <f>RANK(K18, K$7:$K$21)</f>
        <v>#N/A</v>
      </c>
      <c r="N18" s="462"/>
      <c r="O18" s="462"/>
      <c r="P18" s="180" t="s">
        <v>522</v>
      </c>
      <c r="Q18" s="166" t="s">
        <v>522</v>
      </c>
      <c r="R18" s="166" t="s">
        <v>522</v>
      </c>
      <c r="S18" s="180" t="e">
        <f t="shared" si="6"/>
        <v>#VALUE!</v>
      </c>
      <c r="T18" s="486"/>
      <c r="U18" s="180"/>
      <c r="V18" s="166"/>
      <c r="W18" s="166"/>
      <c r="X18" s="180" t="e">
        <f t="shared" si="7"/>
        <v>#N/A</v>
      </c>
      <c r="Y18" s="486"/>
      <c r="Z18" s="180"/>
      <c r="AA18" s="166"/>
      <c r="AB18" s="166"/>
      <c r="AC18" s="180" t="e">
        <f t="shared" si="8"/>
        <v>#N/A</v>
      </c>
      <c r="AD18" s="486"/>
      <c r="AE18" s="180"/>
      <c r="AF18" s="166"/>
      <c r="AG18" s="166"/>
      <c r="AH18" s="180" t="e">
        <f t="shared" si="9"/>
        <v>#N/A</v>
      </c>
      <c r="AI18" s="486"/>
      <c r="AJ18" s="180"/>
      <c r="AK18" s="166"/>
      <c r="AL18" s="166"/>
      <c r="AM18" s="180" t="e">
        <f t="shared" si="10"/>
        <v>#N/A</v>
      </c>
      <c r="AN18" s="486"/>
      <c r="AO18" s="180"/>
      <c r="AP18" s="166"/>
      <c r="AQ18" s="166"/>
      <c r="AR18" s="180" t="e">
        <f t="shared" si="11"/>
        <v>#N/A</v>
      </c>
      <c r="AS18" s="486"/>
      <c r="AT18" s="180"/>
      <c r="AU18" s="166"/>
      <c r="AV18" s="166"/>
      <c r="AW18" s="180" t="e">
        <f t="shared" si="12"/>
        <v>#N/A</v>
      </c>
      <c r="AX18" s="486"/>
      <c r="AZ18" s="272" t="e">
        <f>RANK(AX18, $K$7:AX$21)</f>
        <v>#N/A</v>
      </c>
      <c r="BB18" s="180" t="e">
        <f t="shared" si="13"/>
        <v>#N/A</v>
      </c>
    </row>
    <row r="19" spans="2:54">
      <c r="B19" s="479"/>
      <c r="C19" s="180">
        <v>13</v>
      </c>
      <c r="D19" s="201"/>
      <c r="E19" s="166" t="s">
        <v>522</v>
      </c>
      <c r="F19" s="166" t="s">
        <v>522</v>
      </c>
      <c r="G19" s="166" t="s">
        <v>522</v>
      </c>
      <c r="H19" s="460"/>
      <c r="I19" s="180"/>
      <c r="J19" s="180"/>
      <c r="K19" s="180"/>
      <c r="L19" s="460"/>
      <c r="M19" s="272" t="e">
        <f>RANK(K19, K$7:$K$21)</f>
        <v>#N/A</v>
      </c>
      <c r="N19" s="462"/>
      <c r="O19" s="462"/>
      <c r="P19" s="180" t="s">
        <v>522</v>
      </c>
      <c r="Q19" s="166" t="s">
        <v>522</v>
      </c>
      <c r="R19" s="166" t="s">
        <v>522</v>
      </c>
      <c r="S19" s="180" t="e">
        <f t="shared" si="6"/>
        <v>#VALUE!</v>
      </c>
      <c r="T19" s="486"/>
      <c r="U19" s="180"/>
      <c r="V19" s="166"/>
      <c r="W19" s="166"/>
      <c r="X19" s="180" t="e">
        <f t="shared" si="7"/>
        <v>#N/A</v>
      </c>
      <c r="Y19" s="486"/>
      <c r="Z19" s="180"/>
      <c r="AA19" s="166"/>
      <c r="AB19" s="166"/>
      <c r="AC19" s="180" t="e">
        <f t="shared" si="8"/>
        <v>#N/A</v>
      </c>
      <c r="AD19" s="486"/>
      <c r="AE19" s="180"/>
      <c r="AF19" s="166"/>
      <c r="AG19" s="166"/>
      <c r="AH19" s="180" t="e">
        <f t="shared" si="9"/>
        <v>#N/A</v>
      </c>
      <c r="AI19" s="486"/>
      <c r="AJ19" s="180"/>
      <c r="AK19" s="166"/>
      <c r="AL19" s="166"/>
      <c r="AM19" s="180" t="e">
        <f t="shared" si="10"/>
        <v>#N/A</v>
      </c>
      <c r="AN19" s="486"/>
      <c r="AO19" s="180"/>
      <c r="AP19" s="166"/>
      <c r="AQ19" s="166"/>
      <c r="AR19" s="180" t="e">
        <f t="shared" si="11"/>
        <v>#N/A</v>
      </c>
      <c r="AS19" s="486"/>
      <c r="AT19" s="180"/>
      <c r="AU19" s="166"/>
      <c r="AV19" s="166"/>
      <c r="AW19" s="180" t="e">
        <f t="shared" si="12"/>
        <v>#N/A</v>
      </c>
      <c r="AX19" s="486"/>
      <c r="AZ19" s="272" t="e">
        <f>RANK(AX19, $K$7:AX$21)</f>
        <v>#N/A</v>
      </c>
      <c r="BB19" s="180" t="e">
        <f t="shared" si="13"/>
        <v>#N/A</v>
      </c>
    </row>
    <row r="20" spans="2:54">
      <c r="B20" s="479"/>
      <c r="C20" s="180">
        <v>14</v>
      </c>
      <c r="D20" s="201"/>
      <c r="E20" s="166" t="s">
        <v>522</v>
      </c>
      <c r="F20" s="166" t="s">
        <v>522</v>
      </c>
      <c r="G20" s="166" t="s">
        <v>522</v>
      </c>
      <c r="H20" s="460"/>
      <c r="I20" s="180"/>
      <c r="J20" s="180"/>
      <c r="K20" s="180"/>
      <c r="L20" s="460"/>
      <c r="M20" s="272" t="e">
        <f>RANK(K20, K$7:$K$21)</f>
        <v>#N/A</v>
      </c>
      <c r="N20" s="462"/>
      <c r="O20" s="462"/>
      <c r="P20" s="180" t="s">
        <v>522</v>
      </c>
      <c r="Q20" s="166" t="s">
        <v>522</v>
      </c>
      <c r="R20" s="166" t="s">
        <v>522</v>
      </c>
      <c r="S20" s="180" t="e">
        <f t="shared" si="6"/>
        <v>#VALUE!</v>
      </c>
      <c r="T20" s="486"/>
      <c r="U20" s="180"/>
      <c r="V20" s="166"/>
      <c r="W20" s="166"/>
      <c r="X20" s="180" t="e">
        <f t="shared" si="7"/>
        <v>#N/A</v>
      </c>
      <c r="Y20" s="486"/>
      <c r="Z20" s="180"/>
      <c r="AA20" s="166"/>
      <c r="AB20" s="166"/>
      <c r="AC20" s="180" t="e">
        <f t="shared" si="8"/>
        <v>#N/A</v>
      </c>
      <c r="AD20" s="486"/>
      <c r="AE20" s="180"/>
      <c r="AF20" s="166"/>
      <c r="AG20" s="166"/>
      <c r="AH20" s="180" t="e">
        <f t="shared" si="9"/>
        <v>#N/A</v>
      </c>
      <c r="AI20" s="486"/>
      <c r="AJ20" s="180"/>
      <c r="AK20" s="166"/>
      <c r="AL20" s="166"/>
      <c r="AM20" s="180" t="e">
        <f t="shared" si="10"/>
        <v>#N/A</v>
      </c>
      <c r="AN20" s="486"/>
      <c r="AO20" s="180"/>
      <c r="AP20" s="166"/>
      <c r="AQ20" s="166"/>
      <c r="AR20" s="180" t="e">
        <f t="shared" si="11"/>
        <v>#N/A</v>
      </c>
      <c r="AS20" s="486"/>
      <c r="AT20" s="180"/>
      <c r="AU20" s="166"/>
      <c r="AV20" s="166"/>
      <c r="AW20" s="180" t="e">
        <f t="shared" si="12"/>
        <v>#N/A</v>
      </c>
      <c r="AX20" s="486"/>
      <c r="AZ20" s="272" t="e">
        <f>RANK(AX20, $K$7:AX$21)</f>
        <v>#N/A</v>
      </c>
      <c r="BB20" s="180" t="e">
        <f t="shared" si="13"/>
        <v>#N/A</v>
      </c>
    </row>
    <row r="21" spans="2:54">
      <c r="B21" s="479"/>
      <c r="C21" s="180">
        <v>15</v>
      </c>
      <c r="D21" s="201"/>
      <c r="E21" s="166" t="s">
        <v>522</v>
      </c>
      <c r="F21" s="166" t="s">
        <v>522</v>
      </c>
      <c r="G21" s="166" t="s">
        <v>522</v>
      </c>
      <c r="H21" s="461"/>
      <c r="I21" s="180"/>
      <c r="J21" s="180"/>
      <c r="K21" s="180"/>
      <c r="L21" s="461"/>
      <c r="M21" s="272" t="e">
        <f>RANK(K21, K$7:$K$21)</f>
        <v>#N/A</v>
      </c>
      <c r="N21" s="462"/>
      <c r="O21" s="462"/>
      <c r="P21" s="180" t="s">
        <v>522</v>
      </c>
      <c r="Q21" s="166" t="s">
        <v>522</v>
      </c>
      <c r="R21" s="166" t="s">
        <v>522</v>
      </c>
      <c r="S21" s="180" t="e">
        <f t="shared" si="6"/>
        <v>#VALUE!</v>
      </c>
      <c r="T21" s="486"/>
      <c r="U21" s="180"/>
      <c r="V21" s="166"/>
      <c r="W21" s="166"/>
      <c r="X21" s="180" t="e">
        <f t="shared" si="7"/>
        <v>#N/A</v>
      </c>
      <c r="Y21" s="486"/>
      <c r="Z21" s="180"/>
      <c r="AA21" s="166"/>
      <c r="AB21" s="166"/>
      <c r="AC21" s="180" t="e">
        <f t="shared" si="8"/>
        <v>#N/A</v>
      </c>
      <c r="AD21" s="486"/>
      <c r="AE21" s="180"/>
      <c r="AF21" s="166"/>
      <c r="AG21" s="166"/>
      <c r="AH21" s="180" t="e">
        <f t="shared" si="9"/>
        <v>#N/A</v>
      </c>
      <c r="AI21" s="486"/>
      <c r="AJ21" s="180"/>
      <c r="AK21" s="166"/>
      <c r="AL21" s="166"/>
      <c r="AM21" s="180" t="e">
        <f t="shared" si="10"/>
        <v>#N/A</v>
      </c>
      <c r="AN21" s="486"/>
      <c r="AO21" s="180"/>
      <c r="AP21" s="166"/>
      <c r="AQ21" s="166"/>
      <c r="AR21" s="180" t="e">
        <f t="shared" si="11"/>
        <v>#N/A</v>
      </c>
      <c r="AS21" s="486"/>
      <c r="AT21" s="180"/>
      <c r="AU21" s="166"/>
      <c r="AV21" s="166"/>
      <c r="AW21" s="180" t="e">
        <f t="shared" si="12"/>
        <v>#N/A</v>
      </c>
      <c r="AX21" s="486"/>
      <c r="AZ21" s="166" t="e">
        <f>RANK(AX21, $K$7:AX$21)</f>
        <v>#N/A</v>
      </c>
      <c r="BB21" s="180" t="e">
        <f t="shared" si="13"/>
        <v>#N/A</v>
      </c>
    </row>
    <row r="22" spans="2:54" ht="15.75">
      <c r="B22" s="490" t="s">
        <v>644</v>
      </c>
      <c r="C22" s="491"/>
      <c r="D22" s="491"/>
      <c r="E22" s="491"/>
      <c r="F22" s="491"/>
      <c r="G22" s="491"/>
      <c r="H22" s="491"/>
      <c r="I22" s="181"/>
      <c r="J22" s="181"/>
      <c r="K22" s="181"/>
      <c r="L22" s="181"/>
      <c r="M22" s="178"/>
      <c r="N22" s="469" t="s">
        <v>645</v>
      </c>
      <c r="O22" s="469" t="s">
        <v>646</v>
      </c>
      <c r="P22" s="478">
        <f>AT2+1</f>
        <v>6</v>
      </c>
      <c r="Q22" s="479"/>
      <c r="R22" s="479"/>
      <c r="S22" s="479"/>
      <c r="T22" s="479"/>
      <c r="U22" s="478">
        <f>P22+1</f>
        <v>7</v>
      </c>
      <c r="V22" s="479"/>
      <c r="W22" s="479"/>
      <c r="X22" s="479"/>
      <c r="Y22" s="479"/>
      <c r="Z22" s="478">
        <f>U22+1</f>
        <v>8</v>
      </c>
      <c r="AA22" s="479"/>
      <c r="AB22" s="479"/>
      <c r="AC22" s="479"/>
      <c r="AD22" s="479"/>
      <c r="AE22" s="478">
        <f>Z22+1</f>
        <v>9</v>
      </c>
      <c r="AF22" s="479"/>
      <c r="AG22" s="479"/>
      <c r="AH22" s="479"/>
      <c r="AI22" s="479"/>
      <c r="AJ22" s="478">
        <f>AE22+1</f>
        <v>10</v>
      </c>
      <c r="AK22" s="479"/>
      <c r="AL22" s="479"/>
      <c r="AM22" s="479"/>
      <c r="AN22" s="479"/>
      <c r="AO22" s="478">
        <f>AJ22+1</f>
        <v>11</v>
      </c>
      <c r="AP22" s="479"/>
      <c r="AQ22" s="479"/>
      <c r="AR22" s="479"/>
      <c r="AS22" s="479"/>
      <c r="AT22" s="478">
        <f>AO22+1</f>
        <v>12</v>
      </c>
      <c r="AU22" s="479"/>
      <c r="AV22" s="479"/>
      <c r="AW22" s="479"/>
      <c r="AX22" s="479"/>
    </row>
    <row r="23" spans="2:54" ht="15.75">
      <c r="B23" s="482"/>
      <c r="C23" s="482"/>
      <c r="D23" s="482"/>
      <c r="E23" s="482"/>
      <c r="F23" s="482"/>
      <c r="G23" s="482"/>
      <c r="H23" s="482"/>
      <c r="I23" s="182"/>
      <c r="J23" s="182"/>
      <c r="K23" s="182"/>
      <c r="L23" s="182"/>
      <c r="M23" s="179"/>
      <c r="N23" s="471"/>
      <c r="O23" s="471"/>
      <c r="P23" s="478" t="s">
        <v>647</v>
      </c>
      <c r="Q23" s="479"/>
      <c r="R23" s="479"/>
      <c r="S23" s="479"/>
      <c r="T23" s="479"/>
      <c r="U23" s="478" t="s">
        <v>648</v>
      </c>
      <c r="V23" s="479"/>
      <c r="W23" s="479"/>
      <c r="X23" s="479"/>
      <c r="Y23" s="479"/>
      <c r="Z23" s="478" t="s">
        <v>649</v>
      </c>
      <c r="AA23" s="479"/>
      <c r="AB23" s="479"/>
      <c r="AC23" s="479"/>
      <c r="AD23" s="479"/>
      <c r="AE23" s="478" t="s">
        <v>650</v>
      </c>
      <c r="AF23" s="479"/>
      <c r="AG23" s="479"/>
      <c r="AH23" s="479"/>
      <c r="AI23" s="479"/>
      <c r="AJ23" s="478" t="s">
        <v>651</v>
      </c>
      <c r="AK23" s="479"/>
      <c r="AL23" s="479"/>
      <c r="AM23" s="479"/>
      <c r="AN23" s="479"/>
      <c r="AO23" s="478" t="s">
        <v>652</v>
      </c>
      <c r="AP23" s="479"/>
      <c r="AQ23" s="479"/>
      <c r="AR23" s="479"/>
      <c r="AS23" s="479"/>
      <c r="AT23" s="478" t="s">
        <v>653</v>
      </c>
      <c r="AU23" s="479"/>
      <c r="AV23" s="479"/>
      <c r="AW23" s="479"/>
      <c r="AX23" s="479"/>
    </row>
    <row r="24" spans="2:54">
      <c r="B24" s="462" t="s">
        <v>654</v>
      </c>
      <c r="C24" s="462" t="s">
        <v>655</v>
      </c>
      <c r="D24" s="462"/>
      <c r="E24" s="462" t="s">
        <v>656</v>
      </c>
      <c r="F24" s="462"/>
      <c r="G24" s="462"/>
      <c r="H24" s="463" t="s">
        <v>657</v>
      </c>
      <c r="I24" s="462" t="s">
        <v>658</v>
      </c>
      <c r="J24" s="462"/>
      <c r="K24" s="462"/>
      <c r="L24" s="463" t="s">
        <v>657</v>
      </c>
      <c r="M24" s="469" t="s">
        <v>659</v>
      </c>
      <c r="N24" s="462"/>
      <c r="O24" s="462" t="s">
        <v>660</v>
      </c>
      <c r="P24" s="466" t="s">
        <v>661</v>
      </c>
      <c r="Q24" s="467"/>
      <c r="R24" s="467"/>
      <c r="S24" s="468"/>
      <c r="T24" s="462" t="s">
        <v>657</v>
      </c>
      <c r="U24" s="466" t="s">
        <v>661</v>
      </c>
      <c r="V24" s="467"/>
      <c r="W24" s="467"/>
      <c r="X24" s="468"/>
      <c r="Y24" s="462" t="s">
        <v>657</v>
      </c>
      <c r="Z24" s="466" t="s">
        <v>661</v>
      </c>
      <c r="AA24" s="467"/>
      <c r="AB24" s="467"/>
      <c r="AC24" s="468"/>
      <c r="AD24" s="462" t="s">
        <v>657</v>
      </c>
      <c r="AE24" s="466" t="s">
        <v>661</v>
      </c>
      <c r="AF24" s="467"/>
      <c r="AG24" s="467"/>
      <c r="AH24" s="468"/>
      <c r="AI24" s="462" t="s">
        <v>657</v>
      </c>
      <c r="AJ24" s="466" t="s">
        <v>661</v>
      </c>
      <c r="AK24" s="467"/>
      <c r="AL24" s="467"/>
      <c r="AM24" s="468"/>
      <c r="AN24" s="462" t="s">
        <v>657</v>
      </c>
      <c r="AO24" s="466" t="s">
        <v>661</v>
      </c>
      <c r="AP24" s="467"/>
      <c r="AQ24" s="467"/>
      <c r="AR24" s="468"/>
      <c r="AS24" s="462" t="s">
        <v>657</v>
      </c>
      <c r="AT24" s="466" t="s">
        <v>661</v>
      </c>
      <c r="AU24" s="467"/>
      <c r="AV24" s="467"/>
      <c r="AW24" s="468"/>
      <c r="AX24" s="462" t="s">
        <v>657</v>
      </c>
    </row>
    <row r="25" spans="2:54">
      <c r="B25" s="462"/>
      <c r="C25" s="462"/>
      <c r="D25" s="462"/>
      <c r="E25" s="462" t="s">
        <v>662</v>
      </c>
      <c r="F25" s="462"/>
      <c r="G25" s="462"/>
      <c r="H25" s="464"/>
      <c r="I25" s="462" t="s">
        <v>662</v>
      </c>
      <c r="J25" s="462"/>
      <c r="K25" s="462"/>
      <c r="L25" s="464"/>
      <c r="M25" s="470"/>
      <c r="N25" s="462"/>
      <c r="O25" s="462"/>
      <c r="P25" s="466" t="s">
        <v>663</v>
      </c>
      <c r="Q25" s="467"/>
      <c r="R25" s="467"/>
      <c r="S25" s="468"/>
      <c r="T25" s="462"/>
      <c r="U25" s="466" t="s">
        <v>663</v>
      </c>
      <c r="V25" s="467"/>
      <c r="W25" s="467"/>
      <c r="X25" s="468"/>
      <c r="Y25" s="462"/>
      <c r="Z25" s="466" t="s">
        <v>663</v>
      </c>
      <c r="AA25" s="467"/>
      <c r="AB25" s="467"/>
      <c r="AC25" s="468"/>
      <c r="AD25" s="462"/>
      <c r="AE25" s="466" t="s">
        <v>663</v>
      </c>
      <c r="AF25" s="467"/>
      <c r="AG25" s="467"/>
      <c r="AH25" s="468"/>
      <c r="AI25" s="462"/>
      <c r="AJ25" s="466" t="s">
        <v>663</v>
      </c>
      <c r="AK25" s="467"/>
      <c r="AL25" s="467"/>
      <c r="AM25" s="468"/>
      <c r="AN25" s="462"/>
      <c r="AO25" s="466" t="s">
        <v>663</v>
      </c>
      <c r="AP25" s="467"/>
      <c r="AQ25" s="467"/>
      <c r="AR25" s="468"/>
      <c r="AS25" s="462"/>
      <c r="AT25" s="466" t="s">
        <v>663</v>
      </c>
      <c r="AU25" s="467"/>
      <c r="AV25" s="467"/>
      <c r="AW25" s="468"/>
      <c r="AX25" s="462"/>
    </row>
    <row r="26" spans="2:54">
      <c r="B26" s="462"/>
      <c r="C26" s="462"/>
      <c r="D26" s="462"/>
      <c r="E26" s="264" t="s">
        <v>664</v>
      </c>
      <c r="F26" s="264" t="s">
        <v>665</v>
      </c>
      <c r="G26" s="264" t="s">
        <v>666</v>
      </c>
      <c r="H26" s="465"/>
      <c r="I26" s="264" t="s">
        <v>664</v>
      </c>
      <c r="J26" s="264" t="s">
        <v>665</v>
      </c>
      <c r="K26" s="264" t="s">
        <v>666</v>
      </c>
      <c r="L26" s="465"/>
      <c r="M26" s="471"/>
      <c r="N26" s="462"/>
      <c r="O26" s="462"/>
      <c r="P26" s="264" t="s">
        <v>664</v>
      </c>
      <c r="Q26" s="264" t="s">
        <v>665</v>
      </c>
      <c r="R26" s="264" t="s">
        <v>666</v>
      </c>
      <c r="S26" s="264" t="s">
        <v>659</v>
      </c>
      <c r="T26" s="462"/>
      <c r="U26" s="264" t="s">
        <v>664</v>
      </c>
      <c r="V26" s="264" t="s">
        <v>665</v>
      </c>
      <c r="W26" s="264" t="s">
        <v>666</v>
      </c>
      <c r="X26" s="264" t="s">
        <v>659</v>
      </c>
      <c r="Y26" s="462"/>
      <c r="Z26" s="264" t="s">
        <v>664</v>
      </c>
      <c r="AA26" s="264" t="s">
        <v>665</v>
      </c>
      <c r="AB26" s="264" t="s">
        <v>666</v>
      </c>
      <c r="AC26" s="264" t="s">
        <v>659</v>
      </c>
      <c r="AD26" s="462"/>
      <c r="AE26" s="264" t="s">
        <v>664</v>
      </c>
      <c r="AF26" s="264" t="s">
        <v>665</v>
      </c>
      <c r="AG26" s="264" t="s">
        <v>666</v>
      </c>
      <c r="AH26" s="264" t="s">
        <v>659</v>
      </c>
      <c r="AI26" s="462"/>
      <c r="AJ26" s="264" t="s">
        <v>664</v>
      </c>
      <c r="AK26" s="264" t="s">
        <v>665</v>
      </c>
      <c r="AL26" s="264" t="s">
        <v>666</v>
      </c>
      <c r="AM26" s="264" t="s">
        <v>659</v>
      </c>
      <c r="AN26" s="462"/>
      <c r="AO26" s="264" t="s">
        <v>664</v>
      </c>
      <c r="AP26" s="264" t="s">
        <v>665</v>
      </c>
      <c r="AQ26" s="264" t="s">
        <v>666</v>
      </c>
      <c r="AR26" s="264" t="s">
        <v>659</v>
      </c>
      <c r="AS26" s="462"/>
      <c r="AT26" s="264" t="s">
        <v>664</v>
      </c>
      <c r="AU26" s="264" t="s">
        <v>665</v>
      </c>
      <c r="AV26" s="264" t="s">
        <v>666</v>
      </c>
      <c r="AW26" s="264" t="s">
        <v>659</v>
      </c>
      <c r="AX26" s="462"/>
    </row>
    <row r="27" spans="2:54">
      <c r="B27" s="462" t="s">
        <v>679</v>
      </c>
      <c r="C27" s="180">
        <v>1</v>
      </c>
      <c r="D27" s="201" t="s">
        <v>383</v>
      </c>
      <c r="E27" s="166">
        <v>6</v>
      </c>
      <c r="F27" s="180">
        <v>1500</v>
      </c>
      <c r="G27" s="265">
        <v>250</v>
      </c>
      <c r="H27" s="459">
        <f>AVERAGE(G27:G41)</f>
        <v>140.15</v>
      </c>
      <c r="I27" s="166">
        <f t="shared" ref="I27:K34" si="14">AVERAGE(P27,U27,Z27,AE27,AJ27,AO27,AT27)</f>
        <v>7</v>
      </c>
      <c r="J27" s="166">
        <f t="shared" si="14"/>
        <v>1336.5721823185338</v>
      </c>
      <c r="K27" s="265">
        <f t="shared" si="14"/>
        <v>190.93888318836193</v>
      </c>
      <c r="L27" s="459">
        <f>IFERROR(AVERAGE(K27:K41),"-")</f>
        <v>116.59143202121402</v>
      </c>
      <c r="M27" s="272">
        <f>RANK(K27, K$27:$K$41)</f>
        <v>3</v>
      </c>
      <c r="N27" s="462"/>
      <c r="O27" s="462"/>
      <c r="P27" s="180">
        <v>7</v>
      </c>
      <c r="Q27" s="166">
        <v>1322.9629629629633</v>
      </c>
      <c r="R27" s="166">
        <v>188.99470899470904</v>
      </c>
      <c r="S27" s="180">
        <f t="shared" ref="S27:S41" si="15">RANK(R27, R$27:R$41)</f>
        <v>3</v>
      </c>
      <c r="T27" s="472">
        <f>AVERAGE(R27:R41)</f>
        <v>116.92181328614303</v>
      </c>
      <c r="U27" s="180">
        <v>7</v>
      </c>
      <c r="V27" s="166">
        <v>1347</v>
      </c>
      <c r="W27" s="166">
        <v>192.42857142857142</v>
      </c>
      <c r="X27" s="180">
        <f t="shared" ref="X27:X41" si="16">RANK(W27, W$27:W$41)</f>
        <v>3</v>
      </c>
      <c r="Y27" s="472">
        <f t="shared" ref="Y27" si="17">AVERAGE(W27:W41)</f>
        <v>117.84420400159475</v>
      </c>
      <c r="Z27" s="180">
        <v>7</v>
      </c>
      <c r="AA27" s="166">
        <v>1348.7999999999997</v>
      </c>
      <c r="AB27" s="166">
        <v>192.68571428571425</v>
      </c>
      <c r="AC27" s="180">
        <f t="shared" ref="AC27:AC41" si="18">RANK(AB27, AB$27:AB$41)</f>
        <v>3</v>
      </c>
      <c r="AD27" s="472">
        <f t="shared" ref="AD27" si="19">AVERAGE(AB27:AB41)</f>
        <v>115.75281471117019</v>
      </c>
      <c r="AE27" s="180">
        <v>7</v>
      </c>
      <c r="AF27" s="166">
        <v>1348.4745762711866</v>
      </c>
      <c r="AG27" s="166">
        <v>192.63922518159808</v>
      </c>
      <c r="AH27" s="180">
        <f t="shared" ref="AH27:AH41" si="20">RANK(AG27, AG$27:AG$41)</f>
        <v>3</v>
      </c>
      <c r="AI27" s="472">
        <f t="shared" ref="AI27" si="21">AVERAGE(AG27:AG41)</f>
        <v>116.30165403325491</v>
      </c>
      <c r="AJ27" s="180">
        <v>7</v>
      </c>
      <c r="AK27" s="166">
        <v>1329.5238095238099</v>
      </c>
      <c r="AL27" s="166">
        <v>189.93197278911569</v>
      </c>
      <c r="AM27" s="180">
        <f t="shared" ref="AM27:AM41" si="22">RANK(AL27, AL$27:AL$41)</f>
        <v>3</v>
      </c>
      <c r="AN27" s="472">
        <f t="shared" ref="AN27" si="23">AVERAGE(AL27:AL41)</f>
        <v>117.71048468241145</v>
      </c>
      <c r="AO27" s="180">
        <v>7</v>
      </c>
      <c r="AP27" s="166">
        <v>1324.0540540540539</v>
      </c>
      <c r="AQ27" s="166">
        <v>189.15057915057915</v>
      </c>
      <c r="AR27" s="180">
        <f t="shared" ref="AR27:AR41" si="24">RANK(AQ27, AQ$27:AQ$41)</f>
        <v>3</v>
      </c>
      <c r="AS27" s="472">
        <f t="shared" ref="AS27" si="25">AVERAGE(AQ27:AQ41)</f>
        <v>113.96521301345152</v>
      </c>
      <c r="AT27" s="166">
        <v>7</v>
      </c>
      <c r="AU27" s="166">
        <v>1335.1898734177216</v>
      </c>
      <c r="AV27" s="265">
        <v>190.74141048824595</v>
      </c>
      <c r="AW27" s="180">
        <f t="shared" ref="AW27:AW41" si="26">RANK(AV27, AV$27:AV$41)</f>
        <v>3</v>
      </c>
      <c r="AX27" s="486">
        <f t="shared" ref="AX27" si="27">AVERAGE(AV27:AV41)</f>
        <v>117.64384042047226</v>
      </c>
    </row>
    <row r="28" spans="2:54">
      <c r="B28" s="479"/>
      <c r="C28" s="180">
        <v>2</v>
      </c>
      <c r="D28" s="201" t="s">
        <v>384</v>
      </c>
      <c r="E28" s="166">
        <v>6</v>
      </c>
      <c r="F28" s="180">
        <v>1500</v>
      </c>
      <c r="G28" s="265">
        <v>250</v>
      </c>
      <c r="H28" s="460"/>
      <c r="I28" s="166">
        <f t="shared" si="14"/>
        <v>7</v>
      </c>
      <c r="J28" s="166">
        <f t="shared" si="14"/>
        <v>1481.4685707457124</v>
      </c>
      <c r="K28" s="265">
        <f t="shared" si="14"/>
        <v>211.63836724938747</v>
      </c>
      <c r="L28" s="460"/>
      <c r="M28" s="272">
        <f>RANK(K28, K$27:$K$41)</f>
        <v>2</v>
      </c>
      <c r="N28" s="462"/>
      <c r="O28" s="462"/>
      <c r="P28" s="180">
        <v>7</v>
      </c>
      <c r="Q28" s="166">
        <v>1458.4615384615386</v>
      </c>
      <c r="R28" s="166">
        <v>208.35164835164838</v>
      </c>
      <c r="S28" s="180">
        <f t="shared" si="15"/>
        <v>2</v>
      </c>
      <c r="T28" s="473"/>
      <c r="U28" s="180">
        <v>7</v>
      </c>
      <c r="V28" s="166">
        <v>1486.7213114754093</v>
      </c>
      <c r="W28" s="166">
        <v>212.38875878220134</v>
      </c>
      <c r="X28" s="180">
        <f t="shared" si="16"/>
        <v>2</v>
      </c>
      <c r="Y28" s="473"/>
      <c r="Z28" s="180">
        <v>7</v>
      </c>
      <c r="AA28" s="166">
        <v>1475.294117647059</v>
      </c>
      <c r="AB28" s="166">
        <v>210.75630252100842</v>
      </c>
      <c r="AC28" s="180">
        <f t="shared" si="18"/>
        <v>2</v>
      </c>
      <c r="AD28" s="473"/>
      <c r="AE28" s="180">
        <v>7</v>
      </c>
      <c r="AF28" s="166">
        <v>1507.5789473684213</v>
      </c>
      <c r="AG28" s="166">
        <v>215.36842105263162</v>
      </c>
      <c r="AH28" s="180">
        <f t="shared" si="20"/>
        <v>1</v>
      </c>
      <c r="AI28" s="473"/>
      <c r="AJ28" s="180">
        <v>7</v>
      </c>
      <c r="AK28" s="166">
        <v>1482.1153846153841</v>
      </c>
      <c r="AL28" s="166">
        <v>211.73076923076914</v>
      </c>
      <c r="AM28" s="180">
        <f t="shared" si="22"/>
        <v>1</v>
      </c>
      <c r="AN28" s="473"/>
      <c r="AO28" s="180">
        <v>7</v>
      </c>
      <c r="AP28" s="166">
        <v>1457.5000000000002</v>
      </c>
      <c r="AQ28" s="166">
        <v>208.21428571428575</v>
      </c>
      <c r="AR28" s="180">
        <f t="shared" si="24"/>
        <v>2</v>
      </c>
      <c r="AS28" s="473"/>
      <c r="AT28" s="180">
        <v>7</v>
      </c>
      <c r="AU28" s="166">
        <v>1502.6086956521742</v>
      </c>
      <c r="AV28" s="265">
        <v>214.65838509316774</v>
      </c>
      <c r="AW28" s="180">
        <f t="shared" si="26"/>
        <v>1</v>
      </c>
      <c r="AX28" s="486"/>
    </row>
    <row r="29" spans="2:54">
      <c r="B29" s="479"/>
      <c r="C29" s="180">
        <v>3</v>
      </c>
      <c r="D29" s="201" t="s">
        <v>338</v>
      </c>
      <c r="E29" s="166">
        <v>19</v>
      </c>
      <c r="F29" s="180">
        <v>1500</v>
      </c>
      <c r="G29" s="265">
        <v>78.900000000000006</v>
      </c>
      <c r="H29" s="460"/>
      <c r="I29" s="166">
        <f t="shared" si="14"/>
        <v>18.428571428571427</v>
      </c>
      <c r="J29" s="166">
        <f t="shared" si="14"/>
        <v>1280.8036808492118</v>
      </c>
      <c r="K29" s="265">
        <f t="shared" si="14"/>
        <v>69.438332601782804</v>
      </c>
      <c r="L29" s="460"/>
      <c r="M29" s="272">
        <f>RANK(K29, K$27:$K$41)</f>
        <v>5</v>
      </c>
      <c r="N29" s="462"/>
      <c r="O29" s="462"/>
      <c r="P29" s="180">
        <v>18</v>
      </c>
      <c r="Q29" s="166">
        <v>1286.6129032258059</v>
      </c>
      <c r="R29" s="166">
        <v>71.478494623655877</v>
      </c>
      <c r="S29" s="180">
        <f t="shared" si="15"/>
        <v>5</v>
      </c>
      <c r="T29" s="473"/>
      <c r="U29" s="180">
        <v>19</v>
      </c>
      <c r="V29" s="166">
        <v>1261.860465116278</v>
      </c>
      <c r="W29" s="166">
        <v>66.413708690330424</v>
      </c>
      <c r="X29" s="180">
        <f t="shared" si="16"/>
        <v>6</v>
      </c>
      <c r="Y29" s="473"/>
      <c r="Z29" s="180">
        <v>18</v>
      </c>
      <c r="AA29" s="166">
        <v>1182.7272727272727</v>
      </c>
      <c r="AB29" s="166">
        <v>65.707070707070713</v>
      </c>
      <c r="AC29" s="180">
        <f t="shared" si="18"/>
        <v>4</v>
      </c>
      <c r="AD29" s="473"/>
      <c r="AE29" s="180">
        <v>18</v>
      </c>
      <c r="AF29" s="166">
        <v>1221.9642857142849</v>
      </c>
      <c r="AG29" s="166">
        <v>67.886904761904717</v>
      </c>
      <c r="AH29" s="180">
        <f t="shared" si="20"/>
        <v>4</v>
      </c>
      <c r="AI29" s="473"/>
      <c r="AJ29" s="180">
        <v>19</v>
      </c>
      <c r="AK29" s="166">
        <v>1514.5454545454563</v>
      </c>
      <c r="AL29" s="166">
        <v>79.712918660287173</v>
      </c>
      <c r="AM29" s="180">
        <f t="shared" si="22"/>
        <v>4</v>
      </c>
      <c r="AN29" s="473"/>
      <c r="AO29" s="180">
        <v>19</v>
      </c>
      <c r="AP29" s="166">
        <v>1335.1153846153843</v>
      </c>
      <c r="AQ29" s="166">
        <v>70.269230769230759</v>
      </c>
      <c r="AR29" s="180">
        <f t="shared" si="24"/>
        <v>4</v>
      </c>
      <c r="AS29" s="473"/>
      <c r="AT29" s="180">
        <v>18</v>
      </c>
      <c r="AU29" s="166">
        <v>1162.799999999999</v>
      </c>
      <c r="AV29" s="265">
        <v>64.599999999999952</v>
      </c>
      <c r="AW29" s="180">
        <f t="shared" si="26"/>
        <v>6</v>
      </c>
      <c r="AX29" s="486"/>
    </row>
    <row r="30" spans="2:54">
      <c r="B30" s="479"/>
      <c r="C30" s="180">
        <v>4</v>
      </c>
      <c r="D30" s="201" t="s">
        <v>385</v>
      </c>
      <c r="E30" s="166">
        <v>17</v>
      </c>
      <c r="F30" s="180">
        <v>1440</v>
      </c>
      <c r="G30" s="265">
        <v>84.7</v>
      </c>
      <c r="H30" s="460"/>
      <c r="I30" s="166">
        <f t="shared" si="14"/>
        <v>16.714285714285715</v>
      </c>
      <c r="J30" s="166">
        <f t="shared" si="14"/>
        <v>1190.6396591450825</v>
      </c>
      <c r="K30" s="265">
        <f t="shared" si="14"/>
        <v>71.350710640207197</v>
      </c>
      <c r="L30" s="460"/>
      <c r="M30" s="272">
        <f>RANK(K30, K$27:$K$41)</f>
        <v>4</v>
      </c>
      <c r="N30" s="462"/>
      <c r="O30" s="462"/>
      <c r="P30" s="180">
        <v>16</v>
      </c>
      <c r="Q30" s="166">
        <v>1248.3870967741948</v>
      </c>
      <c r="R30" s="166">
        <v>78.024193548387174</v>
      </c>
      <c r="S30" s="180">
        <f t="shared" si="15"/>
        <v>4</v>
      </c>
      <c r="T30" s="473"/>
      <c r="U30" s="180">
        <v>17</v>
      </c>
      <c r="V30" s="166">
        <v>1293.103448275863</v>
      </c>
      <c r="W30" s="166">
        <v>76.064908722109593</v>
      </c>
      <c r="X30" s="180">
        <f t="shared" si="16"/>
        <v>4</v>
      </c>
      <c r="Y30" s="473"/>
      <c r="Z30" s="180">
        <v>17</v>
      </c>
      <c r="AA30" s="166">
        <v>1093.1250000000014</v>
      </c>
      <c r="AB30" s="166">
        <v>64.301470588235375</v>
      </c>
      <c r="AC30" s="180">
        <f t="shared" si="18"/>
        <v>6</v>
      </c>
      <c r="AD30" s="473"/>
      <c r="AE30" s="180">
        <v>17</v>
      </c>
      <c r="AF30" s="166">
        <v>1104.0000000000005</v>
      </c>
      <c r="AG30" s="166">
        <v>64.94117647058826</v>
      </c>
      <c r="AH30" s="180">
        <f t="shared" si="20"/>
        <v>6</v>
      </c>
      <c r="AI30" s="473"/>
      <c r="AJ30" s="180">
        <v>17</v>
      </c>
      <c r="AK30" s="166">
        <v>1270.3448275862077</v>
      </c>
      <c r="AL30" s="166">
        <v>74.726166328600456</v>
      </c>
      <c r="AM30" s="180">
        <f t="shared" si="22"/>
        <v>5</v>
      </c>
      <c r="AN30" s="473"/>
      <c r="AO30" s="180">
        <v>17</v>
      </c>
      <c r="AP30" s="166">
        <v>1073.7931034482765</v>
      </c>
      <c r="AQ30" s="166">
        <v>63.164300202839797</v>
      </c>
      <c r="AR30" s="180">
        <f t="shared" si="24"/>
        <v>6</v>
      </c>
      <c r="AS30" s="473"/>
      <c r="AT30" s="180">
        <v>16</v>
      </c>
      <c r="AU30" s="166">
        <v>1251.7241379310353</v>
      </c>
      <c r="AV30" s="265">
        <v>78.232758620689708</v>
      </c>
      <c r="AW30" s="180">
        <f t="shared" si="26"/>
        <v>4</v>
      </c>
      <c r="AX30" s="486"/>
    </row>
    <row r="31" spans="2:54">
      <c r="B31" s="479"/>
      <c r="C31" s="180">
        <v>5</v>
      </c>
      <c r="D31" s="201" t="s">
        <v>420</v>
      </c>
      <c r="E31" s="166">
        <v>6</v>
      </c>
      <c r="F31" s="180">
        <v>1500</v>
      </c>
      <c r="G31" s="265">
        <v>250</v>
      </c>
      <c r="H31" s="460"/>
      <c r="I31" s="166">
        <f t="shared" si="14"/>
        <v>7</v>
      </c>
      <c r="J31" s="166">
        <f t="shared" si="14"/>
        <v>1492.2850016376037</v>
      </c>
      <c r="K31" s="265">
        <f t="shared" si="14"/>
        <v>213.18357166251479</v>
      </c>
      <c r="L31" s="460"/>
      <c r="M31" s="272">
        <f>RANK(K31, K$27:$K$41)</f>
        <v>1</v>
      </c>
      <c r="N31" s="462"/>
      <c r="O31" s="462"/>
      <c r="P31" s="180">
        <v>7</v>
      </c>
      <c r="Q31" s="166">
        <v>1479.056603773585</v>
      </c>
      <c r="R31" s="166">
        <v>211.29380053908358</v>
      </c>
      <c r="S31" s="180">
        <f t="shared" si="15"/>
        <v>1</v>
      </c>
      <c r="T31" s="473"/>
      <c r="U31" s="180">
        <v>7</v>
      </c>
      <c r="V31" s="166">
        <v>1507.4285714285716</v>
      </c>
      <c r="W31" s="166">
        <v>215.34693877551021</v>
      </c>
      <c r="X31" s="180">
        <f t="shared" si="16"/>
        <v>1</v>
      </c>
      <c r="Y31" s="473"/>
      <c r="Z31" s="180">
        <v>7</v>
      </c>
      <c r="AA31" s="166">
        <v>1507.0588235294117</v>
      </c>
      <c r="AB31" s="166">
        <v>215.29411764705881</v>
      </c>
      <c r="AC31" s="180">
        <f t="shared" si="18"/>
        <v>1</v>
      </c>
      <c r="AD31" s="473"/>
      <c r="AE31" s="180">
        <v>7</v>
      </c>
      <c r="AF31" s="166">
        <v>1497.1764705882358</v>
      </c>
      <c r="AG31" s="166">
        <v>213.88235294117655</v>
      </c>
      <c r="AH31" s="180">
        <f t="shared" si="20"/>
        <v>2</v>
      </c>
      <c r="AI31" s="473"/>
      <c r="AJ31" s="180">
        <v>7</v>
      </c>
      <c r="AK31" s="166">
        <v>1469.6629213483141</v>
      </c>
      <c r="AL31" s="166">
        <v>209.95184590690201</v>
      </c>
      <c r="AM31" s="180">
        <f t="shared" si="22"/>
        <v>2</v>
      </c>
      <c r="AN31" s="473"/>
      <c r="AO31" s="180">
        <v>7</v>
      </c>
      <c r="AP31" s="166">
        <v>1491.666666666667</v>
      </c>
      <c r="AQ31" s="166">
        <v>213.09523809523813</v>
      </c>
      <c r="AR31" s="180">
        <f t="shared" si="24"/>
        <v>1</v>
      </c>
      <c r="AS31" s="473"/>
      <c r="AT31" s="180">
        <v>7</v>
      </c>
      <c r="AU31" s="166">
        <v>1493.9449541284407</v>
      </c>
      <c r="AV31" s="265">
        <v>213.42070773263438</v>
      </c>
      <c r="AW31" s="180">
        <f t="shared" si="26"/>
        <v>2</v>
      </c>
      <c r="AX31" s="486"/>
    </row>
    <row r="32" spans="2:54">
      <c r="B32" s="479"/>
      <c r="C32" s="180">
        <v>6</v>
      </c>
      <c r="D32" s="201" t="s">
        <v>440</v>
      </c>
      <c r="E32" s="166">
        <v>19</v>
      </c>
      <c r="F32" s="180">
        <v>1440</v>
      </c>
      <c r="G32" s="265">
        <v>75.8</v>
      </c>
      <c r="H32" s="460"/>
      <c r="I32" s="166">
        <f t="shared" si="14"/>
        <v>19</v>
      </c>
      <c r="J32" s="166">
        <f t="shared" si="14"/>
        <v>1276.3988072682655</v>
      </c>
      <c r="K32" s="265">
        <f t="shared" si="14"/>
        <v>67.178884593066599</v>
      </c>
      <c r="L32" s="460"/>
      <c r="M32" s="272">
        <f>RANK(K32, K$27:$K$41)</f>
        <v>6</v>
      </c>
      <c r="N32" s="462"/>
      <c r="O32" s="462"/>
      <c r="P32" s="180">
        <v>19</v>
      </c>
      <c r="Q32" s="166">
        <v>1273.9285714285722</v>
      </c>
      <c r="R32" s="166">
        <v>67.04887218045117</v>
      </c>
      <c r="S32" s="180">
        <f t="shared" si="15"/>
        <v>6</v>
      </c>
      <c r="T32" s="473"/>
      <c r="U32" s="180">
        <v>19</v>
      </c>
      <c r="V32" s="166">
        <v>1289.9999999999993</v>
      </c>
      <c r="W32" s="166">
        <v>67.894736842105232</v>
      </c>
      <c r="X32" s="180">
        <f t="shared" si="16"/>
        <v>5</v>
      </c>
      <c r="Y32" s="473"/>
      <c r="Z32" s="180">
        <v>19</v>
      </c>
      <c r="AA32" s="166">
        <v>1246.5517241379303</v>
      </c>
      <c r="AB32" s="166">
        <v>65.607985480943697</v>
      </c>
      <c r="AC32" s="180">
        <f t="shared" si="18"/>
        <v>5</v>
      </c>
      <c r="AD32" s="473"/>
      <c r="AE32" s="180">
        <v>19</v>
      </c>
      <c r="AF32" s="166">
        <v>1256.9999999999995</v>
      </c>
      <c r="AG32" s="166">
        <v>66.157894736842081</v>
      </c>
      <c r="AH32" s="180">
        <f t="shared" si="20"/>
        <v>5</v>
      </c>
      <c r="AI32" s="473"/>
      <c r="AJ32" s="180">
        <v>19</v>
      </c>
      <c r="AK32" s="166">
        <v>1294.2857142857147</v>
      </c>
      <c r="AL32" s="166">
        <v>68.120300751879725</v>
      </c>
      <c r="AM32" s="180">
        <f t="shared" si="22"/>
        <v>6</v>
      </c>
      <c r="AN32" s="473"/>
      <c r="AO32" s="180">
        <v>19</v>
      </c>
      <c r="AP32" s="166">
        <v>1285.3333333333333</v>
      </c>
      <c r="AQ32" s="166">
        <v>67.649122807017534</v>
      </c>
      <c r="AR32" s="180">
        <f t="shared" si="24"/>
        <v>5</v>
      </c>
      <c r="AS32" s="473"/>
      <c r="AT32" s="180">
        <v>19</v>
      </c>
      <c r="AU32" s="166">
        <v>1287.6923076923085</v>
      </c>
      <c r="AV32" s="265">
        <v>67.773279352226766</v>
      </c>
      <c r="AW32" s="180">
        <f t="shared" si="26"/>
        <v>5</v>
      </c>
      <c r="AX32" s="486"/>
    </row>
    <row r="33" spans="2:50">
      <c r="B33" s="479"/>
      <c r="C33" s="180">
        <v>7</v>
      </c>
      <c r="D33" s="201" t="s">
        <v>453</v>
      </c>
      <c r="E33" s="166">
        <v>21</v>
      </c>
      <c r="F33" s="180">
        <v>1385</v>
      </c>
      <c r="G33" s="265">
        <v>65.900000000000006</v>
      </c>
      <c r="H33" s="460"/>
      <c r="I33" s="166">
        <f t="shared" si="14"/>
        <v>19</v>
      </c>
      <c r="J33" s="166">
        <f t="shared" si="14"/>
        <v>1131.3613152322823</v>
      </c>
      <c r="K33" s="265">
        <f t="shared" si="14"/>
        <v>59.545332380646435</v>
      </c>
      <c r="L33" s="460"/>
      <c r="M33" s="272">
        <f>RANK(K33, K$27:$K$41)</f>
        <v>7</v>
      </c>
      <c r="N33" s="462"/>
      <c r="O33" s="462"/>
      <c r="P33" s="180">
        <v>19</v>
      </c>
      <c r="Q33" s="166">
        <v>1152.972972972972</v>
      </c>
      <c r="R33" s="166">
        <v>60.682788051209052</v>
      </c>
      <c r="S33" s="180">
        <f t="shared" si="15"/>
        <v>7</v>
      </c>
      <c r="T33" s="473"/>
      <c r="U33" s="180">
        <v>19</v>
      </c>
      <c r="V33" s="166">
        <v>1166.6666666666656</v>
      </c>
      <c r="W33" s="166">
        <v>61.403508771929772</v>
      </c>
      <c r="X33" s="180">
        <f t="shared" si="16"/>
        <v>7</v>
      </c>
      <c r="Y33" s="473"/>
      <c r="Z33" s="180">
        <v>19</v>
      </c>
      <c r="AA33" s="166">
        <v>1169.9999999999995</v>
      </c>
      <c r="AB33" s="166">
        <v>61.578947368421026</v>
      </c>
      <c r="AC33" s="180">
        <f t="shared" si="18"/>
        <v>7</v>
      </c>
      <c r="AD33" s="473"/>
      <c r="AE33" s="180">
        <v>19</v>
      </c>
      <c r="AF33" s="166">
        <v>1167.0967741935494</v>
      </c>
      <c r="AG33" s="166">
        <v>61.426146010186812</v>
      </c>
      <c r="AH33" s="180">
        <f t="shared" si="20"/>
        <v>7</v>
      </c>
      <c r="AI33" s="473"/>
      <c r="AJ33" s="180">
        <v>19</v>
      </c>
      <c r="AK33" s="166">
        <v>1123.3333333333323</v>
      </c>
      <c r="AL33" s="166">
        <v>59.122807017543806</v>
      </c>
      <c r="AM33" s="180">
        <f t="shared" si="22"/>
        <v>7</v>
      </c>
      <c r="AN33" s="473"/>
      <c r="AO33" s="180">
        <v>19</v>
      </c>
      <c r="AP33" s="166">
        <v>979.99999999999932</v>
      </c>
      <c r="AQ33" s="166">
        <v>51.578947368421019</v>
      </c>
      <c r="AR33" s="180">
        <f t="shared" si="24"/>
        <v>7</v>
      </c>
      <c r="AS33" s="473"/>
      <c r="AT33" s="180">
        <v>19</v>
      </c>
      <c r="AU33" s="166">
        <v>1159.4594594594585</v>
      </c>
      <c r="AV33" s="265">
        <v>61.024182076813602</v>
      </c>
      <c r="AW33" s="180">
        <f t="shared" si="26"/>
        <v>7</v>
      </c>
      <c r="AX33" s="486"/>
    </row>
    <row r="34" spans="2:50">
      <c r="B34" s="479"/>
      <c r="C34" s="180">
        <v>8</v>
      </c>
      <c r="D34" s="201" t="s">
        <v>526</v>
      </c>
      <c r="E34" s="166">
        <v>21</v>
      </c>
      <c r="F34" s="180">
        <v>1385</v>
      </c>
      <c r="G34" s="265">
        <v>65.900000000000006</v>
      </c>
      <c r="H34" s="460"/>
      <c r="I34" s="166">
        <f t="shared" si="14"/>
        <v>20</v>
      </c>
      <c r="J34" s="166">
        <f t="shared" si="14"/>
        <v>989.14747707489721</v>
      </c>
      <c r="K34" s="265">
        <f t="shared" si="14"/>
        <v>49.457373853744862</v>
      </c>
      <c r="L34" s="460"/>
      <c r="M34" s="272">
        <f>RANK(K34, K$27:$K$41)</f>
        <v>8</v>
      </c>
      <c r="N34" s="462"/>
      <c r="O34" s="462"/>
      <c r="P34" s="180">
        <v>20</v>
      </c>
      <c r="Q34" s="166">
        <v>990.00000000000102</v>
      </c>
      <c r="R34" s="166">
        <v>49.50000000000005</v>
      </c>
      <c r="S34" s="180">
        <f t="shared" si="15"/>
        <v>8</v>
      </c>
      <c r="T34" s="473"/>
      <c r="U34" s="180">
        <v>20</v>
      </c>
      <c r="V34" s="166">
        <v>1016.250000000001</v>
      </c>
      <c r="W34" s="166">
        <v>50.81250000000005</v>
      </c>
      <c r="X34" s="180">
        <f t="shared" si="16"/>
        <v>8</v>
      </c>
      <c r="Y34" s="473"/>
      <c r="Z34" s="180">
        <v>20</v>
      </c>
      <c r="AA34" s="166">
        <v>1001.8181818181828</v>
      </c>
      <c r="AB34" s="166">
        <v>50.090909090909136</v>
      </c>
      <c r="AC34" s="180">
        <f t="shared" si="18"/>
        <v>8</v>
      </c>
      <c r="AD34" s="473"/>
      <c r="AE34" s="180">
        <v>20</v>
      </c>
      <c r="AF34" s="166">
        <v>962.22222222222274</v>
      </c>
      <c r="AG34" s="166">
        <v>48.111111111111136</v>
      </c>
      <c r="AH34" s="180">
        <f t="shared" si="20"/>
        <v>8</v>
      </c>
      <c r="AI34" s="473"/>
      <c r="AJ34" s="180">
        <v>20</v>
      </c>
      <c r="AK34" s="166">
        <v>967.74193548387177</v>
      </c>
      <c r="AL34" s="166">
        <v>48.387096774193587</v>
      </c>
      <c r="AM34" s="180">
        <f t="shared" si="22"/>
        <v>8</v>
      </c>
      <c r="AN34" s="473"/>
      <c r="AO34" s="180">
        <v>20</v>
      </c>
      <c r="AP34" s="166">
        <v>972.00000000000023</v>
      </c>
      <c r="AQ34" s="166">
        <v>48.600000000000009</v>
      </c>
      <c r="AR34" s="180">
        <f t="shared" si="24"/>
        <v>8</v>
      </c>
      <c r="AS34" s="473"/>
      <c r="AT34" s="180">
        <v>20</v>
      </c>
      <c r="AU34" s="166">
        <v>1014.000000000001</v>
      </c>
      <c r="AV34" s="265">
        <v>50.700000000000053</v>
      </c>
      <c r="AW34" s="180">
        <f t="shared" si="26"/>
        <v>8</v>
      </c>
      <c r="AX34" s="486"/>
    </row>
    <row r="35" spans="2:50">
      <c r="B35" s="479"/>
      <c r="C35" s="180">
        <v>9</v>
      </c>
      <c r="D35" s="201"/>
      <c r="E35" s="166"/>
      <c r="F35" s="180"/>
      <c r="G35" s="265"/>
      <c r="H35" s="460"/>
      <c r="I35" s="166"/>
      <c r="J35" s="166"/>
      <c r="K35" s="265"/>
      <c r="L35" s="460"/>
      <c r="M35" s="272" t="e">
        <f>RANK(K35, K$27:$K$41)</f>
        <v>#N/A</v>
      </c>
      <c r="N35" s="462"/>
      <c r="O35" s="462"/>
      <c r="P35" s="180"/>
      <c r="Q35" s="166"/>
      <c r="R35" s="166"/>
      <c r="S35" s="180" t="e">
        <f t="shared" si="15"/>
        <v>#N/A</v>
      </c>
      <c r="T35" s="473"/>
      <c r="U35" s="180"/>
      <c r="V35" s="166"/>
      <c r="W35" s="166"/>
      <c r="X35" s="180" t="e">
        <f t="shared" si="16"/>
        <v>#N/A</v>
      </c>
      <c r="Y35" s="473"/>
      <c r="Z35" s="180"/>
      <c r="AA35" s="166"/>
      <c r="AB35" s="166"/>
      <c r="AC35" s="180" t="e">
        <f t="shared" si="18"/>
        <v>#N/A</v>
      </c>
      <c r="AD35" s="473"/>
      <c r="AE35" s="180"/>
      <c r="AF35" s="166"/>
      <c r="AG35" s="166"/>
      <c r="AH35" s="180" t="e">
        <f t="shared" si="20"/>
        <v>#N/A</v>
      </c>
      <c r="AI35" s="473"/>
      <c r="AJ35" s="180"/>
      <c r="AK35" s="166"/>
      <c r="AL35" s="166"/>
      <c r="AM35" s="180" t="e">
        <f t="shared" si="22"/>
        <v>#N/A</v>
      </c>
      <c r="AN35" s="473"/>
      <c r="AO35" s="180"/>
      <c r="AP35" s="166"/>
      <c r="AQ35" s="166"/>
      <c r="AR35" s="180" t="e">
        <f t="shared" si="24"/>
        <v>#N/A</v>
      </c>
      <c r="AS35" s="473"/>
      <c r="AT35" s="180"/>
      <c r="AU35" s="166"/>
      <c r="AV35" s="265"/>
      <c r="AW35" s="180" t="e">
        <f t="shared" si="26"/>
        <v>#N/A</v>
      </c>
      <c r="AX35" s="486"/>
    </row>
    <row r="36" spans="2:50">
      <c r="B36" s="479"/>
      <c r="C36" s="180">
        <v>10</v>
      </c>
      <c r="D36" s="201"/>
      <c r="E36" s="166"/>
      <c r="F36" s="180"/>
      <c r="G36" s="265"/>
      <c r="H36" s="460"/>
      <c r="I36" s="166"/>
      <c r="J36" s="166"/>
      <c r="K36" s="265"/>
      <c r="L36" s="460"/>
      <c r="M36" s="272" t="e">
        <f>RANK(K36, K$27:$K$41)</f>
        <v>#N/A</v>
      </c>
      <c r="N36" s="462"/>
      <c r="O36" s="462"/>
      <c r="P36" s="180"/>
      <c r="Q36" s="166"/>
      <c r="R36" s="166"/>
      <c r="S36" s="180" t="e">
        <f t="shared" si="15"/>
        <v>#N/A</v>
      </c>
      <c r="T36" s="473"/>
      <c r="U36" s="180"/>
      <c r="V36" s="166"/>
      <c r="W36" s="166"/>
      <c r="X36" s="180" t="e">
        <f t="shared" si="16"/>
        <v>#N/A</v>
      </c>
      <c r="Y36" s="473"/>
      <c r="Z36" s="180"/>
      <c r="AA36" s="166"/>
      <c r="AB36" s="166"/>
      <c r="AC36" s="180" t="e">
        <f t="shared" si="18"/>
        <v>#N/A</v>
      </c>
      <c r="AD36" s="473"/>
      <c r="AE36" s="180"/>
      <c r="AF36" s="166"/>
      <c r="AG36" s="166"/>
      <c r="AH36" s="180" t="e">
        <f t="shared" si="20"/>
        <v>#N/A</v>
      </c>
      <c r="AI36" s="473"/>
      <c r="AJ36" s="180"/>
      <c r="AK36" s="166"/>
      <c r="AL36" s="166"/>
      <c r="AM36" s="180" t="e">
        <f t="shared" si="22"/>
        <v>#N/A</v>
      </c>
      <c r="AN36" s="473"/>
      <c r="AO36" s="180"/>
      <c r="AP36" s="166"/>
      <c r="AQ36" s="166"/>
      <c r="AR36" s="180" t="e">
        <f t="shared" si="24"/>
        <v>#N/A</v>
      </c>
      <c r="AS36" s="473"/>
      <c r="AT36" s="180"/>
      <c r="AU36" s="166"/>
      <c r="AV36" s="265"/>
      <c r="AW36" s="180" t="e">
        <f t="shared" si="26"/>
        <v>#N/A</v>
      </c>
      <c r="AX36" s="486"/>
    </row>
    <row r="37" spans="2:50">
      <c r="B37" s="479"/>
      <c r="C37" s="180">
        <v>11</v>
      </c>
      <c r="D37" s="201"/>
      <c r="E37" s="166"/>
      <c r="F37" s="180"/>
      <c r="G37" s="265"/>
      <c r="H37" s="460"/>
      <c r="I37" s="166"/>
      <c r="J37" s="166"/>
      <c r="K37" s="265"/>
      <c r="L37" s="460"/>
      <c r="M37" s="272" t="e">
        <f>RANK(K37, K$27:$K$41)</f>
        <v>#N/A</v>
      </c>
      <c r="N37" s="462"/>
      <c r="O37" s="462"/>
      <c r="P37" s="180"/>
      <c r="Q37" s="166"/>
      <c r="R37" s="166"/>
      <c r="S37" s="180" t="e">
        <f t="shared" si="15"/>
        <v>#N/A</v>
      </c>
      <c r="T37" s="473"/>
      <c r="U37" s="180"/>
      <c r="V37" s="166"/>
      <c r="W37" s="166"/>
      <c r="X37" s="180" t="e">
        <f t="shared" si="16"/>
        <v>#N/A</v>
      </c>
      <c r="Y37" s="473"/>
      <c r="Z37" s="180"/>
      <c r="AA37" s="166"/>
      <c r="AB37" s="166"/>
      <c r="AC37" s="180" t="e">
        <f t="shared" si="18"/>
        <v>#N/A</v>
      </c>
      <c r="AD37" s="473"/>
      <c r="AE37" s="180"/>
      <c r="AF37" s="166"/>
      <c r="AG37" s="166"/>
      <c r="AH37" s="180" t="e">
        <f t="shared" si="20"/>
        <v>#N/A</v>
      </c>
      <c r="AI37" s="473"/>
      <c r="AJ37" s="180"/>
      <c r="AK37" s="166"/>
      <c r="AL37" s="166"/>
      <c r="AM37" s="180" t="e">
        <f t="shared" si="22"/>
        <v>#N/A</v>
      </c>
      <c r="AN37" s="473"/>
      <c r="AO37" s="180"/>
      <c r="AP37" s="166"/>
      <c r="AQ37" s="166"/>
      <c r="AR37" s="180" t="e">
        <f t="shared" si="24"/>
        <v>#N/A</v>
      </c>
      <c r="AS37" s="473"/>
      <c r="AT37" s="180"/>
      <c r="AU37" s="166"/>
      <c r="AV37" s="265"/>
      <c r="AW37" s="180" t="e">
        <f t="shared" si="26"/>
        <v>#N/A</v>
      </c>
      <c r="AX37" s="486"/>
    </row>
    <row r="38" spans="2:50">
      <c r="B38" s="479"/>
      <c r="C38" s="180">
        <v>12</v>
      </c>
      <c r="D38" s="201"/>
      <c r="E38" s="166"/>
      <c r="F38" s="180"/>
      <c r="G38" s="265"/>
      <c r="H38" s="460"/>
      <c r="I38" s="166"/>
      <c r="J38" s="166"/>
      <c r="K38" s="265"/>
      <c r="L38" s="460"/>
      <c r="M38" s="272" t="e">
        <f>RANK(K38, K$27:$K$41)</f>
        <v>#N/A</v>
      </c>
      <c r="N38" s="462"/>
      <c r="O38" s="462"/>
      <c r="P38" s="180"/>
      <c r="Q38" s="166"/>
      <c r="R38" s="166"/>
      <c r="S38" s="180" t="e">
        <f t="shared" si="15"/>
        <v>#N/A</v>
      </c>
      <c r="T38" s="473"/>
      <c r="U38" s="180"/>
      <c r="V38" s="166"/>
      <c r="W38" s="166"/>
      <c r="X38" s="180" t="e">
        <f t="shared" si="16"/>
        <v>#N/A</v>
      </c>
      <c r="Y38" s="473"/>
      <c r="Z38" s="180"/>
      <c r="AA38" s="166"/>
      <c r="AB38" s="166"/>
      <c r="AC38" s="180" t="e">
        <f t="shared" si="18"/>
        <v>#N/A</v>
      </c>
      <c r="AD38" s="473"/>
      <c r="AE38" s="180"/>
      <c r="AF38" s="166"/>
      <c r="AG38" s="166"/>
      <c r="AH38" s="180" t="e">
        <f t="shared" si="20"/>
        <v>#N/A</v>
      </c>
      <c r="AI38" s="473"/>
      <c r="AJ38" s="180"/>
      <c r="AK38" s="166"/>
      <c r="AL38" s="166"/>
      <c r="AM38" s="180" t="e">
        <f t="shared" si="22"/>
        <v>#N/A</v>
      </c>
      <c r="AN38" s="473"/>
      <c r="AO38" s="180"/>
      <c r="AP38" s="166"/>
      <c r="AQ38" s="166"/>
      <c r="AR38" s="180" t="e">
        <f t="shared" si="24"/>
        <v>#N/A</v>
      </c>
      <c r="AS38" s="473"/>
      <c r="AT38" s="180"/>
      <c r="AU38" s="166"/>
      <c r="AV38" s="265"/>
      <c r="AW38" s="180" t="e">
        <f t="shared" si="26"/>
        <v>#N/A</v>
      </c>
      <c r="AX38" s="486"/>
    </row>
    <row r="39" spans="2:50">
      <c r="B39" s="479"/>
      <c r="C39" s="180">
        <v>13</v>
      </c>
      <c r="D39" s="201"/>
      <c r="E39" s="166"/>
      <c r="F39" s="180"/>
      <c r="G39" s="265"/>
      <c r="H39" s="460"/>
      <c r="I39" s="166"/>
      <c r="J39" s="166"/>
      <c r="K39" s="265"/>
      <c r="L39" s="460"/>
      <c r="M39" s="272" t="e">
        <f>RANK(K39, K$27:$K$41)</f>
        <v>#N/A</v>
      </c>
      <c r="N39" s="462"/>
      <c r="O39" s="462"/>
      <c r="P39" s="180"/>
      <c r="Q39" s="166"/>
      <c r="R39" s="166"/>
      <c r="S39" s="180" t="e">
        <f t="shared" si="15"/>
        <v>#N/A</v>
      </c>
      <c r="T39" s="473"/>
      <c r="U39" s="180"/>
      <c r="V39" s="166"/>
      <c r="W39" s="166"/>
      <c r="X39" s="180" t="e">
        <f t="shared" si="16"/>
        <v>#N/A</v>
      </c>
      <c r="Y39" s="473"/>
      <c r="Z39" s="180"/>
      <c r="AA39" s="166"/>
      <c r="AB39" s="166"/>
      <c r="AC39" s="180" t="e">
        <f t="shared" si="18"/>
        <v>#N/A</v>
      </c>
      <c r="AD39" s="473"/>
      <c r="AE39" s="180"/>
      <c r="AF39" s="166"/>
      <c r="AG39" s="166"/>
      <c r="AH39" s="180" t="e">
        <f t="shared" si="20"/>
        <v>#N/A</v>
      </c>
      <c r="AI39" s="473"/>
      <c r="AJ39" s="180"/>
      <c r="AK39" s="166"/>
      <c r="AL39" s="166"/>
      <c r="AM39" s="180" t="e">
        <f t="shared" si="22"/>
        <v>#N/A</v>
      </c>
      <c r="AN39" s="473"/>
      <c r="AO39" s="180"/>
      <c r="AP39" s="166"/>
      <c r="AQ39" s="166"/>
      <c r="AR39" s="180" t="e">
        <f t="shared" si="24"/>
        <v>#N/A</v>
      </c>
      <c r="AS39" s="473"/>
      <c r="AT39" s="180"/>
      <c r="AU39" s="166"/>
      <c r="AV39" s="265"/>
      <c r="AW39" s="180" t="e">
        <f t="shared" si="26"/>
        <v>#N/A</v>
      </c>
      <c r="AX39" s="486"/>
    </row>
    <row r="40" spans="2:50">
      <c r="B40" s="479"/>
      <c r="C40" s="180">
        <v>14</v>
      </c>
      <c r="D40" s="201"/>
      <c r="E40" s="166"/>
      <c r="F40" s="180"/>
      <c r="G40" s="265"/>
      <c r="H40" s="460"/>
      <c r="I40" s="166"/>
      <c r="J40" s="166"/>
      <c r="K40" s="265"/>
      <c r="L40" s="460"/>
      <c r="M40" s="272" t="e">
        <f>RANK(K40, K$27:$K$41)</f>
        <v>#N/A</v>
      </c>
      <c r="N40" s="462"/>
      <c r="O40" s="462"/>
      <c r="P40" s="180"/>
      <c r="Q40" s="166"/>
      <c r="R40" s="166"/>
      <c r="S40" s="180" t="e">
        <f t="shared" si="15"/>
        <v>#N/A</v>
      </c>
      <c r="T40" s="473"/>
      <c r="U40" s="180"/>
      <c r="V40" s="166"/>
      <c r="W40" s="166"/>
      <c r="X40" s="180" t="e">
        <f t="shared" si="16"/>
        <v>#N/A</v>
      </c>
      <c r="Y40" s="473"/>
      <c r="Z40" s="180"/>
      <c r="AA40" s="166"/>
      <c r="AB40" s="166"/>
      <c r="AC40" s="180" t="e">
        <f t="shared" si="18"/>
        <v>#N/A</v>
      </c>
      <c r="AD40" s="473"/>
      <c r="AE40" s="180"/>
      <c r="AF40" s="166"/>
      <c r="AG40" s="166"/>
      <c r="AH40" s="180" t="e">
        <f t="shared" si="20"/>
        <v>#N/A</v>
      </c>
      <c r="AI40" s="473"/>
      <c r="AJ40" s="180"/>
      <c r="AK40" s="166"/>
      <c r="AL40" s="166"/>
      <c r="AM40" s="180" t="e">
        <f t="shared" si="22"/>
        <v>#N/A</v>
      </c>
      <c r="AN40" s="473"/>
      <c r="AO40" s="180"/>
      <c r="AP40" s="166"/>
      <c r="AQ40" s="166"/>
      <c r="AR40" s="180" t="e">
        <f t="shared" si="24"/>
        <v>#N/A</v>
      </c>
      <c r="AS40" s="473"/>
      <c r="AT40" s="180"/>
      <c r="AU40" s="166"/>
      <c r="AV40" s="265"/>
      <c r="AW40" s="180" t="e">
        <f t="shared" si="26"/>
        <v>#N/A</v>
      </c>
      <c r="AX40" s="486"/>
    </row>
    <row r="41" spans="2:50">
      <c r="B41" s="479"/>
      <c r="C41" s="180">
        <v>15</v>
      </c>
      <c r="D41" s="201"/>
      <c r="E41" s="166"/>
      <c r="F41" s="180"/>
      <c r="G41" s="265"/>
      <c r="H41" s="461"/>
      <c r="I41" s="166"/>
      <c r="J41" s="166"/>
      <c r="K41" s="265"/>
      <c r="L41" s="461"/>
      <c r="M41" s="166" t="e">
        <f>RANK(K41, K$27:$K$41)</f>
        <v>#N/A</v>
      </c>
      <c r="N41" s="462"/>
      <c r="O41" s="462"/>
      <c r="P41" s="180"/>
      <c r="Q41" s="166"/>
      <c r="R41" s="166"/>
      <c r="S41" s="180" t="e">
        <f t="shared" si="15"/>
        <v>#N/A</v>
      </c>
      <c r="T41" s="474"/>
      <c r="U41" s="180"/>
      <c r="V41" s="166"/>
      <c r="W41" s="166"/>
      <c r="X41" s="180" t="e">
        <f t="shared" si="16"/>
        <v>#N/A</v>
      </c>
      <c r="Y41" s="474"/>
      <c r="Z41" s="180"/>
      <c r="AA41" s="166"/>
      <c r="AB41" s="166"/>
      <c r="AC41" s="180" t="e">
        <f t="shared" si="18"/>
        <v>#N/A</v>
      </c>
      <c r="AD41" s="474"/>
      <c r="AE41" s="180"/>
      <c r="AF41" s="166"/>
      <c r="AG41" s="166"/>
      <c r="AH41" s="180" t="e">
        <f t="shared" si="20"/>
        <v>#N/A</v>
      </c>
      <c r="AI41" s="474"/>
      <c r="AJ41" s="180"/>
      <c r="AK41" s="166"/>
      <c r="AL41" s="166"/>
      <c r="AM41" s="180" t="e">
        <f t="shared" si="22"/>
        <v>#N/A</v>
      </c>
      <c r="AN41" s="474"/>
      <c r="AO41" s="180"/>
      <c r="AP41" s="166"/>
      <c r="AQ41" s="166"/>
      <c r="AR41" s="180" t="e">
        <f t="shared" si="24"/>
        <v>#N/A</v>
      </c>
      <c r="AS41" s="474"/>
      <c r="AT41" s="180"/>
      <c r="AU41" s="166"/>
      <c r="AV41" s="265"/>
      <c r="AW41" s="180" t="e">
        <f t="shared" si="26"/>
        <v>#N/A</v>
      </c>
      <c r="AX41" s="486"/>
    </row>
    <row r="42" spans="2:50" ht="15.75">
      <c r="B42" s="490" t="s">
        <v>644</v>
      </c>
      <c r="C42" s="491"/>
      <c r="D42" s="491"/>
      <c r="E42" s="491"/>
      <c r="F42" s="491"/>
      <c r="G42" s="491"/>
      <c r="H42" s="491"/>
      <c r="I42" s="184"/>
      <c r="J42" s="181"/>
      <c r="K42" s="184"/>
      <c r="L42" s="184"/>
      <c r="M42" s="178"/>
      <c r="N42" s="469" t="s">
        <v>645</v>
      </c>
      <c r="O42" s="469" t="s">
        <v>646</v>
      </c>
      <c r="P42" s="478">
        <f>P22+7</f>
        <v>13</v>
      </c>
      <c r="Q42" s="479"/>
      <c r="R42" s="479"/>
      <c r="S42" s="479"/>
      <c r="T42" s="479"/>
      <c r="U42" s="475">
        <f>P42+1</f>
        <v>14</v>
      </c>
      <c r="V42" s="476"/>
      <c r="W42" s="476"/>
      <c r="X42" s="476"/>
      <c r="Y42" s="477"/>
      <c r="Z42" s="475">
        <f>U42+1</f>
        <v>15</v>
      </c>
      <c r="AA42" s="476"/>
      <c r="AB42" s="476"/>
      <c r="AC42" s="476"/>
      <c r="AD42" s="477"/>
      <c r="AE42" s="475">
        <f>Z42+1</f>
        <v>16</v>
      </c>
      <c r="AF42" s="476"/>
      <c r="AG42" s="476"/>
      <c r="AH42" s="476"/>
      <c r="AI42" s="477"/>
      <c r="AJ42" s="475">
        <f>AE42+1</f>
        <v>17</v>
      </c>
      <c r="AK42" s="476"/>
      <c r="AL42" s="476"/>
      <c r="AM42" s="476"/>
      <c r="AN42" s="477"/>
      <c r="AO42" s="475">
        <f>AJ42+1</f>
        <v>18</v>
      </c>
      <c r="AP42" s="476"/>
      <c r="AQ42" s="476"/>
      <c r="AR42" s="476"/>
      <c r="AS42" s="477"/>
      <c r="AT42" s="475">
        <f>AO42+1</f>
        <v>19</v>
      </c>
      <c r="AU42" s="476"/>
      <c r="AV42" s="476"/>
      <c r="AW42" s="476"/>
      <c r="AX42" s="477"/>
    </row>
    <row r="43" spans="2:50" ht="15.75">
      <c r="B43" s="482"/>
      <c r="C43" s="482"/>
      <c r="D43" s="482"/>
      <c r="E43" s="482"/>
      <c r="F43" s="482"/>
      <c r="G43" s="482"/>
      <c r="H43" s="482"/>
      <c r="I43" s="182"/>
      <c r="J43" s="182"/>
      <c r="K43" s="182"/>
      <c r="L43" s="182"/>
      <c r="M43" s="179"/>
      <c r="N43" s="471"/>
      <c r="O43" s="471"/>
      <c r="P43" s="478" t="s">
        <v>647</v>
      </c>
      <c r="Q43" s="479"/>
      <c r="R43" s="479"/>
      <c r="S43" s="479"/>
      <c r="T43" s="479"/>
      <c r="U43" s="478" t="s">
        <v>648</v>
      </c>
      <c r="V43" s="479"/>
      <c r="W43" s="479"/>
      <c r="X43" s="479"/>
      <c r="Y43" s="479"/>
      <c r="Z43" s="478" t="s">
        <v>649</v>
      </c>
      <c r="AA43" s="479"/>
      <c r="AB43" s="479"/>
      <c r="AC43" s="479"/>
      <c r="AD43" s="479"/>
      <c r="AE43" s="478" t="s">
        <v>650</v>
      </c>
      <c r="AF43" s="479"/>
      <c r="AG43" s="479"/>
      <c r="AH43" s="479"/>
      <c r="AI43" s="479"/>
      <c r="AJ43" s="478" t="s">
        <v>651</v>
      </c>
      <c r="AK43" s="479"/>
      <c r="AL43" s="479"/>
      <c r="AM43" s="479"/>
      <c r="AN43" s="479"/>
      <c r="AO43" s="478" t="s">
        <v>652</v>
      </c>
      <c r="AP43" s="479"/>
      <c r="AQ43" s="479"/>
      <c r="AR43" s="479"/>
      <c r="AS43" s="479"/>
      <c r="AT43" s="478" t="s">
        <v>653</v>
      </c>
      <c r="AU43" s="479"/>
      <c r="AV43" s="479"/>
      <c r="AW43" s="479"/>
      <c r="AX43" s="479"/>
    </row>
    <row r="44" spans="2:50">
      <c r="B44" s="462" t="s">
        <v>654</v>
      </c>
      <c r="C44" s="462" t="s">
        <v>655</v>
      </c>
      <c r="D44" s="462"/>
      <c r="E44" s="462" t="s">
        <v>656</v>
      </c>
      <c r="F44" s="462"/>
      <c r="G44" s="462"/>
      <c r="H44" s="463" t="s">
        <v>657</v>
      </c>
      <c r="I44" s="462" t="s">
        <v>658</v>
      </c>
      <c r="J44" s="462"/>
      <c r="K44" s="462"/>
      <c r="L44" s="463" t="s">
        <v>657</v>
      </c>
      <c r="M44" s="469" t="s">
        <v>659</v>
      </c>
      <c r="N44" s="462"/>
      <c r="O44" s="462" t="s">
        <v>660</v>
      </c>
      <c r="P44" s="466" t="s">
        <v>661</v>
      </c>
      <c r="Q44" s="467"/>
      <c r="R44" s="467"/>
      <c r="S44" s="468"/>
      <c r="T44" s="462" t="s">
        <v>657</v>
      </c>
      <c r="U44" s="466" t="s">
        <v>661</v>
      </c>
      <c r="V44" s="467"/>
      <c r="W44" s="467"/>
      <c r="X44" s="468"/>
      <c r="Y44" s="462" t="s">
        <v>657</v>
      </c>
      <c r="Z44" s="466" t="s">
        <v>661</v>
      </c>
      <c r="AA44" s="467"/>
      <c r="AB44" s="467"/>
      <c r="AC44" s="468"/>
      <c r="AD44" s="462" t="s">
        <v>657</v>
      </c>
      <c r="AE44" s="466" t="s">
        <v>661</v>
      </c>
      <c r="AF44" s="467"/>
      <c r="AG44" s="467"/>
      <c r="AH44" s="468"/>
      <c r="AI44" s="462" t="s">
        <v>657</v>
      </c>
      <c r="AJ44" s="466" t="s">
        <v>661</v>
      </c>
      <c r="AK44" s="467"/>
      <c r="AL44" s="467"/>
      <c r="AM44" s="468"/>
      <c r="AN44" s="462" t="s">
        <v>657</v>
      </c>
      <c r="AO44" s="466" t="s">
        <v>661</v>
      </c>
      <c r="AP44" s="467"/>
      <c r="AQ44" s="467"/>
      <c r="AR44" s="468"/>
      <c r="AS44" s="462" t="s">
        <v>657</v>
      </c>
      <c r="AT44" s="466" t="s">
        <v>661</v>
      </c>
      <c r="AU44" s="467"/>
      <c r="AV44" s="467"/>
      <c r="AW44" s="468"/>
      <c r="AX44" s="462" t="s">
        <v>657</v>
      </c>
    </row>
    <row r="45" spans="2:50">
      <c r="B45" s="462"/>
      <c r="C45" s="462"/>
      <c r="D45" s="462"/>
      <c r="E45" s="462" t="s">
        <v>662</v>
      </c>
      <c r="F45" s="462"/>
      <c r="G45" s="462"/>
      <c r="H45" s="464"/>
      <c r="I45" s="462" t="s">
        <v>662</v>
      </c>
      <c r="J45" s="462"/>
      <c r="K45" s="462"/>
      <c r="L45" s="464"/>
      <c r="M45" s="470"/>
      <c r="N45" s="462"/>
      <c r="O45" s="462"/>
      <c r="P45" s="466" t="s">
        <v>663</v>
      </c>
      <c r="Q45" s="467"/>
      <c r="R45" s="467"/>
      <c r="S45" s="468"/>
      <c r="T45" s="462"/>
      <c r="U45" s="466" t="s">
        <v>663</v>
      </c>
      <c r="V45" s="467"/>
      <c r="W45" s="467"/>
      <c r="X45" s="468"/>
      <c r="Y45" s="462"/>
      <c r="Z45" s="466" t="s">
        <v>663</v>
      </c>
      <c r="AA45" s="467"/>
      <c r="AB45" s="467"/>
      <c r="AC45" s="468"/>
      <c r="AD45" s="462"/>
      <c r="AE45" s="466" t="s">
        <v>663</v>
      </c>
      <c r="AF45" s="467"/>
      <c r="AG45" s="467"/>
      <c r="AH45" s="468"/>
      <c r="AI45" s="462"/>
      <c r="AJ45" s="466" t="s">
        <v>663</v>
      </c>
      <c r="AK45" s="467"/>
      <c r="AL45" s="467"/>
      <c r="AM45" s="468"/>
      <c r="AN45" s="462"/>
      <c r="AO45" s="466" t="s">
        <v>663</v>
      </c>
      <c r="AP45" s="467"/>
      <c r="AQ45" s="467"/>
      <c r="AR45" s="468"/>
      <c r="AS45" s="462"/>
      <c r="AT45" s="466" t="s">
        <v>663</v>
      </c>
      <c r="AU45" s="467"/>
      <c r="AV45" s="467"/>
      <c r="AW45" s="468"/>
      <c r="AX45" s="462"/>
    </row>
    <row r="46" spans="2:50">
      <c r="B46" s="462"/>
      <c r="C46" s="462"/>
      <c r="D46" s="462"/>
      <c r="E46" s="264" t="s">
        <v>664</v>
      </c>
      <c r="F46" s="264" t="s">
        <v>665</v>
      </c>
      <c r="G46" s="264" t="s">
        <v>666</v>
      </c>
      <c r="H46" s="465"/>
      <c r="I46" s="264" t="s">
        <v>664</v>
      </c>
      <c r="J46" s="264" t="s">
        <v>665</v>
      </c>
      <c r="K46" s="264" t="s">
        <v>666</v>
      </c>
      <c r="L46" s="465"/>
      <c r="M46" s="471"/>
      <c r="N46" s="462"/>
      <c r="O46" s="462"/>
      <c r="P46" s="264" t="s">
        <v>664</v>
      </c>
      <c r="Q46" s="264" t="s">
        <v>665</v>
      </c>
      <c r="R46" s="264" t="s">
        <v>666</v>
      </c>
      <c r="S46" s="264" t="s">
        <v>659</v>
      </c>
      <c r="T46" s="462"/>
      <c r="U46" s="264" t="s">
        <v>664</v>
      </c>
      <c r="V46" s="264" t="s">
        <v>665</v>
      </c>
      <c r="W46" s="264" t="s">
        <v>666</v>
      </c>
      <c r="X46" s="264" t="s">
        <v>659</v>
      </c>
      <c r="Y46" s="462"/>
      <c r="Z46" s="264" t="s">
        <v>664</v>
      </c>
      <c r="AA46" s="264" t="s">
        <v>665</v>
      </c>
      <c r="AB46" s="264" t="s">
        <v>666</v>
      </c>
      <c r="AC46" s="264" t="s">
        <v>659</v>
      </c>
      <c r="AD46" s="462"/>
      <c r="AE46" s="264" t="s">
        <v>664</v>
      </c>
      <c r="AF46" s="264" t="s">
        <v>665</v>
      </c>
      <c r="AG46" s="264" t="s">
        <v>666</v>
      </c>
      <c r="AH46" s="264" t="s">
        <v>659</v>
      </c>
      <c r="AI46" s="462"/>
      <c r="AJ46" s="264" t="s">
        <v>664</v>
      </c>
      <c r="AK46" s="264" t="s">
        <v>665</v>
      </c>
      <c r="AL46" s="264" t="s">
        <v>666</v>
      </c>
      <c r="AM46" s="264" t="s">
        <v>659</v>
      </c>
      <c r="AN46" s="462"/>
      <c r="AO46" s="264" t="s">
        <v>664</v>
      </c>
      <c r="AP46" s="264" t="s">
        <v>665</v>
      </c>
      <c r="AQ46" s="264" t="s">
        <v>666</v>
      </c>
      <c r="AR46" s="264" t="s">
        <v>659</v>
      </c>
      <c r="AS46" s="462"/>
      <c r="AT46" s="264" t="s">
        <v>664</v>
      </c>
      <c r="AU46" s="264" t="s">
        <v>665</v>
      </c>
      <c r="AV46" s="264" t="s">
        <v>666</v>
      </c>
      <c r="AW46" s="264" t="s">
        <v>659</v>
      </c>
      <c r="AX46" s="462"/>
    </row>
    <row r="47" spans="2:50">
      <c r="B47" s="462" t="s">
        <v>679</v>
      </c>
      <c r="C47" s="180">
        <v>1</v>
      </c>
      <c r="D47" s="201" t="s">
        <v>383</v>
      </c>
      <c r="E47" s="166">
        <v>6</v>
      </c>
      <c r="F47" s="180">
        <v>1500</v>
      </c>
      <c r="G47" s="265">
        <v>250</v>
      </c>
      <c r="H47" s="459">
        <f>AVERAGE(G47:G61)</f>
        <v>140.15</v>
      </c>
      <c r="I47" s="166">
        <f t="shared" ref="I47:K54" si="28">AVERAGE(P47,U47,Z47,AE47,AJ47,AO47,AT47)</f>
        <v>7</v>
      </c>
      <c r="J47" s="166">
        <f t="shared" si="28"/>
        <v>1276.1944312330068</v>
      </c>
      <c r="K47" s="265">
        <f t="shared" si="28"/>
        <v>182.3134901761438</v>
      </c>
      <c r="L47" s="459">
        <f>IFERROR(AVERAGE(K47:K61),"-")</f>
        <v>110.53388961677851</v>
      </c>
      <c r="M47" s="272">
        <f>RANK(K47, K$47:$K$61)</f>
        <v>3</v>
      </c>
      <c r="N47" s="462"/>
      <c r="O47" s="462"/>
      <c r="P47" s="180">
        <v>7</v>
      </c>
      <c r="Q47" s="166">
        <v>1285.2631578947367</v>
      </c>
      <c r="R47" s="166">
        <v>183.60902255639095</v>
      </c>
      <c r="S47" s="180">
        <f>RANK(R47, R$47:R$61)</f>
        <v>3</v>
      </c>
      <c r="T47" s="486">
        <f>AVERAGE(R47:R61)</f>
        <v>109.51817433300589</v>
      </c>
      <c r="U47" s="180">
        <v>7</v>
      </c>
      <c r="V47" s="166">
        <v>1282.0253164556962</v>
      </c>
      <c r="W47" s="166">
        <v>183.14647377938516</v>
      </c>
      <c r="X47" s="180">
        <f>RANK(W47, W$47:W$61)</f>
        <v>3</v>
      </c>
      <c r="Y47" s="486">
        <f>AVERAGE(W47:W61)</f>
        <v>112.48843245194223</v>
      </c>
      <c r="Z47" s="180">
        <v>7</v>
      </c>
      <c r="AA47" s="166">
        <v>1263.0379746835442</v>
      </c>
      <c r="AB47" s="166">
        <v>180.43399638336345</v>
      </c>
      <c r="AC47" s="180">
        <f>RANK(AB47, AB$47:AB$61)</f>
        <v>3</v>
      </c>
      <c r="AD47" s="486">
        <f>AVERAGE(AB47:AB61)</f>
        <v>110.63869280633425</v>
      </c>
      <c r="AE47" s="180">
        <v>7</v>
      </c>
      <c r="AF47" s="166">
        <v>1260.9374999999998</v>
      </c>
      <c r="AG47" s="166">
        <v>180.13392857142853</v>
      </c>
      <c r="AH47" s="180">
        <f>RANK(AG47, AG$47:AG$61)</f>
        <v>3</v>
      </c>
      <c r="AI47" s="486">
        <f>AVERAGE(AG47:AG61)</f>
        <v>109.3253372470369</v>
      </c>
      <c r="AJ47" s="180">
        <v>7</v>
      </c>
      <c r="AK47" s="166">
        <v>1265.8333333333328</v>
      </c>
      <c r="AL47" s="166">
        <v>180.83333333333326</v>
      </c>
      <c r="AM47" s="180">
        <f>RANK(AL47, AL$47:AL$61)</f>
        <v>3</v>
      </c>
      <c r="AN47" s="486">
        <f>AVERAGE(AL47:AL61)</f>
        <v>112.02182596052309</v>
      </c>
      <c r="AO47" s="180">
        <v>7</v>
      </c>
      <c r="AP47" s="166">
        <v>1268.5714285714284</v>
      </c>
      <c r="AQ47" s="166">
        <v>181.22448979591834</v>
      </c>
      <c r="AR47" s="180">
        <f>RANK(AQ47, AQ$47:AQ$61)</f>
        <v>3</v>
      </c>
      <c r="AS47" s="486">
        <f>AVERAGE(AQ47:AQ61)</f>
        <v>108.72077991910872</v>
      </c>
      <c r="AT47" s="180">
        <v>7</v>
      </c>
      <c r="AU47" s="166">
        <v>1307.6923076923076</v>
      </c>
      <c r="AV47" s="166">
        <v>186.8131868131868</v>
      </c>
      <c r="AW47" s="180">
        <f>RANK(AV47, AV$47:AV$61)</f>
        <v>3</v>
      </c>
      <c r="AX47" s="486">
        <f>AVERAGE(AV47:AV61)</f>
        <v>111.02398459949863</v>
      </c>
    </row>
    <row r="48" spans="2:50">
      <c r="B48" s="479"/>
      <c r="C48" s="180">
        <v>2</v>
      </c>
      <c r="D48" s="201" t="s">
        <v>384</v>
      </c>
      <c r="E48" s="166">
        <v>6</v>
      </c>
      <c r="F48" s="180">
        <v>1500</v>
      </c>
      <c r="G48" s="265">
        <v>250</v>
      </c>
      <c r="H48" s="460"/>
      <c r="I48" s="166">
        <f t="shared" si="28"/>
        <v>7</v>
      </c>
      <c r="J48" s="166">
        <f t="shared" si="28"/>
        <v>1413.6705039927313</v>
      </c>
      <c r="K48" s="265">
        <f t="shared" si="28"/>
        <v>201.95292914181874</v>
      </c>
      <c r="L48" s="460"/>
      <c r="M48" s="272">
        <f>RANK(K48, K$47:$K$61)</f>
        <v>1</v>
      </c>
      <c r="N48" s="462"/>
      <c r="O48" s="462"/>
      <c r="P48" s="180">
        <v>7</v>
      </c>
      <c r="Q48" s="166">
        <v>1401.8644067796613</v>
      </c>
      <c r="R48" s="166">
        <v>200.2663438256659</v>
      </c>
      <c r="S48" s="180">
        <f t="shared" ref="S48:S54" si="29">RANK(R48, R$47:R$61)</f>
        <v>1</v>
      </c>
      <c r="T48" s="486"/>
      <c r="U48" s="180">
        <v>7</v>
      </c>
      <c r="V48" s="166">
        <v>1412.7731092436977</v>
      </c>
      <c r="W48" s="166">
        <v>201.82472989195682</v>
      </c>
      <c r="X48" s="180">
        <f t="shared" ref="X48:X54" si="30">RANK(W48, W$47:W$61)</f>
        <v>2</v>
      </c>
      <c r="Y48" s="486"/>
      <c r="Z48" s="180">
        <v>7</v>
      </c>
      <c r="AA48" s="166">
        <v>1396.1739130434785</v>
      </c>
      <c r="AB48" s="166">
        <v>199.45341614906835</v>
      </c>
      <c r="AC48" s="180">
        <f t="shared" ref="AC48:AC54" si="31">RANK(AB48, AB$47:AB$61)</f>
        <v>2</v>
      </c>
      <c r="AD48" s="486"/>
      <c r="AE48" s="180">
        <v>7</v>
      </c>
      <c r="AF48" s="166">
        <v>1416.1224489795923</v>
      </c>
      <c r="AG48" s="166">
        <v>202.3032069970846</v>
      </c>
      <c r="AH48" s="180">
        <f t="shared" ref="AH48:AH54" si="32">RANK(AG48, AG$47:AG$61)</f>
        <v>1</v>
      </c>
      <c r="AI48" s="486"/>
      <c r="AJ48" s="180">
        <v>7</v>
      </c>
      <c r="AK48" s="166">
        <v>1430.0970873786414</v>
      </c>
      <c r="AL48" s="166">
        <v>204.29958391123449</v>
      </c>
      <c r="AM48" s="180">
        <f t="shared" ref="AM48:AM54" si="33">RANK(AL48, AL$47:AL$61)</f>
        <v>1</v>
      </c>
      <c r="AN48" s="486"/>
      <c r="AO48" s="180">
        <v>7</v>
      </c>
      <c r="AP48" s="166">
        <v>1405.5652173913045</v>
      </c>
      <c r="AQ48" s="166">
        <v>200.79503105590064</v>
      </c>
      <c r="AR48" s="180">
        <f t="shared" ref="AR48:AR54" si="34">RANK(AQ48, AQ$47:AQ$61)</f>
        <v>1</v>
      </c>
      <c r="AS48" s="486"/>
      <c r="AT48" s="180">
        <v>7</v>
      </c>
      <c r="AU48" s="166">
        <v>1433.0973451327434</v>
      </c>
      <c r="AV48" s="166">
        <v>204.72819216182049</v>
      </c>
      <c r="AW48" s="180">
        <f t="shared" ref="AW48:AW54" si="35">RANK(AV48, AV$47:AV$61)</f>
        <v>1</v>
      </c>
      <c r="AX48" s="486"/>
    </row>
    <row r="49" spans="2:50">
      <c r="B49" s="479"/>
      <c r="C49" s="180">
        <v>3</v>
      </c>
      <c r="D49" s="201" t="s">
        <v>338</v>
      </c>
      <c r="E49" s="166">
        <v>19</v>
      </c>
      <c r="F49" s="180">
        <v>1500</v>
      </c>
      <c r="G49" s="265">
        <v>78.900000000000006</v>
      </c>
      <c r="H49" s="460"/>
      <c r="I49" s="166">
        <f t="shared" si="28"/>
        <v>18.857142857142858</v>
      </c>
      <c r="J49" s="166">
        <f t="shared" si="28"/>
        <v>1213.4944805539094</v>
      </c>
      <c r="K49" s="265">
        <f t="shared" si="28"/>
        <v>64.366250856220802</v>
      </c>
      <c r="L49" s="460"/>
      <c r="M49" s="272">
        <f>RANK(K49, K$47:$K$61)</f>
        <v>6</v>
      </c>
      <c r="N49" s="462"/>
      <c r="O49" s="462"/>
      <c r="P49" s="180">
        <v>19</v>
      </c>
      <c r="Q49" s="166">
        <v>1180.3764705882395</v>
      </c>
      <c r="R49" s="166">
        <v>62.125077399381027</v>
      </c>
      <c r="S49" s="180">
        <f t="shared" si="29"/>
        <v>6</v>
      </c>
      <c r="T49" s="486"/>
      <c r="U49" s="180">
        <v>18</v>
      </c>
      <c r="V49" s="166">
        <v>1192.5000000000043</v>
      </c>
      <c r="W49" s="166">
        <v>66.250000000000242</v>
      </c>
      <c r="X49" s="180">
        <f t="shared" si="30"/>
        <v>6</v>
      </c>
      <c r="Y49" s="486"/>
      <c r="Z49" s="180">
        <v>19</v>
      </c>
      <c r="AA49" s="166">
        <v>1220.6399999999967</v>
      </c>
      <c r="AB49" s="166">
        <v>64.244210526315612</v>
      </c>
      <c r="AC49" s="180">
        <f t="shared" si="31"/>
        <v>5</v>
      </c>
      <c r="AD49" s="486"/>
      <c r="AE49" s="180">
        <v>19</v>
      </c>
      <c r="AF49" s="166">
        <v>1226.608695652174</v>
      </c>
      <c r="AG49" s="166">
        <v>64.558352402745996</v>
      </c>
      <c r="AH49" s="180">
        <f t="shared" si="32"/>
        <v>5</v>
      </c>
      <c r="AI49" s="486"/>
      <c r="AJ49" s="180">
        <v>19</v>
      </c>
      <c r="AK49" s="166">
        <v>1243.5918367346942</v>
      </c>
      <c r="AL49" s="166">
        <v>65.452201933404965</v>
      </c>
      <c r="AM49" s="180">
        <f t="shared" si="33"/>
        <v>5</v>
      </c>
      <c r="AN49" s="486"/>
      <c r="AO49" s="180">
        <v>19</v>
      </c>
      <c r="AP49" s="166">
        <v>1224.4285714285725</v>
      </c>
      <c r="AQ49" s="166">
        <v>64.443609022556444</v>
      </c>
      <c r="AR49" s="180">
        <f t="shared" si="34"/>
        <v>5</v>
      </c>
      <c r="AS49" s="486"/>
      <c r="AT49" s="180">
        <v>19</v>
      </c>
      <c r="AU49" s="166">
        <v>1206.3157894736851</v>
      </c>
      <c r="AV49" s="166">
        <v>63.49030470914132</v>
      </c>
      <c r="AW49" s="180">
        <f t="shared" si="35"/>
        <v>5</v>
      </c>
      <c r="AX49" s="486"/>
    </row>
    <row r="50" spans="2:50">
      <c r="B50" s="479"/>
      <c r="C50" s="180">
        <v>4</v>
      </c>
      <c r="D50" s="201" t="s">
        <v>385</v>
      </c>
      <c r="E50" s="166">
        <v>17</v>
      </c>
      <c r="F50" s="180">
        <v>1440</v>
      </c>
      <c r="G50" s="265">
        <v>84.7</v>
      </c>
      <c r="H50" s="460"/>
      <c r="I50" s="166">
        <f t="shared" si="28"/>
        <v>16.142857142857142</v>
      </c>
      <c r="J50" s="166">
        <f t="shared" si="28"/>
        <v>1095.5642179452425</v>
      </c>
      <c r="K50" s="265">
        <f t="shared" si="28"/>
        <v>67.917585668043301</v>
      </c>
      <c r="L50" s="460"/>
      <c r="M50" s="272">
        <f>RANK(K50, K$47:$K$61)</f>
        <v>4</v>
      </c>
      <c r="N50" s="462"/>
      <c r="O50" s="462"/>
      <c r="P50" s="180">
        <v>17</v>
      </c>
      <c r="Q50" s="166">
        <v>1057.0588235294131</v>
      </c>
      <c r="R50" s="166">
        <v>62.179930795847831</v>
      </c>
      <c r="S50" s="180">
        <f t="shared" si="29"/>
        <v>5</v>
      </c>
      <c r="T50" s="486"/>
      <c r="U50" s="180">
        <v>16</v>
      </c>
      <c r="V50" s="166">
        <v>1188.3870967741948</v>
      </c>
      <c r="W50" s="166">
        <v>74.274193548387174</v>
      </c>
      <c r="X50" s="180">
        <f t="shared" si="30"/>
        <v>4</v>
      </c>
      <c r="Y50" s="486"/>
      <c r="Z50" s="180">
        <v>16</v>
      </c>
      <c r="AA50" s="166">
        <v>1019.999999999999</v>
      </c>
      <c r="AB50" s="166">
        <v>63.749999999999936</v>
      </c>
      <c r="AC50" s="180">
        <f t="shared" si="31"/>
        <v>6</v>
      </c>
      <c r="AD50" s="486"/>
      <c r="AE50" s="180">
        <v>16</v>
      </c>
      <c r="AF50" s="166">
        <v>1063.2000000000003</v>
      </c>
      <c r="AG50" s="166">
        <v>66.450000000000017</v>
      </c>
      <c r="AH50" s="180">
        <f t="shared" si="32"/>
        <v>4</v>
      </c>
      <c r="AI50" s="486"/>
      <c r="AJ50" s="180">
        <v>16</v>
      </c>
      <c r="AK50" s="166">
        <v>1178.7096774193558</v>
      </c>
      <c r="AL50" s="166">
        <v>73.669354838709737</v>
      </c>
      <c r="AM50" s="180">
        <f t="shared" si="33"/>
        <v>4</v>
      </c>
      <c r="AN50" s="486"/>
      <c r="AO50" s="180">
        <v>16</v>
      </c>
      <c r="AP50" s="166">
        <v>1018.0645161290306</v>
      </c>
      <c r="AQ50" s="166">
        <v>63.629032258064413</v>
      </c>
      <c r="AR50" s="180">
        <f t="shared" si="34"/>
        <v>6</v>
      </c>
      <c r="AS50" s="486"/>
      <c r="AT50" s="180">
        <v>16</v>
      </c>
      <c r="AU50" s="166">
        <v>1143.5294117647045</v>
      </c>
      <c r="AV50" s="166">
        <v>71.470588235294031</v>
      </c>
      <c r="AW50" s="180">
        <f t="shared" si="35"/>
        <v>4</v>
      </c>
      <c r="AX50" s="486"/>
    </row>
    <row r="51" spans="2:50">
      <c r="B51" s="479"/>
      <c r="C51" s="180">
        <v>5</v>
      </c>
      <c r="D51" s="201" t="s">
        <v>420</v>
      </c>
      <c r="E51" s="166">
        <v>6</v>
      </c>
      <c r="F51" s="180">
        <v>1500</v>
      </c>
      <c r="G51" s="265">
        <v>250</v>
      </c>
      <c r="H51" s="460"/>
      <c r="I51" s="166">
        <f t="shared" si="28"/>
        <v>7</v>
      </c>
      <c r="J51" s="166">
        <f t="shared" si="28"/>
        <v>1405.6893292910693</v>
      </c>
      <c r="K51" s="265">
        <f t="shared" si="28"/>
        <v>200.81276132729562</v>
      </c>
      <c r="L51" s="460"/>
      <c r="M51" s="272">
        <f>RANK(K51, K$47:$K$61)</f>
        <v>2</v>
      </c>
      <c r="N51" s="462"/>
      <c r="O51" s="462"/>
      <c r="P51" s="180">
        <v>7</v>
      </c>
      <c r="Q51" s="166">
        <v>1395.700934579439</v>
      </c>
      <c r="R51" s="166">
        <v>199.38584779706272</v>
      </c>
      <c r="S51" s="180">
        <f>RANK(R51, R$47:R$61)</f>
        <v>2</v>
      </c>
      <c r="T51" s="486"/>
      <c r="U51" s="180">
        <v>7</v>
      </c>
      <c r="V51" s="166">
        <v>1421.5384615384612</v>
      </c>
      <c r="W51" s="166">
        <v>203.07692307692304</v>
      </c>
      <c r="X51" s="180">
        <f>RANK(W51, W$47:W$61)</f>
        <v>1</v>
      </c>
      <c r="Y51" s="486"/>
      <c r="Z51" s="180">
        <v>7</v>
      </c>
      <c r="AA51" s="166">
        <v>1422.4528301886787</v>
      </c>
      <c r="AB51" s="166">
        <v>203.20754716981125</v>
      </c>
      <c r="AC51" s="180">
        <f>RANK(AB51, AB$47:AB$61)</f>
        <v>1</v>
      </c>
      <c r="AD51" s="486"/>
      <c r="AE51" s="180">
        <v>7</v>
      </c>
      <c r="AF51" s="166">
        <v>1406.0869565217397</v>
      </c>
      <c r="AG51" s="166">
        <v>200.8695652173914</v>
      </c>
      <c r="AH51" s="180">
        <f>RANK(AG51, AG$47:AG$61)</f>
        <v>2</v>
      </c>
      <c r="AI51" s="486"/>
      <c r="AJ51" s="180">
        <v>7</v>
      </c>
      <c r="AK51" s="166">
        <v>1413.7500000000005</v>
      </c>
      <c r="AL51" s="166">
        <v>201.96428571428578</v>
      </c>
      <c r="AM51" s="180">
        <f>RANK(AL51, AL$47:AL$61)</f>
        <v>2</v>
      </c>
      <c r="AN51" s="486"/>
      <c r="AO51" s="180">
        <v>7</v>
      </c>
      <c r="AP51" s="166">
        <v>1386.7826086956525</v>
      </c>
      <c r="AQ51" s="166">
        <v>198.11180124223606</v>
      </c>
      <c r="AR51" s="180">
        <f>RANK(AQ51, AQ$47:AQ$61)</f>
        <v>2</v>
      </c>
      <c r="AS51" s="486"/>
      <c r="AT51" s="180">
        <v>7</v>
      </c>
      <c r="AU51" s="166">
        <v>1393.5135135135135</v>
      </c>
      <c r="AV51" s="166">
        <v>199.07335907335909</v>
      </c>
      <c r="AW51" s="180">
        <f>RANK(AV51, AV$47:AV$61)</f>
        <v>2</v>
      </c>
      <c r="AX51" s="486"/>
    </row>
    <row r="52" spans="2:50">
      <c r="B52" s="479"/>
      <c r="C52" s="180">
        <v>6</v>
      </c>
      <c r="D52" s="201" t="s">
        <v>440</v>
      </c>
      <c r="E52" s="166">
        <v>19</v>
      </c>
      <c r="F52" s="180">
        <v>1440</v>
      </c>
      <c r="G52" s="265">
        <v>75.8</v>
      </c>
      <c r="H52" s="460"/>
      <c r="I52" s="166">
        <f t="shared" si="28"/>
        <v>18.571428571428573</v>
      </c>
      <c r="J52" s="166">
        <f t="shared" si="28"/>
        <v>1208.9267801895098</v>
      </c>
      <c r="K52" s="265">
        <f t="shared" si="28"/>
        <v>65.139154547065473</v>
      </c>
      <c r="L52" s="460"/>
      <c r="M52" s="272">
        <f>RANK(K52, K$47:$K$61)</f>
        <v>5</v>
      </c>
      <c r="N52" s="462"/>
      <c r="O52" s="462"/>
      <c r="P52" s="180">
        <v>18</v>
      </c>
      <c r="Q52" s="166">
        <v>1209.8461538461534</v>
      </c>
      <c r="R52" s="166">
        <v>67.213675213675188</v>
      </c>
      <c r="S52" s="180">
        <f t="shared" si="29"/>
        <v>4</v>
      </c>
      <c r="T52" s="486"/>
      <c r="U52" s="180">
        <v>18</v>
      </c>
      <c r="V52" s="166">
        <v>1198.9285714285722</v>
      </c>
      <c r="W52" s="166">
        <v>66.607142857142904</v>
      </c>
      <c r="X52" s="180">
        <f t="shared" si="30"/>
        <v>5</v>
      </c>
      <c r="Y52" s="486"/>
      <c r="Z52" s="180">
        <v>18</v>
      </c>
      <c r="AA52" s="166">
        <v>1209.5869565217392</v>
      </c>
      <c r="AB52" s="166">
        <v>67.199275362318843</v>
      </c>
      <c r="AC52" s="180">
        <f t="shared" si="31"/>
        <v>4</v>
      </c>
      <c r="AD52" s="486"/>
      <c r="AE52" s="180">
        <v>19</v>
      </c>
      <c r="AF52" s="166">
        <v>1208.1081081081072</v>
      </c>
      <c r="AG52" s="166">
        <v>63.58463726884775</v>
      </c>
      <c r="AH52" s="180">
        <f t="shared" si="32"/>
        <v>6</v>
      </c>
      <c r="AI52" s="486"/>
      <c r="AJ52" s="180">
        <v>19</v>
      </c>
      <c r="AK52" s="166">
        <v>1216.8000000000002</v>
      </c>
      <c r="AL52" s="166">
        <v>64.042105263157907</v>
      </c>
      <c r="AM52" s="180">
        <f t="shared" si="33"/>
        <v>6</v>
      </c>
      <c r="AN52" s="486"/>
      <c r="AO52" s="180">
        <v>19</v>
      </c>
      <c r="AP52" s="166">
        <v>1224.8780487804875</v>
      </c>
      <c r="AQ52" s="166">
        <v>64.467265725288811</v>
      </c>
      <c r="AR52" s="180">
        <f t="shared" si="34"/>
        <v>4</v>
      </c>
      <c r="AS52" s="486"/>
      <c r="AT52" s="180">
        <v>19</v>
      </c>
      <c r="AU52" s="166">
        <v>1194.33962264151</v>
      </c>
      <c r="AV52" s="166">
        <v>62.859980139026845</v>
      </c>
      <c r="AW52" s="180">
        <f t="shared" si="35"/>
        <v>6</v>
      </c>
      <c r="AX52" s="486"/>
    </row>
    <row r="53" spans="2:50">
      <c r="B53" s="479"/>
      <c r="C53" s="180">
        <v>7</v>
      </c>
      <c r="D53" s="201" t="s">
        <v>453</v>
      </c>
      <c r="E53" s="166">
        <v>21</v>
      </c>
      <c r="F53" s="180">
        <v>1385</v>
      </c>
      <c r="G53" s="265">
        <v>65.900000000000006</v>
      </c>
      <c r="H53" s="460"/>
      <c r="I53" s="166">
        <f t="shared" si="28"/>
        <v>19.142857142857142</v>
      </c>
      <c r="J53" s="166">
        <f t="shared" si="28"/>
        <v>1051.7489076970501</v>
      </c>
      <c r="K53" s="265">
        <f t="shared" si="28"/>
        <v>54.949784219908047</v>
      </c>
      <c r="L53" s="460"/>
      <c r="M53" s="272">
        <f>RANK(K53, K$47:$K$61)</f>
        <v>7</v>
      </c>
      <c r="N53" s="462"/>
      <c r="O53" s="462"/>
      <c r="P53" s="180">
        <v>20</v>
      </c>
      <c r="Q53" s="166">
        <v>1078.421052631578</v>
      </c>
      <c r="R53" s="166">
        <v>53.921052631578902</v>
      </c>
      <c r="S53" s="180">
        <f t="shared" si="29"/>
        <v>7</v>
      </c>
      <c r="T53" s="486"/>
      <c r="U53" s="180">
        <v>19</v>
      </c>
      <c r="V53" s="166">
        <v>1094.1176470588223</v>
      </c>
      <c r="W53" s="166">
        <v>57.585139318885382</v>
      </c>
      <c r="X53" s="180">
        <f t="shared" si="30"/>
        <v>7</v>
      </c>
      <c r="Y53" s="486"/>
      <c r="Z53" s="180">
        <v>19</v>
      </c>
      <c r="AA53" s="166">
        <v>1113.5294117647045</v>
      </c>
      <c r="AB53" s="166">
        <v>58.606811145510761</v>
      </c>
      <c r="AC53" s="180">
        <f t="shared" si="31"/>
        <v>7</v>
      </c>
      <c r="AD53" s="486"/>
      <c r="AE53" s="180">
        <v>19</v>
      </c>
      <c r="AF53" s="166">
        <v>952.50000000000102</v>
      </c>
      <c r="AG53" s="166">
        <v>50.131578947368475</v>
      </c>
      <c r="AH53" s="180">
        <f t="shared" si="32"/>
        <v>7</v>
      </c>
      <c r="AI53" s="486"/>
      <c r="AJ53" s="180">
        <v>19</v>
      </c>
      <c r="AK53" s="166">
        <v>1136.2500000000014</v>
      </c>
      <c r="AL53" s="166">
        <v>59.802631578947441</v>
      </c>
      <c r="AM53" s="180">
        <f t="shared" si="33"/>
        <v>7</v>
      </c>
      <c r="AN53" s="486"/>
      <c r="AO53" s="180">
        <v>19</v>
      </c>
      <c r="AP53" s="166">
        <v>949.09090909091003</v>
      </c>
      <c r="AQ53" s="166">
        <v>49.952153110047895</v>
      </c>
      <c r="AR53" s="180">
        <f t="shared" si="34"/>
        <v>7</v>
      </c>
      <c r="AS53" s="486"/>
      <c r="AT53" s="180">
        <v>19</v>
      </c>
      <c r="AU53" s="166">
        <v>1038.3333333333326</v>
      </c>
      <c r="AV53" s="166">
        <v>54.649122807017505</v>
      </c>
      <c r="AW53" s="180">
        <f t="shared" si="35"/>
        <v>7</v>
      </c>
      <c r="AX53" s="486"/>
    </row>
    <row r="54" spans="2:50">
      <c r="B54" s="479"/>
      <c r="C54" s="180">
        <v>8</v>
      </c>
      <c r="D54" s="201" t="s">
        <v>526</v>
      </c>
      <c r="E54" s="166">
        <v>21</v>
      </c>
      <c r="F54" s="180">
        <v>1385</v>
      </c>
      <c r="G54" s="265">
        <v>65.900000000000006</v>
      </c>
      <c r="H54" s="460"/>
      <c r="I54" s="166">
        <f t="shared" si="28"/>
        <v>20</v>
      </c>
      <c r="J54" s="166">
        <f t="shared" si="28"/>
        <v>936.38321995464878</v>
      </c>
      <c r="K54" s="265">
        <f t="shared" si="28"/>
        <v>46.819160997732446</v>
      </c>
      <c r="L54" s="460"/>
      <c r="M54" s="272">
        <f>RANK(K54, K$47:$K$61)</f>
        <v>8</v>
      </c>
      <c r="N54" s="462"/>
      <c r="O54" s="462"/>
      <c r="P54" s="180">
        <v>20</v>
      </c>
      <c r="Q54" s="166">
        <v>948.88888888888937</v>
      </c>
      <c r="R54" s="166">
        <v>47.444444444444471</v>
      </c>
      <c r="S54" s="180">
        <f t="shared" si="29"/>
        <v>8</v>
      </c>
      <c r="T54" s="486"/>
      <c r="U54" s="180">
        <v>20</v>
      </c>
      <c r="V54" s="166">
        <v>942.85714285714357</v>
      </c>
      <c r="W54" s="166">
        <v>47.142857142857181</v>
      </c>
      <c r="X54" s="180">
        <f t="shared" si="30"/>
        <v>8</v>
      </c>
      <c r="Y54" s="486"/>
      <c r="Z54" s="180">
        <v>20</v>
      </c>
      <c r="AA54" s="166">
        <v>964.28571428571502</v>
      </c>
      <c r="AB54" s="166">
        <v>48.214285714285751</v>
      </c>
      <c r="AC54" s="180">
        <f t="shared" si="31"/>
        <v>8</v>
      </c>
      <c r="AD54" s="486"/>
      <c r="AE54" s="180">
        <v>20</v>
      </c>
      <c r="AF54" s="166">
        <v>931.4285714285711</v>
      </c>
      <c r="AG54" s="166">
        <v>46.571428571428555</v>
      </c>
      <c r="AH54" s="180">
        <f t="shared" si="32"/>
        <v>8</v>
      </c>
      <c r="AI54" s="486"/>
      <c r="AJ54" s="180">
        <v>20</v>
      </c>
      <c r="AK54" s="166">
        <v>922.22222222222274</v>
      </c>
      <c r="AL54" s="166">
        <v>46.111111111111136</v>
      </c>
      <c r="AM54" s="180">
        <f t="shared" si="33"/>
        <v>8</v>
      </c>
      <c r="AN54" s="486"/>
      <c r="AO54" s="180">
        <v>20</v>
      </c>
      <c r="AP54" s="166">
        <v>942.85714285714243</v>
      </c>
      <c r="AQ54" s="166">
        <v>47.142857142857125</v>
      </c>
      <c r="AR54" s="180">
        <f t="shared" si="34"/>
        <v>8</v>
      </c>
      <c r="AS54" s="486"/>
      <c r="AT54" s="180">
        <v>20</v>
      </c>
      <c r="AU54" s="166">
        <v>902.14285714285779</v>
      </c>
      <c r="AV54" s="166">
        <v>45.10714285714289</v>
      </c>
      <c r="AW54" s="180">
        <f t="shared" si="35"/>
        <v>8</v>
      </c>
      <c r="AX54" s="486"/>
    </row>
    <row r="55" spans="2:50">
      <c r="B55" s="479"/>
      <c r="C55" s="180">
        <v>9</v>
      </c>
      <c r="D55" s="201"/>
      <c r="E55" s="166"/>
      <c r="F55" s="180"/>
      <c r="G55" s="265"/>
      <c r="H55" s="460"/>
      <c r="I55" s="166"/>
      <c r="J55" s="166"/>
      <c r="K55" s="265"/>
      <c r="L55" s="460"/>
      <c r="M55" s="272" t="e">
        <f>RANK(K55, K$47:$K$61)</f>
        <v>#N/A</v>
      </c>
      <c r="N55" s="462"/>
      <c r="O55" s="462"/>
      <c r="P55" s="180"/>
      <c r="Q55" s="180"/>
      <c r="R55" s="180"/>
      <c r="S55" s="180"/>
      <c r="T55" s="486"/>
      <c r="U55" s="180"/>
      <c r="V55" s="180"/>
      <c r="W55" s="180"/>
      <c r="X55" s="180"/>
      <c r="Y55" s="486"/>
      <c r="Z55" s="180"/>
      <c r="AA55" s="180"/>
      <c r="AB55" s="180"/>
      <c r="AC55" s="180"/>
      <c r="AD55" s="486"/>
      <c r="AE55" s="180"/>
      <c r="AF55" s="180"/>
      <c r="AG55" s="180"/>
      <c r="AH55" s="180"/>
      <c r="AI55" s="486"/>
      <c r="AJ55" s="180"/>
      <c r="AK55" s="180"/>
      <c r="AL55" s="180"/>
      <c r="AM55" s="180"/>
      <c r="AN55" s="486"/>
      <c r="AO55" s="180"/>
      <c r="AP55" s="180"/>
      <c r="AQ55" s="180"/>
      <c r="AR55" s="180"/>
      <c r="AS55" s="486"/>
      <c r="AT55" s="180"/>
      <c r="AU55" s="180"/>
      <c r="AV55" s="180"/>
      <c r="AW55" s="180"/>
      <c r="AX55" s="486"/>
    </row>
    <row r="56" spans="2:50">
      <c r="B56" s="479"/>
      <c r="C56" s="180">
        <v>10</v>
      </c>
      <c r="D56" s="201"/>
      <c r="E56" s="166"/>
      <c r="F56" s="180"/>
      <c r="G56" s="265"/>
      <c r="H56" s="460"/>
      <c r="I56" s="166"/>
      <c r="J56" s="166"/>
      <c r="K56" s="265"/>
      <c r="L56" s="460"/>
      <c r="M56" s="272" t="e">
        <f>RANK(K56, K$47:$K$61)</f>
        <v>#N/A</v>
      </c>
      <c r="N56" s="462"/>
      <c r="O56" s="462"/>
      <c r="P56" s="180"/>
      <c r="Q56" s="180"/>
      <c r="R56" s="180"/>
      <c r="S56" s="180"/>
      <c r="T56" s="486"/>
      <c r="U56" s="180"/>
      <c r="V56" s="180"/>
      <c r="W56" s="180"/>
      <c r="X56" s="180"/>
      <c r="Y56" s="486"/>
      <c r="Z56" s="180"/>
      <c r="AA56" s="180"/>
      <c r="AB56" s="180"/>
      <c r="AC56" s="180"/>
      <c r="AD56" s="486"/>
      <c r="AE56" s="180"/>
      <c r="AF56" s="180"/>
      <c r="AG56" s="180"/>
      <c r="AH56" s="180"/>
      <c r="AI56" s="486"/>
      <c r="AJ56" s="180"/>
      <c r="AK56" s="180"/>
      <c r="AL56" s="180"/>
      <c r="AM56" s="180"/>
      <c r="AN56" s="486"/>
      <c r="AO56" s="180"/>
      <c r="AP56" s="180"/>
      <c r="AQ56" s="180"/>
      <c r="AR56" s="180"/>
      <c r="AS56" s="486"/>
      <c r="AT56" s="180"/>
      <c r="AU56" s="180"/>
      <c r="AV56" s="180"/>
      <c r="AW56" s="180"/>
      <c r="AX56" s="486"/>
    </row>
    <row r="57" spans="2:50">
      <c r="B57" s="479"/>
      <c r="C57" s="180">
        <v>11</v>
      </c>
      <c r="D57" s="201"/>
      <c r="E57" s="166"/>
      <c r="F57" s="180"/>
      <c r="G57" s="265"/>
      <c r="H57" s="460"/>
      <c r="I57" s="166"/>
      <c r="J57" s="166"/>
      <c r="K57" s="265"/>
      <c r="L57" s="460"/>
      <c r="M57" s="272" t="e">
        <f>RANK(K57, K$47:$K$61)</f>
        <v>#N/A</v>
      </c>
      <c r="N57" s="462"/>
      <c r="O57" s="462"/>
      <c r="P57" s="180"/>
      <c r="Q57" s="180"/>
      <c r="R57" s="180"/>
      <c r="S57" s="180"/>
      <c r="T57" s="486"/>
      <c r="U57" s="180"/>
      <c r="V57" s="180"/>
      <c r="W57" s="180"/>
      <c r="X57" s="180"/>
      <c r="Y57" s="486"/>
      <c r="Z57" s="180"/>
      <c r="AA57" s="180"/>
      <c r="AB57" s="180"/>
      <c r="AC57" s="180"/>
      <c r="AD57" s="486"/>
      <c r="AE57" s="180"/>
      <c r="AF57" s="180"/>
      <c r="AG57" s="180"/>
      <c r="AH57" s="180"/>
      <c r="AI57" s="486"/>
      <c r="AJ57" s="180"/>
      <c r="AK57" s="180"/>
      <c r="AL57" s="180"/>
      <c r="AM57" s="180"/>
      <c r="AN57" s="486"/>
      <c r="AO57" s="180"/>
      <c r="AP57" s="180"/>
      <c r="AQ57" s="180"/>
      <c r="AR57" s="180"/>
      <c r="AS57" s="486"/>
      <c r="AT57" s="180"/>
      <c r="AU57" s="180"/>
      <c r="AV57" s="180"/>
      <c r="AW57" s="180"/>
      <c r="AX57" s="486"/>
    </row>
    <row r="58" spans="2:50">
      <c r="B58" s="479"/>
      <c r="C58" s="180">
        <v>12</v>
      </c>
      <c r="D58" s="201"/>
      <c r="E58" s="166"/>
      <c r="F58" s="180"/>
      <c r="G58" s="265"/>
      <c r="H58" s="460"/>
      <c r="I58" s="166"/>
      <c r="J58" s="166"/>
      <c r="K58" s="265"/>
      <c r="L58" s="460"/>
      <c r="M58" s="272" t="e">
        <f>RANK(K58, K$47:$K$61)</f>
        <v>#N/A</v>
      </c>
      <c r="N58" s="462"/>
      <c r="O58" s="462"/>
      <c r="P58" s="180"/>
      <c r="Q58" s="180"/>
      <c r="R58" s="180"/>
      <c r="S58" s="180"/>
      <c r="T58" s="486"/>
      <c r="U58" s="180"/>
      <c r="V58" s="180"/>
      <c r="W58" s="180"/>
      <c r="X58" s="180"/>
      <c r="Y58" s="486"/>
      <c r="Z58" s="180"/>
      <c r="AA58" s="180"/>
      <c r="AB58" s="180"/>
      <c r="AC58" s="180"/>
      <c r="AD58" s="486"/>
      <c r="AE58" s="180"/>
      <c r="AF58" s="180"/>
      <c r="AG58" s="180"/>
      <c r="AH58" s="180"/>
      <c r="AI58" s="486"/>
      <c r="AJ58" s="180"/>
      <c r="AK58" s="180"/>
      <c r="AL58" s="180"/>
      <c r="AM58" s="180"/>
      <c r="AN58" s="486"/>
      <c r="AO58" s="180"/>
      <c r="AP58" s="180"/>
      <c r="AQ58" s="180"/>
      <c r="AR58" s="180"/>
      <c r="AS58" s="486"/>
      <c r="AT58" s="180"/>
      <c r="AU58" s="180"/>
      <c r="AV58" s="180"/>
      <c r="AW58" s="180"/>
      <c r="AX58" s="486"/>
    </row>
    <row r="59" spans="2:50">
      <c r="B59" s="479"/>
      <c r="C59" s="180">
        <v>13</v>
      </c>
      <c r="D59" s="201"/>
      <c r="E59" s="166"/>
      <c r="F59" s="180"/>
      <c r="G59" s="265"/>
      <c r="H59" s="460"/>
      <c r="I59" s="166"/>
      <c r="J59" s="166"/>
      <c r="K59" s="265"/>
      <c r="L59" s="460"/>
      <c r="M59" s="272" t="e">
        <f>RANK(K59, K$47:$K$61)</f>
        <v>#N/A</v>
      </c>
      <c r="N59" s="462"/>
      <c r="O59" s="462"/>
      <c r="P59" s="180"/>
      <c r="Q59" s="180"/>
      <c r="R59" s="180"/>
      <c r="S59" s="180"/>
      <c r="T59" s="486"/>
      <c r="U59" s="180"/>
      <c r="V59" s="180"/>
      <c r="W59" s="180"/>
      <c r="X59" s="180"/>
      <c r="Y59" s="486"/>
      <c r="Z59" s="180"/>
      <c r="AA59" s="180"/>
      <c r="AB59" s="180"/>
      <c r="AC59" s="180"/>
      <c r="AD59" s="486"/>
      <c r="AE59" s="180"/>
      <c r="AF59" s="180"/>
      <c r="AG59" s="180"/>
      <c r="AH59" s="180"/>
      <c r="AI59" s="486"/>
      <c r="AJ59" s="180"/>
      <c r="AK59" s="180"/>
      <c r="AL59" s="180"/>
      <c r="AM59" s="180"/>
      <c r="AN59" s="486"/>
      <c r="AO59" s="180"/>
      <c r="AP59" s="180"/>
      <c r="AQ59" s="180"/>
      <c r="AR59" s="180"/>
      <c r="AS59" s="486"/>
      <c r="AT59" s="180"/>
      <c r="AU59" s="180"/>
      <c r="AV59" s="180"/>
      <c r="AW59" s="180"/>
      <c r="AX59" s="486"/>
    </row>
    <row r="60" spans="2:50">
      <c r="B60" s="479"/>
      <c r="C60" s="180">
        <v>14</v>
      </c>
      <c r="D60" s="201"/>
      <c r="E60" s="166"/>
      <c r="F60" s="180"/>
      <c r="G60" s="265"/>
      <c r="H60" s="460"/>
      <c r="I60" s="166"/>
      <c r="J60" s="166"/>
      <c r="K60" s="265"/>
      <c r="L60" s="460"/>
      <c r="M60" s="272" t="e">
        <f>RANK(K60, K$47:$K$61)</f>
        <v>#N/A</v>
      </c>
      <c r="N60" s="462"/>
      <c r="O60" s="462"/>
      <c r="P60" s="180"/>
      <c r="Q60" s="180"/>
      <c r="R60" s="180"/>
      <c r="S60" s="180"/>
      <c r="T60" s="486"/>
      <c r="U60" s="180"/>
      <c r="V60" s="180"/>
      <c r="W60" s="180"/>
      <c r="X60" s="180"/>
      <c r="Y60" s="486"/>
      <c r="Z60" s="180"/>
      <c r="AA60" s="180"/>
      <c r="AB60" s="180"/>
      <c r="AC60" s="180"/>
      <c r="AD60" s="486"/>
      <c r="AE60" s="180"/>
      <c r="AF60" s="180"/>
      <c r="AG60" s="180"/>
      <c r="AH60" s="180"/>
      <c r="AI60" s="486"/>
      <c r="AJ60" s="180"/>
      <c r="AK60" s="180"/>
      <c r="AL60" s="180"/>
      <c r="AM60" s="180"/>
      <c r="AN60" s="486"/>
      <c r="AO60" s="180"/>
      <c r="AP60" s="180"/>
      <c r="AQ60" s="180"/>
      <c r="AR60" s="180"/>
      <c r="AS60" s="486"/>
      <c r="AT60" s="180"/>
      <c r="AU60" s="180"/>
      <c r="AV60" s="180"/>
      <c r="AW60" s="180"/>
      <c r="AX60" s="486"/>
    </row>
    <row r="61" spans="2:50">
      <c r="B61" s="479"/>
      <c r="C61" s="180">
        <v>15</v>
      </c>
      <c r="D61" s="201"/>
      <c r="E61" s="166"/>
      <c r="F61" s="180"/>
      <c r="G61" s="265"/>
      <c r="H61" s="461"/>
      <c r="I61" s="166"/>
      <c r="J61" s="166"/>
      <c r="K61" s="265"/>
      <c r="L61" s="461"/>
      <c r="M61" s="272" t="e">
        <f>RANK(K61, K$47:$K$61)</f>
        <v>#N/A</v>
      </c>
      <c r="N61" s="462"/>
      <c r="O61" s="462"/>
      <c r="P61" s="180"/>
      <c r="Q61" s="180"/>
      <c r="R61" s="180"/>
      <c r="S61" s="180"/>
      <c r="T61" s="486"/>
      <c r="U61" s="180"/>
      <c r="V61" s="180"/>
      <c r="W61" s="180"/>
      <c r="X61" s="180"/>
      <c r="Y61" s="486"/>
      <c r="Z61" s="180"/>
      <c r="AA61" s="180"/>
      <c r="AB61" s="180"/>
      <c r="AC61" s="180"/>
      <c r="AD61" s="486"/>
      <c r="AE61" s="180"/>
      <c r="AF61" s="180"/>
      <c r="AG61" s="180"/>
      <c r="AH61" s="180"/>
      <c r="AI61" s="486"/>
      <c r="AJ61" s="180"/>
      <c r="AK61" s="180"/>
      <c r="AL61" s="180"/>
      <c r="AM61" s="180"/>
      <c r="AN61" s="486"/>
      <c r="AO61" s="180"/>
      <c r="AP61" s="180"/>
      <c r="AQ61" s="180"/>
      <c r="AR61" s="180"/>
      <c r="AS61" s="486"/>
      <c r="AT61" s="180"/>
      <c r="AU61" s="180"/>
      <c r="AV61" s="180"/>
      <c r="AW61" s="180"/>
      <c r="AX61" s="486"/>
    </row>
    <row r="62" spans="2:50" ht="15.75">
      <c r="B62" s="480" t="s">
        <v>644</v>
      </c>
      <c r="C62" s="481"/>
      <c r="D62" s="481"/>
      <c r="E62" s="481"/>
      <c r="F62" s="481"/>
      <c r="G62" s="481"/>
      <c r="H62" s="481"/>
      <c r="I62" s="184"/>
      <c r="J62" s="184"/>
      <c r="K62" s="184"/>
      <c r="L62" s="184"/>
      <c r="M62" s="183"/>
      <c r="N62" s="469" t="s">
        <v>645</v>
      </c>
      <c r="O62" s="469" t="s">
        <v>646</v>
      </c>
      <c r="P62" s="478">
        <f>P42+7</f>
        <v>20</v>
      </c>
      <c r="Q62" s="479"/>
      <c r="R62" s="479"/>
      <c r="S62" s="479"/>
      <c r="T62" s="479"/>
      <c r="U62" s="475">
        <f>P62+1</f>
        <v>21</v>
      </c>
      <c r="V62" s="476"/>
      <c r="W62" s="476"/>
      <c r="X62" s="476"/>
      <c r="Y62" s="477"/>
      <c r="Z62" s="475">
        <f>U62+1</f>
        <v>22</v>
      </c>
      <c r="AA62" s="476"/>
      <c r="AB62" s="476"/>
      <c r="AC62" s="476"/>
      <c r="AD62" s="477"/>
      <c r="AE62" s="475">
        <f>Z62+1</f>
        <v>23</v>
      </c>
      <c r="AF62" s="476"/>
      <c r="AG62" s="476"/>
      <c r="AH62" s="476"/>
      <c r="AI62" s="477"/>
      <c r="AJ62" s="475">
        <f>AE62+1</f>
        <v>24</v>
      </c>
      <c r="AK62" s="476"/>
      <c r="AL62" s="476"/>
      <c r="AM62" s="476"/>
      <c r="AN62" s="477"/>
      <c r="AO62" s="475">
        <f>AJ62+1</f>
        <v>25</v>
      </c>
      <c r="AP62" s="476"/>
      <c r="AQ62" s="476"/>
      <c r="AR62" s="476"/>
      <c r="AS62" s="477"/>
      <c r="AT62" s="475">
        <f>AO62+1</f>
        <v>26</v>
      </c>
      <c r="AU62" s="476"/>
      <c r="AV62" s="476"/>
      <c r="AW62" s="476"/>
      <c r="AX62" s="477"/>
    </row>
    <row r="63" spans="2:50" ht="15.75">
      <c r="B63" s="482"/>
      <c r="C63" s="482"/>
      <c r="D63" s="482"/>
      <c r="E63" s="482"/>
      <c r="F63" s="482"/>
      <c r="G63" s="482"/>
      <c r="H63" s="482"/>
      <c r="I63" s="182"/>
      <c r="J63" s="182"/>
      <c r="K63" s="182"/>
      <c r="L63" s="182"/>
      <c r="M63" s="179"/>
      <c r="N63" s="471"/>
      <c r="O63" s="471"/>
      <c r="P63" s="478" t="s">
        <v>647</v>
      </c>
      <c r="Q63" s="479"/>
      <c r="R63" s="479"/>
      <c r="S63" s="479"/>
      <c r="T63" s="479"/>
      <c r="U63" s="478" t="s">
        <v>648</v>
      </c>
      <c r="V63" s="479"/>
      <c r="W63" s="479"/>
      <c r="X63" s="479"/>
      <c r="Y63" s="479"/>
      <c r="Z63" s="478" t="s">
        <v>649</v>
      </c>
      <c r="AA63" s="479"/>
      <c r="AB63" s="479"/>
      <c r="AC63" s="479"/>
      <c r="AD63" s="479"/>
      <c r="AE63" s="478" t="s">
        <v>650</v>
      </c>
      <c r="AF63" s="479"/>
      <c r="AG63" s="479"/>
      <c r="AH63" s="479"/>
      <c r="AI63" s="479"/>
      <c r="AJ63" s="478" t="s">
        <v>651</v>
      </c>
      <c r="AK63" s="479"/>
      <c r="AL63" s="479"/>
      <c r="AM63" s="479"/>
      <c r="AN63" s="479"/>
      <c r="AO63" s="478" t="s">
        <v>652</v>
      </c>
      <c r="AP63" s="479"/>
      <c r="AQ63" s="479"/>
      <c r="AR63" s="479"/>
      <c r="AS63" s="479"/>
      <c r="AT63" s="478" t="s">
        <v>653</v>
      </c>
      <c r="AU63" s="479"/>
      <c r="AV63" s="479"/>
      <c r="AW63" s="479"/>
      <c r="AX63" s="479"/>
    </row>
    <row r="64" spans="2:50">
      <c r="B64" s="462" t="s">
        <v>654</v>
      </c>
      <c r="C64" s="462" t="s">
        <v>655</v>
      </c>
      <c r="D64" s="462"/>
      <c r="E64" s="462" t="s">
        <v>656</v>
      </c>
      <c r="F64" s="462"/>
      <c r="G64" s="462"/>
      <c r="H64" s="463" t="s">
        <v>657</v>
      </c>
      <c r="I64" s="462" t="s">
        <v>658</v>
      </c>
      <c r="J64" s="462"/>
      <c r="K64" s="462"/>
      <c r="L64" s="463" t="s">
        <v>657</v>
      </c>
      <c r="M64" s="469" t="s">
        <v>659</v>
      </c>
      <c r="N64" s="462"/>
      <c r="O64" s="462" t="s">
        <v>660</v>
      </c>
      <c r="P64" s="466" t="s">
        <v>661</v>
      </c>
      <c r="Q64" s="467"/>
      <c r="R64" s="467"/>
      <c r="S64" s="468"/>
      <c r="T64" s="462" t="s">
        <v>657</v>
      </c>
      <c r="U64" s="466" t="s">
        <v>661</v>
      </c>
      <c r="V64" s="467"/>
      <c r="W64" s="467"/>
      <c r="X64" s="468"/>
      <c r="Y64" s="462" t="s">
        <v>657</v>
      </c>
      <c r="Z64" s="466" t="s">
        <v>661</v>
      </c>
      <c r="AA64" s="467"/>
      <c r="AB64" s="467"/>
      <c r="AC64" s="468"/>
      <c r="AD64" s="462" t="s">
        <v>657</v>
      </c>
      <c r="AE64" s="466" t="s">
        <v>661</v>
      </c>
      <c r="AF64" s="467"/>
      <c r="AG64" s="467"/>
      <c r="AH64" s="468"/>
      <c r="AI64" s="462" t="s">
        <v>657</v>
      </c>
      <c r="AJ64" s="466" t="s">
        <v>661</v>
      </c>
      <c r="AK64" s="467"/>
      <c r="AL64" s="467"/>
      <c r="AM64" s="468"/>
      <c r="AN64" s="462" t="s">
        <v>657</v>
      </c>
      <c r="AO64" s="466" t="s">
        <v>661</v>
      </c>
      <c r="AP64" s="467"/>
      <c r="AQ64" s="467"/>
      <c r="AR64" s="468"/>
      <c r="AS64" s="462" t="s">
        <v>657</v>
      </c>
      <c r="AT64" s="466" t="s">
        <v>661</v>
      </c>
      <c r="AU64" s="467"/>
      <c r="AV64" s="467"/>
      <c r="AW64" s="468"/>
      <c r="AX64" s="462" t="s">
        <v>657</v>
      </c>
    </row>
    <row r="65" spans="2:50">
      <c r="B65" s="462"/>
      <c r="C65" s="462"/>
      <c r="D65" s="462"/>
      <c r="E65" s="462" t="s">
        <v>662</v>
      </c>
      <c r="F65" s="462"/>
      <c r="G65" s="462"/>
      <c r="H65" s="464"/>
      <c r="I65" s="462" t="s">
        <v>662</v>
      </c>
      <c r="J65" s="462"/>
      <c r="K65" s="462"/>
      <c r="L65" s="464"/>
      <c r="M65" s="470"/>
      <c r="N65" s="462"/>
      <c r="O65" s="462"/>
      <c r="P65" s="466" t="s">
        <v>663</v>
      </c>
      <c r="Q65" s="467"/>
      <c r="R65" s="467"/>
      <c r="S65" s="468"/>
      <c r="T65" s="462"/>
      <c r="U65" s="466" t="s">
        <v>663</v>
      </c>
      <c r="V65" s="467"/>
      <c r="W65" s="467"/>
      <c r="X65" s="468"/>
      <c r="Y65" s="462"/>
      <c r="Z65" s="466" t="s">
        <v>663</v>
      </c>
      <c r="AA65" s="467"/>
      <c r="AB65" s="467"/>
      <c r="AC65" s="468"/>
      <c r="AD65" s="462"/>
      <c r="AE65" s="466" t="s">
        <v>663</v>
      </c>
      <c r="AF65" s="467"/>
      <c r="AG65" s="467"/>
      <c r="AH65" s="468"/>
      <c r="AI65" s="462"/>
      <c r="AJ65" s="466" t="s">
        <v>663</v>
      </c>
      <c r="AK65" s="467"/>
      <c r="AL65" s="467"/>
      <c r="AM65" s="468"/>
      <c r="AN65" s="462"/>
      <c r="AO65" s="466" t="s">
        <v>663</v>
      </c>
      <c r="AP65" s="467"/>
      <c r="AQ65" s="467"/>
      <c r="AR65" s="468"/>
      <c r="AS65" s="462"/>
      <c r="AT65" s="466" t="s">
        <v>663</v>
      </c>
      <c r="AU65" s="467"/>
      <c r="AV65" s="467"/>
      <c r="AW65" s="468"/>
      <c r="AX65" s="462"/>
    </row>
    <row r="66" spans="2:50">
      <c r="B66" s="462"/>
      <c r="C66" s="462"/>
      <c r="D66" s="462"/>
      <c r="E66" s="264" t="s">
        <v>664</v>
      </c>
      <c r="F66" s="264" t="s">
        <v>665</v>
      </c>
      <c r="G66" s="264" t="s">
        <v>666</v>
      </c>
      <c r="H66" s="465"/>
      <c r="I66" s="264" t="s">
        <v>664</v>
      </c>
      <c r="J66" s="264" t="s">
        <v>665</v>
      </c>
      <c r="K66" s="264" t="s">
        <v>666</v>
      </c>
      <c r="L66" s="465"/>
      <c r="M66" s="471"/>
      <c r="N66" s="462"/>
      <c r="O66" s="462"/>
      <c r="P66" s="264" t="s">
        <v>664</v>
      </c>
      <c r="Q66" s="264" t="s">
        <v>665</v>
      </c>
      <c r="R66" s="264" t="s">
        <v>666</v>
      </c>
      <c r="S66" s="264" t="s">
        <v>659</v>
      </c>
      <c r="T66" s="462"/>
      <c r="U66" s="264" t="s">
        <v>664</v>
      </c>
      <c r="V66" s="264" t="s">
        <v>665</v>
      </c>
      <c r="W66" s="264" t="s">
        <v>666</v>
      </c>
      <c r="X66" s="264" t="s">
        <v>659</v>
      </c>
      <c r="Y66" s="462"/>
      <c r="Z66" s="264" t="s">
        <v>664</v>
      </c>
      <c r="AA66" s="264" t="s">
        <v>665</v>
      </c>
      <c r="AB66" s="264" t="s">
        <v>666</v>
      </c>
      <c r="AC66" s="264" t="s">
        <v>659</v>
      </c>
      <c r="AD66" s="462"/>
      <c r="AE66" s="264" t="s">
        <v>664</v>
      </c>
      <c r="AF66" s="264" t="s">
        <v>665</v>
      </c>
      <c r="AG66" s="264" t="s">
        <v>666</v>
      </c>
      <c r="AH66" s="264" t="s">
        <v>659</v>
      </c>
      <c r="AI66" s="462"/>
      <c r="AJ66" s="264" t="s">
        <v>664</v>
      </c>
      <c r="AK66" s="264" t="s">
        <v>665</v>
      </c>
      <c r="AL66" s="264" t="s">
        <v>666</v>
      </c>
      <c r="AM66" s="264" t="s">
        <v>659</v>
      </c>
      <c r="AN66" s="462"/>
      <c r="AO66" s="264" t="s">
        <v>664</v>
      </c>
      <c r="AP66" s="264" t="s">
        <v>665</v>
      </c>
      <c r="AQ66" s="264" t="s">
        <v>666</v>
      </c>
      <c r="AR66" s="264" t="s">
        <v>659</v>
      </c>
      <c r="AS66" s="462"/>
      <c r="AT66" s="264" t="s">
        <v>664</v>
      </c>
      <c r="AU66" s="264" t="s">
        <v>665</v>
      </c>
      <c r="AV66" s="264" t="s">
        <v>666</v>
      </c>
      <c r="AW66" s="264" t="s">
        <v>659</v>
      </c>
      <c r="AX66" s="462"/>
    </row>
    <row r="67" spans="2:50">
      <c r="B67" s="462" t="s">
        <v>679</v>
      </c>
      <c r="C67" s="180">
        <v>1</v>
      </c>
      <c r="D67" s="201" t="s">
        <v>383</v>
      </c>
      <c r="E67" s="166">
        <v>6</v>
      </c>
      <c r="F67" s="180">
        <v>1500</v>
      </c>
      <c r="G67" s="265">
        <v>250</v>
      </c>
      <c r="H67" s="459">
        <f>AVERAGE(G67:G81)</f>
        <v>150.75714285714284</v>
      </c>
      <c r="I67" s="166">
        <f t="shared" ref="I67:K73" si="36">AVERAGE(P67,U67,Z67,AE67,AJ67,AO67,AT67)</f>
        <v>6.8571428571428568</v>
      </c>
      <c r="J67" s="166">
        <f t="shared" si="36"/>
        <v>1323.844698353827</v>
      </c>
      <c r="K67" s="265">
        <f t="shared" si="36"/>
        <v>193.62407255394805</v>
      </c>
      <c r="L67" s="459">
        <f>IFERROR(AVERAGE(K67:K81),"-")</f>
        <v>127.09567507383242</v>
      </c>
      <c r="M67" s="272">
        <f>RANK(K67, K$67:$K$81)</f>
        <v>3</v>
      </c>
      <c r="N67" s="462"/>
      <c r="O67" s="462"/>
      <c r="P67" s="180">
        <v>6</v>
      </c>
      <c r="Q67" s="166">
        <v>1323.9999999999998</v>
      </c>
      <c r="R67" s="166">
        <v>220.66666666666663</v>
      </c>
      <c r="S67" s="180">
        <f>RANK(R67, R$67:R$81)</f>
        <v>3</v>
      </c>
      <c r="T67" s="472">
        <f>AVERAGE(R67:R81)</f>
        <v>138.92292602846564</v>
      </c>
      <c r="U67" s="180">
        <v>7</v>
      </c>
      <c r="V67" s="166">
        <v>1346.153846153846</v>
      </c>
      <c r="W67" s="166">
        <v>192.30769230769229</v>
      </c>
      <c r="X67" s="180">
        <f t="shared" ref="X67:X81" si="37">RANK(W67, W$67:W$81)</f>
        <v>3</v>
      </c>
      <c r="Y67" s="472">
        <f t="shared" ref="Y67" si="38">AVERAGE(W67:W81)</f>
        <v>125.40772636748567</v>
      </c>
      <c r="Z67" s="180">
        <v>7</v>
      </c>
      <c r="AA67" s="166">
        <v>1312.4050632911392</v>
      </c>
      <c r="AB67" s="166">
        <v>187.48643761301989</v>
      </c>
      <c r="AC67" s="180">
        <f t="shared" ref="AC67:AC81" si="39">RANK(AB67, AB$67:AB$81)</f>
        <v>3</v>
      </c>
      <c r="AD67" s="472">
        <f t="shared" ref="AD67" si="40">AVERAGE(AB67:AB81)</f>
        <v>135.79073126596526</v>
      </c>
      <c r="AE67" s="180">
        <v>7</v>
      </c>
      <c r="AF67" s="166">
        <v>1341.8181818181815</v>
      </c>
      <c r="AG67" s="166">
        <v>191.68831168831164</v>
      </c>
      <c r="AH67" s="180">
        <f t="shared" ref="AH67:AH81" si="41">RANK(AG67, AG$67:AG$81)</f>
        <v>3</v>
      </c>
      <c r="AI67" s="472">
        <f t="shared" ref="AI67" si="42">AVERAGE(AG67:AG81)</f>
        <v>133.05399706628401</v>
      </c>
      <c r="AJ67" s="180">
        <v>7</v>
      </c>
      <c r="AK67" s="166">
        <v>1309.6874999999998</v>
      </c>
      <c r="AL67" s="166">
        <v>187.09821428571425</v>
      </c>
      <c r="AM67" s="180">
        <f t="shared" ref="AM67:AM81" si="43">RANK(AL67, AL$67:AL$81)</f>
        <v>3</v>
      </c>
      <c r="AN67" s="472">
        <f t="shared" ref="AN67" si="44">AVERAGE(AL67:AL81)</f>
        <v>131.91815981345658</v>
      </c>
      <c r="AO67" s="180">
        <v>7</v>
      </c>
      <c r="AP67" s="166">
        <v>1327.0588235294117</v>
      </c>
      <c r="AQ67" s="166">
        <v>189.57983193277309</v>
      </c>
      <c r="AR67" s="180">
        <f t="shared" ref="AR67:AR81" si="45">RANK(AQ67, AQ$67:AQ$81)</f>
        <v>3</v>
      </c>
      <c r="AS67" s="472">
        <f t="shared" ref="AS67" si="46">AVERAGE(AQ67:AQ81)</f>
        <v>134.02655489322876</v>
      </c>
      <c r="AT67" s="166">
        <v>7</v>
      </c>
      <c r="AU67" s="166">
        <v>1305.7894736842104</v>
      </c>
      <c r="AV67" s="265">
        <v>186.54135338345864</v>
      </c>
      <c r="AW67" s="180">
        <f t="shared" ref="AW67:AW81" si="47">RANK(AV67, AV$67:AV$81)</f>
        <v>3</v>
      </c>
      <c r="AX67" s="486">
        <f t="shared" ref="AX67" si="48">AVERAGE(AV67:AV81)</f>
        <v>135.8292062418175</v>
      </c>
    </row>
    <row r="68" spans="2:50">
      <c r="B68" s="479"/>
      <c r="C68" s="180">
        <v>2</v>
      </c>
      <c r="D68" s="201" t="s">
        <v>384</v>
      </c>
      <c r="E68" s="166">
        <v>6</v>
      </c>
      <c r="F68" s="180">
        <v>1500</v>
      </c>
      <c r="G68" s="265">
        <v>250</v>
      </c>
      <c r="H68" s="460"/>
      <c r="I68" s="166">
        <f t="shared" si="36"/>
        <v>6.8571428571428568</v>
      </c>
      <c r="J68" s="166">
        <f t="shared" si="36"/>
        <v>1471.5054422703886</v>
      </c>
      <c r="K68" s="265">
        <f t="shared" si="36"/>
        <v>215.14035472667362</v>
      </c>
      <c r="L68" s="460"/>
      <c r="M68" s="272">
        <f>RANK(K68, K$67:$K$81)</f>
        <v>2</v>
      </c>
      <c r="N68" s="462"/>
      <c r="O68" s="462"/>
      <c r="P68" s="180">
        <v>6</v>
      </c>
      <c r="Q68" s="166">
        <v>1448.0357142857144</v>
      </c>
      <c r="R68" s="166">
        <v>241.33928571428575</v>
      </c>
      <c r="S68" s="180">
        <f t="shared" ref="S68:S81" si="49">RANK(R68, R$67:R$81)</f>
        <v>2</v>
      </c>
      <c r="T68" s="473"/>
      <c r="U68" s="180">
        <v>7</v>
      </c>
      <c r="V68" s="166">
        <v>1471.3274336283187</v>
      </c>
      <c r="W68" s="166">
        <v>210.1896333754741</v>
      </c>
      <c r="X68" s="180">
        <f t="shared" si="37"/>
        <v>2</v>
      </c>
      <c r="Y68" s="473"/>
      <c r="Z68" s="180">
        <v>7</v>
      </c>
      <c r="AA68" s="166">
        <v>1509.1891891891892</v>
      </c>
      <c r="AB68" s="166">
        <v>215.59845559845559</v>
      </c>
      <c r="AC68" s="180">
        <f t="shared" si="39"/>
        <v>1</v>
      </c>
      <c r="AD68" s="473"/>
      <c r="AE68" s="180">
        <v>7</v>
      </c>
      <c r="AF68" s="166">
        <v>1454.6666666666665</v>
      </c>
      <c r="AG68" s="166">
        <v>207.8095238095238</v>
      </c>
      <c r="AH68" s="180">
        <f t="shared" si="41"/>
        <v>2</v>
      </c>
      <c r="AI68" s="473"/>
      <c r="AJ68" s="180">
        <v>7</v>
      </c>
      <c r="AK68" s="166">
        <v>1465.714285714286</v>
      </c>
      <c r="AL68" s="166">
        <v>209.38775510204087</v>
      </c>
      <c r="AM68" s="180">
        <f t="shared" si="43"/>
        <v>1</v>
      </c>
      <c r="AN68" s="473"/>
      <c r="AO68" s="180">
        <v>7</v>
      </c>
      <c r="AP68" s="166">
        <v>1490.8571428571424</v>
      </c>
      <c r="AQ68" s="166">
        <v>212.97959183673464</v>
      </c>
      <c r="AR68" s="180">
        <f t="shared" si="45"/>
        <v>2</v>
      </c>
      <c r="AS68" s="473"/>
      <c r="AT68" s="180">
        <v>7</v>
      </c>
      <c r="AU68" s="166">
        <v>1460.7476635514017</v>
      </c>
      <c r="AV68" s="265">
        <v>208.67823765020026</v>
      </c>
      <c r="AW68" s="180">
        <f t="shared" si="47"/>
        <v>1</v>
      </c>
      <c r="AX68" s="486"/>
    </row>
    <row r="69" spans="2:50">
      <c r="B69" s="479"/>
      <c r="C69" s="180">
        <v>3</v>
      </c>
      <c r="D69" s="201" t="s">
        <v>338</v>
      </c>
      <c r="E69" s="166">
        <v>19</v>
      </c>
      <c r="F69" s="180">
        <v>1500</v>
      </c>
      <c r="G69" s="265">
        <v>78.900000000000006</v>
      </c>
      <c r="H69" s="460"/>
      <c r="I69" s="166">
        <f t="shared" si="36"/>
        <v>18.428571428571427</v>
      </c>
      <c r="J69" s="166">
        <f t="shared" si="36"/>
        <v>1330.0888863143275</v>
      </c>
      <c r="K69" s="265">
        <f t="shared" si="36"/>
        <v>72.285126933920452</v>
      </c>
      <c r="L69" s="460"/>
      <c r="M69" s="272">
        <f>RANK(K69, K$67:$K$81)</f>
        <v>4</v>
      </c>
      <c r="N69" s="462"/>
      <c r="O69" s="462"/>
      <c r="P69" s="180">
        <v>19</v>
      </c>
      <c r="Q69" s="166">
        <v>1319.0000000000048</v>
      </c>
      <c r="R69" s="166">
        <v>69.421052631579201</v>
      </c>
      <c r="S69" s="180">
        <f t="shared" si="49"/>
        <v>5</v>
      </c>
      <c r="T69" s="473"/>
      <c r="U69" s="180">
        <v>20</v>
      </c>
      <c r="V69" s="166">
        <v>1332.7515789473687</v>
      </c>
      <c r="W69" s="166">
        <v>66.637578947368439</v>
      </c>
      <c r="X69" s="180">
        <f t="shared" si="37"/>
        <v>5</v>
      </c>
      <c r="Y69" s="473"/>
      <c r="Z69" s="180">
        <v>18</v>
      </c>
      <c r="AA69" s="166">
        <v>1315.1814432989695</v>
      </c>
      <c r="AB69" s="166">
        <v>73.065635738831645</v>
      </c>
      <c r="AC69" s="180">
        <f t="shared" si="39"/>
        <v>5</v>
      </c>
      <c r="AD69" s="473"/>
      <c r="AE69" s="180">
        <v>18</v>
      </c>
      <c r="AF69" s="166">
        <v>1311.1404255319151</v>
      </c>
      <c r="AG69" s="166">
        <v>72.841134751773055</v>
      </c>
      <c r="AH69" s="180">
        <f t="shared" si="41"/>
        <v>4</v>
      </c>
      <c r="AI69" s="473"/>
      <c r="AJ69" s="180">
        <v>18</v>
      </c>
      <c r="AK69" s="166">
        <v>1338.7009900990104</v>
      </c>
      <c r="AL69" s="166">
        <v>74.372277227722805</v>
      </c>
      <c r="AM69" s="180">
        <f t="shared" si="43"/>
        <v>4</v>
      </c>
      <c r="AN69" s="473"/>
      <c r="AO69" s="180">
        <v>18</v>
      </c>
      <c r="AP69" s="166">
        <v>1332.0333333333331</v>
      </c>
      <c r="AQ69" s="166">
        <v>74.001851851851839</v>
      </c>
      <c r="AR69" s="180">
        <f t="shared" si="45"/>
        <v>4</v>
      </c>
      <c r="AS69" s="473"/>
      <c r="AT69" s="180">
        <v>18</v>
      </c>
      <c r="AU69" s="166">
        <v>1361.8144329896909</v>
      </c>
      <c r="AV69" s="265">
        <v>75.656357388316167</v>
      </c>
      <c r="AW69" s="180">
        <f t="shared" si="47"/>
        <v>4</v>
      </c>
      <c r="AX69" s="486"/>
    </row>
    <row r="70" spans="2:50">
      <c r="B70" s="479"/>
      <c r="C70" s="180">
        <v>4</v>
      </c>
      <c r="D70" s="201" t="s">
        <v>385</v>
      </c>
      <c r="E70" s="166">
        <v>17</v>
      </c>
      <c r="F70" s="180">
        <v>1440</v>
      </c>
      <c r="G70" s="265">
        <v>84.7</v>
      </c>
      <c r="H70" s="460"/>
      <c r="I70" s="166">
        <f t="shared" si="36"/>
        <v>17</v>
      </c>
      <c r="J70" s="166">
        <f t="shared" si="36"/>
        <v>1134.6102062564785</v>
      </c>
      <c r="K70" s="265">
        <f t="shared" si="36"/>
        <v>66.741776838616389</v>
      </c>
      <c r="L70" s="460"/>
      <c r="M70" s="272">
        <f>RANK(K70, K$67:$K$81)</f>
        <v>6</v>
      </c>
      <c r="N70" s="462"/>
      <c r="O70" s="462"/>
      <c r="P70" s="180">
        <v>17</v>
      </c>
      <c r="Q70" s="166">
        <v>1087.2727272727257</v>
      </c>
      <c r="R70" s="166">
        <v>63.957219251336802</v>
      </c>
      <c r="S70" s="180">
        <f t="shared" si="49"/>
        <v>6</v>
      </c>
      <c r="T70" s="473"/>
      <c r="U70" s="180">
        <v>17</v>
      </c>
      <c r="V70" s="166">
        <v>1106.8965517241356</v>
      </c>
      <c r="W70" s="166">
        <v>65.111561866125626</v>
      </c>
      <c r="X70" s="180">
        <f t="shared" si="37"/>
        <v>6</v>
      </c>
      <c r="Y70" s="473"/>
      <c r="Z70" s="180">
        <v>17</v>
      </c>
      <c r="AA70" s="166">
        <v>1268.2758620689631</v>
      </c>
      <c r="AB70" s="166">
        <v>74.60446247464489</v>
      </c>
      <c r="AC70" s="180">
        <f t="shared" si="39"/>
        <v>4</v>
      </c>
      <c r="AD70" s="473"/>
      <c r="AE70" s="180">
        <v>17</v>
      </c>
      <c r="AF70" s="166">
        <v>1075.3846153846162</v>
      </c>
      <c r="AG70" s="166">
        <v>63.257918552036244</v>
      </c>
      <c r="AH70" s="180">
        <f t="shared" si="41"/>
        <v>5</v>
      </c>
      <c r="AI70" s="473"/>
      <c r="AJ70" s="180">
        <v>17</v>
      </c>
      <c r="AK70" s="166">
        <v>1068.3870967741946</v>
      </c>
      <c r="AL70" s="166">
        <v>62.846299810246741</v>
      </c>
      <c r="AM70" s="180">
        <f t="shared" si="43"/>
        <v>5</v>
      </c>
      <c r="AN70" s="473"/>
      <c r="AO70" s="180">
        <v>17</v>
      </c>
      <c r="AP70" s="166">
        <v>1091.5384615384587</v>
      </c>
      <c r="AQ70" s="166">
        <v>64.208144796379926</v>
      </c>
      <c r="AR70" s="180">
        <f t="shared" si="45"/>
        <v>5</v>
      </c>
      <c r="AS70" s="473"/>
      <c r="AT70" s="180">
        <v>17</v>
      </c>
      <c r="AU70" s="166">
        <v>1244.5161290322562</v>
      </c>
      <c r="AV70" s="265">
        <v>73.206831119544489</v>
      </c>
      <c r="AW70" s="180">
        <f t="shared" si="47"/>
        <v>5</v>
      </c>
      <c r="AX70" s="486"/>
    </row>
    <row r="71" spans="2:50">
      <c r="B71" s="479"/>
      <c r="C71" s="180">
        <v>5</v>
      </c>
      <c r="D71" s="201" t="s">
        <v>420</v>
      </c>
      <c r="E71" s="166">
        <v>6</v>
      </c>
      <c r="F71" s="180">
        <v>1500</v>
      </c>
      <c r="G71" s="265">
        <v>250</v>
      </c>
      <c r="H71" s="460"/>
      <c r="I71" s="166">
        <f t="shared" si="36"/>
        <v>6.8571428571428568</v>
      </c>
      <c r="J71" s="166">
        <f t="shared" si="36"/>
        <v>1479.2715891362216</v>
      </c>
      <c r="K71" s="265">
        <f t="shared" si="36"/>
        <v>216.3915092293139</v>
      </c>
      <c r="L71" s="460"/>
      <c r="M71" s="272">
        <f>RANK(K71, K$67:$K$81)</f>
        <v>1</v>
      </c>
      <c r="N71" s="462"/>
      <c r="O71" s="462"/>
      <c r="P71" s="180">
        <v>6</v>
      </c>
      <c r="Q71" s="166">
        <v>1489.6969696969707</v>
      </c>
      <c r="R71" s="166">
        <v>248.28282828282843</v>
      </c>
      <c r="S71" s="180">
        <f t="shared" si="49"/>
        <v>1</v>
      </c>
      <c r="T71" s="473"/>
      <c r="U71" s="180">
        <v>7</v>
      </c>
      <c r="V71" s="166">
        <v>1473.7864077669899</v>
      </c>
      <c r="W71" s="166">
        <v>210.54091539528426</v>
      </c>
      <c r="X71" s="180">
        <f t="shared" si="37"/>
        <v>1</v>
      </c>
      <c r="Y71" s="473"/>
      <c r="Z71" s="180">
        <v>7</v>
      </c>
      <c r="AA71" s="166">
        <v>1497.5257731958768</v>
      </c>
      <c r="AB71" s="166">
        <v>213.93225331369669</v>
      </c>
      <c r="AC71" s="180">
        <f t="shared" si="39"/>
        <v>2</v>
      </c>
      <c r="AD71" s="473"/>
      <c r="AE71" s="180">
        <v>7</v>
      </c>
      <c r="AF71" s="166">
        <v>1494.4000000000005</v>
      </c>
      <c r="AG71" s="166">
        <v>213.48571428571435</v>
      </c>
      <c r="AH71" s="180">
        <f t="shared" si="41"/>
        <v>1</v>
      </c>
      <c r="AI71" s="473"/>
      <c r="AJ71" s="180">
        <v>7</v>
      </c>
      <c r="AK71" s="166">
        <v>1455.9036144578315</v>
      </c>
      <c r="AL71" s="166">
        <v>207.98623063683308</v>
      </c>
      <c r="AM71" s="180">
        <f t="shared" si="43"/>
        <v>2</v>
      </c>
      <c r="AN71" s="473"/>
      <c r="AO71" s="180">
        <v>7</v>
      </c>
      <c r="AP71" s="166">
        <v>1501.212121212121</v>
      </c>
      <c r="AQ71" s="166">
        <v>214.45887445887442</v>
      </c>
      <c r="AR71" s="180">
        <f t="shared" si="45"/>
        <v>1</v>
      </c>
      <c r="AS71" s="473"/>
      <c r="AT71" s="180">
        <v>7</v>
      </c>
      <c r="AU71" s="166">
        <v>1442.3762376237617</v>
      </c>
      <c r="AV71" s="265">
        <v>206.05374823196595</v>
      </c>
      <c r="AW71" s="180">
        <f t="shared" si="47"/>
        <v>2</v>
      </c>
      <c r="AX71" s="486"/>
    </row>
    <row r="72" spans="2:50">
      <c r="B72" s="479"/>
      <c r="C72" s="180">
        <v>6</v>
      </c>
      <c r="D72" s="201" t="s">
        <v>440</v>
      </c>
      <c r="E72" s="166">
        <v>19</v>
      </c>
      <c r="F72" s="180">
        <v>1440</v>
      </c>
      <c r="G72" s="265">
        <v>75.8</v>
      </c>
      <c r="H72" s="460"/>
      <c r="I72" s="166">
        <f t="shared" si="36"/>
        <v>18</v>
      </c>
      <c r="J72" s="166">
        <f t="shared" si="36"/>
        <v>1273.1818181818185</v>
      </c>
      <c r="K72" s="265">
        <f t="shared" si="36"/>
        <v>70.732323232323239</v>
      </c>
      <c r="L72" s="460"/>
      <c r="M72" s="272">
        <f>RANK(K72, K$67:$K$81)</f>
        <v>5</v>
      </c>
      <c r="N72" s="462"/>
      <c r="O72" s="462"/>
      <c r="P72" s="180">
        <v>18</v>
      </c>
      <c r="Q72" s="166">
        <v>1255.0000000000002</v>
      </c>
      <c r="R72" s="166">
        <v>69.722222222222229</v>
      </c>
      <c r="S72" s="180">
        <f t="shared" si="49"/>
        <v>4</v>
      </c>
      <c r="T72" s="473"/>
      <c r="U72" s="180">
        <v>18</v>
      </c>
      <c r="V72" s="166">
        <v>1291.3636363636365</v>
      </c>
      <c r="W72" s="166">
        <v>71.742424242424249</v>
      </c>
      <c r="X72" s="180">
        <f t="shared" si="37"/>
        <v>4</v>
      </c>
      <c r="Y72" s="473"/>
      <c r="Z72" s="180"/>
      <c r="AA72" s="166"/>
      <c r="AB72" s="166"/>
      <c r="AC72" s="180" t="e">
        <f t="shared" si="39"/>
        <v>#N/A</v>
      </c>
      <c r="AD72" s="473"/>
      <c r="AE72" s="180"/>
      <c r="AF72" s="166"/>
      <c r="AG72" s="166"/>
      <c r="AH72" s="180" t="e">
        <f t="shared" si="41"/>
        <v>#N/A</v>
      </c>
      <c r="AI72" s="473"/>
      <c r="AJ72" s="180"/>
      <c r="AK72" s="166"/>
      <c r="AL72" s="166"/>
      <c r="AM72" s="180" t="e">
        <f t="shared" si="43"/>
        <v>#N/A</v>
      </c>
      <c r="AN72" s="473"/>
      <c r="AO72" s="180"/>
      <c r="AP72" s="166"/>
      <c r="AQ72" s="166"/>
      <c r="AR72" s="180" t="e">
        <f t="shared" si="45"/>
        <v>#N/A</v>
      </c>
      <c r="AS72" s="473"/>
      <c r="AT72" s="180"/>
      <c r="AU72" s="166"/>
      <c r="AV72" s="265"/>
      <c r="AW72" s="180" t="e">
        <f t="shared" si="47"/>
        <v>#N/A</v>
      </c>
      <c r="AX72" s="486"/>
    </row>
    <row r="73" spans="2:50">
      <c r="B73" s="479"/>
      <c r="C73" s="180">
        <v>7</v>
      </c>
      <c r="D73" s="201" t="s">
        <v>453</v>
      </c>
      <c r="E73" s="166">
        <v>21</v>
      </c>
      <c r="F73" s="180">
        <v>1385</v>
      </c>
      <c r="G73" s="265">
        <v>65.900000000000006</v>
      </c>
      <c r="H73" s="460"/>
      <c r="I73" s="166">
        <f t="shared" si="36"/>
        <v>19.428571428571427</v>
      </c>
      <c r="J73" s="166">
        <f t="shared" si="36"/>
        <v>1059.3665392944524</v>
      </c>
      <c r="K73" s="265">
        <f t="shared" si="36"/>
        <v>54.754562002031271</v>
      </c>
      <c r="L73" s="460"/>
      <c r="M73" s="272">
        <f>RANK(K73, K$67:$K$81)</f>
        <v>7</v>
      </c>
      <c r="N73" s="462"/>
      <c r="O73" s="462"/>
      <c r="P73" s="180">
        <v>19</v>
      </c>
      <c r="Q73" s="166">
        <v>1122.3529411764719</v>
      </c>
      <c r="R73" s="166">
        <v>59.071207430340621</v>
      </c>
      <c r="S73" s="180">
        <f t="shared" si="49"/>
        <v>7</v>
      </c>
      <c r="T73" s="473"/>
      <c r="U73" s="180">
        <v>19</v>
      </c>
      <c r="V73" s="166">
        <v>1165.1612903225816</v>
      </c>
      <c r="W73" s="166">
        <v>61.324278438030611</v>
      </c>
      <c r="X73" s="180">
        <f t="shared" si="37"/>
        <v>7</v>
      </c>
      <c r="Y73" s="473"/>
      <c r="Z73" s="180">
        <v>20</v>
      </c>
      <c r="AA73" s="166">
        <v>1001.1428571428562</v>
      </c>
      <c r="AB73" s="166">
        <v>50.057142857142807</v>
      </c>
      <c r="AC73" s="180">
        <f t="shared" si="39"/>
        <v>6</v>
      </c>
      <c r="AD73" s="473"/>
      <c r="AE73" s="180">
        <v>20</v>
      </c>
      <c r="AF73" s="166">
        <v>984.82758620689731</v>
      </c>
      <c r="AG73" s="166">
        <v>49.241379310344868</v>
      </c>
      <c r="AH73" s="180">
        <f t="shared" si="41"/>
        <v>6</v>
      </c>
      <c r="AI73" s="473"/>
      <c r="AJ73" s="180">
        <v>20</v>
      </c>
      <c r="AK73" s="166">
        <v>996.3636363636374</v>
      </c>
      <c r="AL73" s="166">
        <v>49.81818181818187</v>
      </c>
      <c r="AM73" s="180">
        <f t="shared" si="43"/>
        <v>6</v>
      </c>
      <c r="AN73" s="473"/>
      <c r="AO73" s="180">
        <v>20</v>
      </c>
      <c r="AP73" s="166">
        <v>978.62068965517324</v>
      </c>
      <c r="AQ73" s="166">
        <v>48.931034482758662</v>
      </c>
      <c r="AR73" s="180">
        <f t="shared" si="45"/>
        <v>6</v>
      </c>
      <c r="AS73" s="473"/>
      <c r="AT73" s="180">
        <v>18</v>
      </c>
      <c r="AU73" s="166">
        <v>1167.0967741935494</v>
      </c>
      <c r="AV73" s="265">
        <v>64.838709677419416</v>
      </c>
      <c r="AW73" s="180">
        <f t="shared" si="47"/>
        <v>6</v>
      </c>
      <c r="AX73" s="486"/>
    </row>
    <row r="74" spans="2:50">
      <c r="B74" s="479"/>
      <c r="C74" s="180">
        <v>8</v>
      </c>
      <c r="D74" s="201"/>
      <c r="E74" s="166"/>
      <c r="F74" s="180"/>
      <c r="G74" s="265"/>
      <c r="H74" s="460"/>
      <c r="I74" s="166"/>
      <c r="J74" s="166"/>
      <c r="K74" s="265"/>
      <c r="L74" s="460"/>
      <c r="M74" s="272" t="e">
        <f>RANK(K74, K$67:$K$81)</f>
        <v>#N/A</v>
      </c>
      <c r="N74" s="462"/>
      <c r="O74" s="462"/>
      <c r="P74" s="180"/>
      <c r="Q74" s="166"/>
      <c r="R74" s="166"/>
      <c r="S74" s="180" t="e">
        <f t="shared" si="49"/>
        <v>#N/A</v>
      </c>
      <c r="T74" s="473"/>
      <c r="U74" s="180"/>
      <c r="V74" s="166"/>
      <c r="W74" s="166"/>
      <c r="X74" s="180" t="e">
        <f t="shared" si="37"/>
        <v>#N/A</v>
      </c>
      <c r="Y74" s="473"/>
      <c r="Z74" s="180"/>
      <c r="AA74" s="166"/>
      <c r="AB74" s="166"/>
      <c r="AC74" s="180" t="e">
        <f t="shared" si="39"/>
        <v>#N/A</v>
      </c>
      <c r="AD74" s="473"/>
      <c r="AE74" s="180"/>
      <c r="AF74" s="166"/>
      <c r="AG74" s="166"/>
      <c r="AH74" s="180" t="e">
        <f t="shared" si="41"/>
        <v>#N/A</v>
      </c>
      <c r="AI74" s="473"/>
      <c r="AJ74" s="180"/>
      <c r="AK74" s="166"/>
      <c r="AL74" s="166"/>
      <c r="AM74" s="180" t="e">
        <f t="shared" si="43"/>
        <v>#N/A</v>
      </c>
      <c r="AN74" s="473"/>
      <c r="AO74" s="180"/>
      <c r="AP74" s="166"/>
      <c r="AQ74" s="166"/>
      <c r="AR74" s="180" t="e">
        <f t="shared" si="45"/>
        <v>#N/A</v>
      </c>
      <c r="AS74" s="473"/>
      <c r="AT74" s="180"/>
      <c r="AU74" s="166"/>
      <c r="AV74" s="265"/>
      <c r="AW74" s="180" t="e">
        <f t="shared" si="47"/>
        <v>#N/A</v>
      </c>
      <c r="AX74" s="486"/>
    </row>
    <row r="75" spans="2:50">
      <c r="B75" s="479"/>
      <c r="C75" s="180">
        <v>9</v>
      </c>
      <c r="D75" s="201"/>
      <c r="E75" s="166"/>
      <c r="F75" s="180"/>
      <c r="G75" s="265"/>
      <c r="H75" s="460"/>
      <c r="I75" s="166"/>
      <c r="J75" s="166"/>
      <c r="K75" s="265"/>
      <c r="L75" s="460"/>
      <c r="M75" s="272" t="e">
        <f>RANK(K75, K$67:$K$81)</f>
        <v>#N/A</v>
      </c>
      <c r="N75" s="462"/>
      <c r="O75" s="462"/>
      <c r="P75" s="180"/>
      <c r="Q75" s="166"/>
      <c r="R75" s="166"/>
      <c r="S75" s="180" t="e">
        <f t="shared" si="49"/>
        <v>#N/A</v>
      </c>
      <c r="T75" s="473"/>
      <c r="U75" s="180"/>
      <c r="V75" s="166"/>
      <c r="W75" s="166"/>
      <c r="X75" s="180" t="e">
        <f t="shared" si="37"/>
        <v>#N/A</v>
      </c>
      <c r="Y75" s="473"/>
      <c r="Z75" s="180"/>
      <c r="AA75" s="166"/>
      <c r="AB75" s="166"/>
      <c r="AC75" s="180" t="e">
        <f t="shared" si="39"/>
        <v>#N/A</v>
      </c>
      <c r="AD75" s="473"/>
      <c r="AE75" s="180"/>
      <c r="AF75" s="166"/>
      <c r="AG75" s="166"/>
      <c r="AH75" s="180" t="e">
        <f t="shared" si="41"/>
        <v>#N/A</v>
      </c>
      <c r="AI75" s="473"/>
      <c r="AJ75" s="180"/>
      <c r="AK75" s="166"/>
      <c r="AL75" s="166"/>
      <c r="AM75" s="180" t="e">
        <f t="shared" si="43"/>
        <v>#N/A</v>
      </c>
      <c r="AN75" s="473"/>
      <c r="AO75" s="180"/>
      <c r="AP75" s="166"/>
      <c r="AQ75" s="166"/>
      <c r="AR75" s="180" t="e">
        <f t="shared" si="45"/>
        <v>#N/A</v>
      </c>
      <c r="AS75" s="473"/>
      <c r="AT75" s="180"/>
      <c r="AU75" s="166"/>
      <c r="AV75" s="265"/>
      <c r="AW75" s="180" t="e">
        <f t="shared" si="47"/>
        <v>#N/A</v>
      </c>
      <c r="AX75" s="486"/>
    </row>
    <row r="76" spans="2:50">
      <c r="B76" s="479"/>
      <c r="C76" s="180">
        <v>10</v>
      </c>
      <c r="D76" s="201"/>
      <c r="E76" s="166"/>
      <c r="F76" s="180"/>
      <c r="G76" s="265"/>
      <c r="H76" s="460"/>
      <c r="I76" s="166"/>
      <c r="J76" s="166"/>
      <c r="K76" s="265"/>
      <c r="L76" s="460"/>
      <c r="M76" s="272" t="e">
        <f>RANK(K76, K$67:$K$81)</f>
        <v>#N/A</v>
      </c>
      <c r="N76" s="462"/>
      <c r="O76" s="462"/>
      <c r="P76" s="180"/>
      <c r="Q76" s="166"/>
      <c r="R76" s="166"/>
      <c r="S76" s="180" t="e">
        <f t="shared" si="49"/>
        <v>#N/A</v>
      </c>
      <c r="T76" s="473"/>
      <c r="U76" s="180"/>
      <c r="V76" s="166"/>
      <c r="W76" s="166"/>
      <c r="X76" s="180" t="e">
        <f t="shared" si="37"/>
        <v>#N/A</v>
      </c>
      <c r="Y76" s="473"/>
      <c r="Z76" s="180"/>
      <c r="AA76" s="166"/>
      <c r="AB76" s="166"/>
      <c r="AC76" s="180" t="e">
        <f t="shared" si="39"/>
        <v>#N/A</v>
      </c>
      <c r="AD76" s="473"/>
      <c r="AE76" s="180"/>
      <c r="AF76" s="166"/>
      <c r="AG76" s="166"/>
      <c r="AH76" s="180" t="e">
        <f t="shared" si="41"/>
        <v>#N/A</v>
      </c>
      <c r="AI76" s="473"/>
      <c r="AJ76" s="180"/>
      <c r="AK76" s="166"/>
      <c r="AL76" s="166"/>
      <c r="AM76" s="180" t="e">
        <f t="shared" si="43"/>
        <v>#N/A</v>
      </c>
      <c r="AN76" s="473"/>
      <c r="AO76" s="180"/>
      <c r="AP76" s="166"/>
      <c r="AQ76" s="166"/>
      <c r="AR76" s="180" t="e">
        <f t="shared" si="45"/>
        <v>#N/A</v>
      </c>
      <c r="AS76" s="473"/>
      <c r="AT76" s="180"/>
      <c r="AU76" s="166"/>
      <c r="AV76" s="265"/>
      <c r="AW76" s="180" t="e">
        <f t="shared" si="47"/>
        <v>#N/A</v>
      </c>
      <c r="AX76" s="486"/>
    </row>
    <row r="77" spans="2:50">
      <c r="B77" s="479"/>
      <c r="C77" s="180">
        <v>11</v>
      </c>
      <c r="D77" s="201"/>
      <c r="E77" s="166"/>
      <c r="F77" s="180"/>
      <c r="G77" s="265"/>
      <c r="H77" s="460"/>
      <c r="I77" s="166"/>
      <c r="J77" s="166"/>
      <c r="K77" s="265"/>
      <c r="L77" s="460"/>
      <c r="M77" s="272" t="e">
        <f>RANK(K77, K$67:$K$81)</f>
        <v>#N/A</v>
      </c>
      <c r="N77" s="462"/>
      <c r="O77" s="462"/>
      <c r="P77" s="180"/>
      <c r="Q77" s="166"/>
      <c r="R77" s="166"/>
      <c r="S77" s="180" t="e">
        <f t="shared" si="49"/>
        <v>#N/A</v>
      </c>
      <c r="T77" s="473"/>
      <c r="U77" s="180"/>
      <c r="V77" s="166"/>
      <c r="W77" s="166"/>
      <c r="X77" s="180" t="e">
        <f t="shared" si="37"/>
        <v>#N/A</v>
      </c>
      <c r="Y77" s="473"/>
      <c r="Z77" s="180"/>
      <c r="AA77" s="166"/>
      <c r="AB77" s="166"/>
      <c r="AC77" s="180" t="e">
        <f t="shared" si="39"/>
        <v>#N/A</v>
      </c>
      <c r="AD77" s="473"/>
      <c r="AE77" s="180"/>
      <c r="AF77" s="166"/>
      <c r="AG77" s="166"/>
      <c r="AH77" s="180" t="e">
        <f t="shared" si="41"/>
        <v>#N/A</v>
      </c>
      <c r="AI77" s="473"/>
      <c r="AJ77" s="180"/>
      <c r="AK77" s="166"/>
      <c r="AL77" s="166"/>
      <c r="AM77" s="180" t="e">
        <f t="shared" si="43"/>
        <v>#N/A</v>
      </c>
      <c r="AN77" s="473"/>
      <c r="AO77" s="180"/>
      <c r="AP77" s="166"/>
      <c r="AQ77" s="166"/>
      <c r="AR77" s="180" t="e">
        <f t="shared" si="45"/>
        <v>#N/A</v>
      </c>
      <c r="AS77" s="473"/>
      <c r="AT77" s="180"/>
      <c r="AU77" s="166"/>
      <c r="AV77" s="265"/>
      <c r="AW77" s="180" t="e">
        <f t="shared" si="47"/>
        <v>#N/A</v>
      </c>
      <c r="AX77" s="486"/>
    </row>
    <row r="78" spans="2:50">
      <c r="B78" s="479"/>
      <c r="C78" s="180">
        <v>12</v>
      </c>
      <c r="D78" s="201"/>
      <c r="E78" s="166"/>
      <c r="F78" s="180"/>
      <c r="G78" s="265"/>
      <c r="H78" s="460"/>
      <c r="I78" s="166"/>
      <c r="J78" s="166"/>
      <c r="K78" s="265"/>
      <c r="L78" s="460"/>
      <c r="M78" s="272" t="e">
        <f>RANK(K78, K$67:$K$81)</f>
        <v>#N/A</v>
      </c>
      <c r="N78" s="462"/>
      <c r="O78" s="462"/>
      <c r="P78" s="180"/>
      <c r="Q78" s="166"/>
      <c r="R78" s="166"/>
      <c r="S78" s="180" t="e">
        <f t="shared" si="49"/>
        <v>#N/A</v>
      </c>
      <c r="T78" s="473"/>
      <c r="U78" s="180"/>
      <c r="V78" s="166"/>
      <c r="W78" s="166"/>
      <c r="X78" s="180" t="e">
        <f t="shared" si="37"/>
        <v>#N/A</v>
      </c>
      <c r="Y78" s="473"/>
      <c r="Z78" s="180"/>
      <c r="AA78" s="166"/>
      <c r="AB78" s="166"/>
      <c r="AC78" s="180" t="e">
        <f t="shared" si="39"/>
        <v>#N/A</v>
      </c>
      <c r="AD78" s="473"/>
      <c r="AE78" s="180"/>
      <c r="AF78" s="166"/>
      <c r="AG78" s="166"/>
      <c r="AH78" s="180" t="e">
        <f t="shared" si="41"/>
        <v>#N/A</v>
      </c>
      <c r="AI78" s="473"/>
      <c r="AJ78" s="180"/>
      <c r="AK78" s="166"/>
      <c r="AL78" s="166"/>
      <c r="AM78" s="180" t="e">
        <f t="shared" si="43"/>
        <v>#N/A</v>
      </c>
      <c r="AN78" s="473"/>
      <c r="AO78" s="180"/>
      <c r="AP78" s="166"/>
      <c r="AQ78" s="166"/>
      <c r="AR78" s="180" t="e">
        <f t="shared" si="45"/>
        <v>#N/A</v>
      </c>
      <c r="AS78" s="473"/>
      <c r="AT78" s="180"/>
      <c r="AU78" s="166"/>
      <c r="AV78" s="265"/>
      <c r="AW78" s="180" t="e">
        <f t="shared" si="47"/>
        <v>#N/A</v>
      </c>
      <c r="AX78" s="486"/>
    </row>
    <row r="79" spans="2:50">
      <c r="B79" s="479"/>
      <c r="C79" s="180">
        <v>13</v>
      </c>
      <c r="D79" s="201"/>
      <c r="E79" s="166"/>
      <c r="F79" s="180"/>
      <c r="G79" s="265"/>
      <c r="H79" s="460"/>
      <c r="I79" s="166"/>
      <c r="J79" s="166"/>
      <c r="K79" s="265"/>
      <c r="L79" s="460"/>
      <c r="M79" s="272" t="e">
        <f>RANK(K79, K$67:$K$81)</f>
        <v>#N/A</v>
      </c>
      <c r="N79" s="462"/>
      <c r="O79" s="462"/>
      <c r="P79" s="180"/>
      <c r="Q79" s="166"/>
      <c r="R79" s="166"/>
      <c r="S79" s="180" t="e">
        <f t="shared" si="49"/>
        <v>#N/A</v>
      </c>
      <c r="T79" s="473"/>
      <c r="U79" s="180"/>
      <c r="V79" s="166"/>
      <c r="W79" s="166"/>
      <c r="X79" s="180" t="e">
        <f t="shared" si="37"/>
        <v>#N/A</v>
      </c>
      <c r="Y79" s="473"/>
      <c r="Z79" s="180"/>
      <c r="AA79" s="166"/>
      <c r="AB79" s="166"/>
      <c r="AC79" s="180" t="e">
        <f t="shared" si="39"/>
        <v>#N/A</v>
      </c>
      <c r="AD79" s="473"/>
      <c r="AE79" s="180"/>
      <c r="AF79" s="166"/>
      <c r="AG79" s="166"/>
      <c r="AH79" s="180" t="e">
        <f t="shared" si="41"/>
        <v>#N/A</v>
      </c>
      <c r="AI79" s="473"/>
      <c r="AJ79" s="180"/>
      <c r="AK79" s="166"/>
      <c r="AL79" s="166"/>
      <c r="AM79" s="180" t="e">
        <f t="shared" si="43"/>
        <v>#N/A</v>
      </c>
      <c r="AN79" s="473"/>
      <c r="AO79" s="180"/>
      <c r="AP79" s="166"/>
      <c r="AQ79" s="166"/>
      <c r="AR79" s="180" t="e">
        <f t="shared" si="45"/>
        <v>#N/A</v>
      </c>
      <c r="AS79" s="473"/>
      <c r="AT79" s="180"/>
      <c r="AU79" s="166"/>
      <c r="AV79" s="265"/>
      <c r="AW79" s="180" t="e">
        <f t="shared" si="47"/>
        <v>#N/A</v>
      </c>
      <c r="AX79" s="486"/>
    </row>
    <row r="80" spans="2:50">
      <c r="B80" s="479"/>
      <c r="C80" s="180">
        <v>14</v>
      </c>
      <c r="D80" s="201"/>
      <c r="E80" s="166"/>
      <c r="F80" s="180"/>
      <c r="G80" s="265"/>
      <c r="H80" s="460"/>
      <c r="I80" s="166"/>
      <c r="J80" s="166"/>
      <c r="K80" s="265"/>
      <c r="L80" s="460"/>
      <c r="M80" s="272" t="e">
        <f>RANK(K80, K$67:$K$81)</f>
        <v>#N/A</v>
      </c>
      <c r="N80" s="462"/>
      <c r="O80" s="462"/>
      <c r="P80" s="180"/>
      <c r="Q80" s="166"/>
      <c r="R80" s="166"/>
      <c r="S80" s="180" t="e">
        <f t="shared" si="49"/>
        <v>#N/A</v>
      </c>
      <c r="T80" s="473"/>
      <c r="U80" s="180"/>
      <c r="V80" s="166"/>
      <c r="W80" s="166"/>
      <c r="X80" s="180" t="e">
        <f t="shared" si="37"/>
        <v>#N/A</v>
      </c>
      <c r="Y80" s="473"/>
      <c r="Z80" s="180"/>
      <c r="AA80" s="166"/>
      <c r="AB80" s="166"/>
      <c r="AC80" s="180" t="e">
        <f t="shared" si="39"/>
        <v>#N/A</v>
      </c>
      <c r="AD80" s="473"/>
      <c r="AE80" s="180"/>
      <c r="AF80" s="166"/>
      <c r="AG80" s="166"/>
      <c r="AH80" s="180" t="e">
        <f t="shared" si="41"/>
        <v>#N/A</v>
      </c>
      <c r="AI80" s="473"/>
      <c r="AJ80" s="180"/>
      <c r="AK80" s="166"/>
      <c r="AL80" s="166"/>
      <c r="AM80" s="180" t="e">
        <f t="shared" si="43"/>
        <v>#N/A</v>
      </c>
      <c r="AN80" s="473"/>
      <c r="AO80" s="180"/>
      <c r="AP80" s="166"/>
      <c r="AQ80" s="166"/>
      <c r="AR80" s="180" t="e">
        <f t="shared" si="45"/>
        <v>#N/A</v>
      </c>
      <c r="AS80" s="473"/>
      <c r="AT80" s="180"/>
      <c r="AU80" s="166"/>
      <c r="AV80" s="265"/>
      <c r="AW80" s="180" t="e">
        <f t="shared" si="47"/>
        <v>#N/A</v>
      </c>
      <c r="AX80" s="486"/>
    </row>
    <row r="81" spans="2:50">
      <c r="B81" s="479"/>
      <c r="C81" s="180">
        <v>15</v>
      </c>
      <c r="D81" s="201"/>
      <c r="E81" s="166"/>
      <c r="F81" s="180"/>
      <c r="G81" s="265"/>
      <c r="H81" s="461"/>
      <c r="I81" s="166"/>
      <c r="J81" s="166"/>
      <c r="K81" s="265"/>
      <c r="L81" s="461"/>
      <c r="M81" s="272" t="e">
        <f>RANK(K81, K$67:$K$81)</f>
        <v>#N/A</v>
      </c>
      <c r="N81" s="462"/>
      <c r="O81" s="462"/>
      <c r="P81" s="180"/>
      <c r="Q81" s="166"/>
      <c r="R81" s="166"/>
      <c r="S81" s="180" t="e">
        <f t="shared" si="49"/>
        <v>#N/A</v>
      </c>
      <c r="T81" s="474"/>
      <c r="U81" s="180"/>
      <c r="V81" s="166"/>
      <c r="W81" s="166"/>
      <c r="X81" s="180" t="e">
        <f t="shared" si="37"/>
        <v>#N/A</v>
      </c>
      <c r="Y81" s="474"/>
      <c r="Z81" s="180"/>
      <c r="AA81" s="166"/>
      <c r="AB81" s="166"/>
      <c r="AC81" s="180" t="e">
        <f t="shared" si="39"/>
        <v>#N/A</v>
      </c>
      <c r="AD81" s="474"/>
      <c r="AE81" s="180"/>
      <c r="AF81" s="166"/>
      <c r="AG81" s="166"/>
      <c r="AH81" s="180" t="e">
        <f t="shared" si="41"/>
        <v>#N/A</v>
      </c>
      <c r="AI81" s="474"/>
      <c r="AJ81" s="180"/>
      <c r="AK81" s="166"/>
      <c r="AL81" s="166"/>
      <c r="AM81" s="180" t="e">
        <f t="shared" si="43"/>
        <v>#N/A</v>
      </c>
      <c r="AN81" s="474"/>
      <c r="AO81" s="180"/>
      <c r="AP81" s="166"/>
      <c r="AQ81" s="166"/>
      <c r="AR81" s="180" t="e">
        <f t="shared" si="45"/>
        <v>#N/A</v>
      </c>
      <c r="AS81" s="474"/>
      <c r="AT81" s="180"/>
      <c r="AU81" s="166"/>
      <c r="AV81" s="265"/>
      <c r="AW81" s="180" t="e">
        <f t="shared" si="47"/>
        <v>#N/A</v>
      </c>
      <c r="AX81" s="486"/>
    </row>
    <row r="82" spans="2:50" ht="15.75">
      <c r="B82" s="480" t="s">
        <v>585</v>
      </c>
      <c r="C82" s="481"/>
      <c r="D82" s="481"/>
      <c r="E82" s="481"/>
      <c r="F82" s="481"/>
      <c r="G82" s="481"/>
      <c r="H82" s="481"/>
      <c r="I82" s="184"/>
      <c r="J82" s="184"/>
      <c r="K82" s="184"/>
      <c r="L82" s="184"/>
      <c r="M82" s="183"/>
      <c r="N82" s="469" t="s">
        <v>586</v>
      </c>
      <c r="O82" s="469" t="s">
        <v>587</v>
      </c>
      <c r="P82" s="478">
        <f>P62+7</f>
        <v>27</v>
      </c>
      <c r="Q82" s="479"/>
      <c r="R82" s="479"/>
      <c r="S82" s="479"/>
      <c r="T82" s="479"/>
      <c r="U82" s="475">
        <f>P82+1</f>
        <v>28</v>
      </c>
      <c r="V82" s="476"/>
      <c r="W82" s="476"/>
      <c r="X82" s="476"/>
      <c r="Y82" s="477"/>
      <c r="Z82" s="475">
        <f>U82+1</f>
        <v>29</v>
      </c>
      <c r="AA82" s="476"/>
      <c r="AB82" s="476"/>
      <c r="AC82" s="476"/>
      <c r="AD82" s="477"/>
      <c r="AE82" s="475">
        <f>Z82+1</f>
        <v>30</v>
      </c>
      <c r="AF82" s="476"/>
      <c r="AG82" s="476"/>
      <c r="AH82" s="476"/>
      <c r="AI82" s="477"/>
      <c r="AJ82" s="475">
        <f>AE82+1</f>
        <v>31</v>
      </c>
      <c r="AK82" s="476"/>
      <c r="AL82" s="476"/>
      <c r="AM82" s="476"/>
      <c r="AN82" s="477"/>
      <c r="AO82" s="475">
        <f>AJ82+1</f>
        <v>32</v>
      </c>
      <c r="AP82" s="476"/>
      <c r="AQ82" s="476"/>
      <c r="AR82" s="476"/>
      <c r="AS82" s="477"/>
      <c r="AT82" s="475">
        <f>AO82+1</f>
        <v>33</v>
      </c>
      <c r="AU82" s="476"/>
      <c r="AV82" s="476"/>
      <c r="AW82" s="476"/>
      <c r="AX82" s="477"/>
    </row>
    <row r="83" spans="2:50" ht="15.75">
      <c r="B83" s="482"/>
      <c r="C83" s="482"/>
      <c r="D83" s="482"/>
      <c r="E83" s="482"/>
      <c r="F83" s="482"/>
      <c r="G83" s="482"/>
      <c r="H83" s="482"/>
      <c r="I83" s="182"/>
      <c r="J83" s="182"/>
      <c r="K83" s="182"/>
      <c r="L83" s="182"/>
      <c r="M83" s="179"/>
      <c r="N83" s="471"/>
      <c r="O83" s="471"/>
      <c r="P83" s="478" t="s">
        <v>588</v>
      </c>
      <c r="Q83" s="479"/>
      <c r="R83" s="479"/>
      <c r="S83" s="479"/>
      <c r="T83" s="479"/>
      <c r="U83" s="478" t="s">
        <v>589</v>
      </c>
      <c r="V83" s="479"/>
      <c r="W83" s="479"/>
      <c r="X83" s="479"/>
      <c r="Y83" s="479"/>
      <c r="Z83" s="478" t="s">
        <v>590</v>
      </c>
      <c r="AA83" s="479"/>
      <c r="AB83" s="479"/>
      <c r="AC83" s="479"/>
      <c r="AD83" s="479"/>
      <c r="AE83" s="478" t="s">
        <v>591</v>
      </c>
      <c r="AF83" s="479"/>
      <c r="AG83" s="479"/>
      <c r="AH83" s="479"/>
      <c r="AI83" s="479"/>
      <c r="AJ83" s="478" t="s">
        <v>592</v>
      </c>
      <c r="AK83" s="479"/>
      <c r="AL83" s="479"/>
      <c r="AM83" s="479"/>
      <c r="AN83" s="479"/>
      <c r="AO83" s="478" t="s">
        <v>593</v>
      </c>
      <c r="AP83" s="479"/>
      <c r="AQ83" s="479"/>
      <c r="AR83" s="479"/>
      <c r="AS83" s="479"/>
      <c r="AT83" s="478" t="s">
        <v>594</v>
      </c>
      <c r="AU83" s="479"/>
      <c r="AV83" s="479"/>
      <c r="AW83" s="479"/>
      <c r="AX83" s="479"/>
    </row>
    <row r="84" spans="2:50">
      <c r="B84" s="462" t="s">
        <v>680</v>
      </c>
      <c r="C84" s="462" t="s">
        <v>681</v>
      </c>
      <c r="D84" s="462"/>
      <c r="E84" s="462" t="s">
        <v>682</v>
      </c>
      <c r="F84" s="462"/>
      <c r="G84" s="462"/>
      <c r="H84" s="463" t="s">
        <v>683</v>
      </c>
      <c r="I84" s="462" t="s">
        <v>684</v>
      </c>
      <c r="J84" s="462"/>
      <c r="K84" s="462"/>
      <c r="L84" s="463" t="s">
        <v>683</v>
      </c>
      <c r="M84" s="469" t="s">
        <v>689</v>
      </c>
      <c r="N84" s="462"/>
      <c r="O84" s="462" t="s">
        <v>690</v>
      </c>
      <c r="P84" s="466" t="s">
        <v>691</v>
      </c>
      <c r="Q84" s="467"/>
      <c r="R84" s="467"/>
      <c r="S84" s="468"/>
      <c r="T84" s="462" t="s">
        <v>683</v>
      </c>
      <c r="U84" s="466" t="s">
        <v>691</v>
      </c>
      <c r="V84" s="467"/>
      <c r="W84" s="467"/>
      <c r="X84" s="468"/>
      <c r="Y84" s="462" t="s">
        <v>683</v>
      </c>
      <c r="Z84" s="466" t="s">
        <v>691</v>
      </c>
      <c r="AA84" s="467"/>
      <c r="AB84" s="467"/>
      <c r="AC84" s="468"/>
      <c r="AD84" s="462" t="s">
        <v>683</v>
      </c>
      <c r="AE84" s="466" t="s">
        <v>691</v>
      </c>
      <c r="AF84" s="467"/>
      <c r="AG84" s="467"/>
      <c r="AH84" s="468"/>
      <c r="AI84" s="462" t="s">
        <v>683</v>
      </c>
      <c r="AJ84" s="466" t="s">
        <v>691</v>
      </c>
      <c r="AK84" s="467"/>
      <c r="AL84" s="467"/>
      <c r="AM84" s="468"/>
      <c r="AN84" s="462" t="s">
        <v>683</v>
      </c>
      <c r="AO84" s="466" t="s">
        <v>578</v>
      </c>
      <c r="AP84" s="467"/>
      <c r="AQ84" s="467"/>
      <c r="AR84" s="468"/>
      <c r="AS84" s="462" t="s">
        <v>576</v>
      </c>
      <c r="AT84" s="466" t="s">
        <v>578</v>
      </c>
      <c r="AU84" s="467"/>
      <c r="AV84" s="467"/>
      <c r="AW84" s="468"/>
      <c r="AX84" s="462" t="s">
        <v>576</v>
      </c>
    </row>
    <row r="85" spans="2:50">
      <c r="B85" s="462"/>
      <c r="C85" s="462"/>
      <c r="D85" s="462"/>
      <c r="E85" s="462" t="s">
        <v>692</v>
      </c>
      <c r="F85" s="462"/>
      <c r="G85" s="462"/>
      <c r="H85" s="464"/>
      <c r="I85" s="462" t="s">
        <v>692</v>
      </c>
      <c r="J85" s="462"/>
      <c r="K85" s="462"/>
      <c r="L85" s="464"/>
      <c r="M85" s="470"/>
      <c r="N85" s="462"/>
      <c r="O85" s="462"/>
      <c r="P85" s="466" t="s">
        <v>685</v>
      </c>
      <c r="Q85" s="467"/>
      <c r="R85" s="467"/>
      <c r="S85" s="468"/>
      <c r="T85" s="462"/>
      <c r="U85" s="466" t="s">
        <v>685</v>
      </c>
      <c r="V85" s="467"/>
      <c r="W85" s="467"/>
      <c r="X85" s="468"/>
      <c r="Y85" s="462"/>
      <c r="Z85" s="466" t="s">
        <v>685</v>
      </c>
      <c r="AA85" s="467"/>
      <c r="AB85" s="467"/>
      <c r="AC85" s="468"/>
      <c r="AD85" s="462"/>
      <c r="AE85" s="466" t="s">
        <v>685</v>
      </c>
      <c r="AF85" s="467"/>
      <c r="AG85" s="467"/>
      <c r="AH85" s="468"/>
      <c r="AI85" s="462"/>
      <c r="AJ85" s="466" t="s">
        <v>685</v>
      </c>
      <c r="AK85" s="467"/>
      <c r="AL85" s="467"/>
      <c r="AM85" s="468"/>
      <c r="AN85" s="462"/>
      <c r="AO85" s="466" t="s">
        <v>579</v>
      </c>
      <c r="AP85" s="467"/>
      <c r="AQ85" s="467"/>
      <c r="AR85" s="468"/>
      <c r="AS85" s="462"/>
      <c r="AT85" s="466" t="s">
        <v>579</v>
      </c>
      <c r="AU85" s="467"/>
      <c r="AV85" s="467"/>
      <c r="AW85" s="468"/>
      <c r="AX85" s="462"/>
    </row>
    <row r="86" spans="2:50">
      <c r="B86" s="462"/>
      <c r="C86" s="462"/>
      <c r="D86" s="462"/>
      <c r="E86" s="264" t="s">
        <v>688</v>
      </c>
      <c r="F86" s="264" t="s">
        <v>686</v>
      </c>
      <c r="G86" s="264" t="s">
        <v>687</v>
      </c>
      <c r="H86" s="465"/>
      <c r="I86" s="264" t="s">
        <v>688</v>
      </c>
      <c r="J86" s="264" t="s">
        <v>686</v>
      </c>
      <c r="K86" s="264" t="s">
        <v>687</v>
      </c>
      <c r="L86" s="465"/>
      <c r="M86" s="471"/>
      <c r="N86" s="462"/>
      <c r="O86" s="462"/>
      <c r="P86" s="264" t="s">
        <v>688</v>
      </c>
      <c r="Q86" s="264" t="s">
        <v>686</v>
      </c>
      <c r="R86" s="264" t="s">
        <v>687</v>
      </c>
      <c r="S86" s="264" t="s">
        <v>689</v>
      </c>
      <c r="T86" s="462"/>
      <c r="U86" s="264" t="s">
        <v>688</v>
      </c>
      <c r="V86" s="264" t="s">
        <v>686</v>
      </c>
      <c r="W86" s="264" t="s">
        <v>687</v>
      </c>
      <c r="X86" s="264" t="s">
        <v>689</v>
      </c>
      <c r="Y86" s="462"/>
      <c r="Z86" s="264" t="s">
        <v>688</v>
      </c>
      <c r="AA86" s="264" t="s">
        <v>686</v>
      </c>
      <c r="AB86" s="264" t="s">
        <v>687</v>
      </c>
      <c r="AC86" s="264" t="s">
        <v>689</v>
      </c>
      <c r="AD86" s="462"/>
      <c r="AE86" s="264" t="s">
        <v>688</v>
      </c>
      <c r="AF86" s="264" t="s">
        <v>686</v>
      </c>
      <c r="AG86" s="264" t="s">
        <v>687</v>
      </c>
      <c r="AH86" s="264" t="s">
        <v>689</v>
      </c>
      <c r="AI86" s="462"/>
      <c r="AJ86" s="264" t="s">
        <v>688</v>
      </c>
      <c r="AK86" s="264" t="s">
        <v>686</v>
      </c>
      <c r="AL86" s="264" t="s">
        <v>687</v>
      </c>
      <c r="AM86" s="264" t="s">
        <v>689</v>
      </c>
      <c r="AN86" s="462"/>
      <c r="AO86" s="264" t="s">
        <v>580</v>
      </c>
      <c r="AP86" s="264" t="s">
        <v>581</v>
      </c>
      <c r="AQ86" s="264" t="s">
        <v>582</v>
      </c>
      <c r="AR86" s="264" t="s">
        <v>577</v>
      </c>
      <c r="AS86" s="462"/>
      <c r="AT86" s="264" t="s">
        <v>580</v>
      </c>
      <c r="AU86" s="264" t="s">
        <v>581</v>
      </c>
      <c r="AV86" s="264" t="s">
        <v>582</v>
      </c>
      <c r="AW86" s="264" t="s">
        <v>577</v>
      </c>
      <c r="AX86" s="462"/>
    </row>
    <row r="87" spans="2:50">
      <c r="B87" s="462" t="s">
        <v>694</v>
      </c>
      <c r="C87" s="180">
        <v>1</v>
      </c>
      <c r="D87" s="201" t="s">
        <v>383</v>
      </c>
      <c r="E87" s="166">
        <v>6</v>
      </c>
      <c r="F87" s="180">
        <v>1500</v>
      </c>
      <c r="G87" s="265">
        <v>250</v>
      </c>
      <c r="H87" s="459">
        <f>AVERAGE(G87:G101)</f>
        <v>176.1142857142857</v>
      </c>
      <c r="I87" s="166">
        <f>AVERAGE(P87,U87,Z87,AE87,AJ87,AO87,AT87)</f>
        <v>7</v>
      </c>
      <c r="J87" s="166">
        <f>AVERAGE(Q87,V87,AA87,AF87,AK87,AP87,AU87)</f>
        <v>1335.8653152178795</v>
      </c>
      <c r="K87" s="265">
        <f>AVERAGE(R87,W87,AB87,AG87,AL87,AQ87,AV87)</f>
        <v>190.8379021739828</v>
      </c>
      <c r="L87" s="459">
        <f>IFERROR(AVERAGE(K87:K101),"-")</f>
        <v>144.79668821138463</v>
      </c>
      <c r="M87" s="272">
        <f>RANK(K87, K$87:$K$101)</f>
        <v>4</v>
      </c>
      <c r="N87" s="462"/>
      <c r="O87" s="462"/>
      <c r="P87" s="166">
        <v>7</v>
      </c>
      <c r="Q87" s="166">
        <v>1340.0000000000005</v>
      </c>
      <c r="R87" s="166">
        <v>191.4285714285715</v>
      </c>
      <c r="S87" s="180">
        <f>RANK(R87, R$87:R$101)</f>
        <v>4</v>
      </c>
      <c r="T87" s="472">
        <f>AVERAGE(R87:R101)</f>
        <v>146.76710038638842</v>
      </c>
      <c r="U87" s="166">
        <v>7</v>
      </c>
      <c r="V87" s="166">
        <v>1327.714285714286</v>
      </c>
      <c r="W87" s="166">
        <v>189.67346938775515</v>
      </c>
      <c r="X87" s="180">
        <f t="shared" ref="X87:X101" si="50">RANK(W87, W$87:W$101)</f>
        <v>4</v>
      </c>
      <c r="Y87" s="472">
        <f t="shared" ref="Y87" si="51">AVERAGE(W87:W101)</f>
        <v>144.53950943448976</v>
      </c>
      <c r="Z87" s="166">
        <v>7</v>
      </c>
      <c r="AA87" s="166">
        <v>1322.5352112676057</v>
      </c>
      <c r="AB87" s="166">
        <v>188.93360160965796</v>
      </c>
      <c r="AC87" s="180">
        <f t="shared" ref="AC87:AC101" si="52">RANK(AB87, AB$87:AB$101)</f>
        <v>4</v>
      </c>
      <c r="AD87" s="472">
        <f t="shared" ref="AD87" si="53">AVERAGE(AB87:AB101)</f>
        <v>144.6215389909629</v>
      </c>
      <c r="AE87" s="166">
        <v>7</v>
      </c>
      <c r="AF87" s="166">
        <v>1341.7241379310346</v>
      </c>
      <c r="AG87" s="166">
        <v>191.67487684729068</v>
      </c>
      <c r="AH87" s="180">
        <f t="shared" ref="AH87:AH101" si="54">RANK(AG87, AG$87:AG$101)</f>
        <v>4</v>
      </c>
      <c r="AI87" s="472">
        <f t="shared" ref="AI87" si="55">AVERAGE(AG87:AG101)</f>
        <v>142.35256796296051</v>
      </c>
      <c r="AJ87" s="166">
        <v>7</v>
      </c>
      <c r="AK87" s="166">
        <v>1347.3529411764707</v>
      </c>
      <c r="AL87" s="166">
        <v>192.47899159663868</v>
      </c>
      <c r="AM87" s="180">
        <f t="shared" ref="AM87:AM101" si="56">RANK(AL87, AL$87:AL$101)</f>
        <v>4</v>
      </c>
      <c r="AN87" s="472">
        <f t="shared" ref="AN87" si="57">AVERAGE(AL87:AL101)</f>
        <v>145.70272428212155</v>
      </c>
      <c r="AO87" s="166"/>
      <c r="AP87" s="166"/>
      <c r="AQ87" s="265"/>
      <c r="AR87" s="180" t="e">
        <f t="shared" ref="AR87:AR101" si="58">RANK(AQ87, AQ$87:AQ$101)</f>
        <v>#N/A</v>
      </c>
      <c r="AS87" s="472" t="e">
        <f t="shared" ref="AS87" si="59">AVERAGE(AQ87:AQ101)</f>
        <v>#DIV/0!</v>
      </c>
      <c r="AT87" s="166"/>
      <c r="AU87" s="166"/>
      <c r="AV87" s="265"/>
      <c r="AW87" s="180" t="e">
        <f t="shared" ref="AW87:AW101" si="60">RANK(AV87, AV$87:AV$101)</f>
        <v>#N/A</v>
      </c>
      <c r="AX87" s="486" t="e">
        <f t="shared" ref="AX87" si="61">AVERAGE(AV87:AV101)</f>
        <v>#DIV/0!</v>
      </c>
    </row>
    <row r="88" spans="2:50">
      <c r="B88" s="479"/>
      <c r="C88" s="180">
        <v>2</v>
      </c>
      <c r="D88" s="201" t="s">
        <v>384</v>
      </c>
      <c r="E88" s="166">
        <v>6</v>
      </c>
      <c r="F88" s="180">
        <v>1500</v>
      </c>
      <c r="G88" s="265">
        <v>250</v>
      </c>
      <c r="H88" s="460"/>
      <c r="I88" s="166">
        <f t="shared" ref="I88:K93" si="62">AVERAGE(P88,U88,Z88,AE88,AJ88,AO88,AT88)</f>
        <v>7</v>
      </c>
      <c r="J88" s="166">
        <f t="shared" si="62"/>
        <v>1479.5518100677384</v>
      </c>
      <c r="K88" s="265">
        <f t="shared" si="62"/>
        <v>211.36454429539123</v>
      </c>
      <c r="L88" s="460"/>
      <c r="M88" s="272">
        <f>RANK(K88, K$87:$K$101)</f>
        <v>2</v>
      </c>
      <c r="N88" s="462"/>
      <c r="O88" s="462"/>
      <c r="P88" s="166">
        <v>7</v>
      </c>
      <c r="Q88" s="166">
        <v>1493.6538461538471</v>
      </c>
      <c r="R88" s="166">
        <v>213.37912087912102</v>
      </c>
      <c r="S88" s="180">
        <f t="shared" ref="S88:S101" si="63">RANK(R88, R$87:R$101)</f>
        <v>3</v>
      </c>
      <c r="T88" s="473"/>
      <c r="U88" s="166">
        <v>7</v>
      </c>
      <c r="V88" s="166">
        <v>1463.669724770642</v>
      </c>
      <c r="W88" s="166">
        <v>209.09567496723457</v>
      </c>
      <c r="X88" s="180">
        <f t="shared" si="50"/>
        <v>3</v>
      </c>
      <c r="Y88" s="473"/>
      <c r="Z88" s="166">
        <v>7</v>
      </c>
      <c r="AA88" s="166">
        <v>1506.8571428571424</v>
      </c>
      <c r="AB88" s="166">
        <v>215.26530612244892</v>
      </c>
      <c r="AC88" s="180">
        <f t="shared" si="52"/>
        <v>1</v>
      </c>
      <c r="AD88" s="473"/>
      <c r="AE88" s="166">
        <v>7</v>
      </c>
      <c r="AF88" s="166">
        <v>1480.8510638297876</v>
      </c>
      <c r="AG88" s="166">
        <v>211.55015197568395</v>
      </c>
      <c r="AH88" s="180">
        <f t="shared" si="54"/>
        <v>1</v>
      </c>
      <c r="AI88" s="473"/>
      <c r="AJ88" s="166">
        <v>7</v>
      </c>
      <c r="AK88" s="166">
        <v>1452.727272727273</v>
      </c>
      <c r="AL88" s="166">
        <v>207.53246753246756</v>
      </c>
      <c r="AM88" s="180">
        <f t="shared" si="56"/>
        <v>2</v>
      </c>
      <c r="AN88" s="473"/>
      <c r="AO88" s="180"/>
      <c r="AP88" s="166"/>
      <c r="AQ88" s="265"/>
      <c r="AR88" s="180" t="e">
        <f t="shared" si="58"/>
        <v>#N/A</v>
      </c>
      <c r="AS88" s="473"/>
      <c r="AT88" s="180"/>
      <c r="AU88" s="166"/>
      <c r="AV88" s="265"/>
      <c r="AW88" s="180" t="e">
        <f t="shared" si="60"/>
        <v>#N/A</v>
      </c>
      <c r="AX88" s="486"/>
    </row>
    <row r="89" spans="2:50">
      <c r="B89" s="479"/>
      <c r="C89" s="180">
        <v>3</v>
      </c>
      <c r="D89" s="201" t="s">
        <v>338</v>
      </c>
      <c r="E89" s="166">
        <v>19</v>
      </c>
      <c r="F89" s="180">
        <v>1500</v>
      </c>
      <c r="G89" s="265">
        <v>78.900000000000006</v>
      </c>
      <c r="H89" s="460"/>
      <c r="I89" s="166">
        <f t="shared" si="62"/>
        <v>18.8</v>
      </c>
      <c r="J89" s="166">
        <f t="shared" si="62"/>
        <v>1301.3046164176583</v>
      </c>
      <c r="K89" s="265">
        <f t="shared" si="62"/>
        <v>69.275871229189221</v>
      </c>
      <c r="L89" s="460"/>
      <c r="M89" s="272">
        <f>RANK(K89, K$87:$K$101)</f>
        <v>5</v>
      </c>
      <c r="N89" s="462"/>
      <c r="O89" s="462"/>
      <c r="P89" s="166">
        <v>19</v>
      </c>
      <c r="Q89" s="166">
        <v>1324.9999999999959</v>
      </c>
      <c r="R89" s="166">
        <v>69.736842105262937</v>
      </c>
      <c r="S89" s="180">
        <f t="shared" si="63"/>
        <v>6</v>
      </c>
      <c r="T89" s="473"/>
      <c r="U89" s="166">
        <v>19</v>
      </c>
      <c r="V89" s="166">
        <v>1288.9999999999959</v>
      </c>
      <c r="W89" s="166">
        <v>67.842105263157677</v>
      </c>
      <c r="X89" s="180">
        <f t="shared" si="50"/>
        <v>6</v>
      </c>
      <c r="Y89" s="473"/>
      <c r="Z89" s="166">
        <v>19</v>
      </c>
      <c r="AA89" s="166">
        <v>1269.9130434782567</v>
      </c>
      <c r="AB89" s="166">
        <v>66.837528604118774</v>
      </c>
      <c r="AC89" s="180">
        <f t="shared" si="52"/>
        <v>5</v>
      </c>
      <c r="AD89" s="473"/>
      <c r="AE89" s="166">
        <v>19</v>
      </c>
      <c r="AF89" s="166">
        <v>1278.285714285719</v>
      </c>
      <c r="AG89" s="166">
        <v>67.278195488722048</v>
      </c>
      <c r="AH89" s="180">
        <f t="shared" si="54"/>
        <v>5</v>
      </c>
      <c r="AI89" s="473"/>
      <c r="AJ89" s="166">
        <v>18</v>
      </c>
      <c r="AK89" s="166">
        <v>1344.3243243243244</v>
      </c>
      <c r="AL89" s="166">
        <v>74.684684684684683</v>
      </c>
      <c r="AM89" s="180">
        <f t="shared" si="56"/>
        <v>5</v>
      </c>
      <c r="AN89" s="473"/>
      <c r="AO89" s="180"/>
      <c r="AP89" s="166"/>
      <c r="AQ89" s="265"/>
      <c r="AR89" s="180" t="e">
        <f t="shared" si="58"/>
        <v>#N/A</v>
      </c>
      <c r="AS89" s="473"/>
      <c r="AT89" s="180"/>
      <c r="AU89" s="166"/>
      <c r="AV89" s="265"/>
      <c r="AW89" s="180" t="e">
        <f t="shared" si="60"/>
        <v>#N/A</v>
      </c>
      <c r="AX89" s="486"/>
    </row>
    <row r="90" spans="2:50">
      <c r="B90" s="479"/>
      <c r="C90" s="180">
        <v>4</v>
      </c>
      <c r="D90" s="201" t="s">
        <v>385</v>
      </c>
      <c r="E90" s="166">
        <v>17</v>
      </c>
      <c r="F90" s="180">
        <v>1440</v>
      </c>
      <c r="G90" s="265">
        <v>84.7</v>
      </c>
      <c r="H90" s="460"/>
      <c r="I90" s="166">
        <f t="shared" si="62"/>
        <v>17</v>
      </c>
      <c r="J90" s="166">
        <f t="shared" si="62"/>
        <v>1174.759510567296</v>
      </c>
      <c r="K90" s="265">
        <f t="shared" si="62"/>
        <v>69.103500621605647</v>
      </c>
      <c r="L90" s="460"/>
      <c r="M90" s="272">
        <f>RANK(K90, K$87:$K$101)</f>
        <v>6</v>
      </c>
      <c r="N90" s="462"/>
      <c r="O90" s="462"/>
      <c r="P90" s="166">
        <v>17</v>
      </c>
      <c r="Q90" s="166">
        <v>1254.0000000000011</v>
      </c>
      <c r="R90" s="166">
        <v>73.764705882353013</v>
      </c>
      <c r="S90" s="180">
        <f t="shared" si="63"/>
        <v>5</v>
      </c>
      <c r="T90" s="473"/>
      <c r="U90" s="166">
        <v>17</v>
      </c>
      <c r="V90" s="166">
        <v>1193.7931034482669</v>
      </c>
      <c r="W90" s="166">
        <v>70.223123732250997</v>
      </c>
      <c r="X90" s="180">
        <f t="shared" si="50"/>
        <v>5</v>
      </c>
      <c r="Y90" s="473"/>
      <c r="Z90" s="166">
        <v>17</v>
      </c>
      <c r="AA90" s="166">
        <v>1081.9354838709687</v>
      </c>
      <c r="AB90" s="166">
        <v>63.643263757115804</v>
      </c>
      <c r="AC90" s="180">
        <f t="shared" si="52"/>
        <v>6</v>
      </c>
      <c r="AD90" s="473"/>
      <c r="AE90" s="166">
        <v>17</v>
      </c>
      <c r="AF90" s="166">
        <v>1082.0000000000009</v>
      </c>
      <c r="AG90" s="166">
        <v>63.647058823529463</v>
      </c>
      <c r="AH90" s="180">
        <f t="shared" si="54"/>
        <v>6</v>
      </c>
      <c r="AI90" s="473"/>
      <c r="AJ90" s="166">
        <v>17</v>
      </c>
      <c r="AK90" s="166">
        <v>1262.0689655172423</v>
      </c>
      <c r="AL90" s="166">
        <v>74.23935091277896</v>
      </c>
      <c r="AM90" s="180">
        <f t="shared" si="56"/>
        <v>6</v>
      </c>
      <c r="AN90" s="473"/>
      <c r="AO90" s="180"/>
      <c r="AP90" s="166"/>
      <c r="AQ90" s="265"/>
      <c r="AR90" s="180" t="e">
        <f t="shared" si="58"/>
        <v>#N/A</v>
      </c>
      <c r="AS90" s="473"/>
      <c r="AT90" s="180"/>
      <c r="AU90" s="166"/>
      <c r="AV90" s="265"/>
      <c r="AW90" s="180" t="e">
        <f t="shared" si="60"/>
        <v>#N/A</v>
      </c>
      <c r="AX90" s="486"/>
    </row>
    <row r="91" spans="2:50">
      <c r="B91" s="479"/>
      <c r="C91" s="180">
        <v>5</v>
      </c>
      <c r="D91" s="201" t="s">
        <v>420</v>
      </c>
      <c r="E91" s="166">
        <v>6</v>
      </c>
      <c r="F91" s="180">
        <v>1500</v>
      </c>
      <c r="G91" s="265">
        <v>250</v>
      </c>
      <c r="H91" s="460"/>
      <c r="I91" s="166">
        <f t="shared" si="62"/>
        <v>7</v>
      </c>
      <c r="J91" s="166">
        <f t="shared" si="62"/>
        <v>1491.6309506941432</v>
      </c>
      <c r="K91" s="265">
        <f t="shared" si="62"/>
        <v>213.09013581344902</v>
      </c>
      <c r="L91" s="460"/>
      <c r="M91" s="272">
        <f>RANK(K91, K$87:$K$101)</f>
        <v>1</v>
      </c>
      <c r="N91" s="462"/>
      <c r="O91" s="462"/>
      <c r="P91" s="166">
        <v>7</v>
      </c>
      <c r="Q91" s="166">
        <v>1496.0439560439554</v>
      </c>
      <c r="R91" s="166">
        <v>213.72056514913649</v>
      </c>
      <c r="S91" s="180">
        <f t="shared" si="63"/>
        <v>2</v>
      </c>
      <c r="T91" s="473"/>
      <c r="U91" s="166">
        <v>7</v>
      </c>
      <c r="V91" s="166">
        <v>1500.0000000000005</v>
      </c>
      <c r="W91" s="166">
        <v>214.28571428571436</v>
      </c>
      <c r="X91" s="180">
        <f t="shared" si="50"/>
        <v>1</v>
      </c>
      <c r="Y91" s="473"/>
      <c r="Z91" s="166">
        <v>7</v>
      </c>
      <c r="AA91" s="166">
        <v>1493.5483870967746</v>
      </c>
      <c r="AB91" s="166">
        <v>213.36405529953922</v>
      </c>
      <c r="AC91" s="180">
        <f t="shared" si="52"/>
        <v>3</v>
      </c>
      <c r="AD91" s="473"/>
      <c r="AE91" s="166">
        <v>7</v>
      </c>
      <c r="AF91" s="166">
        <v>1469.268292682927</v>
      </c>
      <c r="AG91" s="166">
        <v>209.8954703832753</v>
      </c>
      <c r="AH91" s="180">
        <f t="shared" si="54"/>
        <v>2</v>
      </c>
      <c r="AI91" s="473"/>
      <c r="AJ91" s="166">
        <v>7</v>
      </c>
      <c r="AK91" s="166">
        <v>1499.2941176470586</v>
      </c>
      <c r="AL91" s="166">
        <v>214.18487394957978</v>
      </c>
      <c r="AM91" s="180">
        <f t="shared" si="56"/>
        <v>1</v>
      </c>
      <c r="AN91" s="473"/>
      <c r="AO91" s="180"/>
      <c r="AP91" s="166"/>
      <c r="AQ91" s="265"/>
      <c r="AR91" s="180" t="e">
        <f t="shared" si="58"/>
        <v>#N/A</v>
      </c>
      <c r="AS91" s="473"/>
      <c r="AT91" s="180"/>
      <c r="AU91" s="166"/>
      <c r="AV91" s="265"/>
      <c r="AW91" s="180" t="e">
        <f t="shared" si="60"/>
        <v>#N/A</v>
      </c>
      <c r="AX91" s="486"/>
    </row>
    <row r="92" spans="2:50">
      <c r="B92" s="479"/>
      <c r="C92" s="180">
        <v>6</v>
      </c>
      <c r="D92" s="201" t="s">
        <v>695</v>
      </c>
      <c r="E92" s="166">
        <v>6</v>
      </c>
      <c r="F92" s="180">
        <v>1500</v>
      </c>
      <c r="G92" s="265">
        <v>250</v>
      </c>
      <c r="H92" s="460"/>
      <c r="I92" s="166">
        <f t="shared" si="62"/>
        <v>6</v>
      </c>
      <c r="J92" s="166">
        <f t="shared" si="62"/>
        <v>1259.2805004227671</v>
      </c>
      <c r="K92" s="265">
        <f t="shared" si="62"/>
        <v>209.88008340379452</v>
      </c>
      <c r="L92" s="460"/>
      <c r="M92" s="272">
        <f>RANK(K92, K$87:$K$101)</f>
        <v>3</v>
      </c>
      <c r="N92" s="462"/>
      <c r="O92" s="462"/>
      <c r="P92" s="166">
        <v>6</v>
      </c>
      <c r="Q92" s="166">
        <v>1296.1643835616437</v>
      </c>
      <c r="R92" s="166">
        <v>216.02739726027394</v>
      </c>
      <c r="S92" s="180">
        <f t="shared" si="63"/>
        <v>1</v>
      </c>
      <c r="T92" s="473"/>
      <c r="U92" s="166">
        <v>6</v>
      </c>
      <c r="V92" s="166">
        <v>1269.7674418604647</v>
      </c>
      <c r="W92" s="166">
        <v>211.62790697674413</v>
      </c>
      <c r="X92" s="180">
        <f t="shared" si="50"/>
        <v>2</v>
      </c>
      <c r="Y92" s="473"/>
      <c r="Z92" s="166">
        <v>6</v>
      </c>
      <c r="AA92" s="166">
        <v>1286.8421052631584</v>
      </c>
      <c r="AB92" s="166">
        <v>214.47368421052639</v>
      </c>
      <c r="AC92" s="180">
        <f t="shared" si="52"/>
        <v>2</v>
      </c>
      <c r="AD92" s="473"/>
      <c r="AE92" s="166">
        <v>6</v>
      </c>
      <c r="AF92" s="166">
        <v>1207.1999999999985</v>
      </c>
      <c r="AG92" s="166">
        <v>201.19999999999973</v>
      </c>
      <c r="AH92" s="180">
        <f t="shared" si="54"/>
        <v>3</v>
      </c>
      <c r="AI92" s="473"/>
      <c r="AJ92" s="166">
        <v>6</v>
      </c>
      <c r="AK92" s="166">
        <v>1236.4285714285704</v>
      </c>
      <c r="AL92" s="166">
        <v>206.07142857142841</v>
      </c>
      <c r="AM92" s="180">
        <f t="shared" si="56"/>
        <v>3</v>
      </c>
      <c r="AN92" s="473"/>
      <c r="AO92" s="180"/>
      <c r="AP92" s="166"/>
      <c r="AQ92" s="265"/>
      <c r="AR92" s="180" t="e">
        <f t="shared" si="58"/>
        <v>#N/A</v>
      </c>
      <c r="AS92" s="473"/>
      <c r="AT92" s="180"/>
      <c r="AU92" s="166"/>
      <c r="AV92" s="265"/>
      <c r="AW92" s="180" t="e">
        <f t="shared" si="60"/>
        <v>#N/A</v>
      </c>
      <c r="AX92" s="486"/>
    </row>
    <row r="93" spans="2:50">
      <c r="B93" s="479"/>
      <c r="C93" s="180">
        <v>7</v>
      </c>
      <c r="D93" s="201" t="s">
        <v>453</v>
      </c>
      <c r="E93" s="166">
        <v>20</v>
      </c>
      <c r="F93" s="180">
        <v>1385</v>
      </c>
      <c r="G93" s="265">
        <v>69.2</v>
      </c>
      <c r="H93" s="460"/>
      <c r="I93" s="166">
        <f t="shared" si="62"/>
        <v>20</v>
      </c>
      <c r="J93" s="166">
        <f t="shared" si="62"/>
        <v>1000.4955988455991</v>
      </c>
      <c r="K93" s="265">
        <f t="shared" si="62"/>
        <v>50.024779942279949</v>
      </c>
      <c r="L93" s="460"/>
      <c r="M93" s="272">
        <f>RANK(K93, K$87:$K$101)</f>
        <v>7</v>
      </c>
      <c r="N93" s="462"/>
      <c r="O93" s="462"/>
      <c r="P93" s="166">
        <v>20</v>
      </c>
      <c r="Q93" s="166">
        <v>986.25000000000102</v>
      </c>
      <c r="R93" s="166">
        <v>49.31250000000005</v>
      </c>
      <c r="S93" s="180">
        <f t="shared" si="63"/>
        <v>7</v>
      </c>
      <c r="T93" s="473"/>
      <c r="U93" s="166">
        <v>20</v>
      </c>
      <c r="V93" s="166">
        <v>980.57142857142765</v>
      </c>
      <c r="W93" s="166">
        <v>49.028571428571382</v>
      </c>
      <c r="X93" s="180">
        <f t="shared" si="50"/>
        <v>7</v>
      </c>
      <c r="Y93" s="473"/>
      <c r="Z93" s="166">
        <v>20</v>
      </c>
      <c r="AA93" s="166">
        <v>996.66666666666583</v>
      </c>
      <c r="AB93" s="166">
        <v>49.833333333333293</v>
      </c>
      <c r="AC93" s="180">
        <f t="shared" si="52"/>
        <v>7</v>
      </c>
      <c r="AD93" s="473"/>
      <c r="AE93" s="166">
        <v>20</v>
      </c>
      <c r="AF93" s="166">
        <v>1024.444444444445</v>
      </c>
      <c r="AG93" s="166">
        <v>51.22222222222225</v>
      </c>
      <c r="AH93" s="180">
        <f t="shared" si="54"/>
        <v>7</v>
      </c>
      <c r="AI93" s="473"/>
      <c r="AJ93" s="166">
        <v>20</v>
      </c>
      <c r="AK93" s="166">
        <v>1014.5454545454556</v>
      </c>
      <c r="AL93" s="166">
        <v>50.727272727272783</v>
      </c>
      <c r="AM93" s="180">
        <f t="shared" si="56"/>
        <v>7</v>
      </c>
      <c r="AN93" s="473"/>
      <c r="AO93" s="180"/>
      <c r="AP93" s="166"/>
      <c r="AQ93" s="265"/>
      <c r="AR93" s="180" t="e">
        <f t="shared" si="58"/>
        <v>#N/A</v>
      </c>
      <c r="AS93" s="473"/>
      <c r="AT93" s="180"/>
      <c r="AU93" s="166"/>
      <c r="AV93" s="265"/>
      <c r="AW93" s="180" t="e">
        <f t="shared" si="60"/>
        <v>#N/A</v>
      </c>
      <c r="AX93" s="486"/>
    </row>
    <row r="94" spans="2:50">
      <c r="B94" s="479"/>
      <c r="C94" s="180">
        <v>8</v>
      </c>
      <c r="D94" s="201"/>
      <c r="E94" s="166"/>
      <c r="F94" s="180"/>
      <c r="G94" s="265"/>
      <c r="H94" s="460"/>
      <c r="I94" s="166"/>
      <c r="J94" s="166"/>
      <c r="K94" s="265"/>
      <c r="L94" s="460"/>
      <c r="M94" s="272" t="e">
        <f>RANK(K94, K$87:$K$101)</f>
        <v>#N/A</v>
      </c>
      <c r="N94" s="462"/>
      <c r="O94" s="462"/>
      <c r="P94" s="180"/>
      <c r="Q94" s="166"/>
      <c r="R94" s="166"/>
      <c r="S94" s="180" t="e">
        <f t="shared" si="63"/>
        <v>#N/A</v>
      </c>
      <c r="T94" s="473"/>
      <c r="U94" s="180"/>
      <c r="V94" s="166"/>
      <c r="W94" s="166"/>
      <c r="X94" s="180" t="e">
        <f t="shared" si="50"/>
        <v>#N/A</v>
      </c>
      <c r="Y94" s="473"/>
      <c r="Z94" s="180"/>
      <c r="AA94" s="166"/>
      <c r="AB94" s="166"/>
      <c r="AC94" s="180" t="e">
        <f t="shared" si="52"/>
        <v>#N/A</v>
      </c>
      <c r="AD94" s="473"/>
      <c r="AE94" s="180"/>
      <c r="AF94" s="166"/>
      <c r="AG94" s="166"/>
      <c r="AH94" s="180" t="e">
        <f t="shared" si="54"/>
        <v>#N/A</v>
      </c>
      <c r="AI94" s="473"/>
      <c r="AJ94" s="180"/>
      <c r="AK94" s="166"/>
      <c r="AL94" s="166"/>
      <c r="AM94" s="180" t="e">
        <f t="shared" si="56"/>
        <v>#N/A</v>
      </c>
      <c r="AN94" s="473"/>
      <c r="AO94" s="180"/>
      <c r="AP94" s="166"/>
      <c r="AQ94" s="265"/>
      <c r="AR94" s="180" t="e">
        <f t="shared" si="58"/>
        <v>#N/A</v>
      </c>
      <c r="AS94" s="473"/>
      <c r="AT94" s="180"/>
      <c r="AU94" s="166"/>
      <c r="AV94" s="265"/>
      <c r="AW94" s="180" t="e">
        <f t="shared" si="60"/>
        <v>#N/A</v>
      </c>
      <c r="AX94" s="486"/>
    </row>
    <row r="95" spans="2:50">
      <c r="B95" s="479"/>
      <c r="C95" s="180">
        <v>9</v>
      </c>
      <c r="D95" s="201"/>
      <c r="E95" s="166"/>
      <c r="F95" s="180"/>
      <c r="G95" s="265"/>
      <c r="H95" s="460"/>
      <c r="I95" s="166"/>
      <c r="J95" s="166"/>
      <c r="K95" s="265"/>
      <c r="L95" s="460"/>
      <c r="M95" s="272" t="e">
        <f>RANK(K95, K$87:$K$101)</f>
        <v>#N/A</v>
      </c>
      <c r="N95" s="462"/>
      <c r="O95" s="462"/>
      <c r="P95" s="180"/>
      <c r="Q95" s="166"/>
      <c r="R95" s="166"/>
      <c r="S95" s="180" t="e">
        <f t="shared" si="63"/>
        <v>#N/A</v>
      </c>
      <c r="T95" s="473"/>
      <c r="U95" s="180"/>
      <c r="V95" s="166"/>
      <c r="W95" s="166"/>
      <c r="X95" s="180" t="e">
        <f t="shared" si="50"/>
        <v>#N/A</v>
      </c>
      <c r="Y95" s="473"/>
      <c r="Z95" s="180"/>
      <c r="AA95" s="166"/>
      <c r="AB95" s="166"/>
      <c r="AC95" s="180" t="e">
        <f t="shared" si="52"/>
        <v>#N/A</v>
      </c>
      <c r="AD95" s="473"/>
      <c r="AE95" s="180"/>
      <c r="AF95" s="166"/>
      <c r="AG95" s="166"/>
      <c r="AH95" s="180" t="e">
        <f t="shared" si="54"/>
        <v>#N/A</v>
      </c>
      <c r="AI95" s="473"/>
      <c r="AJ95" s="180"/>
      <c r="AK95" s="166"/>
      <c r="AL95" s="166"/>
      <c r="AM95" s="180" t="e">
        <f t="shared" si="56"/>
        <v>#N/A</v>
      </c>
      <c r="AN95" s="473"/>
      <c r="AO95" s="180"/>
      <c r="AP95" s="166"/>
      <c r="AQ95" s="265"/>
      <c r="AR95" s="180" t="e">
        <f t="shared" si="58"/>
        <v>#N/A</v>
      </c>
      <c r="AS95" s="473"/>
      <c r="AT95" s="180"/>
      <c r="AU95" s="166"/>
      <c r="AV95" s="265"/>
      <c r="AW95" s="180" t="e">
        <f t="shared" si="60"/>
        <v>#N/A</v>
      </c>
      <c r="AX95" s="486"/>
    </row>
    <row r="96" spans="2:50">
      <c r="B96" s="479"/>
      <c r="C96" s="180">
        <v>10</v>
      </c>
      <c r="D96" s="201"/>
      <c r="E96" s="166"/>
      <c r="F96" s="180"/>
      <c r="G96" s="265"/>
      <c r="H96" s="460"/>
      <c r="I96" s="166"/>
      <c r="J96" s="166"/>
      <c r="K96" s="265"/>
      <c r="L96" s="460"/>
      <c r="M96" s="272" t="e">
        <f>RANK(K96, K$87:$K$101)</f>
        <v>#N/A</v>
      </c>
      <c r="N96" s="462"/>
      <c r="O96" s="462"/>
      <c r="P96" s="180"/>
      <c r="Q96" s="166"/>
      <c r="R96" s="166"/>
      <c r="S96" s="180" t="e">
        <f t="shared" si="63"/>
        <v>#N/A</v>
      </c>
      <c r="T96" s="473"/>
      <c r="U96" s="180"/>
      <c r="V96" s="166"/>
      <c r="W96" s="166"/>
      <c r="X96" s="180" t="e">
        <f t="shared" si="50"/>
        <v>#N/A</v>
      </c>
      <c r="Y96" s="473"/>
      <c r="Z96" s="180"/>
      <c r="AA96" s="166"/>
      <c r="AB96" s="166"/>
      <c r="AC96" s="180" t="e">
        <f t="shared" si="52"/>
        <v>#N/A</v>
      </c>
      <c r="AD96" s="473"/>
      <c r="AE96" s="180"/>
      <c r="AF96" s="166"/>
      <c r="AG96" s="166"/>
      <c r="AH96" s="180" t="e">
        <f t="shared" si="54"/>
        <v>#N/A</v>
      </c>
      <c r="AI96" s="473"/>
      <c r="AJ96" s="180"/>
      <c r="AK96" s="166"/>
      <c r="AL96" s="166"/>
      <c r="AM96" s="180" t="e">
        <f t="shared" si="56"/>
        <v>#N/A</v>
      </c>
      <c r="AN96" s="473"/>
      <c r="AO96" s="180"/>
      <c r="AP96" s="166"/>
      <c r="AQ96" s="265"/>
      <c r="AR96" s="180" t="e">
        <f t="shared" si="58"/>
        <v>#N/A</v>
      </c>
      <c r="AS96" s="473"/>
      <c r="AT96" s="180"/>
      <c r="AU96" s="166"/>
      <c r="AV96" s="265"/>
      <c r="AW96" s="180" t="e">
        <f t="shared" si="60"/>
        <v>#N/A</v>
      </c>
      <c r="AX96" s="486"/>
    </row>
    <row r="97" spans="2:50">
      <c r="B97" s="479"/>
      <c r="C97" s="180">
        <v>11</v>
      </c>
      <c r="D97" s="201"/>
      <c r="E97" s="166"/>
      <c r="F97" s="180"/>
      <c r="G97" s="265"/>
      <c r="H97" s="460"/>
      <c r="I97" s="166"/>
      <c r="J97" s="166"/>
      <c r="K97" s="265"/>
      <c r="L97" s="460"/>
      <c r="M97" s="272" t="e">
        <f>RANK(K97, K$87:$K$101)</f>
        <v>#N/A</v>
      </c>
      <c r="N97" s="462"/>
      <c r="O97" s="462"/>
      <c r="P97" s="180"/>
      <c r="Q97" s="166"/>
      <c r="R97" s="166"/>
      <c r="S97" s="180" t="e">
        <f t="shared" si="63"/>
        <v>#N/A</v>
      </c>
      <c r="T97" s="473"/>
      <c r="U97" s="180"/>
      <c r="V97" s="166"/>
      <c r="W97" s="166"/>
      <c r="X97" s="180" t="e">
        <f t="shared" si="50"/>
        <v>#N/A</v>
      </c>
      <c r="Y97" s="473"/>
      <c r="Z97" s="180"/>
      <c r="AA97" s="166"/>
      <c r="AB97" s="166"/>
      <c r="AC97" s="180" t="e">
        <f t="shared" si="52"/>
        <v>#N/A</v>
      </c>
      <c r="AD97" s="473"/>
      <c r="AE97" s="180"/>
      <c r="AF97" s="166"/>
      <c r="AG97" s="166"/>
      <c r="AH97" s="180" t="e">
        <f t="shared" si="54"/>
        <v>#N/A</v>
      </c>
      <c r="AI97" s="473"/>
      <c r="AJ97" s="180"/>
      <c r="AK97" s="166"/>
      <c r="AL97" s="166"/>
      <c r="AM97" s="180" t="e">
        <f t="shared" si="56"/>
        <v>#N/A</v>
      </c>
      <c r="AN97" s="473"/>
      <c r="AO97" s="180"/>
      <c r="AP97" s="166"/>
      <c r="AQ97" s="265"/>
      <c r="AR97" s="180" t="e">
        <f t="shared" si="58"/>
        <v>#N/A</v>
      </c>
      <c r="AS97" s="473"/>
      <c r="AT97" s="180"/>
      <c r="AU97" s="166"/>
      <c r="AV97" s="265"/>
      <c r="AW97" s="180" t="e">
        <f t="shared" si="60"/>
        <v>#N/A</v>
      </c>
      <c r="AX97" s="486"/>
    </row>
    <row r="98" spans="2:50">
      <c r="B98" s="479"/>
      <c r="C98" s="180">
        <v>12</v>
      </c>
      <c r="D98" s="201"/>
      <c r="E98" s="166"/>
      <c r="F98" s="180"/>
      <c r="G98" s="265"/>
      <c r="H98" s="460"/>
      <c r="I98" s="166"/>
      <c r="J98" s="166"/>
      <c r="K98" s="265"/>
      <c r="L98" s="460"/>
      <c r="M98" s="272" t="e">
        <f>RANK(K98, K$87:$K$101)</f>
        <v>#N/A</v>
      </c>
      <c r="N98" s="462"/>
      <c r="O98" s="462"/>
      <c r="P98" s="180"/>
      <c r="Q98" s="166"/>
      <c r="R98" s="166"/>
      <c r="S98" s="180" t="e">
        <f t="shared" si="63"/>
        <v>#N/A</v>
      </c>
      <c r="T98" s="473"/>
      <c r="U98" s="180"/>
      <c r="V98" s="166"/>
      <c r="W98" s="166"/>
      <c r="X98" s="180" t="e">
        <f t="shared" si="50"/>
        <v>#N/A</v>
      </c>
      <c r="Y98" s="473"/>
      <c r="Z98" s="180"/>
      <c r="AA98" s="166"/>
      <c r="AB98" s="166"/>
      <c r="AC98" s="180" t="e">
        <f t="shared" si="52"/>
        <v>#N/A</v>
      </c>
      <c r="AD98" s="473"/>
      <c r="AE98" s="180"/>
      <c r="AF98" s="166"/>
      <c r="AG98" s="166"/>
      <c r="AH98" s="180" t="e">
        <f t="shared" si="54"/>
        <v>#N/A</v>
      </c>
      <c r="AI98" s="473"/>
      <c r="AJ98" s="180"/>
      <c r="AK98" s="166"/>
      <c r="AL98" s="166"/>
      <c r="AM98" s="180" t="e">
        <f t="shared" si="56"/>
        <v>#N/A</v>
      </c>
      <c r="AN98" s="473"/>
      <c r="AO98" s="180"/>
      <c r="AP98" s="166"/>
      <c r="AQ98" s="265"/>
      <c r="AR98" s="180" t="e">
        <f t="shared" si="58"/>
        <v>#N/A</v>
      </c>
      <c r="AS98" s="473"/>
      <c r="AT98" s="180"/>
      <c r="AU98" s="166"/>
      <c r="AV98" s="265"/>
      <c r="AW98" s="180" t="e">
        <f t="shared" si="60"/>
        <v>#N/A</v>
      </c>
      <c r="AX98" s="486"/>
    </row>
    <row r="99" spans="2:50">
      <c r="B99" s="479"/>
      <c r="C99" s="180">
        <v>13</v>
      </c>
      <c r="D99" s="201"/>
      <c r="E99" s="166"/>
      <c r="F99" s="180"/>
      <c r="G99" s="265"/>
      <c r="H99" s="460"/>
      <c r="I99" s="166"/>
      <c r="J99" s="166"/>
      <c r="K99" s="265"/>
      <c r="L99" s="460"/>
      <c r="M99" s="272" t="e">
        <f>RANK(K99, K$87:$K$101)</f>
        <v>#N/A</v>
      </c>
      <c r="N99" s="462"/>
      <c r="O99" s="462"/>
      <c r="P99" s="180"/>
      <c r="Q99" s="166"/>
      <c r="R99" s="166"/>
      <c r="S99" s="180" t="e">
        <f t="shared" si="63"/>
        <v>#N/A</v>
      </c>
      <c r="T99" s="473"/>
      <c r="U99" s="180"/>
      <c r="V99" s="166"/>
      <c r="W99" s="166"/>
      <c r="X99" s="180" t="e">
        <f t="shared" si="50"/>
        <v>#N/A</v>
      </c>
      <c r="Y99" s="473"/>
      <c r="Z99" s="180"/>
      <c r="AA99" s="166"/>
      <c r="AB99" s="166"/>
      <c r="AC99" s="180" t="e">
        <f t="shared" si="52"/>
        <v>#N/A</v>
      </c>
      <c r="AD99" s="473"/>
      <c r="AE99" s="180"/>
      <c r="AF99" s="166"/>
      <c r="AG99" s="166"/>
      <c r="AH99" s="180" t="e">
        <f t="shared" si="54"/>
        <v>#N/A</v>
      </c>
      <c r="AI99" s="473"/>
      <c r="AJ99" s="180"/>
      <c r="AK99" s="166"/>
      <c r="AL99" s="166"/>
      <c r="AM99" s="180" t="e">
        <f t="shared" si="56"/>
        <v>#N/A</v>
      </c>
      <c r="AN99" s="473"/>
      <c r="AO99" s="180"/>
      <c r="AP99" s="166"/>
      <c r="AQ99" s="265"/>
      <c r="AR99" s="180" t="e">
        <f t="shared" si="58"/>
        <v>#N/A</v>
      </c>
      <c r="AS99" s="473"/>
      <c r="AT99" s="180"/>
      <c r="AU99" s="166"/>
      <c r="AV99" s="265"/>
      <c r="AW99" s="180" t="e">
        <f t="shared" si="60"/>
        <v>#N/A</v>
      </c>
      <c r="AX99" s="486"/>
    </row>
    <row r="100" spans="2:50">
      <c r="B100" s="479"/>
      <c r="C100" s="180">
        <v>14</v>
      </c>
      <c r="D100" s="201"/>
      <c r="E100" s="166"/>
      <c r="F100" s="180"/>
      <c r="G100" s="265"/>
      <c r="H100" s="460"/>
      <c r="I100" s="166"/>
      <c r="J100" s="166"/>
      <c r="K100" s="265"/>
      <c r="L100" s="460"/>
      <c r="M100" s="272" t="e">
        <f>RANK(K100, K$87:$K$101)</f>
        <v>#N/A</v>
      </c>
      <c r="N100" s="462"/>
      <c r="O100" s="462"/>
      <c r="P100" s="180"/>
      <c r="Q100" s="166"/>
      <c r="R100" s="166"/>
      <c r="S100" s="180" t="e">
        <f t="shared" si="63"/>
        <v>#N/A</v>
      </c>
      <c r="T100" s="473"/>
      <c r="U100" s="180"/>
      <c r="V100" s="166"/>
      <c r="W100" s="166"/>
      <c r="X100" s="180" t="e">
        <f t="shared" si="50"/>
        <v>#N/A</v>
      </c>
      <c r="Y100" s="473"/>
      <c r="Z100" s="180"/>
      <c r="AA100" s="166"/>
      <c r="AB100" s="166"/>
      <c r="AC100" s="180" t="e">
        <f t="shared" si="52"/>
        <v>#N/A</v>
      </c>
      <c r="AD100" s="473"/>
      <c r="AE100" s="180"/>
      <c r="AF100" s="166"/>
      <c r="AG100" s="166"/>
      <c r="AH100" s="180" t="e">
        <f t="shared" si="54"/>
        <v>#N/A</v>
      </c>
      <c r="AI100" s="473"/>
      <c r="AJ100" s="180"/>
      <c r="AK100" s="166"/>
      <c r="AL100" s="166"/>
      <c r="AM100" s="180" t="e">
        <f t="shared" si="56"/>
        <v>#N/A</v>
      </c>
      <c r="AN100" s="473"/>
      <c r="AO100" s="180"/>
      <c r="AP100" s="166"/>
      <c r="AQ100" s="265"/>
      <c r="AR100" s="180" t="e">
        <f t="shared" si="58"/>
        <v>#N/A</v>
      </c>
      <c r="AS100" s="473"/>
      <c r="AT100" s="180"/>
      <c r="AU100" s="166"/>
      <c r="AV100" s="265"/>
      <c r="AW100" s="180" t="e">
        <f t="shared" si="60"/>
        <v>#N/A</v>
      </c>
      <c r="AX100" s="486"/>
    </row>
    <row r="101" spans="2:50">
      <c r="B101" s="479"/>
      <c r="C101" s="180">
        <v>15</v>
      </c>
      <c r="D101" s="201"/>
      <c r="E101" s="166"/>
      <c r="F101" s="180"/>
      <c r="G101" s="265"/>
      <c r="H101" s="461"/>
      <c r="I101" s="166"/>
      <c r="J101" s="166"/>
      <c r="K101" s="265"/>
      <c r="L101" s="461"/>
      <c r="M101" s="166" t="e">
        <f>RANK(K101, K$87:$K$101)</f>
        <v>#N/A</v>
      </c>
      <c r="N101" s="462"/>
      <c r="O101" s="462"/>
      <c r="P101" s="180"/>
      <c r="Q101" s="166"/>
      <c r="R101" s="166"/>
      <c r="S101" s="180" t="e">
        <f t="shared" si="63"/>
        <v>#N/A</v>
      </c>
      <c r="T101" s="474"/>
      <c r="U101" s="180"/>
      <c r="V101" s="166"/>
      <c r="W101" s="166"/>
      <c r="X101" s="180" t="e">
        <f t="shared" si="50"/>
        <v>#N/A</v>
      </c>
      <c r="Y101" s="474"/>
      <c r="Z101" s="180"/>
      <c r="AA101" s="166"/>
      <c r="AB101" s="166"/>
      <c r="AC101" s="180" t="e">
        <f t="shared" si="52"/>
        <v>#N/A</v>
      </c>
      <c r="AD101" s="474"/>
      <c r="AE101" s="180"/>
      <c r="AF101" s="166"/>
      <c r="AG101" s="166"/>
      <c r="AH101" s="180" t="e">
        <f t="shared" si="54"/>
        <v>#N/A</v>
      </c>
      <c r="AI101" s="474"/>
      <c r="AJ101" s="180"/>
      <c r="AK101" s="166"/>
      <c r="AL101" s="166"/>
      <c r="AM101" s="180" t="e">
        <f t="shared" si="56"/>
        <v>#N/A</v>
      </c>
      <c r="AN101" s="474"/>
      <c r="AO101" s="180"/>
      <c r="AP101" s="166"/>
      <c r="AQ101" s="265"/>
      <c r="AR101" s="180" t="e">
        <f t="shared" si="58"/>
        <v>#N/A</v>
      </c>
      <c r="AS101" s="474"/>
      <c r="AT101" s="180"/>
      <c r="AU101" s="166"/>
      <c r="AV101" s="265"/>
      <c r="AW101" s="180" t="e">
        <f t="shared" si="60"/>
        <v>#N/A</v>
      </c>
      <c r="AX101" s="486"/>
    </row>
    <row r="102" spans="2:50" ht="15.75">
      <c r="B102" s="480" t="s">
        <v>161</v>
      </c>
      <c r="C102" s="481"/>
      <c r="D102" s="481"/>
      <c r="E102" s="481"/>
      <c r="F102" s="481"/>
      <c r="G102" s="481"/>
      <c r="H102" s="481"/>
      <c r="I102" s="184"/>
      <c r="J102" s="184"/>
      <c r="K102" s="184"/>
      <c r="L102" s="184"/>
      <c r="M102" s="183"/>
      <c r="N102" s="469" t="s">
        <v>155</v>
      </c>
      <c r="O102" s="469" t="s">
        <v>105</v>
      </c>
      <c r="P102" s="478">
        <f>P82+7</f>
        <v>34</v>
      </c>
      <c r="Q102" s="479"/>
      <c r="R102" s="479"/>
      <c r="S102" s="479"/>
      <c r="T102" s="479"/>
      <c r="U102" s="475">
        <f>P102+1</f>
        <v>35</v>
      </c>
      <c r="V102" s="476"/>
      <c r="W102" s="476"/>
      <c r="X102" s="476"/>
      <c r="Y102" s="477"/>
      <c r="Z102" s="475">
        <f>U102+1</f>
        <v>36</v>
      </c>
      <c r="AA102" s="476"/>
      <c r="AB102" s="476"/>
      <c r="AC102" s="476"/>
      <c r="AD102" s="477"/>
      <c r="AE102" s="475">
        <f>Z102+1</f>
        <v>37</v>
      </c>
      <c r="AF102" s="476"/>
      <c r="AG102" s="476"/>
      <c r="AH102" s="476"/>
      <c r="AI102" s="477"/>
      <c r="AJ102" s="475">
        <f>AE102+1</f>
        <v>38</v>
      </c>
      <c r="AK102" s="476"/>
      <c r="AL102" s="476"/>
      <c r="AM102" s="476"/>
      <c r="AN102" s="477"/>
      <c r="AO102" s="475">
        <f>AJ102+1</f>
        <v>39</v>
      </c>
      <c r="AP102" s="476"/>
      <c r="AQ102" s="476"/>
      <c r="AR102" s="476"/>
      <c r="AS102" s="477"/>
      <c r="AT102" s="475">
        <f>AO102+1</f>
        <v>40</v>
      </c>
      <c r="AU102" s="476"/>
      <c r="AV102" s="476"/>
      <c r="AW102" s="476"/>
      <c r="AX102" s="477"/>
    </row>
    <row r="103" spans="2:50" ht="15.75">
      <c r="B103" s="482"/>
      <c r="C103" s="482"/>
      <c r="D103" s="482"/>
      <c r="E103" s="482"/>
      <c r="F103" s="482"/>
      <c r="G103" s="482"/>
      <c r="H103" s="482"/>
      <c r="I103" s="182"/>
      <c r="J103" s="182"/>
      <c r="K103" s="182"/>
      <c r="L103" s="182"/>
      <c r="M103" s="179"/>
      <c r="N103" s="471"/>
      <c r="O103" s="471"/>
      <c r="P103" s="478" t="s">
        <v>157</v>
      </c>
      <c r="Q103" s="479"/>
      <c r="R103" s="479"/>
      <c r="S103" s="479"/>
      <c r="T103" s="479"/>
      <c r="U103" s="478" t="s">
        <v>114</v>
      </c>
      <c r="V103" s="479"/>
      <c r="W103" s="479"/>
      <c r="X103" s="479"/>
      <c r="Y103" s="479"/>
      <c r="Z103" s="478" t="s">
        <v>158</v>
      </c>
      <c r="AA103" s="479"/>
      <c r="AB103" s="479"/>
      <c r="AC103" s="479"/>
      <c r="AD103" s="479"/>
      <c r="AE103" s="478" t="s">
        <v>156</v>
      </c>
      <c r="AF103" s="479"/>
      <c r="AG103" s="479"/>
      <c r="AH103" s="479"/>
      <c r="AI103" s="479"/>
      <c r="AJ103" s="478" t="s">
        <v>159</v>
      </c>
      <c r="AK103" s="479"/>
      <c r="AL103" s="479"/>
      <c r="AM103" s="479"/>
      <c r="AN103" s="479"/>
      <c r="AO103" s="478" t="s">
        <v>115</v>
      </c>
      <c r="AP103" s="479"/>
      <c r="AQ103" s="479"/>
      <c r="AR103" s="479"/>
      <c r="AS103" s="479"/>
      <c r="AT103" s="478" t="s">
        <v>160</v>
      </c>
      <c r="AU103" s="479"/>
      <c r="AV103" s="479"/>
      <c r="AW103" s="479"/>
      <c r="AX103" s="479"/>
    </row>
    <row r="104" spans="2:50">
      <c r="B104" s="462" t="s">
        <v>628</v>
      </c>
      <c r="C104" s="462" t="s">
        <v>629</v>
      </c>
      <c r="D104" s="462"/>
      <c r="E104" s="462" t="s">
        <v>630</v>
      </c>
      <c r="F104" s="462"/>
      <c r="G104" s="462"/>
      <c r="H104" s="463" t="s">
        <v>631</v>
      </c>
      <c r="I104" s="462" t="s">
        <v>632</v>
      </c>
      <c r="J104" s="462"/>
      <c r="K104" s="462"/>
      <c r="L104" s="463" t="s">
        <v>631</v>
      </c>
      <c r="M104" s="469" t="s">
        <v>633</v>
      </c>
      <c r="N104" s="462"/>
      <c r="O104" s="462" t="s">
        <v>621</v>
      </c>
      <c r="P104" s="466" t="s">
        <v>622</v>
      </c>
      <c r="Q104" s="467"/>
      <c r="R104" s="467"/>
      <c r="S104" s="468"/>
      <c r="T104" s="462" t="s">
        <v>619</v>
      </c>
      <c r="U104" s="466" t="s">
        <v>622</v>
      </c>
      <c r="V104" s="467"/>
      <c r="W104" s="467"/>
      <c r="X104" s="468"/>
      <c r="Y104" s="462" t="s">
        <v>619</v>
      </c>
      <c r="Z104" s="466" t="s">
        <v>404</v>
      </c>
      <c r="AA104" s="467"/>
      <c r="AB104" s="467"/>
      <c r="AC104" s="468"/>
      <c r="AD104" s="462" t="s">
        <v>402</v>
      </c>
      <c r="AE104" s="466" t="s">
        <v>404</v>
      </c>
      <c r="AF104" s="467"/>
      <c r="AG104" s="467"/>
      <c r="AH104" s="468"/>
      <c r="AI104" s="462" t="s">
        <v>402</v>
      </c>
      <c r="AJ104" s="466" t="s">
        <v>404</v>
      </c>
      <c r="AK104" s="467"/>
      <c r="AL104" s="467"/>
      <c r="AM104" s="468"/>
      <c r="AN104" s="462" t="s">
        <v>402</v>
      </c>
      <c r="AO104" s="466" t="s">
        <v>404</v>
      </c>
      <c r="AP104" s="467"/>
      <c r="AQ104" s="467"/>
      <c r="AR104" s="468"/>
      <c r="AS104" s="462" t="s">
        <v>402</v>
      </c>
      <c r="AT104" s="466" t="s">
        <v>404</v>
      </c>
      <c r="AU104" s="467"/>
      <c r="AV104" s="467"/>
      <c r="AW104" s="468"/>
      <c r="AX104" s="462" t="s">
        <v>402</v>
      </c>
    </row>
    <row r="105" spans="2:50">
      <c r="B105" s="462"/>
      <c r="C105" s="462"/>
      <c r="D105" s="462"/>
      <c r="E105" s="462" t="s">
        <v>635</v>
      </c>
      <c r="F105" s="462"/>
      <c r="G105" s="462"/>
      <c r="H105" s="464"/>
      <c r="I105" s="462" t="s">
        <v>635</v>
      </c>
      <c r="J105" s="462"/>
      <c r="K105" s="462"/>
      <c r="L105" s="464"/>
      <c r="M105" s="470"/>
      <c r="N105" s="462"/>
      <c r="O105" s="462"/>
      <c r="P105" s="466" t="s">
        <v>623</v>
      </c>
      <c r="Q105" s="467"/>
      <c r="R105" s="467"/>
      <c r="S105" s="468"/>
      <c r="T105" s="462"/>
      <c r="U105" s="466" t="s">
        <v>623</v>
      </c>
      <c r="V105" s="467"/>
      <c r="W105" s="467"/>
      <c r="X105" s="468"/>
      <c r="Y105" s="462"/>
      <c r="Z105" s="466" t="s">
        <v>405</v>
      </c>
      <c r="AA105" s="467"/>
      <c r="AB105" s="467"/>
      <c r="AC105" s="468"/>
      <c r="AD105" s="462"/>
      <c r="AE105" s="466" t="s">
        <v>405</v>
      </c>
      <c r="AF105" s="467"/>
      <c r="AG105" s="467"/>
      <c r="AH105" s="468"/>
      <c r="AI105" s="462"/>
      <c r="AJ105" s="466" t="s">
        <v>405</v>
      </c>
      <c r="AK105" s="467"/>
      <c r="AL105" s="467"/>
      <c r="AM105" s="468"/>
      <c r="AN105" s="462"/>
      <c r="AO105" s="466" t="s">
        <v>405</v>
      </c>
      <c r="AP105" s="467"/>
      <c r="AQ105" s="467"/>
      <c r="AR105" s="468"/>
      <c r="AS105" s="462"/>
      <c r="AT105" s="466" t="s">
        <v>405</v>
      </c>
      <c r="AU105" s="467"/>
      <c r="AV105" s="467"/>
      <c r="AW105" s="468"/>
      <c r="AX105" s="462"/>
    </row>
    <row r="106" spans="2:50">
      <c r="B106" s="462"/>
      <c r="C106" s="462"/>
      <c r="D106" s="462"/>
      <c r="E106" s="264" t="s">
        <v>636</v>
      </c>
      <c r="F106" s="264" t="s">
        <v>637</v>
      </c>
      <c r="G106" s="264" t="s">
        <v>638</v>
      </c>
      <c r="H106" s="465"/>
      <c r="I106" s="264" t="s">
        <v>636</v>
      </c>
      <c r="J106" s="264" t="s">
        <v>637</v>
      </c>
      <c r="K106" s="264" t="s">
        <v>638</v>
      </c>
      <c r="L106" s="465"/>
      <c r="M106" s="471"/>
      <c r="N106" s="462"/>
      <c r="O106" s="462"/>
      <c r="P106" s="264" t="s">
        <v>624</v>
      </c>
      <c r="Q106" s="264" t="s">
        <v>625</v>
      </c>
      <c r="R106" s="264" t="s">
        <v>626</v>
      </c>
      <c r="S106" s="264" t="s">
        <v>620</v>
      </c>
      <c r="T106" s="462"/>
      <c r="U106" s="264" t="s">
        <v>624</v>
      </c>
      <c r="V106" s="264" t="s">
        <v>625</v>
      </c>
      <c r="W106" s="264" t="s">
        <v>626</v>
      </c>
      <c r="X106" s="264" t="s">
        <v>620</v>
      </c>
      <c r="Y106" s="462"/>
      <c r="Z106" s="264" t="s">
        <v>406</v>
      </c>
      <c r="AA106" s="264" t="s">
        <v>407</v>
      </c>
      <c r="AB106" s="264" t="s">
        <v>408</v>
      </c>
      <c r="AC106" s="264" t="s">
        <v>403</v>
      </c>
      <c r="AD106" s="462"/>
      <c r="AE106" s="264" t="s">
        <v>406</v>
      </c>
      <c r="AF106" s="264" t="s">
        <v>407</v>
      </c>
      <c r="AG106" s="264" t="s">
        <v>408</v>
      </c>
      <c r="AH106" s="264" t="s">
        <v>403</v>
      </c>
      <c r="AI106" s="462"/>
      <c r="AJ106" s="264" t="s">
        <v>406</v>
      </c>
      <c r="AK106" s="264" t="s">
        <v>407</v>
      </c>
      <c r="AL106" s="264" t="s">
        <v>408</v>
      </c>
      <c r="AM106" s="264" t="s">
        <v>403</v>
      </c>
      <c r="AN106" s="462"/>
      <c r="AO106" s="264" t="s">
        <v>406</v>
      </c>
      <c r="AP106" s="264" t="s">
        <v>407</v>
      </c>
      <c r="AQ106" s="264" t="s">
        <v>408</v>
      </c>
      <c r="AR106" s="264" t="s">
        <v>403</v>
      </c>
      <c r="AS106" s="462"/>
      <c r="AT106" s="264" t="s">
        <v>406</v>
      </c>
      <c r="AU106" s="264" t="s">
        <v>407</v>
      </c>
      <c r="AV106" s="264" t="s">
        <v>408</v>
      </c>
      <c r="AW106" s="264" t="s">
        <v>403</v>
      </c>
      <c r="AX106" s="462"/>
    </row>
    <row r="107" spans="2:50">
      <c r="B107" s="462" t="s">
        <v>136</v>
      </c>
      <c r="C107" s="180">
        <v>1</v>
      </c>
      <c r="D107" s="201"/>
      <c r="E107" s="166"/>
      <c r="F107" s="166"/>
      <c r="G107" s="166"/>
      <c r="H107" s="459" t="e">
        <f>AVERAGE(G107:G121)</f>
        <v>#DIV/0!</v>
      </c>
      <c r="I107" s="166" t="e">
        <f>AVERAGE(P107,U107,Z107,AE107,AJ107,AO107,AT107)</f>
        <v>#DIV/0!</v>
      </c>
      <c r="J107" s="166" t="e">
        <f>AVERAGE(Q107,V107,AA107,AF107,AK107,AP107,AU107)</f>
        <v>#DIV/0!</v>
      </c>
      <c r="K107" s="265" t="e">
        <f>AVERAGE(R107,W107,AB107,AG107,AL107,AQ107,AV107)</f>
        <v>#DIV/0!</v>
      </c>
      <c r="L107" s="459"/>
      <c r="M107" s="166" t="e">
        <f>RANK(K107, K$107:$K$121)</f>
        <v>#DIV/0!</v>
      </c>
      <c r="N107" s="462"/>
      <c r="O107" s="462"/>
      <c r="P107" s="180"/>
      <c r="Q107" s="166"/>
      <c r="R107" s="166"/>
      <c r="S107" s="180" t="e">
        <f>RANK(R107, R$107:R$121)</f>
        <v>#N/A</v>
      </c>
      <c r="T107" s="486" t="e">
        <f>AVERAGE(R107:R121)</f>
        <v>#DIV/0!</v>
      </c>
      <c r="U107" s="180"/>
      <c r="V107" s="166"/>
      <c r="W107" s="166"/>
      <c r="X107" s="180" t="e">
        <f>RANK(W107, W$107:W$121)</f>
        <v>#N/A</v>
      </c>
      <c r="Y107" s="486" t="e">
        <f>AVERAGE(W107:W121)</f>
        <v>#DIV/0!</v>
      </c>
      <c r="Z107" s="166"/>
      <c r="AA107" s="166"/>
      <c r="AB107" s="265"/>
      <c r="AC107" s="180" t="e">
        <f>RANK(AB107, AB$107:AB$121)</f>
        <v>#N/A</v>
      </c>
      <c r="AD107" s="472" t="e">
        <f>AVERAGE(AB107:AB121)</f>
        <v>#DIV/0!</v>
      </c>
      <c r="AE107" s="166"/>
      <c r="AF107" s="166"/>
      <c r="AG107" s="265"/>
      <c r="AH107" s="180" t="e">
        <f>RANK(AG107, AG$107:AG$121)</f>
        <v>#N/A</v>
      </c>
      <c r="AI107" s="472" t="e">
        <f>AVERAGE(AG107:AG121)</f>
        <v>#DIV/0!</v>
      </c>
      <c r="AJ107" s="166"/>
      <c r="AK107" s="166"/>
      <c r="AL107" s="265"/>
      <c r="AM107" s="180" t="e">
        <f>RANK(AL107, AL$107:AL$121)</f>
        <v>#N/A</v>
      </c>
      <c r="AN107" s="472" t="e">
        <f>AVERAGE(AL107:AL121)</f>
        <v>#DIV/0!</v>
      </c>
      <c r="AO107" s="166"/>
      <c r="AP107" s="166"/>
      <c r="AQ107" s="265"/>
      <c r="AR107" s="180" t="e">
        <f>RANK(AQ107, AQ$107:AQ$121)</f>
        <v>#N/A</v>
      </c>
      <c r="AS107" s="472" t="e">
        <f>AVERAGE(AQ107:AQ121)</f>
        <v>#DIV/0!</v>
      </c>
      <c r="AT107" s="166"/>
      <c r="AU107" s="166"/>
      <c r="AV107" s="265"/>
      <c r="AW107" s="180" t="e">
        <f>RANK(AV107, AV$107:AV$121)</f>
        <v>#N/A</v>
      </c>
      <c r="AX107" s="472" t="e">
        <f>AVERAGE(AV107:AV121)</f>
        <v>#DIV/0!</v>
      </c>
    </row>
    <row r="108" spans="2:50">
      <c r="B108" s="479"/>
      <c r="C108" s="180">
        <v>2</v>
      </c>
      <c r="D108" s="201"/>
      <c r="E108" s="166"/>
      <c r="F108" s="166"/>
      <c r="G108" s="166"/>
      <c r="H108" s="460"/>
      <c r="I108" s="166" t="e">
        <f t="shared" ref="I108:K114" si="64">AVERAGE(P108,U108,Z108,AE108,AJ108,AO108,AT108)</f>
        <v>#DIV/0!</v>
      </c>
      <c r="J108" s="166" t="e">
        <f t="shared" si="64"/>
        <v>#DIV/0!</v>
      </c>
      <c r="K108" s="265" t="e">
        <f t="shared" si="64"/>
        <v>#DIV/0!</v>
      </c>
      <c r="L108" s="460"/>
      <c r="M108" s="166" t="e">
        <f>RANK(K108, K$107:$K$121)</f>
        <v>#DIV/0!</v>
      </c>
      <c r="N108" s="462"/>
      <c r="O108" s="462"/>
      <c r="P108" s="180"/>
      <c r="Q108" s="166"/>
      <c r="R108" s="166"/>
      <c r="S108" s="180" t="e">
        <f t="shared" ref="S108:S121" si="65">RANK(R108, R$107:R$121)</f>
        <v>#N/A</v>
      </c>
      <c r="T108" s="486"/>
      <c r="U108" s="180"/>
      <c r="V108" s="166"/>
      <c r="W108" s="166"/>
      <c r="X108" s="180" t="e">
        <f t="shared" ref="X108:X121" si="66">RANK(W108, W$107:W$121)</f>
        <v>#N/A</v>
      </c>
      <c r="Y108" s="486"/>
      <c r="Z108" s="180"/>
      <c r="AA108" s="166"/>
      <c r="AB108" s="265"/>
      <c r="AC108" s="180" t="e">
        <f t="shared" ref="AC108:AC113" si="67">RANK(AB108, AB$107:AB$121)</f>
        <v>#N/A</v>
      </c>
      <c r="AD108" s="473"/>
      <c r="AE108" s="180"/>
      <c r="AF108" s="166"/>
      <c r="AG108" s="265"/>
      <c r="AH108" s="180" t="e">
        <f t="shared" ref="AH108:AH113" si="68">RANK(AG108, AG$107:AG$121)</f>
        <v>#N/A</v>
      </c>
      <c r="AI108" s="473"/>
      <c r="AJ108" s="180"/>
      <c r="AK108" s="166"/>
      <c r="AL108" s="265"/>
      <c r="AM108" s="180" t="e">
        <f t="shared" ref="AM108:AM113" si="69">RANK(AL108, AL$107:AL$121)</f>
        <v>#N/A</v>
      </c>
      <c r="AN108" s="473"/>
      <c r="AO108" s="180"/>
      <c r="AP108" s="166"/>
      <c r="AQ108" s="265"/>
      <c r="AR108" s="180" t="e">
        <f t="shared" ref="AR108:AR113" si="70">RANK(AQ108, AQ$107:AQ$121)</f>
        <v>#N/A</v>
      </c>
      <c r="AS108" s="473"/>
      <c r="AT108" s="180"/>
      <c r="AU108" s="166"/>
      <c r="AV108" s="265"/>
      <c r="AW108" s="180" t="e">
        <f t="shared" ref="AW108:AW113" si="71">RANK(AV108, AV$107:AV$121)</f>
        <v>#N/A</v>
      </c>
      <c r="AX108" s="473"/>
    </row>
    <row r="109" spans="2:50">
      <c r="B109" s="479"/>
      <c r="C109" s="180">
        <v>3</v>
      </c>
      <c r="D109" s="201"/>
      <c r="E109" s="166"/>
      <c r="F109" s="166"/>
      <c r="G109" s="166"/>
      <c r="H109" s="460"/>
      <c r="I109" s="166" t="e">
        <f t="shared" si="64"/>
        <v>#DIV/0!</v>
      </c>
      <c r="J109" s="166" t="e">
        <f t="shared" si="64"/>
        <v>#DIV/0!</v>
      </c>
      <c r="K109" s="265" t="e">
        <f t="shared" si="64"/>
        <v>#DIV/0!</v>
      </c>
      <c r="L109" s="460"/>
      <c r="M109" s="166" t="e">
        <f>RANK(K109, K$107:$K$121)</f>
        <v>#DIV/0!</v>
      </c>
      <c r="N109" s="462"/>
      <c r="O109" s="462"/>
      <c r="P109" s="180"/>
      <c r="Q109" s="166"/>
      <c r="R109" s="166"/>
      <c r="S109" s="180" t="e">
        <f t="shared" si="65"/>
        <v>#N/A</v>
      </c>
      <c r="T109" s="486"/>
      <c r="U109" s="180"/>
      <c r="V109" s="166"/>
      <c r="W109" s="166"/>
      <c r="X109" s="180" t="e">
        <f t="shared" si="66"/>
        <v>#N/A</v>
      </c>
      <c r="Y109" s="486"/>
      <c r="Z109" s="180"/>
      <c r="AA109" s="166"/>
      <c r="AB109" s="265"/>
      <c r="AC109" s="180" t="e">
        <f t="shared" si="67"/>
        <v>#N/A</v>
      </c>
      <c r="AD109" s="473"/>
      <c r="AE109" s="180"/>
      <c r="AF109" s="166"/>
      <c r="AG109" s="265"/>
      <c r="AH109" s="180" t="e">
        <f t="shared" si="68"/>
        <v>#N/A</v>
      </c>
      <c r="AI109" s="473"/>
      <c r="AJ109" s="180"/>
      <c r="AK109" s="166"/>
      <c r="AL109" s="265"/>
      <c r="AM109" s="180" t="e">
        <f t="shared" si="69"/>
        <v>#N/A</v>
      </c>
      <c r="AN109" s="473"/>
      <c r="AO109" s="180"/>
      <c r="AP109" s="166"/>
      <c r="AQ109" s="265"/>
      <c r="AR109" s="180" t="e">
        <f t="shared" si="70"/>
        <v>#N/A</v>
      </c>
      <c r="AS109" s="473"/>
      <c r="AT109" s="180"/>
      <c r="AU109" s="166"/>
      <c r="AV109" s="265"/>
      <c r="AW109" s="180" t="e">
        <f t="shared" si="71"/>
        <v>#N/A</v>
      </c>
      <c r="AX109" s="473"/>
    </row>
    <row r="110" spans="2:50">
      <c r="B110" s="479"/>
      <c r="C110" s="180">
        <v>4</v>
      </c>
      <c r="D110" s="271"/>
      <c r="E110" s="166"/>
      <c r="F110" s="166"/>
      <c r="G110" s="166"/>
      <c r="H110" s="460"/>
      <c r="I110" s="166" t="e">
        <f t="shared" si="64"/>
        <v>#DIV/0!</v>
      </c>
      <c r="J110" s="166" t="e">
        <f t="shared" si="64"/>
        <v>#DIV/0!</v>
      </c>
      <c r="K110" s="265" t="e">
        <f t="shared" si="64"/>
        <v>#DIV/0!</v>
      </c>
      <c r="L110" s="460"/>
      <c r="M110" s="166" t="e">
        <f>RANK(K110, K$107:$K$121)</f>
        <v>#DIV/0!</v>
      </c>
      <c r="N110" s="462"/>
      <c r="O110" s="462"/>
      <c r="P110" s="180"/>
      <c r="Q110" s="166"/>
      <c r="R110" s="166"/>
      <c r="S110" s="180" t="e">
        <f t="shared" si="65"/>
        <v>#N/A</v>
      </c>
      <c r="T110" s="486"/>
      <c r="U110" s="180"/>
      <c r="V110" s="166"/>
      <c r="W110" s="166"/>
      <c r="X110" s="180" t="e">
        <f t="shared" si="66"/>
        <v>#N/A</v>
      </c>
      <c r="Y110" s="486"/>
      <c r="Z110" s="180"/>
      <c r="AA110" s="166"/>
      <c r="AB110" s="265"/>
      <c r="AC110" s="180" t="e">
        <f t="shared" si="67"/>
        <v>#N/A</v>
      </c>
      <c r="AD110" s="473"/>
      <c r="AE110" s="180"/>
      <c r="AF110" s="166"/>
      <c r="AG110" s="265"/>
      <c r="AH110" s="180" t="e">
        <f t="shared" si="68"/>
        <v>#N/A</v>
      </c>
      <c r="AI110" s="473"/>
      <c r="AJ110" s="180"/>
      <c r="AK110" s="166"/>
      <c r="AL110" s="265"/>
      <c r="AM110" s="180" t="e">
        <f t="shared" si="69"/>
        <v>#N/A</v>
      </c>
      <c r="AN110" s="473"/>
      <c r="AO110" s="180"/>
      <c r="AP110" s="166"/>
      <c r="AQ110" s="265"/>
      <c r="AR110" s="180" t="e">
        <f t="shared" si="70"/>
        <v>#N/A</v>
      </c>
      <c r="AS110" s="473"/>
      <c r="AT110" s="180"/>
      <c r="AU110" s="166"/>
      <c r="AV110" s="265"/>
      <c r="AW110" s="180" t="e">
        <f t="shared" si="71"/>
        <v>#N/A</v>
      </c>
      <c r="AX110" s="473"/>
    </row>
    <row r="111" spans="2:50">
      <c r="B111" s="479"/>
      <c r="C111" s="180">
        <v>5</v>
      </c>
      <c r="D111" s="201"/>
      <c r="E111" s="166"/>
      <c r="F111" s="166"/>
      <c r="G111" s="166"/>
      <c r="H111" s="460"/>
      <c r="I111" s="166" t="e">
        <f t="shared" si="64"/>
        <v>#DIV/0!</v>
      </c>
      <c r="J111" s="166" t="e">
        <f t="shared" si="64"/>
        <v>#DIV/0!</v>
      </c>
      <c r="K111" s="265" t="e">
        <f t="shared" si="64"/>
        <v>#DIV/0!</v>
      </c>
      <c r="L111" s="460"/>
      <c r="M111" s="166" t="e">
        <f>RANK(K111, K$107:$K$121)</f>
        <v>#DIV/0!</v>
      </c>
      <c r="N111" s="462"/>
      <c r="O111" s="462"/>
      <c r="P111" s="180"/>
      <c r="Q111" s="166"/>
      <c r="R111" s="166"/>
      <c r="S111" s="180" t="e">
        <f t="shared" si="65"/>
        <v>#N/A</v>
      </c>
      <c r="T111" s="486"/>
      <c r="U111" s="180"/>
      <c r="V111" s="166"/>
      <c r="W111" s="166"/>
      <c r="X111" s="180" t="e">
        <f t="shared" si="66"/>
        <v>#N/A</v>
      </c>
      <c r="Y111" s="486"/>
      <c r="Z111" s="180"/>
      <c r="AA111" s="166"/>
      <c r="AB111" s="265"/>
      <c r="AC111" s="180" t="e">
        <f t="shared" si="67"/>
        <v>#N/A</v>
      </c>
      <c r="AD111" s="473"/>
      <c r="AE111" s="180"/>
      <c r="AF111" s="166"/>
      <c r="AG111" s="265"/>
      <c r="AH111" s="180" t="e">
        <f t="shared" si="68"/>
        <v>#N/A</v>
      </c>
      <c r="AI111" s="473"/>
      <c r="AJ111" s="180"/>
      <c r="AK111" s="166"/>
      <c r="AL111" s="265"/>
      <c r="AM111" s="180" t="e">
        <f t="shared" si="69"/>
        <v>#N/A</v>
      </c>
      <c r="AN111" s="473"/>
      <c r="AO111" s="180"/>
      <c r="AP111" s="166"/>
      <c r="AQ111" s="265"/>
      <c r="AR111" s="180" t="e">
        <f t="shared" si="70"/>
        <v>#N/A</v>
      </c>
      <c r="AS111" s="473"/>
      <c r="AT111" s="180"/>
      <c r="AU111" s="166"/>
      <c r="AV111" s="265"/>
      <c r="AW111" s="180" t="e">
        <f t="shared" si="71"/>
        <v>#N/A</v>
      </c>
      <c r="AX111" s="473"/>
    </row>
    <row r="112" spans="2:50">
      <c r="B112" s="479"/>
      <c r="C112" s="180">
        <v>6</v>
      </c>
      <c r="D112" s="201"/>
      <c r="E112" s="166"/>
      <c r="F112" s="166"/>
      <c r="G112" s="166"/>
      <c r="H112" s="460"/>
      <c r="I112" s="166" t="e">
        <f t="shared" si="64"/>
        <v>#DIV/0!</v>
      </c>
      <c r="J112" s="166" t="e">
        <f t="shared" si="64"/>
        <v>#DIV/0!</v>
      </c>
      <c r="K112" s="265" t="e">
        <f t="shared" si="64"/>
        <v>#DIV/0!</v>
      </c>
      <c r="L112" s="460"/>
      <c r="M112" s="166" t="e">
        <f>RANK(K112, K$107:$K$121)</f>
        <v>#DIV/0!</v>
      </c>
      <c r="N112" s="462"/>
      <c r="O112" s="462"/>
      <c r="P112" s="180"/>
      <c r="Q112" s="166"/>
      <c r="R112" s="166"/>
      <c r="S112" s="180" t="e">
        <f t="shared" si="65"/>
        <v>#N/A</v>
      </c>
      <c r="T112" s="486"/>
      <c r="U112" s="180"/>
      <c r="V112" s="166"/>
      <c r="W112" s="166"/>
      <c r="X112" s="180" t="e">
        <f t="shared" si="66"/>
        <v>#N/A</v>
      </c>
      <c r="Y112" s="486"/>
      <c r="Z112" s="180"/>
      <c r="AA112" s="166"/>
      <c r="AB112" s="265"/>
      <c r="AC112" s="180" t="e">
        <f t="shared" si="67"/>
        <v>#N/A</v>
      </c>
      <c r="AD112" s="473"/>
      <c r="AE112" s="180"/>
      <c r="AF112" s="166"/>
      <c r="AG112" s="265"/>
      <c r="AH112" s="180" t="e">
        <f t="shared" si="68"/>
        <v>#N/A</v>
      </c>
      <c r="AI112" s="473"/>
      <c r="AJ112" s="180"/>
      <c r="AK112" s="166"/>
      <c r="AL112" s="265"/>
      <c r="AM112" s="180" t="e">
        <f t="shared" si="69"/>
        <v>#N/A</v>
      </c>
      <c r="AN112" s="473"/>
      <c r="AO112" s="180"/>
      <c r="AP112" s="166"/>
      <c r="AQ112" s="265"/>
      <c r="AR112" s="180" t="e">
        <f t="shared" si="70"/>
        <v>#N/A</v>
      </c>
      <c r="AS112" s="473"/>
      <c r="AT112" s="180"/>
      <c r="AU112" s="166"/>
      <c r="AV112" s="265"/>
      <c r="AW112" s="180" t="e">
        <f t="shared" si="71"/>
        <v>#N/A</v>
      </c>
      <c r="AX112" s="473"/>
    </row>
    <row r="113" spans="2:50">
      <c r="B113" s="479"/>
      <c r="C113" s="180">
        <v>7</v>
      </c>
      <c r="D113" s="271"/>
      <c r="E113" s="166"/>
      <c r="F113" s="166"/>
      <c r="G113" s="166"/>
      <c r="H113" s="460"/>
      <c r="I113" s="166" t="e">
        <f t="shared" si="64"/>
        <v>#DIV/0!</v>
      </c>
      <c r="J113" s="166" t="e">
        <f t="shared" si="64"/>
        <v>#DIV/0!</v>
      </c>
      <c r="K113" s="265" t="e">
        <f t="shared" si="64"/>
        <v>#DIV/0!</v>
      </c>
      <c r="L113" s="460"/>
      <c r="M113" s="166" t="e">
        <f>RANK(K113, K$107:$K$121)</f>
        <v>#DIV/0!</v>
      </c>
      <c r="N113" s="462"/>
      <c r="O113" s="462"/>
      <c r="P113" s="180"/>
      <c r="Q113" s="166"/>
      <c r="R113" s="166"/>
      <c r="S113" s="180" t="e">
        <f t="shared" si="65"/>
        <v>#N/A</v>
      </c>
      <c r="T113" s="486"/>
      <c r="U113" s="180"/>
      <c r="V113" s="166"/>
      <c r="W113" s="166"/>
      <c r="X113" s="180" t="e">
        <f t="shared" si="66"/>
        <v>#N/A</v>
      </c>
      <c r="Y113" s="486"/>
      <c r="Z113" s="180"/>
      <c r="AA113" s="166"/>
      <c r="AB113" s="265"/>
      <c r="AC113" s="180" t="e">
        <f t="shared" si="67"/>
        <v>#N/A</v>
      </c>
      <c r="AD113" s="473"/>
      <c r="AE113" s="180"/>
      <c r="AF113" s="166"/>
      <c r="AG113" s="265"/>
      <c r="AH113" s="180" t="e">
        <f t="shared" si="68"/>
        <v>#N/A</v>
      </c>
      <c r="AI113" s="473"/>
      <c r="AJ113" s="180"/>
      <c r="AK113" s="166"/>
      <c r="AL113" s="265"/>
      <c r="AM113" s="180" t="e">
        <f t="shared" si="69"/>
        <v>#N/A</v>
      </c>
      <c r="AN113" s="473"/>
      <c r="AO113" s="180"/>
      <c r="AP113" s="166"/>
      <c r="AQ113" s="265"/>
      <c r="AR113" s="180" t="e">
        <f t="shared" si="70"/>
        <v>#N/A</v>
      </c>
      <c r="AS113" s="473"/>
      <c r="AT113" s="180"/>
      <c r="AU113" s="166"/>
      <c r="AV113" s="265"/>
      <c r="AW113" s="180" t="e">
        <f t="shared" si="71"/>
        <v>#N/A</v>
      </c>
      <c r="AX113" s="473"/>
    </row>
    <row r="114" spans="2:50">
      <c r="B114" s="479"/>
      <c r="C114" s="180">
        <v>8</v>
      </c>
      <c r="D114" s="271"/>
      <c r="E114" s="166"/>
      <c r="F114" s="166"/>
      <c r="G114" s="166"/>
      <c r="H114" s="460"/>
      <c r="I114" s="166" t="e">
        <f t="shared" si="64"/>
        <v>#DIV/0!</v>
      </c>
      <c r="J114" s="166" t="e">
        <f t="shared" si="64"/>
        <v>#DIV/0!</v>
      </c>
      <c r="K114" s="265" t="e">
        <f t="shared" si="64"/>
        <v>#DIV/0!</v>
      </c>
      <c r="L114" s="460"/>
      <c r="M114" s="166" t="e">
        <f>RANK(K114, K$107:$K$121)</f>
        <v>#DIV/0!</v>
      </c>
      <c r="N114" s="462"/>
      <c r="O114" s="462"/>
      <c r="P114" s="180"/>
      <c r="Q114" s="166"/>
      <c r="R114" s="166"/>
      <c r="S114" s="180" t="e">
        <f t="shared" si="65"/>
        <v>#N/A</v>
      </c>
      <c r="T114" s="486"/>
      <c r="U114" s="180"/>
      <c r="V114" s="166"/>
      <c r="W114" s="166"/>
      <c r="X114" s="180" t="e">
        <f t="shared" si="66"/>
        <v>#N/A</v>
      </c>
      <c r="Y114" s="486"/>
      <c r="Z114" s="180"/>
      <c r="AA114" s="166"/>
      <c r="AB114" s="265"/>
      <c r="AC114" s="180" t="e">
        <f t="shared" ref="AC114:AC121" si="72">RANK(AB114, AB$107:AB$121)</f>
        <v>#N/A</v>
      </c>
      <c r="AD114" s="473"/>
      <c r="AE114" s="180"/>
      <c r="AF114" s="166"/>
      <c r="AG114" s="265"/>
      <c r="AH114" s="180" t="e">
        <f t="shared" ref="AH114:AH121" si="73">RANK(AG114, AG$107:AG$121)</f>
        <v>#N/A</v>
      </c>
      <c r="AI114" s="473"/>
      <c r="AJ114" s="180"/>
      <c r="AK114" s="166"/>
      <c r="AL114" s="265"/>
      <c r="AM114" s="180" t="e">
        <f t="shared" ref="AM114:AM121" si="74">RANK(AL114, AL$107:AL$121)</f>
        <v>#N/A</v>
      </c>
      <c r="AN114" s="473"/>
      <c r="AO114" s="180"/>
      <c r="AP114" s="166"/>
      <c r="AQ114" s="265"/>
      <c r="AR114" s="180" t="e">
        <f t="shared" ref="AR114:AR121" si="75">RANK(AQ114, AQ$107:AQ$121)</f>
        <v>#N/A</v>
      </c>
      <c r="AS114" s="473"/>
      <c r="AT114" s="180"/>
      <c r="AU114" s="166"/>
      <c r="AV114" s="265"/>
      <c r="AW114" s="180" t="e">
        <f t="shared" ref="AW114:AW121" si="76">RANK(AV114, AV$107:AV$121)</f>
        <v>#N/A</v>
      </c>
      <c r="AX114" s="473"/>
    </row>
    <row r="115" spans="2:50">
      <c r="B115" s="479"/>
      <c r="C115" s="180">
        <v>9</v>
      </c>
      <c r="D115" s="201"/>
      <c r="E115" s="166"/>
      <c r="F115" s="166"/>
      <c r="G115" s="166"/>
      <c r="H115" s="460"/>
      <c r="I115" s="166"/>
      <c r="J115" s="166"/>
      <c r="K115" s="265"/>
      <c r="L115" s="460"/>
      <c r="M115" s="166" t="e">
        <f>RANK(K115, K$107:$K$121)</f>
        <v>#DIV/0!</v>
      </c>
      <c r="N115" s="462"/>
      <c r="O115" s="462"/>
      <c r="P115" s="180"/>
      <c r="Q115" s="166"/>
      <c r="R115" s="166"/>
      <c r="S115" s="180" t="e">
        <f t="shared" si="65"/>
        <v>#N/A</v>
      </c>
      <c r="T115" s="486"/>
      <c r="U115" s="180"/>
      <c r="V115" s="166"/>
      <c r="W115" s="166"/>
      <c r="X115" s="180" t="e">
        <f t="shared" si="66"/>
        <v>#N/A</v>
      </c>
      <c r="Y115" s="486"/>
      <c r="Z115" s="180"/>
      <c r="AA115" s="166"/>
      <c r="AB115" s="265"/>
      <c r="AC115" s="180" t="e">
        <f t="shared" si="72"/>
        <v>#N/A</v>
      </c>
      <c r="AD115" s="473"/>
      <c r="AE115" s="180"/>
      <c r="AF115" s="166"/>
      <c r="AG115" s="265"/>
      <c r="AH115" s="180" t="e">
        <f t="shared" si="73"/>
        <v>#N/A</v>
      </c>
      <c r="AI115" s="473"/>
      <c r="AJ115" s="180"/>
      <c r="AK115" s="166"/>
      <c r="AL115" s="265"/>
      <c r="AM115" s="180" t="e">
        <f t="shared" si="74"/>
        <v>#N/A</v>
      </c>
      <c r="AN115" s="473"/>
      <c r="AO115" s="180"/>
      <c r="AP115" s="166"/>
      <c r="AQ115" s="265"/>
      <c r="AR115" s="180" t="e">
        <f t="shared" si="75"/>
        <v>#N/A</v>
      </c>
      <c r="AS115" s="473"/>
      <c r="AT115" s="180"/>
      <c r="AU115" s="166"/>
      <c r="AV115" s="265"/>
      <c r="AW115" s="180" t="e">
        <f t="shared" si="76"/>
        <v>#N/A</v>
      </c>
      <c r="AX115" s="473"/>
    </row>
    <row r="116" spans="2:50">
      <c r="B116" s="479"/>
      <c r="C116" s="180">
        <v>10</v>
      </c>
      <c r="D116" s="201"/>
      <c r="E116" s="166"/>
      <c r="F116" s="166"/>
      <c r="G116" s="166"/>
      <c r="H116" s="460"/>
      <c r="I116" s="166"/>
      <c r="J116" s="166"/>
      <c r="K116" s="265"/>
      <c r="L116" s="460"/>
      <c r="M116" s="166" t="e">
        <f>RANK(K116, K$107:$K$121)</f>
        <v>#DIV/0!</v>
      </c>
      <c r="N116" s="462"/>
      <c r="O116" s="462"/>
      <c r="P116" s="180"/>
      <c r="Q116" s="166"/>
      <c r="R116" s="166"/>
      <c r="S116" s="180" t="e">
        <f t="shared" si="65"/>
        <v>#N/A</v>
      </c>
      <c r="T116" s="486"/>
      <c r="U116" s="180"/>
      <c r="V116" s="166"/>
      <c r="W116" s="166"/>
      <c r="X116" s="180" t="e">
        <f t="shared" si="66"/>
        <v>#N/A</v>
      </c>
      <c r="Y116" s="486"/>
      <c r="Z116" s="180"/>
      <c r="AA116" s="166"/>
      <c r="AB116" s="265"/>
      <c r="AC116" s="180" t="e">
        <f t="shared" si="72"/>
        <v>#N/A</v>
      </c>
      <c r="AD116" s="473"/>
      <c r="AE116" s="180"/>
      <c r="AF116" s="166"/>
      <c r="AG116" s="265"/>
      <c r="AH116" s="180" t="e">
        <f t="shared" si="73"/>
        <v>#N/A</v>
      </c>
      <c r="AI116" s="473"/>
      <c r="AJ116" s="180"/>
      <c r="AK116" s="166"/>
      <c r="AL116" s="265"/>
      <c r="AM116" s="180" t="e">
        <f t="shared" si="74"/>
        <v>#N/A</v>
      </c>
      <c r="AN116" s="473"/>
      <c r="AO116" s="180"/>
      <c r="AP116" s="166"/>
      <c r="AQ116" s="265"/>
      <c r="AR116" s="180" t="e">
        <f t="shared" si="75"/>
        <v>#N/A</v>
      </c>
      <c r="AS116" s="473"/>
      <c r="AT116" s="180"/>
      <c r="AU116" s="166"/>
      <c r="AV116" s="265"/>
      <c r="AW116" s="180" t="e">
        <f t="shared" si="76"/>
        <v>#N/A</v>
      </c>
      <c r="AX116" s="473"/>
    </row>
    <row r="117" spans="2:50">
      <c r="B117" s="479"/>
      <c r="C117" s="180">
        <v>11</v>
      </c>
      <c r="D117" s="201"/>
      <c r="E117" s="166" t="s">
        <v>522</v>
      </c>
      <c r="F117" s="166" t="s">
        <v>522</v>
      </c>
      <c r="G117" s="166" t="s">
        <v>522</v>
      </c>
      <c r="H117" s="460"/>
      <c r="I117" s="180"/>
      <c r="J117" s="180"/>
      <c r="K117" s="180"/>
      <c r="L117" s="460"/>
      <c r="M117" s="166" t="e">
        <f>RANK(K117, K$107:$K$121)</f>
        <v>#DIV/0!</v>
      </c>
      <c r="N117" s="462"/>
      <c r="O117" s="462"/>
      <c r="P117" s="180" t="s">
        <v>522</v>
      </c>
      <c r="Q117" s="166" t="s">
        <v>522</v>
      </c>
      <c r="R117" s="166" t="s">
        <v>522</v>
      </c>
      <c r="S117" s="180" t="e">
        <f t="shared" si="65"/>
        <v>#VALUE!</v>
      </c>
      <c r="T117" s="486"/>
      <c r="U117" s="180"/>
      <c r="V117" s="166"/>
      <c r="W117" s="166"/>
      <c r="X117" s="180" t="e">
        <f t="shared" si="66"/>
        <v>#N/A</v>
      </c>
      <c r="Y117" s="486"/>
      <c r="Z117" s="180"/>
      <c r="AA117" s="166"/>
      <c r="AB117" s="265"/>
      <c r="AC117" s="180" t="e">
        <f t="shared" si="72"/>
        <v>#N/A</v>
      </c>
      <c r="AD117" s="473"/>
      <c r="AE117" s="180"/>
      <c r="AF117" s="166"/>
      <c r="AG117" s="265"/>
      <c r="AH117" s="180" t="e">
        <f t="shared" si="73"/>
        <v>#N/A</v>
      </c>
      <c r="AI117" s="473"/>
      <c r="AJ117" s="180"/>
      <c r="AK117" s="166"/>
      <c r="AL117" s="265"/>
      <c r="AM117" s="180" t="e">
        <f t="shared" si="74"/>
        <v>#N/A</v>
      </c>
      <c r="AN117" s="473"/>
      <c r="AO117" s="180"/>
      <c r="AP117" s="166"/>
      <c r="AQ117" s="265"/>
      <c r="AR117" s="180" t="e">
        <f t="shared" si="75"/>
        <v>#N/A</v>
      </c>
      <c r="AS117" s="473"/>
      <c r="AT117" s="180"/>
      <c r="AU117" s="166"/>
      <c r="AV117" s="265"/>
      <c r="AW117" s="180" t="e">
        <f t="shared" si="76"/>
        <v>#N/A</v>
      </c>
      <c r="AX117" s="473"/>
    </row>
    <row r="118" spans="2:50">
      <c r="B118" s="479"/>
      <c r="C118" s="180">
        <v>12</v>
      </c>
      <c r="D118" s="201"/>
      <c r="E118" s="166" t="s">
        <v>522</v>
      </c>
      <c r="F118" s="166" t="s">
        <v>522</v>
      </c>
      <c r="G118" s="166" t="s">
        <v>522</v>
      </c>
      <c r="H118" s="460"/>
      <c r="I118" s="180"/>
      <c r="J118" s="180"/>
      <c r="K118" s="180"/>
      <c r="L118" s="460"/>
      <c r="M118" s="166" t="e">
        <f>RANK(K118, K$107:$K$121)</f>
        <v>#DIV/0!</v>
      </c>
      <c r="N118" s="462"/>
      <c r="O118" s="462"/>
      <c r="P118" s="180" t="s">
        <v>522</v>
      </c>
      <c r="Q118" s="166" t="s">
        <v>522</v>
      </c>
      <c r="R118" s="166" t="s">
        <v>522</v>
      </c>
      <c r="S118" s="180" t="e">
        <f t="shared" si="65"/>
        <v>#VALUE!</v>
      </c>
      <c r="T118" s="486"/>
      <c r="U118" s="180" t="s">
        <v>522</v>
      </c>
      <c r="V118" s="166" t="s">
        <v>522</v>
      </c>
      <c r="W118" s="166" t="s">
        <v>522</v>
      </c>
      <c r="X118" s="180" t="e">
        <f t="shared" si="66"/>
        <v>#VALUE!</v>
      </c>
      <c r="Y118" s="486"/>
      <c r="Z118" s="180"/>
      <c r="AA118" s="166"/>
      <c r="AB118" s="265"/>
      <c r="AC118" s="180" t="e">
        <f t="shared" si="72"/>
        <v>#N/A</v>
      </c>
      <c r="AD118" s="473"/>
      <c r="AE118" s="180"/>
      <c r="AF118" s="166"/>
      <c r="AG118" s="265"/>
      <c r="AH118" s="180" t="e">
        <f t="shared" si="73"/>
        <v>#N/A</v>
      </c>
      <c r="AI118" s="473"/>
      <c r="AJ118" s="180"/>
      <c r="AK118" s="166"/>
      <c r="AL118" s="265"/>
      <c r="AM118" s="180" t="e">
        <f t="shared" si="74"/>
        <v>#N/A</v>
      </c>
      <c r="AN118" s="473"/>
      <c r="AO118" s="180"/>
      <c r="AP118" s="166"/>
      <c r="AQ118" s="265"/>
      <c r="AR118" s="180" t="e">
        <f t="shared" si="75"/>
        <v>#N/A</v>
      </c>
      <c r="AS118" s="473"/>
      <c r="AT118" s="180"/>
      <c r="AU118" s="166"/>
      <c r="AV118" s="265"/>
      <c r="AW118" s="180" t="e">
        <f t="shared" si="76"/>
        <v>#N/A</v>
      </c>
      <c r="AX118" s="473"/>
    </row>
    <row r="119" spans="2:50">
      <c r="B119" s="479"/>
      <c r="C119" s="180">
        <v>13</v>
      </c>
      <c r="D119" s="201"/>
      <c r="E119" s="166" t="s">
        <v>522</v>
      </c>
      <c r="F119" s="166" t="s">
        <v>522</v>
      </c>
      <c r="G119" s="166" t="s">
        <v>522</v>
      </c>
      <c r="H119" s="460"/>
      <c r="I119" s="180"/>
      <c r="J119" s="180"/>
      <c r="K119" s="180"/>
      <c r="L119" s="460"/>
      <c r="M119" s="166" t="e">
        <f>RANK(K119, K$107:$K$121)</f>
        <v>#DIV/0!</v>
      </c>
      <c r="N119" s="462"/>
      <c r="O119" s="462"/>
      <c r="P119" s="180" t="s">
        <v>522</v>
      </c>
      <c r="Q119" s="166" t="s">
        <v>522</v>
      </c>
      <c r="R119" s="166" t="s">
        <v>522</v>
      </c>
      <c r="S119" s="180" t="e">
        <f t="shared" si="65"/>
        <v>#VALUE!</v>
      </c>
      <c r="T119" s="486"/>
      <c r="U119" s="180" t="s">
        <v>522</v>
      </c>
      <c r="V119" s="166" t="s">
        <v>522</v>
      </c>
      <c r="W119" s="166" t="s">
        <v>522</v>
      </c>
      <c r="X119" s="180" t="e">
        <f t="shared" si="66"/>
        <v>#VALUE!</v>
      </c>
      <c r="Y119" s="486"/>
      <c r="Z119" s="180"/>
      <c r="AA119" s="166"/>
      <c r="AB119" s="265"/>
      <c r="AC119" s="180" t="e">
        <f t="shared" si="72"/>
        <v>#N/A</v>
      </c>
      <c r="AD119" s="473"/>
      <c r="AE119" s="180"/>
      <c r="AF119" s="166"/>
      <c r="AG119" s="265"/>
      <c r="AH119" s="180" t="e">
        <f t="shared" si="73"/>
        <v>#N/A</v>
      </c>
      <c r="AI119" s="473"/>
      <c r="AJ119" s="180"/>
      <c r="AK119" s="166"/>
      <c r="AL119" s="265"/>
      <c r="AM119" s="180" t="e">
        <f t="shared" si="74"/>
        <v>#N/A</v>
      </c>
      <c r="AN119" s="473"/>
      <c r="AO119" s="180"/>
      <c r="AP119" s="166"/>
      <c r="AQ119" s="265"/>
      <c r="AR119" s="180" t="e">
        <f t="shared" si="75"/>
        <v>#N/A</v>
      </c>
      <c r="AS119" s="473"/>
      <c r="AT119" s="180"/>
      <c r="AU119" s="166"/>
      <c r="AV119" s="265"/>
      <c r="AW119" s="180" t="e">
        <f t="shared" si="76"/>
        <v>#N/A</v>
      </c>
      <c r="AX119" s="473"/>
    </row>
    <row r="120" spans="2:50">
      <c r="B120" s="479"/>
      <c r="C120" s="180">
        <v>14</v>
      </c>
      <c r="D120" s="201"/>
      <c r="E120" s="166" t="s">
        <v>522</v>
      </c>
      <c r="F120" s="166" t="s">
        <v>522</v>
      </c>
      <c r="G120" s="166" t="s">
        <v>522</v>
      </c>
      <c r="H120" s="460"/>
      <c r="I120" s="180"/>
      <c r="J120" s="180"/>
      <c r="K120" s="180"/>
      <c r="L120" s="460"/>
      <c r="M120" s="166" t="e">
        <f>RANK(K120, K$107:$K$121)</f>
        <v>#DIV/0!</v>
      </c>
      <c r="N120" s="462"/>
      <c r="O120" s="462"/>
      <c r="P120" s="180" t="s">
        <v>522</v>
      </c>
      <c r="Q120" s="166" t="s">
        <v>522</v>
      </c>
      <c r="R120" s="166" t="s">
        <v>522</v>
      </c>
      <c r="S120" s="180" t="e">
        <f t="shared" si="65"/>
        <v>#VALUE!</v>
      </c>
      <c r="T120" s="486"/>
      <c r="U120" s="180" t="s">
        <v>522</v>
      </c>
      <c r="V120" s="166" t="s">
        <v>522</v>
      </c>
      <c r="W120" s="166" t="s">
        <v>522</v>
      </c>
      <c r="X120" s="180" t="e">
        <f t="shared" si="66"/>
        <v>#VALUE!</v>
      </c>
      <c r="Y120" s="486"/>
      <c r="Z120" s="180"/>
      <c r="AA120" s="166"/>
      <c r="AB120" s="265"/>
      <c r="AC120" s="180" t="e">
        <f t="shared" si="72"/>
        <v>#N/A</v>
      </c>
      <c r="AD120" s="473"/>
      <c r="AE120" s="180"/>
      <c r="AF120" s="166"/>
      <c r="AG120" s="265"/>
      <c r="AH120" s="180" t="e">
        <f t="shared" si="73"/>
        <v>#N/A</v>
      </c>
      <c r="AI120" s="473"/>
      <c r="AJ120" s="180"/>
      <c r="AK120" s="166"/>
      <c r="AL120" s="265"/>
      <c r="AM120" s="180" t="e">
        <f t="shared" si="74"/>
        <v>#N/A</v>
      </c>
      <c r="AN120" s="473"/>
      <c r="AO120" s="180"/>
      <c r="AP120" s="166"/>
      <c r="AQ120" s="265"/>
      <c r="AR120" s="180" t="e">
        <f t="shared" si="75"/>
        <v>#N/A</v>
      </c>
      <c r="AS120" s="473"/>
      <c r="AT120" s="180"/>
      <c r="AU120" s="166"/>
      <c r="AV120" s="265"/>
      <c r="AW120" s="180" t="e">
        <f t="shared" si="76"/>
        <v>#N/A</v>
      </c>
      <c r="AX120" s="473"/>
    </row>
    <row r="121" spans="2:50">
      <c r="B121" s="479"/>
      <c r="C121" s="180">
        <v>15</v>
      </c>
      <c r="D121" s="201"/>
      <c r="E121" s="166" t="s">
        <v>522</v>
      </c>
      <c r="F121" s="166" t="s">
        <v>522</v>
      </c>
      <c r="G121" s="166" t="s">
        <v>522</v>
      </c>
      <c r="H121" s="461"/>
      <c r="I121" s="180"/>
      <c r="J121" s="180"/>
      <c r="K121" s="180"/>
      <c r="L121" s="461"/>
      <c r="M121" s="166" t="e">
        <f>RANK(K121, K$107:$K$121)</f>
        <v>#DIV/0!</v>
      </c>
      <c r="N121" s="462"/>
      <c r="O121" s="462"/>
      <c r="P121" s="180" t="s">
        <v>522</v>
      </c>
      <c r="Q121" s="166" t="s">
        <v>522</v>
      </c>
      <c r="R121" s="166" t="s">
        <v>522</v>
      </c>
      <c r="S121" s="180" t="e">
        <f t="shared" si="65"/>
        <v>#VALUE!</v>
      </c>
      <c r="T121" s="486"/>
      <c r="U121" s="180" t="s">
        <v>522</v>
      </c>
      <c r="V121" s="166" t="s">
        <v>522</v>
      </c>
      <c r="W121" s="166" t="s">
        <v>522</v>
      </c>
      <c r="X121" s="180" t="e">
        <f t="shared" si="66"/>
        <v>#VALUE!</v>
      </c>
      <c r="Y121" s="486"/>
      <c r="Z121" s="180"/>
      <c r="AA121" s="166"/>
      <c r="AB121" s="265"/>
      <c r="AC121" s="180" t="e">
        <f t="shared" si="72"/>
        <v>#N/A</v>
      </c>
      <c r="AD121" s="474"/>
      <c r="AE121" s="180"/>
      <c r="AF121" s="166"/>
      <c r="AG121" s="265"/>
      <c r="AH121" s="180" t="e">
        <f t="shared" si="73"/>
        <v>#N/A</v>
      </c>
      <c r="AI121" s="474"/>
      <c r="AJ121" s="180"/>
      <c r="AK121" s="166"/>
      <c r="AL121" s="265"/>
      <c r="AM121" s="180" t="e">
        <f t="shared" si="74"/>
        <v>#N/A</v>
      </c>
      <c r="AN121" s="474"/>
      <c r="AO121" s="180"/>
      <c r="AP121" s="166"/>
      <c r="AQ121" s="265"/>
      <c r="AR121" s="180" t="e">
        <f t="shared" si="75"/>
        <v>#N/A</v>
      </c>
      <c r="AS121" s="474"/>
      <c r="AT121" s="180"/>
      <c r="AU121" s="166"/>
      <c r="AV121" s="265"/>
      <c r="AW121" s="180" t="e">
        <f t="shared" si="76"/>
        <v>#N/A</v>
      </c>
      <c r="AX121" s="474"/>
    </row>
    <row r="123" spans="2:50" ht="15.75">
      <c r="B123" s="502" t="s">
        <v>441</v>
      </c>
      <c r="C123" s="503"/>
      <c r="D123" s="503"/>
      <c r="E123" s="503"/>
      <c r="F123" s="503"/>
      <c r="G123" s="503"/>
      <c r="H123" s="503"/>
      <c r="I123" s="266"/>
      <c r="J123" s="266"/>
      <c r="K123" s="266"/>
      <c r="L123" s="266"/>
      <c r="M123" s="267"/>
    </row>
    <row r="124" spans="2:50" ht="15.75">
      <c r="B124" s="504"/>
      <c r="C124" s="504"/>
      <c r="D124" s="504"/>
      <c r="E124" s="504"/>
      <c r="F124" s="504"/>
      <c r="G124" s="504"/>
      <c r="H124" s="504"/>
      <c r="I124" s="268"/>
      <c r="J124" s="268"/>
      <c r="K124" s="268"/>
      <c r="L124" s="268"/>
      <c r="M124" s="269"/>
    </row>
    <row r="125" spans="2:50">
      <c r="B125" s="462" t="s">
        <v>442</v>
      </c>
      <c r="C125" s="462" t="s">
        <v>443</v>
      </c>
      <c r="D125" s="462"/>
      <c r="E125" s="462" t="s">
        <v>444</v>
      </c>
      <c r="F125" s="462"/>
      <c r="G125" s="462"/>
      <c r="H125" s="463" t="s">
        <v>445</v>
      </c>
      <c r="I125" s="505" t="s">
        <v>446</v>
      </c>
      <c r="J125" s="505"/>
      <c r="K125" s="505"/>
      <c r="L125" s="519" t="s">
        <v>445</v>
      </c>
      <c r="M125" s="522" t="s">
        <v>447</v>
      </c>
    </row>
    <row r="126" spans="2:50">
      <c r="B126" s="462"/>
      <c r="C126" s="462"/>
      <c r="D126" s="462"/>
      <c r="E126" s="462" t="s">
        <v>448</v>
      </c>
      <c r="F126" s="462"/>
      <c r="G126" s="462"/>
      <c r="H126" s="464"/>
      <c r="I126" s="505" t="s">
        <v>448</v>
      </c>
      <c r="J126" s="505"/>
      <c r="K126" s="505"/>
      <c r="L126" s="520"/>
      <c r="M126" s="523"/>
    </row>
    <row r="127" spans="2:50">
      <c r="B127" s="462"/>
      <c r="C127" s="462"/>
      <c r="D127" s="462"/>
      <c r="E127" s="264" t="s">
        <v>449</v>
      </c>
      <c r="F127" s="264" t="s">
        <v>450</v>
      </c>
      <c r="G127" s="264" t="s">
        <v>451</v>
      </c>
      <c r="H127" s="465"/>
      <c r="I127" s="270" t="s">
        <v>449</v>
      </c>
      <c r="J127" s="270" t="s">
        <v>450</v>
      </c>
      <c r="K127" s="270" t="s">
        <v>451</v>
      </c>
      <c r="L127" s="521"/>
      <c r="M127" s="524"/>
    </row>
    <row r="128" spans="2:50">
      <c r="B128" s="462" t="s">
        <v>452</v>
      </c>
      <c r="C128" s="180">
        <v>1</v>
      </c>
      <c r="D128" s="201" t="s">
        <v>383</v>
      </c>
      <c r="E128" s="166">
        <v>7</v>
      </c>
      <c r="F128" s="180">
        <v>1500</v>
      </c>
      <c r="G128" s="265">
        <v>214.28571428571428</v>
      </c>
      <c r="H128" s="459">
        <f>AVERAGE(G128:G142)</f>
        <v>123.60609243697479</v>
      </c>
      <c r="I128" s="166">
        <f t="shared" ref="I128:J135" si="77">AVERAGEIF($D$7:$D$121,$D128,I$7:I$121)</f>
        <v>6.8114285714285714</v>
      </c>
      <c r="J128" s="166">
        <f t="shared" si="77"/>
        <v>1319.9744934866344</v>
      </c>
      <c r="K128" s="166">
        <f t="shared" ref="K128:K135" si="78">AVERAGEIF($D$7:$D$121,$D128,K$7:K$121)</f>
        <v>194.52669921611974</v>
      </c>
      <c r="L128" s="516">
        <f>AVERAGE(K128:K142)</f>
        <v>116.81509987176437</v>
      </c>
      <c r="M128" s="166">
        <f>RANK(K128, K$128:$K$142)</f>
        <v>3</v>
      </c>
    </row>
    <row r="129" spans="2:13">
      <c r="B129" s="479"/>
      <c r="C129" s="180">
        <v>2</v>
      </c>
      <c r="D129" s="201" t="s">
        <v>384</v>
      </c>
      <c r="E129" s="166">
        <v>7</v>
      </c>
      <c r="F129" s="180">
        <v>1500</v>
      </c>
      <c r="G129" s="265">
        <v>214.28571428571428</v>
      </c>
      <c r="H129" s="460"/>
      <c r="I129" s="166">
        <f t="shared" si="77"/>
        <v>6.8114285714285714</v>
      </c>
      <c r="J129" s="166">
        <f t="shared" si="77"/>
        <v>1462.3479351049505</v>
      </c>
      <c r="K129" s="166">
        <f t="shared" si="78"/>
        <v>215.44008984635042</v>
      </c>
      <c r="L129" s="517"/>
      <c r="M129" s="166">
        <f>RANK(K129, K$128:$K$142)</f>
        <v>2</v>
      </c>
    </row>
    <row r="130" spans="2:13">
      <c r="B130" s="479"/>
      <c r="C130" s="180">
        <v>3</v>
      </c>
      <c r="D130" s="201" t="s">
        <v>338</v>
      </c>
      <c r="E130" s="166">
        <v>20</v>
      </c>
      <c r="F130" s="180">
        <v>1500</v>
      </c>
      <c r="G130" s="265">
        <v>75</v>
      </c>
      <c r="H130" s="460"/>
      <c r="I130" s="166">
        <f t="shared" si="77"/>
        <v>18.542857142857141</v>
      </c>
      <c r="J130" s="166">
        <f t="shared" si="77"/>
        <v>1274.7074172240189</v>
      </c>
      <c r="K130" s="166">
        <f t="shared" si="78"/>
        <v>68.782497993274347</v>
      </c>
      <c r="L130" s="517"/>
      <c r="M130" s="166">
        <f>RANK(K130, K$128:$K$142)</f>
        <v>5</v>
      </c>
    </row>
    <row r="131" spans="2:13">
      <c r="B131" s="479"/>
      <c r="C131" s="180">
        <v>4</v>
      </c>
      <c r="D131" s="201" t="s">
        <v>385</v>
      </c>
      <c r="E131" s="166">
        <v>17</v>
      </c>
      <c r="F131" s="180">
        <v>1440</v>
      </c>
      <c r="G131" s="265">
        <v>84.705882352941174</v>
      </c>
      <c r="H131" s="460"/>
      <c r="I131" s="166">
        <f t="shared" si="77"/>
        <v>16.731428571428573</v>
      </c>
      <c r="J131" s="166">
        <f t="shared" si="77"/>
        <v>1151.501994644889</v>
      </c>
      <c r="K131" s="166">
        <f t="shared" si="78"/>
        <v>68.876672157345624</v>
      </c>
      <c r="L131" s="517"/>
      <c r="M131" s="166">
        <f>RANK(K131, K$128:$K$142)</f>
        <v>4</v>
      </c>
    </row>
    <row r="132" spans="2:13">
      <c r="B132" s="479"/>
      <c r="C132" s="180">
        <v>5</v>
      </c>
      <c r="D132" s="201" t="s">
        <v>420</v>
      </c>
      <c r="E132" s="166">
        <v>7</v>
      </c>
      <c r="F132" s="180">
        <v>1500</v>
      </c>
      <c r="G132" s="265">
        <v>214.28571428571428</v>
      </c>
      <c r="H132" s="460"/>
      <c r="I132" s="166">
        <f t="shared" si="77"/>
        <v>6.8114285714285714</v>
      </c>
      <c r="J132" s="166">
        <f t="shared" si="77"/>
        <v>1468.7838941685218</v>
      </c>
      <c r="K132" s="166">
        <f t="shared" si="78"/>
        <v>216.469726232011</v>
      </c>
      <c r="L132" s="517"/>
      <c r="M132" s="166">
        <f>RANK(K132, K$128:$K$142)</f>
        <v>1</v>
      </c>
    </row>
    <row r="133" spans="2:13">
      <c r="B133" s="479"/>
      <c r="C133" s="180">
        <v>6</v>
      </c>
      <c r="D133" s="271" t="s">
        <v>440</v>
      </c>
      <c r="E133" s="166">
        <v>20</v>
      </c>
      <c r="F133" s="180">
        <v>1440</v>
      </c>
      <c r="G133" s="265">
        <v>72</v>
      </c>
      <c r="H133" s="460"/>
      <c r="I133" s="166">
        <f t="shared" si="77"/>
        <v>18.442857142857143</v>
      </c>
      <c r="J133" s="166">
        <f t="shared" si="77"/>
        <v>1256.0768051259013</v>
      </c>
      <c r="K133" s="166">
        <f t="shared" si="78"/>
        <v>68.16120165356125</v>
      </c>
      <c r="L133" s="517"/>
      <c r="M133" s="166">
        <f>RANK(K133, K$128:$K$142)</f>
        <v>6</v>
      </c>
    </row>
    <row r="134" spans="2:13">
      <c r="B134" s="479"/>
      <c r="C134" s="180">
        <v>7</v>
      </c>
      <c r="D134" s="201" t="s">
        <v>453</v>
      </c>
      <c r="E134" s="166">
        <v>21</v>
      </c>
      <c r="F134" s="180">
        <v>1200</v>
      </c>
      <c r="G134" s="265">
        <v>57.142857142857146</v>
      </c>
      <c r="H134" s="460"/>
      <c r="I134" s="166">
        <f t="shared" si="77"/>
        <v>19.474285714285713</v>
      </c>
      <c r="J134" s="166">
        <f t="shared" si="77"/>
        <v>1061.9355099763779</v>
      </c>
      <c r="K134" s="166">
        <f t="shared" si="78"/>
        <v>54.643838333940302</v>
      </c>
      <c r="L134" s="517"/>
      <c r="M134" s="166">
        <f>RANK(K134, K$128:$K$142)</f>
        <v>7</v>
      </c>
    </row>
    <row r="135" spans="2:13">
      <c r="B135" s="479"/>
      <c r="C135" s="180">
        <v>8</v>
      </c>
      <c r="D135" s="201" t="s">
        <v>526</v>
      </c>
      <c r="E135" s="166">
        <v>21</v>
      </c>
      <c r="F135" s="180">
        <v>1200</v>
      </c>
      <c r="G135" s="265">
        <v>57.142857142857146</v>
      </c>
      <c r="H135" s="460"/>
      <c r="I135" s="166">
        <f t="shared" si="77"/>
        <v>20</v>
      </c>
      <c r="J135" s="166">
        <f t="shared" si="77"/>
        <v>952.40147083024567</v>
      </c>
      <c r="K135" s="166">
        <f t="shared" si="78"/>
        <v>47.620073541512284</v>
      </c>
      <c r="L135" s="517"/>
      <c r="M135" s="166">
        <f>RANK(K135, K$128:$K$142)</f>
        <v>8</v>
      </c>
    </row>
    <row r="136" spans="2:13">
      <c r="B136" s="479"/>
      <c r="C136" s="180">
        <v>9</v>
      </c>
      <c r="D136" s="201"/>
      <c r="E136" s="180"/>
      <c r="F136" s="180"/>
      <c r="G136" s="180"/>
      <c r="H136" s="460"/>
      <c r="I136" s="166"/>
      <c r="J136" s="166"/>
      <c r="K136" s="166"/>
      <c r="L136" s="517"/>
      <c r="M136" s="166" t="e">
        <f>RANK(K136, K$128:$K$142)</f>
        <v>#N/A</v>
      </c>
    </row>
    <row r="137" spans="2:13">
      <c r="B137" s="479"/>
      <c r="C137" s="180">
        <v>10</v>
      </c>
      <c r="D137" s="201"/>
      <c r="E137" s="180"/>
      <c r="F137" s="180"/>
      <c r="G137" s="180"/>
      <c r="H137" s="460"/>
      <c r="I137" s="166"/>
      <c r="J137" s="166"/>
      <c r="K137" s="166"/>
      <c r="L137" s="517"/>
      <c r="M137" s="166" t="e">
        <f>RANK(K137, K$128:$K$142)</f>
        <v>#N/A</v>
      </c>
    </row>
    <row r="138" spans="2:13">
      <c r="B138" s="479"/>
      <c r="C138" s="180">
        <v>11</v>
      </c>
      <c r="D138" s="201"/>
      <c r="E138" s="180"/>
      <c r="F138" s="180"/>
      <c r="G138" s="180"/>
      <c r="H138" s="460"/>
      <c r="I138" s="166"/>
      <c r="J138" s="166"/>
      <c r="K138" s="166"/>
      <c r="L138" s="517"/>
      <c r="M138" s="166" t="e">
        <f>RANK(K138, K$128:$K$142)</f>
        <v>#N/A</v>
      </c>
    </row>
    <row r="139" spans="2:13">
      <c r="B139" s="479"/>
      <c r="C139" s="180">
        <v>12</v>
      </c>
      <c r="D139" s="201"/>
      <c r="E139" s="180"/>
      <c r="F139" s="180"/>
      <c r="G139" s="180"/>
      <c r="H139" s="460"/>
      <c r="I139" s="166"/>
      <c r="J139" s="166"/>
      <c r="K139" s="166"/>
      <c r="L139" s="517"/>
      <c r="M139" s="166" t="e">
        <f>RANK(K139, K$128:$K$142)</f>
        <v>#N/A</v>
      </c>
    </row>
    <row r="140" spans="2:13">
      <c r="B140" s="479"/>
      <c r="C140" s="180">
        <v>13</v>
      </c>
      <c r="D140" s="201"/>
      <c r="E140" s="180"/>
      <c r="F140" s="180"/>
      <c r="G140" s="180"/>
      <c r="H140" s="460"/>
      <c r="I140" s="166"/>
      <c r="J140" s="166"/>
      <c r="K140" s="166"/>
      <c r="L140" s="517"/>
      <c r="M140" s="166" t="e">
        <f>RANK(K140, K$128:$K$142)</f>
        <v>#N/A</v>
      </c>
    </row>
    <row r="141" spans="2:13">
      <c r="B141" s="479"/>
      <c r="C141" s="180">
        <v>14</v>
      </c>
      <c r="D141" s="201"/>
      <c r="E141" s="180"/>
      <c r="F141" s="180"/>
      <c r="G141" s="180"/>
      <c r="H141" s="460"/>
      <c r="I141" s="166"/>
      <c r="J141" s="166"/>
      <c r="K141" s="166"/>
      <c r="L141" s="517"/>
      <c r="M141" s="166" t="e">
        <f>RANK(K141, K$128:$K$142)</f>
        <v>#N/A</v>
      </c>
    </row>
    <row r="142" spans="2:13">
      <c r="B142" s="479"/>
      <c r="C142" s="180">
        <v>15</v>
      </c>
      <c r="D142" s="201"/>
      <c r="E142" s="180"/>
      <c r="F142" s="180"/>
      <c r="G142" s="180"/>
      <c r="H142" s="461"/>
      <c r="I142" s="166"/>
      <c r="J142" s="166"/>
      <c r="K142" s="166"/>
      <c r="L142" s="518"/>
      <c r="M142" s="166" t="e">
        <f>RANK(K142, K$128:$K$142)</f>
        <v>#N/A</v>
      </c>
    </row>
  </sheetData>
  <mergeCells count="367">
    <mergeCell ref="B128:B142"/>
    <mergeCell ref="H128:H142"/>
    <mergeCell ref="L128:L142"/>
    <mergeCell ref="AX107:AX121"/>
    <mergeCell ref="B123:H124"/>
    <mergeCell ref="B125:B127"/>
    <mergeCell ref="C125:D127"/>
    <mergeCell ref="E125:G125"/>
    <mergeCell ref="H125:H127"/>
    <mergeCell ref="I125:K125"/>
    <mergeCell ref="L125:L127"/>
    <mergeCell ref="M125:M127"/>
    <mergeCell ref="E126:G126"/>
    <mergeCell ref="I126:K126"/>
    <mergeCell ref="B107:B121"/>
    <mergeCell ref="H107:H121"/>
    <mergeCell ref="L107:L121"/>
    <mergeCell ref="T107:T121"/>
    <mergeCell ref="Y107:Y121"/>
    <mergeCell ref="AD107:AD121"/>
    <mergeCell ref="AI107:AI121"/>
    <mergeCell ref="AN107:AN121"/>
    <mergeCell ref="AS107:AS121"/>
    <mergeCell ref="AI104:AI106"/>
    <mergeCell ref="AJ104:AM104"/>
    <mergeCell ref="AN104:AN106"/>
    <mergeCell ref="AO104:AR104"/>
    <mergeCell ref="AS104:AS106"/>
    <mergeCell ref="AT104:AW104"/>
    <mergeCell ref="AX104:AX106"/>
    <mergeCell ref="E105:G105"/>
    <mergeCell ref="I105:K105"/>
    <mergeCell ref="P105:S105"/>
    <mergeCell ref="U105:X105"/>
    <mergeCell ref="Z105:AC105"/>
    <mergeCell ref="AE105:AH105"/>
    <mergeCell ref="AJ105:AM105"/>
    <mergeCell ref="AO105:AR105"/>
    <mergeCell ref="AT105:AW105"/>
    <mergeCell ref="AT102:AX102"/>
    <mergeCell ref="P103:T103"/>
    <mergeCell ref="U103:Y103"/>
    <mergeCell ref="Z103:AD103"/>
    <mergeCell ref="AE103:AI103"/>
    <mergeCell ref="AJ103:AN103"/>
    <mergeCell ref="AO103:AS103"/>
    <mergeCell ref="AT103:AX103"/>
    <mergeCell ref="B104:B106"/>
    <mergeCell ref="C104:D106"/>
    <mergeCell ref="E104:G104"/>
    <mergeCell ref="H104:H106"/>
    <mergeCell ref="I104:K104"/>
    <mergeCell ref="L104:L106"/>
    <mergeCell ref="M104:M106"/>
    <mergeCell ref="N104:N121"/>
    <mergeCell ref="O104:O121"/>
    <mergeCell ref="P104:S104"/>
    <mergeCell ref="T104:T106"/>
    <mergeCell ref="U104:X104"/>
    <mergeCell ref="Y104:Y106"/>
    <mergeCell ref="Z104:AC104"/>
    <mergeCell ref="AD104:AD106"/>
    <mergeCell ref="AE104:AH104"/>
    <mergeCell ref="B102:H103"/>
    <mergeCell ref="N102:N103"/>
    <mergeCell ref="O102:O103"/>
    <mergeCell ref="P102:T102"/>
    <mergeCell ref="U102:Y102"/>
    <mergeCell ref="Z102:AD102"/>
    <mergeCell ref="AE102:AI102"/>
    <mergeCell ref="AJ102:AN102"/>
    <mergeCell ref="AO102:AS102"/>
    <mergeCell ref="AE2:AI2"/>
    <mergeCell ref="AJ2:AN2"/>
    <mergeCell ref="AO2:AS2"/>
    <mergeCell ref="AT2:AX2"/>
    <mergeCell ref="P3:T3"/>
    <mergeCell ref="U3:Y3"/>
    <mergeCell ref="Z3:AD3"/>
    <mergeCell ref="AE3:AI3"/>
    <mergeCell ref="AJ3:AN3"/>
    <mergeCell ref="AO3:AS3"/>
    <mergeCell ref="P2:T2"/>
    <mergeCell ref="U2:Y2"/>
    <mergeCell ref="Z2:AD2"/>
    <mergeCell ref="AT3:AX3"/>
    <mergeCell ref="B2:H3"/>
    <mergeCell ref="N2:N3"/>
    <mergeCell ref="O2:O3"/>
    <mergeCell ref="AT4:AW4"/>
    <mergeCell ref="AX4:AX6"/>
    <mergeCell ref="E5:G5"/>
    <mergeCell ref="I5:K5"/>
    <mergeCell ref="P5:S5"/>
    <mergeCell ref="U5:X5"/>
    <mergeCell ref="Z5:AC5"/>
    <mergeCell ref="AE5:AH5"/>
    <mergeCell ref="AJ5:AM5"/>
    <mergeCell ref="AO5:AR5"/>
    <mergeCell ref="AE4:AH4"/>
    <mergeCell ref="AI4:AI6"/>
    <mergeCell ref="AJ4:AM4"/>
    <mergeCell ref="AN4:AN6"/>
    <mergeCell ref="AO4:AR4"/>
    <mergeCell ref="AS4:AS6"/>
    <mergeCell ref="P4:S4"/>
    <mergeCell ref="T4:T6"/>
    <mergeCell ref="U4:X4"/>
    <mergeCell ref="Y4:Y6"/>
    <mergeCell ref="Z4:AC4"/>
    <mergeCell ref="AD4:AD6"/>
    <mergeCell ref="AT5:AW5"/>
    <mergeCell ref="B7:B21"/>
    <mergeCell ref="H7:H21"/>
    <mergeCell ref="L7:L21"/>
    <mergeCell ref="T7:T21"/>
    <mergeCell ref="Y7:Y21"/>
    <mergeCell ref="AD7:AD21"/>
    <mergeCell ref="AI7:AI21"/>
    <mergeCell ref="AN7:AN21"/>
    <mergeCell ref="AS7:AS21"/>
    <mergeCell ref="B4:B6"/>
    <mergeCell ref="C4:D6"/>
    <mergeCell ref="E4:G4"/>
    <mergeCell ref="H4:H6"/>
    <mergeCell ref="I4:K4"/>
    <mergeCell ref="L4:L6"/>
    <mergeCell ref="M4:M6"/>
    <mergeCell ref="N4:N21"/>
    <mergeCell ref="O4:O21"/>
    <mergeCell ref="B22:H23"/>
    <mergeCell ref="N22:N23"/>
    <mergeCell ref="O22:O23"/>
    <mergeCell ref="P22:T22"/>
    <mergeCell ref="U22:Y22"/>
    <mergeCell ref="Z22:AD22"/>
    <mergeCell ref="AE22:AI22"/>
    <mergeCell ref="AJ22:AN22"/>
    <mergeCell ref="AO22:AS22"/>
    <mergeCell ref="AT22:AX22"/>
    <mergeCell ref="P23:T23"/>
    <mergeCell ref="U23:Y23"/>
    <mergeCell ref="Z23:AD23"/>
    <mergeCell ref="AE23:AI23"/>
    <mergeCell ref="AJ23:AN23"/>
    <mergeCell ref="AO23:AS23"/>
    <mergeCell ref="AT23:AX23"/>
    <mergeCell ref="AX7:AX21"/>
    <mergeCell ref="AX24:AX26"/>
    <mergeCell ref="E25:G25"/>
    <mergeCell ref="I25:K25"/>
    <mergeCell ref="P25:S25"/>
    <mergeCell ref="U25:X25"/>
    <mergeCell ref="Z25:AC25"/>
    <mergeCell ref="Y24:Y26"/>
    <mergeCell ref="Z24:AC24"/>
    <mergeCell ref="AD24:AD26"/>
    <mergeCell ref="AE24:AH24"/>
    <mergeCell ref="AI24:AI26"/>
    <mergeCell ref="AJ24:AM24"/>
    <mergeCell ref="AE25:AH25"/>
    <mergeCell ref="AJ25:AM25"/>
    <mergeCell ref="M24:M26"/>
    <mergeCell ref="N24:N41"/>
    <mergeCell ref="O24:O41"/>
    <mergeCell ref="P24:S24"/>
    <mergeCell ref="T24:T26"/>
    <mergeCell ref="U24:X24"/>
    <mergeCell ref="E24:G24"/>
    <mergeCell ref="H24:H26"/>
    <mergeCell ref="I24:K24"/>
    <mergeCell ref="L24:L26"/>
    <mergeCell ref="AO25:AR25"/>
    <mergeCell ref="AT25:AW25"/>
    <mergeCell ref="B27:B41"/>
    <mergeCell ref="H27:H41"/>
    <mergeCell ref="L27:L41"/>
    <mergeCell ref="T27:T41"/>
    <mergeCell ref="Y27:Y41"/>
    <mergeCell ref="AD27:AD41"/>
    <mergeCell ref="AI27:AI41"/>
    <mergeCell ref="AN27:AN41"/>
    <mergeCell ref="AN24:AN26"/>
    <mergeCell ref="AO24:AR24"/>
    <mergeCell ref="AS24:AS26"/>
    <mergeCell ref="AT24:AW24"/>
    <mergeCell ref="B24:B26"/>
    <mergeCell ref="C24:D26"/>
    <mergeCell ref="AS27:AS41"/>
    <mergeCell ref="AX27:AX41"/>
    <mergeCell ref="B42:H43"/>
    <mergeCell ref="N42:N43"/>
    <mergeCell ref="O42:O43"/>
    <mergeCell ref="P42:T42"/>
    <mergeCell ref="U42:Y42"/>
    <mergeCell ref="Z42:AD42"/>
    <mergeCell ref="AE42:AI42"/>
    <mergeCell ref="AJ42:AN42"/>
    <mergeCell ref="AO42:AS42"/>
    <mergeCell ref="AT42:AX42"/>
    <mergeCell ref="P43:T43"/>
    <mergeCell ref="U43:Y43"/>
    <mergeCell ref="Z43:AD43"/>
    <mergeCell ref="AE43:AI43"/>
    <mergeCell ref="AJ43:AN43"/>
    <mergeCell ref="AO43:AS43"/>
    <mergeCell ref="AT43:AX43"/>
    <mergeCell ref="AX44:AX46"/>
    <mergeCell ref="E45:G45"/>
    <mergeCell ref="I45:K45"/>
    <mergeCell ref="P45:S45"/>
    <mergeCell ref="U45:X45"/>
    <mergeCell ref="Z45:AC45"/>
    <mergeCell ref="Y44:Y46"/>
    <mergeCell ref="Z44:AC44"/>
    <mergeCell ref="AD44:AD46"/>
    <mergeCell ref="AE44:AH44"/>
    <mergeCell ref="AI44:AI46"/>
    <mergeCell ref="AJ44:AM44"/>
    <mergeCell ref="AE45:AH45"/>
    <mergeCell ref="AJ45:AM45"/>
    <mergeCell ref="M44:M46"/>
    <mergeCell ref="N44:N61"/>
    <mergeCell ref="O44:O61"/>
    <mergeCell ref="P44:S44"/>
    <mergeCell ref="T44:T46"/>
    <mergeCell ref="U44:X44"/>
    <mergeCell ref="E44:G44"/>
    <mergeCell ref="H44:H46"/>
    <mergeCell ref="I44:K44"/>
    <mergeCell ref="L44:L46"/>
    <mergeCell ref="AO45:AR45"/>
    <mergeCell ref="AT45:AW45"/>
    <mergeCell ref="B47:B61"/>
    <mergeCell ref="H47:H61"/>
    <mergeCell ref="L47:L61"/>
    <mergeCell ref="T47:T61"/>
    <mergeCell ref="Y47:Y61"/>
    <mergeCell ref="AD47:AD61"/>
    <mergeCell ref="AI47:AI61"/>
    <mergeCell ref="AN47:AN61"/>
    <mergeCell ref="AN44:AN46"/>
    <mergeCell ref="AO44:AR44"/>
    <mergeCell ref="AS44:AS46"/>
    <mergeCell ref="AT44:AW44"/>
    <mergeCell ref="B44:B46"/>
    <mergeCell ref="C44:D46"/>
    <mergeCell ref="AS47:AS61"/>
    <mergeCell ref="AX47:AX61"/>
    <mergeCell ref="B62:H63"/>
    <mergeCell ref="N62:N63"/>
    <mergeCell ref="O62:O63"/>
    <mergeCell ref="P62:T62"/>
    <mergeCell ref="U62:Y62"/>
    <mergeCell ref="Z62:AD62"/>
    <mergeCell ref="AE62:AI62"/>
    <mergeCell ref="AJ62:AN62"/>
    <mergeCell ref="AO62:AS62"/>
    <mergeCell ref="AT62:AX62"/>
    <mergeCell ref="P63:T63"/>
    <mergeCell ref="U63:Y63"/>
    <mergeCell ref="Z63:AD63"/>
    <mergeCell ref="AE63:AI63"/>
    <mergeCell ref="AJ63:AN63"/>
    <mergeCell ref="AO63:AS63"/>
    <mergeCell ref="AT63:AX63"/>
    <mergeCell ref="AD87:AD101"/>
    <mergeCell ref="AI87:AI101"/>
    <mergeCell ref="B84:B86"/>
    <mergeCell ref="AX64:AX66"/>
    <mergeCell ref="E65:G65"/>
    <mergeCell ref="I65:K65"/>
    <mergeCell ref="P65:S65"/>
    <mergeCell ref="U65:X65"/>
    <mergeCell ref="Z65:AC65"/>
    <mergeCell ref="Y64:Y66"/>
    <mergeCell ref="Z64:AC64"/>
    <mergeCell ref="AD64:AD66"/>
    <mergeCell ref="AE64:AH64"/>
    <mergeCell ref="AI64:AI66"/>
    <mergeCell ref="AJ64:AM64"/>
    <mergeCell ref="AE65:AH65"/>
    <mergeCell ref="AJ65:AM65"/>
    <mergeCell ref="M64:M66"/>
    <mergeCell ref="N64:N81"/>
    <mergeCell ref="O64:O81"/>
    <mergeCell ref="P64:S64"/>
    <mergeCell ref="T64:T66"/>
    <mergeCell ref="U64:X64"/>
    <mergeCell ref="E64:G64"/>
    <mergeCell ref="AO65:AR65"/>
    <mergeCell ref="AT65:AW65"/>
    <mergeCell ref="B67:B81"/>
    <mergeCell ref="H67:H81"/>
    <mergeCell ref="L67:L81"/>
    <mergeCell ref="T67:T81"/>
    <mergeCell ref="Y67:Y81"/>
    <mergeCell ref="AD67:AD81"/>
    <mergeCell ref="AI67:AI81"/>
    <mergeCell ref="AN67:AN81"/>
    <mergeCell ref="AN64:AN66"/>
    <mergeCell ref="AO64:AR64"/>
    <mergeCell ref="AS64:AS66"/>
    <mergeCell ref="AT64:AW64"/>
    <mergeCell ref="B64:B66"/>
    <mergeCell ref="C64:D66"/>
    <mergeCell ref="AS67:AS81"/>
    <mergeCell ref="H64:H66"/>
    <mergeCell ref="I64:K64"/>
    <mergeCell ref="L64:L66"/>
    <mergeCell ref="AX67:AX81"/>
    <mergeCell ref="B82:H83"/>
    <mergeCell ref="N82:N83"/>
    <mergeCell ref="O82:O83"/>
    <mergeCell ref="P82:T82"/>
    <mergeCell ref="U82:Y82"/>
    <mergeCell ref="Z82:AD82"/>
    <mergeCell ref="AE82:AI82"/>
    <mergeCell ref="AJ82:AN82"/>
    <mergeCell ref="AO82:AS82"/>
    <mergeCell ref="AT82:AX82"/>
    <mergeCell ref="P83:T83"/>
    <mergeCell ref="U83:Y83"/>
    <mergeCell ref="Z83:AD83"/>
    <mergeCell ref="AE83:AI83"/>
    <mergeCell ref="AJ83:AN83"/>
    <mergeCell ref="AO83:AS83"/>
    <mergeCell ref="AT83:AX83"/>
    <mergeCell ref="Z84:AC84"/>
    <mergeCell ref="P84:S84"/>
    <mergeCell ref="T84:T86"/>
    <mergeCell ref="U84:X84"/>
    <mergeCell ref="E85:G85"/>
    <mergeCell ref="I85:K85"/>
    <mergeCell ref="P85:S85"/>
    <mergeCell ref="U85:X85"/>
    <mergeCell ref="M84:M86"/>
    <mergeCell ref="N84:N101"/>
    <mergeCell ref="O84:O101"/>
    <mergeCell ref="H87:H101"/>
    <mergeCell ref="L87:L101"/>
    <mergeCell ref="T87:T101"/>
    <mergeCell ref="Y87:Y101"/>
    <mergeCell ref="B87:B101"/>
    <mergeCell ref="AS87:AS101"/>
    <mergeCell ref="AX87:AX101"/>
    <mergeCell ref="AO85:AR85"/>
    <mergeCell ref="AT85:AW85"/>
    <mergeCell ref="AO84:AR84"/>
    <mergeCell ref="AS84:AS86"/>
    <mergeCell ref="AT84:AW84"/>
    <mergeCell ref="AX84:AX86"/>
    <mergeCell ref="AJ85:AM85"/>
    <mergeCell ref="AN87:AN101"/>
    <mergeCell ref="AN84:AN86"/>
    <mergeCell ref="AJ84:AM84"/>
    <mergeCell ref="C84:D86"/>
    <mergeCell ref="E84:G84"/>
    <mergeCell ref="H84:H86"/>
    <mergeCell ref="I84:K84"/>
    <mergeCell ref="L84:L86"/>
    <mergeCell ref="AD84:AD86"/>
    <mergeCell ref="AE84:AH84"/>
    <mergeCell ref="AI84:AI86"/>
    <mergeCell ref="AE85:AH85"/>
    <mergeCell ref="Z85:AC85"/>
    <mergeCell ref="Y84:Y86"/>
  </mergeCells>
  <phoneticPr fontId="11" type="noConversion"/>
  <pageMargins left="0.7" right="0.7" top="0.75" bottom="0.75" header="0.3" footer="0.3"/>
  <pageSetup paperSize="9" orientation="portrait" horizontalDpi="300" verticalDpi="30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FF0000"/>
    <outlinePr summaryBelow="0" summaryRight="0"/>
  </sheetPr>
  <dimension ref="A1:M28"/>
  <sheetViews>
    <sheetView zoomScaleNormal="100" zoomScaleSheetLayoutView="100" workbookViewId="0">
      <selection activeCell="L32" sqref="L32"/>
    </sheetView>
  </sheetViews>
  <sheetFormatPr defaultColWidth="12.5703125" defaultRowHeight="15.75" customHeight="1"/>
  <cols>
    <col min="1" max="1" width="6.42578125" style="115" customWidth="1"/>
    <col min="2" max="10" width="11.5703125" style="115" customWidth="1"/>
    <col min="11" max="12" width="12.85546875" style="115" customWidth="1"/>
    <col min="13" max="13" width="12.5703125" style="116"/>
    <col min="14" max="16384" width="12.5703125" style="115"/>
  </cols>
  <sheetData>
    <row r="1" spans="1:13" ht="15.75" customHeight="1">
      <c r="A1" s="405" t="s">
        <v>202</v>
      </c>
      <c r="B1" s="405"/>
      <c r="C1" s="405"/>
      <c r="D1" s="405"/>
      <c r="E1" s="405"/>
      <c r="F1" s="405"/>
      <c r="G1" s="405"/>
      <c r="H1" s="405"/>
      <c r="I1" s="405"/>
      <c r="J1" s="405"/>
      <c r="K1" s="405"/>
      <c r="L1" s="405"/>
      <c r="M1" s="115"/>
    </row>
    <row r="2" spans="1:13" s="116" customFormat="1" ht="15.75" customHeight="1">
      <c r="A2" s="405"/>
      <c r="B2" s="405"/>
      <c r="C2" s="405"/>
      <c r="D2" s="405"/>
      <c r="E2" s="405"/>
      <c r="F2" s="405"/>
      <c r="G2" s="405"/>
      <c r="H2" s="405"/>
      <c r="I2" s="405"/>
      <c r="J2" s="405"/>
      <c r="K2" s="405"/>
      <c r="L2" s="405"/>
    </row>
    <row r="3" spans="1:13" ht="15.75" customHeight="1">
      <c r="A3" s="535" t="s">
        <v>203</v>
      </c>
      <c r="B3" s="536"/>
      <c r="C3" s="536"/>
      <c r="D3" s="536"/>
      <c r="E3" s="536"/>
      <c r="F3" s="536"/>
      <c r="G3" s="536"/>
      <c r="H3" s="536"/>
      <c r="I3" s="536"/>
      <c r="J3" s="536"/>
      <c r="K3" s="536"/>
      <c r="L3" s="536"/>
      <c r="M3" s="115"/>
    </row>
    <row r="4" spans="1:13" s="116" customFormat="1" ht="15.75" customHeight="1">
      <c r="A4" s="536"/>
      <c r="B4" s="536"/>
      <c r="C4" s="536"/>
      <c r="D4" s="536"/>
      <c r="E4" s="536"/>
      <c r="F4" s="536"/>
      <c r="G4" s="536"/>
      <c r="H4" s="536"/>
      <c r="I4" s="536"/>
      <c r="J4" s="536"/>
      <c r="K4" s="536"/>
      <c r="L4" s="536"/>
    </row>
    <row r="5" spans="1:13" s="122" customFormat="1" ht="16.350000000000001" customHeight="1">
      <c r="A5" s="534" t="s">
        <v>154</v>
      </c>
      <c r="B5" s="151">
        <v>1</v>
      </c>
      <c r="C5" s="151">
        <v>2</v>
      </c>
      <c r="D5" s="143">
        <v>3</v>
      </c>
      <c r="E5" s="143">
        <v>4</v>
      </c>
      <c r="F5" s="143">
        <v>5</v>
      </c>
      <c r="G5" s="143">
        <v>6</v>
      </c>
      <c r="H5" s="143">
        <v>7</v>
      </c>
      <c r="I5" s="143">
        <v>8</v>
      </c>
      <c r="J5" s="143">
        <v>9</v>
      </c>
      <c r="K5" s="141"/>
      <c r="L5" s="141"/>
      <c r="M5" s="141"/>
    </row>
    <row r="6" spans="1:13" ht="16.350000000000001" customHeight="1">
      <c r="A6" s="534"/>
      <c r="B6" s="152" t="s">
        <v>204</v>
      </c>
      <c r="C6" s="152" t="s">
        <v>151</v>
      </c>
      <c r="D6" s="144" t="s">
        <v>205</v>
      </c>
      <c r="E6" s="144" t="s">
        <v>153</v>
      </c>
      <c r="F6" s="132" t="s">
        <v>133</v>
      </c>
      <c r="G6" s="145" t="s">
        <v>131</v>
      </c>
      <c r="H6" s="146" t="s">
        <v>206</v>
      </c>
      <c r="I6" s="145" t="s">
        <v>207</v>
      </c>
      <c r="J6" s="145" t="s">
        <v>137</v>
      </c>
      <c r="K6" s="142"/>
      <c r="L6" s="142"/>
    </row>
    <row r="7" spans="1:13" s="122" customFormat="1" ht="15.75" customHeight="1">
      <c r="A7" s="531" t="s">
        <v>811</v>
      </c>
      <c r="B7" s="531"/>
      <c r="C7" s="389" t="s">
        <v>812</v>
      </c>
      <c r="D7" s="531" t="s">
        <v>12</v>
      </c>
      <c r="E7" s="530"/>
      <c r="F7" s="530"/>
      <c r="G7" s="389" t="s">
        <v>813</v>
      </c>
      <c r="H7" s="389" t="s">
        <v>814</v>
      </c>
      <c r="I7" s="389" t="s">
        <v>815</v>
      </c>
      <c r="J7" s="390" t="s">
        <v>816</v>
      </c>
      <c r="K7" s="531" t="s">
        <v>817</v>
      </c>
      <c r="L7" s="530"/>
      <c r="M7" s="141"/>
    </row>
    <row r="8" spans="1:13" ht="15.75" customHeight="1">
      <c r="A8" s="528">
        <v>1</v>
      </c>
      <c r="B8" s="531" t="s">
        <v>150</v>
      </c>
      <c r="C8" s="391">
        <v>1</v>
      </c>
      <c r="D8" s="341" t="s">
        <v>350</v>
      </c>
      <c r="E8" s="393"/>
      <c r="F8" s="394"/>
      <c r="G8" s="395">
        <v>3</v>
      </c>
      <c r="H8" s="395">
        <v>3218.1121810515619</v>
      </c>
      <c r="I8" s="395">
        <v>1072.7040603505206</v>
      </c>
      <c r="J8" s="342" t="s">
        <v>818</v>
      </c>
      <c r="K8" s="532"/>
      <c r="L8" s="530"/>
    </row>
    <row r="9" spans="1:13" ht="15.75" customHeight="1">
      <c r="A9" s="528"/>
      <c r="B9" s="531"/>
      <c r="C9" s="391">
        <v>2</v>
      </c>
      <c r="D9" s="341" t="s">
        <v>347</v>
      </c>
      <c r="E9" s="393"/>
      <c r="F9" s="394"/>
      <c r="G9" s="395">
        <v>3</v>
      </c>
      <c r="H9" s="395">
        <v>3212.6265145325169</v>
      </c>
      <c r="I9" s="395">
        <v>1070.8755048441722</v>
      </c>
      <c r="J9" s="342" t="s">
        <v>818</v>
      </c>
      <c r="K9" s="532"/>
      <c r="L9" s="530"/>
    </row>
    <row r="10" spans="1:13" ht="15.75" customHeight="1">
      <c r="A10" s="528"/>
      <c r="B10" s="531"/>
      <c r="C10" s="391">
        <v>3</v>
      </c>
      <c r="D10" s="341" t="s">
        <v>353</v>
      </c>
      <c r="E10" s="393"/>
      <c r="F10" s="394"/>
      <c r="G10" s="395">
        <v>3</v>
      </c>
      <c r="H10" s="395">
        <v>3194.4619093542651</v>
      </c>
      <c r="I10" s="395">
        <v>1064.8206364514217</v>
      </c>
      <c r="J10" s="398" t="s">
        <v>819</v>
      </c>
      <c r="K10" s="538" t="s">
        <v>820</v>
      </c>
      <c r="L10" s="539"/>
    </row>
    <row r="11" spans="1:13" ht="15.75" customHeight="1">
      <c r="A11" s="528"/>
      <c r="B11" s="531"/>
      <c r="C11" s="391">
        <v>4</v>
      </c>
      <c r="D11" s="341" t="s">
        <v>348</v>
      </c>
      <c r="E11" s="393"/>
      <c r="F11" s="394"/>
      <c r="G11" s="395">
        <v>3</v>
      </c>
      <c r="H11" s="395">
        <v>3186.6150394983192</v>
      </c>
      <c r="I11" s="395">
        <v>1062.2050131661065</v>
      </c>
      <c r="J11" s="397" t="s">
        <v>821</v>
      </c>
      <c r="K11" s="540"/>
      <c r="L11" s="541"/>
    </row>
    <row r="12" spans="1:13" ht="15.75" customHeight="1">
      <c r="A12" s="528"/>
      <c r="B12" s="531"/>
      <c r="C12" s="391">
        <v>5</v>
      </c>
      <c r="D12" s="341" t="s">
        <v>439</v>
      </c>
      <c r="E12" s="393"/>
      <c r="F12" s="394"/>
      <c r="G12" s="395">
        <v>3</v>
      </c>
      <c r="H12" s="395">
        <v>2820.7662472644561</v>
      </c>
      <c r="I12" s="395">
        <v>940.25541575481873</v>
      </c>
      <c r="J12" s="342" t="s">
        <v>818</v>
      </c>
      <c r="K12" s="533"/>
      <c r="L12" s="530"/>
    </row>
    <row r="13" spans="1:13" ht="15.75" customHeight="1">
      <c r="A13" s="528"/>
      <c r="B13" s="531"/>
      <c r="C13" s="396" t="s">
        <v>822</v>
      </c>
      <c r="D13" s="341" t="s">
        <v>521</v>
      </c>
      <c r="E13" s="393"/>
      <c r="F13" s="394"/>
      <c r="G13" s="395">
        <v>9.3828571428571426</v>
      </c>
      <c r="H13" s="395">
        <v>1506.3260539460534</v>
      </c>
      <c r="I13" s="395">
        <v>164.06242890442883</v>
      </c>
      <c r="J13" s="342" t="s">
        <v>818</v>
      </c>
      <c r="K13" s="532"/>
      <c r="L13" s="530"/>
    </row>
    <row r="14" spans="1:13" ht="15.75" customHeight="1">
      <c r="A14" s="528"/>
      <c r="B14" s="531"/>
      <c r="C14" s="396" t="s">
        <v>823</v>
      </c>
      <c r="D14" s="341" t="s">
        <v>583</v>
      </c>
      <c r="E14" s="393"/>
      <c r="F14" s="394"/>
      <c r="G14" s="395">
        <v>4</v>
      </c>
      <c r="H14" s="395">
        <v>2217.7893877551055</v>
      </c>
      <c r="I14" s="395">
        <v>554.44734693877638</v>
      </c>
      <c r="J14" s="342" t="s">
        <v>818</v>
      </c>
      <c r="K14" s="532"/>
      <c r="L14" s="530"/>
    </row>
    <row r="15" spans="1:13" ht="15.75" customHeight="1">
      <c r="A15" s="528"/>
      <c r="B15" s="531"/>
      <c r="C15" s="396" t="s">
        <v>824</v>
      </c>
      <c r="D15" s="341" t="s">
        <v>358</v>
      </c>
      <c r="E15" s="393"/>
      <c r="F15" s="394"/>
      <c r="G15" s="395">
        <v>4</v>
      </c>
      <c r="H15" s="395">
        <v>2251.9200000000005</v>
      </c>
      <c r="I15" s="395">
        <v>562.98000000000013</v>
      </c>
      <c r="J15" s="342" t="s">
        <v>818</v>
      </c>
      <c r="K15" s="537"/>
      <c r="L15" s="530"/>
    </row>
    <row r="16" spans="1:13" ht="15.75" customHeight="1">
      <c r="A16" s="528"/>
      <c r="B16" s="531"/>
      <c r="C16" s="396" t="s">
        <v>825</v>
      </c>
      <c r="D16" s="341" t="s">
        <v>706</v>
      </c>
      <c r="E16" s="393"/>
      <c r="F16" s="394"/>
      <c r="G16" s="395">
        <v>4</v>
      </c>
      <c r="H16" s="395">
        <v>2797.7183985852025</v>
      </c>
      <c r="I16" s="395">
        <v>699.42959964630063</v>
      </c>
      <c r="J16" s="397" t="s">
        <v>821</v>
      </c>
      <c r="K16" s="538" t="s">
        <v>820</v>
      </c>
      <c r="L16" s="539"/>
      <c r="M16" s="115"/>
    </row>
    <row r="17" spans="1:13" ht="15.75" customHeight="1">
      <c r="A17" s="528"/>
      <c r="B17" s="531"/>
      <c r="C17" s="396" t="s">
        <v>826</v>
      </c>
      <c r="D17" s="341" t="s">
        <v>357</v>
      </c>
      <c r="E17" s="393"/>
      <c r="F17" s="394"/>
      <c r="G17" s="395">
        <v>4</v>
      </c>
      <c r="H17" s="395">
        <v>2803.2314285714187</v>
      </c>
      <c r="I17" s="395">
        <v>700.80785714285469</v>
      </c>
      <c r="J17" s="397" t="s">
        <v>821</v>
      </c>
      <c r="K17" s="540"/>
      <c r="L17" s="541"/>
      <c r="M17" s="115"/>
    </row>
    <row r="18" spans="1:13" s="120" customFormat="1" ht="15.75" customHeight="1">
      <c r="A18" s="526" t="s">
        <v>811</v>
      </c>
      <c r="B18" s="526"/>
      <c r="C18" s="399" t="s">
        <v>812</v>
      </c>
      <c r="D18" s="526" t="s">
        <v>12</v>
      </c>
      <c r="E18" s="527"/>
      <c r="F18" s="527"/>
      <c r="G18" s="399" t="s">
        <v>813</v>
      </c>
      <c r="H18" s="399" t="s">
        <v>814</v>
      </c>
      <c r="I18" s="399" t="s">
        <v>815</v>
      </c>
      <c r="J18" s="390" t="s">
        <v>816</v>
      </c>
      <c r="K18" s="526" t="s">
        <v>817</v>
      </c>
      <c r="L18" s="527"/>
      <c r="M18" s="142"/>
    </row>
    <row r="19" spans="1:13" ht="15.75" customHeight="1">
      <c r="A19" s="528">
        <v>2</v>
      </c>
      <c r="B19" s="531" t="s">
        <v>151</v>
      </c>
      <c r="C19" s="391">
        <v>1</v>
      </c>
      <c r="D19" s="392" t="s">
        <v>455</v>
      </c>
      <c r="E19" s="393"/>
      <c r="F19" s="394"/>
      <c r="G19" s="395">
        <v>5</v>
      </c>
      <c r="H19" s="395">
        <v>1511.4651517202296</v>
      </c>
      <c r="I19" s="395">
        <v>302.29303034404592</v>
      </c>
      <c r="J19" s="342" t="s">
        <v>818</v>
      </c>
      <c r="K19" s="532"/>
      <c r="L19" s="530"/>
      <c r="M19" s="115"/>
    </row>
    <row r="20" spans="1:13" ht="15.75" customHeight="1">
      <c r="A20" s="528"/>
      <c r="B20" s="531"/>
      <c r="C20" s="391">
        <v>2</v>
      </c>
      <c r="D20" s="392" t="s">
        <v>517</v>
      </c>
      <c r="E20" s="393"/>
      <c r="F20" s="394"/>
      <c r="G20" s="395">
        <v>6</v>
      </c>
      <c r="H20" s="395">
        <v>1522.2623281642234</v>
      </c>
      <c r="I20" s="395">
        <v>253.71038802737058</v>
      </c>
      <c r="J20" s="342" t="s">
        <v>818</v>
      </c>
      <c r="K20" s="529"/>
      <c r="L20" s="530"/>
      <c r="M20" s="115"/>
    </row>
    <row r="21" spans="1:13" ht="15.75" customHeight="1">
      <c r="A21" s="528"/>
      <c r="B21" s="531"/>
      <c r="C21" s="391">
        <v>3</v>
      </c>
      <c r="D21" s="392" t="s">
        <v>361</v>
      </c>
      <c r="E21" s="393"/>
      <c r="F21" s="394"/>
      <c r="G21" s="395">
        <v>12</v>
      </c>
      <c r="H21" s="395">
        <v>1848.1535064935081</v>
      </c>
      <c r="I21" s="395">
        <v>154.01279220779233</v>
      </c>
      <c r="J21" s="398" t="s">
        <v>819</v>
      </c>
      <c r="K21" s="533" t="s">
        <v>827</v>
      </c>
      <c r="L21" s="530"/>
      <c r="M21" s="115"/>
    </row>
    <row r="22" spans="1:13" ht="15.75" customHeight="1">
      <c r="A22" s="528"/>
      <c r="B22" s="531"/>
      <c r="C22" s="391">
        <v>4</v>
      </c>
      <c r="D22" s="392" t="s">
        <v>360</v>
      </c>
      <c r="E22" s="393"/>
      <c r="F22" s="394"/>
      <c r="G22" s="395">
        <v>12</v>
      </c>
      <c r="H22" s="395">
        <v>1770.9545974025982</v>
      </c>
      <c r="I22" s="395">
        <v>147.57954978354988</v>
      </c>
      <c r="J22" s="342" t="s">
        <v>818</v>
      </c>
      <c r="K22" s="529"/>
      <c r="L22" s="530"/>
      <c r="M22" s="115"/>
    </row>
    <row r="23" spans="1:13" ht="15.75" customHeight="1">
      <c r="A23" s="528"/>
      <c r="B23" s="531"/>
      <c r="C23" s="391">
        <v>5</v>
      </c>
      <c r="D23" s="392" t="s">
        <v>359</v>
      </c>
      <c r="E23" s="393"/>
      <c r="F23" s="394"/>
      <c r="G23" s="395">
        <v>10</v>
      </c>
      <c r="H23" s="395">
        <v>1448.7600000000009</v>
      </c>
      <c r="I23" s="395">
        <v>144.87600000000009</v>
      </c>
      <c r="J23" s="397" t="s">
        <v>821</v>
      </c>
      <c r="K23" s="529" t="s">
        <v>820</v>
      </c>
      <c r="L23" s="530"/>
      <c r="M23" s="115"/>
    </row>
    <row r="24" spans="1:13" ht="15.75" customHeight="1">
      <c r="A24" s="528"/>
      <c r="B24" s="531"/>
      <c r="C24" s="396" t="s">
        <v>822</v>
      </c>
      <c r="D24" s="392" t="s">
        <v>519</v>
      </c>
      <c r="E24" s="393"/>
      <c r="F24" s="394"/>
      <c r="G24" s="395">
        <v>12.222222222222221</v>
      </c>
      <c r="H24" s="395">
        <v>1039.2857142857117</v>
      </c>
      <c r="I24" s="395">
        <v>85.184065934065728</v>
      </c>
      <c r="J24" s="342" t="s">
        <v>818</v>
      </c>
      <c r="K24" s="532"/>
      <c r="L24" s="530"/>
      <c r="M24" s="115"/>
    </row>
    <row r="25" spans="1:13" ht="15.75" customHeight="1">
      <c r="A25" s="528"/>
      <c r="B25" s="531"/>
      <c r="C25" s="396" t="s">
        <v>823</v>
      </c>
      <c r="D25" s="392"/>
      <c r="E25" s="393"/>
      <c r="F25" s="394"/>
      <c r="G25" s="395"/>
      <c r="H25" s="395"/>
      <c r="I25" s="395"/>
      <c r="J25" s="342" t="s">
        <v>818</v>
      </c>
      <c r="K25" s="529"/>
      <c r="L25" s="530"/>
      <c r="M25" s="115"/>
    </row>
    <row r="26" spans="1:13" ht="15.75" customHeight="1">
      <c r="A26" s="528"/>
      <c r="B26" s="531"/>
      <c r="C26" s="396" t="s">
        <v>824</v>
      </c>
      <c r="D26" s="392"/>
      <c r="E26" s="393"/>
      <c r="F26" s="394"/>
      <c r="G26" s="343"/>
      <c r="H26" s="343"/>
      <c r="I26" s="343"/>
      <c r="J26" s="343"/>
      <c r="K26" s="529"/>
      <c r="L26" s="530"/>
      <c r="M26" s="115"/>
    </row>
    <row r="27" spans="1:13" ht="15.75" customHeight="1">
      <c r="A27" s="528"/>
      <c r="B27" s="531"/>
      <c r="C27" s="396" t="s">
        <v>825</v>
      </c>
      <c r="D27" s="392"/>
      <c r="E27" s="393"/>
      <c r="F27" s="394"/>
      <c r="G27" s="343"/>
      <c r="H27" s="343"/>
      <c r="I27" s="343"/>
      <c r="J27" s="343"/>
      <c r="K27" s="529"/>
      <c r="L27" s="530"/>
      <c r="M27" s="115"/>
    </row>
    <row r="28" spans="1:13" ht="15.75" customHeight="1">
      <c r="A28" s="528"/>
      <c r="B28" s="531"/>
      <c r="C28" s="396" t="s">
        <v>826</v>
      </c>
      <c r="D28" s="392"/>
      <c r="E28" s="393"/>
      <c r="F28" s="394"/>
      <c r="G28" s="343"/>
      <c r="H28" s="343"/>
      <c r="I28" s="343"/>
      <c r="J28" s="343"/>
      <c r="K28" s="529"/>
      <c r="L28" s="530"/>
      <c r="M28" s="115"/>
    </row>
  </sheetData>
  <mergeCells count="31">
    <mergeCell ref="A8:A17"/>
    <mergeCell ref="B8:B17"/>
    <mergeCell ref="K8:L8"/>
    <mergeCell ref="K9:L9"/>
    <mergeCell ref="K15:L15"/>
    <mergeCell ref="K13:L13"/>
    <mergeCell ref="K14:L14"/>
    <mergeCell ref="K12:L12"/>
    <mergeCell ref="K16:L17"/>
    <mergeCell ref="K10:L11"/>
    <mergeCell ref="A1:L2"/>
    <mergeCell ref="A5:A6"/>
    <mergeCell ref="A7:B7"/>
    <mergeCell ref="D7:F7"/>
    <mergeCell ref="K7:L7"/>
    <mergeCell ref="A3:L4"/>
    <mergeCell ref="A18:B18"/>
    <mergeCell ref="D18:F18"/>
    <mergeCell ref="K18:L18"/>
    <mergeCell ref="A19:A28"/>
    <mergeCell ref="K28:L28"/>
    <mergeCell ref="B19:B28"/>
    <mergeCell ref="K27:L27"/>
    <mergeCell ref="K19:L19"/>
    <mergeCell ref="K26:L26"/>
    <mergeCell ref="K20:L20"/>
    <mergeCell ref="K24:L24"/>
    <mergeCell ref="K25:L25"/>
    <mergeCell ref="K21:L21"/>
    <mergeCell ref="K22:L22"/>
    <mergeCell ref="K23:L23"/>
  </mergeCells>
  <phoneticPr fontId="11" type="noConversion"/>
  <printOptions horizontalCentered="1" gridLines="1"/>
  <pageMargins left="0.39370078740157483" right="0.39370078740157483" top="0.39370078740157483" bottom="0.39370078740157483" header="0" footer="0"/>
  <pageSetup paperSize="9" fitToWidth="0" fitToHeight="0" pageOrder="overThenDown" orientation="landscape" cellComments="atEnd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FF0000"/>
    <outlinePr summaryBelow="0" summaryRight="0"/>
  </sheetPr>
  <dimension ref="A1:M28"/>
  <sheetViews>
    <sheetView zoomScaleNormal="100" zoomScaleSheetLayoutView="100" workbookViewId="0">
      <selection activeCell="A7" sqref="A7:L28"/>
    </sheetView>
  </sheetViews>
  <sheetFormatPr defaultColWidth="12.5703125" defaultRowHeight="15.75" customHeight="1"/>
  <cols>
    <col min="1" max="1" width="6.42578125" style="115" customWidth="1"/>
    <col min="2" max="10" width="11.5703125" style="115" customWidth="1"/>
    <col min="11" max="12" width="12.85546875" style="115" customWidth="1"/>
    <col min="13" max="13" width="12.5703125" style="116"/>
    <col min="14" max="16384" width="12.5703125" style="115"/>
  </cols>
  <sheetData>
    <row r="1" spans="1:13" ht="15.75" customHeight="1">
      <c r="A1" s="405" t="s">
        <v>202</v>
      </c>
      <c r="B1" s="405"/>
      <c r="C1" s="405"/>
      <c r="D1" s="405"/>
      <c r="E1" s="405"/>
      <c r="F1" s="405"/>
      <c r="G1" s="405"/>
      <c r="H1" s="405"/>
      <c r="I1" s="405"/>
      <c r="J1" s="405"/>
      <c r="K1" s="405"/>
      <c r="L1" s="405"/>
      <c r="M1" s="115"/>
    </row>
    <row r="2" spans="1:13" s="116" customFormat="1" ht="15.75" customHeight="1">
      <c r="A2" s="405"/>
      <c r="B2" s="405"/>
      <c r="C2" s="405"/>
      <c r="D2" s="405"/>
      <c r="E2" s="405"/>
      <c r="F2" s="405"/>
      <c r="G2" s="405"/>
      <c r="H2" s="405"/>
      <c r="I2" s="405"/>
      <c r="J2" s="405"/>
      <c r="K2" s="405"/>
      <c r="L2" s="405"/>
    </row>
    <row r="3" spans="1:13" ht="15.75" customHeight="1">
      <c r="A3" s="535" t="s">
        <v>203</v>
      </c>
      <c r="B3" s="536"/>
      <c r="C3" s="536"/>
      <c r="D3" s="536"/>
      <c r="E3" s="536"/>
      <c r="F3" s="536"/>
      <c r="G3" s="536"/>
      <c r="H3" s="536"/>
      <c r="I3" s="536"/>
      <c r="J3" s="536"/>
      <c r="K3" s="536"/>
      <c r="L3" s="536"/>
      <c r="M3" s="115"/>
    </row>
    <row r="4" spans="1:13" s="116" customFormat="1" ht="15.75" customHeight="1">
      <c r="A4" s="536"/>
      <c r="B4" s="536"/>
      <c r="C4" s="536"/>
      <c r="D4" s="536"/>
      <c r="E4" s="536"/>
      <c r="F4" s="536"/>
      <c r="G4" s="536"/>
      <c r="H4" s="536"/>
      <c r="I4" s="536"/>
      <c r="J4" s="536"/>
      <c r="K4" s="536"/>
      <c r="L4" s="536"/>
    </row>
    <row r="5" spans="1:13" s="122" customFormat="1" ht="16.350000000000001" customHeight="1">
      <c r="A5" s="534" t="s">
        <v>154</v>
      </c>
      <c r="B5" s="143">
        <v>1</v>
      </c>
      <c r="C5" s="143">
        <v>2</v>
      </c>
      <c r="D5" s="151">
        <v>3</v>
      </c>
      <c r="E5" s="151">
        <v>4</v>
      </c>
      <c r="F5" s="143">
        <v>5</v>
      </c>
      <c r="G5" s="143">
        <v>6</v>
      </c>
      <c r="H5" s="143">
        <v>7</v>
      </c>
      <c r="I5" s="143">
        <v>8</v>
      </c>
      <c r="J5" s="143">
        <v>9</v>
      </c>
      <c r="K5" s="141"/>
      <c r="L5" s="141"/>
      <c r="M5" s="141"/>
    </row>
    <row r="6" spans="1:13" ht="16.350000000000001" customHeight="1">
      <c r="A6" s="534"/>
      <c r="B6" s="144" t="s">
        <v>204</v>
      </c>
      <c r="C6" s="144" t="s">
        <v>151</v>
      </c>
      <c r="D6" s="152" t="s">
        <v>205</v>
      </c>
      <c r="E6" s="152" t="s">
        <v>153</v>
      </c>
      <c r="F6" s="132" t="s">
        <v>133</v>
      </c>
      <c r="G6" s="145" t="s">
        <v>131</v>
      </c>
      <c r="H6" s="146" t="s">
        <v>206</v>
      </c>
      <c r="I6" s="145" t="s">
        <v>207</v>
      </c>
      <c r="J6" s="145" t="s">
        <v>137</v>
      </c>
      <c r="K6" s="142"/>
      <c r="L6" s="142"/>
    </row>
    <row r="7" spans="1:13" s="122" customFormat="1" ht="15.75" customHeight="1">
      <c r="A7" s="531" t="s">
        <v>184</v>
      </c>
      <c r="B7" s="531"/>
      <c r="C7" s="389" t="s">
        <v>640</v>
      </c>
      <c r="D7" s="531" t="s">
        <v>12</v>
      </c>
      <c r="E7" s="530"/>
      <c r="F7" s="530"/>
      <c r="G7" s="389" t="s">
        <v>409</v>
      </c>
      <c r="H7" s="389" t="s">
        <v>410</v>
      </c>
      <c r="I7" s="389" t="s">
        <v>411</v>
      </c>
      <c r="J7" s="390" t="s">
        <v>412</v>
      </c>
      <c r="K7" s="531" t="s">
        <v>413</v>
      </c>
      <c r="L7" s="530"/>
      <c r="M7" s="141"/>
    </row>
    <row r="8" spans="1:13" ht="15.75" customHeight="1">
      <c r="A8" s="528">
        <v>3</v>
      </c>
      <c r="B8" s="531" t="s">
        <v>152</v>
      </c>
      <c r="C8" s="391">
        <v>1</v>
      </c>
      <c r="D8" s="392" t="s">
        <v>387</v>
      </c>
      <c r="E8" s="393"/>
      <c r="F8" s="394"/>
      <c r="G8" s="395">
        <v>5</v>
      </c>
      <c r="H8" s="395">
        <v>2111.7071636762689</v>
      </c>
      <c r="I8" s="395">
        <v>422.3414327352537</v>
      </c>
      <c r="J8" s="342" t="s">
        <v>641</v>
      </c>
      <c r="K8" s="532"/>
      <c r="L8" s="530"/>
    </row>
    <row r="9" spans="1:13" ht="15.75" customHeight="1">
      <c r="A9" s="528"/>
      <c r="B9" s="531"/>
      <c r="C9" s="391">
        <v>2</v>
      </c>
      <c r="D9" s="392" t="s">
        <v>427</v>
      </c>
      <c r="E9" s="393"/>
      <c r="F9" s="394"/>
      <c r="G9" s="395">
        <v>5</v>
      </c>
      <c r="H9" s="395">
        <v>2110.9461804251055</v>
      </c>
      <c r="I9" s="395">
        <v>422.18923608502121</v>
      </c>
      <c r="J9" s="342" t="s">
        <v>641</v>
      </c>
      <c r="K9" s="532"/>
      <c r="L9" s="530"/>
    </row>
    <row r="10" spans="1:13" ht="15.75" customHeight="1">
      <c r="A10" s="528"/>
      <c r="B10" s="531"/>
      <c r="C10" s="391">
        <v>3</v>
      </c>
      <c r="D10" s="392" t="s">
        <v>668</v>
      </c>
      <c r="E10" s="393"/>
      <c r="F10" s="394"/>
      <c r="G10" s="395">
        <v>5</v>
      </c>
      <c r="H10" s="395">
        <v>2077.0798520145177</v>
      </c>
      <c r="I10" s="395">
        <v>415.41597040290361</v>
      </c>
      <c r="J10" s="342" t="s">
        <v>641</v>
      </c>
      <c r="K10" s="532"/>
      <c r="L10" s="530"/>
    </row>
    <row r="11" spans="1:13" ht="15.75" customHeight="1">
      <c r="A11" s="528"/>
      <c r="B11" s="531"/>
      <c r="C11" s="391">
        <v>4</v>
      </c>
      <c r="D11" s="392" t="s">
        <v>571</v>
      </c>
      <c r="E11" s="393"/>
      <c r="F11" s="394"/>
      <c r="G11" s="395">
        <v>5</v>
      </c>
      <c r="H11" s="395">
        <v>1746.9583333333394</v>
      </c>
      <c r="I11" s="395">
        <v>349.3916666666679</v>
      </c>
      <c r="J11" s="342" t="s">
        <v>641</v>
      </c>
      <c r="K11" s="532"/>
      <c r="L11" s="530"/>
    </row>
    <row r="12" spans="1:13" ht="15.75" customHeight="1">
      <c r="A12" s="528"/>
      <c r="B12" s="531"/>
      <c r="C12" s="391">
        <v>5</v>
      </c>
      <c r="D12" s="392" t="s">
        <v>557</v>
      </c>
      <c r="E12" s="393"/>
      <c r="F12" s="394"/>
      <c r="G12" s="395">
        <v>7</v>
      </c>
      <c r="H12" s="395">
        <v>1752.2083798554386</v>
      </c>
      <c r="I12" s="395">
        <v>250.31548283649124</v>
      </c>
      <c r="J12" s="342" t="s">
        <v>641</v>
      </c>
      <c r="K12" s="532"/>
      <c r="L12" s="530"/>
    </row>
    <row r="13" spans="1:13" ht="15.75" customHeight="1">
      <c r="A13" s="528"/>
      <c r="B13" s="531"/>
      <c r="C13" s="396" t="s">
        <v>642</v>
      </c>
      <c r="D13" s="392" t="s">
        <v>386</v>
      </c>
      <c r="E13" s="393"/>
      <c r="F13" s="394"/>
      <c r="G13" s="395">
        <v>12.919999999999998</v>
      </c>
      <c r="H13" s="395">
        <v>1245.6002351450256</v>
      </c>
      <c r="I13" s="395">
        <v>96.46282351794315</v>
      </c>
      <c r="J13" s="342" t="s">
        <v>641</v>
      </c>
      <c r="K13" s="532"/>
      <c r="L13" s="530"/>
    </row>
    <row r="14" spans="1:13" ht="15.75" customHeight="1">
      <c r="A14" s="528"/>
      <c r="B14" s="531"/>
      <c r="C14" s="396" t="s">
        <v>416</v>
      </c>
      <c r="D14" s="392" t="s">
        <v>388</v>
      </c>
      <c r="E14" s="393"/>
      <c r="F14" s="394"/>
      <c r="G14" s="395">
        <v>13</v>
      </c>
      <c r="H14" s="395">
        <v>2078.1589080282365</v>
      </c>
      <c r="I14" s="395">
        <v>159.85837754063363</v>
      </c>
      <c r="J14" s="342" t="s">
        <v>641</v>
      </c>
      <c r="K14" s="529"/>
      <c r="L14" s="530"/>
    </row>
    <row r="15" spans="1:13" ht="15.75" customHeight="1">
      <c r="A15" s="528"/>
      <c r="B15" s="531"/>
      <c r="C15" s="396" t="s">
        <v>417</v>
      </c>
      <c r="D15" s="392" t="s">
        <v>391</v>
      </c>
      <c r="E15" s="393"/>
      <c r="F15" s="394"/>
      <c r="G15" s="395">
        <v>13</v>
      </c>
      <c r="H15" s="395">
        <v>2154.2416736446771</v>
      </c>
      <c r="I15" s="395">
        <v>165.71089797266748</v>
      </c>
      <c r="J15" s="397" t="s">
        <v>573</v>
      </c>
      <c r="K15" s="538" t="s">
        <v>643</v>
      </c>
      <c r="L15" s="542"/>
    </row>
    <row r="16" spans="1:13" ht="15.75" customHeight="1">
      <c r="A16" s="528"/>
      <c r="B16" s="531"/>
      <c r="C16" s="396" t="s">
        <v>418</v>
      </c>
      <c r="D16" s="392" t="s">
        <v>389</v>
      </c>
      <c r="E16" s="393"/>
      <c r="F16" s="394"/>
      <c r="G16" s="395">
        <v>12</v>
      </c>
      <c r="H16" s="395">
        <v>2072.5135966212265</v>
      </c>
      <c r="I16" s="395">
        <v>172.70946638510222</v>
      </c>
      <c r="J16" s="398" t="s">
        <v>572</v>
      </c>
      <c r="K16" s="543"/>
      <c r="L16" s="544"/>
      <c r="M16" s="115"/>
    </row>
    <row r="17" spans="1:13" ht="15.75" customHeight="1">
      <c r="A17" s="528"/>
      <c r="B17" s="531"/>
      <c r="C17" s="396" t="s">
        <v>419</v>
      </c>
      <c r="D17" s="392" t="s">
        <v>584</v>
      </c>
      <c r="E17" s="393"/>
      <c r="F17" s="394"/>
      <c r="G17" s="395">
        <v>12</v>
      </c>
      <c r="H17" s="395">
        <v>2195.3078880615553</v>
      </c>
      <c r="I17" s="395">
        <v>182.94232400512962</v>
      </c>
      <c r="J17" s="397" t="s">
        <v>573</v>
      </c>
      <c r="K17" s="545"/>
      <c r="L17" s="546"/>
      <c r="M17" s="115"/>
    </row>
    <row r="18" spans="1:13" s="120" customFormat="1" ht="15.75" customHeight="1">
      <c r="A18" s="526" t="s">
        <v>184</v>
      </c>
      <c r="B18" s="526"/>
      <c r="C18" s="399" t="s">
        <v>640</v>
      </c>
      <c r="D18" s="526" t="s">
        <v>12</v>
      </c>
      <c r="E18" s="527"/>
      <c r="F18" s="527"/>
      <c r="G18" s="399" t="s">
        <v>409</v>
      </c>
      <c r="H18" s="399" t="s">
        <v>410</v>
      </c>
      <c r="I18" s="399" t="s">
        <v>411</v>
      </c>
      <c r="J18" s="390" t="s">
        <v>412</v>
      </c>
      <c r="K18" s="526" t="s">
        <v>413</v>
      </c>
      <c r="L18" s="527"/>
      <c r="M18" s="142"/>
    </row>
    <row r="19" spans="1:13" ht="15.75" customHeight="1">
      <c r="A19" s="528">
        <v>4</v>
      </c>
      <c r="B19" s="531" t="s">
        <v>153</v>
      </c>
      <c r="C19" s="391">
        <v>1</v>
      </c>
      <c r="D19" s="400" t="s">
        <v>810</v>
      </c>
      <c r="E19" s="393"/>
      <c r="F19" s="394"/>
      <c r="G19" s="395">
        <v>11.565714285714286</v>
      </c>
      <c r="H19" s="395">
        <v>1490.020356845479</v>
      </c>
      <c r="I19" s="395">
        <v>131.07048808077576</v>
      </c>
      <c r="J19" s="342" t="s">
        <v>641</v>
      </c>
      <c r="K19" s="549"/>
      <c r="L19" s="548"/>
      <c r="M19" s="115"/>
    </row>
    <row r="20" spans="1:13" ht="15.75" customHeight="1">
      <c r="A20" s="528"/>
      <c r="B20" s="531"/>
      <c r="C20" s="391">
        <v>2</v>
      </c>
      <c r="D20" s="400" t="s">
        <v>669</v>
      </c>
      <c r="E20" s="393"/>
      <c r="F20" s="394"/>
      <c r="G20" s="395">
        <v>12.782857142857143</v>
      </c>
      <c r="H20" s="395">
        <v>1461.136326530612</v>
      </c>
      <c r="I20" s="395">
        <v>114.38077969649396</v>
      </c>
      <c r="J20" s="342" t="s">
        <v>641</v>
      </c>
      <c r="K20" s="547"/>
      <c r="L20" s="548"/>
      <c r="M20" s="115"/>
    </row>
    <row r="21" spans="1:13" ht="15.75" customHeight="1">
      <c r="A21" s="528"/>
      <c r="B21" s="531"/>
      <c r="C21" s="391">
        <v>3</v>
      </c>
      <c r="D21" s="392"/>
      <c r="E21" s="393"/>
      <c r="F21" s="394"/>
      <c r="G21" s="343"/>
      <c r="H21" s="343"/>
      <c r="I21" s="343"/>
      <c r="J21" s="343"/>
      <c r="K21" s="547"/>
      <c r="L21" s="548"/>
      <c r="M21" s="115"/>
    </row>
    <row r="22" spans="1:13" ht="15.75" customHeight="1">
      <c r="A22" s="528"/>
      <c r="B22" s="531"/>
      <c r="C22" s="391">
        <v>4</v>
      </c>
      <c r="D22" s="392"/>
      <c r="E22" s="393"/>
      <c r="F22" s="394"/>
      <c r="G22" s="343"/>
      <c r="H22" s="343"/>
      <c r="I22" s="343"/>
      <c r="J22" s="343"/>
      <c r="K22" s="547"/>
      <c r="L22" s="548"/>
      <c r="M22" s="115"/>
    </row>
    <row r="23" spans="1:13" ht="15.75" customHeight="1">
      <c r="A23" s="528"/>
      <c r="B23" s="531"/>
      <c r="C23" s="391">
        <v>5</v>
      </c>
      <c r="D23" s="392"/>
      <c r="E23" s="393"/>
      <c r="F23" s="394"/>
      <c r="G23" s="343"/>
      <c r="H23" s="343"/>
      <c r="I23" s="343"/>
      <c r="J23" s="343"/>
      <c r="K23" s="547"/>
      <c r="L23" s="548"/>
      <c r="M23" s="115"/>
    </row>
    <row r="24" spans="1:13" ht="15.75" customHeight="1">
      <c r="A24" s="528"/>
      <c r="B24" s="531"/>
      <c r="C24" s="396" t="s">
        <v>642</v>
      </c>
      <c r="D24" s="392"/>
      <c r="E24" s="393"/>
      <c r="F24" s="394"/>
      <c r="G24" s="343"/>
      <c r="H24" s="343"/>
      <c r="I24" s="343"/>
      <c r="J24" s="343"/>
      <c r="K24" s="549"/>
      <c r="L24" s="548"/>
      <c r="M24" s="115"/>
    </row>
    <row r="25" spans="1:13" ht="15.75" customHeight="1">
      <c r="A25" s="528"/>
      <c r="B25" s="531"/>
      <c r="C25" s="396" t="s">
        <v>416</v>
      </c>
      <c r="D25" s="392"/>
      <c r="E25" s="393"/>
      <c r="F25" s="394"/>
      <c r="G25" s="343"/>
      <c r="H25" s="343"/>
      <c r="I25" s="343"/>
      <c r="J25" s="343"/>
      <c r="K25" s="547"/>
      <c r="L25" s="548"/>
      <c r="M25" s="115"/>
    </row>
    <row r="26" spans="1:13" ht="15.75" customHeight="1">
      <c r="A26" s="528"/>
      <c r="B26" s="531"/>
      <c r="C26" s="396" t="s">
        <v>417</v>
      </c>
      <c r="D26" s="392"/>
      <c r="E26" s="393"/>
      <c r="F26" s="394"/>
      <c r="G26" s="343"/>
      <c r="H26" s="343"/>
      <c r="I26" s="343"/>
      <c r="J26" s="343"/>
      <c r="K26" s="547"/>
      <c r="L26" s="548"/>
      <c r="M26" s="115"/>
    </row>
    <row r="27" spans="1:13" ht="15.75" customHeight="1">
      <c r="A27" s="528"/>
      <c r="B27" s="531"/>
      <c r="C27" s="396" t="s">
        <v>418</v>
      </c>
      <c r="D27" s="392"/>
      <c r="E27" s="393"/>
      <c r="F27" s="394"/>
      <c r="G27" s="343"/>
      <c r="H27" s="343"/>
      <c r="I27" s="343"/>
      <c r="J27" s="343"/>
      <c r="K27" s="547"/>
      <c r="L27" s="548"/>
      <c r="M27" s="115"/>
    </row>
    <row r="28" spans="1:13" ht="15.75" customHeight="1">
      <c r="A28" s="528"/>
      <c r="B28" s="531"/>
      <c r="C28" s="396" t="s">
        <v>419</v>
      </c>
      <c r="D28" s="392"/>
      <c r="E28" s="393"/>
      <c r="F28" s="394"/>
      <c r="G28" s="343"/>
      <c r="H28" s="343"/>
      <c r="I28" s="343"/>
      <c r="J28" s="343"/>
      <c r="K28" s="547"/>
      <c r="L28" s="548"/>
      <c r="M28" s="115"/>
    </row>
  </sheetData>
  <mergeCells count="31">
    <mergeCell ref="D7:F7"/>
    <mergeCell ref="K7:L7"/>
    <mergeCell ref="K28:L28"/>
    <mergeCell ref="K21:L21"/>
    <mergeCell ref="A1:L2"/>
    <mergeCell ref="K24:L24"/>
    <mergeCell ref="K14:L14"/>
    <mergeCell ref="K12:L12"/>
    <mergeCell ref="A3:L4"/>
    <mergeCell ref="A19:A28"/>
    <mergeCell ref="A5:A6"/>
    <mergeCell ref="A7:B7"/>
    <mergeCell ref="K25:L25"/>
    <mergeCell ref="K26:L26"/>
    <mergeCell ref="B19:B28"/>
    <mergeCell ref="K27:L27"/>
    <mergeCell ref="A18:B18"/>
    <mergeCell ref="D18:F18"/>
    <mergeCell ref="K18:L18"/>
    <mergeCell ref="K22:L22"/>
    <mergeCell ref="K23:L23"/>
    <mergeCell ref="K20:L20"/>
    <mergeCell ref="K19:L19"/>
    <mergeCell ref="A8:A17"/>
    <mergeCell ref="B8:B17"/>
    <mergeCell ref="K13:L13"/>
    <mergeCell ref="K15:L17"/>
    <mergeCell ref="K8:L8"/>
    <mergeCell ref="K9:L9"/>
    <mergeCell ref="K10:L10"/>
    <mergeCell ref="K11:L11"/>
  </mergeCells>
  <phoneticPr fontId="11" type="noConversion"/>
  <printOptions horizontalCentered="1" gridLines="1"/>
  <pageMargins left="0.39370078740157483" right="0.39370078740157483" top="0.39370078740157483" bottom="0.39370078740157483" header="0" footer="0"/>
  <pageSetup paperSize="9" fitToWidth="0" fitToHeight="0" pageOrder="overThenDown" orientation="landscape" cellComments="atEnd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FF0000"/>
    <outlinePr summaryBelow="0" summaryRight="0"/>
  </sheetPr>
  <dimension ref="A1:R28"/>
  <sheetViews>
    <sheetView zoomScaleNormal="100" zoomScaleSheetLayoutView="100" workbookViewId="0">
      <selection activeCell="A7" sqref="A7:L28"/>
    </sheetView>
  </sheetViews>
  <sheetFormatPr defaultColWidth="12.5703125" defaultRowHeight="15.75" customHeight="1"/>
  <cols>
    <col min="1" max="1" width="6.42578125" style="115" customWidth="1"/>
    <col min="2" max="10" width="11.5703125" style="115" customWidth="1"/>
    <col min="11" max="12" width="12.85546875" style="115" customWidth="1"/>
    <col min="13" max="13" width="12.5703125" style="116"/>
    <col min="14" max="16384" width="12.5703125" style="115"/>
  </cols>
  <sheetData>
    <row r="1" spans="1:18" ht="15.75" customHeight="1">
      <c r="A1" s="405" t="s">
        <v>202</v>
      </c>
      <c r="B1" s="405"/>
      <c r="C1" s="405"/>
      <c r="D1" s="405"/>
      <c r="E1" s="405"/>
      <c r="F1" s="405"/>
      <c r="G1" s="405"/>
      <c r="H1" s="405"/>
      <c r="I1" s="405"/>
      <c r="J1" s="405"/>
      <c r="K1" s="405"/>
      <c r="L1" s="405"/>
      <c r="M1" s="115"/>
    </row>
    <row r="2" spans="1:18" s="116" customFormat="1" ht="15.75" customHeight="1">
      <c r="A2" s="405"/>
      <c r="B2" s="405"/>
      <c r="C2" s="405"/>
      <c r="D2" s="405"/>
      <c r="E2" s="405"/>
      <c r="F2" s="405"/>
      <c r="G2" s="405"/>
      <c r="H2" s="405"/>
      <c r="I2" s="405"/>
      <c r="J2" s="405"/>
      <c r="K2" s="405"/>
      <c r="L2" s="405"/>
    </row>
    <row r="3" spans="1:18" ht="15.75" customHeight="1">
      <c r="A3" s="535" t="s">
        <v>203</v>
      </c>
      <c r="B3" s="536"/>
      <c r="C3" s="536"/>
      <c r="D3" s="536"/>
      <c r="E3" s="536"/>
      <c r="F3" s="536"/>
      <c r="G3" s="536"/>
      <c r="H3" s="536"/>
      <c r="I3" s="536"/>
      <c r="J3" s="536"/>
      <c r="K3" s="536"/>
      <c r="L3" s="536"/>
      <c r="M3" s="115"/>
    </row>
    <row r="4" spans="1:18" s="116" customFormat="1" ht="15.75" customHeight="1">
      <c r="A4" s="536"/>
      <c r="B4" s="536"/>
      <c r="C4" s="536"/>
      <c r="D4" s="536"/>
      <c r="E4" s="536"/>
      <c r="F4" s="536"/>
      <c r="G4" s="536"/>
      <c r="H4" s="536"/>
      <c r="I4" s="536"/>
      <c r="J4" s="536"/>
      <c r="K4" s="536"/>
      <c r="L4" s="536"/>
    </row>
    <row r="5" spans="1:18" s="122" customFormat="1" ht="16.350000000000001" customHeight="1">
      <c r="A5" s="534" t="s">
        <v>154</v>
      </c>
      <c r="B5" s="143">
        <v>1</v>
      </c>
      <c r="C5" s="143">
        <v>2</v>
      </c>
      <c r="D5" s="143">
        <v>3</v>
      </c>
      <c r="E5" s="143">
        <v>4</v>
      </c>
      <c r="F5" s="151">
        <v>5</v>
      </c>
      <c r="G5" s="151">
        <v>6</v>
      </c>
      <c r="H5" s="143">
        <v>7</v>
      </c>
      <c r="I5" s="143">
        <v>8</v>
      </c>
      <c r="J5" s="143">
        <v>9</v>
      </c>
      <c r="K5" s="141"/>
      <c r="L5" s="141"/>
      <c r="M5" s="141"/>
    </row>
    <row r="6" spans="1:18" ht="16.350000000000001" customHeight="1">
      <c r="A6" s="534"/>
      <c r="B6" s="144" t="s">
        <v>204</v>
      </c>
      <c r="C6" s="144" t="s">
        <v>151</v>
      </c>
      <c r="D6" s="144" t="s">
        <v>205</v>
      </c>
      <c r="E6" s="144" t="s">
        <v>153</v>
      </c>
      <c r="F6" s="153" t="s">
        <v>133</v>
      </c>
      <c r="G6" s="154" t="s">
        <v>131</v>
      </c>
      <c r="H6" s="146" t="s">
        <v>206</v>
      </c>
      <c r="I6" s="145" t="s">
        <v>207</v>
      </c>
      <c r="J6" s="145" t="s">
        <v>137</v>
      </c>
      <c r="K6" s="142"/>
      <c r="L6" s="142"/>
    </row>
    <row r="7" spans="1:18" s="122" customFormat="1" ht="15.75" customHeight="1">
      <c r="A7" s="531" t="s">
        <v>811</v>
      </c>
      <c r="B7" s="531"/>
      <c r="C7" s="389" t="s">
        <v>812</v>
      </c>
      <c r="D7" s="531" t="s">
        <v>12</v>
      </c>
      <c r="E7" s="530"/>
      <c r="F7" s="530"/>
      <c r="G7" s="389" t="s">
        <v>813</v>
      </c>
      <c r="H7" s="389" t="s">
        <v>814</v>
      </c>
      <c r="I7" s="389" t="s">
        <v>815</v>
      </c>
      <c r="J7" s="390" t="s">
        <v>816</v>
      </c>
      <c r="K7" s="531" t="s">
        <v>817</v>
      </c>
      <c r="L7" s="530"/>
      <c r="M7" s="141"/>
    </row>
    <row r="8" spans="1:18" ht="15.75" customHeight="1">
      <c r="A8" s="528">
        <v>5</v>
      </c>
      <c r="B8" s="531" t="s">
        <v>133</v>
      </c>
      <c r="C8" s="391">
        <v>1</v>
      </c>
      <c r="D8" s="392" t="s">
        <v>362</v>
      </c>
      <c r="E8" s="393"/>
      <c r="F8" s="394"/>
      <c r="G8" s="395">
        <v>6.0285714285714285</v>
      </c>
      <c r="H8" s="395">
        <v>1402.5470935743656</v>
      </c>
      <c r="I8" s="395">
        <v>232.79336294775248</v>
      </c>
      <c r="J8" s="342" t="s">
        <v>818</v>
      </c>
      <c r="K8" s="532"/>
      <c r="L8" s="530"/>
      <c r="P8" s="224"/>
      <c r="Q8" s="224"/>
      <c r="R8" s="224"/>
    </row>
    <row r="9" spans="1:18" ht="15.75" customHeight="1">
      <c r="A9" s="528"/>
      <c r="B9" s="531"/>
      <c r="C9" s="391">
        <v>2</v>
      </c>
      <c r="D9" s="392" t="s">
        <v>382</v>
      </c>
      <c r="E9" s="393"/>
      <c r="F9" s="394"/>
      <c r="G9" s="395">
        <v>6.9714285714285724</v>
      </c>
      <c r="H9" s="395">
        <v>1460.0185104962209</v>
      </c>
      <c r="I9" s="395">
        <v>209.57144613473997</v>
      </c>
      <c r="J9" s="342" t="s">
        <v>818</v>
      </c>
      <c r="K9" s="529"/>
      <c r="L9" s="530"/>
      <c r="P9" s="224"/>
      <c r="Q9" s="224"/>
      <c r="R9" s="224"/>
    </row>
    <row r="10" spans="1:18" ht="15.75" customHeight="1">
      <c r="A10" s="528"/>
      <c r="B10" s="531"/>
      <c r="C10" s="391">
        <v>3</v>
      </c>
      <c r="D10" s="392" t="s">
        <v>369</v>
      </c>
      <c r="E10" s="393"/>
      <c r="F10" s="394"/>
      <c r="G10" s="395">
        <v>15.942857142857145</v>
      </c>
      <c r="H10" s="395">
        <v>1342.4789107136276</v>
      </c>
      <c r="I10" s="395">
        <v>84.259357204312209</v>
      </c>
      <c r="J10" s="342" t="s">
        <v>818</v>
      </c>
      <c r="K10" s="529"/>
      <c r="L10" s="530"/>
      <c r="P10" s="224"/>
      <c r="Q10" s="224"/>
      <c r="R10" s="224"/>
    </row>
    <row r="11" spans="1:18" ht="15.75" customHeight="1">
      <c r="A11" s="528"/>
      <c r="B11" s="531"/>
      <c r="C11" s="391">
        <v>4</v>
      </c>
      <c r="D11" s="392" t="s">
        <v>342</v>
      </c>
      <c r="E11" s="393"/>
      <c r="F11" s="394"/>
      <c r="G11" s="395">
        <v>16.028571428571428</v>
      </c>
      <c r="H11" s="395">
        <v>1306.5312013699145</v>
      </c>
      <c r="I11" s="395">
        <v>81.510828370976341</v>
      </c>
      <c r="J11" s="398" t="s">
        <v>819</v>
      </c>
      <c r="K11" s="556" t="s">
        <v>828</v>
      </c>
      <c r="L11" s="542"/>
      <c r="P11" s="224"/>
      <c r="Q11" s="224"/>
      <c r="R11" s="224"/>
    </row>
    <row r="12" spans="1:18" ht="15.75" customHeight="1">
      <c r="A12" s="528"/>
      <c r="B12" s="531"/>
      <c r="C12" s="391">
        <v>5</v>
      </c>
      <c r="D12" s="392" t="s">
        <v>598</v>
      </c>
      <c r="E12" s="393"/>
      <c r="F12" s="394"/>
      <c r="G12" s="395">
        <v>15.771428571428572</v>
      </c>
      <c r="H12" s="395">
        <v>1278.3463023432355</v>
      </c>
      <c r="I12" s="395">
        <v>81.11303274999085</v>
      </c>
      <c r="J12" s="398" t="s">
        <v>819</v>
      </c>
      <c r="K12" s="545"/>
      <c r="L12" s="546"/>
      <c r="P12" s="224"/>
      <c r="Q12" s="224"/>
      <c r="R12" s="224"/>
    </row>
    <row r="13" spans="1:18" ht="15.75" customHeight="1">
      <c r="A13" s="528"/>
      <c r="B13" s="531"/>
      <c r="C13" s="396" t="s">
        <v>822</v>
      </c>
      <c r="D13" s="392" t="s">
        <v>559</v>
      </c>
      <c r="E13" s="393"/>
      <c r="F13" s="394"/>
      <c r="G13" s="395">
        <v>19.571428571428573</v>
      </c>
      <c r="H13" s="395">
        <v>1093.574799821386</v>
      </c>
      <c r="I13" s="395">
        <v>55.890061289306971</v>
      </c>
      <c r="J13" s="342" t="s">
        <v>818</v>
      </c>
      <c r="K13" s="532"/>
      <c r="L13" s="530"/>
      <c r="P13" s="224"/>
      <c r="Q13" s="224"/>
      <c r="R13" s="224"/>
    </row>
    <row r="14" spans="1:18" ht="15.75" customHeight="1">
      <c r="A14" s="528"/>
      <c r="B14" s="531"/>
      <c r="C14" s="396" t="s">
        <v>823</v>
      </c>
      <c r="D14" s="392" t="s">
        <v>596</v>
      </c>
      <c r="E14" s="393"/>
      <c r="F14" s="394"/>
      <c r="G14" s="395">
        <v>19</v>
      </c>
      <c r="H14" s="395">
        <v>1093.2120960803181</v>
      </c>
      <c r="I14" s="395">
        <v>57.537478741069364</v>
      </c>
      <c r="J14" s="397" t="s">
        <v>821</v>
      </c>
      <c r="K14" s="557" t="s">
        <v>820</v>
      </c>
      <c r="L14" s="558"/>
      <c r="P14" s="224"/>
      <c r="Q14" s="224"/>
      <c r="R14" s="224"/>
    </row>
    <row r="15" spans="1:18" ht="15.75" customHeight="1">
      <c r="A15" s="528"/>
      <c r="B15" s="531"/>
      <c r="C15" s="396" t="s">
        <v>824</v>
      </c>
      <c r="D15" s="392" t="s">
        <v>670</v>
      </c>
      <c r="E15" s="393"/>
      <c r="F15" s="394"/>
      <c r="G15" s="395">
        <v>19.948571428571427</v>
      </c>
      <c r="H15" s="395">
        <v>1151.3079195884106</v>
      </c>
      <c r="I15" s="395">
        <v>57.722968456512945</v>
      </c>
      <c r="J15" s="398" t="s">
        <v>819</v>
      </c>
      <c r="K15" s="559"/>
      <c r="L15" s="560"/>
      <c r="P15" s="224"/>
      <c r="Q15" s="224"/>
      <c r="R15" s="224"/>
    </row>
    <row r="16" spans="1:18" ht="15.75" customHeight="1">
      <c r="A16" s="528"/>
      <c r="B16" s="531"/>
      <c r="C16" s="396" t="s">
        <v>825</v>
      </c>
      <c r="D16" s="392" t="s">
        <v>672</v>
      </c>
      <c r="E16" s="393"/>
      <c r="F16" s="394"/>
      <c r="G16" s="395">
        <v>19.885714285714286</v>
      </c>
      <c r="H16" s="395">
        <v>1244.2755452221263</v>
      </c>
      <c r="I16" s="395">
        <v>62.590944663665255</v>
      </c>
      <c r="J16" s="342" t="s">
        <v>818</v>
      </c>
      <c r="K16" s="529"/>
      <c r="L16" s="530"/>
      <c r="M16" s="115"/>
      <c r="P16" s="224"/>
      <c r="Q16" s="224"/>
      <c r="R16" s="224"/>
    </row>
    <row r="17" spans="1:18" ht="15.75" customHeight="1">
      <c r="A17" s="528"/>
      <c r="B17" s="531"/>
      <c r="C17" s="396" t="s">
        <v>826</v>
      </c>
      <c r="D17" s="400" t="s">
        <v>428</v>
      </c>
      <c r="E17" s="393"/>
      <c r="F17" s="394"/>
      <c r="G17" s="395">
        <v>17.399999999999999</v>
      </c>
      <c r="H17" s="395">
        <v>1099.1209108996372</v>
      </c>
      <c r="I17" s="395">
        <v>63.211526226621572</v>
      </c>
      <c r="J17" s="342" t="s">
        <v>818</v>
      </c>
      <c r="K17" s="533"/>
      <c r="L17" s="530"/>
      <c r="M17" s="115"/>
      <c r="P17" s="224"/>
      <c r="Q17" s="224"/>
      <c r="R17" s="224"/>
    </row>
    <row r="18" spans="1:18" s="120" customFormat="1" ht="15.75" customHeight="1">
      <c r="A18" s="526" t="s">
        <v>811</v>
      </c>
      <c r="B18" s="526"/>
      <c r="C18" s="399" t="s">
        <v>812</v>
      </c>
      <c r="D18" s="526" t="s">
        <v>12</v>
      </c>
      <c r="E18" s="527"/>
      <c r="F18" s="527"/>
      <c r="G18" s="399" t="s">
        <v>813</v>
      </c>
      <c r="H18" s="399" t="s">
        <v>814</v>
      </c>
      <c r="I18" s="399" t="s">
        <v>815</v>
      </c>
      <c r="J18" s="390" t="s">
        <v>816</v>
      </c>
      <c r="K18" s="526" t="s">
        <v>817</v>
      </c>
      <c r="L18" s="527"/>
      <c r="M18" s="142"/>
    </row>
    <row r="19" spans="1:18" ht="15.75" customHeight="1">
      <c r="A19" s="528">
        <v>6</v>
      </c>
      <c r="B19" s="531" t="s">
        <v>131</v>
      </c>
      <c r="C19" s="391">
        <v>1</v>
      </c>
      <c r="D19" s="392" t="s">
        <v>524</v>
      </c>
      <c r="E19" s="393"/>
      <c r="F19" s="394"/>
      <c r="G19" s="395">
        <v>16.014285714285712</v>
      </c>
      <c r="H19" s="395">
        <v>1262.0726235532336</v>
      </c>
      <c r="I19" s="395">
        <v>78.955441892391164</v>
      </c>
      <c r="J19" s="342" t="s">
        <v>818</v>
      </c>
      <c r="K19" s="529"/>
      <c r="L19" s="530"/>
      <c r="M19" s="115"/>
      <c r="P19" s="224"/>
      <c r="Q19" s="224"/>
      <c r="R19" s="224"/>
    </row>
    <row r="20" spans="1:18" ht="15.75" customHeight="1">
      <c r="A20" s="528"/>
      <c r="B20" s="531"/>
      <c r="C20" s="391">
        <v>2</v>
      </c>
      <c r="D20" s="392" t="s">
        <v>374</v>
      </c>
      <c r="E20" s="393"/>
      <c r="F20" s="394"/>
      <c r="G20" s="395">
        <v>16.600000000000001</v>
      </c>
      <c r="H20" s="395">
        <v>1254.3851462564521</v>
      </c>
      <c r="I20" s="395">
        <v>75.639699762633427</v>
      </c>
      <c r="J20" s="342" t="s">
        <v>818</v>
      </c>
      <c r="K20" s="529"/>
      <c r="L20" s="530"/>
      <c r="M20" s="115"/>
      <c r="P20" s="224"/>
      <c r="Q20" s="224"/>
      <c r="R20" s="224"/>
    </row>
    <row r="21" spans="1:18" ht="15.75" customHeight="1">
      <c r="A21" s="528"/>
      <c r="B21" s="531"/>
      <c r="C21" s="391">
        <v>3</v>
      </c>
      <c r="D21" s="392" t="s">
        <v>372</v>
      </c>
      <c r="E21" s="393"/>
      <c r="F21" s="394"/>
      <c r="G21" s="395">
        <v>18</v>
      </c>
      <c r="H21" s="395">
        <v>1261.4033087325547</v>
      </c>
      <c r="I21" s="395">
        <v>70.077961596253019</v>
      </c>
      <c r="J21" s="342" t="s">
        <v>818</v>
      </c>
      <c r="K21" s="529"/>
      <c r="L21" s="530"/>
      <c r="M21" s="115"/>
      <c r="P21" s="224"/>
      <c r="Q21" s="224"/>
      <c r="R21" s="224"/>
    </row>
    <row r="22" spans="1:18" ht="15.75" customHeight="1">
      <c r="A22" s="528"/>
      <c r="B22" s="531"/>
      <c r="C22" s="391">
        <v>4</v>
      </c>
      <c r="D22" s="392" t="s">
        <v>755</v>
      </c>
      <c r="E22" s="393"/>
      <c r="F22" s="394"/>
      <c r="G22" s="395">
        <v>18.035714285714285</v>
      </c>
      <c r="H22" s="395">
        <v>1260.4143090097687</v>
      </c>
      <c r="I22" s="395">
        <v>69.892446422164937</v>
      </c>
      <c r="J22" s="342" t="s">
        <v>818</v>
      </c>
      <c r="K22" s="529"/>
      <c r="L22" s="530"/>
      <c r="M22" s="115"/>
      <c r="P22" s="224"/>
      <c r="Q22" s="224"/>
      <c r="R22" s="224"/>
    </row>
    <row r="23" spans="1:18" ht="15.75" customHeight="1">
      <c r="A23" s="528"/>
      <c r="B23" s="531"/>
      <c r="C23" s="391">
        <v>5</v>
      </c>
      <c r="D23" s="392" t="s">
        <v>454</v>
      </c>
      <c r="E23" s="393"/>
      <c r="F23" s="394"/>
      <c r="G23" s="395">
        <v>18.028571428571428</v>
      </c>
      <c r="H23" s="395">
        <v>1196.4386190739738</v>
      </c>
      <c r="I23" s="395">
        <v>66.436586525698289</v>
      </c>
      <c r="J23" s="397" t="s">
        <v>821</v>
      </c>
      <c r="K23" s="529" t="s">
        <v>820</v>
      </c>
      <c r="L23" s="530"/>
      <c r="M23" s="115"/>
      <c r="P23" s="224"/>
      <c r="Q23" s="224"/>
      <c r="R23" s="224"/>
    </row>
    <row r="24" spans="1:18" ht="15.75" customHeight="1">
      <c r="A24" s="528"/>
      <c r="B24" s="531"/>
      <c r="C24" s="396" t="s">
        <v>822</v>
      </c>
      <c r="D24" s="392" t="s">
        <v>376</v>
      </c>
      <c r="E24" s="393"/>
      <c r="F24" s="394"/>
      <c r="G24" s="395">
        <v>20.122857142857143</v>
      </c>
      <c r="H24" s="395">
        <v>1190.0971881241544</v>
      </c>
      <c r="I24" s="395">
        <v>59.190349114783103</v>
      </c>
      <c r="J24" s="397" t="s">
        <v>821</v>
      </c>
      <c r="K24" s="550" t="s">
        <v>829</v>
      </c>
      <c r="L24" s="551"/>
      <c r="M24" s="115"/>
      <c r="P24" s="224"/>
      <c r="Q24" s="224"/>
      <c r="R24" s="224"/>
    </row>
    <row r="25" spans="1:18" ht="15.75" customHeight="1">
      <c r="A25" s="528"/>
      <c r="B25" s="531"/>
      <c r="C25" s="396" t="s">
        <v>823</v>
      </c>
      <c r="D25" s="392" t="s">
        <v>375</v>
      </c>
      <c r="E25" s="393"/>
      <c r="F25" s="394"/>
      <c r="G25" s="395">
        <v>18.89142857142857</v>
      </c>
      <c r="H25" s="395">
        <v>1127.2762110840831</v>
      </c>
      <c r="I25" s="395">
        <v>59.683176765764266</v>
      </c>
      <c r="J25" s="397" t="s">
        <v>821</v>
      </c>
      <c r="K25" s="552"/>
      <c r="L25" s="553"/>
      <c r="M25" s="115"/>
      <c r="P25" s="224"/>
      <c r="Q25" s="224"/>
      <c r="R25" s="224"/>
    </row>
    <row r="26" spans="1:18" ht="15.75" customHeight="1">
      <c r="A26" s="528"/>
      <c r="B26" s="531"/>
      <c r="C26" s="396" t="s">
        <v>824</v>
      </c>
      <c r="D26" s="392" t="s">
        <v>457</v>
      </c>
      <c r="E26" s="393"/>
      <c r="F26" s="394"/>
      <c r="G26" s="395">
        <v>18.708571428571428</v>
      </c>
      <c r="H26" s="395">
        <v>1185.9055947358363</v>
      </c>
      <c r="I26" s="395">
        <v>63.436169681671728</v>
      </c>
      <c r="J26" s="398" t="s">
        <v>819</v>
      </c>
      <c r="K26" s="552"/>
      <c r="L26" s="553"/>
      <c r="M26" s="115"/>
      <c r="P26" s="224"/>
      <c r="Q26" s="224"/>
      <c r="R26" s="224"/>
    </row>
    <row r="27" spans="1:18" ht="15.75" customHeight="1">
      <c r="A27" s="528"/>
      <c r="B27" s="531"/>
      <c r="C27" s="396" t="s">
        <v>825</v>
      </c>
      <c r="D27" s="392" t="s">
        <v>377</v>
      </c>
      <c r="E27" s="393"/>
      <c r="F27" s="394"/>
      <c r="G27" s="395">
        <v>19.565714285714286</v>
      </c>
      <c r="H27" s="395">
        <v>1244.7989018593901</v>
      </c>
      <c r="I27" s="395">
        <v>63.654120195731785</v>
      </c>
      <c r="J27" s="397" t="s">
        <v>821</v>
      </c>
      <c r="K27" s="552"/>
      <c r="L27" s="553"/>
      <c r="M27" s="115"/>
      <c r="P27" s="224"/>
      <c r="Q27" s="224"/>
      <c r="R27" s="224"/>
    </row>
    <row r="28" spans="1:18" ht="15.75" customHeight="1">
      <c r="A28" s="528"/>
      <c r="B28" s="531"/>
      <c r="C28" s="396" t="s">
        <v>826</v>
      </c>
      <c r="D28" s="400" t="s">
        <v>830</v>
      </c>
      <c r="E28" s="393"/>
      <c r="F28" s="394"/>
      <c r="G28" s="395">
        <v>17.942857142857143</v>
      </c>
      <c r="H28" s="395">
        <v>1162.5478776334387</v>
      </c>
      <c r="I28" s="395">
        <v>64.785742666861097</v>
      </c>
      <c r="J28" s="397" t="s">
        <v>821</v>
      </c>
      <c r="K28" s="554"/>
      <c r="L28" s="555"/>
      <c r="M28" s="115"/>
      <c r="P28" s="224"/>
      <c r="Q28" s="224"/>
      <c r="R28" s="224"/>
    </row>
  </sheetData>
  <mergeCells count="27">
    <mergeCell ref="K8:L8"/>
    <mergeCell ref="K9:L9"/>
    <mergeCell ref="K10:L10"/>
    <mergeCell ref="K16:L16"/>
    <mergeCell ref="K14:L15"/>
    <mergeCell ref="D18:F18"/>
    <mergeCell ref="K17:L17"/>
    <mergeCell ref="K18:L18"/>
    <mergeCell ref="K13:L13"/>
    <mergeCell ref="K11:L12"/>
    <mergeCell ref="A19:A28"/>
    <mergeCell ref="B19:B28"/>
    <mergeCell ref="A8:A17"/>
    <mergeCell ref="B8:B17"/>
    <mergeCell ref="A18:B18"/>
    <mergeCell ref="A1:L2"/>
    <mergeCell ref="A3:L4"/>
    <mergeCell ref="A5:A6"/>
    <mergeCell ref="A7:B7"/>
    <mergeCell ref="D7:F7"/>
    <mergeCell ref="K7:L7"/>
    <mergeCell ref="K24:L28"/>
    <mergeCell ref="K19:L19"/>
    <mergeCell ref="K20:L20"/>
    <mergeCell ref="K21:L21"/>
    <mergeCell ref="K22:L22"/>
    <mergeCell ref="K23:L23"/>
  </mergeCells>
  <phoneticPr fontId="11" type="noConversion"/>
  <printOptions horizontalCentered="1" gridLines="1"/>
  <pageMargins left="0.39370078740157483" right="0.39370078740157483" top="0.39370078740157483" bottom="0.39370078740157483" header="0" footer="0"/>
  <pageSetup paperSize="9" fitToWidth="0" fitToHeight="0" pageOrder="overThenDown" orientation="landscape" cellComments="atEnd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FF0000"/>
    <outlinePr summaryBelow="0" summaryRight="0"/>
  </sheetPr>
  <dimension ref="A1:M28"/>
  <sheetViews>
    <sheetView zoomScaleNormal="100" zoomScaleSheetLayoutView="100" workbookViewId="0">
      <selection activeCell="C7" sqref="C7:L28"/>
    </sheetView>
  </sheetViews>
  <sheetFormatPr defaultColWidth="12.5703125" defaultRowHeight="15.75" customHeight="1"/>
  <cols>
    <col min="1" max="1" width="6.42578125" style="115" customWidth="1"/>
    <col min="2" max="10" width="11.5703125" style="115" customWidth="1"/>
    <col min="11" max="12" width="12.85546875" style="115" customWidth="1"/>
    <col min="13" max="13" width="12.5703125" style="116"/>
    <col min="14" max="16384" width="12.5703125" style="115"/>
  </cols>
  <sheetData>
    <row r="1" spans="1:13" ht="15.75" customHeight="1">
      <c r="A1" s="405" t="s">
        <v>202</v>
      </c>
      <c r="B1" s="405"/>
      <c r="C1" s="405"/>
      <c r="D1" s="405"/>
      <c r="E1" s="405"/>
      <c r="F1" s="405"/>
      <c r="G1" s="405"/>
      <c r="H1" s="405"/>
      <c r="I1" s="405"/>
      <c r="J1" s="405"/>
      <c r="K1" s="405"/>
      <c r="L1" s="405"/>
      <c r="M1" s="115"/>
    </row>
    <row r="2" spans="1:13" s="116" customFormat="1" ht="15.75" customHeight="1">
      <c r="A2" s="405"/>
      <c r="B2" s="405"/>
      <c r="C2" s="405"/>
      <c r="D2" s="405"/>
      <c r="E2" s="405"/>
      <c r="F2" s="405"/>
      <c r="G2" s="405"/>
      <c r="H2" s="405"/>
      <c r="I2" s="405"/>
      <c r="J2" s="405"/>
      <c r="K2" s="405"/>
      <c r="L2" s="405"/>
    </row>
    <row r="3" spans="1:13" ht="15.75" customHeight="1">
      <c r="A3" s="535" t="s">
        <v>203</v>
      </c>
      <c r="B3" s="535"/>
      <c r="C3" s="535"/>
      <c r="D3" s="535"/>
      <c r="E3" s="535"/>
      <c r="F3" s="535"/>
      <c r="G3" s="535"/>
      <c r="H3" s="535"/>
      <c r="I3" s="535"/>
      <c r="J3" s="535"/>
      <c r="K3" s="535"/>
      <c r="L3" s="535"/>
      <c r="M3" s="115"/>
    </row>
    <row r="4" spans="1:13" s="116" customFormat="1" ht="15.75" customHeight="1">
      <c r="A4" s="535"/>
      <c r="B4" s="535"/>
      <c r="C4" s="535"/>
      <c r="D4" s="535"/>
      <c r="E4" s="535"/>
      <c r="F4" s="535"/>
      <c r="G4" s="535"/>
      <c r="H4" s="535"/>
      <c r="I4" s="535"/>
      <c r="J4" s="535"/>
      <c r="K4" s="535"/>
      <c r="L4" s="535"/>
    </row>
    <row r="5" spans="1:13" s="122" customFormat="1" ht="16.350000000000001" customHeight="1">
      <c r="A5" s="566" t="s">
        <v>154</v>
      </c>
      <c r="B5" s="143">
        <v>1</v>
      </c>
      <c r="C5" s="143">
        <v>2</v>
      </c>
      <c r="D5" s="143">
        <v>3</v>
      </c>
      <c r="E5" s="143">
        <v>4</v>
      </c>
      <c r="F5" s="143">
        <v>5</v>
      </c>
      <c r="G5" s="143">
        <v>6</v>
      </c>
      <c r="H5" s="151">
        <v>7</v>
      </c>
      <c r="I5" s="151">
        <v>8</v>
      </c>
      <c r="J5" s="143">
        <v>9</v>
      </c>
      <c r="K5" s="141"/>
      <c r="L5" s="141"/>
      <c r="M5" s="141"/>
    </row>
    <row r="6" spans="1:13" ht="16.350000000000001" customHeight="1">
      <c r="A6" s="567"/>
      <c r="B6" s="144" t="s">
        <v>204</v>
      </c>
      <c r="C6" s="144" t="s">
        <v>151</v>
      </c>
      <c r="D6" s="144" t="s">
        <v>205</v>
      </c>
      <c r="E6" s="144" t="s">
        <v>153</v>
      </c>
      <c r="F6" s="132" t="s">
        <v>133</v>
      </c>
      <c r="G6" s="145" t="s">
        <v>131</v>
      </c>
      <c r="H6" s="152" t="s">
        <v>206</v>
      </c>
      <c r="I6" s="154" t="s">
        <v>207</v>
      </c>
      <c r="J6" s="145" t="s">
        <v>137</v>
      </c>
      <c r="K6" s="142"/>
      <c r="L6" s="142"/>
    </row>
    <row r="7" spans="1:13" s="122" customFormat="1" ht="15.75" customHeight="1">
      <c r="A7" s="568" t="s">
        <v>639</v>
      </c>
      <c r="B7" s="569"/>
      <c r="C7" s="389" t="s">
        <v>812</v>
      </c>
      <c r="D7" s="570" t="s">
        <v>12</v>
      </c>
      <c r="E7" s="571"/>
      <c r="F7" s="572"/>
      <c r="G7" s="389" t="s">
        <v>813</v>
      </c>
      <c r="H7" s="389" t="s">
        <v>814</v>
      </c>
      <c r="I7" s="389" t="s">
        <v>815</v>
      </c>
      <c r="J7" s="390" t="s">
        <v>816</v>
      </c>
      <c r="K7" s="570" t="s">
        <v>817</v>
      </c>
      <c r="L7" s="572"/>
      <c r="M7" s="141"/>
    </row>
    <row r="8" spans="1:13" ht="15.75" customHeight="1">
      <c r="A8" s="566">
        <v>7</v>
      </c>
      <c r="B8" s="574" t="s">
        <v>135</v>
      </c>
      <c r="C8" s="391">
        <v>1</v>
      </c>
      <c r="D8" s="392" t="s">
        <v>518</v>
      </c>
      <c r="E8" s="393"/>
      <c r="F8" s="394"/>
      <c r="G8" s="395">
        <v>12.7</v>
      </c>
      <c r="H8" s="395">
        <v>1114.9113954825725</v>
      </c>
      <c r="I8" s="395">
        <v>87.90714286108313</v>
      </c>
      <c r="J8" s="342" t="s">
        <v>818</v>
      </c>
      <c r="K8" s="563"/>
      <c r="L8" s="564"/>
    </row>
    <row r="9" spans="1:13" ht="15.75" customHeight="1">
      <c r="A9" s="573"/>
      <c r="B9" s="575"/>
      <c r="C9" s="391">
        <v>2</v>
      </c>
      <c r="D9" s="400" t="s">
        <v>831</v>
      </c>
      <c r="E9" s="393"/>
      <c r="F9" s="394"/>
      <c r="G9" s="395">
        <v>16.994285714285716</v>
      </c>
      <c r="H9" s="395">
        <v>1306.1447657028978</v>
      </c>
      <c r="I9" s="395">
        <v>76.953917885086639</v>
      </c>
      <c r="J9" s="398" t="s">
        <v>819</v>
      </c>
      <c r="K9" s="561" t="s">
        <v>832</v>
      </c>
      <c r="L9" s="562"/>
    </row>
    <row r="10" spans="1:13" ht="15.75" customHeight="1">
      <c r="A10" s="573"/>
      <c r="B10" s="575"/>
      <c r="C10" s="391">
        <v>3</v>
      </c>
      <c r="D10" s="392" t="s">
        <v>599</v>
      </c>
      <c r="E10" s="393"/>
      <c r="F10" s="394"/>
      <c r="G10" s="395">
        <v>17.662857142857142</v>
      </c>
      <c r="H10" s="395">
        <v>1315.4119333761096</v>
      </c>
      <c r="I10" s="395">
        <v>74.538120185660361</v>
      </c>
      <c r="J10" s="342" t="s">
        <v>818</v>
      </c>
      <c r="K10" s="561"/>
      <c r="L10" s="562"/>
    </row>
    <row r="11" spans="1:13" ht="15.75" customHeight="1">
      <c r="A11" s="573"/>
      <c r="B11" s="575"/>
      <c r="C11" s="391">
        <v>4</v>
      </c>
      <c r="D11" s="392" t="s">
        <v>566</v>
      </c>
      <c r="E11" s="393"/>
      <c r="F11" s="394"/>
      <c r="G11" s="395">
        <v>17.942857142857143</v>
      </c>
      <c r="H11" s="395">
        <v>1308.1180237234908</v>
      </c>
      <c r="I11" s="395">
        <v>72.918653521710354</v>
      </c>
      <c r="J11" s="342" t="s">
        <v>818</v>
      </c>
      <c r="K11" s="561"/>
      <c r="L11" s="562"/>
    </row>
    <row r="12" spans="1:13" ht="15.75" customHeight="1">
      <c r="A12" s="573"/>
      <c r="B12" s="575"/>
      <c r="C12" s="391">
        <v>5</v>
      </c>
      <c r="D12" s="392" t="s">
        <v>674</v>
      </c>
      <c r="E12" s="393"/>
      <c r="F12" s="394"/>
      <c r="G12" s="395">
        <v>17.7</v>
      </c>
      <c r="H12" s="395">
        <v>1280.819639023417</v>
      </c>
      <c r="I12" s="395">
        <v>72.376315341972855</v>
      </c>
      <c r="J12" s="342" t="s">
        <v>818</v>
      </c>
      <c r="K12" s="561"/>
      <c r="L12" s="562"/>
    </row>
    <row r="13" spans="1:13" ht="15.75" customHeight="1">
      <c r="A13" s="573"/>
      <c r="B13" s="575"/>
      <c r="C13" s="396" t="s">
        <v>822</v>
      </c>
      <c r="D13" s="400" t="s">
        <v>675</v>
      </c>
      <c r="E13" s="393"/>
      <c r="F13" s="394"/>
      <c r="G13" s="395">
        <v>19.047619047619047</v>
      </c>
      <c r="H13" s="395">
        <v>1068.4900302828578</v>
      </c>
      <c r="I13" s="395">
        <v>56.169684409301539</v>
      </c>
      <c r="J13" s="342" t="s">
        <v>818</v>
      </c>
      <c r="K13" s="565"/>
      <c r="L13" s="562"/>
    </row>
    <row r="14" spans="1:13" ht="15.75" customHeight="1">
      <c r="A14" s="573"/>
      <c r="B14" s="575"/>
      <c r="C14" s="396" t="s">
        <v>823</v>
      </c>
      <c r="D14" s="392"/>
      <c r="E14" s="393"/>
      <c r="F14" s="394"/>
      <c r="G14" s="395"/>
      <c r="H14" s="395"/>
      <c r="I14" s="395"/>
      <c r="J14" s="342" t="s">
        <v>818</v>
      </c>
      <c r="K14" s="565"/>
      <c r="L14" s="562"/>
    </row>
    <row r="15" spans="1:13" ht="15.75" customHeight="1">
      <c r="A15" s="573"/>
      <c r="B15" s="575"/>
      <c r="C15" s="396" t="s">
        <v>824</v>
      </c>
      <c r="D15" s="392"/>
      <c r="E15" s="393"/>
      <c r="F15" s="394"/>
      <c r="G15" s="395"/>
      <c r="H15" s="395"/>
      <c r="I15" s="395"/>
      <c r="J15" s="342" t="s">
        <v>818</v>
      </c>
      <c r="K15" s="565"/>
      <c r="L15" s="562"/>
    </row>
    <row r="16" spans="1:13" ht="15.75" customHeight="1">
      <c r="A16" s="573"/>
      <c r="B16" s="575"/>
      <c r="C16" s="396" t="s">
        <v>825</v>
      </c>
      <c r="D16" s="392"/>
      <c r="E16" s="393"/>
      <c r="F16" s="394"/>
      <c r="G16" s="395"/>
      <c r="H16" s="395"/>
      <c r="I16" s="395"/>
      <c r="J16" s="342" t="s">
        <v>818</v>
      </c>
      <c r="K16" s="565"/>
      <c r="L16" s="562"/>
      <c r="M16" s="115"/>
    </row>
    <row r="17" spans="1:13" ht="15.75" customHeight="1">
      <c r="A17" s="567"/>
      <c r="B17" s="576"/>
      <c r="C17" s="396" t="s">
        <v>826</v>
      </c>
      <c r="D17" s="392"/>
      <c r="E17" s="393"/>
      <c r="F17" s="394"/>
      <c r="G17" s="343"/>
      <c r="H17" s="343"/>
      <c r="I17" s="343"/>
      <c r="J17" s="343"/>
      <c r="K17" s="565"/>
      <c r="L17" s="562"/>
      <c r="M17" s="115"/>
    </row>
    <row r="18" spans="1:13" s="120" customFormat="1" ht="15.75" customHeight="1">
      <c r="A18" s="577" t="s">
        <v>639</v>
      </c>
      <c r="B18" s="578"/>
      <c r="C18" s="399" t="s">
        <v>812</v>
      </c>
      <c r="D18" s="579" t="s">
        <v>12</v>
      </c>
      <c r="E18" s="580"/>
      <c r="F18" s="581"/>
      <c r="G18" s="399" t="s">
        <v>813</v>
      </c>
      <c r="H18" s="399" t="s">
        <v>814</v>
      </c>
      <c r="I18" s="399" t="s">
        <v>815</v>
      </c>
      <c r="J18" s="390" t="s">
        <v>816</v>
      </c>
      <c r="K18" s="579" t="s">
        <v>817</v>
      </c>
      <c r="L18" s="581"/>
      <c r="M18" s="142"/>
    </row>
    <row r="19" spans="1:13" ht="15.75" customHeight="1">
      <c r="A19" s="566">
        <v>8</v>
      </c>
      <c r="B19" s="574" t="s">
        <v>136</v>
      </c>
      <c r="C19" s="391">
        <v>1</v>
      </c>
      <c r="D19" s="392" t="s">
        <v>381</v>
      </c>
      <c r="E19" s="393"/>
      <c r="F19" s="394"/>
      <c r="G19" s="395">
        <v>18.828571428571429</v>
      </c>
      <c r="H19" s="395">
        <v>2477.1382216091215</v>
      </c>
      <c r="I19" s="395">
        <v>131.60955253873743</v>
      </c>
      <c r="J19" s="342" t="s">
        <v>818</v>
      </c>
      <c r="K19" s="586" t="s">
        <v>833</v>
      </c>
      <c r="L19" s="587"/>
      <c r="M19" s="115"/>
    </row>
    <row r="20" spans="1:13" ht="15.75" customHeight="1">
      <c r="A20" s="573"/>
      <c r="B20" s="575"/>
      <c r="C20" s="391">
        <v>2</v>
      </c>
      <c r="D20" s="392" t="s">
        <v>380</v>
      </c>
      <c r="E20" s="393"/>
      <c r="F20" s="394"/>
      <c r="G20" s="395">
        <v>18.828571428571429</v>
      </c>
      <c r="H20" s="395">
        <v>2462.4230791280397</v>
      </c>
      <c r="I20" s="395">
        <v>130.8310010500214</v>
      </c>
      <c r="J20" s="398" t="s">
        <v>819</v>
      </c>
      <c r="K20" s="588"/>
      <c r="L20" s="589"/>
      <c r="M20" s="115"/>
    </row>
    <row r="21" spans="1:13" ht="15.75" customHeight="1">
      <c r="A21" s="573"/>
      <c r="B21" s="575"/>
      <c r="C21" s="391">
        <v>3</v>
      </c>
      <c r="D21" s="392" t="s">
        <v>379</v>
      </c>
      <c r="E21" s="393"/>
      <c r="F21" s="394"/>
      <c r="G21" s="395">
        <v>18.828571428571429</v>
      </c>
      <c r="H21" s="395">
        <v>2458.473224577107</v>
      </c>
      <c r="I21" s="395">
        <v>130.62447911730126</v>
      </c>
      <c r="J21" s="397" t="s">
        <v>821</v>
      </c>
      <c r="K21" s="590"/>
      <c r="L21" s="591"/>
      <c r="M21" s="115"/>
    </row>
    <row r="22" spans="1:13" ht="15.75" customHeight="1">
      <c r="A22" s="573"/>
      <c r="B22" s="575"/>
      <c r="C22" s="391">
        <v>4</v>
      </c>
      <c r="D22" s="392" t="s">
        <v>525</v>
      </c>
      <c r="E22" s="393"/>
      <c r="F22" s="394"/>
      <c r="G22" s="395">
        <v>19</v>
      </c>
      <c r="H22" s="395">
        <v>2019.9559707418061</v>
      </c>
      <c r="I22" s="395">
        <v>106.31347214430559</v>
      </c>
      <c r="J22" s="398" t="s">
        <v>819</v>
      </c>
      <c r="K22" s="556" t="s">
        <v>820</v>
      </c>
      <c r="L22" s="542"/>
      <c r="M22" s="115"/>
    </row>
    <row r="23" spans="1:13" ht="15.75" customHeight="1">
      <c r="A23" s="573"/>
      <c r="B23" s="575"/>
      <c r="C23" s="391">
        <v>5</v>
      </c>
      <c r="D23" s="392" t="s">
        <v>378</v>
      </c>
      <c r="E23" s="393"/>
      <c r="F23" s="394"/>
      <c r="G23" s="395">
        <v>19.919999999999998</v>
      </c>
      <c r="H23" s="395">
        <v>2096.3346646213408</v>
      </c>
      <c r="I23" s="395">
        <v>105.24629458504486</v>
      </c>
      <c r="J23" s="397" t="s">
        <v>573</v>
      </c>
      <c r="K23" s="545"/>
      <c r="L23" s="546"/>
      <c r="M23" s="115"/>
    </row>
    <row r="24" spans="1:13" ht="15.75" customHeight="1">
      <c r="A24" s="573"/>
      <c r="B24" s="575"/>
      <c r="C24" s="396" t="s">
        <v>822</v>
      </c>
      <c r="D24" s="392"/>
      <c r="E24" s="393"/>
      <c r="F24" s="394"/>
      <c r="G24" s="343"/>
      <c r="H24" s="343"/>
      <c r="I24" s="343"/>
      <c r="J24" s="343"/>
      <c r="K24" s="584"/>
      <c r="L24" s="585"/>
      <c r="M24" s="115"/>
    </row>
    <row r="25" spans="1:13" ht="15.75" customHeight="1">
      <c r="A25" s="573"/>
      <c r="B25" s="575"/>
      <c r="C25" s="396" t="s">
        <v>823</v>
      </c>
      <c r="D25" s="392"/>
      <c r="E25" s="393"/>
      <c r="F25" s="394"/>
      <c r="G25" s="343"/>
      <c r="H25" s="343"/>
      <c r="I25" s="343"/>
      <c r="J25" s="343"/>
      <c r="K25" s="582"/>
      <c r="L25" s="583"/>
      <c r="M25" s="115"/>
    </row>
    <row r="26" spans="1:13" ht="15.75" customHeight="1">
      <c r="A26" s="573"/>
      <c r="B26" s="575"/>
      <c r="C26" s="396" t="s">
        <v>824</v>
      </c>
      <c r="D26" s="392"/>
      <c r="E26" s="393"/>
      <c r="F26" s="394"/>
      <c r="G26" s="343"/>
      <c r="H26" s="343"/>
      <c r="I26" s="343"/>
      <c r="J26" s="343"/>
      <c r="K26" s="582"/>
      <c r="L26" s="583"/>
      <c r="M26" s="115"/>
    </row>
    <row r="27" spans="1:13" ht="15.75" customHeight="1">
      <c r="A27" s="573"/>
      <c r="B27" s="575"/>
      <c r="C27" s="396" t="s">
        <v>825</v>
      </c>
      <c r="D27" s="392"/>
      <c r="E27" s="393"/>
      <c r="F27" s="394"/>
      <c r="G27" s="343"/>
      <c r="H27" s="343"/>
      <c r="I27" s="343"/>
      <c r="J27" s="343"/>
      <c r="K27" s="582"/>
      <c r="L27" s="583"/>
      <c r="M27" s="115"/>
    </row>
    <row r="28" spans="1:13" ht="15.75" customHeight="1">
      <c r="A28" s="567"/>
      <c r="B28" s="576"/>
      <c r="C28" s="396" t="s">
        <v>826</v>
      </c>
      <c r="D28" s="392"/>
      <c r="E28" s="393"/>
      <c r="F28" s="394"/>
      <c r="G28" s="343"/>
      <c r="H28" s="343"/>
      <c r="I28" s="343"/>
      <c r="J28" s="343"/>
      <c r="K28" s="582"/>
      <c r="L28" s="583"/>
      <c r="M28" s="115"/>
    </row>
  </sheetData>
  <mergeCells count="30">
    <mergeCell ref="A19:A28"/>
    <mergeCell ref="B19:B28"/>
    <mergeCell ref="K28:L28"/>
    <mergeCell ref="K24:L24"/>
    <mergeCell ref="K25:L25"/>
    <mergeCell ref="K19:L21"/>
    <mergeCell ref="K27:L27"/>
    <mergeCell ref="K26:L26"/>
    <mergeCell ref="K13:L13"/>
    <mergeCell ref="K15:L15"/>
    <mergeCell ref="A18:B18"/>
    <mergeCell ref="D18:F18"/>
    <mergeCell ref="K18:L18"/>
    <mergeCell ref="K14:L14"/>
    <mergeCell ref="K11:L11"/>
    <mergeCell ref="K12:L12"/>
    <mergeCell ref="K22:L23"/>
    <mergeCell ref="A1:L2"/>
    <mergeCell ref="K8:L8"/>
    <mergeCell ref="K9:L9"/>
    <mergeCell ref="K16:L16"/>
    <mergeCell ref="A3:L4"/>
    <mergeCell ref="A5:A6"/>
    <mergeCell ref="A7:B7"/>
    <mergeCell ref="D7:F7"/>
    <mergeCell ref="K7:L7"/>
    <mergeCell ref="A8:A17"/>
    <mergeCell ref="B8:B17"/>
    <mergeCell ref="K10:L10"/>
    <mergeCell ref="K17:L17"/>
  </mergeCells>
  <phoneticPr fontId="11" type="noConversion"/>
  <printOptions horizontalCentered="1" gridLines="1"/>
  <pageMargins left="0.39370078740157483" right="0.39370078740157483" top="0.39370078740157483" bottom="0.39370078740157483" header="0" footer="0"/>
  <pageSetup paperSize="9" fitToWidth="0" fitToHeight="0" pageOrder="overThenDown" orientation="landscape" cellComments="atEnd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FF0000"/>
    <outlinePr summaryBelow="0" summaryRight="0"/>
  </sheetPr>
  <dimension ref="A1:M28"/>
  <sheetViews>
    <sheetView zoomScaleNormal="100" zoomScaleSheetLayoutView="100" workbookViewId="0">
      <selection activeCell="N23" sqref="N23"/>
    </sheetView>
  </sheetViews>
  <sheetFormatPr defaultColWidth="12.5703125" defaultRowHeight="15.75" customHeight="1"/>
  <cols>
    <col min="1" max="1" width="6.42578125" style="115" customWidth="1"/>
    <col min="2" max="10" width="11.5703125" style="115" customWidth="1"/>
    <col min="11" max="12" width="12.85546875" style="115" customWidth="1"/>
    <col min="13" max="13" width="12.5703125" style="116"/>
    <col min="14" max="16384" width="12.5703125" style="115"/>
  </cols>
  <sheetData>
    <row r="1" spans="1:13" ht="15.75" customHeight="1">
      <c r="A1" s="405" t="s">
        <v>202</v>
      </c>
      <c r="B1" s="405"/>
      <c r="C1" s="405"/>
      <c r="D1" s="405"/>
      <c r="E1" s="405"/>
      <c r="F1" s="405"/>
      <c r="G1" s="405"/>
      <c r="H1" s="405"/>
      <c r="I1" s="405"/>
      <c r="J1" s="405"/>
      <c r="K1" s="405"/>
      <c r="L1" s="405"/>
      <c r="M1" s="115"/>
    </row>
    <row r="2" spans="1:13" s="116" customFormat="1" ht="15.75" customHeight="1">
      <c r="A2" s="405"/>
      <c r="B2" s="405"/>
      <c r="C2" s="405"/>
      <c r="D2" s="405"/>
      <c r="E2" s="405"/>
      <c r="F2" s="405"/>
      <c r="G2" s="405"/>
      <c r="H2" s="405"/>
      <c r="I2" s="405"/>
      <c r="J2" s="405"/>
      <c r="K2" s="405"/>
      <c r="L2" s="405"/>
    </row>
    <row r="3" spans="1:13" ht="15.75" customHeight="1">
      <c r="A3" s="535" t="s">
        <v>203</v>
      </c>
      <c r="B3" s="535"/>
      <c r="C3" s="535"/>
      <c r="D3" s="535"/>
      <c r="E3" s="535"/>
      <c r="F3" s="535"/>
      <c r="G3" s="535"/>
      <c r="H3" s="535"/>
      <c r="I3" s="535"/>
      <c r="J3" s="535"/>
      <c r="K3" s="535"/>
      <c r="L3" s="535"/>
      <c r="M3" s="115"/>
    </row>
    <row r="4" spans="1:13" s="116" customFormat="1" ht="15.75" customHeight="1">
      <c r="A4" s="535"/>
      <c r="B4" s="535"/>
      <c r="C4" s="535"/>
      <c r="D4" s="535"/>
      <c r="E4" s="535"/>
      <c r="F4" s="535"/>
      <c r="G4" s="535"/>
      <c r="H4" s="535"/>
      <c r="I4" s="535"/>
      <c r="J4" s="535"/>
      <c r="K4" s="535"/>
      <c r="L4" s="535"/>
    </row>
    <row r="5" spans="1:13" s="122" customFormat="1" ht="16.350000000000001" customHeight="1">
      <c r="A5" s="566" t="s">
        <v>154</v>
      </c>
      <c r="B5" s="143">
        <v>1</v>
      </c>
      <c r="C5" s="143">
        <v>2</v>
      </c>
      <c r="D5" s="143">
        <v>3</v>
      </c>
      <c r="E5" s="143">
        <v>4</v>
      </c>
      <c r="F5" s="143">
        <v>5</v>
      </c>
      <c r="G5" s="143">
        <v>6</v>
      </c>
      <c r="H5" s="143">
        <v>7</v>
      </c>
      <c r="I5" s="143">
        <v>8</v>
      </c>
      <c r="J5" s="151">
        <v>9</v>
      </c>
      <c r="K5" s="141"/>
      <c r="L5" s="141"/>
      <c r="M5" s="141"/>
    </row>
    <row r="6" spans="1:13" ht="16.350000000000001" customHeight="1">
      <c r="A6" s="567"/>
      <c r="B6" s="144" t="s">
        <v>204</v>
      </c>
      <c r="C6" s="144" t="s">
        <v>151</v>
      </c>
      <c r="D6" s="144" t="s">
        <v>205</v>
      </c>
      <c r="E6" s="144" t="s">
        <v>153</v>
      </c>
      <c r="F6" s="132" t="s">
        <v>133</v>
      </c>
      <c r="G6" s="145" t="s">
        <v>131</v>
      </c>
      <c r="H6" s="146" t="s">
        <v>206</v>
      </c>
      <c r="I6" s="145" t="s">
        <v>207</v>
      </c>
      <c r="J6" s="154" t="s">
        <v>137</v>
      </c>
      <c r="K6" s="142"/>
      <c r="L6" s="142"/>
    </row>
    <row r="7" spans="1:13" s="122" customFormat="1" ht="15.75" customHeight="1">
      <c r="A7" s="568" t="s">
        <v>639</v>
      </c>
      <c r="B7" s="569"/>
      <c r="C7" s="389" t="s">
        <v>812</v>
      </c>
      <c r="D7" s="570" t="s">
        <v>12</v>
      </c>
      <c r="E7" s="571"/>
      <c r="F7" s="572"/>
      <c r="G7" s="389" t="s">
        <v>813</v>
      </c>
      <c r="H7" s="389" t="s">
        <v>814</v>
      </c>
      <c r="I7" s="389" t="s">
        <v>815</v>
      </c>
      <c r="J7" s="390" t="s">
        <v>816</v>
      </c>
      <c r="K7" s="570" t="s">
        <v>817</v>
      </c>
      <c r="L7" s="572"/>
      <c r="M7" s="141"/>
    </row>
    <row r="8" spans="1:13" ht="15.75" customHeight="1">
      <c r="A8" s="566">
        <v>9</v>
      </c>
      <c r="B8" s="574" t="s">
        <v>137</v>
      </c>
      <c r="C8" s="391">
        <v>1</v>
      </c>
      <c r="D8" s="392" t="s">
        <v>834</v>
      </c>
      <c r="E8" s="393"/>
      <c r="F8" s="394"/>
      <c r="G8" s="395">
        <v>6.2857142857142856</v>
      </c>
      <c r="H8" s="395">
        <v>1362.9145819993855</v>
      </c>
      <c r="I8" s="395">
        <v>218.02884027670035</v>
      </c>
      <c r="J8" s="398" t="s">
        <v>819</v>
      </c>
      <c r="K8" s="592" t="s">
        <v>835</v>
      </c>
      <c r="L8" s="593"/>
    </row>
    <row r="9" spans="1:13" ht="15.75" customHeight="1">
      <c r="A9" s="573"/>
      <c r="B9" s="575"/>
      <c r="C9" s="391">
        <v>2</v>
      </c>
      <c r="D9" s="392" t="s">
        <v>420</v>
      </c>
      <c r="E9" s="393"/>
      <c r="F9" s="394"/>
      <c r="G9" s="395">
        <v>7</v>
      </c>
      <c r="H9" s="395">
        <v>1457.287987092544</v>
      </c>
      <c r="I9" s="395">
        <v>208.18399815607768</v>
      </c>
      <c r="J9" s="397" t="s">
        <v>821</v>
      </c>
      <c r="K9" s="594"/>
      <c r="L9" s="595"/>
    </row>
    <row r="10" spans="1:13" ht="15.75" customHeight="1">
      <c r="A10" s="573"/>
      <c r="B10" s="575"/>
      <c r="C10" s="391">
        <v>3</v>
      </c>
      <c r="D10" s="392" t="s">
        <v>384</v>
      </c>
      <c r="E10" s="393"/>
      <c r="F10" s="394"/>
      <c r="G10" s="395">
        <v>7</v>
      </c>
      <c r="H10" s="395">
        <v>1453.2088428116247</v>
      </c>
      <c r="I10" s="395">
        <v>207.60126325880356</v>
      </c>
      <c r="J10" s="342" t="s">
        <v>818</v>
      </c>
      <c r="K10" s="594"/>
      <c r="L10" s="595"/>
    </row>
    <row r="11" spans="1:13" ht="15.75" customHeight="1">
      <c r="A11" s="573"/>
      <c r="B11" s="575"/>
      <c r="C11" s="391">
        <v>4</v>
      </c>
      <c r="D11" s="400" t="s">
        <v>836</v>
      </c>
      <c r="E11" s="393"/>
      <c r="F11" s="394"/>
      <c r="G11" s="395">
        <v>5.6228571428571428</v>
      </c>
      <c r="H11" s="395">
        <v>1143.4763995209928</v>
      </c>
      <c r="I11" s="395">
        <v>205.60360011044199</v>
      </c>
      <c r="J11" s="397" t="s">
        <v>821</v>
      </c>
      <c r="K11" s="594"/>
      <c r="L11" s="595"/>
    </row>
    <row r="12" spans="1:13" ht="15.75" customHeight="1">
      <c r="A12" s="573"/>
      <c r="B12" s="575"/>
      <c r="C12" s="391">
        <v>5</v>
      </c>
      <c r="D12" s="392" t="s">
        <v>383</v>
      </c>
      <c r="E12" s="393"/>
      <c r="F12" s="394"/>
      <c r="G12" s="395">
        <v>7</v>
      </c>
      <c r="H12" s="395">
        <v>1310.6659913469041</v>
      </c>
      <c r="I12" s="395">
        <v>187.23799876384342</v>
      </c>
      <c r="J12" s="342" t="s">
        <v>818</v>
      </c>
      <c r="K12" s="596"/>
      <c r="L12" s="597"/>
    </row>
    <row r="13" spans="1:13" ht="15.75" customHeight="1">
      <c r="A13" s="573"/>
      <c r="B13" s="575"/>
      <c r="C13" s="396" t="s">
        <v>822</v>
      </c>
      <c r="D13" s="392" t="s">
        <v>453</v>
      </c>
      <c r="E13" s="393"/>
      <c r="F13" s="394"/>
      <c r="G13" s="395">
        <v>19</v>
      </c>
      <c r="H13" s="395">
        <v>1129.4117647058808</v>
      </c>
      <c r="I13" s="395">
        <v>59.442724458204253</v>
      </c>
      <c r="J13" s="342" t="s">
        <v>818</v>
      </c>
      <c r="K13" s="563"/>
      <c r="L13" s="564"/>
    </row>
    <row r="14" spans="1:13" ht="15.75" customHeight="1">
      <c r="A14" s="573"/>
      <c r="B14" s="575"/>
      <c r="C14" s="396" t="s">
        <v>823</v>
      </c>
      <c r="D14" s="392" t="s">
        <v>338</v>
      </c>
      <c r="E14" s="393"/>
      <c r="F14" s="394"/>
      <c r="G14" s="395">
        <v>18.16</v>
      </c>
      <c r="H14" s="395">
        <v>1277.6282225965169</v>
      </c>
      <c r="I14" s="395">
        <v>70.384588379969387</v>
      </c>
      <c r="J14" s="342" t="s">
        <v>818</v>
      </c>
      <c r="K14" s="565"/>
      <c r="L14" s="562"/>
    </row>
    <row r="15" spans="1:13" ht="15.75" customHeight="1">
      <c r="A15" s="573"/>
      <c r="B15" s="575"/>
      <c r="C15" s="396" t="s">
        <v>824</v>
      </c>
      <c r="D15" s="392" t="s">
        <v>385</v>
      </c>
      <c r="E15" s="393"/>
      <c r="F15" s="394"/>
      <c r="G15" s="395">
        <v>16.902857142857144</v>
      </c>
      <c r="H15" s="395">
        <v>1258.6133822541972</v>
      </c>
      <c r="I15" s="395">
        <v>74.511729209488905</v>
      </c>
      <c r="J15" s="342" t="s">
        <v>818</v>
      </c>
      <c r="K15" s="565"/>
      <c r="L15" s="562"/>
    </row>
    <row r="16" spans="1:13" ht="15.75" customHeight="1">
      <c r="A16" s="573"/>
      <c r="B16" s="575"/>
      <c r="C16" s="396" t="s">
        <v>825</v>
      </c>
      <c r="D16" s="392"/>
      <c r="E16" s="393"/>
      <c r="F16" s="394"/>
      <c r="G16" s="395"/>
      <c r="H16" s="395"/>
      <c r="I16" s="395"/>
      <c r="J16" s="398"/>
      <c r="K16" s="565"/>
      <c r="L16" s="562"/>
      <c r="M16" s="115"/>
    </row>
    <row r="17" spans="1:13" ht="15.75" customHeight="1">
      <c r="A17" s="567"/>
      <c r="B17" s="576"/>
      <c r="C17" s="396" t="s">
        <v>826</v>
      </c>
      <c r="D17" s="392"/>
      <c r="E17" s="393"/>
      <c r="F17" s="394"/>
      <c r="G17" s="343"/>
      <c r="H17" s="343"/>
      <c r="I17" s="343"/>
      <c r="J17" s="343"/>
      <c r="K17" s="565"/>
      <c r="L17" s="562"/>
      <c r="M17" s="115"/>
    </row>
    <row r="18" spans="1:13" s="120" customFormat="1" ht="15.75" customHeight="1">
      <c r="A18" s="577" t="s">
        <v>185</v>
      </c>
      <c r="B18" s="578"/>
      <c r="C18" s="236" t="s">
        <v>414</v>
      </c>
      <c r="D18" s="577" t="s">
        <v>12</v>
      </c>
      <c r="E18" s="603"/>
      <c r="F18" s="578"/>
      <c r="G18" s="236" t="s">
        <v>409</v>
      </c>
      <c r="H18" s="236" t="s">
        <v>410</v>
      </c>
      <c r="I18" s="236" t="s">
        <v>411</v>
      </c>
      <c r="J18" s="197" t="s">
        <v>412</v>
      </c>
      <c r="K18" s="577" t="s">
        <v>413</v>
      </c>
      <c r="L18" s="578"/>
      <c r="M18" s="142"/>
    </row>
    <row r="19" spans="1:13" ht="15.75" customHeight="1">
      <c r="A19" s="566"/>
      <c r="B19" s="574"/>
      <c r="C19" s="123">
        <v>1</v>
      </c>
      <c r="D19" s="598"/>
      <c r="E19" s="604"/>
      <c r="F19" s="599"/>
      <c r="G19" s="149"/>
      <c r="H19" s="149"/>
      <c r="I19" s="149"/>
      <c r="J19" s="149"/>
      <c r="K19" s="598"/>
      <c r="L19" s="599"/>
      <c r="M19" s="115"/>
    </row>
    <row r="20" spans="1:13" ht="15.75" customHeight="1">
      <c r="A20" s="573"/>
      <c r="B20" s="575"/>
      <c r="C20" s="123">
        <v>2</v>
      </c>
      <c r="D20" s="600"/>
      <c r="E20" s="601"/>
      <c r="F20" s="602"/>
      <c r="G20" s="149"/>
      <c r="H20" s="149"/>
      <c r="I20" s="149"/>
      <c r="J20" s="149"/>
      <c r="K20" s="600"/>
      <c r="L20" s="602"/>
      <c r="M20" s="115"/>
    </row>
    <row r="21" spans="1:13" ht="15.75" customHeight="1">
      <c r="A21" s="573"/>
      <c r="B21" s="575"/>
      <c r="C21" s="123">
        <v>3</v>
      </c>
      <c r="D21" s="600"/>
      <c r="E21" s="601"/>
      <c r="F21" s="602"/>
      <c r="G21" s="149"/>
      <c r="H21" s="149"/>
      <c r="I21" s="149"/>
      <c r="J21" s="149"/>
      <c r="K21" s="600"/>
      <c r="L21" s="602"/>
      <c r="M21" s="115"/>
    </row>
    <row r="22" spans="1:13" ht="15.75" customHeight="1">
      <c r="A22" s="573"/>
      <c r="B22" s="575"/>
      <c r="C22" s="123">
        <v>4</v>
      </c>
      <c r="D22" s="600"/>
      <c r="E22" s="601"/>
      <c r="F22" s="602"/>
      <c r="G22" s="149"/>
      <c r="H22" s="149"/>
      <c r="I22" s="149"/>
      <c r="J22" s="149"/>
      <c r="K22" s="600"/>
      <c r="L22" s="602"/>
      <c r="M22" s="115"/>
    </row>
    <row r="23" spans="1:13" ht="15.75" customHeight="1">
      <c r="A23" s="573"/>
      <c r="B23" s="575"/>
      <c r="C23" s="123">
        <v>5</v>
      </c>
      <c r="D23" s="600"/>
      <c r="E23" s="601"/>
      <c r="F23" s="602"/>
      <c r="G23" s="149"/>
      <c r="H23" s="149"/>
      <c r="I23" s="149"/>
      <c r="J23" s="149"/>
      <c r="K23" s="600"/>
      <c r="L23" s="602"/>
      <c r="M23" s="115"/>
    </row>
    <row r="24" spans="1:13" ht="15.75" customHeight="1">
      <c r="A24" s="573"/>
      <c r="B24" s="575"/>
      <c r="C24" s="150" t="s">
        <v>415</v>
      </c>
      <c r="D24" s="598"/>
      <c r="E24" s="604"/>
      <c r="F24" s="599"/>
      <c r="G24" s="149"/>
      <c r="H24" s="149"/>
      <c r="I24" s="149"/>
      <c r="J24" s="149"/>
      <c r="K24" s="598"/>
      <c r="L24" s="599"/>
      <c r="M24" s="115"/>
    </row>
    <row r="25" spans="1:13" ht="15.75" customHeight="1">
      <c r="A25" s="573"/>
      <c r="B25" s="575"/>
      <c r="C25" s="150" t="s">
        <v>416</v>
      </c>
      <c r="D25" s="600"/>
      <c r="E25" s="601"/>
      <c r="F25" s="602"/>
      <c r="G25" s="149"/>
      <c r="H25" s="149"/>
      <c r="I25" s="149"/>
      <c r="J25" s="149"/>
      <c r="K25" s="600"/>
      <c r="L25" s="602"/>
      <c r="M25" s="115"/>
    </row>
    <row r="26" spans="1:13" ht="15.75" customHeight="1">
      <c r="A26" s="573"/>
      <c r="B26" s="575"/>
      <c r="C26" s="150" t="s">
        <v>417</v>
      </c>
      <c r="D26" s="600"/>
      <c r="E26" s="601"/>
      <c r="F26" s="602"/>
      <c r="G26" s="149"/>
      <c r="H26" s="149"/>
      <c r="I26" s="149"/>
      <c r="J26" s="149"/>
      <c r="K26" s="600"/>
      <c r="L26" s="602"/>
      <c r="M26" s="115"/>
    </row>
    <row r="27" spans="1:13" ht="15.75" customHeight="1">
      <c r="A27" s="573"/>
      <c r="B27" s="575"/>
      <c r="C27" s="150" t="s">
        <v>418</v>
      </c>
      <c r="D27" s="600"/>
      <c r="E27" s="601"/>
      <c r="F27" s="602"/>
      <c r="G27" s="149"/>
      <c r="H27" s="149"/>
      <c r="I27" s="149"/>
      <c r="J27" s="149"/>
      <c r="K27" s="600"/>
      <c r="L27" s="602"/>
      <c r="M27" s="115"/>
    </row>
    <row r="28" spans="1:13" ht="15.75" customHeight="1">
      <c r="A28" s="567"/>
      <c r="B28" s="576"/>
      <c r="C28" s="150" t="s">
        <v>419</v>
      </c>
      <c r="D28" s="600"/>
      <c r="E28" s="601"/>
      <c r="F28" s="602"/>
      <c r="G28" s="149"/>
      <c r="H28" s="149"/>
      <c r="I28" s="149"/>
      <c r="J28" s="149"/>
      <c r="K28" s="600"/>
      <c r="L28" s="602"/>
      <c r="M28" s="115"/>
    </row>
  </sheetData>
  <mergeCells count="39">
    <mergeCell ref="D28:F28"/>
    <mergeCell ref="K28:L28"/>
    <mergeCell ref="K21:L21"/>
    <mergeCell ref="D22:F22"/>
    <mergeCell ref="K22:L22"/>
    <mergeCell ref="D23:F23"/>
    <mergeCell ref="K23:L23"/>
    <mergeCell ref="D24:F24"/>
    <mergeCell ref="D27:F27"/>
    <mergeCell ref="K27:L27"/>
    <mergeCell ref="A1:L2"/>
    <mergeCell ref="K24:L24"/>
    <mergeCell ref="D25:F25"/>
    <mergeCell ref="K25:L25"/>
    <mergeCell ref="D26:F26"/>
    <mergeCell ref="K26:L26"/>
    <mergeCell ref="A18:B18"/>
    <mergeCell ref="D18:F18"/>
    <mergeCell ref="K18:L18"/>
    <mergeCell ref="A19:A28"/>
    <mergeCell ref="B19:B28"/>
    <mergeCell ref="D19:F19"/>
    <mergeCell ref="K19:L19"/>
    <mergeCell ref="D20:F20"/>
    <mergeCell ref="K20:L20"/>
    <mergeCell ref="D21:F21"/>
    <mergeCell ref="A3:L4"/>
    <mergeCell ref="A5:A6"/>
    <mergeCell ref="A7:B7"/>
    <mergeCell ref="D7:F7"/>
    <mergeCell ref="K7:L7"/>
    <mergeCell ref="A8:A17"/>
    <mergeCell ref="B8:B17"/>
    <mergeCell ref="K16:L16"/>
    <mergeCell ref="K17:L17"/>
    <mergeCell ref="K13:L13"/>
    <mergeCell ref="K14:L14"/>
    <mergeCell ref="K15:L15"/>
    <mergeCell ref="K8:L12"/>
  </mergeCells>
  <phoneticPr fontId="11" type="noConversion"/>
  <printOptions horizontalCentered="1" gridLines="1"/>
  <pageMargins left="0.39370078740157483" right="0.39370078740157483" top="0.39370078740157483" bottom="0.39370078740157483" header="0" footer="0"/>
  <pageSetup paperSize="9" fitToWidth="0" fitToHeight="0" pageOrder="overThenDown" orientation="landscape" cellComments="atEnd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FF0000"/>
    <outlinePr summaryBelow="0" summaryRight="0"/>
  </sheetPr>
  <dimension ref="A1:M15"/>
  <sheetViews>
    <sheetView zoomScale="115" zoomScaleNormal="115" zoomScaleSheetLayoutView="115" workbookViewId="0">
      <selection activeCell="N13" sqref="N13"/>
    </sheetView>
  </sheetViews>
  <sheetFormatPr defaultColWidth="12.5703125" defaultRowHeight="15.75" customHeight="1"/>
  <cols>
    <col min="1" max="1" width="7.5703125" style="167" customWidth="1"/>
    <col min="2" max="2" width="14.85546875" style="167" customWidth="1"/>
    <col min="3" max="3" width="12.85546875" style="167" customWidth="1"/>
    <col min="4" max="4" width="2.5703125" style="167" customWidth="1"/>
    <col min="5" max="5" width="7.5703125" style="167" customWidth="1"/>
    <col min="6" max="6" width="12.85546875" style="167" customWidth="1"/>
    <col min="7" max="7" width="9.42578125" style="167" customWidth="1"/>
    <col min="8" max="8" width="12.85546875" style="167" customWidth="1"/>
    <col min="9" max="9" width="9.42578125" style="167" customWidth="1"/>
    <col min="10" max="10" width="12.85546875" style="167" customWidth="1"/>
    <col min="11" max="11" width="9.42578125" style="167" customWidth="1"/>
    <col min="12" max="12" width="12.85546875" style="167" customWidth="1"/>
    <col min="13" max="13" width="9.42578125" style="167" customWidth="1"/>
    <col min="14" max="16384" width="12.5703125" style="167"/>
  </cols>
  <sheetData>
    <row r="1" spans="1:13" ht="15.75" customHeight="1">
      <c r="A1" s="607" t="s">
        <v>232</v>
      </c>
      <c r="B1" s="607"/>
      <c r="C1" s="607"/>
      <c r="D1" s="607"/>
      <c r="E1" s="607"/>
      <c r="F1" s="607"/>
      <c r="G1" s="607"/>
      <c r="H1" s="607"/>
      <c r="I1" s="607"/>
      <c r="J1" s="607"/>
      <c r="K1" s="607"/>
      <c r="L1" s="607"/>
      <c r="M1" s="607"/>
    </row>
    <row r="2" spans="1:13" s="168" customFormat="1" ht="15.75" customHeight="1">
      <c r="A2" s="607"/>
      <c r="B2" s="607"/>
      <c r="C2" s="607"/>
      <c r="D2" s="607"/>
      <c r="E2" s="607"/>
      <c r="F2" s="607"/>
      <c r="G2" s="607"/>
      <c r="H2" s="607"/>
      <c r="I2" s="607"/>
      <c r="J2" s="607"/>
      <c r="K2" s="607"/>
      <c r="L2" s="607"/>
      <c r="M2" s="607"/>
    </row>
    <row r="3" spans="1:13" ht="15.75" customHeight="1">
      <c r="A3" s="608" t="s">
        <v>233</v>
      </c>
      <c r="B3" s="608"/>
      <c r="C3" s="608"/>
      <c r="D3" s="608"/>
      <c r="E3" s="608"/>
      <c r="F3" s="608"/>
      <c r="G3" s="608"/>
      <c r="H3" s="608"/>
      <c r="I3" s="608"/>
      <c r="J3" s="608"/>
      <c r="K3" s="608"/>
      <c r="L3" s="608"/>
      <c r="M3" s="608"/>
    </row>
    <row r="4" spans="1:13" s="168" customFormat="1" ht="15.75" customHeight="1">
      <c r="A4" s="608"/>
      <c r="B4" s="608"/>
      <c r="C4" s="608"/>
      <c r="D4" s="608"/>
      <c r="E4" s="608"/>
      <c r="F4" s="608"/>
      <c r="G4" s="608"/>
      <c r="H4" s="608"/>
      <c r="I4" s="608"/>
      <c r="J4" s="608"/>
      <c r="K4" s="608"/>
      <c r="L4" s="608"/>
      <c r="M4" s="608"/>
    </row>
    <row r="5" spans="1:13" ht="15.75" customHeight="1">
      <c r="A5" s="169" t="s">
        <v>234</v>
      </c>
      <c r="B5" s="170">
        <v>212376150</v>
      </c>
    </row>
    <row r="6" spans="1:13" ht="15.75" customHeight="1">
      <c r="A6" s="609" t="s">
        <v>235</v>
      </c>
      <c r="B6" s="532" t="s">
        <v>10</v>
      </c>
      <c r="C6" s="532"/>
      <c r="D6" s="610"/>
      <c r="E6" s="609" t="s">
        <v>235</v>
      </c>
      <c r="F6" s="528">
        <v>1</v>
      </c>
      <c r="G6" s="528"/>
      <c r="H6" s="528">
        <v>2</v>
      </c>
      <c r="I6" s="528"/>
      <c r="J6" s="528">
        <v>3</v>
      </c>
      <c r="K6" s="528"/>
      <c r="L6" s="528">
        <v>4</v>
      </c>
      <c r="M6" s="528"/>
    </row>
    <row r="7" spans="1:13" ht="31.35" customHeight="1">
      <c r="A7" s="609"/>
      <c r="B7" s="532"/>
      <c r="C7" s="532"/>
      <c r="D7" s="611"/>
      <c r="E7" s="609"/>
      <c r="F7" s="605" t="s">
        <v>246</v>
      </c>
      <c r="G7" s="605"/>
      <c r="H7" s="605" t="s">
        <v>236</v>
      </c>
      <c r="I7" s="605"/>
      <c r="J7" s="605" t="s">
        <v>237</v>
      </c>
      <c r="K7" s="605"/>
      <c r="L7" s="605" t="s">
        <v>238</v>
      </c>
      <c r="M7" s="605"/>
    </row>
    <row r="8" spans="1:13" ht="15.75" customHeight="1">
      <c r="A8" s="609"/>
      <c r="B8" s="191" t="s">
        <v>11</v>
      </c>
      <c r="C8" s="191" t="s">
        <v>239</v>
      </c>
      <c r="D8" s="611"/>
      <c r="E8" s="609"/>
      <c r="F8" s="191" t="s">
        <v>11</v>
      </c>
      <c r="G8" s="191" t="s">
        <v>239</v>
      </c>
      <c r="H8" s="191" t="s">
        <v>11</v>
      </c>
      <c r="I8" s="191" t="s">
        <v>239</v>
      </c>
      <c r="J8" s="191" t="s">
        <v>11</v>
      </c>
      <c r="K8" s="191" t="s">
        <v>239</v>
      </c>
      <c r="L8" s="191" t="s">
        <v>11</v>
      </c>
      <c r="M8" s="191" t="s">
        <v>239</v>
      </c>
    </row>
    <row r="9" spans="1:13" ht="19.350000000000001" customHeight="1">
      <c r="A9" s="171" t="s">
        <v>240</v>
      </c>
      <c r="B9" s="172">
        <v>47927.00699999994</v>
      </c>
      <c r="C9" s="173">
        <f>B9/$B$5</f>
        <v>2.256703824793883E-4</v>
      </c>
      <c r="D9" s="611"/>
      <c r="E9" s="171" t="s">
        <v>240</v>
      </c>
      <c r="F9" s="174">
        <v>1423.9050000000002</v>
      </c>
      <c r="G9" s="175">
        <f>IFERROR(F9/$B$9,"")</f>
        <v>2.9709866923256903E-2</v>
      </c>
      <c r="H9" s="174">
        <v>5535.9419999999991</v>
      </c>
      <c r="I9" s="175">
        <f>IFERROR(H9/$B$9,"")</f>
        <v>0.11550777623146812</v>
      </c>
      <c r="J9" s="174">
        <v>6691.5360000000019</v>
      </c>
      <c r="K9" s="175">
        <f>IFERROR(J9/$B$9,"")</f>
        <v>0.13961931735065389</v>
      </c>
      <c r="L9" s="174">
        <v>17258.763000000006</v>
      </c>
      <c r="M9" s="175">
        <f>IFERROR(L9/$B$9,"")</f>
        <v>0.36010516993059943</v>
      </c>
    </row>
    <row r="10" spans="1:13" ht="19.350000000000001" customHeight="1">
      <c r="A10" s="176" t="s">
        <v>241</v>
      </c>
      <c r="B10" s="177">
        <v>69974.579191980054</v>
      </c>
      <c r="C10" s="173">
        <f>B10/$B$5</f>
        <v>3.2948416849999424E-4</v>
      </c>
      <c r="D10" s="611"/>
      <c r="E10" s="176" t="s">
        <v>241</v>
      </c>
      <c r="F10" s="174">
        <v>1179.8078200000007</v>
      </c>
      <c r="G10" s="175">
        <f>IFERROR(F10/$B$10,"")</f>
        <v>1.6860520400746062E-2</v>
      </c>
      <c r="H10" s="174">
        <v>3563.9139100000007</v>
      </c>
      <c r="I10" s="175">
        <f>IFERROR(H10/$B$10,"")</f>
        <v>5.0931551874319365E-2</v>
      </c>
      <c r="J10" s="174">
        <v>3130.998689999999</v>
      </c>
      <c r="K10" s="175">
        <f>IFERROR(J10/$B$10,"")</f>
        <v>4.4744801986016804E-2</v>
      </c>
      <c r="L10" s="174">
        <v>14381.948886699534</v>
      </c>
      <c r="M10" s="175">
        <f>IFERROR(L10/$B$10,"")</f>
        <v>0.20553105217312806</v>
      </c>
    </row>
    <row r="11" spans="1:13" ht="15.75" customHeight="1">
      <c r="D11" s="611"/>
      <c r="E11" s="609" t="s">
        <v>235</v>
      </c>
      <c r="F11" s="528">
        <v>5</v>
      </c>
      <c r="G11" s="528"/>
      <c r="H11" s="528">
        <v>6</v>
      </c>
      <c r="I11" s="528"/>
      <c r="J11" s="528">
        <v>7</v>
      </c>
      <c r="K11" s="528"/>
      <c r="L11" s="612">
        <v>8</v>
      </c>
      <c r="M11" s="612"/>
    </row>
    <row r="12" spans="1:13" ht="31.35" customHeight="1">
      <c r="D12" s="611"/>
      <c r="E12" s="609"/>
      <c r="F12" s="605" t="s">
        <v>242</v>
      </c>
      <c r="G12" s="605"/>
      <c r="H12" s="605" t="s">
        <v>243</v>
      </c>
      <c r="I12" s="605"/>
      <c r="J12" s="605" t="s">
        <v>244</v>
      </c>
      <c r="K12" s="605"/>
      <c r="L12" s="606" t="s">
        <v>245</v>
      </c>
      <c r="M12" s="606"/>
    </row>
    <row r="13" spans="1:13" ht="15.75" customHeight="1">
      <c r="D13" s="611"/>
      <c r="E13" s="609"/>
      <c r="F13" s="191" t="s">
        <v>11</v>
      </c>
      <c r="G13" s="191" t="s">
        <v>239</v>
      </c>
      <c r="H13" s="191" t="s">
        <v>11</v>
      </c>
      <c r="I13" s="191" t="s">
        <v>239</v>
      </c>
      <c r="J13" s="191" t="s">
        <v>11</v>
      </c>
      <c r="K13" s="191" t="s">
        <v>239</v>
      </c>
      <c r="L13" s="191" t="s">
        <v>11</v>
      </c>
      <c r="M13" s="191" t="s">
        <v>239</v>
      </c>
    </row>
    <row r="14" spans="1:13" ht="19.350000000000001" customHeight="1">
      <c r="D14" s="611"/>
      <c r="E14" s="171" t="s">
        <v>240</v>
      </c>
      <c r="F14" s="174">
        <v>12460.915000000001</v>
      </c>
      <c r="G14" s="175">
        <f>IFERROR(F14/$B$9,"")</f>
        <v>0.25999777119401629</v>
      </c>
      <c r="H14" s="174">
        <v>1494.27</v>
      </c>
      <c r="I14" s="175">
        <f>IFERROR(H14/$B$9,"")</f>
        <v>3.1178037051218365E-2</v>
      </c>
      <c r="J14" s="174">
        <v>3061.675999999999</v>
      </c>
      <c r="K14" s="175">
        <f>IFERROR(J14/$B$9,"")</f>
        <v>6.3882061318788444E-2</v>
      </c>
      <c r="L14" s="174">
        <v>0</v>
      </c>
      <c r="M14" s="175">
        <f>IFERROR(L14/$B$9,"")</f>
        <v>0</v>
      </c>
    </row>
    <row r="15" spans="1:13" ht="19.350000000000001" customHeight="1">
      <c r="D15" s="611"/>
      <c r="E15" s="176" t="s">
        <v>241</v>
      </c>
      <c r="F15" s="174">
        <v>30846.731825280494</v>
      </c>
      <c r="G15" s="175">
        <f>IFERROR(F15/$B$10,"")</f>
        <v>0.44082768601795191</v>
      </c>
      <c r="H15" s="174">
        <v>12704.309300000044</v>
      </c>
      <c r="I15" s="175">
        <f>IFERROR(H15/$B$10,"")</f>
        <v>0.18155606574131589</v>
      </c>
      <c r="J15" s="174">
        <v>3994.7131600000112</v>
      </c>
      <c r="K15" s="175">
        <f>IFERROR(J15/$B$10,"")</f>
        <v>5.7088062638293857E-2</v>
      </c>
      <c r="L15" s="174">
        <v>0</v>
      </c>
      <c r="M15" s="175">
        <f>IFERROR(L15/$B$10,"")</f>
        <v>0</v>
      </c>
    </row>
  </sheetData>
  <mergeCells count="23">
    <mergeCell ref="A1:M2"/>
    <mergeCell ref="A3:M4"/>
    <mergeCell ref="A6:A8"/>
    <mergeCell ref="B6:C7"/>
    <mergeCell ref="D6:D15"/>
    <mergeCell ref="E6:E8"/>
    <mergeCell ref="F6:G6"/>
    <mergeCell ref="H6:I6"/>
    <mergeCell ref="J6:K6"/>
    <mergeCell ref="L6:M6"/>
    <mergeCell ref="E11:E13"/>
    <mergeCell ref="F11:G11"/>
    <mergeCell ref="H11:I11"/>
    <mergeCell ref="J11:K11"/>
    <mergeCell ref="L11:M11"/>
    <mergeCell ref="F12:G12"/>
    <mergeCell ref="H12:I12"/>
    <mergeCell ref="J12:K12"/>
    <mergeCell ref="L12:M12"/>
    <mergeCell ref="F7:G7"/>
    <mergeCell ref="H7:I7"/>
    <mergeCell ref="J7:K7"/>
    <mergeCell ref="L7:M7"/>
  </mergeCells>
  <phoneticPr fontId="11" type="noConversion"/>
  <printOptions horizontalCentered="1" gridLines="1"/>
  <pageMargins left="0.39370078740157483" right="0.39370078740157483" top="0.39370078740157483" bottom="0.39370078740157483" header="0" footer="0"/>
  <pageSetup paperSize="9" fitToWidth="0" fitToHeight="0" pageOrder="overThenDown" orientation="landscape" cellComments="atEnd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5" tint="0.39997558519241921"/>
    <outlinePr summaryBelow="0" summaryRight="0"/>
  </sheetPr>
  <dimension ref="A1:M15"/>
  <sheetViews>
    <sheetView zoomScale="110" zoomScaleNormal="110" zoomScaleSheetLayoutView="115" workbookViewId="0">
      <selection activeCell="J14" sqref="J14:J15"/>
    </sheetView>
  </sheetViews>
  <sheetFormatPr defaultColWidth="12.5703125" defaultRowHeight="15.75" customHeight="1"/>
  <cols>
    <col min="1" max="1" width="7.5703125" style="167" customWidth="1"/>
    <col min="2" max="2" width="14.85546875" style="167" customWidth="1"/>
    <col min="3" max="3" width="12.85546875" style="167" customWidth="1"/>
    <col min="4" max="4" width="2.5703125" style="167" customWidth="1"/>
    <col min="5" max="5" width="7.5703125" style="167" customWidth="1"/>
    <col min="6" max="6" width="12.85546875" style="167" customWidth="1"/>
    <col min="7" max="7" width="9.42578125" style="167" customWidth="1"/>
    <col min="8" max="8" width="12.85546875" style="167" customWidth="1"/>
    <col min="9" max="9" width="9.42578125" style="167" customWidth="1"/>
    <col min="10" max="10" width="12.85546875" style="167" customWidth="1"/>
    <col min="11" max="11" width="9.42578125" style="167" customWidth="1"/>
    <col min="12" max="12" width="12.85546875" style="167" customWidth="1"/>
    <col min="13" max="13" width="9.42578125" style="167" customWidth="1"/>
    <col min="14" max="16384" width="12.5703125" style="167"/>
  </cols>
  <sheetData>
    <row r="1" spans="1:13" ht="15.75" customHeight="1">
      <c r="A1" s="607" t="s">
        <v>232</v>
      </c>
      <c r="B1" s="607"/>
      <c r="C1" s="607"/>
      <c r="D1" s="607"/>
      <c r="E1" s="607"/>
      <c r="F1" s="607"/>
      <c r="G1" s="607"/>
      <c r="H1" s="607"/>
      <c r="I1" s="607"/>
      <c r="J1" s="607"/>
      <c r="K1" s="607"/>
      <c r="L1" s="607"/>
      <c r="M1" s="607"/>
    </row>
    <row r="2" spans="1:13" s="168" customFormat="1" ht="15.75" customHeight="1">
      <c r="A2" s="607"/>
      <c r="B2" s="607"/>
      <c r="C2" s="607"/>
      <c r="D2" s="607"/>
      <c r="E2" s="607"/>
      <c r="F2" s="607"/>
      <c r="G2" s="607"/>
      <c r="H2" s="607"/>
      <c r="I2" s="607"/>
      <c r="J2" s="607"/>
      <c r="K2" s="607"/>
      <c r="L2" s="607"/>
      <c r="M2" s="607"/>
    </row>
    <row r="3" spans="1:13" ht="15.75" customHeight="1">
      <c r="A3" s="608" t="s">
        <v>758</v>
      </c>
      <c r="B3" s="608"/>
      <c r="C3" s="608"/>
      <c r="D3" s="608"/>
      <c r="E3" s="608"/>
      <c r="F3" s="608"/>
      <c r="G3" s="608"/>
      <c r="H3" s="608"/>
      <c r="I3" s="608"/>
      <c r="J3" s="608"/>
      <c r="K3" s="608"/>
      <c r="L3" s="608"/>
      <c r="M3" s="608"/>
    </row>
    <row r="4" spans="1:13" ht="15.75" customHeight="1" thickBot="1">
      <c r="A4" s="608"/>
      <c r="B4" s="608"/>
      <c r="C4" s="608"/>
      <c r="D4" s="608"/>
      <c r="E4" s="608"/>
      <c r="F4" s="608"/>
      <c r="G4" s="608"/>
      <c r="H4" s="608"/>
      <c r="I4" s="608"/>
      <c r="J4" s="608"/>
      <c r="K4" s="608"/>
      <c r="L4" s="608"/>
      <c r="M4" s="608"/>
    </row>
    <row r="5" spans="1:13" ht="15.75" customHeight="1">
      <c r="A5" s="344" t="s">
        <v>600</v>
      </c>
      <c r="B5" s="345">
        <v>192546053</v>
      </c>
      <c r="C5" s="346"/>
      <c r="E5" s="623" t="s">
        <v>601</v>
      </c>
      <c r="F5" s="623"/>
      <c r="G5" s="623"/>
      <c r="H5" s="623"/>
      <c r="I5" s="623"/>
      <c r="J5" s="623"/>
      <c r="K5" s="623"/>
      <c r="L5" s="623"/>
      <c r="M5" s="624"/>
    </row>
    <row r="6" spans="1:13" ht="15.75" customHeight="1">
      <c r="A6" s="621" t="s">
        <v>602</v>
      </c>
      <c r="B6" s="532" t="s">
        <v>10</v>
      </c>
      <c r="C6" s="532"/>
      <c r="D6" s="611"/>
      <c r="E6" s="609" t="s">
        <v>602</v>
      </c>
      <c r="F6" s="528">
        <v>1</v>
      </c>
      <c r="G6" s="528"/>
      <c r="H6" s="528">
        <v>2</v>
      </c>
      <c r="I6" s="528"/>
      <c r="J6" s="528">
        <v>3</v>
      </c>
      <c r="K6" s="528"/>
      <c r="L6" s="528">
        <v>4</v>
      </c>
      <c r="M6" s="626"/>
    </row>
    <row r="7" spans="1:13" ht="15.75" customHeight="1">
      <c r="A7" s="621"/>
      <c r="B7" s="532"/>
      <c r="C7" s="532"/>
      <c r="D7" s="611"/>
      <c r="E7" s="609"/>
      <c r="F7" s="605" t="s">
        <v>603</v>
      </c>
      <c r="G7" s="605"/>
      <c r="H7" s="605" t="s">
        <v>604</v>
      </c>
      <c r="I7" s="605"/>
      <c r="J7" s="605" t="s">
        <v>605</v>
      </c>
      <c r="K7" s="605"/>
      <c r="L7" s="605" t="s">
        <v>606</v>
      </c>
      <c r="M7" s="625"/>
    </row>
    <row r="8" spans="1:13" ht="15.75" customHeight="1">
      <c r="A8" s="621"/>
      <c r="B8" s="191" t="s">
        <v>11</v>
      </c>
      <c r="C8" s="191" t="s">
        <v>607</v>
      </c>
      <c r="D8" s="611"/>
      <c r="E8" s="609"/>
      <c r="F8" s="191" t="s">
        <v>11</v>
      </c>
      <c r="G8" s="191" t="s">
        <v>607</v>
      </c>
      <c r="H8" s="191" t="s">
        <v>11</v>
      </c>
      <c r="I8" s="191" t="s">
        <v>607</v>
      </c>
      <c r="J8" s="191" t="s">
        <v>11</v>
      </c>
      <c r="K8" s="191" t="s">
        <v>607</v>
      </c>
      <c r="L8" s="191" t="s">
        <v>11</v>
      </c>
      <c r="M8" s="347" t="s">
        <v>607</v>
      </c>
    </row>
    <row r="9" spans="1:13" ht="15.75" customHeight="1">
      <c r="A9" s="348" t="s">
        <v>608</v>
      </c>
      <c r="B9" s="349">
        <v>468959.74699999997</v>
      </c>
      <c r="C9" s="173">
        <f>B9/$B$5</f>
        <v>2.4355718525167587E-3</v>
      </c>
      <c r="D9" s="611"/>
      <c r="E9" s="171" t="s">
        <v>608</v>
      </c>
      <c r="F9" s="350">
        <v>0</v>
      </c>
      <c r="G9" s="175">
        <f>F9/$B9</f>
        <v>0</v>
      </c>
      <c r="H9" s="350">
        <v>2628.0440000000008</v>
      </c>
      <c r="I9" s="175">
        <f>H9/$B9</f>
        <v>5.6039863054600314E-3</v>
      </c>
      <c r="J9" s="350">
        <v>8304.969000000001</v>
      </c>
      <c r="K9" s="175">
        <f>J9/$B9</f>
        <v>1.7709342972670961E-2</v>
      </c>
      <c r="L9" s="350">
        <v>35434.341</v>
      </c>
      <c r="M9" s="351">
        <f>L9/$B9</f>
        <v>7.5559450947929652E-2</v>
      </c>
    </row>
    <row r="10" spans="1:13" ht="15.75" customHeight="1">
      <c r="A10" s="352" t="s">
        <v>609</v>
      </c>
      <c r="B10" s="353">
        <v>382826.42427620798</v>
      </c>
      <c r="C10" s="173">
        <f>B10/$B$5</f>
        <v>1.9882330398962164E-3</v>
      </c>
      <c r="D10" s="611"/>
      <c r="E10" s="176" t="s">
        <v>609</v>
      </c>
      <c r="F10" s="350">
        <v>0</v>
      </c>
      <c r="G10" s="175">
        <f>F10/$B10</f>
        <v>0</v>
      </c>
      <c r="H10" s="350">
        <v>0</v>
      </c>
      <c r="I10" s="175">
        <f>H10/$B10</f>
        <v>0</v>
      </c>
      <c r="J10" s="350">
        <v>14638.530320000016</v>
      </c>
      <c r="K10" s="175">
        <f>J10/$B10</f>
        <v>3.8238035286295616E-2</v>
      </c>
      <c r="L10" s="350">
        <v>50836.073939999893</v>
      </c>
      <c r="M10" s="351">
        <f>L10/$B10</f>
        <v>0.1327914446765614</v>
      </c>
    </row>
    <row r="11" spans="1:13" ht="15.75" customHeight="1">
      <c r="A11" s="354"/>
      <c r="D11" s="611"/>
      <c r="E11" s="609" t="s">
        <v>602</v>
      </c>
      <c r="F11" s="613">
        <v>5</v>
      </c>
      <c r="G11" s="614"/>
      <c r="H11" s="613">
        <v>6</v>
      </c>
      <c r="I11" s="614"/>
      <c r="J11" s="613">
        <v>7</v>
      </c>
      <c r="K11" s="614"/>
      <c r="L11" s="615">
        <v>8</v>
      </c>
      <c r="M11" s="616"/>
    </row>
    <row r="12" spans="1:13" ht="15.75" customHeight="1">
      <c r="A12" s="354"/>
      <c r="D12" s="611"/>
      <c r="E12" s="609"/>
      <c r="F12" s="617" t="s">
        <v>610</v>
      </c>
      <c r="G12" s="618"/>
      <c r="H12" s="617" t="s">
        <v>611</v>
      </c>
      <c r="I12" s="618"/>
      <c r="J12" s="617" t="s">
        <v>612</v>
      </c>
      <c r="K12" s="618"/>
      <c r="L12" s="619" t="s">
        <v>613</v>
      </c>
      <c r="M12" s="620"/>
    </row>
    <row r="13" spans="1:13" ht="15.75" customHeight="1">
      <c r="A13" s="354"/>
      <c r="D13" s="611"/>
      <c r="E13" s="609"/>
      <c r="F13" s="191" t="s">
        <v>11</v>
      </c>
      <c r="G13" s="191" t="s">
        <v>607</v>
      </c>
      <c r="H13" s="191" t="s">
        <v>11</v>
      </c>
      <c r="I13" s="191" t="s">
        <v>607</v>
      </c>
      <c r="J13" s="191" t="s">
        <v>11</v>
      </c>
      <c r="K13" s="191" t="s">
        <v>607</v>
      </c>
      <c r="L13" s="191" t="s">
        <v>11</v>
      </c>
      <c r="M13" s="347" t="s">
        <v>607</v>
      </c>
    </row>
    <row r="14" spans="1:13" ht="15.75" customHeight="1">
      <c r="A14" s="354"/>
      <c r="D14" s="611"/>
      <c r="E14" s="171" t="s">
        <v>608</v>
      </c>
      <c r="F14" s="350">
        <v>8752.4580000000005</v>
      </c>
      <c r="G14" s="175">
        <f>F14/$B9</f>
        <v>1.8663559198823947E-2</v>
      </c>
      <c r="H14" s="350">
        <v>3227.9999999999995</v>
      </c>
      <c r="I14" s="175">
        <f>H14/$B9</f>
        <v>6.8833199878027048E-3</v>
      </c>
      <c r="J14" s="350">
        <v>0</v>
      </c>
      <c r="K14" s="175">
        <f>J14/$B9</f>
        <v>0</v>
      </c>
      <c r="L14" s="350">
        <v>0</v>
      </c>
      <c r="M14" s="351">
        <f>L14/$B9</f>
        <v>0</v>
      </c>
    </row>
    <row r="15" spans="1:13" ht="15.75" customHeight="1" thickBot="1">
      <c r="A15" s="355"/>
      <c r="B15" s="356"/>
      <c r="C15" s="356"/>
      <c r="D15" s="622"/>
      <c r="E15" s="357" t="s">
        <v>609</v>
      </c>
      <c r="F15" s="358">
        <v>26510.087099999651</v>
      </c>
      <c r="G15" s="359">
        <f>F15/$B10</f>
        <v>6.9248320959351309E-2</v>
      </c>
      <c r="H15" s="358">
        <v>6941.4736000003832</v>
      </c>
      <c r="I15" s="359">
        <f>H15/$B10</f>
        <v>1.8132169463286926E-2</v>
      </c>
      <c r="J15" s="358">
        <v>4928.172919999829</v>
      </c>
      <c r="K15" s="359">
        <f>J15/$B10</f>
        <v>1.2873126324331699E-2</v>
      </c>
      <c r="L15" s="358">
        <v>0</v>
      </c>
      <c r="M15" s="360">
        <f>L15/$B10</f>
        <v>0</v>
      </c>
    </row>
  </sheetData>
  <mergeCells count="24">
    <mergeCell ref="E5:M5"/>
    <mergeCell ref="F7:G7"/>
    <mergeCell ref="H7:I7"/>
    <mergeCell ref="J7:K7"/>
    <mergeCell ref="L7:M7"/>
    <mergeCell ref="H6:I6"/>
    <mergeCell ref="J6:K6"/>
    <mergeCell ref="L6:M6"/>
    <mergeCell ref="E11:E13"/>
    <mergeCell ref="F11:G11"/>
    <mergeCell ref="H11:I11"/>
    <mergeCell ref="A1:M2"/>
    <mergeCell ref="J11:K11"/>
    <mergeCell ref="L11:M11"/>
    <mergeCell ref="F12:G12"/>
    <mergeCell ref="H12:I12"/>
    <mergeCell ref="J12:K12"/>
    <mergeCell ref="L12:M12"/>
    <mergeCell ref="A3:M4"/>
    <mergeCell ref="A6:A8"/>
    <mergeCell ref="B6:C7"/>
    <mergeCell ref="D6:D15"/>
    <mergeCell ref="E6:E8"/>
    <mergeCell ref="F6:G6"/>
  </mergeCells>
  <phoneticPr fontId="11" type="noConversion"/>
  <printOptions horizontalCentered="1" gridLines="1"/>
  <pageMargins left="0.39370078740157483" right="0.39370078740157483" top="0.39370078740157483" bottom="0.39370078740157483" header="0" footer="0"/>
  <pageSetup paperSize="9" fitToWidth="0" fitToHeight="0" pageOrder="overThenDown" orientation="landscape" cellComments="atEnd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5" tint="0.39997558519241921"/>
    <outlinePr summaryBelow="0" summaryRight="0"/>
  </sheetPr>
  <dimension ref="A1:Q31"/>
  <sheetViews>
    <sheetView view="pageBreakPreview" zoomScale="115" zoomScaleNormal="60" zoomScaleSheetLayoutView="115" workbookViewId="0">
      <selection activeCell="A8" sqref="A8:P30"/>
    </sheetView>
  </sheetViews>
  <sheetFormatPr defaultColWidth="12.5703125" defaultRowHeight="15.75" customHeight="1"/>
  <cols>
    <col min="1" max="1" width="5.42578125" style="115" customWidth="1"/>
    <col min="2" max="2" width="11.42578125" style="160" customWidth="1"/>
    <col min="3" max="3" width="4" style="147" customWidth="1"/>
    <col min="4" max="17" width="9.5703125" style="115" customWidth="1"/>
    <col min="18" max="16384" width="12.5703125" style="115"/>
  </cols>
  <sheetData>
    <row r="1" spans="1:17" ht="15.75" customHeight="1">
      <c r="A1" s="405" t="s">
        <v>202</v>
      </c>
      <c r="B1" s="405"/>
      <c r="C1" s="405"/>
      <c r="D1" s="405"/>
      <c r="E1" s="405"/>
      <c r="F1" s="405"/>
      <c r="G1" s="405"/>
      <c r="H1" s="405"/>
      <c r="I1" s="405"/>
      <c r="J1" s="405"/>
      <c r="K1" s="405"/>
      <c r="L1" s="405"/>
      <c r="M1" s="405"/>
      <c r="N1" s="405"/>
      <c r="O1" s="405"/>
      <c r="P1" s="405"/>
      <c r="Q1" s="405"/>
    </row>
    <row r="2" spans="1:17" s="116" customFormat="1" ht="15.75" customHeight="1">
      <c r="A2" s="405"/>
      <c r="B2" s="405"/>
      <c r="C2" s="405"/>
      <c r="D2" s="405"/>
      <c r="E2" s="405"/>
      <c r="F2" s="405"/>
      <c r="G2" s="405"/>
      <c r="H2" s="405"/>
      <c r="I2" s="405"/>
      <c r="J2" s="405"/>
      <c r="K2" s="405"/>
      <c r="L2" s="405"/>
      <c r="M2" s="405"/>
      <c r="N2" s="405"/>
      <c r="O2" s="405"/>
      <c r="P2" s="405"/>
      <c r="Q2" s="405"/>
    </row>
    <row r="3" spans="1:17" ht="15.75" customHeight="1">
      <c r="A3" s="535" t="s">
        <v>208</v>
      </c>
      <c r="B3" s="536"/>
      <c r="C3" s="536"/>
      <c r="D3" s="536"/>
      <c r="E3" s="536"/>
      <c r="F3" s="536"/>
      <c r="G3" s="536"/>
      <c r="H3" s="536"/>
      <c r="I3" s="536"/>
      <c r="J3" s="536"/>
      <c r="K3" s="536"/>
      <c r="L3" s="536"/>
      <c r="M3" s="536"/>
    </row>
    <row r="4" spans="1:17" s="116" customFormat="1" ht="15.75" customHeight="1">
      <c r="A4" s="536"/>
      <c r="B4" s="536"/>
      <c r="C4" s="536"/>
      <c r="D4" s="536"/>
      <c r="E4" s="536"/>
      <c r="F4" s="536"/>
      <c r="G4" s="536"/>
      <c r="H4" s="536"/>
      <c r="I4" s="536"/>
      <c r="J4" s="536"/>
      <c r="K4" s="536"/>
      <c r="L4" s="536"/>
      <c r="M4" s="536"/>
    </row>
    <row r="5" spans="1:17" ht="15.75" customHeight="1">
      <c r="A5" s="450" t="s">
        <v>188</v>
      </c>
      <c r="B5" s="656">
        <v>1</v>
      </c>
      <c r="C5" s="656"/>
      <c r="D5" s="656">
        <v>2</v>
      </c>
      <c r="E5" s="656"/>
      <c r="F5" s="656">
        <v>3</v>
      </c>
      <c r="G5" s="656"/>
      <c r="H5" s="534">
        <v>4</v>
      </c>
      <c r="I5" s="534"/>
      <c r="J5" s="534">
        <v>5</v>
      </c>
      <c r="K5" s="534"/>
      <c r="L5" s="534">
        <v>6</v>
      </c>
      <c r="M5" s="534"/>
      <c r="N5" s="534">
        <v>7</v>
      </c>
      <c r="O5" s="534"/>
      <c r="P5" s="534">
        <v>8</v>
      </c>
      <c r="Q5" s="534"/>
    </row>
    <row r="6" spans="1:17" ht="15.75" customHeight="1">
      <c r="A6" s="450"/>
      <c r="B6" s="657" t="s">
        <v>317</v>
      </c>
      <c r="C6" s="657"/>
      <c r="D6" s="657" t="s">
        <v>209</v>
      </c>
      <c r="E6" s="657"/>
      <c r="F6" s="657" t="s">
        <v>162</v>
      </c>
      <c r="G6" s="657"/>
      <c r="H6" s="450" t="s">
        <v>456</v>
      </c>
      <c r="I6" s="450"/>
      <c r="J6" s="450" t="s">
        <v>186</v>
      </c>
      <c r="K6" s="450"/>
      <c r="L6" s="450" t="s">
        <v>163</v>
      </c>
      <c r="M6" s="450"/>
      <c r="N6" s="450" t="s">
        <v>187</v>
      </c>
      <c r="O6" s="450"/>
      <c r="P6" s="655" t="s">
        <v>212</v>
      </c>
      <c r="Q6" s="450"/>
    </row>
    <row r="8" spans="1:17" s="122" customFormat="1" ht="15.75" customHeight="1">
      <c r="A8" s="646" t="s">
        <v>759</v>
      </c>
      <c r="B8" s="647"/>
      <c r="C8" s="388" t="s">
        <v>760</v>
      </c>
      <c r="D8" s="648" t="s">
        <v>12</v>
      </c>
      <c r="E8" s="649"/>
      <c r="F8" s="650"/>
      <c r="G8" s="386" t="s">
        <v>761</v>
      </c>
      <c r="H8" s="387"/>
      <c r="I8" s="388"/>
      <c r="J8" s="155" t="s">
        <v>762</v>
      </c>
      <c r="K8" s="155" t="s">
        <v>763</v>
      </c>
      <c r="L8" s="155" t="s">
        <v>764</v>
      </c>
      <c r="M8" s="155" t="s">
        <v>11</v>
      </c>
      <c r="N8" s="280" t="s">
        <v>765</v>
      </c>
      <c r="O8" s="651" t="s">
        <v>766</v>
      </c>
      <c r="P8" s="652"/>
    </row>
    <row r="9" spans="1:17" ht="15.75" customHeight="1">
      <c r="A9" s="566">
        <v>1</v>
      </c>
      <c r="B9" s="633" t="s">
        <v>767</v>
      </c>
      <c r="C9" s="156">
        <v>1</v>
      </c>
      <c r="D9" s="407">
        <v>0</v>
      </c>
      <c r="E9" s="636"/>
      <c r="F9" s="637"/>
      <c r="G9" s="407">
        <v>0</v>
      </c>
      <c r="H9" s="636"/>
      <c r="I9" s="637"/>
      <c r="J9" s="4">
        <v>0</v>
      </c>
      <c r="K9" s="14">
        <v>0</v>
      </c>
      <c r="L9" s="4">
        <v>0</v>
      </c>
      <c r="M9" s="16">
        <v>0</v>
      </c>
      <c r="N9" s="157"/>
      <c r="O9" s="644"/>
      <c r="P9" s="645"/>
    </row>
    <row r="10" spans="1:17" ht="15.75" customHeight="1">
      <c r="A10" s="573"/>
      <c r="B10" s="634"/>
      <c r="C10" s="156">
        <v>2</v>
      </c>
      <c r="D10" s="407">
        <v>0</v>
      </c>
      <c r="E10" s="636"/>
      <c r="F10" s="637"/>
      <c r="G10" s="407">
        <v>0</v>
      </c>
      <c r="H10" s="636"/>
      <c r="I10" s="637"/>
      <c r="J10" s="4">
        <v>0</v>
      </c>
      <c r="K10" s="14">
        <v>0</v>
      </c>
      <c r="L10" s="4">
        <v>0</v>
      </c>
      <c r="M10" s="16">
        <v>0</v>
      </c>
      <c r="N10" s="157"/>
      <c r="O10" s="644"/>
      <c r="P10" s="645"/>
    </row>
    <row r="11" spans="1:17" ht="15.75" customHeight="1">
      <c r="A11" s="573"/>
      <c r="B11" s="634"/>
      <c r="C11" s="156">
        <v>3</v>
      </c>
      <c r="D11" s="407">
        <v>0</v>
      </c>
      <c r="E11" s="636"/>
      <c r="F11" s="637"/>
      <c r="G11" s="407">
        <v>0</v>
      </c>
      <c r="H11" s="636"/>
      <c r="I11" s="637"/>
      <c r="J11" s="4">
        <v>0</v>
      </c>
      <c r="K11" s="14">
        <v>0</v>
      </c>
      <c r="L11" s="4">
        <v>0</v>
      </c>
      <c r="M11" s="16">
        <v>0</v>
      </c>
      <c r="N11" s="157"/>
      <c r="O11" s="644"/>
      <c r="P11" s="645"/>
    </row>
    <row r="12" spans="1:17" ht="15.75" customHeight="1">
      <c r="A12" s="573"/>
      <c r="B12" s="634"/>
      <c r="C12" s="156">
        <v>4</v>
      </c>
      <c r="D12" s="407">
        <v>0</v>
      </c>
      <c r="E12" s="636"/>
      <c r="F12" s="637"/>
      <c r="G12" s="407">
        <v>0</v>
      </c>
      <c r="H12" s="636"/>
      <c r="I12" s="637"/>
      <c r="J12" s="4">
        <v>0</v>
      </c>
      <c r="K12" s="14">
        <v>0</v>
      </c>
      <c r="L12" s="4">
        <v>0</v>
      </c>
      <c r="M12" s="16">
        <v>0</v>
      </c>
      <c r="N12" s="157"/>
      <c r="O12" s="644"/>
      <c r="P12" s="645"/>
    </row>
    <row r="13" spans="1:17" ht="15.75" customHeight="1" thickBot="1">
      <c r="A13" s="573"/>
      <c r="B13" s="634"/>
      <c r="C13" s="158">
        <v>5</v>
      </c>
      <c r="D13" s="641">
        <v>0</v>
      </c>
      <c r="E13" s="642"/>
      <c r="F13" s="643"/>
      <c r="G13" s="641">
        <v>0</v>
      </c>
      <c r="H13" s="642"/>
      <c r="I13" s="643"/>
      <c r="J13" s="4">
        <v>0</v>
      </c>
      <c r="K13" s="14">
        <v>0</v>
      </c>
      <c r="L13" s="4">
        <v>0</v>
      </c>
      <c r="M13" s="16">
        <v>0</v>
      </c>
      <c r="N13" s="159"/>
      <c r="O13" s="653"/>
      <c r="P13" s="654"/>
    </row>
    <row r="14" spans="1:17" ht="15.75" customHeight="1" thickTop="1" thickBot="1">
      <c r="A14" s="567"/>
      <c r="B14" s="635"/>
      <c r="C14" s="627"/>
      <c r="D14" s="628"/>
      <c r="E14" s="628"/>
      <c r="F14" s="628"/>
      <c r="G14" s="628"/>
      <c r="H14" s="628"/>
      <c r="I14" s="629"/>
      <c r="J14" s="278" t="s">
        <v>768</v>
      </c>
      <c r="K14" s="217">
        <v>0</v>
      </c>
      <c r="L14" s="278" t="s">
        <v>769</v>
      </c>
      <c r="M14" s="219">
        <v>0</v>
      </c>
      <c r="N14" s="630"/>
      <c r="O14" s="631"/>
      <c r="P14" s="632"/>
    </row>
    <row r="15" spans="1:17" ht="15.75" customHeight="1" thickTop="1"/>
    <row r="16" spans="1:17" ht="15.75" customHeight="1">
      <c r="A16" s="646" t="s">
        <v>759</v>
      </c>
      <c r="B16" s="647"/>
      <c r="C16" s="388" t="s">
        <v>760</v>
      </c>
      <c r="D16" s="648" t="s">
        <v>12</v>
      </c>
      <c r="E16" s="649"/>
      <c r="F16" s="650"/>
      <c r="G16" s="386" t="s">
        <v>761</v>
      </c>
      <c r="H16" s="387"/>
      <c r="I16" s="388"/>
      <c r="J16" s="155" t="s">
        <v>762</v>
      </c>
      <c r="K16" s="155" t="s">
        <v>763</v>
      </c>
      <c r="L16" s="155" t="s">
        <v>764</v>
      </c>
      <c r="M16" s="155" t="s">
        <v>11</v>
      </c>
      <c r="N16" s="280" t="s">
        <v>765</v>
      </c>
      <c r="O16" s="651" t="s">
        <v>766</v>
      </c>
      <c r="P16" s="652"/>
    </row>
    <row r="17" spans="1:16" ht="15.75" customHeight="1">
      <c r="A17" s="566">
        <v>2</v>
      </c>
      <c r="B17" s="633" t="s">
        <v>770</v>
      </c>
      <c r="C17" s="156">
        <v>1</v>
      </c>
      <c r="D17" s="407" t="s">
        <v>365</v>
      </c>
      <c r="E17" s="636"/>
      <c r="F17" s="637"/>
      <c r="G17" s="407" t="s">
        <v>771</v>
      </c>
      <c r="H17" s="636"/>
      <c r="I17" s="637"/>
      <c r="J17" s="281">
        <v>354.37</v>
      </c>
      <c r="K17" s="14">
        <v>3.2490740139060371E-2</v>
      </c>
      <c r="L17" s="4">
        <v>0.5</v>
      </c>
      <c r="M17" s="261">
        <v>177.185</v>
      </c>
      <c r="N17" s="157"/>
      <c r="O17" s="644" t="s">
        <v>460</v>
      </c>
      <c r="P17" s="645"/>
    </row>
    <row r="18" spans="1:16" ht="15.75" customHeight="1">
      <c r="A18" s="573"/>
      <c r="B18" s="634"/>
      <c r="C18" s="156">
        <v>2</v>
      </c>
      <c r="D18" s="407" t="s">
        <v>697</v>
      </c>
      <c r="E18" s="636"/>
      <c r="F18" s="637"/>
      <c r="G18" s="407" t="s">
        <v>698</v>
      </c>
      <c r="H18" s="636"/>
      <c r="I18" s="637"/>
      <c r="J18" s="281">
        <v>109.96</v>
      </c>
      <c r="K18" s="14">
        <v>8.3594566353187044E-2</v>
      </c>
      <c r="L18" s="4">
        <v>1.6</v>
      </c>
      <c r="M18" s="261">
        <v>175.93600000000001</v>
      </c>
      <c r="N18" s="157"/>
      <c r="O18" s="644" t="s">
        <v>460</v>
      </c>
      <c r="P18" s="645"/>
    </row>
    <row r="19" spans="1:16" ht="15.75" customHeight="1">
      <c r="A19" s="573"/>
      <c r="B19" s="634"/>
      <c r="C19" s="156">
        <v>3</v>
      </c>
      <c r="D19" s="407" t="s">
        <v>386</v>
      </c>
      <c r="E19" s="636"/>
      <c r="F19" s="637"/>
      <c r="G19" s="407" t="s">
        <v>772</v>
      </c>
      <c r="H19" s="636"/>
      <c r="I19" s="637"/>
      <c r="J19" s="281">
        <v>175.62</v>
      </c>
      <c r="K19" s="14">
        <v>8.8794175102113293E-2</v>
      </c>
      <c r="L19" s="4">
        <v>1</v>
      </c>
      <c r="M19" s="261">
        <v>175.62</v>
      </c>
      <c r="N19" s="157"/>
      <c r="O19" s="644" t="s">
        <v>460</v>
      </c>
      <c r="P19" s="645"/>
    </row>
    <row r="20" spans="1:16" ht="15.75" customHeight="1">
      <c r="A20" s="573"/>
      <c r="B20" s="634"/>
      <c r="C20" s="156">
        <v>4</v>
      </c>
      <c r="D20" s="407" t="s">
        <v>523</v>
      </c>
      <c r="E20" s="636"/>
      <c r="F20" s="637"/>
      <c r="G20" s="407" t="s">
        <v>773</v>
      </c>
      <c r="H20" s="636"/>
      <c r="I20" s="637"/>
      <c r="J20" s="281">
        <v>278.12</v>
      </c>
      <c r="K20" s="14">
        <v>1.8982536066818531E-2</v>
      </c>
      <c r="L20" s="4">
        <v>0.60000000000000009</v>
      </c>
      <c r="M20" s="261">
        <v>166.87200000000001</v>
      </c>
      <c r="N20" s="157"/>
      <c r="O20" s="644" t="s">
        <v>460</v>
      </c>
      <c r="P20" s="645"/>
    </row>
    <row r="21" spans="1:16" ht="15.75" customHeight="1" thickBot="1">
      <c r="A21" s="573"/>
      <c r="B21" s="634"/>
      <c r="C21" s="158">
        <v>5</v>
      </c>
      <c r="D21" s="407" t="s">
        <v>377</v>
      </c>
      <c r="E21" s="636"/>
      <c r="F21" s="637"/>
      <c r="G21" s="407" t="s">
        <v>774</v>
      </c>
      <c r="H21" s="636"/>
      <c r="I21" s="637"/>
      <c r="J21" s="281">
        <v>151.29</v>
      </c>
      <c r="K21" s="14">
        <v>3.7012113055181699E-2</v>
      </c>
      <c r="L21" s="4">
        <v>1.1000000000000001</v>
      </c>
      <c r="M21" s="261">
        <v>166.41900000000001</v>
      </c>
      <c r="N21" s="159"/>
      <c r="O21" s="644" t="s">
        <v>460</v>
      </c>
      <c r="P21" s="645"/>
    </row>
    <row r="22" spans="1:16" ht="15.75" customHeight="1" thickTop="1" thickBot="1">
      <c r="A22" s="567"/>
      <c r="B22" s="635"/>
      <c r="C22" s="638"/>
      <c r="D22" s="639"/>
      <c r="E22" s="639"/>
      <c r="F22" s="639"/>
      <c r="G22" s="639"/>
      <c r="H22" s="639"/>
      <c r="I22" s="640"/>
      <c r="J22" s="278" t="s">
        <v>768</v>
      </c>
      <c r="K22" s="217">
        <v>1.8381790878951496E-3</v>
      </c>
      <c r="L22" s="278" t="s">
        <v>769</v>
      </c>
      <c r="M22" s="219">
        <v>862.03200000000004</v>
      </c>
      <c r="N22" s="630"/>
      <c r="O22" s="631"/>
      <c r="P22" s="632"/>
    </row>
    <row r="23" spans="1:16" ht="15.75" customHeight="1" thickTop="1"/>
    <row r="24" spans="1:16" ht="15.75" customHeight="1">
      <c r="A24" s="646" t="s">
        <v>759</v>
      </c>
      <c r="B24" s="647"/>
      <c r="C24" s="388" t="s">
        <v>760</v>
      </c>
      <c r="D24" s="648" t="s">
        <v>12</v>
      </c>
      <c r="E24" s="649"/>
      <c r="F24" s="650"/>
      <c r="G24" s="386" t="s">
        <v>761</v>
      </c>
      <c r="H24" s="387"/>
      <c r="I24" s="388"/>
      <c r="J24" s="155" t="s">
        <v>762</v>
      </c>
      <c r="K24" s="155" t="s">
        <v>763</v>
      </c>
      <c r="L24" s="155" t="s">
        <v>764</v>
      </c>
      <c r="M24" s="155" t="s">
        <v>11</v>
      </c>
      <c r="N24" s="280" t="s">
        <v>765</v>
      </c>
      <c r="O24" s="651" t="s">
        <v>766</v>
      </c>
      <c r="P24" s="652"/>
    </row>
    <row r="25" spans="1:16" ht="15.75" customHeight="1">
      <c r="A25" s="566">
        <v>3</v>
      </c>
      <c r="B25" s="633" t="s">
        <v>775</v>
      </c>
      <c r="C25" s="156">
        <v>1</v>
      </c>
      <c r="D25" s="407" t="s">
        <v>599</v>
      </c>
      <c r="E25" s="636"/>
      <c r="F25" s="637"/>
      <c r="G25" s="407" t="s">
        <v>614</v>
      </c>
      <c r="H25" s="636"/>
      <c r="I25" s="637"/>
      <c r="J25" s="281">
        <v>77.8</v>
      </c>
      <c r="K25" s="14">
        <v>2.1655619162398311E-2</v>
      </c>
      <c r="L25" s="4">
        <v>2.2999999999999998</v>
      </c>
      <c r="M25" s="261">
        <v>178.93999999999997</v>
      </c>
      <c r="N25" s="157"/>
      <c r="O25" s="644" t="s">
        <v>776</v>
      </c>
      <c r="P25" s="645"/>
    </row>
    <row r="26" spans="1:16" ht="15.75" customHeight="1">
      <c r="A26" s="573"/>
      <c r="B26" s="634"/>
      <c r="C26" s="156">
        <v>2</v>
      </c>
      <c r="D26" s="407" t="s">
        <v>599</v>
      </c>
      <c r="E26" s="636"/>
      <c r="F26" s="637"/>
      <c r="G26" s="407" t="s">
        <v>699</v>
      </c>
      <c r="H26" s="636"/>
      <c r="I26" s="637"/>
      <c r="J26" s="281">
        <v>240.51</v>
      </c>
      <c r="K26" s="14">
        <v>1.4855687606112056E-2</v>
      </c>
      <c r="L26" s="4">
        <v>0.70000000000000007</v>
      </c>
      <c r="M26" s="261">
        <v>168.357</v>
      </c>
      <c r="N26" s="157"/>
      <c r="O26" s="644" t="s">
        <v>776</v>
      </c>
      <c r="P26" s="645"/>
    </row>
    <row r="27" spans="1:16" ht="15.75" customHeight="1">
      <c r="A27" s="573"/>
      <c r="B27" s="634"/>
      <c r="C27" s="156">
        <v>3</v>
      </c>
      <c r="D27" s="407" t="s">
        <v>372</v>
      </c>
      <c r="E27" s="636"/>
      <c r="F27" s="637"/>
      <c r="G27" s="407" t="s">
        <v>777</v>
      </c>
      <c r="H27" s="636"/>
      <c r="I27" s="637"/>
      <c r="J27" s="281">
        <v>114.4</v>
      </c>
      <c r="K27" s="14">
        <v>1.9849709343541754E-2</v>
      </c>
      <c r="L27" s="4">
        <v>1.4</v>
      </c>
      <c r="M27" s="261">
        <v>160.16</v>
      </c>
      <c r="N27" s="157"/>
      <c r="O27" s="644" t="s">
        <v>776</v>
      </c>
      <c r="P27" s="645"/>
    </row>
    <row r="28" spans="1:16" ht="15.75" customHeight="1">
      <c r="A28" s="573"/>
      <c r="B28" s="634"/>
      <c r="C28" s="156">
        <v>4</v>
      </c>
      <c r="D28" s="407" t="s">
        <v>341</v>
      </c>
      <c r="E28" s="636"/>
      <c r="F28" s="637"/>
      <c r="G28" s="407" t="s">
        <v>565</v>
      </c>
      <c r="H28" s="636"/>
      <c r="I28" s="637"/>
      <c r="J28" s="281">
        <v>75.14</v>
      </c>
      <c r="K28" s="14">
        <v>2.3847376788553261E-2</v>
      </c>
      <c r="L28" s="4">
        <v>2.1</v>
      </c>
      <c r="M28" s="261">
        <v>157.79400000000001</v>
      </c>
      <c r="N28" s="157"/>
      <c r="O28" s="644" t="s">
        <v>776</v>
      </c>
      <c r="P28" s="645"/>
    </row>
    <row r="29" spans="1:16" ht="15.75" customHeight="1" thickBot="1">
      <c r="A29" s="573"/>
      <c r="B29" s="634"/>
      <c r="C29" s="158">
        <v>5</v>
      </c>
      <c r="D29" s="641" t="s">
        <v>372</v>
      </c>
      <c r="E29" s="642"/>
      <c r="F29" s="643"/>
      <c r="G29" s="641" t="s">
        <v>618</v>
      </c>
      <c r="H29" s="642"/>
      <c r="I29" s="643"/>
      <c r="J29" s="281">
        <v>70.95</v>
      </c>
      <c r="K29" s="14">
        <v>2.3700767043006121E-2</v>
      </c>
      <c r="L29" s="4">
        <v>2.2000000000000002</v>
      </c>
      <c r="M29" s="261">
        <v>156.09000000000003</v>
      </c>
      <c r="N29" s="159"/>
      <c r="O29" s="644" t="s">
        <v>776</v>
      </c>
      <c r="P29" s="645"/>
    </row>
    <row r="30" spans="1:16" ht="15.75" customHeight="1" thickTop="1" thickBot="1">
      <c r="A30" s="567"/>
      <c r="B30" s="635"/>
      <c r="C30" s="627"/>
      <c r="D30" s="628"/>
      <c r="E30" s="628"/>
      <c r="F30" s="628"/>
      <c r="G30" s="628"/>
      <c r="H30" s="628"/>
      <c r="I30" s="629"/>
      <c r="J30" s="278" t="s">
        <v>768</v>
      </c>
      <c r="K30" s="217">
        <v>1.7514104467477888E-3</v>
      </c>
      <c r="L30" s="278" t="s">
        <v>769</v>
      </c>
      <c r="M30" s="219">
        <v>821.34100000000001</v>
      </c>
      <c r="N30" s="630"/>
      <c r="O30" s="631"/>
      <c r="P30" s="632"/>
    </row>
    <row r="31" spans="1:16" ht="15.75" customHeight="1" thickTop="1"/>
  </sheetData>
  <mergeCells count="85">
    <mergeCell ref="O17:P17"/>
    <mergeCell ref="O18:P18"/>
    <mergeCell ref="O19:P19"/>
    <mergeCell ref="O20:P20"/>
    <mergeCell ref="O21:P21"/>
    <mergeCell ref="A1:Q2"/>
    <mergeCell ref="A3:M4"/>
    <mergeCell ref="P5:Q5"/>
    <mergeCell ref="P6:Q6"/>
    <mergeCell ref="A5:A6"/>
    <mergeCell ref="B5:C5"/>
    <mergeCell ref="D5:E5"/>
    <mergeCell ref="F5:G5"/>
    <mergeCell ref="F6:G6"/>
    <mergeCell ref="D6:E6"/>
    <mergeCell ref="B6:C6"/>
    <mergeCell ref="J5:K5"/>
    <mergeCell ref="L5:M5"/>
    <mergeCell ref="N5:O5"/>
    <mergeCell ref="J6:K6"/>
    <mergeCell ref="L6:M6"/>
    <mergeCell ref="N6:O6"/>
    <mergeCell ref="H5:I5"/>
    <mergeCell ref="H6:I6"/>
    <mergeCell ref="N14:P14"/>
    <mergeCell ref="D13:F13"/>
    <mergeCell ref="D12:F12"/>
    <mergeCell ref="O8:P8"/>
    <mergeCell ref="G9:I9"/>
    <mergeCell ref="O9:P9"/>
    <mergeCell ref="O10:P10"/>
    <mergeCell ref="O11:P11"/>
    <mergeCell ref="O12:P12"/>
    <mergeCell ref="O13:P13"/>
    <mergeCell ref="A8:B8"/>
    <mergeCell ref="A9:A14"/>
    <mergeCell ref="B9:B14"/>
    <mergeCell ref="D8:F8"/>
    <mergeCell ref="C14:I14"/>
    <mergeCell ref="D9:F9"/>
    <mergeCell ref="D10:F10"/>
    <mergeCell ref="D11:F11"/>
    <mergeCell ref="G10:I10"/>
    <mergeCell ref="G11:I11"/>
    <mergeCell ref="G12:I12"/>
    <mergeCell ref="G13:I13"/>
    <mergeCell ref="A16:B16"/>
    <mergeCell ref="D16:F16"/>
    <mergeCell ref="A24:B24"/>
    <mergeCell ref="D24:F24"/>
    <mergeCell ref="O24:P24"/>
    <mergeCell ref="O16:P16"/>
    <mergeCell ref="A17:A22"/>
    <mergeCell ref="B17:B22"/>
    <mergeCell ref="D17:F17"/>
    <mergeCell ref="G17:I17"/>
    <mergeCell ref="D18:F18"/>
    <mergeCell ref="G18:I18"/>
    <mergeCell ref="D19:F19"/>
    <mergeCell ref="G19:I19"/>
    <mergeCell ref="D20:F20"/>
    <mergeCell ref="G20:I20"/>
    <mergeCell ref="D21:F21"/>
    <mergeCell ref="G21:I21"/>
    <mergeCell ref="C22:I22"/>
    <mergeCell ref="N22:P22"/>
    <mergeCell ref="D29:F29"/>
    <mergeCell ref="G29:I29"/>
    <mergeCell ref="O25:P25"/>
    <mergeCell ref="O26:P26"/>
    <mergeCell ref="O27:P27"/>
    <mergeCell ref="O28:P28"/>
    <mergeCell ref="O29:P29"/>
    <mergeCell ref="C30:I30"/>
    <mergeCell ref="N30:P30"/>
    <mergeCell ref="A25:A30"/>
    <mergeCell ref="B25:B30"/>
    <mergeCell ref="D25:F25"/>
    <mergeCell ref="G25:I25"/>
    <mergeCell ref="D26:F26"/>
    <mergeCell ref="G26:I26"/>
    <mergeCell ref="D27:F27"/>
    <mergeCell ref="G27:I27"/>
    <mergeCell ref="D28:F28"/>
    <mergeCell ref="G28:I28"/>
  </mergeCells>
  <phoneticPr fontId="11" type="noConversion"/>
  <printOptions horizontalCentered="1" gridLines="1"/>
  <pageMargins left="0.39370078740157483" right="0.39370078740157483" top="0.39370078740157483" bottom="0.39370078740157483" header="0" footer="0"/>
  <pageSetup paperSize="9" scale="90" fitToWidth="0" fitToHeight="0" pageOrder="overThenDown" orientation="landscape" cellComments="atEnd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5" tint="0.39997558519241921"/>
    <outlinePr summaryBelow="0" summaryRight="0"/>
  </sheetPr>
  <dimension ref="A1:Q39"/>
  <sheetViews>
    <sheetView view="pageBreakPreview" zoomScaleNormal="60" zoomScaleSheetLayoutView="100" workbookViewId="0">
      <selection activeCell="A8" sqref="A8:P38"/>
    </sheetView>
  </sheetViews>
  <sheetFormatPr defaultColWidth="12.5703125" defaultRowHeight="15.75" customHeight="1"/>
  <cols>
    <col min="1" max="1" width="5.42578125" style="2" customWidth="1"/>
    <col min="2" max="2" width="11.42578125" style="106" customWidth="1"/>
    <col min="3" max="3" width="4" style="104" customWidth="1"/>
    <col min="4" max="17" width="9.5703125" style="2" customWidth="1"/>
    <col min="18" max="16384" width="12.5703125" style="2"/>
  </cols>
  <sheetData>
    <row r="1" spans="1:17" s="115" customFormat="1" ht="15.75" customHeight="1">
      <c r="A1" s="405" t="s">
        <v>202</v>
      </c>
      <c r="B1" s="405"/>
      <c r="C1" s="405"/>
      <c r="D1" s="405"/>
      <c r="E1" s="405"/>
      <c r="F1" s="405"/>
      <c r="G1" s="405"/>
      <c r="H1" s="405"/>
      <c r="I1" s="405"/>
      <c r="J1" s="405"/>
      <c r="K1" s="405"/>
      <c r="L1" s="405"/>
      <c r="M1" s="405"/>
      <c r="N1" s="405"/>
      <c r="O1" s="405"/>
      <c r="P1" s="405"/>
      <c r="Q1" s="405"/>
    </row>
    <row r="2" spans="1:17" s="116" customFormat="1" ht="15.75" customHeight="1">
      <c r="A2" s="405"/>
      <c r="B2" s="405"/>
      <c r="C2" s="405"/>
      <c r="D2" s="405"/>
      <c r="E2" s="405"/>
      <c r="F2" s="405"/>
      <c r="G2" s="405"/>
      <c r="H2" s="405"/>
      <c r="I2" s="405"/>
      <c r="J2" s="405"/>
      <c r="K2" s="405"/>
      <c r="L2" s="405"/>
      <c r="M2" s="405"/>
      <c r="N2" s="405"/>
      <c r="O2" s="405"/>
      <c r="P2" s="405"/>
      <c r="Q2" s="405"/>
    </row>
    <row r="3" spans="1:17" s="115" customFormat="1" ht="15.75" customHeight="1">
      <c r="A3" s="535" t="s">
        <v>208</v>
      </c>
      <c r="B3" s="536"/>
      <c r="C3" s="536"/>
      <c r="D3" s="536"/>
      <c r="E3" s="536"/>
      <c r="F3" s="536"/>
      <c r="G3" s="536"/>
      <c r="H3" s="536"/>
      <c r="I3" s="536"/>
      <c r="J3" s="536"/>
      <c r="K3" s="536"/>
      <c r="L3" s="536"/>
      <c r="M3" s="536"/>
    </row>
    <row r="4" spans="1:17" s="116" customFormat="1" ht="15.75" customHeight="1">
      <c r="A4" s="536"/>
      <c r="B4" s="536"/>
      <c r="C4" s="536"/>
      <c r="D4" s="536"/>
      <c r="E4" s="536"/>
      <c r="F4" s="536"/>
      <c r="G4" s="536"/>
      <c r="H4" s="536"/>
      <c r="I4" s="536"/>
      <c r="J4" s="536"/>
      <c r="K4" s="536"/>
      <c r="L4" s="536"/>
      <c r="M4" s="536"/>
    </row>
    <row r="5" spans="1:17" s="115" customFormat="1" ht="15.75" customHeight="1">
      <c r="A5" s="450" t="s">
        <v>188</v>
      </c>
      <c r="B5" s="534">
        <v>1</v>
      </c>
      <c r="C5" s="534"/>
      <c r="D5" s="534">
        <v>2</v>
      </c>
      <c r="E5" s="534"/>
      <c r="F5" s="534">
        <v>3</v>
      </c>
      <c r="G5" s="534"/>
      <c r="H5" s="656">
        <v>4</v>
      </c>
      <c r="I5" s="656"/>
      <c r="J5" s="656">
        <v>5</v>
      </c>
      <c r="K5" s="656"/>
      <c r="L5" s="656">
        <v>6</v>
      </c>
      <c r="M5" s="656"/>
      <c r="N5" s="656">
        <v>7</v>
      </c>
      <c r="O5" s="656"/>
      <c r="P5" s="534">
        <v>8</v>
      </c>
      <c r="Q5" s="534"/>
    </row>
    <row r="6" spans="1:17" s="115" customFormat="1" ht="15.75" customHeight="1">
      <c r="A6" s="450"/>
      <c r="B6" s="450" t="s">
        <v>318</v>
      </c>
      <c r="C6" s="450"/>
      <c r="D6" s="450" t="s">
        <v>209</v>
      </c>
      <c r="E6" s="450"/>
      <c r="F6" s="450" t="s">
        <v>162</v>
      </c>
      <c r="G6" s="450"/>
      <c r="H6" s="657" t="s">
        <v>456</v>
      </c>
      <c r="I6" s="657"/>
      <c r="J6" s="657" t="s">
        <v>186</v>
      </c>
      <c r="K6" s="657"/>
      <c r="L6" s="657" t="s">
        <v>163</v>
      </c>
      <c r="M6" s="657"/>
      <c r="N6" s="657" t="s">
        <v>187</v>
      </c>
      <c r="O6" s="657"/>
      <c r="P6" s="655" t="s">
        <v>212</v>
      </c>
      <c r="Q6" s="450"/>
    </row>
    <row r="7" spans="1:17" s="115" customFormat="1" ht="15.75" customHeight="1">
      <c r="B7" s="160"/>
      <c r="C7" s="147"/>
    </row>
    <row r="8" spans="1:17" s="105" customFormat="1" ht="15.75" customHeight="1">
      <c r="A8" s="658" t="s">
        <v>759</v>
      </c>
      <c r="B8" s="659"/>
      <c r="C8" s="112" t="s">
        <v>760</v>
      </c>
      <c r="D8" s="660" t="s">
        <v>12</v>
      </c>
      <c r="E8" s="661"/>
      <c r="F8" s="662"/>
      <c r="G8" s="110" t="s">
        <v>761</v>
      </c>
      <c r="H8" s="111"/>
      <c r="I8" s="112"/>
      <c r="J8" s="109" t="s">
        <v>762</v>
      </c>
      <c r="K8" s="109" t="s">
        <v>763</v>
      </c>
      <c r="L8" s="109" t="s">
        <v>764</v>
      </c>
      <c r="M8" s="113" t="s">
        <v>11</v>
      </c>
      <c r="N8" s="280" t="s">
        <v>765</v>
      </c>
      <c r="O8" s="663" t="s">
        <v>766</v>
      </c>
      <c r="P8" s="664"/>
    </row>
    <row r="9" spans="1:17" ht="15.75" customHeight="1">
      <c r="A9" s="659">
        <v>4</v>
      </c>
      <c r="B9" s="666" t="s">
        <v>456</v>
      </c>
      <c r="C9" s="107">
        <v>1</v>
      </c>
      <c r="D9" s="407" t="s">
        <v>559</v>
      </c>
      <c r="E9" s="636"/>
      <c r="F9" s="637"/>
      <c r="G9" s="407" t="s">
        <v>562</v>
      </c>
      <c r="H9" s="636"/>
      <c r="I9" s="637"/>
      <c r="J9" s="281">
        <v>462.04</v>
      </c>
      <c r="K9" s="14">
        <v>2.5006251562890724E-2</v>
      </c>
      <c r="L9" s="4">
        <v>0.4</v>
      </c>
      <c r="M9" s="261">
        <v>184.81600000000003</v>
      </c>
      <c r="N9" s="4"/>
      <c r="O9" s="644" t="s">
        <v>778</v>
      </c>
      <c r="P9" s="672"/>
    </row>
    <row r="10" spans="1:17" ht="15.75" customHeight="1">
      <c r="A10" s="659"/>
      <c r="B10" s="666"/>
      <c r="C10" s="107">
        <v>2</v>
      </c>
      <c r="D10" s="407" t="s">
        <v>599</v>
      </c>
      <c r="E10" s="636"/>
      <c r="F10" s="637"/>
      <c r="G10" s="407" t="s">
        <v>614</v>
      </c>
      <c r="H10" s="636"/>
      <c r="I10" s="637"/>
      <c r="J10" s="281">
        <v>77.8</v>
      </c>
      <c r="K10" s="14">
        <v>2.1289988151658768E-2</v>
      </c>
      <c r="L10" s="4">
        <v>2.2999999999999998</v>
      </c>
      <c r="M10" s="261">
        <v>178.93999999999997</v>
      </c>
      <c r="N10" s="4"/>
      <c r="O10" s="644" t="s">
        <v>778</v>
      </c>
      <c r="P10" s="672"/>
    </row>
    <row r="11" spans="1:17" ht="15.75" customHeight="1">
      <c r="A11" s="659"/>
      <c r="B11" s="666"/>
      <c r="C11" s="107">
        <v>3</v>
      </c>
      <c r="D11" s="407" t="s">
        <v>566</v>
      </c>
      <c r="E11" s="636"/>
      <c r="F11" s="637"/>
      <c r="G11" s="407" t="s">
        <v>569</v>
      </c>
      <c r="H11" s="636"/>
      <c r="I11" s="637"/>
      <c r="J11" s="281">
        <v>105.09</v>
      </c>
      <c r="K11" s="14">
        <v>1.756706485347001E-2</v>
      </c>
      <c r="L11" s="4">
        <v>1.7</v>
      </c>
      <c r="M11" s="261">
        <v>178.65299999999999</v>
      </c>
      <c r="N11" s="4"/>
      <c r="O11" s="644" t="s">
        <v>778</v>
      </c>
      <c r="P11" s="672"/>
    </row>
    <row r="12" spans="1:17" ht="15.75" customHeight="1">
      <c r="A12" s="659"/>
      <c r="B12" s="666"/>
      <c r="C12" s="107">
        <v>4</v>
      </c>
      <c r="D12" s="407" t="s">
        <v>338</v>
      </c>
      <c r="E12" s="636"/>
      <c r="F12" s="637"/>
      <c r="G12" s="407" t="s">
        <v>398</v>
      </c>
      <c r="H12" s="636"/>
      <c r="I12" s="637"/>
      <c r="J12" s="281">
        <v>127.48</v>
      </c>
      <c r="K12" s="14">
        <v>9.8928043980581835E-3</v>
      </c>
      <c r="L12" s="4">
        <v>1.4</v>
      </c>
      <c r="M12" s="261">
        <v>178.47200000000001</v>
      </c>
      <c r="N12" s="4"/>
      <c r="O12" s="644" t="s">
        <v>778</v>
      </c>
      <c r="P12" s="672"/>
    </row>
    <row r="13" spans="1:17" ht="15.75" customHeight="1" thickBot="1">
      <c r="A13" s="659"/>
      <c r="B13" s="666"/>
      <c r="C13" s="108">
        <v>5</v>
      </c>
      <c r="D13" s="407" t="s">
        <v>341</v>
      </c>
      <c r="E13" s="636"/>
      <c r="F13" s="637"/>
      <c r="G13" s="407" t="s">
        <v>550</v>
      </c>
      <c r="H13" s="636"/>
      <c r="I13" s="637"/>
      <c r="J13" s="281">
        <v>111.17</v>
      </c>
      <c r="K13" s="14">
        <v>5.9943503248188583E-3</v>
      </c>
      <c r="L13" s="4">
        <v>1.6</v>
      </c>
      <c r="M13" s="261">
        <v>177.87200000000001</v>
      </c>
      <c r="N13" s="27"/>
      <c r="O13" s="644" t="s">
        <v>778</v>
      </c>
      <c r="P13" s="672"/>
    </row>
    <row r="14" spans="1:17" ht="15.75" customHeight="1" thickTop="1" thickBot="1">
      <c r="A14" s="659"/>
      <c r="B14" s="666"/>
      <c r="C14" s="674"/>
      <c r="D14" s="674"/>
      <c r="E14" s="674"/>
      <c r="F14" s="674"/>
      <c r="G14" s="674"/>
      <c r="H14" s="674"/>
      <c r="I14" s="674"/>
      <c r="J14" s="218" t="s">
        <v>768</v>
      </c>
      <c r="K14" s="217">
        <v>1.9164821837043509E-3</v>
      </c>
      <c r="L14" s="218" t="s">
        <v>769</v>
      </c>
      <c r="M14" s="219">
        <v>898.75299999999993</v>
      </c>
      <c r="N14" s="673"/>
      <c r="O14" s="673"/>
      <c r="P14" s="673"/>
    </row>
    <row r="15" spans="1:17" ht="15.75" customHeight="1" thickTop="1"/>
    <row r="16" spans="1:17" ht="15.75" customHeight="1">
      <c r="A16" s="658" t="s">
        <v>759</v>
      </c>
      <c r="B16" s="659"/>
      <c r="C16" s="112" t="s">
        <v>760</v>
      </c>
      <c r="D16" s="660" t="s">
        <v>12</v>
      </c>
      <c r="E16" s="661"/>
      <c r="F16" s="662"/>
      <c r="G16" s="110" t="s">
        <v>761</v>
      </c>
      <c r="H16" s="111"/>
      <c r="I16" s="112"/>
      <c r="J16" s="109" t="s">
        <v>762</v>
      </c>
      <c r="K16" s="109" t="s">
        <v>763</v>
      </c>
      <c r="L16" s="109" t="s">
        <v>764</v>
      </c>
      <c r="M16" s="113" t="s">
        <v>11</v>
      </c>
      <c r="N16" s="280" t="s">
        <v>765</v>
      </c>
      <c r="O16" s="663" t="s">
        <v>766</v>
      </c>
      <c r="P16" s="664"/>
    </row>
    <row r="17" spans="1:16" ht="15.75" customHeight="1">
      <c r="A17" s="659">
        <v>5</v>
      </c>
      <c r="B17" s="665" t="s">
        <v>210</v>
      </c>
      <c r="C17" s="107">
        <v>1</v>
      </c>
      <c r="D17" s="407" t="s">
        <v>672</v>
      </c>
      <c r="E17" s="636"/>
      <c r="F17" s="637"/>
      <c r="G17" s="407" t="s">
        <v>701</v>
      </c>
      <c r="H17" s="636"/>
      <c r="I17" s="637"/>
      <c r="J17" s="281">
        <v>261.2</v>
      </c>
      <c r="K17" s="14">
        <v>1.3823064770932071E-2</v>
      </c>
      <c r="L17" s="4">
        <v>0.70000000000000007</v>
      </c>
      <c r="M17" s="261">
        <v>182.84</v>
      </c>
      <c r="N17" s="4"/>
      <c r="O17" s="644" t="s">
        <v>474</v>
      </c>
      <c r="P17" s="672"/>
    </row>
    <row r="18" spans="1:16" ht="15.75" customHeight="1">
      <c r="A18" s="659"/>
      <c r="B18" s="666"/>
      <c r="C18" s="107">
        <v>2</v>
      </c>
      <c r="D18" s="407" t="s">
        <v>462</v>
      </c>
      <c r="E18" s="636"/>
      <c r="F18" s="637"/>
      <c r="G18" s="407" t="s">
        <v>700</v>
      </c>
      <c r="H18" s="636"/>
      <c r="I18" s="637"/>
      <c r="J18" s="281">
        <v>300.93</v>
      </c>
      <c r="K18" s="14">
        <v>2.8335301062573794E-2</v>
      </c>
      <c r="L18" s="4">
        <v>0.60000000000000009</v>
      </c>
      <c r="M18" s="261">
        <v>180.55800000000002</v>
      </c>
      <c r="N18" s="4"/>
      <c r="O18" s="644" t="s">
        <v>474</v>
      </c>
      <c r="P18" s="672"/>
    </row>
    <row r="19" spans="1:16" ht="15.75" customHeight="1">
      <c r="A19" s="659"/>
      <c r="B19" s="666"/>
      <c r="C19" s="107">
        <v>3</v>
      </c>
      <c r="D19" s="407" t="s">
        <v>341</v>
      </c>
      <c r="E19" s="636"/>
      <c r="F19" s="637"/>
      <c r="G19" s="407" t="s">
        <v>553</v>
      </c>
      <c r="H19" s="636"/>
      <c r="I19" s="637"/>
      <c r="J19" s="281">
        <v>136.88999999999999</v>
      </c>
      <c r="K19" s="14">
        <v>5.1172640744443837E-3</v>
      </c>
      <c r="L19" s="4">
        <v>1.3</v>
      </c>
      <c r="M19" s="261">
        <v>177.95699999999999</v>
      </c>
      <c r="N19" s="4"/>
      <c r="O19" s="644" t="s">
        <v>474</v>
      </c>
      <c r="P19" s="672"/>
    </row>
    <row r="20" spans="1:16" ht="15.75" customHeight="1">
      <c r="A20" s="659"/>
      <c r="B20" s="666"/>
      <c r="C20" s="107">
        <v>4</v>
      </c>
      <c r="D20" s="407" t="s">
        <v>597</v>
      </c>
      <c r="E20" s="636"/>
      <c r="F20" s="637"/>
      <c r="G20" s="407" t="s">
        <v>779</v>
      </c>
      <c r="H20" s="636"/>
      <c r="I20" s="637"/>
      <c r="J20" s="281">
        <v>290.67</v>
      </c>
      <c r="K20" s="14">
        <v>3.3662477558348294E-2</v>
      </c>
      <c r="L20" s="4">
        <v>0.60000000000000009</v>
      </c>
      <c r="M20" s="261">
        <v>174.40200000000004</v>
      </c>
      <c r="N20" s="4"/>
      <c r="O20" s="644" t="s">
        <v>474</v>
      </c>
      <c r="P20" s="672"/>
    </row>
    <row r="21" spans="1:16" ht="15.75" customHeight="1" thickBot="1">
      <c r="A21" s="659"/>
      <c r="B21" s="666"/>
      <c r="C21" s="108">
        <v>5</v>
      </c>
      <c r="D21" s="407" t="s">
        <v>375</v>
      </c>
      <c r="E21" s="636"/>
      <c r="F21" s="637"/>
      <c r="G21" s="407" t="s">
        <v>780</v>
      </c>
      <c r="H21" s="636"/>
      <c r="I21" s="637"/>
      <c r="J21" s="281">
        <v>281.72000000000003</v>
      </c>
      <c r="K21" s="14">
        <v>2.5764342150463762E-2</v>
      </c>
      <c r="L21" s="4">
        <v>0.60000000000000009</v>
      </c>
      <c r="M21" s="261">
        <v>169.03200000000004</v>
      </c>
      <c r="N21" s="4"/>
      <c r="O21" s="644" t="s">
        <v>474</v>
      </c>
      <c r="P21" s="672"/>
    </row>
    <row r="22" spans="1:16" ht="15.75" customHeight="1" thickTop="1" thickBot="1">
      <c r="A22" s="659"/>
      <c r="B22" s="666"/>
      <c r="C22" s="667"/>
      <c r="D22" s="667"/>
      <c r="E22" s="667"/>
      <c r="F22" s="667"/>
      <c r="G22" s="667"/>
      <c r="H22" s="667"/>
      <c r="I22" s="668"/>
      <c r="J22" s="114" t="s">
        <v>768</v>
      </c>
      <c r="K22" s="217">
        <v>1.8867056408574873E-3</v>
      </c>
      <c r="L22" s="114" t="s">
        <v>769</v>
      </c>
      <c r="M22" s="219">
        <v>884.7890000000001</v>
      </c>
      <c r="N22" s="669"/>
      <c r="O22" s="670"/>
      <c r="P22" s="671"/>
    </row>
    <row r="23" spans="1:16" ht="15.75" customHeight="1" thickTop="1"/>
    <row r="24" spans="1:16" ht="15.75" customHeight="1">
      <c r="A24" s="658" t="s">
        <v>759</v>
      </c>
      <c r="B24" s="659"/>
      <c r="C24" s="112" t="s">
        <v>760</v>
      </c>
      <c r="D24" s="660" t="s">
        <v>12</v>
      </c>
      <c r="E24" s="661"/>
      <c r="F24" s="662"/>
      <c r="G24" s="110" t="s">
        <v>761</v>
      </c>
      <c r="H24" s="111"/>
      <c r="I24" s="112"/>
      <c r="J24" s="109" t="s">
        <v>762</v>
      </c>
      <c r="K24" s="109" t="s">
        <v>763</v>
      </c>
      <c r="L24" s="109" t="s">
        <v>764</v>
      </c>
      <c r="M24" s="113" t="s">
        <v>11</v>
      </c>
      <c r="N24" s="280" t="s">
        <v>765</v>
      </c>
      <c r="O24" s="663" t="s">
        <v>766</v>
      </c>
      <c r="P24" s="664"/>
    </row>
    <row r="25" spans="1:16" ht="15.75" customHeight="1">
      <c r="A25" s="659">
        <v>6</v>
      </c>
      <c r="B25" s="665" t="s">
        <v>211</v>
      </c>
      <c r="C25" s="107">
        <v>1</v>
      </c>
      <c r="D25" s="407" t="s">
        <v>518</v>
      </c>
      <c r="E25" s="636"/>
      <c r="F25" s="637"/>
      <c r="G25" s="407" t="s">
        <v>421</v>
      </c>
      <c r="H25" s="636"/>
      <c r="I25" s="637"/>
      <c r="J25" s="281">
        <v>13.45</v>
      </c>
      <c r="K25" s="14">
        <v>1.556420233463035E-2</v>
      </c>
      <c r="L25" s="4">
        <v>16</v>
      </c>
      <c r="M25" s="261">
        <v>215.2</v>
      </c>
      <c r="N25" s="4"/>
      <c r="O25" s="644" t="s">
        <v>781</v>
      </c>
      <c r="P25" s="672"/>
    </row>
    <row r="26" spans="1:16" ht="15.75" customHeight="1">
      <c r="A26" s="659"/>
      <c r="B26" s="666"/>
      <c r="C26" s="107">
        <v>2</v>
      </c>
      <c r="D26" s="407" t="s">
        <v>670</v>
      </c>
      <c r="E26" s="636"/>
      <c r="F26" s="637"/>
      <c r="G26" s="407" t="s">
        <v>343</v>
      </c>
      <c r="H26" s="636"/>
      <c r="I26" s="637"/>
      <c r="J26" s="281">
        <v>487.6</v>
      </c>
      <c r="K26" s="14">
        <v>6.7189249720044789E-3</v>
      </c>
      <c r="L26" s="4">
        <v>0.3</v>
      </c>
      <c r="M26" s="261">
        <v>146.28</v>
      </c>
      <c r="N26" s="4"/>
      <c r="O26" s="644" t="s">
        <v>782</v>
      </c>
      <c r="P26" s="672"/>
    </row>
    <row r="27" spans="1:16" ht="15.75" customHeight="1">
      <c r="A27" s="659"/>
      <c r="B27" s="666"/>
      <c r="C27" s="107">
        <v>3</v>
      </c>
      <c r="D27" s="407" t="s">
        <v>400</v>
      </c>
      <c r="E27" s="636"/>
      <c r="F27" s="637"/>
      <c r="G27" s="407" t="s">
        <v>401</v>
      </c>
      <c r="H27" s="636"/>
      <c r="I27" s="637"/>
      <c r="J27" s="281">
        <v>444.88</v>
      </c>
      <c r="K27" s="14">
        <v>1.7433751743375175E-2</v>
      </c>
      <c r="L27" s="4">
        <v>0.3</v>
      </c>
      <c r="M27" s="261">
        <v>133.464</v>
      </c>
      <c r="N27" s="4"/>
      <c r="O27" s="644" t="s">
        <v>782</v>
      </c>
      <c r="P27" s="672"/>
    </row>
    <row r="28" spans="1:16" ht="15.75" customHeight="1">
      <c r="A28" s="659"/>
      <c r="B28" s="666"/>
      <c r="C28" s="107">
        <v>4</v>
      </c>
      <c r="D28" s="407">
        <v>0</v>
      </c>
      <c r="E28" s="636"/>
      <c r="F28" s="637"/>
      <c r="G28" s="407">
        <v>0</v>
      </c>
      <c r="H28" s="636"/>
      <c r="I28" s="637"/>
      <c r="J28" s="281">
        <v>0</v>
      </c>
      <c r="K28" s="14">
        <v>0</v>
      </c>
      <c r="L28" s="4">
        <v>0</v>
      </c>
      <c r="M28" s="261">
        <v>0</v>
      </c>
      <c r="N28" s="4"/>
      <c r="O28" s="644"/>
      <c r="P28" s="672"/>
    </row>
    <row r="29" spans="1:16" ht="15.75" customHeight="1" thickBot="1">
      <c r="A29" s="659"/>
      <c r="B29" s="666"/>
      <c r="C29" s="108">
        <v>5</v>
      </c>
      <c r="D29" s="407">
        <v>0</v>
      </c>
      <c r="E29" s="636"/>
      <c r="F29" s="637"/>
      <c r="G29" s="407">
        <v>0</v>
      </c>
      <c r="H29" s="636"/>
      <c r="I29" s="637"/>
      <c r="J29" s="281">
        <v>0</v>
      </c>
      <c r="K29" s="14">
        <v>0</v>
      </c>
      <c r="L29" s="4">
        <v>0</v>
      </c>
      <c r="M29" s="261">
        <v>0</v>
      </c>
      <c r="N29" s="4"/>
      <c r="O29" s="644"/>
      <c r="P29" s="672"/>
    </row>
    <row r="30" spans="1:16" ht="15.75" customHeight="1" thickTop="1" thickBot="1">
      <c r="A30" s="659"/>
      <c r="B30" s="666"/>
      <c r="C30" s="667"/>
      <c r="D30" s="667"/>
      <c r="E30" s="667"/>
      <c r="F30" s="667"/>
      <c r="G30" s="667"/>
      <c r="H30" s="667"/>
      <c r="I30" s="668"/>
      <c r="J30" s="114" t="s">
        <v>768</v>
      </c>
      <c r="K30" s="217">
        <v>1.0554082800628942E-3</v>
      </c>
      <c r="L30" s="114" t="s">
        <v>769</v>
      </c>
      <c r="M30" s="219">
        <v>494.94400000000002</v>
      </c>
      <c r="N30" s="669"/>
      <c r="O30" s="670"/>
      <c r="P30" s="671"/>
    </row>
    <row r="31" spans="1:16" ht="15.75" customHeight="1" thickTop="1"/>
    <row r="32" spans="1:16" ht="15.75" customHeight="1">
      <c r="A32" s="658" t="s">
        <v>759</v>
      </c>
      <c r="B32" s="659"/>
      <c r="C32" s="112" t="s">
        <v>760</v>
      </c>
      <c r="D32" s="660" t="s">
        <v>12</v>
      </c>
      <c r="E32" s="661"/>
      <c r="F32" s="662"/>
      <c r="G32" s="110" t="s">
        <v>761</v>
      </c>
      <c r="H32" s="111"/>
      <c r="I32" s="112"/>
      <c r="J32" s="109" t="s">
        <v>762</v>
      </c>
      <c r="K32" s="109" t="s">
        <v>763</v>
      </c>
      <c r="L32" s="109" t="s">
        <v>764</v>
      </c>
      <c r="M32" s="113" t="s">
        <v>11</v>
      </c>
      <c r="N32" s="113" t="s">
        <v>13</v>
      </c>
      <c r="O32" s="663" t="s">
        <v>766</v>
      </c>
      <c r="P32" s="664"/>
    </row>
    <row r="33" spans="1:16" ht="15.75" customHeight="1">
      <c r="A33" s="659">
        <v>7</v>
      </c>
      <c r="B33" s="665" t="s">
        <v>783</v>
      </c>
      <c r="C33" s="107">
        <v>1</v>
      </c>
      <c r="D33" s="407" t="s">
        <v>597</v>
      </c>
      <c r="E33" s="636"/>
      <c r="F33" s="637"/>
      <c r="G33" s="407" t="s">
        <v>615</v>
      </c>
      <c r="H33" s="636"/>
      <c r="I33" s="637"/>
      <c r="J33" s="4">
        <v>730.4</v>
      </c>
      <c r="K33" s="14">
        <v>0.32894736842105265</v>
      </c>
      <c r="L33" s="4">
        <v>0.2</v>
      </c>
      <c r="M33" s="261">
        <v>146.08000000000001</v>
      </c>
      <c r="N33" s="4"/>
      <c r="O33" s="644" t="s">
        <v>784</v>
      </c>
      <c r="P33" s="645"/>
    </row>
    <row r="34" spans="1:16" ht="15.75" customHeight="1">
      <c r="A34" s="659"/>
      <c r="B34" s="666"/>
      <c r="C34" s="107">
        <v>2</v>
      </c>
      <c r="D34" s="407" t="s">
        <v>671</v>
      </c>
      <c r="E34" s="636"/>
      <c r="F34" s="637"/>
      <c r="G34" s="407" t="s">
        <v>702</v>
      </c>
      <c r="H34" s="636"/>
      <c r="I34" s="637"/>
      <c r="J34" s="4">
        <v>651.53</v>
      </c>
      <c r="K34" s="14">
        <v>6.9041701187517266E-3</v>
      </c>
      <c r="L34" s="4">
        <v>0.2</v>
      </c>
      <c r="M34" s="261">
        <v>130.30600000000001</v>
      </c>
      <c r="N34" s="4"/>
      <c r="O34" s="644" t="s">
        <v>704</v>
      </c>
      <c r="P34" s="645"/>
    </row>
    <row r="35" spans="1:16" ht="15.75" customHeight="1">
      <c r="A35" s="659"/>
      <c r="B35" s="666"/>
      <c r="C35" s="107">
        <v>3</v>
      </c>
      <c r="D35" s="407">
        <v>0</v>
      </c>
      <c r="E35" s="636"/>
      <c r="F35" s="637"/>
      <c r="G35" s="407">
        <v>0</v>
      </c>
      <c r="H35" s="636"/>
      <c r="I35" s="637"/>
      <c r="J35" s="4">
        <v>0</v>
      </c>
      <c r="K35" s="14">
        <v>0</v>
      </c>
      <c r="L35" s="4">
        <v>0</v>
      </c>
      <c r="M35" s="261">
        <v>0</v>
      </c>
      <c r="N35" s="4"/>
      <c r="O35" s="644" t="s">
        <v>704</v>
      </c>
      <c r="P35" s="645"/>
    </row>
    <row r="36" spans="1:16" ht="15.75" customHeight="1">
      <c r="A36" s="659"/>
      <c r="B36" s="666"/>
      <c r="C36" s="107">
        <v>4</v>
      </c>
      <c r="D36" s="407">
        <v>0</v>
      </c>
      <c r="E36" s="636"/>
      <c r="F36" s="637"/>
      <c r="G36" s="407">
        <v>0</v>
      </c>
      <c r="H36" s="636"/>
      <c r="I36" s="637"/>
      <c r="J36" s="4">
        <v>0</v>
      </c>
      <c r="K36" s="14">
        <v>0</v>
      </c>
      <c r="L36" s="4">
        <v>0</v>
      </c>
      <c r="M36" s="261">
        <v>0</v>
      </c>
      <c r="N36" s="4"/>
      <c r="O36" s="644" t="s">
        <v>704</v>
      </c>
      <c r="P36" s="645"/>
    </row>
    <row r="37" spans="1:16" ht="15.75" customHeight="1" thickBot="1">
      <c r="A37" s="659"/>
      <c r="B37" s="666"/>
      <c r="C37" s="108">
        <v>5</v>
      </c>
      <c r="D37" s="407">
        <v>0</v>
      </c>
      <c r="E37" s="636"/>
      <c r="F37" s="637"/>
      <c r="G37" s="407">
        <v>0</v>
      </c>
      <c r="H37" s="636"/>
      <c r="I37" s="637"/>
      <c r="J37" s="4">
        <v>0</v>
      </c>
      <c r="K37" s="14">
        <v>0</v>
      </c>
      <c r="L37" s="4">
        <v>0</v>
      </c>
      <c r="M37" s="261">
        <v>0</v>
      </c>
      <c r="N37" s="4"/>
      <c r="O37" s="644" t="s">
        <v>704</v>
      </c>
      <c r="P37" s="645"/>
    </row>
    <row r="38" spans="1:16" ht="15.75" customHeight="1" thickTop="1" thickBot="1">
      <c r="A38" s="659"/>
      <c r="B38" s="666"/>
      <c r="C38" s="667"/>
      <c r="D38" s="667"/>
      <c r="E38" s="667"/>
      <c r="F38" s="667"/>
      <c r="G38" s="667"/>
      <c r="H38" s="667"/>
      <c r="I38" s="668"/>
      <c r="J38" s="114" t="s">
        <v>768</v>
      </c>
      <c r="K38" s="217">
        <v>5.8935975159505542E-4</v>
      </c>
      <c r="L38" s="114" t="s">
        <v>769</v>
      </c>
      <c r="M38" s="219">
        <v>276.38600000000002</v>
      </c>
      <c r="N38" s="669"/>
      <c r="O38" s="670"/>
      <c r="P38" s="671"/>
    </row>
    <row r="39" spans="1:16" ht="15.75" customHeight="1" thickTop="1"/>
  </sheetData>
  <mergeCells count="107">
    <mergeCell ref="O25:P25"/>
    <mergeCell ref="O26:P26"/>
    <mergeCell ref="O27:P27"/>
    <mergeCell ref="O28:P28"/>
    <mergeCell ref="O29:P29"/>
    <mergeCell ref="O11:P11"/>
    <mergeCell ref="O12:P12"/>
    <mergeCell ref="O13:P13"/>
    <mergeCell ref="O17:P17"/>
    <mergeCell ref="O18:P18"/>
    <mergeCell ref="A1:Q2"/>
    <mergeCell ref="P5:Q5"/>
    <mergeCell ref="P6:Q6"/>
    <mergeCell ref="N5:O5"/>
    <mergeCell ref="B6:C6"/>
    <mergeCell ref="D6:E6"/>
    <mergeCell ref="F6:G6"/>
    <mergeCell ref="H6:I6"/>
    <mergeCell ref="J6:K6"/>
    <mergeCell ref="L6:M6"/>
    <mergeCell ref="N6:O6"/>
    <mergeCell ref="A3:M4"/>
    <mergeCell ref="A5:A6"/>
    <mergeCell ref="B5:C5"/>
    <mergeCell ref="D5:E5"/>
    <mergeCell ref="F5:G5"/>
    <mergeCell ref="H5:I5"/>
    <mergeCell ref="J5:K5"/>
    <mergeCell ref="L5:M5"/>
    <mergeCell ref="A8:B8"/>
    <mergeCell ref="D8:F8"/>
    <mergeCell ref="O8:P8"/>
    <mergeCell ref="A9:A14"/>
    <mergeCell ref="B9:B14"/>
    <mergeCell ref="D9:F9"/>
    <mergeCell ref="G9:I9"/>
    <mergeCell ref="D10:F10"/>
    <mergeCell ref="G10:I10"/>
    <mergeCell ref="D11:F11"/>
    <mergeCell ref="G11:I11"/>
    <mergeCell ref="D12:F12"/>
    <mergeCell ref="G12:I12"/>
    <mergeCell ref="D13:F13"/>
    <mergeCell ref="G13:I13"/>
    <mergeCell ref="N14:P14"/>
    <mergeCell ref="O9:P9"/>
    <mergeCell ref="O10:P10"/>
    <mergeCell ref="C14:I14"/>
    <mergeCell ref="A16:B16"/>
    <mergeCell ref="D16:F16"/>
    <mergeCell ref="O16:P16"/>
    <mergeCell ref="A17:A22"/>
    <mergeCell ref="B17:B22"/>
    <mergeCell ref="D17:F17"/>
    <mergeCell ref="G17:I17"/>
    <mergeCell ref="D18:F18"/>
    <mergeCell ref="G18:I18"/>
    <mergeCell ref="D21:F21"/>
    <mergeCell ref="G21:I21"/>
    <mergeCell ref="N22:P22"/>
    <mergeCell ref="O19:P19"/>
    <mergeCell ref="O20:P20"/>
    <mergeCell ref="O21:P21"/>
    <mergeCell ref="D19:F19"/>
    <mergeCell ref="G19:I19"/>
    <mergeCell ref="D20:F20"/>
    <mergeCell ref="G20:I20"/>
    <mergeCell ref="C22:I22"/>
    <mergeCell ref="N38:P38"/>
    <mergeCell ref="G34:I34"/>
    <mergeCell ref="D35:F35"/>
    <mergeCell ref="G27:I27"/>
    <mergeCell ref="D28:F28"/>
    <mergeCell ref="O36:P36"/>
    <mergeCell ref="O37:P37"/>
    <mergeCell ref="G35:I35"/>
    <mergeCell ref="D36:F36"/>
    <mergeCell ref="G36:I36"/>
    <mergeCell ref="D37:F37"/>
    <mergeCell ref="G37:I37"/>
    <mergeCell ref="O33:P33"/>
    <mergeCell ref="O34:P34"/>
    <mergeCell ref="O35:P35"/>
    <mergeCell ref="A24:B24"/>
    <mergeCell ref="D24:F24"/>
    <mergeCell ref="O24:P24"/>
    <mergeCell ref="G28:I28"/>
    <mergeCell ref="A33:A38"/>
    <mergeCell ref="B33:B38"/>
    <mergeCell ref="D33:F33"/>
    <mergeCell ref="G33:I33"/>
    <mergeCell ref="D34:F34"/>
    <mergeCell ref="C30:I30"/>
    <mergeCell ref="D29:F29"/>
    <mergeCell ref="G29:I29"/>
    <mergeCell ref="A25:A30"/>
    <mergeCell ref="B25:B30"/>
    <mergeCell ref="D25:F25"/>
    <mergeCell ref="G25:I25"/>
    <mergeCell ref="D26:F26"/>
    <mergeCell ref="G26:I26"/>
    <mergeCell ref="D27:F27"/>
    <mergeCell ref="N30:P30"/>
    <mergeCell ref="A32:B32"/>
    <mergeCell ref="D32:F32"/>
    <mergeCell ref="O32:P32"/>
    <mergeCell ref="C38:I38"/>
  </mergeCells>
  <phoneticPr fontId="11" type="noConversion"/>
  <printOptions horizontalCentered="1" gridLines="1"/>
  <pageMargins left="0.39370078740157483" right="0.39370078740157483" top="0.39370078740157483" bottom="0.39370078740157483" header="0" footer="0"/>
  <pageSetup paperSize="9" scale="90" fitToWidth="0" fitToHeight="0" pageOrder="overThenDown" orientation="landscape" cellComments="atEnd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5" tint="0.39997558519241921"/>
    <outlinePr summaryBelow="0" summaryRight="0"/>
  </sheetPr>
  <dimension ref="A1:W31"/>
  <sheetViews>
    <sheetView view="pageBreakPreview" zoomScale="115" zoomScaleNormal="60" zoomScaleSheetLayoutView="115" workbookViewId="0">
      <selection activeCell="A8" sqref="A8:P30"/>
    </sheetView>
  </sheetViews>
  <sheetFormatPr defaultColWidth="12.5703125" defaultRowHeight="15.75" customHeight="1"/>
  <cols>
    <col min="1" max="1" width="5.42578125" style="167" customWidth="1"/>
    <col min="2" max="2" width="11.42578125" style="283" customWidth="1"/>
    <col min="3" max="3" width="4" style="284" customWidth="1"/>
    <col min="4" max="17" width="9.5703125" style="167" customWidth="1"/>
    <col min="18" max="16384" width="12.5703125" style="167"/>
  </cols>
  <sheetData>
    <row r="1" spans="1:23" ht="15.75" customHeight="1">
      <c r="A1" s="607" t="s">
        <v>464</v>
      </c>
      <c r="B1" s="607"/>
      <c r="C1" s="607"/>
      <c r="D1" s="607"/>
      <c r="E1" s="607"/>
      <c r="F1" s="607"/>
      <c r="G1" s="607"/>
      <c r="H1" s="607"/>
      <c r="I1" s="607"/>
      <c r="J1" s="607"/>
      <c r="K1" s="607"/>
      <c r="L1" s="607"/>
      <c r="M1" s="607"/>
      <c r="N1" s="607"/>
      <c r="O1" s="607"/>
      <c r="P1" s="607"/>
      <c r="Q1" s="607"/>
    </row>
    <row r="2" spans="1:23" s="168" customFormat="1" ht="15.75" customHeight="1">
      <c r="A2" s="607"/>
      <c r="B2" s="607"/>
      <c r="C2" s="607"/>
      <c r="D2" s="607"/>
      <c r="E2" s="607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167"/>
      <c r="S2" s="167"/>
      <c r="T2" s="167"/>
      <c r="U2" s="167"/>
      <c r="V2" s="167"/>
      <c r="W2" s="167"/>
    </row>
    <row r="3" spans="1:23" ht="15.75" customHeight="1">
      <c r="A3" s="608" t="s">
        <v>465</v>
      </c>
      <c r="B3" s="608"/>
      <c r="C3" s="608"/>
      <c r="D3" s="608"/>
      <c r="E3" s="608"/>
      <c r="F3" s="608"/>
      <c r="G3" s="608"/>
      <c r="H3" s="608"/>
      <c r="I3" s="608"/>
      <c r="J3" s="608"/>
      <c r="K3" s="608"/>
      <c r="L3" s="608"/>
      <c r="M3" s="608"/>
    </row>
    <row r="4" spans="1:23" s="168" customFormat="1" ht="15.75" customHeight="1">
      <c r="A4" s="608"/>
      <c r="B4" s="608"/>
      <c r="C4" s="608"/>
      <c r="D4" s="608"/>
      <c r="E4" s="608"/>
      <c r="F4" s="608"/>
      <c r="G4" s="608"/>
      <c r="H4" s="608"/>
      <c r="I4" s="608"/>
      <c r="J4" s="608"/>
      <c r="K4" s="608"/>
      <c r="L4" s="608"/>
      <c r="M4" s="608"/>
      <c r="R4" s="167"/>
      <c r="S4" s="167"/>
      <c r="T4" s="167"/>
      <c r="U4" s="167"/>
      <c r="V4" s="167"/>
      <c r="W4" s="167"/>
    </row>
    <row r="5" spans="1:23" ht="15.75" customHeight="1">
      <c r="A5" s="532" t="s">
        <v>458</v>
      </c>
      <c r="B5" s="676">
        <v>1</v>
      </c>
      <c r="C5" s="676"/>
      <c r="D5" s="676">
        <v>2</v>
      </c>
      <c r="E5" s="676"/>
      <c r="F5" s="676">
        <v>3</v>
      </c>
      <c r="G5" s="676"/>
      <c r="H5" s="528">
        <v>4</v>
      </c>
      <c r="I5" s="528"/>
      <c r="J5" s="528">
        <v>5</v>
      </c>
      <c r="K5" s="528"/>
      <c r="L5" s="528">
        <v>6</v>
      </c>
      <c r="M5" s="528"/>
      <c r="N5" s="528">
        <v>7</v>
      </c>
      <c r="O5" s="528"/>
      <c r="P5" s="528">
        <v>8</v>
      </c>
      <c r="Q5" s="528"/>
    </row>
    <row r="6" spans="1:23" ht="15.75" customHeight="1">
      <c r="A6" s="532"/>
      <c r="B6" s="677" t="s">
        <v>466</v>
      </c>
      <c r="C6" s="677"/>
      <c r="D6" s="677" t="s">
        <v>467</v>
      </c>
      <c r="E6" s="677"/>
      <c r="F6" s="677" t="s">
        <v>468</v>
      </c>
      <c r="G6" s="677"/>
      <c r="H6" s="675" t="s">
        <v>469</v>
      </c>
      <c r="I6" s="532"/>
      <c r="J6" s="532" t="s">
        <v>470</v>
      </c>
      <c r="K6" s="532"/>
      <c r="L6" s="532" t="s">
        <v>471</v>
      </c>
      <c r="M6" s="532"/>
      <c r="N6" s="532" t="s">
        <v>472</v>
      </c>
      <c r="O6" s="532"/>
      <c r="P6" s="675" t="s">
        <v>473</v>
      </c>
      <c r="Q6" s="532"/>
    </row>
    <row r="8" spans="1:23" s="282" customFormat="1" ht="15.75" customHeight="1">
      <c r="A8" s="646" t="s">
        <v>759</v>
      </c>
      <c r="B8" s="647"/>
      <c r="C8" s="388" t="s">
        <v>760</v>
      </c>
      <c r="D8" s="648" t="s">
        <v>12</v>
      </c>
      <c r="E8" s="649"/>
      <c r="F8" s="650"/>
      <c r="G8" s="386" t="s">
        <v>761</v>
      </c>
      <c r="H8" s="387"/>
      <c r="I8" s="388"/>
      <c r="J8" s="155" t="s">
        <v>762</v>
      </c>
      <c r="K8" s="280" t="s">
        <v>785</v>
      </c>
      <c r="L8" s="155" t="s">
        <v>764</v>
      </c>
      <c r="M8" s="155" t="s">
        <v>11</v>
      </c>
      <c r="N8" s="280" t="s">
        <v>765</v>
      </c>
      <c r="O8" s="651" t="s">
        <v>766</v>
      </c>
      <c r="P8" s="652"/>
      <c r="R8" s="167"/>
      <c r="S8" s="167"/>
      <c r="T8" s="167"/>
      <c r="U8" s="167"/>
      <c r="V8" s="167"/>
      <c r="W8" s="167"/>
    </row>
    <row r="9" spans="1:23" ht="15.75" customHeight="1">
      <c r="A9" s="566">
        <v>1</v>
      </c>
      <c r="B9" s="633" t="s">
        <v>767</v>
      </c>
      <c r="C9" s="156">
        <v>1</v>
      </c>
      <c r="D9" s="407">
        <v>0</v>
      </c>
      <c r="E9" s="636"/>
      <c r="F9" s="637"/>
      <c r="G9" s="407">
        <v>0</v>
      </c>
      <c r="H9" s="636"/>
      <c r="I9" s="637"/>
      <c r="J9" s="4">
        <v>0</v>
      </c>
      <c r="K9" s="14">
        <v>0</v>
      </c>
      <c r="L9" s="281">
        <v>0</v>
      </c>
      <c r="M9" s="16">
        <v>0</v>
      </c>
      <c r="N9" s="157"/>
      <c r="O9" s="644"/>
      <c r="P9" s="645"/>
    </row>
    <row r="10" spans="1:23" ht="15.75" customHeight="1">
      <c r="A10" s="573"/>
      <c r="B10" s="634"/>
      <c r="C10" s="156">
        <v>2</v>
      </c>
      <c r="D10" s="407">
        <v>0</v>
      </c>
      <c r="E10" s="636"/>
      <c r="F10" s="637"/>
      <c r="G10" s="407">
        <v>0</v>
      </c>
      <c r="H10" s="636"/>
      <c r="I10" s="637"/>
      <c r="J10" s="4">
        <v>0</v>
      </c>
      <c r="K10" s="14">
        <v>0</v>
      </c>
      <c r="L10" s="281">
        <v>0</v>
      </c>
      <c r="M10" s="16">
        <v>0</v>
      </c>
      <c r="N10" s="157"/>
      <c r="O10" s="644"/>
      <c r="P10" s="645"/>
    </row>
    <row r="11" spans="1:23" ht="15.75" customHeight="1">
      <c r="A11" s="573"/>
      <c r="B11" s="634"/>
      <c r="C11" s="156">
        <v>3</v>
      </c>
      <c r="D11" s="407">
        <v>0</v>
      </c>
      <c r="E11" s="636"/>
      <c r="F11" s="637"/>
      <c r="G11" s="407">
        <v>0</v>
      </c>
      <c r="H11" s="636"/>
      <c r="I11" s="637"/>
      <c r="J11" s="4">
        <v>0</v>
      </c>
      <c r="K11" s="14">
        <v>0</v>
      </c>
      <c r="L11" s="281">
        <v>0</v>
      </c>
      <c r="M11" s="16">
        <v>0</v>
      </c>
      <c r="N11" s="157"/>
      <c r="O11" s="644"/>
      <c r="P11" s="645"/>
    </row>
    <row r="12" spans="1:23" ht="15.75" customHeight="1">
      <c r="A12" s="573"/>
      <c r="B12" s="634"/>
      <c r="C12" s="156">
        <v>4</v>
      </c>
      <c r="D12" s="407">
        <v>0</v>
      </c>
      <c r="E12" s="636"/>
      <c r="F12" s="637"/>
      <c r="G12" s="407">
        <v>0</v>
      </c>
      <c r="H12" s="636"/>
      <c r="I12" s="637"/>
      <c r="J12" s="4">
        <v>0</v>
      </c>
      <c r="K12" s="14">
        <v>0</v>
      </c>
      <c r="L12" s="281">
        <v>0</v>
      </c>
      <c r="M12" s="16">
        <v>0</v>
      </c>
      <c r="N12" s="157"/>
      <c r="O12" s="644"/>
      <c r="P12" s="645"/>
    </row>
    <row r="13" spans="1:23" ht="15.75" customHeight="1" thickBot="1">
      <c r="A13" s="573"/>
      <c r="B13" s="634"/>
      <c r="C13" s="158">
        <v>5</v>
      </c>
      <c r="D13" s="641">
        <v>0</v>
      </c>
      <c r="E13" s="642"/>
      <c r="F13" s="643"/>
      <c r="G13" s="641">
        <v>0</v>
      </c>
      <c r="H13" s="642"/>
      <c r="I13" s="643"/>
      <c r="J13" s="4">
        <v>0</v>
      </c>
      <c r="K13" s="14">
        <v>0</v>
      </c>
      <c r="L13" s="281">
        <v>0</v>
      </c>
      <c r="M13" s="16">
        <v>0</v>
      </c>
      <c r="N13" s="159"/>
      <c r="O13" s="653"/>
      <c r="P13" s="654"/>
    </row>
    <row r="14" spans="1:23" ht="15.75" customHeight="1" thickTop="1" thickBot="1">
      <c r="A14" s="567"/>
      <c r="B14" s="635"/>
      <c r="C14" s="627"/>
      <c r="D14" s="628"/>
      <c r="E14" s="628"/>
      <c r="F14" s="628"/>
      <c r="G14" s="628"/>
      <c r="H14" s="628"/>
      <c r="I14" s="629"/>
      <c r="J14" s="278" t="s">
        <v>768</v>
      </c>
      <c r="K14" s="217">
        <v>0</v>
      </c>
      <c r="L14" s="278" t="s">
        <v>769</v>
      </c>
      <c r="M14" s="219">
        <v>0</v>
      </c>
      <c r="N14" s="630"/>
      <c r="O14" s="631"/>
      <c r="P14" s="632"/>
    </row>
    <row r="15" spans="1:23" ht="15.75" customHeight="1" thickTop="1">
      <c r="A15" s="115"/>
      <c r="B15" s="160"/>
      <c r="C15" s="147"/>
      <c r="D15" s="115"/>
      <c r="E15" s="115"/>
      <c r="F15" s="115"/>
      <c r="G15" s="115"/>
      <c r="H15" s="115"/>
      <c r="I15" s="115"/>
      <c r="J15" s="115"/>
      <c r="K15" s="115"/>
      <c r="L15" s="115"/>
      <c r="M15" s="115"/>
      <c r="N15" s="115"/>
      <c r="O15" s="115"/>
      <c r="P15" s="115"/>
    </row>
    <row r="16" spans="1:23" ht="15.75" customHeight="1">
      <c r="A16" s="646" t="s">
        <v>759</v>
      </c>
      <c r="B16" s="647"/>
      <c r="C16" s="388" t="s">
        <v>760</v>
      </c>
      <c r="D16" s="648" t="s">
        <v>12</v>
      </c>
      <c r="E16" s="649"/>
      <c r="F16" s="650"/>
      <c r="G16" s="386" t="s">
        <v>761</v>
      </c>
      <c r="H16" s="387"/>
      <c r="I16" s="388"/>
      <c r="J16" s="155" t="s">
        <v>762</v>
      </c>
      <c r="K16" s="280" t="s">
        <v>785</v>
      </c>
      <c r="L16" s="155" t="s">
        <v>764</v>
      </c>
      <c r="M16" s="155" t="s">
        <v>11</v>
      </c>
      <c r="N16" s="280" t="s">
        <v>765</v>
      </c>
      <c r="O16" s="651" t="s">
        <v>766</v>
      </c>
      <c r="P16" s="652"/>
    </row>
    <row r="17" spans="1:16" ht="15.75" customHeight="1">
      <c r="A17" s="566">
        <v>2</v>
      </c>
      <c r="B17" s="633" t="s">
        <v>770</v>
      </c>
      <c r="C17" s="156">
        <v>1</v>
      </c>
      <c r="D17" s="407" t="s">
        <v>371</v>
      </c>
      <c r="E17" s="636"/>
      <c r="F17" s="637"/>
      <c r="G17" s="407" t="s">
        <v>560</v>
      </c>
      <c r="H17" s="636"/>
      <c r="I17" s="637"/>
      <c r="J17" s="281">
        <v>631.87</v>
      </c>
      <c r="K17" s="14">
        <v>0.12007168458781352</v>
      </c>
      <c r="L17" s="281">
        <v>0.26799999999999979</v>
      </c>
      <c r="M17" s="261">
        <v>169.34115999999986</v>
      </c>
      <c r="N17" s="157"/>
      <c r="O17" s="644" t="s">
        <v>460</v>
      </c>
      <c r="P17" s="645"/>
    </row>
    <row r="18" spans="1:16" ht="15.75" customHeight="1">
      <c r="A18" s="573"/>
      <c r="B18" s="634"/>
      <c r="C18" s="156">
        <v>2</v>
      </c>
      <c r="D18" s="407" t="s">
        <v>697</v>
      </c>
      <c r="E18" s="636"/>
      <c r="F18" s="637"/>
      <c r="G18" s="407" t="s">
        <v>698</v>
      </c>
      <c r="H18" s="636"/>
      <c r="I18" s="637"/>
      <c r="J18" s="281">
        <v>109.96</v>
      </c>
      <c r="K18" s="14">
        <v>7.3858114674441228E-2</v>
      </c>
      <c r="L18" s="281">
        <v>1.5200000000000002</v>
      </c>
      <c r="M18" s="261">
        <v>167.13920000000002</v>
      </c>
      <c r="N18" s="157"/>
      <c r="O18" s="644" t="s">
        <v>460</v>
      </c>
      <c r="P18" s="645"/>
    </row>
    <row r="19" spans="1:16" ht="15.75" customHeight="1">
      <c r="A19" s="573"/>
      <c r="B19" s="634"/>
      <c r="C19" s="156">
        <v>3</v>
      </c>
      <c r="D19" s="407" t="s">
        <v>333</v>
      </c>
      <c r="E19" s="636"/>
      <c r="F19" s="637"/>
      <c r="G19" s="407" t="s">
        <v>563</v>
      </c>
      <c r="H19" s="636"/>
      <c r="I19" s="637"/>
      <c r="J19" s="281">
        <v>846.44</v>
      </c>
      <c r="K19" s="14">
        <v>4.9667178699436633E-2</v>
      </c>
      <c r="L19" s="281">
        <v>0.19399999999999951</v>
      </c>
      <c r="M19" s="261">
        <v>164.20935999999961</v>
      </c>
      <c r="N19" s="157"/>
      <c r="O19" s="644" t="s">
        <v>460</v>
      </c>
      <c r="P19" s="645"/>
    </row>
    <row r="20" spans="1:16" ht="15.75" customHeight="1">
      <c r="A20" s="573"/>
      <c r="B20" s="634"/>
      <c r="C20" s="156">
        <v>4</v>
      </c>
      <c r="D20" s="407" t="s">
        <v>669</v>
      </c>
      <c r="E20" s="636"/>
      <c r="F20" s="637"/>
      <c r="G20" s="407" t="s">
        <v>786</v>
      </c>
      <c r="H20" s="636"/>
      <c r="I20" s="637"/>
      <c r="J20" s="281">
        <v>459.58</v>
      </c>
      <c r="K20" s="14">
        <v>6.306306306306303E-2</v>
      </c>
      <c r="L20" s="281">
        <v>0.34999999999999981</v>
      </c>
      <c r="M20" s="261">
        <v>160.85299999999992</v>
      </c>
      <c r="N20" s="157"/>
      <c r="O20" s="644" t="s">
        <v>460</v>
      </c>
      <c r="P20" s="645"/>
    </row>
    <row r="21" spans="1:16" ht="15.75" customHeight="1" thickBot="1">
      <c r="A21" s="573"/>
      <c r="B21" s="634"/>
      <c r="C21" s="158">
        <v>5</v>
      </c>
      <c r="D21" s="407" t="s">
        <v>371</v>
      </c>
      <c r="E21" s="636"/>
      <c r="F21" s="637"/>
      <c r="G21" s="407" t="s">
        <v>560</v>
      </c>
      <c r="H21" s="636"/>
      <c r="I21" s="637"/>
      <c r="J21" s="281">
        <v>631.87</v>
      </c>
      <c r="K21" s="14">
        <v>9.9830795262267319E-2</v>
      </c>
      <c r="L21" s="281">
        <v>0.23599999999999993</v>
      </c>
      <c r="M21" s="261">
        <v>149.12131999999997</v>
      </c>
      <c r="N21" s="159"/>
      <c r="O21" s="644" t="s">
        <v>460</v>
      </c>
      <c r="P21" s="645"/>
    </row>
    <row r="22" spans="1:16" ht="15.75" customHeight="1" thickTop="1" thickBot="1">
      <c r="A22" s="567"/>
      <c r="B22" s="635"/>
      <c r="C22" s="638"/>
      <c r="D22" s="639"/>
      <c r="E22" s="639"/>
      <c r="F22" s="639"/>
      <c r="G22" s="639"/>
      <c r="H22" s="639"/>
      <c r="I22" s="640"/>
      <c r="J22" s="278" t="s">
        <v>768</v>
      </c>
      <c r="K22" s="217">
        <v>2.11757597854611E-3</v>
      </c>
      <c r="L22" s="278" t="s">
        <v>769</v>
      </c>
      <c r="M22" s="219">
        <v>810.66403999999943</v>
      </c>
      <c r="N22" s="630"/>
      <c r="O22" s="631"/>
      <c r="P22" s="632"/>
    </row>
    <row r="23" spans="1:16" ht="15.75" customHeight="1" thickTop="1">
      <c r="A23" s="115"/>
      <c r="B23" s="160"/>
      <c r="C23" s="147"/>
      <c r="D23" s="115"/>
      <c r="E23" s="115"/>
      <c r="F23" s="115"/>
      <c r="G23" s="115"/>
      <c r="H23" s="115"/>
      <c r="I23" s="115"/>
      <c r="J23" s="115"/>
      <c r="K23" s="115"/>
      <c r="L23" s="115"/>
      <c r="M23" s="115"/>
      <c r="N23" s="115"/>
      <c r="O23" s="115"/>
      <c r="P23" s="115"/>
    </row>
    <row r="24" spans="1:16" ht="15.75" customHeight="1">
      <c r="A24" s="646" t="s">
        <v>759</v>
      </c>
      <c r="B24" s="647"/>
      <c r="C24" s="388" t="s">
        <v>760</v>
      </c>
      <c r="D24" s="648" t="s">
        <v>12</v>
      </c>
      <c r="E24" s="649"/>
      <c r="F24" s="650"/>
      <c r="G24" s="386" t="s">
        <v>761</v>
      </c>
      <c r="H24" s="387"/>
      <c r="I24" s="388"/>
      <c r="J24" s="155" t="s">
        <v>762</v>
      </c>
      <c r="K24" s="280" t="s">
        <v>785</v>
      </c>
      <c r="L24" s="155" t="s">
        <v>764</v>
      </c>
      <c r="M24" s="155" t="s">
        <v>11</v>
      </c>
      <c r="N24" s="280" t="s">
        <v>765</v>
      </c>
      <c r="O24" s="651" t="s">
        <v>766</v>
      </c>
      <c r="P24" s="652"/>
    </row>
    <row r="25" spans="1:16" ht="15.75" customHeight="1">
      <c r="A25" s="566">
        <v>3</v>
      </c>
      <c r="B25" s="633" t="s">
        <v>775</v>
      </c>
      <c r="C25" s="156">
        <v>1</v>
      </c>
      <c r="D25" s="407" t="s">
        <v>559</v>
      </c>
      <c r="E25" s="636"/>
      <c r="F25" s="637"/>
      <c r="G25" s="407" t="s">
        <v>562</v>
      </c>
      <c r="H25" s="636"/>
      <c r="I25" s="637"/>
      <c r="J25" s="281">
        <v>1.0393188079138493</v>
      </c>
      <c r="K25" s="14">
        <v>2.0535937891309912E-2</v>
      </c>
      <c r="L25" s="281">
        <v>0.3280000000000019</v>
      </c>
      <c r="M25" s="261">
        <v>151.5491200000009</v>
      </c>
      <c r="N25" s="157"/>
      <c r="O25" s="644" t="s">
        <v>703</v>
      </c>
      <c r="P25" s="645"/>
    </row>
    <row r="26" spans="1:16" ht="15.75" customHeight="1">
      <c r="A26" s="573"/>
      <c r="B26" s="634"/>
      <c r="C26" s="156">
        <v>2</v>
      </c>
      <c r="D26" s="407" t="s">
        <v>566</v>
      </c>
      <c r="E26" s="636"/>
      <c r="F26" s="637"/>
      <c r="G26" s="407" t="s">
        <v>569</v>
      </c>
      <c r="H26" s="636"/>
      <c r="I26" s="637"/>
      <c r="J26" s="281">
        <v>1.0388677123039429</v>
      </c>
      <c r="K26" s="14">
        <v>2.1683434356058229E-2</v>
      </c>
      <c r="L26" s="281">
        <v>1.3879999999999995</v>
      </c>
      <c r="M26" s="261">
        <v>145.86491999999996</v>
      </c>
      <c r="N26" s="157"/>
      <c r="O26" s="644" t="s">
        <v>703</v>
      </c>
      <c r="P26" s="645"/>
    </row>
    <row r="27" spans="1:16" ht="15.75" customHeight="1">
      <c r="A27" s="573"/>
      <c r="B27" s="634"/>
      <c r="C27" s="156">
        <v>3</v>
      </c>
      <c r="D27" s="407" t="s">
        <v>599</v>
      </c>
      <c r="E27" s="636"/>
      <c r="F27" s="637"/>
      <c r="G27" s="407" t="s">
        <v>614</v>
      </c>
      <c r="H27" s="636"/>
      <c r="I27" s="637"/>
      <c r="J27" s="281">
        <v>1.0407549234135667</v>
      </c>
      <c r="K27" s="14">
        <v>2.434354485776791E-2</v>
      </c>
      <c r="L27" s="281">
        <v>1.7799999999999898</v>
      </c>
      <c r="M27" s="261">
        <v>138.48399999999918</v>
      </c>
      <c r="N27" s="157"/>
      <c r="O27" s="644" t="s">
        <v>703</v>
      </c>
      <c r="P27" s="645"/>
    </row>
    <row r="28" spans="1:16" ht="15.75" customHeight="1">
      <c r="A28" s="573"/>
      <c r="B28" s="634"/>
      <c r="C28" s="156">
        <v>4</v>
      </c>
      <c r="D28" s="407" t="s">
        <v>338</v>
      </c>
      <c r="E28" s="636"/>
      <c r="F28" s="637"/>
      <c r="G28" s="407" t="s">
        <v>398</v>
      </c>
      <c r="H28" s="636"/>
      <c r="I28" s="637"/>
      <c r="J28" s="281">
        <v>1.0216180836835165</v>
      </c>
      <c r="K28" s="14">
        <v>1.0235152388992671E-2</v>
      </c>
      <c r="L28" s="281">
        <v>1.0789999999999964</v>
      </c>
      <c r="M28" s="261">
        <v>137.55091999999956</v>
      </c>
      <c r="N28" s="157"/>
      <c r="O28" s="644" t="s">
        <v>703</v>
      </c>
      <c r="P28" s="645"/>
    </row>
    <row r="29" spans="1:16" ht="15.75" customHeight="1" thickBot="1">
      <c r="A29" s="573"/>
      <c r="B29" s="634"/>
      <c r="C29" s="158">
        <v>5</v>
      </c>
      <c r="D29" s="641" t="s">
        <v>365</v>
      </c>
      <c r="E29" s="642"/>
      <c r="F29" s="643"/>
      <c r="G29" s="641" t="s">
        <v>696</v>
      </c>
      <c r="H29" s="642"/>
      <c r="I29" s="643"/>
      <c r="J29" s="281">
        <v>1.0563100627432294</v>
      </c>
      <c r="K29" s="14">
        <v>2.454133905170371E-2</v>
      </c>
      <c r="L29" s="281">
        <v>0.30900000000000138</v>
      </c>
      <c r="M29" s="261">
        <v>129.2886900000006</v>
      </c>
      <c r="N29" s="159"/>
      <c r="O29" s="653" t="s">
        <v>703</v>
      </c>
      <c r="P29" s="654"/>
    </row>
    <row r="30" spans="1:16" ht="15.75" customHeight="1" thickTop="1" thickBot="1">
      <c r="A30" s="567"/>
      <c r="B30" s="635"/>
      <c r="C30" s="627"/>
      <c r="D30" s="628"/>
      <c r="E30" s="628"/>
      <c r="F30" s="628"/>
      <c r="G30" s="628"/>
      <c r="H30" s="628"/>
      <c r="I30" s="629"/>
      <c r="J30" s="278" t="s">
        <v>768</v>
      </c>
      <c r="K30" s="217">
        <v>1.8356560713608876E-3</v>
      </c>
      <c r="L30" s="278" t="s">
        <v>769</v>
      </c>
      <c r="M30" s="219">
        <v>702.73765000000026</v>
      </c>
      <c r="N30" s="630"/>
      <c r="O30" s="631"/>
      <c r="P30" s="632"/>
    </row>
    <row r="31" spans="1:16" ht="15.75" customHeight="1" thickTop="1"/>
  </sheetData>
  <mergeCells count="85">
    <mergeCell ref="A1:Q2"/>
    <mergeCell ref="A3:M4"/>
    <mergeCell ref="A5:A6"/>
    <mergeCell ref="B5:C5"/>
    <mergeCell ref="D5:E5"/>
    <mergeCell ref="F5:G5"/>
    <mergeCell ref="H5:I5"/>
    <mergeCell ref="J5:K5"/>
    <mergeCell ref="L5:M5"/>
    <mergeCell ref="N5:O5"/>
    <mergeCell ref="P5:Q5"/>
    <mergeCell ref="B6:C6"/>
    <mergeCell ref="D6:E6"/>
    <mergeCell ref="F6:G6"/>
    <mergeCell ref="H6:I6"/>
    <mergeCell ref="J6:K6"/>
    <mergeCell ref="L6:M6"/>
    <mergeCell ref="N6:O6"/>
    <mergeCell ref="P6:Q6"/>
    <mergeCell ref="A8:B8"/>
    <mergeCell ref="D8:F8"/>
    <mergeCell ref="O8:P8"/>
    <mergeCell ref="A9:A14"/>
    <mergeCell ref="B9:B14"/>
    <mergeCell ref="D9:F9"/>
    <mergeCell ref="G9:I9"/>
    <mergeCell ref="O9:P9"/>
    <mergeCell ref="D10:F10"/>
    <mergeCell ref="G10:I10"/>
    <mergeCell ref="D13:F13"/>
    <mergeCell ref="G13:I13"/>
    <mergeCell ref="O13:P13"/>
    <mergeCell ref="C14:I14"/>
    <mergeCell ref="N14:P14"/>
    <mergeCell ref="O10:P10"/>
    <mergeCell ref="D11:F11"/>
    <mergeCell ref="G11:I11"/>
    <mergeCell ref="O11:P11"/>
    <mergeCell ref="D12:F12"/>
    <mergeCell ref="G12:I12"/>
    <mergeCell ref="O12:P12"/>
    <mergeCell ref="G21:I21"/>
    <mergeCell ref="O21:P21"/>
    <mergeCell ref="D19:F19"/>
    <mergeCell ref="G19:I19"/>
    <mergeCell ref="G20:I20"/>
    <mergeCell ref="O20:P20"/>
    <mergeCell ref="D21:F21"/>
    <mergeCell ref="A25:A30"/>
    <mergeCell ref="B25:B30"/>
    <mergeCell ref="D25:F25"/>
    <mergeCell ref="G25:I25"/>
    <mergeCell ref="O25:P25"/>
    <mergeCell ref="D26:F26"/>
    <mergeCell ref="G26:I26"/>
    <mergeCell ref="O26:P26"/>
    <mergeCell ref="D27:F27"/>
    <mergeCell ref="G27:I27"/>
    <mergeCell ref="O27:P27"/>
    <mergeCell ref="C30:I30"/>
    <mergeCell ref="N30:P30"/>
    <mergeCell ref="D29:F29"/>
    <mergeCell ref="G29:I29"/>
    <mergeCell ref="O29:P29"/>
    <mergeCell ref="A24:B24"/>
    <mergeCell ref="D24:F24"/>
    <mergeCell ref="O24:P24"/>
    <mergeCell ref="A16:B16"/>
    <mergeCell ref="D16:F16"/>
    <mergeCell ref="O16:P16"/>
    <mergeCell ref="A17:A22"/>
    <mergeCell ref="B17:B22"/>
    <mergeCell ref="D17:F17"/>
    <mergeCell ref="G17:I17"/>
    <mergeCell ref="O17:P17"/>
    <mergeCell ref="D18:F18"/>
    <mergeCell ref="G18:I18"/>
    <mergeCell ref="O18:P18"/>
    <mergeCell ref="O19:P19"/>
    <mergeCell ref="D20:F20"/>
    <mergeCell ref="C22:I22"/>
    <mergeCell ref="N22:P22"/>
    <mergeCell ref="D28:F28"/>
    <mergeCell ref="G28:I28"/>
    <mergeCell ref="O28:P28"/>
  </mergeCells>
  <phoneticPr fontId="11" type="noConversion"/>
  <printOptions horizontalCentered="1" gridLines="1"/>
  <pageMargins left="0.39370078740157483" right="0.39370078740157483" top="0.39370078740157483" bottom="0.39370078740157483" header="0" footer="0"/>
  <pageSetup paperSize="9" scale="90" fitToWidth="0" fitToHeight="0" pageOrder="overThenDown" orientation="landscape" cellComments="atEnd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5" tint="0.39997558519241921"/>
    <outlinePr summaryBelow="0" summaryRight="0"/>
  </sheetPr>
  <dimension ref="A1:W39"/>
  <sheetViews>
    <sheetView view="pageBreakPreview" zoomScaleNormal="60" zoomScaleSheetLayoutView="100" workbookViewId="0">
      <selection activeCell="A8" sqref="A8:P38"/>
    </sheetView>
  </sheetViews>
  <sheetFormatPr defaultColWidth="12.5703125" defaultRowHeight="15.75" customHeight="1"/>
  <cols>
    <col min="1" max="1" width="5.42578125" style="286" customWidth="1"/>
    <col min="2" max="2" width="11.42578125" style="287" customWidth="1"/>
    <col min="3" max="3" width="4" style="288" customWidth="1"/>
    <col min="4" max="17" width="9.5703125" style="286" customWidth="1"/>
    <col min="18" max="16384" width="12.5703125" style="286"/>
  </cols>
  <sheetData>
    <row r="1" spans="1:23" s="167" customFormat="1" ht="15.75" customHeight="1">
      <c r="A1" s="607" t="s">
        <v>464</v>
      </c>
      <c r="B1" s="607"/>
      <c r="C1" s="607"/>
      <c r="D1" s="607"/>
      <c r="E1" s="607"/>
      <c r="F1" s="607"/>
      <c r="G1" s="607"/>
      <c r="H1" s="607"/>
      <c r="I1" s="607"/>
      <c r="J1" s="607"/>
      <c r="K1" s="607"/>
      <c r="L1" s="607"/>
      <c r="M1" s="607"/>
      <c r="N1" s="607"/>
      <c r="O1" s="607"/>
      <c r="P1" s="607"/>
      <c r="Q1" s="607"/>
    </row>
    <row r="2" spans="1:23" s="168" customFormat="1" ht="15.75" customHeight="1">
      <c r="A2" s="607"/>
      <c r="B2" s="607"/>
      <c r="C2" s="607"/>
      <c r="D2" s="607"/>
      <c r="E2" s="607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</row>
    <row r="3" spans="1:23" s="167" customFormat="1" ht="15.75" customHeight="1">
      <c r="A3" s="608" t="s">
        <v>465</v>
      </c>
      <c r="B3" s="608"/>
      <c r="C3" s="608"/>
      <c r="D3" s="608"/>
      <c r="E3" s="608"/>
      <c r="F3" s="608"/>
      <c r="G3" s="608"/>
      <c r="H3" s="608"/>
      <c r="I3" s="608"/>
      <c r="J3" s="608"/>
      <c r="K3" s="608"/>
      <c r="L3" s="608"/>
      <c r="M3" s="608"/>
    </row>
    <row r="4" spans="1:23" s="168" customFormat="1" ht="15.75" customHeight="1">
      <c r="A4" s="608"/>
      <c r="B4" s="608"/>
      <c r="C4" s="608"/>
      <c r="D4" s="608"/>
      <c r="E4" s="608"/>
      <c r="F4" s="608"/>
      <c r="G4" s="608"/>
      <c r="H4" s="608"/>
      <c r="I4" s="608"/>
      <c r="J4" s="608"/>
      <c r="K4" s="608"/>
      <c r="L4" s="608"/>
      <c r="M4" s="608"/>
    </row>
    <row r="5" spans="1:23" s="167" customFormat="1" ht="15.75" customHeight="1">
      <c r="A5" s="532" t="s">
        <v>458</v>
      </c>
      <c r="B5" s="528">
        <v>1</v>
      </c>
      <c r="C5" s="528"/>
      <c r="D5" s="528">
        <v>2</v>
      </c>
      <c r="E5" s="528"/>
      <c r="F5" s="528">
        <v>3</v>
      </c>
      <c r="G5" s="528"/>
      <c r="H5" s="676">
        <v>4</v>
      </c>
      <c r="I5" s="676"/>
      <c r="J5" s="676">
        <v>5</v>
      </c>
      <c r="K5" s="676"/>
      <c r="L5" s="676">
        <v>6</v>
      </c>
      <c r="M5" s="676"/>
      <c r="N5" s="676">
        <v>7</v>
      </c>
      <c r="O5" s="676"/>
      <c r="P5" s="528">
        <v>8</v>
      </c>
      <c r="Q5" s="528"/>
    </row>
    <row r="6" spans="1:23" s="167" customFormat="1" ht="15.75" customHeight="1">
      <c r="A6" s="532"/>
      <c r="B6" s="532" t="s">
        <v>466</v>
      </c>
      <c r="C6" s="532"/>
      <c r="D6" s="532" t="s">
        <v>467</v>
      </c>
      <c r="E6" s="532"/>
      <c r="F6" s="532" t="s">
        <v>468</v>
      </c>
      <c r="G6" s="532"/>
      <c r="H6" s="678" t="s">
        <v>469</v>
      </c>
      <c r="I6" s="677"/>
      <c r="J6" s="677" t="s">
        <v>470</v>
      </c>
      <c r="K6" s="677"/>
      <c r="L6" s="677" t="s">
        <v>471</v>
      </c>
      <c r="M6" s="677"/>
      <c r="N6" s="677" t="s">
        <v>472</v>
      </c>
      <c r="O6" s="677"/>
      <c r="P6" s="675" t="s">
        <v>473</v>
      </c>
      <c r="Q6" s="532"/>
    </row>
    <row r="7" spans="1:23" s="167" customFormat="1" ht="15.75" customHeight="1">
      <c r="B7" s="283"/>
      <c r="C7" s="284"/>
    </row>
    <row r="8" spans="1:23" s="285" customFormat="1" ht="15.75" customHeight="1">
      <c r="A8" s="658" t="s">
        <v>759</v>
      </c>
      <c r="B8" s="659"/>
      <c r="C8" s="112" t="s">
        <v>760</v>
      </c>
      <c r="D8" s="660" t="s">
        <v>12</v>
      </c>
      <c r="E8" s="661"/>
      <c r="F8" s="662"/>
      <c r="G8" s="110" t="s">
        <v>761</v>
      </c>
      <c r="H8" s="111"/>
      <c r="I8" s="112"/>
      <c r="J8" s="109" t="s">
        <v>762</v>
      </c>
      <c r="K8" s="109" t="s">
        <v>785</v>
      </c>
      <c r="L8" s="109" t="s">
        <v>764</v>
      </c>
      <c r="M8" s="113" t="s">
        <v>11</v>
      </c>
      <c r="N8" s="280" t="s">
        <v>765</v>
      </c>
      <c r="O8" s="663" t="s">
        <v>766</v>
      </c>
      <c r="P8" s="664"/>
      <c r="R8" s="167"/>
      <c r="S8" s="167"/>
      <c r="T8" s="167"/>
      <c r="U8" s="167"/>
      <c r="V8" s="167"/>
      <c r="W8" s="167"/>
    </row>
    <row r="9" spans="1:23" ht="15.75" customHeight="1">
      <c r="A9" s="659">
        <v>4</v>
      </c>
      <c r="B9" s="666" t="s">
        <v>456</v>
      </c>
      <c r="C9" s="107">
        <v>1</v>
      </c>
      <c r="D9" s="407" t="s">
        <v>363</v>
      </c>
      <c r="E9" s="636"/>
      <c r="F9" s="637"/>
      <c r="G9" s="407" t="s">
        <v>515</v>
      </c>
      <c r="H9" s="636"/>
      <c r="I9" s="637"/>
      <c r="J9" s="281">
        <v>432.07</v>
      </c>
      <c r="K9" s="14">
        <v>1.1206671879072332E-2</v>
      </c>
      <c r="L9" s="281">
        <v>0.43000000000000538</v>
      </c>
      <c r="M9" s="261">
        <v>185.7901000000023</v>
      </c>
      <c r="N9" s="4"/>
      <c r="O9" s="644" t="s">
        <v>429</v>
      </c>
      <c r="P9" s="672"/>
      <c r="R9" s="167"/>
      <c r="S9" s="167"/>
      <c r="T9" s="167"/>
      <c r="U9" s="167"/>
      <c r="V9" s="167"/>
      <c r="W9" s="167"/>
    </row>
    <row r="10" spans="1:23" ht="15.75" customHeight="1">
      <c r="A10" s="659"/>
      <c r="B10" s="666"/>
      <c r="C10" s="107">
        <v>2</v>
      </c>
      <c r="D10" s="407" t="s">
        <v>378</v>
      </c>
      <c r="E10" s="636"/>
      <c r="F10" s="637"/>
      <c r="G10" s="407" t="s">
        <v>787</v>
      </c>
      <c r="H10" s="636"/>
      <c r="I10" s="637"/>
      <c r="J10" s="281">
        <v>371.13</v>
      </c>
      <c r="K10" s="14">
        <v>5.6632915737085199E-3</v>
      </c>
      <c r="L10" s="281">
        <v>0.49499999999999317</v>
      </c>
      <c r="M10" s="261">
        <v>183.70934999999747</v>
      </c>
      <c r="N10" s="4"/>
      <c r="O10" s="644" t="s">
        <v>429</v>
      </c>
      <c r="P10" s="672"/>
      <c r="R10" s="167"/>
      <c r="S10" s="167"/>
      <c r="T10" s="167"/>
      <c r="U10" s="167"/>
      <c r="V10" s="167"/>
      <c r="W10" s="167"/>
    </row>
    <row r="11" spans="1:23" ht="15.75" customHeight="1">
      <c r="A11" s="659"/>
      <c r="B11" s="666"/>
      <c r="C11" s="107">
        <v>3</v>
      </c>
      <c r="D11" s="407" t="s">
        <v>338</v>
      </c>
      <c r="E11" s="636"/>
      <c r="F11" s="637"/>
      <c r="G11" s="407" t="s">
        <v>398</v>
      </c>
      <c r="H11" s="636"/>
      <c r="I11" s="637"/>
      <c r="J11" s="281">
        <v>127.48</v>
      </c>
      <c r="K11" s="14">
        <v>1.3347659759723568E-2</v>
      </c>
      <c r="L11" s="281">
        <v>1.4409999999999967</v>
      </c>
      <c r="M11" s="261">
        <v>183.69867999999957</v>
      </c>
      <c r="N11" s="4"/>
      <c r="O11" s="644" t="s">
        <v>429</v>
      </c>
      <c r="P11" s="672"/>
      <c r="R11" s="167"/>
      <c r="S11" s="167"/>
      <c r="T11" s="167"/>
      <c r="U11" s="167"/>
      <c r="V11" s="167"/>
      <c r="W11" s="167"/>
    </row>
    <row r="12" spans="1:23" ht="15.75" customHeight="1">
      <c r="A12" s="659"/>
      <c r="B12" s="666"/>
      <c r="C12" s="107">
        <v>4</v>
      </c>
      <c r="D12" s="407" t="s">
        <v>338</v>
      </c>
      <c r="E12" s="636"/>
      <c r="F12" s="637"/>
      <c r="G12" s="407" t="s">
        <v>337</v>
      </c>
      <c r="H12" s="636"/>
      <c r="I12" s="637"/>
      <c r="J12" s="281">
        <v>758.19</v>
      </c>
      <c r="K12" s="14">
        <v>1.2952507472600563E-2</v>
      </c>
      <c r="L12" s="281">
        <v>0.23400000000000176</v>
      </c>
      <c r="M12" s="261">
        <v>177.41646000000134</v>
      </c>
      <c r="N12" s="4"/>
      <c r="O12" s="644" t="s">
        <v>429</v>
      </c>
      <c r="P12" s="672"/>
      <c r="R12" s="167"/>
      <c r="S12" s="167"/>
      <c r="T12" s="167"/>
      <c r="U12" s="167"/>
      <c r="V12" s="167"/>
      <c r="W12" s="167"/>
    </row>
    <row r="13" spans="1:23" ht="15.75" customHeight="1" thickBot="1">
      <c r="A13" s="659"/>
      <c r="B13" s="666"/>
      <c r="C13" s="108">
        <v>5</v>
      </c>
      <c r="D13" s="407" t="s">
        <v>788</v>
      </c>
      <c r="E13" s="636"/>
      <c r="F13" s="637"/>
      <c r="G13" s="407" t="s">
        <v>789</v>
      </c>
      <c r="H13" s="636"/>
      <c r="I13" s="637"/>
      <c r="J13" s="281">
        <v>362.63</v>
      </c>
      <c r="K13" s="14">
        <v>1.0995154677599766E-2</v>
      </c>
      <c r="L13" s="281">
        <v>0.47200000000000275</v>
      </c>
      <c r="M13" s="261">
        <v>171.16136000000097</v>
      </c>
      <c r="N13" s="4"/>
      <c r="O13" s="644" t="s">
        <v>429</v>
      </c>
      <c r="P13" s="672"/>
      <c r="R13" s="167"/>
      <c r="S13" s="167"/>
      <c r="T13" s="167"/>
      <c r="U13" s="167"/>
      <c r="V13" s="167"/>
      <c r="W13" s="167"/>
    </row>
    <row r="14" spans="1:23" ht="15.75" customHeight="1" thickTop="1" thickBot="1">
      <c r="A14" s="659"/>
      <c r="B14" s="666"/>
      <c r="C14" s="674"/>
      <c r="D14" s="674"/>
      <c r="E14" s="674"/>
      <c r="F14" s="674"/>
      <c r="G14" s="674"/>
      <c r="H14" s="674"/>
      <c r="I14" s="674"/>
      <c r="J14" s="218" t="s">
        <v>768</v>
      </c>
      <c r="K14" s="217">
        <v>2.3555739437395085E-3</v>
      </c>
      <c r="L14" s="218" t="s">
        <v>769</v>
      </c>
      <c r="M14" s="219">
        <v>901.77595000000156</v>
      </c>
      <c r="N14" s="673"/>
      <c r="O14" s="673"/>
      <c r="P14" s="673"/>
      <c r="R14" s="167"/>
      <c r="S14" s="167"/>
      <c r="T14" s="167"/>
      <c r="U14" s="167"/>
      <c r="V14" s="167"/>
      <c r="W14" s="167"/>
    </row>
    <row r="15" spans="1:23" ht="15.75" customHeight="1" thickTop="1">
      <c r="A15" s="2"/>
      <c r="B15" s="106"/>
      <c r="C15" s="104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R15" s="167"/>
      <c r="S15" s="167"/>
      <c r="T15" s="167"/>
      <c r="U15" s="167"/>
      <c r="V15" s="167"/>
      <c r="W15" s="167"/>
    </row>
    <row r="16" spans="1:23" ht="15.75" customHeight="1">
      <c r="A16" s="658" t="s">
        <v>759</v>
      </c>
      <c r="B16" s="659"/>
      <c r="C16" s="112" t="s">
        <v>760</v>
      </c>
      <c r="D16" s="660" t="s">
        <v>12</v>
      </c>
      <c r="E16" s="661"/>
      <c r="F16" s="662"/>
      <c r="G16" s="110" t="s">
        <v>761</v>
      </c>
      <c r="H16" s="111"/>
      <c r="I16" s="112"/>
      <c r="J16" s="109" t="s">
        <v>762</v>
      </c>
      <c r="K16" s="109" t="s">
        <v>785</v>
      </c>
      <c r="L16" s="109" t="s">
        <v>764</v>
      </c>
      <c r="M16" s="113" t="s">
        <v>11</v>
      </c>
      <c r="N16" s="280" t="s">
        <v>765</v>
      </c>
      <c r="O16" s="663" t="s">
        <v>766</v>
      </c>
      <c r="P16" s="664"/>
      <c r="R16" s="167"/>
      <c r="S16" s="167"/>
      <c r="T16" s="167"/>
      <c r="U16" s="167"/>
      <c r="V16" s="167"/>
      <c r="W16" s="167"/>
    </row>
    <row r="17" spans="1:23" ht="15.75" customHeight="1">
      <c r="A17" s="659">
        <v>5</v>
      </c>
      <c r="B17" s="665" t="s">
        <v>210</v>
      </c>
      <c r="C17" s="107">
        <v>1</v>
      </c>
      <c r="D17" s="407" t="s">
        <v>344</v>
      </c>
      <c r="E17" s="636"/>
      <c r="F17" s="637"/>
      <c r="G17" s="407" t="s">
        <v>705</v>
      </c>
      <c r="H17" s="636"/>
      <c r="I17" s="637"/>
      <c r="J17" s="281">
        <v>581.91999999999996</v>
      </c>
      <c r="K17" s="14">
        <v>2.2896223609872104E-2</v>
      </c>
      <c r="L17" s="281">
        <v>0.38499999999999945</v>
      </c>
      <c r="M17" s="261">
        <v>224.03919999999965</v>
      </c>
      <c r="N17" s="4"/>
      <c r="O17" s="644" t="s">
        <v>474</v>
      </c>
      <c r="P17" s="645"/>
      <c r="R17" s="167"/>
      <c r="S17" s="167"/>
      <c r="T17" s="167"/>
      <c r="U17" s="167"/>
      <c r="V17" s="167"/>
      <c r="W17" s="167"/>
    </row>
    <row r="18" spans="1:23" ht="15.75" customHeight="1">
      <c r="A18" s="659"/>
      <c r="B18" s="666"/>
      <c r="C18" s="107">
        <v>2</v>
      </c>
      <c r="D18" s="407" t="s">
        <v>376</v>
      </c>
      <c r="E18" s="636"/>
      <c r="F18" s="637"/>
      <c r="G18" s="407" t="s">
        <v>397</v>
      </c>
      <c r="H18" s="636"/>
      <c r="I18" s="637"/>
      <c r="J18" s="281">
        <v>420.33</v>
      </c>
      <c r="K18" s="14">
        <v>7.9034588255290552E-3</v>
      </c>
      <c r="L18" s="281">
        <v>0.46500000000000197</v>
      </c>
      <c r="M18" s="261">
        <v>195.45345000000083</v>
      </c>
      <c r="N18" s="4"/>
      <c r="O18" s="644" t="s">
        <v>474</v>
      </c>
      <c r="P18" s="645"/>
      <c r="R18" s="167"/>
      <c r="S18" s="167"/>
      <c r="T18" s="167"/>
      <c r="U18" s="167"/>
      <c r="V18" s="167"/>
      <c r="W18" s="167"/>
    </row>
    <row r="19" spans="1:23" ht="15.75" customHeight="1">
      <c r="A19" s="659"/>
      <c r="B19" s="666"/>
      <c r="C19" s="107">
        <v>3</v>
      </c>
      <c r="D19" s="407" t="s">
        <v>335</v>
      </c>
      <c r="E19" s="636"/>
      <c r="F19" s="637"/>
      <c r="G19" s="407" t="s">
        <v>552</v>
      </c>
      <c r="H19" s="636"/>
      <c r="I19" s="637"/>
      <c r="J19" s="281">
        <v>272.74</v>
      </c>
      <c r="K19" s="14">
        <v>8.3918007979089208E-3</v>
      </c>
      <c r="L19" s="281">
        <v>0.60999999999999943</v>
      </c>
      <c r="M19" s="261">
        <v>166.37139999999982</v>
      </c>
      <c r="N19" s="4"/>
      <c r="O19" s="644" t="s">
        <v>474</v>
      </c>
      <c r="P19" s="645"/>
      <c r="R19" s="167"/>
      <c r="S19" s="167"/>
      <c r="T19" s="167"/>
      <c r="U19" s="167"/>
      <c r="V19" s="167"/>
      <c r="W19" s="167"/>
    </row>
    <row r="20" spans="1:23" ht="15.75" customHeight="1">
      <c r="A20" s="659"/>
      <c r="B20" s="666"/>
      <c r="C20" s="107">
        <v>4</v>
      </c>
      <c r="D20" s="407" t="s">
        <v>341</v>
      </c>
      <c r="E20" s="636"/>
      <c r="F20" s="637"/>
      <c r="G20" s="407" t="s">
        <v>553</v>
      </c>
      <c r="H20" s="636"/>
      <c r="I20" s="637"/>
      <c r="J20" s="281">
        <v>136.88999999999999</v>
      </c>
      <c r="K20" s="14">
        <v>4.4053590285111615E-3</v>
      </c>
      <c r="L20" s="281">
        <v>1.0680000000000178</v>
      </c>
      <c r="M20" s="261">
        <v>146.19852000000239</v>
      </c>
      <c r="N20" s="4"/>
      <c r="O20" s="644" t="s">
        <v>474</v>
      </c>
      <c r="P20" s="645"/>
      <c r="R20" s="167"/>
      <c r="S20" s="167"/>
      <c r="T20" s="167"/>
      <c r="U20" s="167"/>
      <c r="V20" s="167"/>
      <c r="W20" s="167"/>
    </row>
    <row r="21" spans="1:23" ht="15.75" customHeight="1" thickBot="1">
      <c r="A21" s="659"/>
      <c r="B21" s="666"/>
      <c r="C21" s="108">
        <v>5</v>
      </c>
      <c r="D21" s="407" t="s">
        <v>790</v>
      </c>
      <c r="E21" s="636"/>
      <c r="F21" s="637"/>
      <c r="G21" s="407" t="s">
        <v>791</v>
      </c>
      <c r="H21" s="636"/>
      <c r="I21" s="637"/>
      <c r="J21" s="281">
        <v>290.85000000000002</v>
      </c>
      <c r="K21" s="14">
        <v>7.1836974050727455E-3</v>
      </c>
      <c r="L21" s="281">
        <v>0.49000000000001193</v>
      </c>
      <c r="M21" s="261">
        <v>142.51650000000348</v>
      </c>
      <c r="N21" s="4"/>
      <c r="O21" s="644" t="s">
        <v>474</v>
      </c>
      <c r="P21" s="645"/>
      <c r="R21" s="167"/>
      <c r="S21" s="167"/>
      <c r="T21" s="167"/>
      <c r="U21" s="167"/>
      <c r="V21" s="167"/>
      <c r="W21" s="167"/>
    </row>
    <row r="22" spans="1:23" ht="15.75" customHeight="1" thickTop="1" thickBot="1">
      <c r="A22" s="659"/>
      <c r="B22" s="666"/>
      <c r="C22" s="667"/>
      <c r="D22" s="667"/>
      <c r="E22" s="667"/>
      <c r="F22" s="667"/>
      <c r="G22" s="667"/>
      <c r="H22" s="667"/>
      <c r="I22" s="668"/>
      <c r="J22" s="114" t="s">
        <v>768</v>
      </c>
      <c r="K22" s="217">
        <v>2.2845316167856805E-3</v>
      </c>
      <c r="L22" s="114" t="s">
        <v>769</v>
      </c>
      <c r="M22" s="219">
        <v>874.57907000000625</v>
      </c>
      <c r="N22" s="669"/>
      <c r="O22" s="670"/>
      <c r="P22" s="671"/>
      <c r="R22" s="167"/>
      <c r="S22" s="167"/>
      <c r="T22" s="167"/>
      <c r="U22" s="167"/>
      <c r="V22" s="167"/>
      <c r="W22" s="167"/>
    </row>
    <row r="23" spans="1:23" ht="15.75" customHeight="1" thickTop="1">
      <c r="A23" s="2"/>
      <c r="B23" s="106"/>
      <c r="C23" s="104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R23" s="167"/>
      <c r="S23" s="167"/>
      <c r="T23" s="167"/>
      <c r="U23" s="167"/>
      <c r="V23" s="167"/>
      <c r="W23" s="167"/>
    </row>
    <row r="24" spans="1:23" ht="15.75" customHeight="1">
      <c r="A24" s="658" t="s">
        <v>759</v>
      </c>
      <c r="B24" s="659"/>
      <c r="C24" s="112" t="s">
        <v>760</v>
      </c>
      <c r="D24" s="660" t="s">
        <v>12</v>
      </c>
      <c r="E24" s="661"/>
      <c r="F24" s="662"/>
      <c r="G24" s="110" t="s">
        <v>761</v>
      </c>
      <c r="H24" s="111"/>
      <c r="I24" s="112"/>
      <c r="J24" s="109" t="s">
        <v>762</v>
      </c>
      <c r="K24" s="109" t="s">
        <v>785</v>
      </c>
      <c r="L24" s="109" t="s">
        <v>764</v>
      </c>
      <c r="M24" s="113" t="s">
        <v>11</v>
      </c>
      <c r="N24" s="280" t="s">
        <v>765</v>
      </c>
      <c r="O24" s="663" t="s">
        <v>766</v>
      </c>
      <c r="P24" s="664"/>
      <c r="R24" s="167"/>
      <c r="S24" s="167"/>
      <c r="T24" s="167"/>
      <c r="U24" s="167"/>
      <c r="V24" s="167"/>
      <c r="W24" s="167"/>
    </row>
    <row r="25" spans="1:23" ht="15.75" customHeight="1">
      <c r="A25" s="659">
        <v>6</v>
      </c>
      <c r="B25" s="665" t="s">
        <v>211</v>
      </c>
      <c r="C25" s="107">
        <v>1</v>
      </c>
      <c r="D25" s="407" t="s">
        <v>670</v>
      </c>
      <c r="E25" s="636"/>
      <c r="F25" s="637"/>
      <c r="G25" s="407" t="s">
        <v>343</v>
      </c>
      <c r="H25" s="636"/>
      <c r="I25" s="637"/>
      <c r="J25" s="281">
        <v>487.6</v>
      </c>
      <c r="K25" s="14">
        <v>9.08746686861037E-3</v>
      </c>
      <c r="L25" s="281">
        <v>0.4799999999999997</v>
      </c>
      <c r="M25" s="261">
        <v>234.04799999999986</v>
      </c>
      <c r="N25" s="4"/>
      <c r="O25" s="644" t="s">
        <v>792</v>
      </c>
      <c r="P25" s="672"/>
      <c r="R25" s="167"/>
      <c r="S25" s="167"/>
      <c r="T25" s="167"/>
      <c r="U25" s="167"/>
      <c r="V25" s="167"/>
      <c r="W25" s="167"/>
    </row>
    <row r="26" spans="1:23" ht="15.75" customHeight="1">
      <c r="A26" s="659"/>
      <c r="B26" s="666"/>
      <c r="C26" s="107">
        <v>2</v>
      </c>
      <c r="D26" s="407" t="s">
        <v>400</v>
      </c>
      <c r="E26" s="636"/>
      <c r="F26" s="637"/>
      <c r="G26" s="407" t="s">
        <v>401</v>
      </c>
      <c r="H26" s="636"/>
      <c r="I26" s="637"/>
      <c r="J26" s="281">
        <v>444.88</v>
      </c>
      <c r="K26" s="14">
        <v>1.5978572088297744E-2</v>
      </c>
      <c r="L26" s="281">
        <v>0.34599999999999936</v>
      </c>
      <c r="M26" s="261">
        <v>153.92847999999972</v>
      </c>
      <c r="N26" s="4"/>
      <c r="O26" s="644" t="s">
        <v>792</v>
      </c>
      <c r="P26" s="672"/>
      <c r="R26" s="167"/>
      <c r="S26" s="167"/>
      <c r="T26" s="167"/>
      <c r="U26" s="167"/>
      <c r="V26" s="167"/>
      <c r="W26" s="167"/>
    </row>
    <row r="27" spans="1:23" ht="15.75" customHeight="1">
      <c r="A27" s="659"/>
      <c r="B27" s="666"/>
      <c r="C27" s="107">
        <v>3</v>
      </c>
      <c r="D27" s="407">
        <v>0</v>
      </c>
      <c r="E27" s="636"/>
      <c r="F27" s="637"/>
      <c r="G27" s="407">
        <v>0</v>
      </c>
      <c r="H27" s="636"/>
      <c r="I27" s="637"/>
      <c r="J27" s="281">
        <v>0</v>
      </c>
      <c r="K27" s="14">
        <v>0</v>
      </c>
      <c r="L27" s="281">
        <v>0</v>
      </c>
      <c r="M27" s="261">
        <v>0</v>
      </c>
      <c r="N27" s="4"/>
      <c r="O27" s="644"/>
      <c r="P27" s="672"/>
      <c r="R27" s="167"/>
      <c r="S27" s="167"/>
      <c r="T27" s="167"/>
      <c r="U27" s="167"/>
      <c r="V27" s="167"/>
      <c r="W27" s="167"/>
    </row>
    <row r="28" spans="1:23" ht="15.75" customHeight="1">
      <c r="A28" s="659"/>
      <c r="B28" s="666"/>
      <c r="C28" s="107">
        <v>4</v>
      </c>
      <c r="D28" s="407">
        <v>0</v>
      </c>
      <c r="E28" s="636"/>
      <c r="F28" s="637"/>
      <c r="G28" s="407">
        <v>0</v>
      </c>
      <c r="H28" s="636"/>
      <c r="I28" s="637"/>
      <c r="J28" s="281">
        <v>0</v>
      </c>
      <c r="K28" s="14">
        <v>0</v>
      </c>
      <c r="L28" s="281">
        <v>0</v>
      </c>
      <c r="M28" s="261">
        <v>0</v>
      </c>
      <c r="N28" s="4"/>
      <c r="O28" s="644"/>
      <c r="P28" s="672"/>
      <c r="R28" s="167"/>
      <c r="S28" s="167"/>
      <c r="T28" s="167"/>
      <c r="U28" s="167"/>
      <c r="V28" s="167"/>
      <c r="W28" s="167"/>
    </row>
    <row r="29" spans="1:23" ht="15.75" customHeight="1" thickBot="1">
      <c r="A29" s="659"/>
      <c r="B29" s="666"/>
      <c r="C29" s="108">
        <v>5</v>
      </c>
      <c r="D29" s="407">
        <v>0</v>
      </c>
      <c r="E29" s="636"/>
      <c r="F29" s="637"/>
      <c r="G29" s="407">
        <v>0</v>
      </c>
      <c r="H29" s="636"/>
      <c r="I29" s="637"/>
      <c r="J29" s="281">
        <v>0</v>
      </c>
      <c r="K29" s="14">
        <v>0</v>
      </c>
      <c r="L29" s="281">
        <v>0</v>
      </c>
      <c r="M29" s="261">
        <v>0</v>
      </c>
      <c r="N29" s="4"/>
      <c r="O29" s="644"/>
      <c r="P29" s="672"/>
      <c r="R29" s="167"/>
      <c r="S29" s="167"/>
      <c r="T29" s="167"/>
      <c r="U29" s="167"/>
      <c r="V29" s="167"/>
      <c r="W29" s="167"/>
    </row>
    <row r="30" spans="1:23" ht="15.75" customHeight="1" thickTop="1" thickBot="1">
      <c r="A30" s="659"/>
      <c r="B30" s="666"/>
      <c r="C30" s="667"/>
      <c r="D30" s="667"/>
      <c r="E30" s="667"/>
      <c r="F30" s="667"/>
      <c r="G30" s="667"/>
      <c r="H30" s="667"/>
      <c r="I30" s="668"/>
      <c r="J30" s="114" t="s">
        <v>768</v>
      </c>
      <c r="K30" s="217">
        <v>1.0134527174646541E-3</v>
      </c>
      <c r="L30" s="114" t="s">
        <v>769</v>
      </c>
      <c r="M30" s="219">
        <v>387.97647999999958</v>
      </c>
      <c r="N30" s="669"/>
      <c r="O30" s="670"/>
      <c r="P30" s="671"/>
      <c r="R30" s="167"/>
      <c r="S30" s="167"/>
      <c r="T30" s="167"/>
      <c r="U30" s="167"/>
      <c r="V30" s="167"/>
      <c r="W30" s="167"/>
    </row>
    <row r="31" spans="1:23" ht="15.75" customHeight="1" thickTop="1">
      <c r="A31" s="2"/>
      <c r="B31" s="106"/>
      <c r="C31" s="104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R31" s="167"/>
      <c r="S31" s="167"/>
      <c r="T31" s="167"/>
      <c r="U31" s="167"/>
      <c r="V31" s="167"/>
      <c r="W31" s="167"/>
    </row>
    <row r="32" spans="1:23" ht="15.75" customHeight="1">
      <c r="A32" s="658" t="s">
        <v>759</v>
      </c>
      <c r="B32" s="659"/>
      <c r="C32" s="112" t="s">
        <v>760</v>
      </c>
      <c r="D32" s="660" t="s">
        <v>12</v>
      </c>
      <c r="E32" s="661"/>
      <c r="F32" s="662"/>
      <c r="G32" s="110" t="s">
        <v>761</v>
      </c>
      <c r="H32" s="111"/>
      <c r="I32" s="112"/>
      <c r="J32" s="109" t="s">
        <v>762</v>
      </c>
      <c r="K32" s="109" t="s">
        <v>785</v>
      </c>
      <c r="L32" s="109" t="s">
        <v>764</v>
      </c>
      <c r="M32" s="113" t="s">
        <v>11</v>
      </c>
      <c r="N32" s="113" t="s">
        <v>13</v>
      </c>
      <c r="O32" s="663" t="s">
        <v>766</v>
      </c>
      <c r="P32" s="664"/>
      <c r="R32" s="167"/>
      <c r="S32" s="167"/>
      <c r="T32" s="167"/>
      <c r="U32" s="167"/>
      <c r="V32" s="167"/>
      <c r="W32" s="167"/>
    </row>
    <row r="33" spans="1:23" ht="15.75" customHeight="1">
      <c r="A33" s="659">
        <v>7</v>
      </c>
      <c r="B33" s="665" t="s">
        <v>783</v>
      </c>
      <c r="C33" s="107">
        <v>1</v>
      </c>
      <c r="D33" s="407" t="s">
        <v>706</v>
      </c>
      <c r="E33" s="636"/>
      <c r="F33" s="637"/>
      <c r="G33" s="407" t="s">
        <v>707</v>
      </c>
      <c r="H33" s="636"/>
      <c r="I33" s="637"/>
      <c r="J33" s="281">
        <v>2485</v>
      </c>
      <c r="K33" s="14">
        <v>1.7665130568356304E-2</v>
      </c>
      <c r="L33" s="281">
        <v>9.1999999999999638E-2</v>
      </c>
      <c r="M33" s="261">
        <v>228.6199999999991</v>
      </c>
      <c r="N33" s="4"/>
      <c r="O33" s="644" t="s">
        <v>784</v>
      </c>
      <c r="P33" s="672"/>
      <c r="R33" s="167"/>
      <c r="S33" s="167"/>
      <c r="T33" s="167"/>
      <c r="U33" s="167"/>
      <c r="V33" s="167"/>
      <c r="W33" s="167"/>
    </row>
    <row r="34" spans="1:23" ht="15.75" customHeight="1">
      <c r="A34" s="659"/>
      <c r="B34" s="666"/>
      <c r="C34" s="107">
        <v>2</v>
      </c>
      <c r="D34" s="407" t="s">
        <v>597</v>
      </c>
      <c r="E34" s="636"/>
      <c r="F34" s="637"/>
      <c r="G34" s="407" t="s">
        <v>615</v>
      </c>
      <c r="H34" s="636"/>
      <c r="I34" s="637"/>
      <c r="J34" s="281">
        <v>730.4</v>
      </c>
      <c r="K34" s="14">
        <v>0.39968895800933124</v>
      </c>
      <c r="L34" s="281">
        <v>0.25700000000000001</v>
      </c>
      <c r="M34" s="261">
        <v>187.71279999999999</v>
      </c>
      <c r="N34" s="4"/>
      <c r="O34" s="644" t="s">
        <v>784</v>
      </c>
      <c r="P34" s="672"/>
      <c r="R34" s="167"/>
      <c r="S34" s="167"/>
      <c r="T34" s="167"/>
      <c r="U34" s="167"/>
      <c r="V34" s="167"/>
      <c r="W34" s="167"/>
    </row>
    <row r="35" spans="1:23" ht="15.75" customHeight="1">
      <c r="A35" s="659"/>
      <c r="B35" s="666"/>
      <c r="C35" s="107">
        <v>3</v>
      </c>
      <c r="D35" s="407" t="s">
        <v>671</v>
      </c>
      <c r="E35" s="636"/>
      <c r="F35" s="637"/>
      <c r="G35" s="407" t="s">
        <v>702</v>
      </c>
      <c r="H35" s="636"/>
      <c r="I35" s="637"/>
      <c r="J35" s="281">
        <v>651.53</v>
      </c>
      <c r="K35" s="14">
        <v>9.0399796282149333E-3</v>
      </c>
      <c r="L35" s="281">
        <v>0.28400000000000036</v>
      </c>
      <c r="M35" s="261">
        <v>185.03452000000021</v>
      </c>
      <c r="N35" s="4"/>
      <c r="O35" s="644" t="s">
        <v>784</v>
      </c>
      <c r="P35" s="672"/>
      <c r="R35" s="167"/>
      <c r="S35" s="167"/>
      <c r="T35" s="167"/>
      <c r="U35" s="167"/>
      <c r="V35" s="167"/>
      <c r="W35" s="167"/>
    </row>
    <row r="36" spans="1:23" ht="15.75" customHeight="1">
      <c r="A36" s="659"/>
      <c r="B36" s="666"/>
      <c r="C36" s="107">
        <v>4</v>
      </c>
      <c r="D36" s="407" t="s">
        <v>336</v>
      </c>
      <c r="E36" s="636"/>
      <c r="F36" s="637"/>
      <c r="G36" s="407" t="s">
        <v>793</v>
      </c>
      <c r="H36" s="636"/>
      <c r="I36" s="637"/>
      <c r="J36" s="281">
        <v>1760</v>
      </c>
      <c r="K36" s="14">
        <v>5.5555555555555483E-2</v>
      </c>
      <c r="L36" s="281">
        <v>9.9999999999999867E-2</v>
      </c>
      <c r="M36" s="261">
        <v>175.99999999999977</v>
      </c>
      <c r="N36" s="4"/>
      <c r="O36" s="644" t="s">
        <v>704</v>
      </c>
      <c r="P36" s="672"/>
      <c r="R36" s="167"/>
      <c r="S36" s="167"/>
      <c r="T36" s="167"/>
      <c r="U36" s="167"/>
      <c r="V36" s="167"/>
      <c r="W36" s="167"/>
    </row>
    <row r="37" spans="1:23" ht="15.75" customHeight="1" thickBot="1">
      <c r="A37" s="659"/>
      <c r="B37" s="666"/>
      <c r="C37" s="108">
        <v>5</v>
      </c>
      <c r="D37" s="407" t="s">
        <v>371</v>
      </c>
      <c r="E37" s="636"/>
      <c r="F37" s="637"/>
      <c r="G37" s="407" t="s">
        <v>560</v>
      </c>
      <c r="H37" s="636"/>
      <c r="I37" s="637"/>
      <c r="J37" s="281">
        <v>631.87</v>
      </c>
      <c r="K37" s="14">
        <v>7.6158940397350938E-2</v>
      </c>
      <c r="L37" s="281">
        <v>0.2759999999999998</v>
      </c>
      <c r="M37" s="261">
        <v>174.39611999999988</v>
      </c>
      <c r="N37" s="4"/>
      <c r="O37" s="644" t="s">
        <v>704</v>
      </c>
      <c r="P37" s="672"/>
      <c r="R37" s="167"/>
      <c r="S37" s="167"/>
      <c r="T37" s="167"/>
      <c r="U37" s="167"/>
      <c r="V37" s="167"/>
      <c r="W37" s="167"/>
    </row>
    <row r="38" spans="1:23" ht="15.75" customHeight="1" thickTop="1" thickBot="1">
      <c r="A38" s="659"/>
      <c r="B38" s="666"/>
      <c r="C38" s="667"/>
      <c r="D38" s="667"/>
      <c r="E38" s="667"/>
      <c r="F38" s="667"/>
      <c r="G38" s="667"/>
      <c r="H38" s="667"/>
      <c r="I38" s="668"/>
      <c r="J38" s="114" t="s">
        <v>768</v>
      </c>
      <c r="K38" s="217">
        <v>2.4861487599751081E-3</v>
      </c>
      <c r="L38" s="114" t="s">
        <v>769</v>
      </c>
      <c r="M38" s="219">
        <v>951.76343999999904</v>
      </c>
      <c r="N38" s="669"/>
      <c r="O38" s="670"/>
      <c r="P38" s="671"/>
      <c r="R38" s="167"/>
      <c r="S38" s="167"/>
      <c r="T38" s="167"/>
      <c r="U38" s="167"/>
      <c r="V38" s="167"/>
      <c r="W38" s="167"/>
    </row>
    <row r="39" spans="1:23" ht="15.75" customHeight="1" thickTop="1"/>
  </sheetData>
  <mergeCells count="107">
    <mergeCell ref="A1:Q2"/>
    <mergeCell ref="A3:M4"/>
    <mergeCell ref="A5:A6"/>
    <mergeCell ref="B5:C5"/>
    <mergeCell ref="D5:E5"/>
    <mergeCell ref="F5:G5"/>
    <mergeCell ref="H5:I5"/>
    <mergeCell ref="J5:K5"/>
    <mergeCell ref="L5:M5"/>
    <mergeCell ref="N5:O5"/>
    <mergeCell ref="P5:Q5"/>
    <mergeCell ref="B6:C6"/>
    <mergeCell ref="D6:E6"/>
    <mergeCell ref="F6:G6"/>
    <mergeCell ref="H6:I6"/>
    <mergeCell ref="J6:K6"/>
    <mergeCell ref="L6:M6"/>
    <mergeCell ref="N6:O6"/>
    <mergeCell ref="P6:Q6"/>
    <mergeCell ref="A8:B8"/>
    <mergeCell ref="D8:F8"/>
    <mergeCell ref="O8:P8"/>
    <mergeCell ref="A9:A14"/>
    <mergeCell ref="B9:B14"/>
    <mergeCell ref="D9:F9"/>
    <mergeCell ref="G9:I9"/>
    <mergeCell ref="O9:P9"/>
    <mergeCell ref="D10:F10"/>
    <mergeCell ref="G10:I10"/>
    <mergeCell ref="D13:F13"/>
    <mergeCell ref="G13:I13"/>
    <mergeCell ref="O13:P13"/>
    <mergeCell ref="C14:I14"/>
    <mergeCell ref="N14:P14"/>
    <mergeCell ref="A16:B16"/>
    <mergeCell ref="D16:F16"/>
    <mergeCell ref="O16:P16"/>
    <mergeCell ref="O10:P10"/>
    <mergeCell ref="D11:F11"/>
    <mergeCell ref="G11:I11"/>
    <mergeCell ref="O11:P11"/>
    <mergeCell ref="D12:F12"/>
    <mergeCell ref="G12:I12"/>
    <mergeCell ref="O12:P12"/>
    <mergeCell ref="O19:P19"/>
    <mergeCell ref="D20:F20"/>
    <mergeCell ref="G20:I20"/>
    <mergeCell ref="O20:P20"/>
    <mergeCell ref="D21:F21"/>
    <mergeCell ref="G21:I21"/>
    <mergeCell ref="O21:P21"/>
    <mergeCell ref="A17:A22"/>
    <mergeCell ref="B17:B22"/>
    <mergeCell ref="D17:F17"/>
    <mergeCell ref="G17:I17"/>
    <mergeCell ref="O17:P17"/>
    <mergeCell ref="D18:F18"/>
    <mergeCell ref="G18:I18"/>
    <mergeCell ref="O18:P18"/>
    <mergeCell ref="D19:F19"/>
    <mergeCell ref="G19:I19"/>
    <mergeCell ref="C22:I22"/>
    <mergeCell ref="N22:P22"/>
    <mergeCell ref="A24:B24"/>
    <mergeCell ref="D24:F24"/>
    <mergeCell ref="O24:P24"/>
    <mergeCell ref="A25:A30"/>
    <mergeCell ref="B25:B30"/>
    <mergeCell ref="D25:F25"/>
    <mergeCell ref="G25:I25"/>
    <mergeCell ref="O25:P25"/>
    <mergeCell ref="D28:F28"/>
    <mergeCell ref="G28:I28"/>
    <mergeCell ref="O28:P28"/>
    <mergeCell ref="D29:F29"/>
    <mergeCell ref="G29:I29"/>
    <mergeCell ref="O29:P29"/>
    <mergeCell ref="D26:F26"/>
    <mergeCell ref="G26:I26"/>
    <mergeCell ref="O26:P26"/>
    <mergeCell ref="D27:F27"/>
    <mergeCell ref="G27:I27"/>
    <mergeCell ref="O27:P27"/>
    <mergeCell ref="C30:I30"/>
    <mergeCell ref="N30:P30"/>
    <mergeCell ref="A32:B32"/>
    <mergeCell ref="D32:F32"/>
    <mergeCell ref="O32:P32"/>
    <mergeCell ref="A33:A38"/>
    <mergeCell ref="B33:B38"/>
    <mergeCell ref="D33:F33"/>
    <mergeCell ref="G33:I33"/>
    <mergeCell ref="O33:P33"/>
    <mergeCell ref="C38:I38"/>
    <mergeCell ref="N38:P38"/>
    <mergeCell ref="D36:F36"/>
    <mergeCell ref="G36:I36"/>
    <mergeCell ref="O36:P36"/>
    <mergeCell ref="D37:F37"/>
    <mergeCell ref="G37:I37"/>
    <mergeCell ref="O37:P37"/>
    <mergeCell ref="D34:F34"/>
    <mergeCell ref="G34:I34"/>
    <mergeCell ref="O34:P34"/>
    <mergeCell ref="D35:F35"/>
    <mergeCell ref="G35:I35"/>
    <mergeCell ref="O35:P35"/>
  </mergeCells>
  <phoneticPr fontId="11" type="noConversion"/>
  <printOptions horizontalCentered="1" gridLines="1"/>
  <pageMargins left="0.39370078740157483" right="0.39370078740157483" top="0.39370078740157483" bottom="0.39370078740157483" header="0" footer="0"/>
  <pageSetup paperSize="9" scale="90" fitToWidth="0" fitToHeight="0" pageOrder="overThenDown" orientation="landscape" cellComments="atEnd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92D050"/>
    <outlinePr summaryBelow="0" summaryRight="0"/>
  </sheetPr>
  <dimension ref="A1:Q20"/>
  <sheetViews>
    <sheetView view="pageBreakPreview" zoomScale="115" zoomScaleNormal="60" zoomScaleSheetLayoutView="115" workbookViewId="0">
      <selection activeCell="S32" sqref="S32"/>
    </sheetView>
  </sheetViews>
  <sheetFormatPr defaultColWidth="12.5703125" defaultRowHeight="15.75" customHeight="1"/>
  <cols>
    <col min="1" max="1" width="5.42578125" style="115" customWidth="1"/>
    <col min="2" max="2" width="7.85546875" style="161" customWidth="1"/>
    <col min="3" max="3" width="4" style="147" customWidth="1"/>
    <col min="4" max="17" width="8.5703125" style="115" customWidth="1"/>
    <col min="18" max="16384" width="12.5703125" style="115"/>
  </cols>
  <sheetData>
    <row r="1" spans="1:17" ht="15.75" customHeight="1">
      <c r="A1" s="405" t="s">
        <v>202</v>
      </c>
      <c r="B1" s="405"/>
      <c r="C1" s="405"/>
      <c r="D1" s="405"/>
      <c r="E1" s="405"/>
      <c r="F1" s="405"/>
      <c r="G1" s="405"/>
      <c r="H1" s="405"/>
      <c r="I1" s="405"/>
      <c r="J1" s="405"/>
      <c r="K1" s="405"/>
      <c r="L1" s="405"/>
      <c r="M1" s="405"/>
      <c r="N1" s="405"/>
      <c r="O1" s="405"/>
      <c r="P1" s="405"/>
      <c r="Q1" s="405"/>
    </row>
    <row r="2" spans="1:17" s="116" customFormat="1" ht="15.75" customHeight="1">
      <c r="A2" s="405"/>
      <c r="B2" s="405"/>
      <c r="C2" s="405"/>
      <c r="D2" s="405"/>
      <c r="E2" s="405"/>
      <c r="F2" s="405"/>
      <c r="G2" s="405"/>
      <c r="H2" s="405"/>
      <c r="I2" s="405"/>
      <c r="J2" s="405"/>
      <c r="K2" s="405"/>
      <c r="L2" s="405"/>
      <c r="M2" s="405"/>
      <c r="N2" s="405"/>
      <c r="O2" s="405"/>
      <c r="P2" s="405"/>
      <c r="Q2" s="405"/>
    </row>
    <row r="3" spans="1:17" ht="15.75" customHeight="1">
      <c r="A3" s="535" t="s">
        <v>213</v>
      </c>
      <c r="B3" s="535"/>
      <c r="C3" s="535"/>
      <c r="D3" s="535"/>
      <c r="E3" s="535"/>
      <c r="F3" s="535"/>
      <c r="G3" s="535"/>
      <c r="H3" s="535"/>
      <c r="I3" s="535"/>
      <c r="J3" s="535"/>
      <c r="K3" s="535"/>
      <c r="L3" s="535"/>
      <c r="M3" s="535"/>
      <c r="N3" s="535"/>
      <c r="O3" s="535"/>
      <c r="P3" s="535"/>
      <c r="Q3" s="535"/>
    </row>
    <row r="4" spans="1:17" s="116" customFormat="1" ht="15.75" customHeight="1">
      <c r="A4" s="686"/>
      <c r="B4" s="686"/>
      <c r="C4" s="686"/>
      <c r="D4" s="686"/>
      <c r="E4" s="686"/>
      <c r="F4" s="686"/>
      <c r="G4" s="686"/>
      <c r="H4" s="686"/>
      <c r="I4" s="686"/>
      <c r="J4" s="686"/>
      <c r="K4" s="686"/>
      <c r="L4" s="686"/>
      <c r="M4" s="686"/>
      <c r="N4" s="686"/>
      <c r="O4" s="686"/>
      <c r="P4" s="686"/>
      <c r="Q4" s="686"/>
    </row>
    <row r="5" spans="1:17" ht="15.75" customHeight="1">
      <c r="A5" s="450" t="s">
        <v>188</v>
      </c>
      <c r="B5" s="534">
        <v>1</v>
      </c>
      <c r="C5" s="534"/>
      <c r="D5" s="534">
        <v>2</v>
      </c>
      <c r="E5" s="534"/>
      <c r="F5" s="534">
        <v>3</v>
      </c>
      <c r="G5" s="534"/>
      <c r="H5" s="534">
        <v>4</v>
      </c>
      <c r="I5" s="534"/>
      <c r="J5" s="534">
        <v>5</v>
      </c>
      <c r="K5" s="534"/>
      <c r="L5" s="534">
        <v>6</v>
      </c>
      <c r="M5" s="534"/>
      <c r="N5" s="534">
        <v>7</v>
      </c>
      <c r="O5" s="534"/>
      <c r="P5" s="656">
        <v>8</v>
      </c>
      <c r="Q5" s="656"/>
    </row>
    <row r="6" spans="1:17" ht="15.75" customHeight="1">
      <c r="A6" s="450"/>
      <c r="B6" s="450" t="s">
        <v>319</v>
      </c>
      <c r="C6" s="450"/>
      <c r="D6" s="450" t="s">
        <v>214</v>
      </c>
      <c r="E6" s="450"/>
      <c r="F6" s="450" t="s">
        <v>162</v>
      </c>
      <c r="G6" s="450"/>
      <c r="H6" s="450" t="s">
        <v>456</v>
      </c>
      <c r="I6" s="450"/>
      <c r="J6" s="450" t="s">
        <v>186</v>
      </c>
      <c r="K6" s="450"/>
      <c r="L6" s="450" t="s">
        <v>163</v>
      </c>
      <c r="M6" s="450"/>
      <c r="N6" s="450" t="s">
        <v>187</v>
      </c>
      <c r="O6" s="450"/>
      <c r="P6" s="657" t="s">
        <v>215</v>
      </c>
      <c r="Q6" s="657"/>
    </row>
    <row r="8" spans="1:17" s="122" customFormat="1" ht="15.75" customHeight="1">
      <c r="A8" s="148" t="s">
        <v>190</v>
      </c>
      <c r="B8" s="164" t="s">
        <v>18</v>
      </c>
      <c r="C8" s="684" t="s">
        <v>12</v>
      </c>
      <c r="D8" s="684"/>
      <c r="E8" s="684"/>
      <c r="F8" s="684" t="s">
        <v>53</v>
      </c>
      <c r="G8" s="684"/>
      <c r="H8" s="684"/>
      <c r="I8" s="164" t="s">
        <v>54</v>
      </c>
      <c r="J8" s="165" t="s">
        <v>19</v>
      </c>
      <c r="K8" s="164" t="s">
        <v>57</v>
      </c>
      <c r="L8" s="164" t="s">
        <v>2</v>
      </c>
      <c r="M8" s="687" t="s">
        <v>50</v>
      </c>
      <c r="N8" s="688"/>
      <c r="O8" s="688"/>
      <c r="P8" s="688"/>
      <c r="Q8" s="688"/>
    </row>
    <row r="9" spans="1:17" ht="15.75" customHeight="1">
      <c r="A9" s="684" t="s">
        <v>189</v>
      </c>
      <c r="B9" s="143">
        <v>1</v>
      </c>
      <c r="C9" s="679"/>
      <c r="D9" s="680"/>
      <c r="E9" s="680"/>
      <c r="F9" s="679"/>
      <c r="G9" s="680"/>
      <c r="H9" s="680"/>
      <c r="I9" s="149"/>
      <c r="J9" s="134"/>
      <c r="K9" s="134"/>
      <c r="L9" s="163">
        <f>K9-J9</f>
        <v>0</v>
      </c>
      <c r="M9" s="679"/>
      <c r="N9" s="679"/>
      <c r="O9" s="679"/>
      <c r="P9" s="679"/>
      <c r="Q9" s="679"/>
    </row>
    <row r="10" spans="1:17" ht="15.75" customHeight="1">
      <c r="A10" s="685"/>
      <c r="B10" s="143">
        <v>2</v>
      </c>
      <c r="C10" s="679"/>
      <c r="D10" s="680"/>
      <c r="E10" s="680"/>
      <c r="F10" s="679"/>
      <c r="G10" s="680"/>
      <c r="H10" s="680"/>
      <c r="I10" s="149"/>
      <c r="J10" s="134"/>
      <c r="K10" s="134"/>
      <c r="L10" s="163">
        <f>K10-J10</f>
        <v>0</v>
      </c>
      <c r="M10" s="679"/>
      <c r="N10" s="679"/>
      <c r="O10" s="679"/>
      <c r="P10" s="679"/>
      <c r="Q10" s="679"/>
    </row>
    <row r="11" spans="1:17" ht="15.75" customHeight="1">
      <c r="A11" s="685"/>
      <c r="B11" s="143">
        <v>3</v>
      </c>
      <c r="C11" s="679"/>
      <c r="D11" s="680"/>
      <c r="E11" s="680"/>
      <c r="F11" s="679"/>
      <c r="G11" s="680"/>
      <c r="H11" s="680"/>
      <c r="I11" s="149"/>
      <c r="J11" s="134"/>
      <c r="K11" s="134"/>
      <c r="L11" s="163">
        <f>K11-J11</f>
        <v>0</v>
      </c>
      <c r="M11" s="679"/>
      <c r="N11" s="679"/>
      <c r="O11" s="679"/>
      <c r="P11" s="679"/>
      <c r="Q11" s="679"/>
    </row>
    <row r="12" spans="1:17" ht="15.75" customHeight="1">
      <c r="A12" s="685"/>
      <c r="B12" s="143">
        <v>4</v>
      </c>
      <c r="C12" s="679"/>
      <c r="D12" s="680"/>
      <c r="E12" s="680"/>
      <c r="F12" s="679"/>
      <c r="G12" s="680"/>
      <c r="H12" s="680"/>
      <c r="I12" s="149"/>
      <c r="J12" s="134"/>
      <c r="K12" s="134"/>
      <c r="L12" s="163">
        <f>K12-J12</f>
        <v>0</v>
      </c>
      <c r="M12" s="679"/>
      <c r="N12" s="679"/>
      <c r="O12" s="679"/>
      <c r="P12" s="679"/>
      <c r="Q12" s="679"/>
    </row>
    <row r="13" spans="1:17" ht="15.75" customHeight="1">
      <c r="A13" s="685"/>
      <c r="B13" s="143">
        <v>5</v>
      </c>
      <c r="C13" s="679"/>
      <c r="D13" s="680"/>
      <c r="E13" s="680"/>
      <c r="F13" s="679"/>
      <c r="G13" s="680"/>
      <c r="H13" s="680"/>
      <c r="I13" s="149"/>
      <c r="J13" s="134"/>
      <c r="K13" s="134"/>
      <c r="L13" s="163">
        <f>K13-J13</f>
        <v>0</v>
      </c>
      <c r="M13" s="679"/>
      <c r="N13" s="679"/>
      <c r="O13" s="679"/>
      <c r="P13" s="679"/>
      <c r="Q13" s="679"/>
    </row>
    <row r="14" spans="1:17" ht="15.75" customHeight="1">
      <c r="A14" s="682"/>
      <c r="B14" s="682"/>
      <c r="C14" s="682"/>
      <c r="D14" s="682"/>
      <c r="E14" s="682"/>
      <c r="F14" s="682"/>
      <c r="G14" s="682"/>
      <c r="H14" s="682"/>
      <c r="I14" s="682"/>
      <c r="J14" s="682"/>
      <c r="K14" s="682"/>
      <c r="L14" s="682"/>
      <c r="M14" s="682"/>
      <c r="N14" s="682"/>
      <c r="O14" s="683"/>
    </row>
    <row r="15" spans="1:17" s="122" customFormat="1" ht="15.75" customHeight="1">
      <c r="A15" s="148" t="s">
        <v>190</v>
      </c>
      <c r="B15" s="148" t="s">
        <v>18</v>
      </c>
      <c r="C15" s="681" t="s">
        <v>12</v>
      </c>
      <c r="D15" s="681"/>
      <c r="E15" s="681"/>
      <c r="F15" s="681" t="s">
        <v>53</v>
      </c>
      <c r="G15" s="681"/>
      <c r="H15" s="681"/>
      <c r="I15" s="148" t="s">
        <v>54</v>
      </c>
      <c r="J15" s="162" t="s">
        <v>19</v>
      </c>
      <c r="K15" s="148" t="s">
        <v>57</v>
      </c>
      <c r="L15" s="148" t="s">
        <v>2</v>
      </c>
      <c r="M15" s="681" t="s">
        <v>50</v>
      </c>
      <c r="N15" s="681"/>
      <c r="O15" s="681"/>
      <c r="P15" s="681"/>
      <c r="Q15" s="681"/>
    </row>
    <row r="16" spans="1:17" ht="15.75" customHeight="1">
      <c r="A16" s="681" t="s">
        <v>191</v>
      </c>
      <c r="B16" s="143">
        <v>1</v>
      </c>
      <c r="C16" s="679"/>
      <c r="D16" s="680"/>
      <c r="E16" s="680"/>
      <c r="F16" s="679"/>
      <c r="G16" s="680"/>
      <c r="H16" s="680"/>
      <c r="I16" s="149"/>
      <c r="J16" s="134"/>
      <c r="K16" s="134"/>
      <c r="L16" s="163">
        <f>K16-J16</f>
        <v>0</v>
      </c>
      <c r="M16" s="679"/>
      <c r="N16" s="679"/>
      <c r="O16" s="679"/>
      <c r="P16" s="679"/>
      <c r="Q16" s="679"/>
    </row>
    <row r="17" spans="1:17" ht="15.75" customHeight="1">
      <c r="A17" s="681"/>
      <c r="B17" s="143">
        <v>2</v>
      </c>
      <c r="C17" s="679"/>
      <c r="D17" s="680"/>
      <c r="E17" s="680"/>
      <c r="F17" s="679"/>
      <c r="G17" s="680"/>
      <c r="H17" s="680"/>
      <c r="I17" s="149"/>
      <c r="J17" s="134"/>
      <c r="K17" s="134"/>
      <c r="L17" s="163">
        <f>K17-J17</f>
        <v>0</v>
      </c>
      <c r="M17" s="679"/>
      <c r="N17" s="679"/>
      <c r="O17" s="679"/>
      <c r="P17" s="679"/>
      <c r="Q17" s="679"/>
    </row>
    <row r="18" spans="1:17" ht="15.75" customHeight="1">
      <c r="A18" s="681"/>
      <c r="B18" s="143">
        <v>3</v>
      </c>
      <c r="C18" s="679"/>
      <c r="D18" s="680"/>
      <c r="E18" s="680"/>
      <c r="F18" s="679"/>
      <c r="G18" s="680"/>
      <c r="H18" s="680"/>
      <c r="I18" s="149"/>
      <c r="J18" s="134"/>
      <c r="K18" s="134"/>
      <c r="L18" s="163">
        <f>K18-J18</f>
        <v>0</v>
      </c>
      <c r="M18" s="679"/>
      <c r="N18" s="679"/>
      <c r="O18" s="679"/>
      <c r="P18" s="679"/>
      <c r="Q18" s="679"/>
    </row>
    <row r="19" spans="1:17" ht="15.75" customHeight="1">
      <c r="A19" s="681"/>
      <c r="B19" s="143">
        <v>4</v>
      </c>
      <c r="C19" s="679"/>
      <c r="D19" s="680"/>
      <c r="E19" s="680"/>
      <c r="F19" s="679"/>
      <c r="G19" s="680"/>
      <c r="H19" s="680"/>
      <c r="I19" s="149"/>
      <c r="J19" s="134"/>
      <c r="K19" s="134"/>
      <c r="L19" s="163">
        <f>K19-J19</f>
        <v>0</v>
      </c>
      <c r="M19" s="679"/>
      <c r="N19" s="679"/>
      <c r="O19" s="679"/>
      <c r="P19" s="679"/>
      <c r="Q19" s="679"/>
    </row>
    <row r="20" spans="1:17" ht="15.75" customHeight="1">
      <c r="A20" s="681"/>
      <c r="B20" s="143">
        <v>5</v>
      </c>
      <c r="C20" s="679"/>
      <c r="D20" s="680"/>
      <c r="E20" s="680"/>
      <c r="F20" s="679"/>
      <c r="G20" s="680"/>
      <c r="H20" s="680"/>
      <c r="I20" s="149"/>
      <c r="J20" s="134"/>
      <c r="K20" s="134"/>
      <c r="L20" s="163">
        <f>K20-J20</f>
        <v>0</v>
      </c>
      <c r="M20" s="679"/>
      <c r="N20" s="679"/>
      <c r="O20" s="679"/>
      <c r="P20" s="679"/>
      <c r="Q20" s="679"/>
    </row>
  </sheetData>
  <mergeCells count="58">
    <mergeCell ref="M15:Q15"/>
    <mergeCell ref="J5:K5"/>
    <mergeCell ref="L5:M5"/>
    <mergeCell ref="A3:Q4"/>
    <mergeCell ref="N5:O5"/>
    <mergeCell ref="P5:Q5"/>
    <mergeCell ref="A5:A6"/>
    <mergeCell ref="B5:C5"/>
    <mergeCell ref="D5:E5"/>
    <mergeCell ref="C8:E8"/>
    <mergeCell ref="F8:H8"/>
    <mergeCell ref="C9:E9"/>
    <mergeCell ref="F9:H9"/>
    <mergeCell ref="M8:Q8"/>
    <mergeCell ref="M9:Q9"/>
    <mergeCell ref="C11:E11"/>
    <mergeCell ref="A1:Q2"/>
    <mergeCell ref="J6:K6"/>
    <mergeCell ref="L6:M6"/>
    <mergeCell ref="N6:O6"/>
    <mergeCell ref="P6:Q6"/>
    <mergeCell ref="F5:G5"/>
    <mergeCell ref="H5:I5"/>
    <mergeCell ref="B6:C6"/>
    <mergeCell ref="D6:E6"/>
    <mergeCell ref="F6:G6"/>
    <mergeCell ref="H6:I6"/>
    <mergeCell ref="C12:E12"/>
    <mergeCell ref="C13:E13"/>
    <mergeCell ref="F10:H10"/>
    <mergeCell ref="F11:H11"/>
    <mergeCell ref="F12:H12"/>
    <mergeCell ref="F13:H13"/>
    <mergeCell ref="A16:A20"/>
    <mergeCell ref="M13:Q13"/>
    <mergeCell ref="C16:E16"/>
    <mergeCell ref="F16:H16"/>
    <mergeCell ref="C17:E17"/>
    <mergeCell ref="F17:H17"/>
    <mergeCell ref="C15:E15"/>
    <mergeCell ref="F15:H15"/>
    <mergeCell ref="A14:O14"/>
    <mergeCell ref="A9:A13"/>
    <mergeCell ref="M10:Q10"/>
    <mergeCell ref="M11:Q11"/>
    <mergeCell ref="M12:Q12"/>
    <mergeCell ref="M16:Q16"/>
    <mergeCell ref="M17:Q17"/>
    <mergeCell ref="C10:E10"/>
    <mergeCell ref="M20:Q20"/>
    <mergeCell ref="C20:E20"/>
    <mergeCell ref="F20:H20"/>
    <mergeCell ref="C18:E18"/>
    <mergeCell ref="F18:H18"/>
    <mergeCell ref="C19:E19"/>
    <mergeCell ref="F19:H19"/>
    <mergeCell ref="M18:Q18"/>
    <mergeCell ref="M19:Q19"/>
  </mergeCells>
  <phoneticPr fontId="11" type="noConversion"/>
  <printOptions horizontalCentered="1" gridLines="1"/>
  <pageMargins left="0.39370078740157483" right="0.39370078740157483" top="0.39370078740157483" bottom="0.39370078740157483" header="0" footer="0"/>
  <pageSetup paperSize="9" fitToWidth="0" fitToHeight="0" pageOrder="overThenDown" orientation="landscape" cellComments="atEnd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theme="7" tint="0.39997558519241921"/>
    <pageSetUpPr fitToPage="1"/>
  </sheetPr>
  <dimension ref="B2:AI297"/>
  <sheetViews>
    <sheetView zoomScale="55" zoomScaleNormal="55" workbookViewId="0">
      <pane xSplit="4" ySplit="6" topLeftCell="E7" activePane="bottomRight" state="frozen"/>
      <selection activeCell="M12" sqref="M12:Q12"/>
      <selection pane="topRight" activeCell="M12" sqref="M12:Q12"/>
      <selection pane="bottomLeft" activeCell="M12" sqref="M12:Q12"/>
      <selection pane="bottomRight" activeCell="B7" sqref="B7:C26"/>
    </sheetView>
  </sheetViews>
  <sheetFormatPr defaultColWidth="8.85546875" defaultRowHeight="16.5"/>
  <cols>
    <col min="1" max="1" width="8.85546875" style="289"/>
    <col min="2" max="2" width="12.42578125" style="289" customWidth="1"/>
    <col min="3" max="3" width="8.85546875" style="289"/>
    <col min="4" max="4" width="11.5703125" style="289" customWidth="1"/>
    <col min="5" max="5" width="39.28515625" style="289" bestFit="1" customWidth="1"/>
    <col min="6" max="6" width="11.42578125" style="289" bestFit="1" customWidth="1"/>
    <col min="7" max="7" width="14.140625" style="289" customWidth="1"/>
    <col min="8" max="8" width="14" style="289" customWidth="1"/>
    <col min="9" max="9" width="16.85546875" style="289" customWidth="1"/>
    <col min="10" max="10" width="14" style="289" customWidth="1"/>
    <col min="11" max="11" width="11.5703125" style="289" bestFit="1" customWidth="1"/>
    <col min="12" max="12" width="13.42578125" style="289" bestFit="1" customWidth="1"/>
    <col min="13" max="13" width="19.140625" style="289" bestFit="1" customWidth="1"/>
    <col min="14" max="14" width="15.28515625" style="289" bestFit="1" customWidth="1"/>
    <col min="15" max="15" width="12.5703125" style="289" bestFit="1" customWidth="1"/>
    <col min="16" max="16" width="9.7109375" style="289" bestFit="1" customWidth="1"/>
    <col min="17" max="17" width="12.140625" style="289" bestFit="1" customWidth="1"/>
    <col min="18" max="18" width="10.7109375" style="289" customWidth="1"/>
    <col min="19" max="19" width="13.42578125" style="289" bestFit="1" customWidth="1"/>
    <col min="20" max="20" width="12.42578125" style="289" bestFit="1" customWidth="1"/>
    <col min="21" max="21" width="25.28515625" style="289" bestFit="1" customWidth="1"/>
    <col min="22" max="23" width="88.28515625" style="289" customWidth="1"/>
    <col min="24" max="24" width="7.42578125" style="289" bestFit="1" customWidth="1"/>
    <col min="25" max="25" width="69.5703125" style="289" bestFit="1" customWidth="1"/>
    <col min="26" max="26" width="11.42578125" style="289" bestFit="1" customWidth="1"/>
    <col min="27" max="27" width="21.5703125" style="289" customWidth="1"/>
    <col min="28" max="28" width="19.42578125" style="289" bestFit="1" customWidth="1"/>
    <col min="29" max="34" width="14.42578125" style="289" customWidth="1"/>
    <col min="35" max="35" width="11.42578125" style="289" bestFit="1" customWidth="1"/>
    <col min="36" max="16384" width="8.85546875" style="289"/>
  </cols>
  <sheetData>
    <row r="2" spans="2:35" ht="41.1" customHeight="1">
      <c r="B2" s="700" t="s">
        <v>475</v>
      </c>
      <c r="C2" s="701"/>
      <c r="D2" s="701"/>
      <c r="E2" s="701"/>
      <c r="F2" s="701"/>
      <c r="G2" s="701"/>
      <c r="H2" s="701"/>
      <c r="I2" s="701"/>
      <c r="J2" s="701"/>
      <c r="K2" s="701"/>
      <c r="L2" s="701"/>
      <c r="M2" s="701"/>
      <c r="N2" s="701"/>
      <c r="O2" s="701"/>
      <c r="P2" s="701"/>
      <c r="Q2" s="701"/>
      <c r="R2" s="701"/>
      <c r="S2" s="701"/>
      <c r="T2" s="701"/>
      <c r="U2" s="701"/>
      <c r="V2" s="701"/>
      <c r="W2" s="701"/>
      <c r="X2" s="701"/>
      <c r="Y2" s="701"/>
      <c r="AA2" s="290"/>
      <c r="AB2" s="290"/>
    </row>
    <row r="3" spans="2:35" ht="17.100000000000001" customHeight="1">
      <c r="B3" s="702" t="s">
        <v>476</v>
      </c>
      <c r="C3" s="703"/>
      <c r="D3" s="696" t="s">
        <v>166</v>
      </c>
      <c r="E3" s="696"/>
      <c r="F3" s="696"/>
      <c r="G3" s="696" t="s">
        <v>180</v>
      </c>
      <c r="H3" s="696"/>
      <c r="I3" s="696"/>
      <c r="J3" s="696"/>
      <c r="K3" s="696"/>
      <c r="L3" s="696"/>
      <c r="M3" s="696"/>
      <c r="N3" s="696"/>
      <c r="O3" s="696"/>
      <c r="P3" s="696"/>
      <c r="Q3" s="696"/>
      <c r="R3" s="696"/>
      <c r="S3" s="696"/>
      <c r="T3" s="696" t="s">
        <v>167</v>
      </c>
      <c r="U3" s="708" t="s">
        <v>477</v>
      </c>
      <c r="V3" s="711" t="s">
        <v>478</v>
      </c>
      <c r="W3" s="711" t="s">
        <v>479</v>
      </c>
      <c r="X3" s="714" t="s">
        <v>480</v>
      </c>
      <c r="Y3" s="698" t="s">
        <v>168</v>
      </c>
      <c r="AA3" s="696" t="s">
        <v>481</v>
      </c>
      <c r="AB3" s="696"/>
      <c r="AC3" s="696"/>
      <c r="AD3" s="696"/>
      <c r="AE3" s="696"/>
      <c r="AF3" s="696"/>
      <c r="AG3" s="696"/>
      <c r="AH3" s="696"/>
      <c r="AI3" s="696"/>
    </row>
    <row r="4" spans="2:35" ht="17.100000000000001" customHeight="1">
      <c r="B4" s="704"/>
      <c r="C4" s="705"/>
      <c r="D4" s="697" t="s">
        <v>165</v>
      </c>
      <c r="E4" s="696" t="s">
        <v>169</v>
      </c>
      <c r="F4" s="696"/>
      <c r="G4" s="696" t="s">
        <v>181</v>
      </c>
      <c r="H4" s="696"/>
      <c r="I4" s="696"/>
      <c r="J4" s="696"/>
      <c r="K4" s="696"/>
      <c r="L4" s="696"/>
      <c r="M4" s="696"/>
      <c r="N4" s="696"/>
      <c r="O4" s="696" t="s">
        <v>170</v>
      </c>
      <c r="P4" s="696"/>
      <c r="Q4" s="696"/>
      <c r="R4" s="696"/>
      <c r="S4" s="696"/>
      <c r="T4" s="696"/>
      <c r="U4" s="709"/>
      <c r="V4" s="712"/>
      <c r="W4" s="712"/>
      <c r="X4" s="715"/>
      <c r="Y4" s="698"/>
      <c r="AA4" s="696"/>
      <c r="AB4" s="696"/>
      <c r="AC4" s="696"/>
      <c r="AD4" s="696"/>
      <c r="AE4" s="696"/>
      <c r="AF4" s="696"/>
      <c r="AG4" s="696"/>
      <c r="AH4" s="696"/>
      <c r="AI4" s="696"/>
    </row>
    <row r="5" spans="2:35" ht="17.100000000000001" customHeight="1">
      <c r="B5" s="704"/>
      <c r="C5" s="705"/>
      <c r="D5" s="697"/>
      <c r="E5" s="697" t="s">
        <v>171</v>
      </c>
      <c r="F5" s="698" t="s">
        <v>482</v>
      </c>
      <c r="G5" s="699" t="s">
        <v>182</v>
      </c>
      <c r="H5" s="699"/>
      <c r="I5" s="699"/>
      <c r="J5" s="699"/>
      <c r="K5" s="699"/>
      <c r="L5" s="699"/>
      <c r="M5" s="699"/>
      <c r="N5" s="699"/>
      <c r="O5" s="699" t="s">
        <v>164</v>
      </c>
      <c r="P5" s="699"/>
      <c r="Q5" s="699" t="s">
        <v>172</v>
      </c>
      <c r="R5" s="699"/>
      <c r="S5" s="699"/>
      <c r="T5" s="696"/>
      <c r="U5" s="709"/>
      <c r="V5" s="712"/>
      <c r="W5" s="712"/>
      <c r="X5" s="715"/>
      <c r="Y5" s="698"/>
      <c r="AA5" s="696"/>
      <c r="AB5" s="696"/>
      <c r="AC5" s="696"/>
      <c r="AD5" s="696"/>
      <c r="AE5" s="696"/>
      <c r="AF5" s="696"/>
      <c r="AG5" s="696"/>
      <c r="AH5" s="696"/>
      <c r="AI5" s="696"/>
    </row>
    <row r="6" spans="2:35" ht="38.450000000000003" customHeight="1">
      <c r="B6" s="706"/>
      <c r="C6" s="707"/>
      <c r="D6" s="697"/>
      <c r="E6" s="697"/>
      <c r="F6" s="698"/>
      <c r="G6" s="291" t="s">
        <v>173</v>
      </c>
      <c r="H6" s="291" t="s">
        <v>483</v>
      </c>
      <c r="I6" s="291" t="s">
        <v>484</v>
      </c>
      <c r="J6" s="291" t="s">
        <v>174</v>
      </c>
      <c r="K6" s="291" t="s">
        <v>485</v>
      </c>
      <c r="L6" s="291" t="s">
        <v>175</v>
      </c>
      <c r="M6" s="291" t="s">
        <v>183</v>
      </c>
      <c r="N6" s="291" t="s">
        <v>176</v>
      </c>
      <c r="O6" s="292" t="s">
        <v>177</v>
      </c>
      <c r="P6" s="292" t="s">
        <v>178</v>
      </c>
      <c r="Q6" s="292" t="s">
        <v>177</v>
      </c>
      <c r="R6" s="292" t="s">
        <v>178</v>
      </c>
      <c r="S6" s="291" t="s">
        <v>179</v>
      </c>
      <c r="T6" s="696"/>
      <c r="U6" s="710"/>
      <c r="V6" s="713"/>
      <c r="W6" s="713"/>
      <c r="X6" s="716"/>
      <c r="Y6" s="698"/>
      <c r="AA6" s="198" t="s">
        <v>486</v>
      </c>
      <c r="AB6" s="198" t="s">
        <v>487</v>
      </c>
      <c r="AC6" s="279" t="s">
        <v>488</v>
      </c>
      <c r="AD6" s="279" t="s">
        <v>489</v>
      </c>
      <c r="AE6" s="279" t="s">
        <v>490</v>
      </c>
      <c r="AF6" s="279" t="s">
        <v>491</v>
      </c>
      <c r="AG6" s="279" t="s">
        <v>492</v>
      </c>
      <c r="AH6" s="279" t="s">
        <v>493</v>
      </c>
      <c r="AI6" s="279" t="s">
        <v>494</v>
      </c>
    </row>
    <row r="7" spans="2:35" s="304" customFormat="1" ht="27" customHeight="1">
      <c r="B7" s="689">
        <v>2</v>
      </c>
      <c r="C7" s="690"/>
      <c r="D7" s="293">
        <v>1</v>
      </c>
      <c r="E7" s="294" t="s">
        <v>398</v>
      </c>
      <c r="F7" s="295">
        <v>3543.9440000000013</v>
      </c>
      <c r="G7" s="295">
        <v>3391.614</v>
      </c>
      <c r="H7" s="295">
        <v>3438.3999999999992</v>
      </c>
      <c r="I7" s="296">
        <v>1.0137946122406616</v>
      </c>
      <c r="J7" s="295">
        <v>0</v>
      </c>
      <c r="K7" s="296">
        <v>0</v>
      </c>
      <c r="L7" s="295">
        <v>127.48</v>
      </c>
      <c r="M7" s="296">
        <v>1.0137946122406616</v>
      </c>
      <c r="N7" s="367">
        <v>5964.2792799998915</v>
      </c>
      <c r="O7" s="295">
        <v>27.8</v>
      </c>
      <c r="P7" s="296">
        <v>8.1966874768178224E-3</v>
      </c>
      <c r="Q7" s="297">
        <v>46.785999999999149</v>
      </c>
      <c r="R7" s="296">
        <v>1.379461224066157E-2</v>
      </c>
      <c r="S7" s="295">
        <v>5964.2792799998915</v>
      </c>
      <c r="T7" s="305" t="s">
        <v>332</v>
      </c>
      <c r="U7" s="298" t="s">
        <v>456</v>
      </c>
      <c r="V7" s="368" t="s">
        <v>794</v>
      </c>
      <c r="W7" s="368" t="s">
        <v>795</v>
      </c>
      <c r="X7" s="299">
        <v>1</v>
      </c>
      <c r="Y7" s="300" t="s">
        <v>338</v>
      </c>
      <c r="Z7" s="301" t="s">
        <v>495</v>
      </c>
      <c r="AA7" s="302">
        <f>SUM(X7:X26)</f>
        <v>20</v>
      </c>
      <c r="AB7" s="303">
        <f>SUMIF($U$7:$U$26,TRIM(AB6),$X$7:$X$26)</f>
        <v>0</v>
      </c>
      <c r="AC7" s="303">
        <f>SUMIF($U$7:$U$26,TRIM(AC6),$X$7:$X$26)</f>
        <v>1</v>
      </c>
      <c r="AD7" s="303">
        <f t="shared" ref="AD7:AI7" ca="1" si="0">SUMIF($U$7:$U$9710,TRIM(AD6),$X$7:$X$26)</f>
        <v>3</v>
      </c>
      <c r="AE7" s="303">
        <f t="shared" ca="1" si="0"/>
        <v>12</v>
      </c>
      <c r="AF7" s="303">
        <f t="shared" ca="1" si="0"/>
        <v>3</v>
      </c>
      <c r="AG7" s="303">
        <f t="shared" ca="1" si="0"/>
        <v>1</v>
      </c>
      <c r="AH7" s="303">
        <f t="shared" ca="1" si="0"/>
        <v>0</v>
      </c>
      <c r="AI7" s="303">
        <f t="shared" ca="1" si="0"/>
        <v>0</v>
      </c>
    </row>
    <row r="8" spans="2:35" s="304" customFormat="1" ht="27" customHeight="1">
      <c r="B8" s="691"/>
      <c r="C8" s="692"/>
      <c r="D8" s="293">
        <v>2</v>
      </c>
      <c r="E8" s="294" t="s">
        <v>708</v>
      </c>
      <c r="F8" s="295">
        <v>3347.0580000000009</v>
      </c>
      <c r="G8" s="295">
        <v>3922.9950000000003</v>
      </c>
      <c r="H8" s="295">
        <v>3970.7</v>
      </c>
      <c r="I8" s="296">
        <v>1.0121603519759774</v>
      </c>
      <c r="J8" s="295">
        <v>0</v>
      </c>
      <c r="K8" s="296">
        <v>0</v>
      </c>
      <c r="L8" s="295">
        <v>117.03</v>
      </c>
      <c r="M8" s="296">
        <v>1.0121603519759774</v>
      </c>
      <c r="N8" s="367">
        <v>5582.9161499999382</v>
      </c>
      <c r="O8" s="295">
        <v>28.599999999999998</v>
      </c>
      <c r="P8" s="296">
        <v>7.2903483180580134E-3</v>
      </c>
      <c r="Q8" s="297">
        <v>47.704999999999472</v>
      </c>
      <c r="R8" s="296">
        <v>1.2160351975977403E-2</v>
      </c>
      <c r="S8" s="295">
        <v>5582.9161499999382</v>
      </c>
      <c r="T8" s="305" t="s">
        <v>332</v>
      </c>
      <c r="U8" s="298" t="s">
        <v>456</v>
      </c>
      <c r="V8" s="368" t="s">
        <v>709</v>
      </c>
      <c r="W8" s="368" t="s">
        <v>710</v>
      </c>
      <c r="X8" s="299">
        <v>1</v>
      </c>
      <c r="Y8" s="300" t="s">
        <v>596</v>
      </c>
      <c r="AA8" s="302"/>
      <c r="AB8" s="306">
        <f>SUMIF($U$7:$U$26,TRIM(AB6),$F$7:$F$26)</f>
        <v>0</v>
      </c>
      <c r="AC8" s="306">
        <f>SUMIF($U$7:$U$26,TRIM(AC6),$F$7:$F$26)</f>
        <v>2628.0440000000008</v>
      </c>
      <c r="AD8" s="306">
        <f t="shared" ref="AD8:AI8" ca="1" si="1">SUMIF($U$7:$U$176,TRIM(AD6),$F$7:$F$26)</f>
        <v>8304.969000000001</v>
      </c>
      <c r="AE8" s="306">
        <f t="shared" ca="1" si="1"/>
        <v>35434.341</v>
      </c>
      <c r="AF8" s="306">
        <f t="shared" ca="1" si="1"/>
        <v>8752.4580000000005</v>
      </c>
      <c r="AG8" s="306">
        <f t="shared" ca="1" si="1"/>
        <v>3227.9999999999995</v>
      </c>
      <c r="AH8" s="306">
        <f t="shared" ca="1" si="1"/>
        <v>0</v>
      </c>
      <c r="AI8" s="306">
        <f t="shared" ca="1" si="1"/>
        <v>0</v>
      </c>
    </row>
    <row r="9" spans="2:35" s="304" customFormat="1" ht="27" customHeight="1">
      <c r="B9" s="691"/>
      <c r="C9" s="692"/>
      <c r="D9" s="293">
        <v>3</v>
      </c>
      <c r="E9" s="294" t="s">
        <v>567</v>
      </c>
      <c r="F9" s="295">
        <v>3338.8680000000013</v>
      </c>
      <c r="G9" s="295">
        <v>1428.0420000000001</v>
      </c>
      <c r="H9" s="295">
        <v>1458.7000000000003</v>
      </c>
      <c r="I9" s="296">
        <v>1.0214685562469452</v>
      </c>
      <c r="J9" s="295">
        <v>0</v>
      </c>
      <c r="K9" s="296">
        <v>0</v>
      </c>
      <c r="L9" s="295">
        <v>151.08000000000001</v>
      </c>
      <c r="M9" s="296">
        <v>1.0214685562469452</v>
      </c>
      <c r="N9" s="367">
        <v>4631.8106400000197</v>
      </c>
      <c r="O9" s="295">
        <v>22.100000000000005</v>
      </c>
      <c r="P9" s="296">
        <v>1.5475735307504963E-2</v>
      </c>
      <c r="Q9" s="297">
        <v>30.658000000000129</v>
      </c>
      <c r="R9" s="296">
        <v>2.1468556246945207E-2</v>
      </c>
      <c r="S9" s="295">
        <v>4631.8106400000197</v>
      </c>
      <c r="T9" s="305" t="s">
        <v>332</v>
      </c>
      <c r="U9" s="298" t="s">
        <v>456</v>
      </c>
      <c r="V9" s="368" t="s">
        <v>796</v>
      </c>
      <c r="W9" s="368" t="s">
        <v>713</v>
      </c>
      <c r="X9" s="299">
        <v>1</v>
      </c>
      <c r="Y9" s="300" t="s">
        <v>566</v>
      </c>
    </row>
    <row r="10" spans="2:35" s="304" customFormat="1" ht="27" customHeight="1">
      <c r="B10" s="691"/>
      <c r="C10" s="692"/>
      <c r="D10" s="293">
        <v>4</v>
      </c>
      <c r="E10" s="294" t="s">
        <v>421</v>
      </c>
      <c r="F10" s="295">
        <v>3227.9999999999995</v>
      </c>
      <c r="G10" s="295">
        <v>26364</v>
      </c>
      <c r="H10" s="295">
        <v>26604</v>
      </c>
      <c r="I10" s="296">
        <v>1.0091033227127901</v>
      </c>
      <c r="J10" s="295">
        <v>0</v>
      </c>
      <c r="K10" s="296">
        <v>0</v>
      </c>
      <c r="L10" s="295">
        <v>13.45</v>
      </c>
      <c r="M10" s="296">
        <v>1.0091033227127901</v>
      </c>
      <c r="N10" s="367">
        <v>3228</v>
      </c>
      <c r="O10" s="295">
        <v>240</v>
      </c>
      <c r="P10" s="296">
        <v>9.1033227127901677E-3</v>
      </c>
      <c r="Q10" s="297">
        <v>240</v>
      </c>
      <c r="R10" s="296">
        <v>9.1033227127901677E-3</v>
      </c>
      <c r="S10" s="295">
        <v>3228</v>
      </c>
      <c r="T10" s="305" t="s">
        <v>334</v>
      </c>
      <c r="U10" s="298" t="s">
        <v>211</v>
      </c>
      <c r="V10" s="368" t="s">
        <v>797</v>
      </c>
      <c r="W10" s="368" t="s">
        <v>798</v>
      </c>
      <c r="X10" s="299">
        <v>1</v>
      </c>
      <c r="Y10" s="300" t="s">
        <v>518</v>
      </c>
    </row>
    <row r="11" spans="2:35" s="304" customFormat="1" ht="27" customHeight="1">
      <c r="B11" s="691"/>
      <c r="C11" s="692"/>
      <c r="D11" s="293">
        <v>5</v>
      </c>
      <c r="E11" s="294" t="s">
        <v>553</v>
      </c>
      <c r="F11" s="295">
        <v>3216.9150000000004</v>
      </c>
      <c r="G11" s="295">
        <v>6549.6579999999994</v>
      </c>
      <c r="H11" s="295">
        <v>6591.5999999999995</v>
      </c>
      <c r="I11" s="296">
        <v>1.0064036931393976</v>
      </c>
      <c r="J11" s="295">
        <v>1.2</v>
      </c>
      <c r="K11" s="296">
        <v>1.8321567324583972E-4</v>
      </c>
      <c r="L11" s="295">
        <v>136.88999999999999</v>
      </c>
      <c r="M11" s="296">
        <v>1.0065869088126433</v>
      </c>
      <c r="N11" s="367">
        <v>5741.44038</v>
      </c>
      <c r="O11" s="295">
        <v>23.500000000000004</v>
      </c>
      <c r="P11" s="296">
        <v>3.5879736010643619E-3</v>
      </c>
      <c r="Q11" s="297">
        <v>43.141999999999825</v>
      </c>
      <c r="R11" s="296">
        <v>6.5869088126433214E-3</v>
      </c>
      <c r="S11" s="295">
        <v>5905.7083799999755</v>
      </c>
      <c r="T11" s="298" t="s">
        <v>334</v>
      </c>
      <c r="U11" s="298" t="s">
        <v>210</v>
      </c>
      <c r="V11" s="368" t="s">
        <v>799</v>
      </c>
      <c r="W11" s="368" t="s">
        <v>714</v>
      </c>
      <c r="X11" s="299">
        <v>1</v>
      </c>
      <c r="Y11" s="300" t="s">
        <v>341</v>
      </c>
    </row>
    <row r="12" spans="2:35" s="304" customFormat="1" ht="27" customHeight="1">
      <c r="B12" s="691"/>
      <c r="C12" s="692"/>
      <c r="D12" s="293">
        <v>6</v>
      </c>
      <c r="E12" s="294" t="s">
        <v>550</v>
      </c>
      <c r="F12" s="295">
        <v>3146.1109999999994</v>
      </c>
      <c r="G12" s="295">
        <v>6603.1769999999988</v>
      </c>
      <c r="H12" s="295">
        <v>6654.4999999999991</v>
      </c>
      <c r="I12" s="296">
        <v>1.0077724707364351</v>
      </c>
      <c r="J12" s="295">
        <v>0</v>
      </c>
      <c r="K12" s="296">
        <v>0</v>
      </c>
      <c r="L12" s="295">
        <v>111.17</v>
      </c>
      <c r="M12" s="296">
        <v>1.0077724707364351</v>
      </c>
      <c r="N12" s="367">
        <v>5705.5779100000354</v>
      </c>
      <c r="O12" s="295">
        <v>28.300000000000004</v>
      </c>
      <c r="P12" s="296">
        <v>4.285815752023611E-3</v>
      </c>
      <c r="Q12" s="297">
        <v>51.32300000000032</v>
      </c>
      <c r="R12" s="296">
        <v>7.7724707364349513E-3</v>
      </c>
      <c r="S12" s="295">
        <v>5705.5779100000354</v>
      </c>
      <c r="T12" s="298" t="s">
        <v>332</v>
      </c>
      <c r="U12" s="298" t="s">
        <v>456</v>
      </c>
      <c r="V12" s="368" t="s">
        <v>709</v>
      </c>
      <c r="W12" s="368" t="s">
        <v>710</v>
      </c>
      <c r="X12" s="299">
        <v>1</v>
      </c>
      <c r="Y12" s="300" t="s">
        <v>341</v>
      </c>
    </row>
    <row r="13" spans="2:35" s="304" customFormat="1" ht="27" customHeight="1">
      <c r="B13" s="691"/>
      <c r="C13" s="692"/>
      <c r="D13" s="293">
        <v>7</v>
      </c>
      <c r="E13" s="294" t="s">
        <v>527</v>
      </c>
      <c r="F13" s="295">
        <v>2994.3359999999998</v>
      </c>
      <c r="G13" s="295">
        <v>2777.8800000000006</v>
      </c>
      <c r="H13" s="295">
        <v>2825.3999999999996</v>
      </c>
      <c r="I13" s="296">
        <v>1.0171065704782061</v>
      </c>
      <c r="J13" s="295">
        <v>0</v>
      </c>
      <c r="K13" s="296">
        <v>0</v>
      </c>
      <c r="L13" s="295">
        <v>103.97</v>
      </c>
      <c r="M13" s="296">
        <v>1.0171065704782061</v>
      </c>
      <c r="N13" s="367">
        <v>4940.6543999999039</v>
      </c>
      <c r="O13" s="295">
        <v>28.800000000000011</v>
      </c>
      <c r="P13" s="296">
        <v>1.0367618471640246E-2</v>
      </c>
      <c r="Q13" s="297">
        <v>47.519999999999072</v>
      </c>
      <c r="R13" s="296">
        <v>1.7106570478206063E-2</v>
      </c>
      <c r="S13" s="295">
        <v>4940.6543999999039</v>
      </c>
      <c r="T13" s="298" t="s">
        <v>339</v>
      </c>
      <c r="U13" s="298" t="s">
        <v>396</v>
      </c>
      <c r="V13" s="368" t="s">
        <v>800</v>
      </c>
      <c r="W13" s="368" t="s">
        <v>801</v>
      </c>
      <c r="X13" s="299">
        <v>1</v>
      </c>
      <c r="Y13" s="300" t="s">
        <v>523</v>
      </c>
      <c r="AB13" s="304">
        <v>1</v>
      </c>
      <c r="AC13" s="307" t="s">
        <v>459</v>
      </c>
    </row>
    <row r="14" spans="2:35" s="304" customFormat="1" ht="27" customHeight="1">
      <c r="B14" s="691"/>
      <c r="C14" s="692"/>
      <c r="D14" s="293">
        <v>8</v>
      </c>
      <c r="E14" s="294" t="s">
        <v>569</v>
      </c>
      <c r="F14" s="295">
        <v>2984.556</v>
      </c>
      <c r="G14" s="295">
        <v>2250.248</v>
      </c>
      <c r="H14" s="295">
        <v>2294.8000000000006</v>
      </c>
      <c r="I14" s="296">
        <v>1.0197987066314471</v>
      </c>
      <c r="J14" s="295">
        <v>0</v>
      </c>
      <c r="K14" s="296">
        <v>0</v>
      </c>
      <c r="L14" s="295">
        <v>105.09</v>
      </c>
      <c r="M14" s="296">
        <v>1.0197987066314471</v>
      </c>
      <c r="N14" s="367">
        <v>4681.969680000062</v>
      </c>
      <c r="O14" s="295">
        <v>28.400000000000002</v>
      </c>
      <c r="P14" s="296">
        <v>1.2620831126169204E-2</v>
      </c>
      <c r="Q14" s="297">
        <v>44.552000000000589</v>
      </c>
      <c r="R14" s="296">
        <v>1.9798706631447106E-2</v>
      </c>
      <c r="S14" s="295">
        <v>4681.969680000062</v>
      </c>
      <c r="T14" s="293" t="s">
        <v>332</v>
      </c>
      <c r="U14" s="298" t="s">
        <v>456</v>
      </c>
      <c r="V14" s="368" t="s">
        <v>802</v>
      </c>
      <c r="W14" s="368" t="s">
        <v>713</v>
      </c>
      <c r="X14" s="299">
        <v>1</v>
      </c>
      <c r="Y14" s="300" t="s">
        <v>566</v>
      </c>
      <c r="AB14" s="304">
        <v>2</v>
      </c>
      <c r="AC14" s="307" t="s">
        <v>340</v>
      </c>
    </row>
    <row r="15" spans="2:35" s="304" customFormat="1" ht="27" customHeight="1">
      <c r="B15" s="691"/>
      <c r="C15" s="692"/>
      <c r="D15" s="293">
        <v>9</v>
      </c>
      <c r="E15" s="294" t="s">
        <v>565</v>
      </c>
      <c r="F15" s="295">
        <v>2840.2919999999999</v>
      </c>
      <c r="G15" s="295">
        <v>2727.4050000000007</v>
      </c>
      <c r="H15" s="295">
        <v>2790.2</v>
      </c>
      <c r="I15" s="296">
        <v>1.0230237166830738</v>
      </c>
      <c r="J15" s="295">
        <v>0</v>
      </c>
      <c r="K15" s="296">
        <v>0</v>
      </c>
      <c r="L15" s="295">
        <v>75.14</v>
      </c>
      <c r="M15" s="296">
        <v>1.0230237166830738</v>
      </c>
      <c r="N15" s="367">
        <v>4718.4162999999371</v>
      </c>
      <c r="O15" s="295">
        <v>37.800000000000004</v>
      </c>
      <c r="P15" s="296">
        <v>1.3859327822600602E-2</v>
      </c>
      <c r="Q15" s="297">
        <v>62.794999999999163</v>
      </c>
      <c r="R15" s="296">
        <v>2.3023716683073892E-2</v>
      </c>
      <c r="S15" s="295">
        <v>4718.4162999999371</v>
      </c>
      <c r="T15" s="298" t="s">
        <v>332</v>
      </c>
      <c r="U15" s="298" t="s">
        <v>456</v>
      </c>
      <c r="V15" s="368" t="s">
        <v>802</v>
      </c>
      <c r="W15" s="368" t="s">
        <v>713</v>
      </c>
      <c r="X15" s="299">
        <v>1</v>
      </c>
      <c r="Y15" s="300" t="s">
        <v>341</v>
      </c>
      <c r="AB15" s="304">
        <v>3</v>
      </c>
      <c r="AC15" s="307" t="s">
        <v>396</v>
      </c>
    </row>
    <row r="16" spans="2:35" s="304" customFormat="1" ht="27" customHeight="1">
      <c r="B16" s="691"/>
      <c r="C16" s="692"/>
      <c r="D16" s="293">
        <v>10</v>
      </c>
      <c r="E16" s="294" t="s">
        <v>699</v>
      </c>
      <c r="F16" s="295">
        <v>2813.9669999999992</v>
      </c>
      <c r="G16" s="295">
        <v>1251.68</v>
      </c>
      <c r="H16" s="295">
        <v>1267.1999999999998</v>
      </c>
      <c r="I16" s="296">
        <v>1.0123993352933656</v>
      </c>
      <c r="J16" s="295">
        <v>3.1999999999999997</v>
      </c>
      <c r="K16" s="296">
        <v>2.5565639780135495E-3</v>
      </c>
      <c r="L16" s="295">
        <v>240.51</v>
      </c>
      <c r="M16" s="296">
        <v>1.0149558992713792</v>
      </c>
      <c r="N16" s="367">
        <v>3732.715199999941</v>
      </c>
      <c r="O16" s="295">
        <v>11.700000000000001</v>
      </c>
      <c r="P16" s="296">
        <v>9.3474370446120416E-3</v>
      </c>
      <c r="Q16" s="297">
        <v>18.7199999999998</v>
      </c>
      <c r="R16" s="296">
        <v>1.4955899271379105E-2</v>
      </c>
      <c r="S16" s="295">
        <v>4502.347199999952</v>
      </c>
      <c r="T16" s="298" t="s">
        <v>332</v>
      </c>
      <c r="U16" s="298" t="s">
        <v>456</v>
      </c>
      <c r="V16" s="368" t="s">
        <v>802</v>
      </c>
      <c r="W16" s="368" t="s">
        <v>713</v>
      </c>
      <c r="X16" s="299">
        <v>1</v>
      </c>
      <c r="Y16" s="300" t="s">
        <v>599</v>
      </c>
      <c r="AB16" s="304">
        <v>4</v>
      </c>
      <c r="AC16" s="307" t="s">
        <v>496</v>
      </c>
    </row>
    <row r="17" spans="2:29" s="304" customFormat="1" ht="27" customHeight="1">
      <c r="B17" s="691"/>
      <c r="C17" s="692"/>
      <c r="D17" s="293">
        <v>11</v>
      </c>
      <c r="E17" s="294" t="s">
        <v>551</v>
      </c>
      <c r="F17" s="295">
        <v>2777.5040000000004</v>
      </c>
      <c r="G17" s="295">
        <v>1512.0989999999999</v>
      </c>
      <c r="H17" s="295">
        <v>1536.8</v>
      </c>
      <c r="I17" s="296">
        <v>1.0163355706207067</v>
      </c>
      <c r="J17" s="295">
        <v>0</v>
      </c>
      <c r="K17" s="296">
        <v>0</v>
      </c>
      <c r="L17" s="295">
        <v>169.36</v>
      </c>
      <c r="M17" s="296">
        <v>1.0163355706207067</v>
      </c>
      <c r="N17" s="367">
        <v>4183.3613600000044</v>
      </c>
      <c r="O17" s="295">
        <v>16.399999999999999</v>
      </c>
      <c r="P17" s="296">
        <v>1.0845850701574433E-2</v>
      </c>
      <c r="Q17" s="297">
        <v>24.701000000000022</v>
      </c>
      <c r="R17" s="296">
        <v>1.633557062070673E-2</v>
      </c>
      <c r="S17" s="295">
        <v>4183.3613600000044</v>
      </c>
      <c r="T17" s="298" t="s">
        <v>332</v>
      </c>
      <c r="U17" s="298" t="s">
        <v>456</v>
      </c>
      <c r="V17" s="368" t="s">
        <v>711</v>
      </c>
      <c r="W17" s="368" t="s">
        <v>712</v>
      </c>
      <c r="X17" s="299">
        <v>1</v>
      </c>
      <c r="Y17" s="300" t="s">
        <v>341</v>
      </c>
      <c r="AB17" s="304">
        <v>5</v>
      </c>
      <c r="AC17" s="307" t="s">
        <v>210</v>
      </c>
    </row>
    <row r="18" spans="2:29" s="304" customFormat="1" ht="27" customHeight="1">
      <c r="B18" s="691"/>
      <c r="C18" s="692"/>
      <c r="D18" s="293">
        <v>12</v>
      </c>
      <c r="E18" s="294" t="s">
        <v>397</v>
      </c>
      <c r="F18" s="295">
        <v>2774.1779999999994</v>
      </c>
      <c r="G18" s="295">
        <v>1871.7650000000001</v>
      </c>
      <c r="H18" s="295">
        <v>1882.5000000000002</v>
      </c>
      <c r="I18" s="296">
        <v>1.0057352285142633</v>
      </c>
      <c r="J18" s="295">
        <v>3.5999999999999996</v>
      </c>
      <c r="K18" s="296">
        <v>1.9233183652862403E-3</v>
      </c>
      <c r="L18" s="295">
        <v>420.33</v>
      </c>
      <c r="M18" s="296">
        <v>1.0076585468795496</v>
      </c>
      <c r="N18" s="367">
        <v>4512.2425500000536</v>
      </c>
      <c r="O18" s="295">
        <v>6.6000000000000023</v>
      </c>
      <c r="P18" s="296">
        <v>3.5260836696914422E-3</v>
      </c>
      <c r="Q18" s="297">
        <v>14.335000000000036</v>
      </c>
      <c r="R18" s="296">
        <v>7.6585468795495352E-3</v>
      </c>
      <c r="S18" s="295">
        <v>6025.4305500000155</v>
      </c>
      <c r="T18" s="293" t="s">
        <v>334</v>
      </c>
      <c r="U18" s="298" t="s">
        <v>210</v>
      </c>
      <c r="V18" s="368" t="s">
        <v>803</v>
      </c>
      <c r="W18" s="368" t="s">
        <v>714</v>
      </c>
      <c r="X18" s="299">
        <v>1</v>
      </c>
      <c r="Y18" s="300" t="s">
        <v>376</v>
      </c>
      <c r="AB18" s="304">
        <v>6</v>
      </c>
      <c r="AC18" s="307" t="s">
        <v>211</v>
      </c>
    </row>
    <row r="19" spans="2:29" s="304" customFormat="1" ht="27" customHeight="1">
      <c r="B19" s="691"/>
      <c r="C19" s="692"/>
      <c r="D19" s="293">
        <v>13</v>
      </c>
      <c r="E19" s="294" t="s">
        <v>617</v>
      </c>
      <c r="F19" s="295">
        <v>2766.2400000000007</v>
      </c>
      <c r="G19" s="295">
        <v>5336.1359999999995</v>
      </c>
      <c r="H19" s="295">
        <v>5387.2</v>
      </c>
      <c r="I19" s="296">
        <v>1.009569471242862</v>
      </c>
      <c r="J19" s="295">
        <v>0</v>
      </c>
      <c r="K19" s="296">
        <v>0</v>
      </c>
      <c r="L19" s="295">
        <v>90.4</v>
      </c>
      <c r="M19" s="296">
        <v>1.009569471242862</v>
      </c>
      <c r="N19" s="367">
        <v>4616.185600000028</v>
      </c>
      <c r="O19" s="295">
        <v>30.600000000000009</v>
      </c>
      <c r="P19" s="296">
        <v>5.7344865273298903E-3</v>
      </c>
      <c r="Q19" s="297">
        <v>51.064000000000306</v>
      </c>
      <c r="R19" s="296">
        <v>9.569471242861935E-3</v>
      </c>
      <c r="S19" s="295">
        <v>4616.185600000028</v>
      </c>
      <c r="T19" s="293" t="s">
        <v>332</v>
      </c>
      <c r="U19" s="298" t="s">
        <v>456</v>
      </c>
      <c r="V19" s="368" t="s">
        <v>802</v>
      </c>
      <c r="W19" s="368" t="s">
        <v>713</v>
      </c>
      <c r="X19" s="299">
        <v>1</v>
      </c>
      <c r="Y19" s="300" t="s">
        <v>370</v>
      </c>
      <c r="AB19" s="304">
        <v>7</v>
      </c>
      <c r="AC19" s="307" t="s">
        <v>497</v>
      </c>
    </row>
    <row r="20" spans="2:29" s="304" customFormat="1" ht="27" customHeight="1">
      <c r="B20" s="691"/>
      <c r="C20" s="692"/>
      <c r="D20" s="293">
        <v>14</v>
      </c>
      <c r="E20" s="294" t="s">
        <v>779</v>
      </c>
      <c r="F20" s="295">
        <v>2761.3650000000007</v>
      </c>
      <c r="G20" s="295">
        <v>567.90400000000011</v>
      </c>
      <c r="H20" s="295">
        <v>581.59999999999991</v>
      </c>
      <c r="I20" s="296">
        <v>1.0241167521271197</v>
      </c>
      <c r="J20" s="295">
        <v>3</v>
      </c>
      <c r="K20" s="296">
        <v>5.2825829717698756E-3</v>
      </c>
      <c r="L20" s="295">
        <v>290.67</v>
      </c>
      <c r="M20" s="296">
        <v>1.0293993350988897</v>
      </c>
      <c r="N20" s="367">
        <v>3981.016319999942</v>
      </c>
      <c r="O20" s="295">
        <v>9.5000000000000018</v>
      </c>
      <c r="P20" s="296">
        <v>1.6728179410604609E-2</v>
      </c>
      <c r="Q20" s="297">
        <v>16.695999999999799</v>
      </c>
      <c r="R20" s="296">
        <v>2.9399335098889593E-2</v>
      </c>
      <c r="S20" s="295">
        <v>4853.0263199999417</v>
      </c>
      <c r="T20" s="298" t="s">
        <v>334</v>
      </c>
      <c r="U20" s="298" t="s">
        <v>210</v>
      </c>
      <c r="V20" s="368" t="s">
        <v>803</v>
      </c>
      <c r="W20" s="368" t="s">
        <v>714</v>
      </c>
      <c r="X20" s="299">
        <v>1</v>
      </c>
      <c r="Y20" s="300" t="s">
        <v>597</v>
      </c>
      <c r="AB20" s="304">
        <v>8</v>
      </c>
      <c r="AC20" s="308" t="s">
        <v>498</v>
      </c>
    </row>
    <row r="21" spans="2:29" s="304" customFormat="1" ht="27" customHeight="1">
      <c r="B21" s="691"/>
      <c r="C21" s="692"/>
      <c r="D21" s="293">
        <v>15</v>
      </c>
      <c r="E21" s="294" t="s">
        <v>614</v>
      </c>
      <c r="F21" s="295">
        <v>2730.7799999999997</v>
      </c>
      <c r="G21" s="295">
        <v>2503.36</v>
      </c>
      <c r="H21" s="295">
        <v>2561.2999999999997</v>
      </c>
      <c r="I21" s="296">
        <v>1.0231448932634537</v>
      </c>
      <c r="J21" s="295">
        <v>0</v>
      </c>
      <c r="K21" s="296">
        <v>0</v>
      </c>
      <c r="L21" s="295">
        <v>77.8</v>
      </c>
      <c r="M21" s="296">
        <v>1.0231448932634537</v>
      </c>
      <c r="N21" s="367">
        <v>4507.731999999969</v>
      </c>
      <c r="O21" s="295">
        <v>35.100000000000009</v>
      </c>
      <c r="P21" s="296">
        <v>1.4021155566918065E-2</v>
      </c>
      <c r="Q21" s="297">
        <v>57.9399999999996</v>
      </c>
      <c r="R21" s="296">
        <v>2.3144893263453759E-2</v>
      </c>
      <c r="S21" s="295">
        <v>4507.731999999969</v>
      </c>
      <c r="T21" s="298" t="s">
        <v>332</v>
      </c>
      <c r="U21" s="298" t="s">
        <v>456</v>
      </c>
      <c r="V21" s="368" t="s">
        <v>802</v>
      </c>
      <c r="W21" s="368" t="s">
        <v>713</v>
      </c>
      <c r="X21" s="299">
        <v>1</v>
      </c>
      <c r="Y21" s="300" t="s">
        <v>599</v>
      </c>
      <c r="AC21" s="307"/>
    </row>
    <row r="22" spans="2:29" s="304" customFormat="1" ht="27" customHeight="1">
      <c r="B22" s="691"/>
      <c r="C22" s="692"/>
      <c r="D22" s="293">
        <v>16</v>
      </c>
      <c r="E22" s="294" t="s">
        <v>618</v>
      </c>
      <c r="F22" s="295">
        <v>2724.4800000000005</v>
      </c>
      <c r="G22" s="295">
        <v>2446.9210000000003</v>
      </c>
      <c r="H22" s="295">
        <v>2505.2999999999997</v>
      </c>
      <c r="I22" s="296">
        <v>1.0238581466259022</v>
      </c>
      <c r="J22" s="295">
        <v>0</v>
      </c>
      <c r="K22" s="296">
        <v>0</v>
      </c>
      <c r="L22" s="295">
        <v>70.95</v>
      </c>
      <c r="M22" s="296">
        <v>1.0238581466259022</v>
      </c>
      <c r="N22" s="367">
        <v>4141.9900499999612</v>
      </c>
      <c r="O22" s="295">
        <v>38.400000000000006</v>
      </c>
      <c r="P22" s="296">
        <v>1.5693191566053828E-2</v>
      </c>
      <c r="Q22" s="297">
        <v>58.378999999999451</v>
      </c>
      <c r="R22" s="296">
        <v>2.3858146625902285E-2</v>
      </c>
      <c r="S22" s="295">
        <v>4141.9900499999612</v>
      </c>
      <c r="T22" s="298" t="s">
        <v>339</v>
      </c>
      <c r="U22" s="298" t="s">
        <v>396</v>
      </c>
      <c r="V22" s="368" t="s">
        <v>804</v>
      </c>
      <c r="W22" s="368" t="s">
        <v>805</v>
      </c>
      <c r="X22" s="299">
        <v>1</v>
      </c>
      <c r="Y22" s="300" t="s">
        <v>372</v>
      </c>
      <c r="AC22" s="307"/>
    </row>
    <row r="23" spans="2:29" s="304" customFormat="1" ht="27" customHeight="1">
      <c r="B23" s="691"/>
      <c r="C23" s="692"/>
      <c r="D23" s="293">
        <v>17</v>
      </c>
      <c r="E23" s="294" t="s">
        <v>698</v>
      </c>
      <c r="F23" s="295">
        <v>2628.0440000000008</v>
      </c>
      <c r="G23" s="295">
        <v>628.49999999999989</v>
      </c>
      <c r="H23" s="295">
        <v>665.9</v>
      </c>
      <c r="I23" s="296">
        <v>1.0595067621320606</v>
      </c>
      <c r="J23" s="295">
        <v>0</v>
      </c>
      <c r="K23" s="296">
        <v>0</v>
      </c>
      <c r="L23" s="295">
        <v>109.96</v>
      </c>
      <c r="M23" s="296">
        <v>1.0595067621320606</v>
      </c>
      <c r="N23" s="367">
        <v>4112.5040000000099</v>
      </c>
      <c r="O23" s="295">
        <v>23.900000000000006</v>
      </c>
      <c r="P23" s="296">
        <v>3.8027048528241861E-2</v>
      </c>
      <c r="Q23" s="297">
        <v>37.400000000000091</v>
      </c>
      <c r="R23" s="296">
        <v>5.9506762132060617E-2</v>
      </c>
      <c r="S23" s="295">
        <v>4112.5040000000099</v>
      </c>
      <c r="T23" s="298" t="s">
        <v>339</v>
      </c>
      <c r="U23" s="298" t="s">
        <v>340</v>
      </c>
      <c r="V23" s="368" t="s">
        <v>806</v>
      </c>
      <c r="W23" s="368" t="s">
        <v>715</v>
      </c>
      <c r="X23" s="299">
        <v>1</v>
      </c>
      <c r="Y23" s="300" t="s">
        <v>697</v>
      </c>
      <c r="AB23" s="309">
        <v>1</v>
      </c>
      <c r="AC23" s="307" t="s">
        <v>339</v>
      </c>
    </row>
    <row r="24" spans="2:29" s="304" customFormat="1" ht="27" customHeight="1">
      <c r="B24" s="691"/>
      <c r="C24" s="692"/>
      <c r="D24" s="293">
        <v>18</v>
      </c>
      <c r="E24" s="294" t="s">
        <v>556</v>
      </c>
      <c r="F24" s="295">
        <v>2603.8930000000005</v>
      </c>
      <c r="G24" s="295">
        <v>6143.9400000000005</v>
      </c>
      <c r="H24" s="295">
        <v>6212.5000000000009</v>
      </c>
      <c r="I24" s="296">
        <v>1.0111589631409161</v>
      </c>
      <c r="J24" s="295">
        <v>0</v>
      </c>
      <c r="K24" s="296">
        <v>0</v>
      </c>
      <c r="L24" s="295">
        <v>72.13</v>
      </c>
      <c r="M24" s="296">
        <v>1.0111589631409161</v>
      </c>
      <c r="N24" s="367">
        <v>4945.2328000000289</v>
      </c>
      <c r="O24" s="295">
        <v>36.099999999999994</v>
      </c>
      <c r="P24" s="296">
        <v>5.8757084216317203E-3</v>
      </c>
      <c r="Q24" s="297">
        <v>68.5600000000004</v>
      </c>
      <c r="R24" s="296">
        <v>1.1158963140916155E-2</v>
      </c>
      <c r="S24" s="295">
        <v>4945.2328000000289</v>
      </c>
      <c r="T24" s="298" t="s">
        <v>332</v>
      </c>
      <c r="U24" s="298" t="s">
        <v>456</v>
      </c>
      <c r="V24" s="368" t="s">
        <v>794</v>
      </c>
      <c r="W24" s="368" t="s">
        <v>795</v>
      </c>
      <c r="X24" s="299">
        <v>1</v>
      </c>
      <c r="Y24" s="300" t="s">
        <v>549</v>
      </c>
      <c r="AB24" s="304">
        <v>2</v>
      </c>
      <c r="AC24" s="307" t="s">
        <v>399</v>
      </c>
    </row>
    <row r="25" spans="2:29" s="304" customFormat="1" ht="27" customHeight="1">
      <c r="B25" s="691"/>
      <c r="C25" s="692"/>
      <c r="D25" s="293">
        <v>19</v>
      </c>
      <c r="E25" s="294" t="s">
        <v>616</v>
      </c>
      <c r="F25" s="295">
        <v>2586.1530000000007</v>
      </c>
      <c r="G25" s="295">
        <v>1710.3000000000002</v>
      </c>
      <c r="H25" s="295">
        <v>1748.9999999999995</v>
      </c>
      <c r="I25" s="296">
        <v>1.0226276091913695</v>
      </c>
      <c r="J25" s="295">
        <v>0</v>
      </c>
      <c r="K25" s="296">
        <v>0</v>
      </c>
      <c r="L25" s="295">
        <v>95.43</v>
      </c>
      <c r="M25" s="296">
        <v>1.0226276091913695</v>
      </c>
      <c r="N25" s="367">
        <v>3693.1409999999396</v>
      </c>
      <c r="O25" s="295">
        <v>27.099999999999998</v>
      </c>
      <c r="P25" s="296">
        <v>1.5845173361398582E-2</v>
      </c>
      <c r="Q25" s="297">
        <v>38.699999999999363</v>
      </c>
      <c r="R25" s="296">
        <v>2.2627609191369559E-2</v>
      </c>
      <c r="S25" s="295">
        <v>3693.1409999999396</v>
      </c>
      <c r="T25" s="298" t="s">
        <v>339</v>
      </c>
      <c r="U25" s="298" t="s">
        <v>396</v>
      </c>
      <c r="V25" s="368" t="s">
        <v>804</v>
      </c>
      <c r="W25" s="368" t="s">
        <v>805</v>
      </c>
      <c r="X25" s="299">
        <v>1</v>
      </c>
      <c r="Y25" s="300" t="s">
        <v>370</v>
      </c>
      <c r="AB25" s="310">
        <v>3</v>
      </c>
      <c r="AC25" s="307" t="s">
        <v>332</v>
      </c>
    </row>
    <row r="26" spans="2:29" s="304" customFormat="1" ht="27" customHeight="1">
      <c r="B26" s="693"/>
      <c r="C26" s="694"/>
      <c r="D26" s="293">
        <v>20</v>
      </c>
      <c r="E26" s="294" t="s">
        <v>568</v>
      </c>
      <c r="F26" s="295">
        <v>2541.1279999999997</v>
      </c>
      <c r="G26" s="295">
        <v>8724.9600000000009</v>
      </c>
      <c r="H26" s="295">
        <v>8787.8000000000011</v>
      </c>
      <c r="I26" s="296">
        <v>1.0072023252828666</v>
      </c>
      <c r="J26" s="295">
        <v>0</v>
      </c>
      <c r="K26" s="296">
        <v>0</v>
      </c>
      <c r="L26" s="295">
        <v>71.38</v>
      </c>
      <c r="M26" s="296">
        <v>1.0072023252828666</v>
      </c>
      <c r="N26" s="367">
        <v>4485.5192000000097</v>
      </c>
      <c r="O26" s="295">
        <v>35.600000000000009</v>
      </c>
      <c r="P26" s="296">
        <v>4.0802479323687451E-3</v>
      </c>
      <c r="Q26" s="297">
        <v>62.840000000000146</v>
      </c>
      <c r="R26" s="296">
        <v>7.2023252828666423E-3</v>
      </c>
      <c r="S26" s="295">
        <v>4485.5192000000097</v>
      </c>
      <c r="T26" s="298" t="s">
        <v>332</v>
      </c>
      <c r="U26" s="298" t="s">
        <v>456</v>
      </c>
      <c r="V26" s="368" t="s">
        <v>794</v>
      </c>
      <c r="W26" s="368" t="s">
        <v>795</v>
      </c>
      <c r="X26" s="299">
        <v>1</v>
      </c>
      <c r="Y26" s="300" t="s">
        <v>548</v>
      </c>
      <c r="AB26" s="310">
        <v>4</v>
      </c>
      <c r="AC26" s="307" t="s">
        <v>334</v>
      </c>
    </row>
    <row r="27" spans="2:29" ht="29.45" customHeight="1">
      <c r="C27" s="695"/>
      <c r="AB27" s="304"/>
      <c r="AC27" s="307"/>
    </row>
    <row r="28" spans="2:29">
      <c r="C28" s="695"/>
    </row>
    <row r="29" spans="2:29">
      <c r="C29" s="695"/>
    </row>
    <row r="30" spans="2:29">
      <c r="C30" s="695"/>
    </row>
    <row r="31" spans="2:29">
      <c r="C31" s="695"/>
    </row>
    <row r="32" spans="2:29">
      <c r="C32" s="695"/>
    </row>
    <row r="33" spans="3:3">
      <c r="C33" s="695"/>
    </row>
    <row r="34" spans="3:3">
      <c r="C34" s="695"/>
    </row>
    <row r="35" spans="3:3">
      <c r="C35" s="695"/>
    </row>
    <row r="36" spans="3:3">
      <c r="C36" s="695"/>
    </row>
    <row r="67" ht="14.1" customHeight="1"/>
    <row r="77" ht="14.1" customHeight="1"/>
    <row r="87" ht="14.1" customHeight="1"/>
    <row r="112" spans="26:26">
      <c r="Z112" s="311" t="s">
        <v>499</v>
      </c>
    </row>
    <row r="113" spans="26:26">
      <c r="Z113" s="304" t="s">
        <v>500</v>
      </c>
    </row>
    <row r="116" spans="26:26" ht="18.75" customHeight="1"/>
    <row r="117" spans="26:26" ht="14.1" customHeight="1"/>
    <row r="127" spans="26:26" ht="14.1" customHeight="1"/>
    <row r="137" ht="14.1" customHeight="1"/>
    <row r="147" ht="14.1" customHeight="1"/>
    <row r="167" ht="14.1" customHeight="1"/>
    <row r="187" ht="14.1" customHeight="1"/>
    <row r="197" ht="14.1" customHeight="1"/>
    <row r="207" ht="14.1" customHeight="1"/>
    <row r="217" ht="14.1" customHeight="1"/>
    <row r="227" ht="14.1" customHeight="1"/>
    <row r="237" ht="14.1" customHeight="1"/>
    <row r="247" ht="14.1" customHeight="1"/>
    <row r="257" ht="14.1" customHeight="1"/>
    <row r="267" ht="14.1" customHeight="1"/>
    <row r="277" ht="14.1" customHeight="1"/>
    <row r="287" ht="14.1" customHeight="1"/>
    <row r="297" ht="14.1" customHeight="1"/>
  </sheetData>
  <mergeCells count="22">
    <mergeCell ref="B2:Y2"/>
    <mergeCell ref="B3:C6"/>
    <mergeCell ref="D3:F3"/>
    <mergeCell ref="G3:S3"/>
    <mergeCell ref="T3:T6"/>
    <mergeCell ref="U3:U6"/>
    <mergeCell ref="V3:V6"/>
    <mergeCell ref="W3:W6"/>
    <mergeCell ref="X3:X6"/>
    <mergeCell ref="Y3:Y6"/>
    <mergeCell ref="B7:C26"/>
    <mergeCell ref="C27:C36"/>
    <mergeCell ref="AA3:AI5"/>
    <mergeCell ref="D4:D6"/>
    <mergeCell ref="E4:F4"/>
    <mergeCell ref="G4:N4"/>
    <mergeCell ref="O4:S4"/>
    <mergeCell ref="E5:E6"/>
    <mergeCell ref="F5:F6"/>
    <mergeCell ref="G5:N5"/>
    <mergeCell ref="O5:P5"/>
    <mergeCell ref="Q5:S5"/>
  </mergeCells>
  <phoneticPr fontId="11" type="noConversion"/>
  <dataValidations count="2">
    <dataValidation type="list" allowBlank="1" showInputMessage="1" showErrorMessage="1" sqref="T1:T1048576" xr:uid="{00000000-0002-0000-1C00-000000000000}">
      <formula1>$AC$23:$AC$27</formula1>
    </dataValidation>
    <dataValidation type="list" allowBlank="1" showInputMessage="1" showErrorMessage="1" sqref="U1:U1048576" xr:uid="{00000000-0002-0000-1C00-000001000000}">
      <formula1>$AC$13:$AC$20</formula1>
    </dataValidation>
  </dataValidations>
  <pageMargins left="0" right="0" top="0" bottom="0" header="0" footer="0"/>
  <pageSetup paperSize="9" scale="20" orientation="landscape" horizontalDpi="300" verticalDpi="30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theme="7" tint="0.39997558519241921"/>
    <pageSetUpPr fitToPage="1"/>
  </sheetPr>
  <dimension ref="B2:AI297"/>
  <sheetViews>
    <sheetView zoomScale="55" zoomScaleNormal="55" workbookViewId="0">
      <pane xSplit="4" ySplit="6" topLeftCell="E7" activePane="bottomRight" state="frozen"/>
      <selection activeCell="M12" sqref="M12:Q12"/>
      <selection pane="topRight" activeCell="M12" sqref="M12:Q12"/>
      <selection pane="bottomLeft" activeCell="M12" sqref="M12:Q12"/>
      <selection pane="bottomRight" activeCell="U37" sqref="U37"/>
    </sheetView>
  </sheetViews>
  <sheetFormatPr defaultColWidth="8.85546875" defaultRowHeight="16.5"/>
  <cols>
    <col min="1" max="1" width="8.85546875" style="289"/>
    <col min="2" max="2" width="12.42578125" style="289" customWidth="1"/>
    <col min="3" max="3" width="8.85546875" style="289"/>
    <col min="4" max="4" width="11.5703125" style="289" customWidth="1"/>
    <col min="5" max="5" width="39.28515625" style="289" bestFit="1" customWidth="1"/>
    <col min="6" max="6" width="13.42578125" style="289" bestFit="1" customWidth="1"/>
    <col min="7" max="7" width="14.140625" style="289" customWidth="1"/>
    <col min="8" max="8" width="14" style="289" customWidth="1"/>
    <col min="9" max="9" width="16.85546875" style="289" customWidth="1"/>
    <col min="10" max="10" width="14" style="289" customWidth="1"/>
    <col min="11" max="11" width="11.7109375" style="289" bestFit="1" customWidth="1"/>
    <col min="12" max="12" width="13.42578125" style="289" bestFit="1" customWidth="1"/>
    <col min="13" max="13" width="19.28515625" style="289" bestFit="1" customWidth="1"/>
    <col min="14" max="14" width="15.42578125" style="289" bestFit="1" customWidth="1"/>
    <col min="15" max="15" width="12.7109375" style="289" bestFit="1" customWidth="1"/>
    <col min="16" max="16" width="9.85546875" style="289" bestFit="1" customWidth="1"/>
    <col min="17" max="17" width="12.28515625" style="289" bestFit="1" customWidth="1"/>
    <col min="18" max="18" width="10.7109375" style="289" customWidth="1"/>
    <col min="19" max="19" width="10.7109375" style="289" bestFit="1" customWidth="1"/>
    <col min="20" max="20" width="12.42578125" style="289" bestFit="1" customWidth="1"/>
    <col min="21" max="21" width="25.28515625" style="289" bestFit="1" customWidth="1"/>
    <col min="22" max="23" width="88.28515625" style="289" customWidth="1"/>
    <col min="24" max="24" width="7.42578125" style="289" bestFit="1" customWidth="1"/>
    <col min="25" max="25" width="69.5703125" style="289" bestFit="1" customWidth="1"/>
    <col min="26" max="26" width="11.42578125" style="289" bestFit="1" customWidth="1"/>
    <col min="27" max="27" width="21.5703125" style="289" customWidth="1"/>
    <col min="28" max="28" width="19.42578125" style="289" bestFit="1" customWidth="1"/>
    <col min="29" max="34" width="14.42578125" style="289" customWidth="1"/>
    <col min="35" max="35" width="11.42578125" style="289" bestFit="1" customWidth="1"/>
    <col min="36" max="16384" width="8.85546875" style="289"/>
  </cols>
  <sheetData>
    <row r="2" spans="2:35" ht="41.1" customHeight="1">
      <c r="B2" s="700" t="s">
        <v>501</v>
      </c>
      <c r="C2" s="701"/>
      <c r="D2" s="701"/>
      <c r="E2" s="701"/>
      <c r="F2" s="701"/>
      <c r="G2" s="701"/>
      <c r="H2" s="701"/>
      <c r="I2" s="701"/>
      <c r="J2" s="701"/>
      <c r="K2" s="701"/>
      <c r="L2" s="701"/>
      <c r="M2" s="701"/>
      <c r="N2" s="701"/>
      <c r="O2" s="701"/>
      <c r="P2" s="701"/>
      <c r="Q2" s="701"/>
      <c r="R2" s="701"/>
      <c r="S2" s="701"/>
      <c r="T2" s="701"/>
      <c r="U2" s="701"/>
      <c r="V2" s="701"/>
      <c r="W2" s="701"/>
      <c r="X2" s="701"/>
      <c r="Y2" s="701"/>
      <c r="AA2" s="290"/>
      <c r="AB2" s="290"/>
    </row>
    <row r="3" spans="2:35" ht="17.100000000000001" customHeight="1">
      <c r="B3" s="702" t="s">
        <v>476</v>
      </c>
      <c r="C3" s="703"/>
      <c r="D3" s="696" t="s">
        <v>166</v>
      </c>
      <c r="E3" s="696"/>
      <c r="F3" s="696"/>
      <c r="G3" s="696" t="s">
        <v>180</v>
      </c>
      <c r="H3" s="696"/>
      <c r="I3" s="696"/>
      <c r="J3" s="696"/>
      <c r="K3" s="696"/>
      <c r="L3" s="696"/>
      <c r="M3" s="696"/>
      <c r="N3" s="696"/>
      <c r="O3" s="696"/>
      <c r="P3" s="696"/>
      <c r="Q3" s="696"/>
      <c r="R3" s="696"/>
      <c r="S3" s="696"/>
      <c r="T3" s="696" t="s">
        <v>167</v>
      </c>
      <c r="U3" s="708" t="s">
        <v>477</v>
      </c>
      <c r="V3" s="717" t="s">
        <v>502</v>
      </c>
      <c r="W3" s="717" t="s">
        <v>479</v>
      </c>
      <c r="X3" s="714" t="s">
        <v>503</v>
      </c>
      <c r="Y3" s="698" t="s">
        <v>168</v>
      </c>
      <c r="AA3" s="696" t="s">
        <v>504</v>
      </c>
      <c r="AB3" s="696"/>
      <c r="AC3" s="696"/>
      <c r="AD3" s="696"/>
      <c r="AE3" s="696"/>
      <c r="AF3" s="696"/>
      <c r="AG3" s="696"/>
      <c r="AH3" s="696"/>
      <c r="AI3" s="696"/>
    </row>
    <row r="4" spans="2:35" ht="17.100000000000001" customHeight="1">
      <c r="B4" s="704"/>
      <c r="C4" s="705"/>
      <c r="D4" s="697" t="s">
        <v>165</v>
      </c>
      <c r="E4" s="696" t="s">
        <v>169</v>
      </c>
      <c r="F4" s="696"/>
      <c r="G4" s="696" t="s">
        <v>181</v>
      </c>
      <c r="H4" s="696"/>
      <c r="I4" s="696"/>
      <c r="J4" s="696"/>
      <c r="K4" s="696"/>
      <c r="L4" s="696"/>
      <c r="M4" s="696"/>
      <c r="N4" s="696"/>
      <c r="O4" s="696" t="s">
        <v>170</v>
      </c>
      <c r="P4" s="696"/>
      <c r="Q4" s="696"/>
      <c r="R4" s="696"/>
      <c r="S4" s="696"/>
      <c r="T4" s="696"/>
      <c r="U4" s="709"/>
      <c r="V4" s="715"/>
      <c r="W4" s="718"/>
      <c r="X4" s="715"/>
      <c r="Y4" s="698"/>
      <c r="AA4" s="696"/>
      <c r="AB4" s="696"/>
      <c r="AC4" s="696"/>
      <c r="AD4" s="696"/>
      <c r="AE4" s="696"/>
      <c r="AF4" s="696"/>
      <c r="AG4" s="696"/>
      <c r="AH4" s="696"/>
      <c r="AI4" s="696"/>
    </row>
    <row r="5" spans="2:35" ht="17.100000000000001" customHeight="1">
      <c r="B5" s="704"/>
      <c r="C5" s="705"/>
      <c r="D5" s="697"/>
      <c r="E5" s="697" t="s">
        <v>171</v>
      </c>
      <c r="F5" s="698" t="s">
        <v>520</v>
      </c>
      <c r="G5" s="699" t="s">
        <v>182</v>
      </c>
      <c r="H5" s="699"/>
      <c r="I5" s="699"/>
      <c r="J5" s="699"/>
      <c r="K5" s="699"/>
      <c r="L5" s="699"/>
      <c r="M5" s="699"/>
      <c r="N5" s="699"/>
      <c r="O5" s="699" t="s">
        <v>164</v>
      </c>
      <c r="P5" s="699"/>
      <c r="Q5" s="699" t="s">
        <v>172</v>
      </c>
      <c r="R5" s="699"/>
      <c r="S5" s="699"/>
      <c r="T5" s="696"/>
      <c r="U5" s="709"/>
      <c r="V5" s="715"/>
      <c r="W5" s="718"/>
      <c r="X5" s="715"/>
      <c r="Y5" s="698"/>
      <c r="AA5" s="696"/>
      <c r="AB5" s="696"/>
      <c r="AC5" s="696"/>
      <c r="AD5" s="696"/>
      <c r="AE5" s="696"/>
      <c r="AF5" s="696"/>
      <c r="AG5" s="696"/>
      <c r="AH5" s="696"/>
      <c r="AI5" s="696"/>
    </row>
    <row r="6" spans="2:35" ht="38.450000000000003" customHeight="1">
      <c r="B6" s="706"/>
      <c r="C6" s="707"/>
      <c r="D6" s="697"/>
      <c r="E6" s="697"/>
      <c r="F6" s="698"/>
      <c r="G6" s="291" t="s">
        <v>173</v>
      </c>
      <c r="H6" s="291" t="s">
        <v>505</v>
      </c>
      <c r="I6" s="291" t="s">
        <v>506</v>
      </c>
      <c r="J6" s="291" t="s">
        <v>174</v>
      </c>
      <c r="K6" s="291" t="s">
        <v>507</v>
      </c>
      <c r="L6" s="291" t="s">
        <v>175</v>
      </c>
      <c r="M6" s="291" t="s">
        <v>183</v>
      </c>
      <c r="N6" s="291" t="s">
        <v>176</v>
      </c>
      <c r="O6" s="292" t="s">
        <v>177</v>
      </c>
      <c r="P6" s="292" t="s">
        <v>178</v>
      </c>
      <c r="Q6" s="292" t="s">
        <v>177</v>
      </c>
      <c r="R6" s="292" t="s">
        <v>178</v>
      </c>
      <c r="S6" s="291" t="s">
        <v>179</v>
      </c>
      <c r="T6" s="696"/>
      <c r="U6" s="710"/>
      <c r="V6" s="716"/>
      <c r="W6" s="719"/>
      <c r="X6" s="716"/>
      <c r="Y6" s="698"/>
      <c r="AA6" s="198" t="s">
        <v>508</v>
      </c>
      <c r="AB6" s="198" t="s">
        <v>459</v>
      </c>
      <c r="AC6" s="279" t="s">
        <v>509</v>
      </c>
      <c r="AD6" s="279" t="s">
        <v>461</v>
      </c>
      <c r="AE6" s="279" t="s">
        <v>510</v>
      </c>
      <c r="AF6" s="279" t="s">
        <v>511</v>
      </c>
      <c r="AG6" s="279" t="s">
        <v>512</v>
      </c>
      <c r="AH6" s="279" t="s">
        <v>463</v>
      </c>
      <c r="AI6" s="279" t="s">
        <v>513</v>
      </c>
    </row>
    <row r="7" spans="2:35" s="304" customFormat="1" ht="27" customHeight="1">
      <c r="B7" s="689">
        <v>2</v>
      </c>
      <c r="C7" s="690"/>
      <c r="D7" s="293">
        <v>1</v>
      </c>
      <c r="E7" s="294" t="s">
        <v>343</v>
      </c>
      <c r="F7" s="295">
        <v>6941.4736000003832</v>
      </c>
      <c r="G7" s="295">
        <v>1393.7639999999997</v>
      </c>
      <c r="H7" s="295">
        <v>1407.8000000000004</v>
      </c>
      <c r="I7" s="296">
        <v>1.0100705714884304</v>
      </c>
      <c r="J7" s="295">
        <v>0.2</v>
      </c>
      <c r="K7" s="296">
        <v>1.4349631644955678E-4</v>
      </c>
      <c r="L7" s="295">
        <v>487.6</v>
      </c>
      <c r="M7" s="296">
        <v>1.0102140678048801</v>
      </c>
      <c r="N7" s="367">
        <v>6941.4736000003613</v>
      </c>
      <c r="O7" s="295">
        <v>5.1000000000000014</v>
      </c>
      <c r="P7" s="296">
        <v>3.6591560694636989E-3</v>
      </c>
      <c r="Q7" s="295">
        <v>2486.7599999999998</v>
      </c>
      <c r="R7" s="297">
        <v>14.236000000000786</v>
      </c>
      <c r="S7" s="296">
        <v>1.0214067804880015E-2</v>
      </c>
      <c r="T7" s="368" t="s">
        <v>334</v>
      </c>
      <c r="U7" s="298" t="s">
        <v>211</v>
      </c>
      <c r="V7" s="368" t="s">
        <v>716</v>
      </c>
      <c r="W7" s="368" t="s">
        <v>714</v>
      </c>
      <c r="X7" s="299">
        <v>1</v>
      </c>
      <c r="Y7" s="300" t="s">
        <v>670</v>
      </c>
      <c r="Z7" s="301" t="s">
        <v>495</v>
      </c>
      <c r="AA7" s="302">
        <f>SUM(X7:X26)</f>
        <v>20</v>
      </c>
      <c r="AB7" s="303">
        <f>SUMIF($U$7:$U$26,TRIM(AB6),$X$7:$X$26)</f>
        <v>0</v>
      </c>
      <c r="AC7" s="303">
        <f>SUMIF($U$7:$U$26,TRIM(AC6),$X$7:$X$26)</f>
        <v>0</v>
      </c>
      <c r="AD7" s="303">
        <f t="shared" ref="AD7:AI7" ca="1" si="0">SUMIF($U$7:$U$9710,TRIM(AD6),$X$7:$X$26)</f>
        <v>3</v>
      </c>
      <c r="AE7" s="303">
        <f t="shared" ca="1" si="0"/>
        <v>10</v>
      </c>
      <c r="AF7" s="303">
        <f t="shared" ca="1" si="0"/>
        <v>5</v>
      </c>
      <c r="AG7" s="303">
        <f t="shared" ca="1" si="0"/>
        <v>1</v>
      </c>
      <c r="AH7" s="303">
        <f t="shared" ca="1" si="0"/>
        <v>1</v>
      </c>
      <c r="AI7" s="303">
        <f t="shared" ca="1" si="0"/>
        <v>0</v>
      </c>
    </row>
    <row r="8" spans="2:35" s="304" customFormat="1" ht="27" customHeight="1">
      <c r="B8" s="691"/>
      <c r="C8" s="692"/>
      <c r="D8" s="293">
        <v>2</v>
      </c>
      <c r="E8" s="294" t="s">
        <v>397</v>
      </c>
      <c r="F8" s="295">
        <v>6025.4305500000155</v>
      </c>
      <c r="G8" s="295">
        <v>1871.7650000000001</v>
      </c>
      <c r="H8" s="295">
        <v>1882.5000000000002</v>
      </c>
      <c r="I8" s="296">
        <v>1.0057352285142633</v>
      </c>
      <c r="J8" s="295">
        <v>3.5999999999999996</v>
      </c>
      <c r="K8" s="296">
        <v>1.9233183652862403E-3</v>
      </c>
      <c r="L8" s="295">
        <v>420.33</v>
      </c>
      <c r="M8" s="296">
        <v>1.0076585468795496</v>
      </c>
      <c r="N8" s="367">
        <v>6025.4305500000528</v>
      </c>
      <c r="O8" s="295">
        <v>6.6000000000000023</v>
      </c>
      <c r="P8" s="296">
        <v>3.5260836696914422E-3</v>
      </c>
      <c r="Q8" s="295">
        <v>2774.1779999999994</v>
      </c>
      <c r="R8" s="297">
        <v>14.335000000000036</v>
      </c>
      <c r="S8" s="296">
        <v>7.6585468795495352E-3</v>
      </c>
      <c r="T8" s="368" t="s">
        <v>334</v>
      </c>
      <c r="U8" s="298" t="s">
        <v>210</v>
      </c>
      <c r="V8" s="368" t="s">
        <v>803</v>
      </c>
      <c r="W8" s="370" t="s">
        <v>714</v>
      </c>
      <c r="X8" s="299">
        <v>1</v>
      </c>
      <c r="Y8" s="300" t="s">
        <v>376</v>
      </c>
      <c r="AA8" s="302"/>
      <c r="AB8" s="306">
        <f>SUMIF($U$7:$U$26,TRIM(AB6),$F$7:$F$26)</f>
        <v>0</v>
      </c>
      <c r="AC8" s="306">
        <f>SUMIF($U$7:$U$26,TRIM(AC6),$F$7:$F$26)</f>
        <v>0</v>
      </c>
      <c r="AD8" s="306">
        <f t="shared" ref="AD8:AI8" ca="1" si="1">SUMIF($U$7:$U$176,TRIM(AD6),$F$7:$F$26)</f>
        <v>14638.530320000016</v>
      </c>
      <c r="AE8" s="306">
        <f t="shared" ca="1" si="1"/>
        <v>50836.073939999893</v>
      </c>
      <c r="AF8" s="306">
        <f t="shared" ca="1" si="1"/>
        <v>26510.087099999651</v>
      </c>
      <c r="AG8" s="306">
        <f t="shared" ca="1" si="1"/>
        <v>6941.4736000003832</v>
      </c>
      <c r="AH8" s="306">
        <f t="shared" ca="1" si="1"/>
        <v>4928.172919999829</v>
      </c>
      <c r="AI8" s="306">
        <f t="shared" ca="1" si="1"/>
        <v>0</v>
      </c>
    </row>
    <row r="9" spans="2:35" s="304" customFormat="1" ht="27" customHeight="1">
      <c r="B9" s="691"/>
      <c r="C9" s="692"/>
      <c r="D9" s="293">
        <v>3</v>
      </c>
      <c r="E9" s="294" t="s">
        <v>398</v>
      </c>
      <c r="F9" s="295">
        <v>5964.2792799998915</v>
      </c>
      <c r="G9" s="295">
        <v>3391.614</v>
      </c>
      <c r="H9" s="295">
        <v>3438.3999999999992</v>
      </c>
      <c r="I9" s="296">
        <v>1.0137946122406616</v>
      </c>
      <c r="J9" s="295">
        <v>0</v>
      </c>
      <c r="K9" s="296">
        <v>0</v>
      </c>
      <c r="L9" s="295">
        <v>127.48</v>
      </c>
      <c r="M9" s="296">
        <v>1.0137946122406616</v>
      </c>
      <c r="N9" s="367">
        <v>5964.2792799998915</v>
      </c>
      <c r="O9" s="295">
        <v>27.8</v>
      </c>
      <c r="P9" s="296">
        <v>8.1966874768178224E-3</v>
      </c>
      <c r="Q9" s="295">
        <v>3543.9440000000013</v>
      </c>
      <c r="R9" s="297">
        <v>46.785999999999149</v>
      </c>
      <c r="S9" s="296">
        <v>1.379461224066157E-2</v>
      </c>
      <c r="T9" s="369" t="s">
        <v>332</v>
      </c>
      <c r="U9" s="298" t="s">
        <v>456</v>
      </c>
      <c r="V9" s="368" t="s">
        <v>802</v>
      </c>
      <c r="W9" s="368" t="s">
        <v>807</v>
      </c>
      <c r="X9" s="299">
        <v>1</v>
      </c>
      <c r="Y9" s="300" t="s">
        <v>338</v>
      </c>
    </row>
    <row r="10" spans="2:35" s="304" customFormat="1" ht="27" customHeight="1">
      <c r="B10" s="691"/>
      <c r="C10" s="692"/>
      <c r="D10" s="293">
        <v>4</v>
      </c>
      <c r="E10" s="294" t="s">
        <v>553</v>
      </c>
      <c r="F10" s="295">
        <v>5905.7083799999755</v>
      </c>
      <c r="G10" s="295">
        <v>6549.6579999999994</v>
      </c>
      <c r="H10" s="295">
        <v>6591.5999999999995</v>
      </c>
      <c r="I10" s="296">
        <v>1.0064036931393976</v>
      </c>
      <c r="J10" s="295">
        <v>1.2</v>
      </c>
      <c r="K10" s="296">
        <v>1.8321567324583972E-4</v>
      </c>
      <c r="L10" s="295">
        <v>136.88999999999999</v>
      </c>
      <c r="M10" s="296">
        <v>1.0065869088126433</v>
      </c>
      <c r="N10" s="367">
        <v>5905.7083800000009</v>
      </c>
      <c r="O10" s="295">
        <v>23.500000000000004</v>
      </c>
      <c r="P10" s="296">
        <v>3.5879736010643619E-3</v>
      </c>
      <c r="Q10" s="295">
        <v>3216.9150000000004</v>
      </c>
      <c r="R10" s="297">
        <v>43.141999999999825</v>
      </c>
      <c r="S10" s="296">
        <v>6.5869088126433214E-3</v>
      </c>
      <c r="T10" s="368" t="s">
        <v>334</v>
      </c>
      <c r="U10" s="298" t="s">
        <v>210</v>
      </c>
      <c r="V10" s="368" t="s">
        <v>717</v>
      </c>
      <c r="W10" s="368" t="s">
        <v>714</v>
      </c>
      <c r="X10" s="299">
        <v>1</v>
      </c>
      <c r="Y10" s="300" t="s">
        <v>341</v>
      </c>
    </row>
    <row r="11" spans="2:35" s="304" customFormat="1" ht="27" customHeight="1">
      <c r="B11" s="691"/>
      <c r="C11" s="692"/>
      <c r="D11" s="293">
        <v>5</v>
      </c>
      <c r="E11" s="294" t="s">
        <v>550</v>
      </c>
      <c r="F11" s="295">
        <v>5705.5779100000354</v>
      </c>
      <c r="G11" s="295">
        <v>6603.1769999999988</v>
      </c>
      <c r="H11" s="295">
        <v>6654.4999999999991</v>
      </c>
      <c r="I11" s="296">
        <v>1.0077724707364351</v>
      </c>
      <c r="J11" s="295">
        <v>0</v>
      </c>
      <c r="K11" s="296">
        <v>0</v>
      </c>
      <c r="L11" s="295">
        <v>111.17</v>
      </c>
      <c r="M11" s="296">
        <v>1.0077724707364351</v>
      </c>
      <c r="N11" s="367">
        <v>5705.5779100000354</v>
      </c>
      <c r="O11" s="295">
        <v>28.300000000000004</v>
      </c>
      <c r="P11" s="296">
        <v>4.285815752023611E-3</v>
      </c>
      <c r="Q11" s="295">
        <v>3146.1109999999994</v>
      </c>
      <c r="R11" s="297">
        <v>51.32300000000032</v>
      </c>
      <c r="S11" s="296">
        <v>7.7724707364349513E-3</v>
      </c>
      <c r="T11" s="368" t="s">
        <v>332</v>
      </c>
      <c r="U11" s="298" t="s">
        <v>456</v>
      </c>
      <c r="V11" s="368" t="s">
        <v>709</v>
      </c>
      <c r="W11" s="368" t="s">
        <v>710</v>
      </c>
      <c r="X11" s="299">
        <v>1</v>
      </c>
      <c r="Y11" s="300" t="s">
        <v>341</v>
      </c>
    </row>
    <row r="12" spans="2:35" s="304" customFormat="1" ht="27" customHeight="1">
      <c r="B12" s="691"/>
      <c r="C12" s="692"/>
      <c r="D12" s="293">
        <v>6</v>
      </c>
      <c r="E12" s="294" t="s">
        <v>708</v>
      </c>
      <c r="F12" s="295">
        <v>5582.9161499999382</v>
      </c>
      <c r="G12" s="295">
        <v>3922.9950000000003</v>
      </c>
      <c r="H12" s="295">
        <v>3970.7</v>
      </c>
      <c r="I12" s="296">
        <v>1.0121603519759774</v>
      </c>
      <c r="J12" s="295">
        <v>0</v>
      </c>
      <c r="K12" s="296">
        <v>0</v>
      </c>
      <c r="L12" s="295">
        <v>117.03</v>
      </c>
      <c r="M12" s="296">
        <v>1.0121603519759774</v>
      </c>
      <c r="N12" s="367">
        <v>5582.9161499999382</v>
      </c>
      <c r="O12" s="295">
        <v>28.599999999999998</v>
      </c>
      <c r="P12" s="296">
        <v>7.2903483180580134E-3</v>
      </c>
      <c r="Q12" s="295">
        <v>3347.0580000000009</v>
      </c>
      <c r="R12" s="297">
        <v>47.704999999999472</v>
      </c>
      <c r="S12" s="296">
        <v>1.2160351975977403E-2</v>
      </c>
      <c r="T12" s="368" t="s">
        <v>332</v>
      </c>
      <c r="U12" s="298" t="s">
        <v>456</v>
      </c>
      <c r="V12" s="368" t="s">
        <v>709</v>
      </c>
      <c r="W12" s="368" t="s">
        <v>710</v>
      </c>
      <c r="X12" s="299">
        <v>1</v>
      </c>
      <c r="Y12" s="300" t="s">
        <v>596</v>
      </c>
    </row>
    <row r="13" spans="2:35" s="304" customFormat="1" ht="27" customHeight="1">
      <c r="B13" s="691"/>
      <c r="C13" s="692"/>
      <c r="D13" s="293">
        <v>7</v>
      </c>
      <c r="E13" s="294" t="s">
        <v>515</v>
      </c>
      <c r="F13" s="295">
        <v>5336.0644999997639</v>
      </c>
      <c r="G13" s="295">
        <v>1069.9500000000003</v>
      </c>
      <c r="H13" s="295">
        <v>1075.6999999999998</v>
      </c>
      <c r="I13" s="296">
        <v>1.0053740829010698</v>
      </c>
      <c r="J13" s="295">
        <v>6.6000000000000005</v>
      </c>
      <c r="K13" s="296">
        <v>6.1685125473152939E-3</v>
      </c>
      <c r="L13" s="295">
        <v>432.07</v>
      </c>
      <c r="M13" s="296">
        <v>1.011542595448385</v>
      </c>
      <c r="N13" s="367">
        <v>5336.064499999804</v>
      </c>
      <c r="O13" s="295">
        <v>4.9000000000000012</v>
      </c>
      <c r="P13" s="296">
        <v>4.5796532548249922E-3</v>
      </c>
      <c r="Q13" s="295">
        <v>2117.143</v>
      </c>
      <c r="R13" s="297">
        <v>12.349999999999454</v>
      </c>
      <c r="S13" s="296">
        <v>1.1542595448384926E-2</v>
      </c>
      <c r="T13" s="369" t="s">
        <v>332</v>
      </c>
      <c r="U13" s="298" t="s">
        <v>456</v>
      </c>
      <c r="V13" s="368" t="s">
        <v>803</v>
      </c>
      <c r="W13" s="368" t="s">
        <v>714</v>
      </c>
      <c r="X13" s="299">
        <v>1</v>
      </c>
      <c r="Y13" s="300" t="s">
        <v>363</v>
      </c>
      <c r="AB13" s="304">
        <v>1</v>
      </c>
      <c r="AC13" s="307" t="s">
        <v>459</v>
      </c>
    </row>
    <row r="14" spans="2:35" s="304" customFormat="1" ht="27" customHeight="1">
      <c r="B14" s="691"/>
      <c r="C14" s="692"/>
      <c r="D14" s="293">
        <v>8</v>
      </c>
      <c r="E14" s="294" t="s">
        <v>552</v>
      </c>
      <c r="F14" s="295">
        <v>5122.0571999999311</v>
      </c>
      <c r="G14" s="295">
        <v>1737.42</v>
      </c>
      <c r="H14" s="295">
        <v>1752.1999999999998</v>
      </c>
      <c r="I14" s="296">
        <v>1.0085068665032058</v>
      </c>
      <c r="J14" s="295">
        <v>4.0000000000000009</v>
      </c>
      <c r="K14" s="296">
        <v>2.3022642769163475E-3</v>
      </c>
      <c r="L14" s="295">
        <v>272.74</v>
      </c>
      <c r="M14" s="296">
        <v>1.0108091307801221</v>
      </c>
      <c r="N14" s="367">
        <v>5122.0571999999311</v>
      </c>
      <c r="O14" s="295">
        <v>8.6999999999999993</v>
      </c>
      <c r="P14" s="296">
        <v>5.0074248022930548E-3</v>
      </c>
      <c r="Q14" s="295">
        <v>2372.8380000000006</v>
      </c>
      <c r="R14" s="297">
        <v>18.779999999999745</v>
      </c>
      <c r="S14" s="296">
        <v>1.0809130780122102E-2</v>
      </c>
      <c r="T14" s="298" t="s">
        <v>334</v>
      </c>
      <c r="U14" s="298" t="s">
        <v>210</v>
      </c>
      <c r="V14" s="368" t="s">
        <v>803</v>
      </c>
      <c r="W14" s="368" t="s">
        <v>714</v>
      </c>
      <c r="X14" s="299">
        <v>1</v>
      </c>
      <c r="Y14" s="300" t="s">
        <v>335</v>
      </c>
      <c r="AB14" s="304">
        <v>2</v>
      </c>
      <c r="AC14" s="307" t="s">
        <v>340</v>
      </c>
    </row>
    <row r="15" spans="2:35" s="304" customFormat="1" ht="27" customHeight="1">
      <c r="B15" s="691"/>
      <c r="C15" s="692"/>
      <c r="D15" s="293">
        <v>9</v>
      </c>
      <c r="E15" s="294" t="s">
        <v>562</v>
      </c>
      <c r="F15" s="295">
        <v>5015.9062400000503</v>
      </c>
      <c r="G15" s="295">
        <v>415.64399999999995</v>
      </c>
      <c r="H15" s="295">
        <v>422.70000000000005</v>
      </c>
      <c r="I15" s="296">
        <v>1.0169760660565295</v>
      </c>
      <c r="J15" s="295">
        <v>3.8</v>
      </c>
      <c r="K15" s="296">
        <v>9.1424392027793025E-3</v>
      </c>
      <c r="L15" s="295">
        <v>462.04</v>
      </c>
      <c r="M15" s="296">
        <v>1.0261185052593087</v>
      </c>
      <c r="N15" s="367">
        <v>5015.9062400000457</v>
      </c>
      <c r="O15" s="295">
        <v>5.0999999999999996</v>
      </c>
      <c r="P15" s="296">
        <v>1.2270115772151169E-2</v>
      </c>
      <c r="Q15" s="295">
        <v>2356.4040000000005</v>
      </c>
      <c r="R15" s="297">
        <v>10.856000000000108</v>
      </c>
      <c r="S15" s="296">
        <v>2.611850525930871E-2</v>
      </c>
      <c r="T15" s="298" t="s">
        <v>339</v>
      </c>
      <c r="U15" s="298" t="s">
        <v>396</v>
      </c>
      <c r="V15" s="368" t="s">
        <v>804</v>
      </c>
      <c r="W15" s="368" t="s">
        <v>805</v>
      </c>
      <c r="X15" s="299">
        <v>1</v>
      </c>
      <c r="Y15" s="300" t="s">
        <v>559</v>
      </c>
      <c r="AB15" s="304">
        <v>3</v>
      </c>
      <c r="AC15" s="307" t="s">
        <v>396</v>
      </c>
    </row>
    <row r="16" spans="2:35" s="304" customFormat="1" ht="27" customHeight="1">
      <c r="B16" s="691"/>
      <c r="C16" s="692"/>
      <c r="D16" s="293">
        <v>10</v>
      </c>
      <c r="E16" s="294" t="s">
        <v>556</v>
      </c>
      <c r="F16" s="295">
        <v>4945.2328000000289</v>
      </c>
      <c r="G16" s="295">
        <v>6143.9400000000005</v>
      </c>
      <c r="H16" s="295">
        <v>6212.5000000000009</v>
      </c>
      <c r="I16" s="296">
        <v>1.0111589631409161</v>
      </c>
      <c r="J16" s="295">
        <v>0</v>
      </c>
      <c r="K16" s="296">
        <v>0</v>
      </c>
      <c r="L16" s="295">
        <v>72.13</v>
      </c>
      <c r="M16" s="296">
        <v>1.0111589631409161</v>
      </c>
      <c r="N16" s="367">
        <v>4945.2328000000289</v>
      </c>
      <c r="O16" s="295">
        <v>36.099999999999994</v>
      </c>
      <c r="P16" s="296">
        <v>5.8757084216317203E-3</v>
      </c>
      <c r="Q16" s="295">
        <v>2603.8930000000005</v>
      </c>
      <c r="R16" s="297">
        <v>68.5600000000004</v>
      </c>
      <c r="S16" s="296">
        <v>1.1158963140916155E-2</v>
      </c>
      <c r="T16" s="368" t="s">
        <v>332</v>
      </c>
      <c r="U16" s="298" t="s">
        <v>456</v>
      </c>
      <c r="V16" s="368" t="s">
        <v>794</v>
      </c>
      <c r="W16" s="368" t="s">
        <v>795</v>
      </c>
      <c r="X16" s="299">
        <v>1</v>
      </c>
      <c r="Y16" s="300" t="s">
        <v>549</v>
      </c>
      <c r="AB16" s="304">
        <v>4</v>
      </c>
      <c r="AC16" s="307" t="s">
        <v>496</v>
      </c>
    </row>
    <row r="17" spans="2:29" s="304" customFormat="1" ht="27" customHeight="1">
      <c r="B17" s="691"/>
      <c r="C17" s="692"/>
      <c r="D17" s="293">
        <v>11</v>
      </c>
      <c r="E17" s="294" t="s">
        <v>527</v>
      </c>
      <c r="F17" s="295">
        <v>4940.6543999999039</v>
      </c>
      <c r="G17" s="295">
        <v>2777.8800000000006</v>
      </c>
      <c r="H17" s="295">
        <v>2825.3999999999996</v>
      </c>
      <c r="I17" s="296">
        <v>1.0171065704782061</v>
      </c>
      <c r="J17" s="295">
        <v>0</v>
      </c>
      <c r="K17" s="296">
        <v>0</v>
      </c>
      <c r="L17" s="295">
        <v>103.97</v>
      </c>
      <c r="M17" s="296">
        <v>1.0171065704782061</v>
      </c>
      <c r="N17" s="367">
        <v>4940.6543999999039</v>
      </c>
      <c r="O17" s="295">
        <v>28.800000000000011</v>
      </c>
      <c r="P17" s="296">
        <v>1.0367618471640246E-2</v>
      </c>
      <c r="Q17" s="295">
        <v>2994.3359999999998</v>
      </c>
      <c r="R17" s="297">
        <v>47.519999999999072</v>
      </c>
      <c r="S17" s="296">
        <v>1.7106570478206063E-2</v>
      </c>
      <c r="T17" s="298" t="s">
        <v>339</v>
      </c>
      <c r="U17" s="298" t="s">
        <v>396</v>
      </c>
      <c r="V17" s="368" t="s">
        <v>804</v>
      </c>
      <c r="W17" s="368" t="s">
        <v>805</v>
      </c>
      <c r="X17" s="299">
        <v>1</v>
      </c>
      <c r="Y17" s="300" t="s">
        <v>523</v>
      </c>
      <c r="AB17" s="304">
        <v>5</v>
      </c>
      <c r="AC17" s="307" t="s">
        <v>210</v>
      </c>
    </row>
    <row r="18" spans="2:29" s="304" customFormat="1" ht="27" customHeight="1">
      <c r="B18" s="691"/>
      <c r="C18" s="692"/>
      <c r="D18" s="293">
        <v>12</v>
      </c>
      <c r="E18" s="294" t="s">
        <v>702</v>
      </c>
      <c r="F18" s="295">
        <v>4928.172919999829</v>
      </c>
      <c r="G18" s="295">
        <v>762.93600000000015</v>
      </c>
      <c r="H18" s="295">
        <v>768.09999999999991</v>
      </c>
      <c r="I18" s="296">
        <v>1.0067685887151736</v>
      </c>
      <c r="J18" s="295">
        <v>2.4</v>
      </c>
      <c r="K18" s="296">
        <v>3.1457422378810274E-3</v>
      </c>
      <c r="L18" s="295">
        <v>651.53</v>
      </c>
      <c r="M18" s="296">
        <v>1.0099143309530547</v>
      </c>
      <c r="N18" s="367">
        <v>4928.1729199998435</v>
      </c>
      <c r="O18" s="295">
        <v>2.5000000000000004</v>
      </c>
      <c r="P18" s="296">
        <v>3.2768148311260706E-3</v>
      </c>
      <c r="Q18" s="295">
        <v>1628.8250000000003</v>
      </c>
      <c r="R18" s="297">
        <v>7.5639999999997372</v>
      </c>
      <c r="S18" s="296">
        <v>9.9143309530546932E-3</v>
      </c>
      <c r="T18" s="298" t="s">
        <v>334</v>
      </c>
      <c r="U18" s="298" t="s">
        <v>497</v>
      </c>
      <c r="V18" s="368" t="s">
        <v>784</v>
      </c>
      <c r="W18" s="368" t="s">
        <v>714</v>
      </c>
      <c r="X18" s="299">
        <v>1</v>
      </c>
      <c r="Y18" s="300" t="s">
        <v>671</v>
      </c>
      <c r="AB18" s="304">
        <v>6</v>
      </c>
      <c r="AC18" s="307" t="s">
        <v>211</v>
      </c>
    </row>
    <row r="19" spans="2:29" s="304" customFormat="1" ht="27" customHeight="1">
      <c r="B19" s="691"/>
      <c r="C19" s="692"/>
      <c r="D19" s="293">
        <v>13</v>
      </c>
      <c r="E19" s="294" t="s">
        <v>779</v>
      </c>
      <c r="F19" s="295">
        <v>4853.0263199999417</v>
      </c>
      <c r="G19" s="295">
        <v>567.90400000000011</v>
      </c>
      <c r="H19" s="295">
        <v>581.59999999999991</v>
      </c>
      <c r="I19" s="296">
        <v>1.0241167521271197</v>
      </c>
      <c r="J19" s="295">
        <v>3</v>
      </c>
      <c r="K19" s="296">
        <v>5.2825829717698756E-3</v>
      </c>
      <c r="L19" s="295">
        <v>290.67</v>
      </c>
      <c r="M19" s="296">
        <v>1.0293993350988897</v>
      </c>
      <c r="N19" s="367">
        <v>4853.0263199999417</v>
      </c>
      <c r="O19" s="295">
        <v>9.5000000000000018</v>
      </c>
      <c r="P19" s="296">
        <v>1.6728179410604609E-2</v>
      </c>
      <c r="Q19" s="295">
        <v>2761.3650000000007</v>
      </c>
      <c r="R19" s="297">
        <v>16.695999999999799</v>
      </c>
      <c r="S19" s="296">
        <v>2.9399335098889593E-2</v>
      </c>
      <c r="T19" s="298" t="s">
        <v>334</v>
      </c>
      <c r="U19" s="298" t="s">
        <v>210</v>
      </c>
      <c r="V19" s="368" t="s">
        <v>803</v>
      </c>
      <c r="W19" s="368" t="s">
        <v>714</v>
      </c>
      <c r="X19" s="299">
        <v>1</v>
      </c>
      <c r="Y19" s="300" t="s">
        <v>597</v>
      </c>
      <c r="AB19" s="304">
        <v>7</v>
      </c>
      <c r="AC19" s="307" t="s">
        <v>497</v>
      </c>
    </row>
    <row r="20" spans="2:29" s="304" customFormat="1" ht="27" customHeight="1">
      <c r="B20" s="691"/>
      <c r="C20" s="692"/>
      <c r="D20" s="293">
        <v>14</v>
      </c>
      <c r="E20" s="294" t="s">
        <v>787</v>
      </c>
      <c r="F20" s="295">
        <v>4747.4949600002219</v>
      </c>
      <c r="G20" s="295">
        <v>1790.0079999999996</v>
      </c>
      <c r="H20" s="295">
        <v>1795.6000000000001</v>
      </c>
      <c r="I20" s="296">
        <v>1.0031240083843205</v>
      </c>
      <c r="J20" s="295">
        <v>7.2</v>
      </c>
      <c r="K20" s="296">
        <v>4.0223283918284173E-3</v>
      </c>
      <c r="L20" s="295">
        <v>371.13</v>
      </c>
      <c r="M20" s="296">
        <v>1.0071463367761488</v>
      </c>
      <c r="N20" s="367">
        <v>4747.4949600002046</v>
      </c>
      <c r="O20" s="295">
        <v>3.4000000000000012</v>
      </c>
      <c r="P20" s="296">
        <v>1.8994328516967534E-3</v>
      </c>
      <c r="Q20" s="295">
        <v>1261.8420000000001</v>
      </c>
      <c r="R20" s="297">
        <v>12.792000000000598</v>
      </c>
      <c r="S20" s="296">
        <v>7.1463367761488228E-3</v>
      </c>
      <c r="T20" s="298" t="s">
        <v>332</v>
      </c>
      <c r="U20" s="298" t="s">
        <v>456</v>
      </c>
      <c r="V20" s="368" t="s">
        <v>808</v>
      </c>
      <c r="W20" s="368" t="s">
        <v>809</v>
      </c>
      <c r="X20" s="299">
        <v>1</v>
      </c>
      <c r="Y20" s="300" t="s">
        <v>378</v>
      </c>
      <c r="AB20" s="304">
        <v>8</v>
      </c>
      <c r="AC20" s="308" t="s">
        <v>498</v>
      </c>
    </row>
    <row r="21" spans="2:29" s="304" customFormat="1" ht="27" customHeight="1">
      <c r="B21" s="691"/>
      <c r="C21" s="692"/>
      <c r="D21" s="293">
        <v>15</v>
      </c>
      <c r="E21" s="294" t="s">
        <v>565</v>
      </c>
      <c r="F21" s="295">
        <v>4718.4162999999371</v>
      </c>
      <c r="G21" s="295">
        <v>2727.4050000000007</v>
      </c>
      <c r="H21" s="295">
        <v>2790.2</v>
      </c>
      <c r="I21" s="296">
        <v>1.0230237166830738</v>
      </c>
      <c r="J21" s="295">
        <v>0</v>
      </c>
      <c r="K21" s="296">
        <v>0</v>
      </c>
      <c r="L21" s="295">
        <v>75.14</v>
      </c>
      <c r="M21" s="296">
        <v>1.0230237166830738</v>
      </c>
      <c r="N21" s="367">
        <v>4718.4162999999371</v>
      </c>
      <c r="O21" s="295">
        <v>37.800000000000004</v>
      </c>
      <c r="P21" s="296">
        <v>1.3859327822600602E-2</v>
      </c>
      <c r="Q21" s="295">
        <v>2840.2919999999999</v>
      </c>
      <c r="R21" s="297">
        <v>62.794999999999163</v>
      </c>
      <c r="S21" s="296">
        <v>2.3023716683073892E-2</v>
      </c>
      <c r="T21" s="298" t="s">
        <v>332</v>
      </c>
      <c r="U21" s="298" t="s">
        <v>456</v>
      </c>
      <c r="V21" s="368" t="s">
        <v>802</v>
      </c>
      <c r="W21" s="368" t="s">
        <v>807</v>
      </c>
      <c r="X21" s="299">
        <v>1</v>
      </c>
      <c r="Y21" s="300" t="s">
        <v>341</v>
      </c>
      <c r="AC21" s="307"/>
    </row>
    <row r="22" spans="2:29" s="304" customFormat="1" ht="27" customHeight="1">
      <c r="B22" s="691"/>
      <c r="C22" s="692"/>
      <c r="D22" s="293">
        <v>16</v>
      </c>
      <c r="E22" s="294" t="s">
        <v>569</v>
      </c>
      <c r="F22" s="295">
        <v>4681.969680000062</v>
      </c>
      <c r="G22" s="295">
        <v>2250.248</v>
      </c>
      <c r="H22" s="295">
        <v>2294.8000000000006</v>
      </c>
      <c r="I22" s="296">
        <v>1.0197987066314471</v>
      </c>
      <c r="J22" s="295">
        <v>0</v>
      </c>
      <c r="K22" s="296">
        <v>0</v>
      </c>
      <c r="L22" s="295">
        <v>105.09</v>
      </c>
      <c r="M22" s="296">
        <v>1.0197987066314471</v>
      </c>
      <c r="N22" s="367">
        <v>4681.969680000062</v>
      </c>
      <c r="O22" s="295">
        <v>28.400000000000002</v>
      </c>
      <c r="P22" s="296">
        <v>1.2620831126169204E-2</v>
      </c>
      <c r="Q22" s="295">
        <v>2984.556</v>
      </c>
      <c r="R22" s="297">
        <v>44.552000000000589</v>
      </c>
      <c r="S22" s="296">
        <v>1.9798706631447106E-2</v>
      </c>
      <c r="T22" s="298" t="s">
        <v>339</v>
      </c>
      <c r="U22" s="298" t="s">
        <v>396</v>
      </c>
      <c r="V22" s="368" t="s">
        <v>804</v>
      </c>
      <c r="W22" s="368" t="s">
        <v>805</v>
      </c>
      <c r="X22" s="299">
        <v>1</v>
      </c>
      <c r="Y22" s="300" t="s">
        <v>566</v>
      </c>
      <c r="AC22" s="307"/>
    </row>
    <row r="23" spans="2:29" s="304" customFormat="1" ht="27" customHeight="1">
      <c r="B23" s="691"/>
      <c r="C23" s="692"/>
      <c r="D23" s="293">
        <v>17</v>
      </c>
      <c r="E23" s="294" t="s">
        <v>567</v>
      </c>
      <c r="F23" s="295">
        <v>4631.8106400000197</v>
      </c>
      <c r="G23" s="295">
        <v>1428.0420000000001</v>
      </c>
      <c r="H23" s="295">
        <v>1458.7000000000003</v>
      </c>
      <c r="I23" s="296">
        <v>1.0214685562469452</v>
      </c>
      <c r="J23" s="295">
        <v>0</v>
      </c>
      <c r="K23" s="296">
        <v>0</v>
      </c>
      <c r="L23" s="295">
        <v>151.08000000000001</v>
      </c>
      <c r="M23" s="296">
        <v>1.0214685562469452</v>
      </c>
      <c r="N23" s="367">
        <v>4631.8106400000197</v>
      </c>
      <c r="O23" s="295">
        <v>22.100000000000005</v>
      </c>
      <c r="P23" s="296">
        <v>1.5475735307504963E-2</v>
      </c>
      <c r="Q23" s="295">
        <v>3338.8680000000013</v>
      </c>
      <c r="R23" s="297">
        <v>30.658000000000129</v>
      </c>
      <c r="S23" s="296">
        <v>2.1468556246945207E-2</v>
      </c>
      <c r="T23" s="368" t="s">
        <v>332</v>
      </c>
      <c r="U23" s="298" t="s">
        <v>456</v>
      </c>
      <c r="V23" s="368" t="s">
        <v>802</v>
      </c>
      <c r="W23" s="368" t="s">
        <v>807</v>
      </c>
      <c r="X23" s="299">
        <v>1</v>
      </c>
      <c r="Y23" s="300" t="s">
        <v>566</v>
      </c>
      <c r="AB23" s="309">
        <v>1</v>
      </c>
      <c r="AC23" s="307" t="s">
        <v>339</v>
      </c>
    </row>
    <row r="24" spans="2:29" s="304" customFormat="1" ht="27" customHeight="1">
      <c r="B24" s="691"/>
      <c r="C24" s="692"/>
      <c r="D24" s="293">
        <v>18</v>
      </c>
      <c r="E24" s="294" t="s">
        <v>617</v>
      </c>
      <c r="F24" s="295">
        <v>4616.185600000028</v>
      </c>
      <c r="G24" s="295">
        <v>5336.1359999999995</v>
      </c>
      <c r="H24" s="295">
        <v>5387.2</v>
      </c>
      <c r="I24" s="296">
        <v>1.009569471242862</v>
      </c>
      <c r="J24" s="295">
        <v>0</v>
      </c>
      <c r="K24" s="296">
        <v>0</v>
      </c>
      <c r="L24" s="295">
        <v>90.4</v>
      </c>
      <c r="M24" s="296">
        <v>1.009569471242862</v>
      </c>
      <c r="N24" s="367">
        <v>4616.185600000028</v>
      </c>
      <c r="O24" s="295">
        <v>30.600000000000009</v>
      </c>
      <c r="P24" s="296">
        <v>5.7344865273298903E-3</v>
      </c>
      <c r="Q24" s="295">
        <v>2766.2400000000007</v>
      </c>
      <c r="R24" s="297">
        <v>51.064000000000306</v>
      </c>
      <c r="S24" s="296">
        <v>9.569471242861935E-3</v>
      </c>
      <c r="T24" s="368" t="s">
        <v>332</v>
      </c>
      <c r="U24" s="298" t="s">
        <v>456</v>
      </c>
      <c r="V24" s="368" t="s">
        <v>802</v>
      </c>
      <c r="W24" s="368" t="s">
        <v>807</v>
      </c>
      <c r="X24" s="299">
        <v>1</v>
      </c>
      <c r="Y24" s="300" t="s">
        <v>370</v>
      </c>
      <c r="AB24" s="304">
        <v>2</v>
      </c>
      <c r="AC24" s="307" t="s">
        <v>399</v>
      </c>
    </row>
    <row r="25" spans="2:29" s="304" customFormat="1" ht="27" customHeight="1">
      <c r="B25" s="691"/>
      <c r="C25" s="692"/>
      <c r="D25" s="293">
        <v>19</v>
      </c>
      <c r="E25" s="294" t="s">
        <v>791</v>
      </c>
      <c r="F25" s="295">
        <v>4603.8646499997876</v>
      </c>
      <c r="G25" s="295">
        <v>1850.7710000000002</v>
      </c>
      <c r="H25" s="295">
        <v>1865.0999999999995</v>
      </c>
      <c r="I25" s="296">
        <v>1.007742178800078</v>
      </c>
      <c r="J25" s="295">
        <v>1.5</v>
      </c>
      <c r="K25" s="296">
        <v>8.1047304069493194E-4</v>
      </c>
      <c r="L25" s="295">
        <v>290.85000000000002</v>
      </c>
      <c r="M25" s="296">
        <v>1.008552651840773</v>
      </c>
      <c r="N25" s="367">
        <v>4603.8646499997876</v>
      </c>
      <c r="O25" s="295">
        <v>5.7</v>
      </c>
      <c r="P25" s="296">
        <v>3.0797975546407413E-3</v>
      </c>
      <c r="Q25" s="295">
        <v>1657.845</v>
      </c>
      <c r="R25" s="297">
        <v>15.828999999999269</v>
      </c>
      <c r="S25" s="296">
        <v>8.5526518407729891E-3</v>
      </c>
      <c r="T25" s="298" t="s">
        <v>334</v>
      </c>
      <c r="U25" s="298" t="s">
        <v>210</v>
      </c>
      <c r="V25" s="368" t="s">
        <v>803</v>
      </c>
      <c r="W25" s="368" t="s">
        <v>714</v>
      </c>
      <c r="X25" s="299">
        <v>1</v>
      </c>
      <c r="Y25" s="300" t="s">
        <v>790</v>
      </c>
      <c r="AB25" s="310">
        <v>3</v>
      </c>
      <c r="AC25" s="307" t="s">
        <v>332</v>
      </c>
    </row>
    <row r="26" spans="2:29" s="304" customFormat="1" ht="27" customHeight="1">
      <c r="B26" s="693"/>
      <c r="C26" s="694"/>
      <c r="D26" s="293">
        <v>20</v>
      </c>
      <c r="E26" s="294" t="s">
        <v>554</v>
      </c>
      <c r="F26" s="295">
        <v>4588.0958000000301</v>
      </c>
      <c r="G26" s="295">
        <v>5674.54</v>
      </c>
      <c r="H26" s="295">
        <v>5736.6</v>
      </c>
      <c r="I26" s="296">
        <v>1.0109365693078207</v>
      </c>
      <c r="J26" s="295">
        <v>0</v>
      </c>
      <c r="K26" s="296">
        <v>0</v>
      </c>
      <c r="L26" s="295">
        <v>73.930000000000007</v>
      </c>
      <c r="M26" s="296">
        <v>1.0109365693078207</v>
      </c>
      <c r="N26" s="367">
        <v>4588.0958000000301</v>
      </c>
      <c r="O26" s="295">
        <v>34.300000000000004</v>
      </c>
      <c r="P26" s="296">
        <v>6.0445428175675926E-3</v>
      </c>
      <c r="Q26" s="295">
        <v>2535.799</v>
      </c>
      <c r="R26" s="297">
        <v>62.0600000000004</v>
      </c>
      <c r="S26" s="296">
        <v>1.0936569307820616E-2</v>
      </c>
      <c r="T26" s="369" t="s">
        <v>332</v>
      </c>
      <c r="U26" s="298" t="s">
        <v>456</v>
      </c>
      <c r="V26" s="368" t="s">
        <v>802</v>
      </c>
      <c r="W26" s="368" t="s">
        <v>807</v>
      </c>
      <c r="X26" s="299">
        <v>1</v>
      </c>
      <c r="Y26" s="300" t="s">
        <v>555</v>
      </c>
      <c r="AB26" s="310">
        <v>4</v>
      </c>
      <c r="AC26" s="307" t="s">
        <v>334</v>
      </c>
    </row>
    <row r="27" spans="2:29" ht="29.45" customHeight="1">
      <c r="C27" s="695"/>
      <c r="AB27" s="304"/>
      <c r="AC27" s="307"/>
    </row>
    <row r="28" spans="2:29">
      <c r="C28" s="695"/>
    </row>
    <row r="29" spans="2:29">
      <c r="C29" s="695"/>
    </row>
    <row r="30" spans="2:29">
      <c r="C30" s="695"/>
    </row>
    <row r="31" spans="2:29">
      <c r="C31" s="695"/>
    </row>
    <row r="32" spans="2:29">
      <c r="C32" s="695"/>
    </row>
    <row r="33" spans="3:3">
      <c r="C33" s="695"/>
    </row>
    <row r="34" spans="3:3">
      <c r="C34" s="695"/>
    </row>
    <row r="35" spans="3:3">
      <c r="C35" s="695"/>
    </row>
    <row r="36" spans="3:3">
      <c r="C36" s="695"/>
    </row>
    <row r="67" ht="14.1" customHeight="1"/>
    <row r="77" ht="14.1" customHeight="1"/>
    <row r="87" ht="14.1" customHeight="1"/>
    <row r="112" spans="26:26">
      <c r="Z112" s="311" t="s">
        <v>499</v>
      </c>
    </row>
    <row r="113" spans="26:26">
      <c r="Z113" s="304" t="s">
        <v>500</v>
      </c>
    </row>
    <row r="116" spans="26:26" ht="18.75" customHeight="1"/>
    <row r="117" spans="26:26" ht="14.1" customHeight="1"/>
    <row r="127" spans="26:26" ht="14.1" customHeight="1"/>
    <row r="137" ht="14.1" customHeight="1"/>
    <row r="147" ht="14.1" customHeight="1"/>
    <row r="167" ht="14.1" customHeight="1"/>
    <row r="187" ht="14.1" customHeight="1"/>
    <row r="197" ht="14.1" customHeight="1"/>
    <row r="207" ht="14.1" customHeight="1"/>
    <row r="217" ht="14.1" customHeight="1"/>
    <row r="227" ht="14.1" customHeight="1"/>
    <row r="237" ht="14.1" customHeight="1"/>
    <row r="247" ht="14.1" customHeight="1"/>
    <row r="257" ht="14.1" customHeight="1"/>
    <row r="267" ht="14.1" customHeight="1"/>
    <row r="277" ht="14.1" customHeight="1"/>
    <row r="287" ht="14.1" customHeight="1"/>
    <row r="297" ht="14.1" customHeight="1"/>
  </sheetData>
  <mergeCells count="22">
    <mergeCell ref="B2:Y2"/>
    <mergeCell ref="B3:C6"/>
    <mergeCell ref="D3:F3"/>
    <mergeCell ref="G3:S3"/>
    <mergeCell ref="T3:T6"/>
    <mergeCell ref="U3:U6"/>
    <mergeCell ref="V3:V6"/>
    <mergeCell ref="W3:W6"/>
    <mergeCell ref="X3:X6"/>
    <mergeCell ref="Y3:Y6"/>
    <mergeCell ref="B7:C26"/>
    <mergeCell ref="C27:C36"/>
    <mergeCell ref="AA3:AI5"/>
    <mergeCell ref="D4:D6"/>
    <mergeCell ref="E4:F4"/>
    <mergeCell ref="G4:N4"/>
    <mergeCell ref="O4:S4"/>
    <mergeCell ref="E5:E6"/>
    <mergeCell ref="F5:F6"/>
    <mergeCell ref="G5:N5"/>
    <mergeCell ref="O5:P5"/>
    <mergeCell ref="Q5:S5"/>
  </mergeCells>
  <phoneticPr fontId="11" type="noConversion"/>
  <dataValidations count="2">
    <dataValidation type="list" allowBlank="1" showInputMessage="1" showErrorMessage="1" sqref="U1:U1048576" xr:uid="{00000000-0002-0000-1D00-000000000000}">
      <formula1>$AC$13:$AC$20</formula1>
    </dataValidation>
    <dataValidation type="list" allowBlank="1" showInputMessage="1" showErrorMessage="1" sqref="T1:T1048576" xr:uid="{00000000-0002-0000-1D00-000001000000}">
      <formula1>$AC$23:$AC$27</formula1>
    </dataValidation>
  </dataValidations>
  <pageMargins left="0" right="0" top="0" bottom="0" header="0" footer="0"/>
  <pageSetup paperSize="9" scale="20" orientation="landscape" horizontalDpi="300" verticalDpi="30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tabColor theme="7" tint="0.39997558519241921"/>
  </sheetPr>
  <dimension ref="A1:O63"/>
  <sheetViews>
    <sheetView zoomScale="75" zoomScaleNormal="75" workbookViewId="0">
      <selection activeCell="K27" sqref="K27:K31"/>
    </sheetView>
  </sheetViews>
  <sheetFormatPr defaultColWidth="8.28515625" defaultRowHeight="15"/>
  <cols>
    <col min="1" max="1" width="18.42578125" style="312" customWidth="1"/>
    <col min="2" max="2" width="21.140625" style="312" bestFit="1" customWidth="1"/>
    <col min="3" max="6" width="14.28515625" style="312" customWidth="1"/>
    <col min="7" max="10" width="18.42578125" style="312" customWidth="1"/>
    <col min="11" max="11" width="17.140625" style="312" bestFit="1" customWidth="1"/>
    <col min="12" max="12" width="16" style="312" customWidth="1"/>
    <col min="13" max="13" width="23.28515625" style="312" bestFit="1" customWidth="1"/>
    <col min="14" max="15" width="13.28515625" style="312" bestFit="1" customWidth="1"/>
    <col min="16" max="16" width="8.28515625" style="312"/>
    <col min="17" max="17" width="12.85546875" style="312" bestFit="1" customWidth="1"/>
    <col min="18" max="16384" width="8.28515625" style="312"/>
  </cols>
  <sheetData>
    <row r="1" spans="1:15" ht="27" customHeight="1">
      <c r="A1" s="720" t="s">
        <v>528</v>
      </c>
      <c r="B1" s="720"/>
      <c r="C1" s="720"/>
      <c r="D1" s="720"/>
      <c r="E1" s="720"/>
      <c r="F1" s="720"/>
      <c r="G1" s="720"/>
      <c r="H1" s="720"/>
      <c r="I1" s="720"/>
      <c r="J1" s="720"/>
      <c r="K1" s="720"/>
      <c r="L1" s="720"/>
      <c r="M1" s="720"/>
      <c r="N1" s="720"/>
      <c r="O1" s="720"/>
    </row>
    <row r="2" spans="1:15" ht="16.5" customHeight="1">
      <c r="A2" s="721" t="s">
        <v>529</v>
      </c>
      <c r="B2" s="721" t="s">
        <v>530</v>
      </c>
      <c r="C2" s="721" t="s">
        <v>531</v>
      </c>
      <c r="D2" s="721" t="s">
        <v>532</v>
      </c>
      <c r="E2" s="721" t="s">
        <v>533</v>
      </c>
      <c r="F2" s="721" t="s">
        <v>534</v>
      </c>
      <c r="G2" s="721" t="s">
        <v>535</v>
      </c>
      <c r="H2" s="721"/>
      <c r="I2" s="721" t="s">
        <v>536</v>
      </c>
      <c r="J2" s="721"/>
      <c r="K2" s="721" t="s">
        <v>537</v>
      </c>
      <c r="L2" s="721"/>
      <c r="M2" s="722" t="s">
        <v>538</v>
      </c>
      <c r="N2" s="722"/>
      <c r="O2" s="722"/>
    </row>
    <row r="3" spans="1:15" ht="37.5" customHeight="1">
      <c r="A3" s="721"/>
      <c r="B3" s="721"/>
      <c r="C3" s="721"/>
      <c r="D3" s="721"/>
      <c r="E3" s="721"/>
      <c r="F3" s="721"/>
      <c r="G3" s="336" t="s">
        <v>539</v>
      </c>
      <c r="H3" s="336" t="s">
        <v>540</v>
      </c>
      <c r="I3" s="336" t="s">
        <v>539</v>
      </c>
      <c r="J3" s="336" t="s">
        <v>540</v>
      </c>
      <c r="K3" s="336" t="s">
        <v>541</v>
      </c>
      <c r="L3" s="336" t="s">
        <v>542</v>
      </c>
      <c r="M3" s="336" t="s">
        <v>543</v>
      </c>
      <c r="N3" s="313" t="s">
        <v>544</v>
      </c>
      <c r="O3" s="313" t="s">
        <v>545</v>
      </c>
    </row>
    <row r="4" spans="1:15" ht="18.75">
      <c r="A4" s="361">
        <v>46054</v>
      </c>
      <c r="B4" s="325">
        <v>6940443</v>
      </c>
      <c r="C4" s="325">
        <v>16806</v>
      </c>
      <c r="D4" s="340">
        <f t="shared" ref="D4:D31" si="0">C4/B4</f>
        <v>2.4214592641997059E-3</v>
      </c>
      <c r="E4" s="326">
        <v>13080.889342133953</v>
      </c>
      <c r="F4" s="316">
        <f t="shared" ref="F4:F31" si="1">E4/B4</f>
        <v>1.8847340641129035E-3</v>
      </c>
      <c r="G4" s="325">
        <v>1513.2429999999999</v>
      </c>
      <c r="H4" s="317">
        <f t="shared" ref="H4:H31" si="2">G4/C4</f>
        <v>9.0041830298702843E-2</v>
      </c>
      <c r="I4" s="318">
        <v>1312.2201499999994</v>
      </c>
      <c r="J4" s="317">
        <f t="shared" ref="J4:J31" si="3">I4/E4</f>
        <v>0.10031582071207479</v>
      </c>
      <c r="K4" s="327">
        <v>2321.9410000000003</v>
      </c>
      <c r="L4" s="328">
        <f t="shared" ref="L4:L31" si="4">K4/C4</f>
        <v>0.138161430441509</v>
      </c>
      <c r="M4" s="384">
        <f>SUM(B4:B5)</f>
        <v>13568594</v>
      </c>
      <c r="N4" s="385">
        <f>SUM(C4:C5)</f>
        <v>32899</v>
      </c>
      <c r="O4" s="385">
        <f>SUM(E4:E5)</f>
        <v>27770.858910116636</v>
      </c>
    </row>
    <row r="5" spans="1:15" ht="18.75">
      <c r="A5" s="361">
        <f>A4+1</f>
        <v>46055</v>
      </c>
      <c r="B5" s="325">
        <v>6628151</v>
      </c>
      <c r="C5" s="325">
        <v>16093</v>
      </c>
      <c r="D5" s="340">
        <f t="shared" si="0"/>
        <v>2.4279772745068721E-3</v>
      </c>
      <c r="E5" s="326">
        <v>14689.969567982684</v>
      </c>
      <c r="F5" s="316">
        <f t="shared" si="1"/>
        <v>2.2162997747007702E-3</v>
      </c>
      <c r="G5" s="325">
        <v>1383.172</v>
      </c>
      <c r="H5" s="317">
        <f t="shared" si="2"/>
        <v>8.5948673336233142E-2</v>
      </c>
      <c r="I5" s="318">
        <v>1496.7732299999973</v>
      </c>
      <c r="J5" s="317">
        <f t="shared" si="3"/>
        <v>0.10189083258976031</v>
      </c>
      <c r="K5" s="327">
        <v>2940.596</v>
      </c>
      <c r="L5" s="328">
        <f t="shared" si="4"/>
        <v>0.18272516000745667</v>
      </c>
      <c r="M5" s="384"/>
      <c r="N5" s="385"/>
      <c r="O5" s="385"/>
    </row>
    <row r="6" spans="1:15" ht="18.75">
      <c r="A6" s="320">
        <f t="shared" ref="A6:A31" si="5">A5+1</f>
        <v>46056</v>
      </c>
      <c r="B6" s="325">
        <v>7316700</v>
      </c>
      <c r="C6" s="325">
        <v>17727</v>
      </c>
      <c r="D6" s="340">
        <v>2.4228135634917379E-3</v>
      </c>
      <c r="E6" s="326">
        <v>13328.49692144937</v>
      </c>
      <c r="F6" s="316">
        <v>1.8216541502930788E-3</v>
      </c>
      <c r="G6" s="325">
        <v>1435.8410000000001</v>
      </c>
      <c r="H6" s="317">
        <v>8.0997405088283417E-2</v>
      </c>
      <c r="I6" s="318">
        <v>1417.093626666925</v>
      </c>
      <c r="J6" s="317">
        <v>0.10632058776158138</v>
      </c>
      <c r="K6" s="327">
        <v>2822.3140000000008</v>
      </c>
      <c r="L6" s="328">
        <v>0.15920990579342251</v>
      </c>
      <c r="M6" s="384">
        <f>SUM(B6:B12)</f>
        <v>47419360</v>
      </c>
      <c r="N6" s="385">
        <f>SUM(C6:C12)</f>
        <v>115356.747</v>
      </c>
      <c r="O6" s="385">
        <f>SUM(E6:E12)</f>
        <v>95866.762821479511</v>
      </c>
    </row>
    <row r="7" spans="1:15" ht="18.75">
      <c r="A7" s="320">
        <f t="shared" si="5"/>
        <v>46057</v>
      </c>
      <c r="B7" s="325">
        <v>6974914</v>
      </c>
      <c r="C7" s="325">
        <v>17023</v>
      </c>
      <c r="D7" s="340">
        <v>2.4406035687321737E-3</v>
      </c>
      <c r="E7" s="326">
        <v>13196.758727236351</v>
      </c>
      <c r="F7" s="316">
        <v>1.8920317479522114E-3</v>
      </c>
      <c r="G7" s="325">
        <v>1498.0769999999998</v>
      </c>
      <c r="H7" s="317">
        <v>8.8003113434764718E-2</v>
      </c>
      <c r="I7" s="318">
        <v>1210.4675433332693</v>
      </c>
      <c r="J7" s="317">
        <v>9.172460968275685E-2</v>
      </c>
      <c r="K7" s="327">
        <v>2513.1470000000004</v>
      </c>
      <c r="L7" s="328">
        <v>0.14763243846560539</v>
      </c>
      <c r="M7" s="384"/>
      <c r="N7" s="385"/>
      <c r="O7" s="385"/>
    </row>
    <row r="8" spans="1:15" ht="18.75">
      <c r="A8" s="320">
        <f t="shared" si="5"/>
        <v>46058</v>
      </c>
      <c r="B8" s="325">
        <v>6570703</v>
      </c>
      <c r="C8" s="325">
        <v>15911</v>
      </c>
      <c r="D8" s="340">
        <v>2.4215064963368457E-3</v>
      </c>
      <c r="E8" s="326">
        <v>14310.446827613567</v>
      </c>
      <c r="F8" s="316">
        <v>2.1779171616208444E-3</v>
      </c>
      <c r="G8" s="325">
        <v>1386.0539999999999</v>
      </c>
      <c r="H8" s="317">
        <v>8.7112940732826341E-2</v>
      </c>
      <c r="I8" s="318">
        <v>1480.1434833333824</v>
      </c>
      <c r="J8" s="317">
        <v>0.10343097606688871</v>
      </c>
      <c r="K8" s="327">
        <v>2501.5949999999993</v>
      </c>
      <c r="L8" s="328">
        <v>0.15722424737602911</v>
      </c>
      <c r="M8" s="384"/>
      <c r="N8" s="385"/>
      <c r="O8" s="385"/>
    </row>
    <row r="9" spans="1:15" ht="18.75">
      <c r="A9" s="320">
        <f t="shared" si="5"/>
        <v>46059</v>
      </c>
      <c r="B9" s="325">
        <v>6000072</v>
      </c>
      <c r="C9" s="325">
        <v>14577</v>
      </c>
      <c r="D9" s="340">
        <v>2.4294708463498439E-3</v>
      </c>
      <c r="E9" s="326">
        <v>14507.125984537113</v>
      </c>
      <c r="F9" s="316">
        <v>2.4178253168523835E-3</v>
      </c>
      <c r="G9" s="325">
        <v>1432.4470000000003</v>
      </c>
      <c r="H9" s="317">
        <v>9.82676133635179E-2</v>
      </c>
      <c r="I9" s="318">
        <v>1444.5257899999995</v>
      </c>
      <c r="J9" s="317">
        <v>9.957353314086427E-2</v>
      </c>
      <c r="K9" s="327">
        <v>2528.3599999999997</v>
      </c>
      <c r="L9" s="328">
        <v>0.17344858338478422</v>
      </c>
      <c r="M9" s="384"/>
      <c r="N9" s="385"/>
      <c r="O9" s="385"/>
    </row>
    <row r="10" spans="1:15" ht="18.75">
      <c r="A10" s="320">
        <f t="shared" si="5"/>
        <v>46060</v>
      </c>
      <c r="B10" s="325">
        <v>6372390</v>
      </c>
      <c r="C10" s="325">
        <v>15349</v>
      </c>
      <c r="D10" s="340">
        <v>2.4086724133331452E-3</v>
      </c>
      <c r="E10" s="326">
        <v>14399.605822153666</v>
      </c>
      <c r="F10" s="316">
        <v>2.2596868399695665E-3</v>
      </c>
      <c r="G10" s="325">
        <v>1484.924</v>
      </c>
      <c r="H10" s="317">
        <v>9.6744022411883512E-2</v>
      </c>
      <c r="I10" s="318">
        <v>1478.355680000006</v>
      </c>
      <c r="J10" s="317">
        <v>0.10266639922362103</v>
      </c>
      <c r="K10" s="327">
        <v>2085.6410000000001</v>
      </c>
      <c r="L10" s="328">
        <v>0.13588123004756011</v>
      </c>
      <c r="M10" s="384"/>
      <c r="N10" s="385"/>
      <c r="O10" s="385"/>
    </row>
    <row r="11" spans="1:15" ht="18.75">
      <c r="A11" s="320">
        <f t="shared" si="5"/>
        <v>46061</v>
      </c>
      <c r="B11" s="325">
        <v>7231076</v>
      </c>
      <c r="C11" s="325">
        <v>17801.747000000007</v>
      </c>
      <c r="D11" s="340">
        <v>2.4618392892012207E-3</v>
      </c>
      <c r="E11" s="326">
        <v>13791.185612230691</v>
      </c>
      <c r="F11" s="316">
        <v>1.9072107127944293E-3</v>
      </c>
      <c r="G11" s="325">
        <v>1595.104</v>
      </c>
      <c r="H11" s="317">
        <v>8.9603790010047854E-2</v>
      </c>
      <c r="I11" s="318">
        <v>1361.3073799999947</v>
      </c>
      <c r="J11" s="317">
        <v>9.8708509788507343E-2</v>
      </c>
      <c r="K11" s="327">
        <v>2001.4570000000006</v>
      </c>
      <c r="L11" s="328">
        <v>0.11243036989571865</v>
      </c>
      <c r="M11" s="384"/>
      <c r="N11" s="385"/>
      <c r="O11" s="385"/>
    </row>
    <row r="12" spans="1:15" ht="18.75">
      <c r="A12" s="320">
        <f t="shared" si="5"/>
        <v>46062</v>
      </c>
      <c r="B12" s="325">
        <v>6953505</v>
      </c>
      <c r="C12" s="325">
        <v>16968</v>
      </c>
      <c r="D12" s="340">
        <v>2.4402082115422366E-3</v>
      </c>
      <c r="E12" s="326">
        <v>12333.142926258752</v>
      </c>
      <c r="F12" s="316">
        <v>1.7736584537235182E-3</v>
      </c>
      <c r="G12" s="325">
        <v>1465.8860000000002</v>
      </c>
      <c r="H12" s="317">
        <v>8.6391206977840654E-2</v>
      </c>
      <c r="I12" s="318">
        <v>1311.1656900000044</v>
      </c>
      <c r="J12" s="317">
        <v>0.10631237291577755</v>
      </c>
      <c r="K12" s="327">
        <v>2844.6609999999996</v>
      </c>
      <c r="L12" s="328">
        <v>0.16764857378594999</v>
      </c>
      <c r="M12" s="384"/>
      <c r="N12" s="385"/>
      <c r="O12" s="385"/>
    </row>
    <row r="13" spans="1:15" ht="18.75">
      <c r="A13" s="361">
        <f t="shared" si="5"/>
        <v>46063</v>
      </c>
      <c r="B13" s="325">
        <v>6822744</v>
      </c>
      <c r="C13" s="325">
        <v>16650</v>
      </c>
      <c r="D13" s="340">
        <f t="shared" si="0"/>
        <v>2.4403671015650009E-3</v>
      </c>
      <c r="E13" s="326">
        <v>15027.403113604894</v>
      </c>
      <c r="F13" s="316">
        <f t="shared" si="1"/>
        <v>2.2025453561799906E-3</v>
      </c>
      <c r="G13" s="325">
        <v>1397.5229999999999</v>
      </c>
      <c r="H13" s="317">
        <f t="shared" si="2"/>
        <v>8.3935315315315312E-2</v>
      </c>
      <c r="I13" s="318">
        <v>1597.7333000000021</v>
      </c>
      <c r="J13" s="317">
        <f t="shared" si="3"/>
        <v>0.10632131765690853</v>
      </c>
      <c r="K13" s="327">
        <v>3212.0309999999999</v>
      </c>
      <c r="L13" s="328">
        <f t="shared" si="4"/>
        <v>0.19291477477477478</v>
      </c>
      <c r="M13" s="384">
        <f>SUM(B13:B19)</f>
        <v>46841477</v>
      </c>
      <c r="N13" s="385">
        <f>SUM(C13:C19)</f>
        <v>114102</v>
      </c>
      <c r="O13" s="385">
        <f>SUM(E13:E19)</f>
        <v>97189.411734956419</v>
      </c>
    </row>
    <row r="14" spans="1:15" ht="18.75">
      <c r="A14" s="361">
        <f t="shared" si="5"/>
        <v>46064</v>
      </c>
      <c r="B14" s="325">
        <v>6624486</v>
      </c>
      <c r="C14" s="325">
        <v>16092</v>
      </c>
      <c r="D14" s="340">
        <f t="shared" si="0"/>
        <v>2.4291695989696409E-3</v>
      </c>
      <c r="E14" s="326">
        <v>14214.660333694314</v>
      </c>
      <c r="F14" s="316">
        <f t="shared" si="1"/>
        <v>2.1457755867691944E-3</v>
      </c>
      <c r="G14" s="325">
        <v>1348.827</v>
      </c>
      <c r="H14" s="317">
        <f t="shared" si="2"/>
        <v>8.3819724086502609E-2</v>
      </c>
      <c r="I14" s="318">
        <v>1528.2089099999987</v>
      </c>
      <c r="J14" s="317">
        <f t="shared" si="3"/>
        <v>0.10750935119972899</v>
      </c>
      <c r="K14" s="327">
        <v>2798.444</v>
      </c>
      <c r="L14" s="328">
        <f t="shared" si="4"/>
        <v>0.17390280884911757</v>
      </c>
      <c r="M14" s="384"/>
      <c r="N14" s="385"/>
      <c r="O14" s="385"/>
    </row>
    <row r="15" spans="1:15" ht="18.75">
      <c r="A15" s="361">
        <f t="shared" si="5"/>
        <v>46065</v>
      </c>
      <c r="B15" s="325">
        <v>6520982</v>
      </c>
      <c r="C15" s="325">
        <v>15917</v>
      </c>
      <c r="D15" s="340">
        <f t="shared" si="0"/>
        <v>2.4408900377274464E-3</v>
      </c>
      <c r="E15" s="326">
        <v>13979.62369767808</v>
      </c>
      <c r="F15" s="316">
        <f t="shared" si="1"/>
        <v>2.1437911801747162E-3</v>
      </c>
      <c r="G15" s="325">
        <v>1381.8980000000001</v>
      </c>
      <c r="H15" s="317">
        <f t="shared" si="2"/>
        <v>8.6818998555004093E-2</v>
      </c>
      <c r="I15" s="318">
        <v>1485.5735400000051</v>
      </c>
      <c r="J15" s="317">
        <f t="shared" si="3"/>
        <v>0.10626706212748407</v>
      </c>
      <c r="K15" s="327">
        <v>2661.1949999999993</v>
      </c>
      <c r="L15" s="328">
        <f t="shared" si="4"/>
        <v>0.16719199597914175</v>
      </c>
      <c r="M15" s="384"/>
      <c r="N15" s="385"/>
      <c r="O15" s="385"/>
    </row>
    <row r="16" spans="1:15" ht="18.75">
      <c r="A16" s="361">
        <f t="shared" si="5"/>
        <v>46066</v>
      </c>
      <c r="B16" s="325">
        <v>6287200</v>
      </c>
      <c r="C16" s="325">
        <v>15412</v>
      </c>
      <c r="D16" s="340">
        <f t="shared" si="0"/>
        <v>2.4513296857106501E-3</v>
      </c>
      <c r="E16" s="326">
        <v>13554.576981417484</v>
      </c>
      <c r="F16" s="316">
        <f t="shared" si="1"/>
        <v>2.1559003978587421E-3</v>
      </c>
      <c r="G16" s="325">
        <v>1441.7900000000002</v>
      </c>
      <c r="H16" s="317">
        <f t="shared" si="2"/>
        <v>9.3549831300285505E-2</v>
      </c>
      <c r="I16" s="318">
        <v>1401.0021699999941</v>
      </c>
      <c r="J16" s="317">
        <f t="shared" si="3"/>
        <v>0.10336008065177427</v>
      </c>
      <c r="K16" s="327">
        <v>2770.9080000000004</v>
      </c>
      <c r="L16" s="328">
        <f t="shared" si="4"/>
        <v>0.17978899558785363</v>
      </c>
      <c r="M16" s="384"/>
      <c r="N16" s="385"/>
      <c r="O16" s="385"/>
    </row>
    <row r="17" spans="1:15" ht="18.75">
      <c r="A17" s="361">
        <f t="shared" si="5"/>
        <v>46067</v>
      </c>
      <c r="B17" s="325">
        <v>6831701</v>
      </c>
      <c r="C17" s="325">
        <v>16537</v>
      </c>
      <c r="D17" s="340">
        <f t="shared" si="0"/>
        <v>2.4206270151460084E-3</v>
      </c>
      <c r="E17" s="326">
        <v>14061.255131321703</v>
      </c>
      <c r="F17" s="316">
        <f t="shared" si="1"/>
        <v>2.058236320840403E-3</v>
      </c>
      <c r="G17" s="325">
        <v>1401.7969999999998</v>
      </c>
      <c r="H17" s="317">
        <f t="shared" si="2"/>
        <v>8.4767309669226576E-2</v>
      </c>
      <c r="I17" s="318">
        <v>1533.916549999999</v>
      </c>
      <c r="J17" s="317">
        <f t="shared" si="3"/>
        <v>0.10908816714257405</v>
      </c>
      <c r="K17" s="327">
        <v>2138.3439999999996</v>
      </c>
      <c r="L17" s="328">
        <f t="shared" si="4"/>
        <v>0.12930664570357378</v>
      </c>
      <c r="M17" s="384"/>
      <c r="N17" s="385"/>
      <c r="O17" s="385"/>
    </row>
    <row r="18" spans="1:15" ht="18.75">
      <c r="A18" s="361">
        <f t="shared" si="5"/>
        <v>46068</v>
      </c>
      <c r="B18" s="325">
        <v>6930409</v>
      </c>
      <c r="C18" s="325">
        <v>16843</v>
      </c>
      <c r="D18" s="340">
        <f t="shared" si="0"/>
        <v>2.4303038969272954E-3</v>
      </c>
      <c r="E18" s="326">
        <v>13268.44306980538</v>
      </c>
      <c r="F18" s="316">
        <f t="shared" si="1"/>
        <v>1.9145252567064051E-3</v>
      </c>
      <c r="G18" s="325">
        <v>1424.2330000000002</v>
      </c>
      <c r="H18" s="317">
        <f t="shared" si="2"/>
        <v>8.4559342159947759E-2</v>
      </c>
      <c r="I18" s="318">
        <v>1338.5720199999957</v>
      </c>
      <c r="J18" s="317">
        <f t="shared" si="3"/>
        <v>0.10088388011749067</v>
      </c>
      <c r="K18" s="327">
        <v>3309.9360000000011</v>
      </c>
      <c r="L18" s="328">
        <f t="shared" si="4"/>
        <v>0.196517010033842</v>
      </c>
      <c r="M18" s="384"/>
      <c r="N18" s="385"/>
      <c r="O18" s="385"/>
    </row>
    <row r="19" spans="1:15" ht="18.75">
      <c r="A19" s="361">
        <f t="shared" si="5"/>
        <v>46069</v>
      </c>
      <c r="B19" s="325">
        <v>6823955</v>
      </c>
      <c r="C19" s="325">
        <v>16651</v>
      </c>
      <c r="D19" s="340">
        <f t="shared" si="0"/>
        <v>2.4400805691127798E-3</v>
      </c>
      <c r="E19" s="326">
        <v>13083.449407434569</v>
      </c>
      <c r="F19" s="316">
        <f t="shared" si="1"/>
        <v>1.9172824861000064E-3</v>
      </c>
      <c r="G19" s="325">
        <v>1467.3220000000003</v>
      </c>
      <c r="H19" s="317">
        <f t="shared" si="2"/>
        <v>8.8122154825536023E-2</v>
      </c>
      <c r="I19" s="318">
        <v>1481.6295199999927</v>
      </c>
      <c r="J19" s="317">
        <f t="shared" si="3"/>
        <v>0.11324456371253808</v>
      </c>
      <c r="K19" s="327">
        <v>2521.5740000000001</v>
      </c>
      <c r="L19" s="328">
        <f t="shared" si="4"/>
        <v>0.15143679058314816</v>
      </c>
      <c r="M19" s="384"/>
      <c r="N19" s="385"/>
      <c r="O19" s="385"/>
    </row>
    <row r="20" spans="1:15" ht="18.75">
      <c r="A20" s="320">
        <f t="shared" si="5"/>
        <v>46070</v>
      </c>
      <c r="B20" s="325">
        <v>7088240</v>
      </c>
      <c r="C20" s="325">
        <v>17226</v>
      </c>
      <c r="D20" s="340">
        <f t="shared" si="0"/>
        <v>2.4302224529643467E-3</v>
      </c>
      <c r="E20" s="326">
        <v>13476.855114289221</v>
      </c>
      <c r="F20" s="316">
        <f t="shared" si="1"/>
        <v>1.901297799494546E-3</v>
      </c>
      <c r="G20" s="325">
        <v>1555.2759999999998</v>
      </c>
      <c r="H20" s="317">
        <f t="shared" si="2"/>
        <v>9.0286543596888411E-2</v>
      </c>
      <c r="I20" s="318">
        <v>1434.38517</v>
      </c>
      <c r="J20" s="317">
        <f t="shared" si="3"/>
        <v>0.10643322628579364</v>
      </c>
      <c r="K20" s="327">
        <v>3251.3060000000005</v>
      </c>
      <c r="L20" s="328">
        <f t="shared" si="4"/>
        <v>0.18874410774410777</v>
      </c>
      <c r="M20" s="384">
        <f>SUM(B20:B26)</f>
        <v>50338515</v>
      </c>
      <c r="N20" s="385">
        <f>SUM(C20:C26)</f>
        <v>122855</v>
      </c>
      <c r="O20" s="385">
        <f>SUM(E20:E26)</f>
        <v>95925.218601409651</v>
      </c>
    </row>
    <row r="21" spans="1:15" ht="18.75">
      <c r="A21" s="320">
        <f t="shared" si="5"/>
        <v>46071</v>
      </c>
      <c r="B21" s="325">
        <v>6877528</v>
      </c>
      <c r="C21" s="325">
        <v>16698</v>
      </c>
      <c r="D21" s="340">
        <f t="shared" si="0"/>
        <v>2.4279072364372782E-3</v>
      </c>
      <c r="E21" s="326">
        <v>14016.263765494834</v>
      </c>
      <c r="F21" s="316">
        <f t="shared" si="1"/>
        <v>2.0379798912479648E-3</v>
      </c>
      <c r="G21" s="325">
        <v>1620.3320000000003</v>
      </c>
      <c r="H21" s="317">
        <f t="shared" si="2"/>
        <v>9.703748951970298E-2</v>
      </c>
      <c r="I21" s="318">
        <v>1617.0745100000022</v>
      </c>
      <c r="J21" s="317">
        <f t="shared" si="3"/>
        <v>0.11537129559311718</v>
      </c>
      <c r="K21" s="327">
        <v>2743.8119999999999</v>
      </c>
      <c r="L21" s="328">
        <f t="shared" si="4"/>
        <v>0.16431979877829681</v>
      </c>
      <c r="M21" s="384"/>
      <c r="N21" s="385"/>
      <c r="O21" s="385"/>
    </row>
    <row r="22" spans="1:15" ht="18.75">
      <c r="A22" s="320">
        <f t="shared" si="5"/>
        <v>46072</v>
      </c>
      <c r="B22" s="325">
        <v>6573692</v>
      </c>
      <c r="C22" s="325">
        <v>16105</v>
      </c>
      <c r="D22" s="340">
        <f t="shared" si="0"/>
        <v>2.4499170329245726E-3</v>
      </c>
      <c r="E22" s="326">
        <v>13445.849943819463</v>
      </c>
      <c r="F22" s="316">
        <f t="shared" si="1"/>
        <v>2.0454030921770389E-3</v>
      </c>
      <c r="G22" s="325">
        <v>1433.77</v>
      </c>
      <c r="H22" s="317">
        <f t="shared" si="2"/>
        <v>8.9026389320086927E-2</v>
      </c>
      <c r="I22" s="318">
        <v>1403.615670000007</v>
      </c>
      <c r="J22" s="317">
        <f t="shared" si="3"/>
        <v>0.1043902524470158</v>
      </c>
      <c r="K22" s="327">
        <v>2956.6340000000005</v>
      </c>
      <c r="L22" s="328">
        <f t="shared" si="4"/>
        <v>0.18358484942564424</v>
      </c>
      <c r="M22" s="384"/>
      <c r="N22" s="385"/>
      <c r="O22" s="385"/>
    </row>
    <row r="23" spans="1:15" ht="18.75">
      <c r="A23" s="320">
        <f t="shared" si="5"/>
        <v>46073</v>
      </c>
      <c r="B23" s="325">
        <v>6579672</v>
      </c>
      <c r="C23" s="325">
        <v>15926</v>
      </c>
      <c r="D23" s="340">
        <f t="shared" si="0"/>
        <v>2.4204853980563166E-3</v>
      </c>
      <c r="E23" s="326">
        <v>14342.063985717592</v>
      </c>
      <c r="F23" s="316">
        <f t="shared" si="1"/>
        <v>2.179753639044255E-3</v>
      </c>
      <c r="G23" s="325">
        <v>1566.0020000000002</v>
      </c>
      <c r="H23" s="317">
        <f t="shared" si="2"/>
        <v>9.8329900791159122E-2</v>
      </c>
      <c r="I23" s="318">
        <v>1465.1827000000012</v>
      </c>
      <c r="J23" s="317">
        <f t="shared" si="3"/>
        <v>0.10215982172852453</v>
      </c>
      <c r="K23" s="327">
        <v>2175.7829999999994</v>
      </c>
      <c r="L23" s="328">
        <f t="shared" si="4"/>
        <v>0.1366182971241994</v>
      </c>
      <c r="M23" s="384"/>
      <c r="N23" s="385"/>
      <c r="O23" s="385"/>
    </row>
    <row r="24" spans="1:15" ht="18.75">
      <c r="A24" s="320">
        <f t="shared" si="5"/>
        <v>46074</v>
      </c>
      <c r="B24" s="325">
        <v>7184913</v>
      </c>
      <c r="C24" s="325">
        <v>17532</v>
      </c>
      <c r="D24" s="340">
        <f t="shared" si="0"/>
        <v>2.4401130535609827E-3</v>
      </c>
      <c r="E24" s="326">
        <v>12610.631738401295</v>
      </c>
      <c r="F24" s="316">
        <f t="shared" si="1"/>
        <v>1.7551544101370878E-3</v>
      </c>
      <c r="G24" s="325">
        <v>1446.7260000000003</v>
      </c>
      <c r="H24" s="317">
        <f t="shared" si="2"/>
        <v>8.2519164955509941E-2</v>
      </c>
      <c r="I24" s="318">
        <v>1456.0941400000033</v>
      </c>
      <c r="J24" s="317">
        <f t="shared" si="3"/>
        <v>0.11546559840979059</v>
      </c>
      <c r="K24" s="327">
        <v>2653.654</v>
      </c>
      <c r="L24" s="328">
        <f t="shared" si="4"/>
        <v>0.15136059776408853</v>
      </c>
      <c r="M24" s="384"/>
      <c r="N24" s="385"/>
      <c r="O24" s="385"/>
    </row>
    <row r="25" spans="1:15" ht="18.75">
      <c r="A25" s="320">
        <f t="shared" si="5"/>
        <v>46075</v>
      </c>
      <c r="B25" s="325">
        <v>8119330</v>
      </c>
      <c r="C25" s="325">
        <v>19970</v>
      </c>
      <c r="D25" s="340">
        <f t="shared" si="0"/>
        <v>2.4595625501118933E-3</v>
      </c>
      <c r="E25" s="326">
        <v>13950.778125104336</v>
      </c>
      <c r="F25" s="316">
        <f t="shared" si="1"/>
        <v>1.7182178979182193E-3</v>
      </c>
      <c r="G25" s="325">
        <v>1754.0890000000002</v>
      </c>
      <c r="H25" s="317">
        <f t="shared" si="2"/>
        <v>8.7836204306459692E-2</v>
      </c>
      <c r="I25" s="318">
        <v>1481.4844700000024</v>
      </c>
      <c r="J25" s="317">
        <f t="shared" si="3"/>
        <v>0.10619368014563149</v>
      </c>
      <c r="K25" s="327">
        <v>2714.1110000000008</v>
      </c>
      <c r="L25" s="328">
        <f t="shared" si="4"/>
        <v>0.13590941412118182</v>
      </c>
      <c r="M25" s="384"/>
      <c r="N25" s="385"/>
      <c r="O25" s="385"/>
    </row>
    <row r="26" spans="1:15" ht="18.75">
      <c r="A26" s="320">
        <f t="shared" si="5"/>
        <v>46076</v>
      </c>
      <c r="B26" s="325">
        <v>7915140</v>
      </c>
      <c r="C26" s="325">
        <v>19398</v>
      </c>
      <c r="D26" s="340">
        <f t="shared" si="0"/>
        <v>2.4507462912848037E-3</v>
      </c>
      <c r="E26" s="326">
        <v>14082.775928582905</v>
      </c>
      <c r="F26" s="316">
        <f t="shared" si="1"/>
        <v>1.7792200679435746E-3</v>
      </c>
      <c r="G26" s="325">
        <v>1552.3209999999999</v>
      </c>
      <c r="H26" s="317">
        <f t="shared" si="2"/>
        <v>8.0024796370759863E-2</v>
      </c>
      <c r="I26" s="318">
        <v>1436.3330499999943</v>
      </c>
      <c r="J26" s="317">
        <f t="shared" si="3"/>
        <v>0.10199218231433771</v>
      </c>
      <c r="K26" s="327">
        <v>3174.415</v>
      </c>
      <c r="L26" s="328">
        <f t="shared" si="4"/>
        <v>0.16364650994947932</v>
      </c>
      <c r="M26" s="384"/>
      <c r="N26" s="385"/>
      <c r="O26" s="385"/>
    </row>
    <row r="27" spans="1:15" ht="18.75">
      <c r="A27" s="361">
        <f t="shared" si="5"/>
        <v>46077</v>
      </c>
      <c r="B27" s="325">
        <v>7787196</v>
      </c>
      <c r="C27" s="325">
        <v>19009</v>
      </c>
      <c r="D27" s="340">
        <f t="shared" si="0"/>
        <v>2.4410583732578455E-3</v>
      </c>
      <c r="E27" s="326">
        <v>13769.530379731867</v>
      </c>
      <c r="F27" s="316">
        <f t="shared" si="1"/>
        <v>1.7682270203205194E-3</v>
      </c>
      <c r="G27" s="325">
        <v>1643.2760000000001</v>
      </c>
      <c r="H27" s="317">
        <f t="shared" si="2"/>
        <v>8.6447261823346833E-2</v>
      </c>
      <c r="I27" s="318">
        <v>1585.1249299999965</v>
      </c>
      <c r="J27" s="317">
        <f t="shared" si="3"/>
        <v>0.11511830006441102</v>
      </c>
      <c r="K27" s="327">
        <v>3406.4600000000009</v>
      </c>
      <c r="L27" s="328">
        <f t="shared" si="4"/>
        <v>0.17920248303435221</v>
      </c>
      <c r="M27" s="384">
        <f>SUM(B27:B33)</f>
        <v>34378107</v>
      </c>
      <c r="N27" s="385">
        <f>SUM(C27:C33)</f>
        <v>83747</v>
      </c>
      <c r="O27" s="385">
        <f>SUM(E27:E33)</f>
        <v>66074.1722082458</v>
      </c>
    </row>
    <row r="28" spans="1:15" ht="18.75">
      <c r="A28" s="361">
        <f t="shared" si="5"/>
        <v>46078</v>
      </c>
      <c r="B28" s="325">
        <v>7117740</v>
      </c>
      <c r="C28" s="325">
        <v>17292</v>
      </c>
      <c r="D28" s="340">
        <f t="shared" si="0"/>
        <v>2.4294228224127322E-3</v>
      </c>
      <c r="E28" s="326">
        <v>13417.972127307863</v>
      </c>
      <c r="F28" s="316">
        <f t="shared" si="1"/>
        <v>1.8851450217776799E-3</v>
      </c>
      <c r="G28" s="325">
        <v>1562.41</v>
      </c>
      <c r="H28" s="317">
        <f t="shared" si="2"/>
        <v>9.0354499190377052E-2</v>
      </c>
      <c r="I28" s="318">
        <v>1597.856430000005</v>
      </c>
      <c r="J28" s="317">
        <f t="shared" si="3"/>
        <v>0.11908330221882743</v>
      </c>
      <c r="K28" s="327">
        <v>2964.4320000000002</v>
      </c>
      <c r="L28" s="328">
        <f t="shared" si="4"/>
        <v>0.17143372657876477</v>
      </c>
      <c r="M28" s="384"/>
      <c r="N28" s="385"/>
      <c r="O28" s="385"/>
    </row>
    <row r="29" spans="1:15" ht="18.75">
      <c r="A29" s="361">
        <f t="shared" si="5"/>
        <v>46079</v>
      </c>
      <c r="B29" s="325">
        <v>6605721</v>
      </c>
      <c r="C29" s="325">
        <v>15981</v>
      </c>
      <c r="D29" s="340">
        <f t="shared" si="0"/>
        <v>2.4192665721122645E-3</v>
      </c>
      <c r="E29" s="326">
        <v>12856.123331653504</v>
      </c>
      <c r="F29" s="316">
        <f t="shared" si="1"/>
        <v>1.9462104638772214E-3</v>
      </c>
      <c r="G29" s="325">
        <v>1296.79</v>
      </c>
      <c r="H29" s="317">
        <f t="shared" si="2"/>
        <v>8.1145735560978663E-2</v>
      </c>
      <c r="I29" s="318">
        <v>1324.7871800000059</v>
      </c>
      <c r="J29" s="317">
        <f t="shared" si="3"/>
        <v>0.10304717416160764</v>
      </c>
      <c r="K29" s="327">
        <v>3726.0279999999989</v>
      </c>
      <c r="L29" s="328">
        <f t="shared" si="4"/>
        <v>0.23315361992365927</v>
      </c>
      <c r="M29" s="384"/>
      <c r="N29" s="385"/>
      <c r="O29" s="385"/>
    </row>
    <row r="30" spans="1:15" ht="18.75">
      <c r="A30" s="361">
        <f t="shared" si="5"/>
        <v>46080</v>
      </c>
      <c r="B30" s="325">
        <v>6179335</v>
      </c>
      <c r="C30" s="325">
        <v>15077</v>
      </c>
      <c r="D30" s="340">
        <f t="shared" si="0"/>
        <v>2.4399065595246089E-3</v>
      </c>
      <c r="E30" s="326">
        <v>12884.834664588196</v>
      </c>
      <c r="F30" s="316">
        <f t="shared" si="1"/>
        <v>2.0851490758452482E-3</v>
      </c>
      <c r="G30" s="325">
        <v>1301.5489999999998</v>
      </c>
      <c r="H30" s="317">
        <f t="shared" si="2"/>
        <v>8.6326789149034938E-2</v>
      </c>
      <c r="I30" s="318">
        <v>1425.3843600000041</v>
      </c>
      <c r="J30" s="317">
        <f t="shared" si="3"/>
        <v>0.11062496315280115</v>
      </c>
      <c r="K30" s="327">
        <v>2517.6129999999998</v>
      </c>
      <c r="L30" s="328">
        <f t="shared" si="4"/>
        <v>0.16698368375671552</v>
      </c>
      <c r="M30" s="384"/>
      <c r="N30" s="385"/>
      <c r="O30" s="385"/>
    </row>
    <row r="31" spans="1:15" ht="18.75">
      <c r="A31" s="361">
        <f t="shared" si="5"/>
        <v>46081</v>
      </c>
      <c r="B31" s="325">
        <v>6688115</v>
      </c>
      <c r="C31" s="325">
        <v>16388</v>
      </c>
      <c r="D31" s="340">
        <f t="shared" si="0"/>
        <v>2.4503167185372858E-3</v>
      </c>
      <c r="E31" s="326">
        <v>13145.711704964371</v>
      </c>
      <c r="F31" s="316">
        <f t="shared" si="1"/>
        <v>1.9655331442363613E-3</v>
      </c>
      <c r="G31" s="325">
        <v>1418.3760000000002</v>
      </c>
      <c r="H31" s="317">
        <f t="shared" si="2"/>
        <v>8.6549670490602887E-2</v>
      </c>
      <c r="I31" s="318">
        <v>1493.4343099999953</v>
      </c>
      <c r="J31" s="317">
        <f t="shared" si="3"/>
        <v>0.11360619672162839</v>
      </c>
      <c r="K31" s="327">
        <v>3087.7440000000006</v>
      </c>
      <c r="L31" s="328">
        <f t="shared" si="4"/>
        <v>0.18841493775933613</v>
      </c>
      <c r="M31" s="384"/>
      <c r="N31" s="385"/>
      <c r="O31" s="385"/>
    </row>
    <row r="32" spans="1:15" ht="18.75">
      <c r="A32" s="320"/>
      <c r="B32" s="371"/>
      <c r="C32" s="371"/>
      <c r="D32" s="372"/>
      <c r="E32" s="373"/>
      <c r="F32" s="374"/>
      <c r="G32" s="371"/>
      <c r="H32" s="375"/>
      <c r="I32" s="376"/>
      <c r="J32" s="375"/>
      <c r="K32" s="377"/>
      <c r="L32" s="378"/>
      <c r="M32" s="382"/>
      <c r="N32" s="382"/>
      <c r="O32" s="382"/>
    </row>
    <row r="33" spans="1:15" ht="18.75">
      <c r="A33" s="320"/>
      <c r="B33" s="371"/>
      <c r="C33" s="371"/>
      <c r="D33" s="372"/>
      <c r="E33" s="373"/>
      <c r="F33" s="374"/>
      <c r="G33" s="371"/>
      <c r="H33" s="375"/>
      <c r="I33" s="376"/>
      <c r="J33" s="375"/>
      <c r="K33" s="377"/>
      <c r="L33" s="378"/>
      <c r="M33" s="382"/>
      <c r="N33" s="382"/>
      <c r="O33" s="382"/>
    </row>
    <row r="34" spans="1:15" ht="18.75">
      <c r="A34" s="320"/>
      <c r="B34" s="371"/>
      <c r="C34" s="371"/>
      <c r="D34" s="372"/>
      <c r="E34" s="373"/>
      <c r="F34" s="374"/>
      <c r="G34" s="371"/>
      <c r="H34" s="375"/>
      <c r="I34" s="376"/>
      <c r="J34" s="375"/>
      <c r="K34" s="377"/>
      <c r="L34" s="378"/>
      <c r="M34" s="382"/>
      <c r="N34" s="382"/>
      <c r="O34" s="382"/>
    </row>
    <row r="35" spans="1:15" ht="18.75">
      <c r="A35" s="320" t="s">
        <v>546</v>
      </c>
      <c r="B35" s="314">
        <f>AVERAGE(B4:B34)</f>
        <v>6876644.75</v>
      </c>
      <c r="C35" s="314">
        <f>AVERAGE(C4:C34)</f>
        <v>16748.56239285714</v>
      </c>
      <c r="D35" s="315">
        <f t="shared" ref="D35:D36" si="6">C35/B35</f>
        <v>2.4355718525167582E-3</v>
      </c>
      <c r="E35" s="314">
        <f>AVERAGE(E4:E34)</f>
        <v>13672.372295578854</v>
      </c>
      <c r="F35" s="321">
        <f t="shared" ref="F35:F36" si="7">E35/B35</f>
        <v>1.9882330398962159E-3</v>
      </c>
      <c r="G35" s="314">
        <f>AVERAGE(G4:G34)</f>
        <v>1471.7519642857139</v>
      </c>
      <c r="H35" s="322">
        <f t="shared" ref="H35:H36" si="8">G35/C35</f>
        <v>8.7873330842614936E-2</v>
      </c>
      <c r="I35" s="314">
        <f>AVERAGE(I4:I34)</f>
        <v>1449.9801965476283</v>
      </c>
      <c r="J35" s="322">
        <f t="shared" ref="J35:J36" si="9">I35/E35</f>
        <v>0.10605183688689482</v>
      </c>
      <c r="K35" s="314">
        <f>AVERAGE(K4:K34)</f>
        <v>2762.2905714285712</v>
      </c>
      <c r="L35" s="319">
        <f t="shared" ref="L35:L36" si="10">K35/C35</f>
        <v>0.16492702517600089</v>
      </c>
      <c r="M35" s="362"/>
      <c r="N35" s="363"/>
      <c r="O35" s="363"/>
    </row>
    <row r="36" spans="1:15" ht="18.75">
      <c r="A36" s="320" t="s">
        <v>547</v>
      </c>
      <c r="B36" s="314">
        <f>SUM(B4:B34)</f>
        <v>192546053</v>
      </c>
      <c r="C36" s="314">
        <f>SUM(C4:C34)</f>
        <v>468959.74699999997</v>
      </c>
      <c r="D36" s="315">
        <f t="shared" si="6"/>
        <v>2.4355718525167587E-3</v>
      </c>
      <c r="E36" s="314">
        <f>SUM(E4:E34)</f>
        <v>382826.42427620792</v>
      </c>
      <c r="F36" s="321">
        <f t="shared" si="7"/>
        <v>1.9882330398962159E-3</v>
      </c>
      <c r="G36" s="314">
        <f>SUM(G4:G34)</f>
        <v>41209.054999999993</v>
      </c>
      <c r="H36" s="322">
        <f t="shared" si="8"/>
        <v>8.7873330842614936E-2</v>
      </c>
      <c r="I36" s="314">
        <f>SUM(I4:I34)</f>
        <v>40599.445503333591</v>
      </c>
      <c r="J36" s="322">
        <f t="shared" si="9"/>
        <v>0.10605183688689482</v>
      </c>
      <c r="K36" s="314">
        <f>SUM(K4:K34)</f>
        <v>77344.135999999999</v>
      </c>
      <c r="L36" s="319">
        <f t="shared" si="10"/>
        <v>0.16492702517600089</v>
      </c>
      <c r="M36" s="339"/>
      <c r="N36" s="364"/>
      <c r="O36" s="364"/>
    </row>
    <row r="37" spans="1:15" ht="18.75">
      <c r="A37" s="323"/>
      <c r="B37" s="323"/>
      <c r="C37" s="323"/>
      <c r="D37" s="323"/>
      <c r="E37" s="323"/>
      <c r="F37" s="323"/>
      <c r="G37" s="323"/>
      <c r="H37" s="323"/>
      <c r="I37" s="323"/>
      <c r="J37" s="323"/>
      <c r="K37" s="323"/>
      <c r="L37" s="323"/>
      <c r="M37" s="323"/>
    </row>
    <row r="38" spans="1:15" ht="18.75">
      <c r="A38" s="323"/>
      <c r="B38" s="323"/>
      <c r="C38" s="323"/>
      <c r="D38" s="323"/>
      <c r="E38" s="323"/>
      <c r="F38" s="323"/>
      <c r="G38" s="323"/>
      <c r="H38" s="323"/>
      <c r="I38" s="323"/>
      <c r="J38" s="323"/>
      <c r="K38" s="323"/>
      <c r="L38" s="323"/>
      <c r="M38" s="323"/>
    </row>
    <row r="39" spans="1:15" ht="18.75">
      <c r="A39" s="323"/>
      <c r="B39" s="323"/>
      <c r="C39" s="323"/>
      <c r="D39" s="323"/>
      <c r="E39" s="323"/>
      <c r="F39" s="323"/>
      <c r="G39" s="323"/>
      <c r="H39" s="323"/>
      <c r="I39" s="323"/>
      <c r="J39" s="323"/>
      <c r="K39" s="323"/>
      <c r="L39" s="323"/>
      <c r="M39" s="323"/>
    </row>
    <row r="40" spans="1:15" ht="18.75">
      <c r="A40" s="323"/>
      <c r="B40" s="323"/>
      <c r="C40" s="323"/>
      <c r="D40" s="323"/>
      <c r="E40" s="323"/>
      <c r="F40" s="323"/>
      <c r="G40" s="323"/>
      <c r="H40" s="323"/>
      <c r="I40" s="323"/>
      <c r="J40" s="323"/>
      <c r="K40" s="323"/>
      <c r="L40" s="323"/>
      <c r="M40" s="323"/>
    </row>
    <row r="41" spans="1:15" ht="18.75">
      <c r="A41" s="323"/>
      <c r="B41" s="323"/>
      <c r="C41" s="323"/>
      <c r="D41" s="323"/>
      <c r="E41" s="323"/>
      <c r="F41" s="323"/>
      <c r="G41" s="323"/>
      <c r="H41" s="323"/>
      <c r="I41" s="323"/>
      <c r="J41" s="323"/>
      <c r="K41" s="323"/>
      <c r="L41" s="323"/>
      <c r="M41" s="323"/>
    </row>
    <row r="42" spans="1:15" ht="18.75">
      <c r="A42" s="323"/>
      <c r="B42" s="323"/>
      <c r="C42" s="323"/>
      <c r="D42" s="323"/>
      <c r="E42" s="323"/>
      <c r="F42" s="323"/>
      <c r="G42" s="323"/>
      <c r="H42" s="323"/>
      <c r="I42" s="323"/>
      <c r="J42" s="323"/>
      <c r="K42" s="323"/>
      <c r="L42" s="323"/>
      <c r="M42" s="323"/>
    </row>
    <row r="43" spans="1:15" ht="18.75">
      <c r="A43" s="323"/>
      <c r="B43" s="323"/>
      <c r="C43" s="323"/>
      <c r="D43" s="323"/>
      <c r="E43" s="323"/>
      <c r="F43" s="323"/>
      <c r="G43" s="323"/>
      <c r="H43" s="323"/>
      <c r="I43" s="323"/>
      <c r="J43" s="323"/>
      <c r="K43" s="323"/>
      <c r="L43" s="323"/>
      <c r="M43" s="323"/>
    </row>
    <row r="44" spans="1:15" ht="18.75">
      <c r="A44" s="323"/>
      <c r="B44" s="323"/>
      <c r="C44" s="323"/>
      <c r="D44" s="323"/>
      <c r="E44" s="323"/>
      <c r="F44" s="323"/>
      <c r="G44" s="323"/>
      <c r="H44" s="323"/>
      <c r="I44" s="323"/>
      <c r="J44" s="323"/>
      <c r="K44" s="323"/>
      <c r="L44" s="323"/>
      <c r="M44" s="323"/>
    </row>
    <row r="45" spans="1:15" ht="18.75">
      <c r="A45" s="323"/>
      <c r="B45" s="323"/>
      <c r="C45" s="323"/>
      <c r="D45" s="323"/>
      <c r="E45" s="323"/>
      <c r="F45" s="323"/>
      <c r="G45" s="323"/>
      <c r="H45" s="323"/>
      <c r="I45" s="323"/>
      <c r="J45" s="323"/>
      <c r="K45" s="323"/>
      <c r="L45" s="323"/>
      <c r="M45" s="323"/>
    </row>
    <row r="46" spans="1:15" ht="18.75">
      <c r="A46" s="323"/>
      <c r="B46" s="323"/>
      <c r="C46" s="323"/>
      <c r="D46" s="323"/>
      <c r="E46" s="323"/>
      <c r="F46" s="323"/>
      <c r="G46" s="323"/>
      <c r="H46" s="323"/>
      <c r="I46" s="323"/>
      <c r="J46" s="323"/>
      <c r="K46" s="323"/>
      <c r="L46" s="323"/>
      <c r="M46" s="323"/>
    </row>
    <row r="47" spans="1:15" ht="18.75">
      <c r="A47" s="323"/>
      <c r="B47" s="323"/>
      <c r="C47" s="323"/>
      <c r="D47" s="323"/>
      <c r="E47" s="323"/>
      <c r="F47" s="323"/>
      <c r="G47" s="323"/>
      <c r="H47" s="323"/>
      <c r="I47" s="323"/>
      <c r="J47" s="323"/>
      <c r="K47" s="323"/>
      <c r="L47" s="323"/>
      <c r="M47" s="323"/>
    </row>
    <row r="48" spans="1:15" ht="18.75">
      <c r="A48" s="323"/>
      <c r="B48" s="323"/>
      <c r="C48" s="323"/>
      <c r="D48" s="323"/>
      <c r="E48" s="323"/>
      <c r="F48" s="323"/>
      <c r="G48" s="323"/>
      <c r="H48" s="323"/>
      <c r="I48" s="323"/>
      <c r="J48" s="323"/>
      <c r="K48" s="323"/>
      <c r="L48" s="323"/>
      <c r="M48" s="323"/>
    </row>
    <row r="49" spans="1:13" ht="18.75">
      <c r="A49" s="323"/>
      <c r="B49" s="323"/>
      <c r="C49" s="323"/>
      <c r="D49" s="323"/>
      <c r="E49" s="323"/>
      <c r="F49" s="323"/>
      <c r="G49" s="323"/>
      <c r="H49" s="323"/>
      <c r="I49" s="323"/>
      <c r="J49" s="323"/>
      <c r="K49" s="323"/>
      <c r="L49" s="323"/>
      <c r="M49" s="323"/>
    </row>
    <row r="50" spans="1:13" ht="18.75">
      <c r="A50" s="323"/>
      <c r="B50" s="323"/>
      <c r="C50" s="323"/>
      <c r="D50" s="323"/>
      <c r="E50" s="323"/>
      <c r="F50" s="323"/>
      <c r="G50" s="323"/>
      <c r="H50" s="323"/>
      <c r="I50" s="323"/>
      <c r="J50" s="323"/>
      <c r="K50" s="323"/>
      <c r="L50" s="323"/>
      <c r="M50" s="323"/>
    </row>
    <row r="51" spans="1:13" ht="18.75">
      <c r="A51" s="323"/>
      <c r="B51" s="323"/>
      <c r="C51" s="323"/>
      <c r="D51" s="323"/>
      <c r="E51" s="323"/>
      <c r="F51" s="323"/>
      <c r="G51" s="323"/>
      <c r="H51" s="323"/>
      <c r="I51" s="323"/>
      <c r="J51" s="323"/>
      <c r="K51" s="323"/>
      <c r="L51" s="323"/>
      <c r="M51" s="323"/>
    </row>
    <row r="52" spans="1:13" ht="18.75">
      <c r="A52" s="323"/>
      <c r="B52" s="323"/>
      <c r="C52" s="323"/>
      <c r="D52" s="323"/>
      <c r="E52" s="323"/>
      <c r="F52" s="323"/>
      <c r="G52" s="323"/>
      <c r="H52" s="323"/>
      <c r="I52" s="323"/>
      <c r="J52" s="323"/>
      <c r="K52" s="323"/>
      <c r="L52" s="323"/>
      <c r="M52" s="323"/>
    </row>
    <row r="53" spans="1:13" ht="18.75">
      <c r="A53" s="323"/>
      <c r="B53" s="323"/>
      <c r="C53" s="323"/>
      <c r="D53" s="323"/>
      <c r="E53" s="323"/>
      <c r="F53" s="323"/>
      <c r="G53" s="323"/>
      <c r="H53" s="323"/>
      <c r="I53" s="323"/>
      <c r="J53" s="323"/>
      <c r="K53" s="323"/>
      <c r="L53" s="323"/>
      <c r="M53" s="323"/>
    </row>
    <row r="54" spans="1:13" ht="18.75">
      <c r="A54" s="323"/>
      <c r="B54" s="323"/>
      <c r="C54" s="323"/>
      <c r="D54" s="323"/>
      <c r="E54" s="323"/>
      <c r="F54" s="323"/>
      <c r="G54" s="323"/>
      <c r="H54" s="323"/>
      <c r="I54" s="323"/>
      <c r="J54" s="323"/>
      <c r="K54" s="323"/>
      <c r="L54" s="323"/>
      <c r="M54" s="323"/>
    </row>
    <row r="55" spans="1:13" ht="18.75">
      <c r="A55" s="323"/>
      <c r="B55" s="323"/>
      <c r="C55" s="323"/>
      <c r="D55" s="323"/>
      <c r="E55" s="323"/>
      <c r="F55" s="323"/>
      <c r="G55" s="323"/>
      <c r="H55" s="323"/>
      <c r="I55" s="323"/>
      <c r="J55" s="323"/>
      <c r="K55" s="323"/>
      <c r="L55" s="323"/>
      <c r="M55" s="323"/>
    </row>
    <row r="56" spans="1:13" ht="18.75">
      <c r="A56" s="323"/>
      <c r="B56" s="323"/>
      <c r="C56" s="323"/>
      <c r="D56" s="323"/>
      <c r="E56" s="323"/>
      <c r="F56" s="323"/>
      <c r="G56" s="323"/>
      <c r="H56" s="323"/>
      <c r="I56" s="323"/>
      <c r="J56" s="323"/>
      <c r="K56" s="323"/>
      <c r="L56" s="323"/>
      <c r="M56" s="323"/>
    </row>
    <row r="57" spans="1:13" ht="18.75">
      <c r="A57" s="323"/>
      <c r="B57" s="323"/>
      <c r="C57" s="323"/>
      <c r="D57" s="323"/>
      <c r="E57" s="323"/>
      <c r="F57" s="323"/>
      <c r="G57" s="323"/>
      <c r="H57" s="323"/>
      <c r="I57" s="323"/>
      <c r="J57" s="323"/>
      <c r="K57" s="323"/>
      <c r="L57" s="323"/>
      <c r="M57" s="323"/>
    </row>
    <row r="58" spans="1:13" ht="18.75">
      <c r="A58" s="323"/>
      <c r="B58" s="323"/>
      <c r="C58" s="323"/>
      <c r="D58" s="323"/>
      <c r="E58" s="323"/>
      <c r="F58" s="323"/>
      <c r="G58" s="323"/>
      <c r="H58" s="323"/>
      <c r="I58" s="323"/>
      <c r="J58" s="323"/>
      <c r="K58" s="323"/>
      <c r="L58" s="323"/>
      <c r="M58" s="323"/>
    </row>
    <row r="59" spans="1:13" ht="18.75">
      <c r="A59" s="323"/>
      <c r="B59" s="323"/>
      <c r="C59" s="323"/>
      <c r="D59" s="323"/>
      <c r="E59" s="323"/>
      <c r="F59" s="323"/>
      <c r="G59" s="323"/>
      <c r="H59" s="323"/>
      <c r="I59" s="323"/>
      <c r="J59" s="323"/>
      <c r="K59" s="323"/>
      <c r="L59" s="323"/>
      <c r="M59" s="323"/>
    </row>
    <row r="60" spans="1:13" ht="18.75">
      <c r="A60" s="323"/>
      <c r="B60" s="323"/>
      <c r="C60" s="323"/>
      <c r="D60" s="323"/>
      <c r="E60" s="323"/>
      <c r="F60" s="323"/>
      <c r="G60" s="323"/>
      <c r="H60" s="323"/>
      <c r="I60" s="323"/>
      <c r="J60" s="323"/>
      <c r="K60" s="323"/>
      <c r="L60" s="323"/>
      <c r="M60" s="323"/>
    </row>
    <row r="61" spans="1:13" ht="18.75">
      <c r="A61" s="323"/>
      <c r="B61" s="323"/>
      <c r="C61" s="323"/>
      <c r="D61" s="323"/>
      <c r="E61" s="323"/>
      <c r="F61" s="323"/>
      <c r="G61" s="323"/>
      <c r="H61" s="323"/>
      <c r="I61" s="323"/>
      <c r="J61" s="323"/>
      <c r="K61" s="323"/>
      <c r="L61" s="323"/>
      <c r="M61" s="323"/>
    </row>
    <row r="62" spans="1:13" ht="18.75">
      <c r="A62" s="323"/>
      <c r="B62" s="323"/>
      <c r="C62" s="323"/>
      <c r="D62" s="323"/>
      <c r="E62" s="323"/>
      <c r="F62" s="323"/>
      <c r="G62" s="323"/>
      <c r="H62" s="323"/>
      <c r="I62" s="323"/>
      <c r="J62" s="323"/>
      <c r="K62" s="323"/>
      <c r="L62" s="323"/>
      <c r="M62" s="323"/>
    </row>
    <row r="63" spans="1:13" ht="18.75">
      <c r="A63" s="323"/>
      <c r="B63" s="323"/>
      <c r="C63" s="323"/>
      <c r="D63" s="323"/>
      <c r="E63" s="323"/>
      <c r="F63" s="323"/>
      <c r="G63" s="323"/>
      <c r="H63" s="323"/>
      <c r="I63" s="323"/>
      <c r="J63" s="323"/>
      <c r="K63" s="323"/>
      <c r="L63" s="323"/>
      <c r="M63" s="323"/>
    </row>
  </sheetData>
  <mergeCells count="11">
    <mergeCell ref="A1:O1"/>
    <mergeCell ref="A2:A3"/>
    <mergeCell ref="B2:B3"/>
    <mergeCell ref="C2:C3"/>
    <mergeCell ref="D2:D3"/>
    <mergeCell ref="E2:E3"/>
    <mergeCell ref="F2:F3"/>
    <mergeCell ref="G2:H2"/>
    <mergeCell ref="I2:J2"/>
    <mergeCell ref="K2:L2"/>
    <mergeCell ref="M2:O2"/>
  </mergeCells>
  <phoneticPr fontId="11" type="noConversion"/>
  <conditionalFormatting sqref="D4:D36">
    <cfRule type="cellIs" dxfId="3" priority="4" operator="greaterThan">
      <formula>0.0025</formula>
    </cfRule>
  </conditionalFormatting>
  <conditionalFormatting sqref="H4:H36">
    <cfRule type="cellIs" dxfId="2" priority="3" operator="greaterThan">
      <formula>0.16</formula>
    </cfRule>
  </conditionalFormatting>
  <conditionalFormatting sqref="J4:J36">
    <cfRule type="cellIs" dxfId="1" priority="2" operator="greaterThan">
      <formula>0.16</formula>
    </cfRule>
  </conditionalFormatting>
  <conditionalFormatting sqref="L4:L36">
    <cfRule type="cellIs" dxfId="0" priority="1" operator="greaterThan">
      <formula>0.15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B2:G23"/>
  <sheetViews>
    <sheetView view="pageBreakPreview" zoomScale="115" zoomScaleNormal="100" zoomScaleSheetLayoutView="115" workbookViewId="0">
      <selection activeCell="Q19" sqref="Q19"/>
    </sheetView>
  </sheetViews>
  <sheetFormatPr defaultColWidth="8.7109375" defaultRowHeight="14.25"/>
  <cols>
    <col min="1" max="2" width="8.7109375" style="185"/>
    <col min="3" max="3" width="14" style="185" bestFit="1" customWidth="1"/>
    <col min="4" max="4" width="0.28515625" style="185" customWidth="1"/>
    <col min="5" max="5" width="8.7109375" style="185"/>
    <col min="6" max="6" width="16.28515625" style="185" bestFit="1" customWidth="1"/>
    <col min="7" max="16384" width="8.7109375" style="185"/>
  </cols>
  <sheetData>
    <row r="2" spans="2:7" ht="15.75">
      <c r="B2" s="723" t="s">
        <v>248</v>
      </c>
      <c r="C2" s="723"/>
      <c r="D2" s="723"/>
      <c r="E2" s="723"/>
      <c r="F2" s="723"/>
    </row>
    <row r="3" spans="2:7" ht="15">
      <c r="B3" s="186" t="s">
        <v>249</v>
      </c>
      <c r="C3" s="186" t="s">
        <v>250</v>
      </c>
      <c r="D3" s="187"/>
      <c r="E3" s="186" t="s">
        <v>251</v>
      </c>
      <c r="F3" s="186" t="s">
        <v>252</v>
      </c>
      <c r="G3" s="187"/>
    </row>
    <row r="4" spans="2:7" ht="15">
      <c r="B4" s="188" t="s">
        <v>253</v>
      </c>
      <c r="C4" s="188" t="s">
        <v>254</v>
      </c>
      <c r="D4" s="187"/>
      <c r="E4" s="188" t="s">
        <v>255</v>
      </c>
      <c r="F4" s="188" t="s">
        <v>256</v>
      </c>
      <c r="G4" s="187"/>
    </row>
    <row r="5" spans="2:7" ht="15">
      <c r="B5" s="188" t="s">
        <v>257</v>
      </c>
      <c r="C5" s="188" t="s">
        <v>258</v>
      </c>
      <c r="D5" s="187"/>
      <c r="E5" s="188" t="s">
        <v>259</v>
      </c>
      <c r="F5" s="188" t="s">
        <v>260</v>
      </c>
      <c r="G5" s="187"/>
    </row>
    <row r="6" spans="2:7" ht="15">
      <c r="B6" s="188" t="s">
        <v>261</v>
      </c>
      <c r="C6" s="188" t="s">
        <v>262</v>
      </c>
      <c r="D6" s="187"/>
      <c r="E6" s="189" t="s">
        <v>263</v>
      </c>
      <c r="F6" s="189" t="s">
        <v>136</v>
      </c>
      <c r="G6" s="187"/>
    </row>
    <row r="7" spans="2:7" ht="15">
      <c r="B7" s="189" t="s">
        <v>264</v>
      </c>
      <c r="C7" s="189" t="s">
        <v>265</v>
      </c>
      <c r="D7" s="187"/>
      <c r="E7" s="188" t="s">
        <v>266</v>
      </c>
      <c r="F7" s="188" t="s">
        <v>267</v>
      </c>
      <c r="G7" s="187"/>
    </row>
    <row r="8" spans="2:7" ht="15">
      <c r="B8" s="188" t="s">
        <v>268</v>
      </c>
      <c r="C8" s="188" t="s">
        <v>269</v>
      </c>
      <c r="D8" s="187"/>
      <c r="E8" s="188" t="s">
        <v>270</v>
      </c>
      <c r="F8" s="188" t="s">
        <v>271</v>
      </c>
      <c r="G8" s="187"/>
    </row>
    <row r="9" spans="2:7" ht="15">
      <c r="B9" s="188" t="s">
        <v>272</v>
      </c>
      <c r="C9" s="188" t="s">
        <v>273</v>
      </c>
      <c r="D9" s="187"/>
      <c r="E9" s="189" t="s">
        <v>274</v>
      </c>
      <c r="F9" s="189" t="s">
        <v>135</v>
      </c>
      <c r="G9" s="187"/>
    </row>
    <row r="10" spans="2:7" ht="15">
      <c r="B10" s="188" t="s">
        <v>275</v>
      </c>
      <c r="C10" s="188" t="s">
        <v>276</v>
      </c>
      <c r="D10" s="187"/>
      <c r="E10" s="188" t="s">
        <v>277</v>
      </c>
      <c r="F10" s="188" t="s">
        <v>278</v>
      </c>
      <c r="G10" s="187"/>
    </row>
    <row r="11" spans="2:7" ht="15">
      <c r="B11" s="188" t="s">
        <v>279</v>
      </c>
      <c r="C11" s="188" t="s">
        <v>280</v>
      </c>
      <c r="D11" s="187"/>
      <c r="E11" s="188" t="s">
        <v>281</v>
      </c>
      <c r="F11" s="188" t="s">
        <v>271</v>
      </c>
      <c r="G11" s="187"/>
    </row>
    <row r="12" spans="2:7" ht="15">
      <c r="B12" s="188" t="s">
        <v>282</v>
      </c>
      <c r="C12" s="188" t="s">
        <v>283</v>
      </c>
      <c r="D12" s="187"/>
      <c r="E12" s="188" t="s">
        <v>284</v>
      </c>
      <c r="F12" s="188" t="s">
        <v>285</v>
      </c>
      <c r="G12" s="187"/>
    </row>
    <row r="13" spans="2:7" ht="15">
      <c r="B13" s="189" t="s">
        <v>286</v>
      </c>
      <c r="C13" s="189" t="s">
        <v>131</v>
      </c>
      <c r="D13" s="187"/>
      <c r="E13" s="188" t="s">
        <v>287</v>
      </c>
      <c r="F13" s="188" t="s">
        <v>288</v>
      </c>
      <c r="G13" s="187"/>
    </row>
    <row r="14" spans="2:7" ht="15">
      <c r="B14" s="188" t="s">
        <v>289</v>
      </c>
      <c r="C14" s="188" t="s">
        <v>290</v>
      </c>
      <c r="D14" s="187"/>
      <c r="E14" s="189" t="s">
        <v>291</v>
      </c>
      <c r="F14" s="189" t="s">
        <v>292</v>
      </c>
      <c r="G14" s="187"/>
    </row>
    <row r="15" spans="2:7" ht="15">
      <c r="B15" s="189" t="s">
        <v>293</v>
      </c>
      <c r="C15" s="189" t="s">
        <v>294</v>
      </c>
      <c r="D15" s="187"/>
      <c r="E15" s="188" t="s">
        <v>295</v>
      </c>
      <c r="F15" s="188" t="s">
        <v>292</v>
      </c>
      <c r="G15" s="187"/>
    </row>
    <row r="16" spans="2:7" ht="15">
      <c r="B16" s="188" t="s">
        <v>296</v>
      </c>
      <c r="C16" s="188" t="s">
        <v>297</v>
      </c>
      <c r="D16" s="187"/>
      <c r="E16" s="189" t="s">
        <v>298</v>
      </c>
      <c r="F16" s="189" t="s">
        <v>299</v>
      </c>
      <c r="G16" s="187"/>
    </row>
    <row r="17" spans="2:7" ht="15">
      <c r="B17" s="188" t="s">
        <v>300</v>
      </c>
      <c r="C17" s="188" t="s">
        <v>301</v>
      </c>
      <c r="D17" s="187"/>
      <c r="E17" s="188" t="s">
        <v>302</v>
      </c>
      <c r="F17" s="188" t="s">
        <v>303</v>
      </c>
      <c r="G17" s="187"/>
    </row>
    <row r="18" spans="2:7" ht="15">
      <c r="B18" s="188" t="s">
        <v>304</v>
      </c>
      <c r="C18" s="188" t="s">
        <v>305</v>
      </c>
      <c r="D18" s="187"/>
      <c r="E18" s="188" t="s">
        <v>306</v>
      </c>
      <c r="F18" s="188" t="s">
        <v>307</v>
      </c>
      <c r="G18" s="187"/>
    </row>
    <row r="19" spans="2:7" ht="15">
      <c r="B19" s="188" t="s">
        <v>308</v>
      </c>
      <c r="C19" s="188" t="s">
        <v>309</v>
      </c>
      <c r="D19" s="187"/>
      <c r="E19" s="188" t="s">
        <v>310</v>
      </c>
      <c r="F19" s="188" t="s">
        <v>311</v>
      </c>
      <c r="G19" s="187"/>
    </row>
    <row r="20" spans="2:7" ht="15">
      <c r="B20" s="188" t="s">
        <v>312</v>
      </c>
      <c r="C20" s="188" t="s">
        <v>313</v>
      </c>
      <c r="D20" s="187"/>
      <c r="G20" s="187"/>
    </row>
    <row r="21" spans="2:7" ht="15">
      <c r="D21" s="187"/>
      <c r="G21" s="187"/>
    </row>
    <row r="22" spans="2:7" ht="15">
      <c r="D22" s="187"/>
      <c r="G22" s="187"/>
    </row>
    <row r="23" spans="2:7" ht="15">
      <c r="D23" s="187"/>
      <c r="G23" s="187"/>
    </row>
  </sheetData>
  <mergeCells count="1">
    <mergeCell ref="B2:F2"/>
  </mergeCells>
  <phoneticPr fontId="11" type="noConversion"/>
  <pageMargins left="0" right="0" top="0" bottom="0" header="0" footer="0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32</vt:i4>
      </vt:variant>
      <vt:variant>
        <vt:lpstr>具名範圍</vt:lpstr>
      </vt:variant>
      <vt:variant>
        <vt:i4>12</vt:i4>
      </vt:variant>
    </vt:vector>
  </HeadingPairs>
  <TitlesOfParts>
    <vt:vector size="44" baseType="lpstr">
      <vt:lpstr>填寫舉例</vt:lpstr>
      <vt:lpstr>生產管理報表(月)</vt:lpstr>
      <vt:lpstr>生產管理報表(週) </vt:lpstr>
      <vt:lpstr>（１）收支狀況</vt:lpstr>
      <vt:lpstr>（２）ＫＰＩ達成進度</vt:lpstr>
      <vt:lpstr>（３）業績構成比</vt:lpstr>
      <vt:lpstr>（４）訂單數量構成比</vt:lpstr>
      <vt:lpstr>（５-1）品群別人時生產性（18℃-飯糰）</vt:lpstr>
      <vt:lpstr>（５-2）品群別人時生產性（18-壽司手卷)</vt:lpstr>
      <vt:lpstr>（５-3）品群別人時生產性（4℃-飯糰)</vt:lpstr>
      <vt:lpstr>（５-4）品群別人時生產性（4℃-壽司手卷)</vt:lpstr>
      <vt:lpstr>（５-5）品群別人時生產性(主食) </vt:lpstr>
      <vt:lpstr>（５-6）品群別人時生產性(便當)</vt:lpstr>
      <vt:lpstr>（５-7）品群別人時生產性(熱食義麵) </vt:lpstr>
      <vt:lpstr>（５-8）品群別人時生產性(季節調理麵) </vt:lpstr>
      <vt:lpstr>（５-9）品群別人時生產性(微波小吃)</vt:lpstr>
      <vt:lpstr>生產管理報表 6-1</vt:lpstr>
      <vt:lpstr>生產管理報表 6-2</vt:lpstr>
      <vt:lpstr>生產管理報表 6-3</vt:lpstr>
      <vt:lpstr>生產管理報表 6-4</vt:lpstr>
      <vt:lpstr>生產管理報表 6-5</vt:lpstr>
      <vt:lpstr>生產管理報表 7-1(月)</vt:lpstr>
      <vt:lpstr>生產管理報表 7-1 (週)</vt:lpstr>
      <vt:lpstr>生產管理報表 8-1(報廢)</vt:lpstr>
      <vt:lpstr>生產管理報表 8-2(報廢)</vt:lpstr>
      <vt:lpstr>生產管理報表 8-3(超用)</vt:lpstr>
      <vt:lpstr>生產管理報表 8-4(超用)</vt:lpstr>
      <vt:lpstr>生產管理報表 9</vt:lpstr>
      <vt:lpstr>報廢20大－原因別分析</vt:lpstr>
      <vt:lpstr>超用20大－原因別分析</vt:lpstr>
      <vt:lpstr>日別報廢率總表  </vt:lpstr>
      <vt:lpstr>鮮食品群番</vt:lpstr>
      <vt:lpstr>'生產管理報表 6-1'!Print_Area</vt:lpstr>
      <vt:lpstr>'生產管理報表 6-2'!Print_Area</vt:lpstr>
      <vt:lpstr>'生產管理報表 6-3'!Print_Area</vt:lpstr>
      <vt:lpstr>'生產管理報表 6-4'!Print_Area</vt:lpstr>
      <vt:lpstr>'生產管理報表 6-5'!Print_Area</vt:lpstr>
      <vt:lpstr>'生產管理報表 7-1 (週)'!Print_Area</vt:lpstr>
      <vt:lpstr>'生產管理報表 7-1(月)'!Print_Area</vt:lpstr>
      <vt:lpstr>'生產管理報表 8-3(超用)'!Print_Area</vt:lpstr>
      <vt:lpstr>'生產管理報表 8-4(超用)'!Print_Area</vt:lpstr>
      <vt:lpstr>'生產管理報表(月)'!Print_Area</vt:lpstr>
      <vt:lpstr>'生產管理報表(週) '!Print_Area</vt:lpstr>
      <vt:lpstr>鮮食品群番!Print_Area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丁珮心</dc:creator>
  <cp:lastModifiedBy>林奕德</cp:lastModifiedBy>
  <cp:lastPrinted>2025-07-28T04:42:39Z</cp:lastPrinted>
  <dcterms:created xsi:type="dcterms:W3CDTF">2025-07-03T16:36:59Z</dcterms:created>
  <dcterms:modified xsi:type="dcterms:W3CDTF">2026-04-08T02:33:21Z</dcterms:modified>
</cp:coreProperties>
</file>